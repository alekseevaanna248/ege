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xr:revisionPtr revIDLastSave="0" documentId="13_ncr:1_{D658655B-F463-4654-AD15-A3BDE1A7A9C7}" xr6:coauthVersionLast="47" xr6:coauthVersionMax="47" xr10:uidLastSave="{00000000-0000-0000-0000-000000000000}"/>
  <bookViews>
    <workbookView xWindow="4776" yWindow="564" windowWidth="17280" windowHeight="12480" tabRatio="500" xr2:uid="{00000000-000D-0000-FFFF-FFFF00000000}"/>
  </bookViews>
  <sheets>
    <sheet name="Движение товаров" sheetId="1" r:id="rId1"/>
    <sheet name="Товары" sheetId="2" r:id="rId2"/>
    <sheet name="Магазины" sheetId="3" r:id="rId3"/>
  </sheets>
  <definedNames>
    <definedName name="_xlnm._FilterDatabase" localSheetId="0" hidden="1">'Движение товаров'!$A$1:$K$7701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J3" i="1" l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7" i="1"/>
  <c r="K277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312" i="1"/>
  <c r="K312" i="1" s="1"/>
  <c r="J313" i="1"/>
  <c r="K313" i="1" s="1"/>
  <c r="J314" i="1"/>
  <c r="K314" i="1" s="1"/>
  <c r="J315" i="1"/>
  <c r="K315" i="1" s="1"/>
  <c r="J316" i="1"/>
  <c r="K316" i="1" s="1"/>
  <c r="J317" i="1"/>
  <c r="K317" i="1" s="1"/>
  <c r="J318" i="1"/>
  <c r="K318" i="1" s="1"/>
  <c r="J319" i="1"/>
  <c r="K319" i="1" s="1"/>
  <c r="J320" i="1"/>
  <c r="K320" i="1" s="1"/>
  <c r="J321" i="1"/>
  <c r="K321" i="1" s="1"/>
  <c r="J322" i="1"/>
  <c r="K322" i="1" s="1"/>
  <c r="J323" i="1"/>
  <c r="K323" i="1" s="1"/>
  <c r="J324" i="1"/>
  <c r="K324" i="1" s="1"/>
  <c r="J325" i="1"/>
  <c r="K325" i="1" s="1"/>
  <c r="J326" i="1"/>
  <c r="K326" i="1" s="1"/>
  <c r="J327" i="1"/>
  <c r="K327" i="1" s="1"/>
  <c r="J328" i="1"/>
  <c r="K328" i="1" s="1"/>
  <c r="J329" i="1"/>
  <c r="K329" i="1" s="1"/>
  <c r="J330" i="1"/>
  <c r="K330" i="1" s="1"/>
  <c r="J331" i="1"/>
  <c r="K331" i="1" s="1"/>
  <c r="J332" i="1"/>
  <c r="K332" i="1" s="1"/>
  <c r="J333" i="1"/>
  <c r="K333" i="1" s="1"/>
  <c r="J334" i="1"/>
  <c r="K334" i="1" s="1"/>
  <c r="J335" i="1"/>
  <c r="K335" i="1" s="1"/>
  <c r="J336" i="1"/>
  <c r="K336" i="1" s="1"/>
  <c r="J337" i="1"/>
  <c r="K337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4" i="1"/>
  <c r="K344" i="1" s="1"/>
  <c r="J345" i="1"/>
  <c r="K345" i="1" s="1"/>
  <c r="J346" i="1"/>
  <c r="K346" i="1" s="1"/>
  <c r="J347" i="1"/>
  <c r="K347" i="1" s="1"/>
  <c r="J348" i="1"/>
  <c r="K348" i="1" s="1"/>
  <c r="J349" i="1"/>
  <c r="K349" i="1" s="1"/>
  <c r="J350" i="1"/>
  <c r="K350" i="1" s="1"/>
  <c r="J351" i="1"/>
  <c r="K351" i="1" s="1"/>
  <c r="J352" i="1"/>
  <c r="K352" i="1" s="1"/>
  <c r="J353" i="1"/>
  <c r="K353" i="1" s="1"/>
  <c r="J354" i="1"/>
  <c r="K354" i="1" s="1"/>
  <c r="J355" i="1"/>
  <c r="K355" i="1" s="1"/>
  <c r="J356" i="1"/>
  <c r="K356" i="1" s="1"/>
  <c r="J357" i="1"/>
  <c r="K357" i="1" s="1"/>
  <c r="J358" i="1"/>
  <c r="K358" i="1" s="1"/>
  <c r="J359" i="1"/>
  <c r="K359" i="1" s="1"/>
  <c r="J360" i="1"/>
  <c r="K360" i="1" s="1"/>
  <c r="J361" i="1"/>
  <c r="K361" i="1" s="1"/>
  <c r="J362" i="1"/>
  <c r="K362" i="1" s="1"/>
  <c r="J363" i="1"/>
  <c r="K363" i="1" s="1"/>
  <c r="J364" i="1"/>
  <c r="K364" i="1" s="1"/>
  <c r="J365" i="1"/>
  <c r="K365" i="1" s="1"/>
  <c r="J366" i="1"/>
  <c r="K366" i="1" s="1"/>
  <c r="J367" i="1"/>
  <c r="K367" i="1" s="1"/>
  <c r="J368" i="1"/>
  <c r="K368" i="1" s="1"/>
  <c r="J369" i="1"/>
  <c r="K369" i="1" s="1"/>
  <c r="J370" i="1"/>
  <c r="K370" i="1" s="1"/>
  <c r="J371" i="1"/>
  <c r="K371" i="1" s="1"/>
  <c r="J372" i="1"/>
  <c r="K372" i="1" s="1"/>
  <c r="J373" i="1"/>
  <c r="K373" i="1" s="1"/>
  <c r="J374" i="1"/>
  <c r="K374" i="1" s="1"/>
  <c r="J375" i="1"/>
  <c r="K375" i="1" s="1"/>
  <c r="J376" i="1"/>
  <c r="K376" i="1" s="1"/>
  <c r="J377" i="1"/>
  <c r="K377" i="1" s="1"/>
  <c r="J378" i="1"/>
  <c r="K378" i="1" s="1"/>
  <c r="J379" i="1"/>
  <c r="K379" i="1" s="1"/>
  <c r="J380" i="1"/>
  <c r="K380" i="1" s="1"/>
  <c r="J381" i="1"/>
  <c r="K381" i="1" s="1"/>
  <c r="J382" i="1"/>
  <c r="K382" i="1" s="1"/>
  <c r="J383" i="1"/>
  <c r="K383" i="1" s="1"/>
  <c r="J384" i="1"/>
  <c r="K384" i="1" s="1"/>
  <c r="J385" i="1"/>
  <c r="K385" i="1" s="1"/>
  <c r="J386" i="1"/>
  <c r="K386" i="1" s="1"/>
  <c r="J387" i="1"/>
  <c r="K387" i="1" s="1"/>
  <c r="J388" i="1"/>
  <c r="K388" i="1" s="1"/>
  <c r="J389" i="1"/>
  <c r="K389" i="1" s="1"/>
  <c r="J390" i="1"/>
  <c r="K390" i="1" s="1"/>
  <c r="J391" i="1"/>
  <c r="K391" i="1" s="1"/>
  <c r="J392" i="1"/>
  <c r="K392" i="1" s="1"/>
  <c r="J393" i="1"/>
  <c r="K393" i="1" s="1"/>
  <c r="J394" i="1"/>
  <c r="K394" i="1" s="1"/>
  <c r="J395" i="1"/>
  <c r="K395" i="1" s="1"/>
  <c r="J396" i="1"/>
  <c r="K396" i="1" s="1"/>
  <c r="J397" i="1"/>
  <c r="K397" i="1" s="1"/>
  <c r="J398" i="1"/>
  <c r="K398" i="1" s="1"/>
  <c r="J399" i="1"/>
  <c r="K399" i="1" s="1"/>
  <c r="J400" i="1"/>
  <c r="K400" i="1" s="1"/>
  <c r="J401" i="1"/>
  <c r="K401" i="1" s="1"/>
  <c r="J402" i="1"/>
  <c r="K402" i="1" s="1"/>
  <c r="J403" i="1"/>
  <c r="K403" i="1" s="1"/>
  <c r="J404" i="1"/>
  <c r="K404" i="1" s="1"/>
  <c r="J405" i="1"/>
  <c r="K405" i="1" s="1"/>
  <c r="J406" i="1"/>
  <c r="K406" i="1" s="1"/>
  <c r="J407" i="1"/>
  <c r="K407" i="1" s="1"/>
  <c r="J408" i="1"/>
  <c r="K408" i="1" s="1"/>
  <c r="J409" i="1"/>
  <c r="K409" i="1" s="1"/>
  <c r="J410" i="1"/>
  <c r="K410" i="1" s="1"/>
  <c r="J411" i="1"/>
  <c r="K411" i="1" s="1"/>
  <c r="J412" i="1"/>
  <c r="K412" i="1" s="1"/>
  <c r="J413" i="1"/>
  <c r="K413" i="1" s="1"/>
  <c r="J414" i="1"/>
  <c r="K414" i="1" s="1"/>
  <c r="J415" i="1"/>
  <c r="K415" i="1" s="1"/>
  <c r="J416" i="1"/>
  <c r="K416" i="1" s="1"/>
  <c r="J417" i="1"/>
  <c r="K417" i="1" s="1"/>
  <c r="J418" i="1"/>
  <c r="K418" i="1" s="1"/>
  <c r="J419" i="1"/>
  <c r="K419" i="1" s="1"/>
  <c r="J420" i="1"/>
  <c r="K420" i="1" s="1"/>
  <c r="J421" i="1"/>
  <c r="K421" i="1" s="1"/>
  <c r="J422" i="1"/>
  <c r="K422" i="1" s="1"/>
  <c r="J423" i="1"/>
  <c r="K423" i="1" s="1"/>
  <c r="J424" i="1"/>
  <c r="K424" i="1" s="1"/>
  <c r="J425" i="1"/>
  <c r="K425" i="1" s="1"/>
  <c r="J426" i="1"/>
  <c r="K426" i="1" s="1"/>
  <c r="J427" i="1"/>
  <c r="K427" i="1" s="1"/>
  <c r="J428" i="1"/>
  <c r="K428" i="1" s="1"/>
  <c r="J429" i="1"/>
  <c r="K429" i="1" s="1"/>
  <c r="J430" i="1"/>
  <c r="K430" i="1" s="1"/>
  <c r="J431" i="1"/>
  <c r="K431" i="1" s="1"/>
  <c r="J432" i="1"/>
  <c r="K432" i="1" s="1"/>
  <c r="J433" i="1"/>
  <c r="K433" i="1" s="1"/>
  <c r="J434" i="1"/>
  <c r="K434" i="1" s="1"/>
  <c r="J435" i="1"/>
  <c r="K435" i="1" s="1"/>
  <c r="J436" i="1"/>
  <c r="K436" i="1" s="1"/>
  <c r="J437" i="1"/>
  <c r="K437" i="1" s="1"/>
  <c r="J438" i="1"/>
  <c r="K438" i="1" s="1"/>
  <c r="J439" i="1"/>
  <c r="K439" i="1" s="1"/>
  <c r="J440" i="1"/>
  <c r="K440" i="1" s="1"/>
  <c r="J441" i="1"/>
  <c r="K441" i="1" s="1"/>
  <c r="J442" i="1"/>
  <c r="K442" i="1" s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J449" i="1"/>
  <c r="K449" i="1" s="1"/>
  <c r="J450" i="1"/>
  <c r="K450" i="1" s="1"/>
  <c r="J451" i="1"/>
  <c r="K451" i="1" s="1"/>
  <c r="J452" i="1"/>
  <c r="K452" i="1" s="1"/>
  <c r="J453" i="1"/>
  <c r="K453" i="1" s="1"/>
  <c r="J454" i="1"/>
  <c r="K454" i="1" s="1"/>
  <c r="J455" i="1"/>
  <c r="K455" i="1" s="1"/>
  <c r="J456" i="1"/>
  <c r="K456" i="1" s="1"/>
  <c r="J457" i="1"/>
  <c r="K457" i="1" s="1"/>
  <c r="J458" i="1"/>
  <c r="K458" i="1" s="1"/>
  <c r="J459" i="1"/>
  <c r="K459" i="1" s="1"/>
  <c r="J460" i="1"/>
  <c r="K460" i="1" s="1"/>
  <c r="J461" i="1"/>
  <c r="K461" i="1" s="1"/>
  <c r="J462" i="1"/>
  <c r="K462" i="1" s="1"/>
  <c r="J463" i="1"/>
  <c r="K463" i="1" s="1"/>
  <c r="J464" i="1"/>
  <c r="K464" i="1" s="1"/>
  <c r="J465" i="1"/>
  <c r="K465" i="1" s="1"/>
  <c r="J466" i="1"/>
  <c r="K466" i="1" s="1"/>
  <c r="J467" i="1"/>
  <c r="K467" i="1" s="1"/>
  <c r="J468" i="1"/>
  <c r="K468" i="1" s="1"/>
  <c r="J469" i="1"/>
  <c r="K469" i="1" s="1"/>
  <c r="J470" i="1"/>
  <c r="K470" i="1" s="1"/>
  <c r="J471" i="1"/>
  <c r="K471" i="1" s="1"/>
  <c r="J472" i="1"/>
  <c r="K472" i="1" s="1"/>
  <c r="J473" i="1"/>
  <c r="K473" i="1" s="1"/>
  <c r="J474" i="1"/>
  <c r="K474" i="1" s="1"/>
  <c r="J475" i="1"/>
  <c r="K475" i="1" s="1"/>
  <c r="J476" i="1"/>
  <c r="K476" i="1" s="1"/>
  <c r="J477" i="1"/>
  <c r="K477" i="1" s="1"/>
  <c r="J478" i="1"/>
  <c r="K478" i="1" s="1"/>
  <c r="J479" i="1"/>
  <c r="K479" i="1" s="1"/>
  <c r="J480" i="1"/>
  <c r="K480" i="1" s="1"/>
  <c r="J481" i="1"/>
  <c r="K481" i="1" s="1"/>
  <c r="J482" i="1"/>
  <c r="K482" i="1" s="1"/>
  <c r="J483" i="1"/>
  <c r="K483" i="1" s="1"/>
  <c r="J484" i="1"/>
  <c r="K484" i="1" s="1"/>
  <c r="J485" i="1"/>
  <c r="K485" i="1" s="1"/>
  <c r="J486" i="1"/>
  <c r="K486" i="1" s="1"/>
  <c r="J487" i="1"/>
  <c r="K487" i="1" s="1"/>
  <c r="J488" i="1"/>
  <c r="K488" i="1" s="1"/>
  <c r="J489" i="1"/>
  <c r="K489" i="1" s="1"/>
  <c r="J490" i="1"/>
  <c r="K490" i="1" s="1"/>
  <c r="J491" i="1"/>
  <c r="K491" i="1" s="1"/>
  <c r="J492" i="1"/>
  <c r="K492" i="1" s="1"/>
  <c r="J493" i="1"/>
  <c r="K493" i="1" s="1"/>
  <c r="J494" i="1"/>
  <c r="K494" i="1" s="1"/>
  <c r="J495" i="1"/>
  <c r="K495" i="1" s="1"/>
  <c r="J496" i="1"/>
  <c r="K496" i="1" s="1"/>
  <c r="J497" i="1"/>
  <c r="K497" i="1" s="1"/>
  <c r="J498" i="1"/>
  <c r="K498" i="1" s="1"/>
  <c r="J499" i="1"/>
  <c r="K499" i="1" s="1"/>
  <c r="J500" i="1"/>
  <c r="K500" i="1" s="1"/>
  <c r="J501" i="1"/>
  <c r="K501" i="1" s="1"/>
  <c r="J502" i="1"/>
  <c r="K502" i="1" s="1"/>
  <c r="J503" i="1"/>
  <c r="K503" i="1" s="1"/>
  <c r="J504" i="1"/>
  <c r="K504" i="1" s="1"/>
  <c r="J505" i="1"/>
  <c r="K505" i="1" s="1"/>
  <c r="J506" i="1"/>
  <c r="K506" i="1" s="1"/>
  <c r="J507" i="1"/>
  <c r="K507" i="1" s="1"/>
  <c r="J508" i="1"/>
  <c r="K508" i="1" s="1"/>
  <c r="J509" i="1"/>
  <c r="K509" i="1" s="1"/>
  <c r="J510" i="1"/>
  <c r="K510" i="1" s="1"/>
  <c r="J511" i="1"/>
  <c r="K511" i="1" s="1"/>
  <c r="J512" i="1"/>
  <c r="K512" i="1" s="1"/>
  <c r="J513" i="1"/>
  <c r="K513" i="1" s="1"/>
  <c r="J514" i="1"/>
  <c r="K514" i="1" s="1"/>
  <c r="J515" i="1"/>
  <c r="K515" i="1" s="1"/>
  <c r="J516" i="1"/>
  <c r="K516" i="1" s="1"/>
  <c r="J517" i="1"/>
  <c r="K517" i="1" s="1"/>
  <c r="J518" i="1"/>
  <c r="K518" i="1" s="1"/>
  <c r="J519" i="1"/>
  <c r="K519" i="1" s="1"/>
  <c r="J520" i="1"/>
  <c r="K520" i="1" s="1"/>
  <c r="J521" i="1"/>
  <c r="K521" i="1" s="1"/>
  <c r="J522" i="1"/>
  <c r="K522" i="1" s="1"/>
  <c r="J523" i="1"/>
  <c r="K523" i="1" s="1"/>
  <c r="J524" i="1"/>
  <c r="K524" i="1" s="1"/>
  <c r="J525" i="1"/>
  <c r="K525" i="1" s="1"/>
  <c r="J526" i="1"/>
  <c r="K526" i="1" s="1"/>
  <c r="J527" i="1"/>
  <c r="K527" i="1" s="1"/>
  <c r="J528" i="1"/>
  <c r="K528" i="1" s="1"/>
  <c r="J529" i="1"/>
  <c r="K529" i="1" s="1"/>
  <c r="J530" i="1"/>
  <c r="K530" i="1" s="1"/>
  <c r="J531" i="1"/>
  <c r="K531" i="1" s="1"/>
  <c r="J532" i="1"/>
  <c r="K532" i="1" s="1"/>
  <c r="J533" i="1"/>
  <c r="K533" i="1" s="1"/>
  <c r="J534" i="1"/>
  <c r="K534" i="1" s="1"/>
  <c r="J535" i="1"/>
  <c r="K535" i="1" s="1"/>
  <c r="J536" i="1"/>
  <c r="K536" i="1" s="1"/>
  <c r="J537" i="1"/>
  <c r="K537" i="1" s="1"/>
  <c r="J538" i="1"/>
  <c r="K538" i="1" s="1"/>
  <c r="J539" i="1"/>
  <c r="K539" i="1" s="1"/>
  <c r="J540" i="1"/>
  <c r="K540" i="1" s="1"/>
  <c r="J541" i="1"/>
  <c r="K541" i="1" s="1"/>
  <c r="J542" i="1"/>
  <c r="K542" i="1" s="1"/>
  <c r="J543" i="1"/>
  <c r="K543" i="1" s="1"/>
  <c r="J544" i="1"/>
  <c r="K544" i="1" s="1"/>
  <c r="J545" i="1"/>
  <c r="K545" i="1" s="1"/>
  <c r="J546" i="1"/>
  <c r="K546" i="1" s="1"/>
  <c r="J547" i="1"/>
  <c r="K547" i="1" s="1"/>
  <c r="J548" i="1"/>
  <c r="K548" i="1" s="1"/>
  <c r="J549" i="1"/>
  <c r="K549" i="1" s="1"/>
  <c r="J550" i="1"/>
  <c r="K550" i="1" s="1"/>
  <c r="J551" i="1"/>
  <c r="K551" i="1" s="1"/>
  <c r="J552" i="1"/>
  <c r="K552" i="1" s="1"/>
  <c r="J553" i="1"/>
  <c r="K553" i="1" s="1"/>
  <c r="J554" i="1"/>
  <c r="K554" i="1" s="1"/>
  <c r="J555" i="1"/>
  <c r="K555" i="1" s="1"/>
  <c r="J556" i="1"/>
  <c r="K556" i="1" s="1"/>
  <c r="J557" i="1"/>
  <c r="K557" i="1" s="1"/>
  <c r="J558" i="1"/>
  <c r="K558" i="1" s="1"/>
  <c r="J559" i="1"/>
  <c r="K559" i="1" s="1"/>
  <c r="J560" i="1"/>
  <c r="K560" i="1" s="1"/>
  <c r="J561" i="1"/>
  <c r="K561" i="1" s="1"/>
  <c r="J562" i="1"/>
  <c r="K562" i="1" s="1"/>
  <c r="J563" i="1"/>
  <c r="K563" i="1" s="1"/>
  <c r="J564" i="1"/>
  <c r="K564" i="1" s="1"/>
  <c r="J565" i="1"/>
  <c r="K565" i="1" s="1"/>
  <c r="J566" i="1"/>
  <c r="K566" i="1" s="1"/>
  <c r="J567" i="1"/>
  <c r="K567" i="1" s="1"/>
  <c r="J568" i="1"/>
  <c r="K568" i="1" s="1"/>
  <c r="J569" i="1"/>
  <c r="K569" i="1" s="1"/>
  <c r="J570" i="1"/>
  <c r="K570" i="1" s="1"/>
  <c r="J571" i="1"/>
  <c r="K571" i="1" s="1"/>
  <c r="J572" i="1"/>
  <c r="K572" i="1" s="1"/>
  <c r="J573" i="1"/>
  <c r="K573" i="1" s="1"/>
  <c r="J574" i="1"/>
  <c r="K574" i="1" s="1"/>
  <c r="J575" i="1"/>
  <c r="K575" i="1" s="1"/>
  <c r="J576" i="1"/>
  <c r="K576" i="1" s="1"/>
  <c r="J577" i="1"/>
  <c r="K577" i="1" s="1"/>
  <c r="J578" i="1"/>
  <c r="K578" i="1" s="1"/>
  <c r="J579" i="1"/>
  <c r="K579" i="1" s="1"/>
  <c r="J580" i="1"/>
  <c r="K580" i="1" s="1"/>
  <c r="J581" i="1"/>
  <c r="K581" i="1" s="1"/>
  <c r="J582" i="1"/>
  <c r="K582" i="1" s="1"/>
  <c r="J583" i="1"/>
  <c r="K583" i="1" s="1"/>
  <c r="J584" i="1"/>
  <c r="K584" i="1" s="1"/>
  <c r="J585" i="1"/>
  <c r="K585" i="1" s="1"/>
  <c r="J586" i="1"/>
  <c r="K586" i="1" s="1"/>
  <c r="J587" i="1"/>
  <c r="K587" i="1" s="1"/>
  <c r="J588" i="1"/>
  <c r="K588" i="1" s="1"/>
  <c r="J589" i="1"/>
  <c r="K589" i="1" s="1"/>
  <c r="J590" i="1"/>
  <c r="K590" i="1" s="1"/>
  <c r="J591" i="1"/>
  <c r="K591" i="1" s="1"/>
  <c r="J592" i="1"/>
  <c r="K592" i="1" s="1"/>
  <c r="J593" i="1"/>
  <c r="K593" i="1" s="1"/>
  <c r="J594" i="1"/>
  <c r="K594" i="1" s="1"/>
  <c r="J595" i="1"/>
  <c r="K595" i="1" s="1"/>
  <c r="J596" i="1"/>
  <c r="K596" i="1" s="1"/>
  <c r="J597" i="1"/>
  <c r="K597" i="1" s="1"/>
  <c r="J598" i="1"/>
  <c r="K598" i="1" s="1"/>
  <c r="J599" i="1"/>
  <c r="K599" i="1" s="1"/>
  <c r="J600" i="1"/>
  <c r="K600" i="1" s="1"/>
  <c r="J601" i="1"/>
  <c r="K601" i="1" s="1"/>
  <c r="J602" i="1"/>
  <c r="K602" i="1" s="1"/>
  <c r="J603" i="1"/>
  <c r="K603" i="1" s="1"/>
  <c r="J604" i="1"/>
  <c r="K604" i="1" s="1"/>
  <c r="J605" i="1"/>
  <c r="K605" i="1" s="1"/>
  <c r="J606" i="1"/>
  <c r="K606" i="1" s="1"/>
  <c r="J607" i="1"/>
  <c r="K607" i="1" s="1"/>
  <c r="J608" i="1"/>
  <c r="K608" i="1" s="1"/>
  <c r="J609" i="1"/>
  <c r="K609" i="1" s="1"/>
  <c r="J610" i="1"/>
  <c r="K610" i="1" s="1"/>
  <c r="J611" i="1"/>
  <c r="K611" i="1" s="1"/>
  <c r="J612" i="1"/>
  <c r="K612" i="1" s="1"/>
  <c r="J613" i="1"/>
  <c r="K613" i="1" s="1"/>
  <c r="J614" i="1"/>
  <c r="K614" i="1" s="1"/>
  <c r="J615" i="1"/>
  <c r="K615" i="1" s="1"/>
  <c r="J616" i="1"/>
  <c r="K616" i="1" s="1"/>
  <c r="J617" i="1"/>
  <c r="K617" i="1" s="1"/>
  <c r="J618" i="1"/>
  <c r="K618" i="1" s="1"/>
  <c r="J619" i="1"/>
  <c r="K619" i="1" s="1"/>
  <c r="J620" i="1"/>
  <c r="K620" i="1" s="1"/>
  <c r="J621" i="1"/>
  <c r="K621" i="1" s="1"/>
  <c r="J622" i="1"/>
  <c r="K622" i="1" s="1"/>
  <c r="J623" i="1"/>
  <c r="K623" i="1" s="1"/>
  <c r="J624" i="1"/>
  <c r="K624" i="1" s="1"/>
  <c r="J625" i="1"/>
  <c r="K625" i="1" s="1"/>
  <c r="J626" i="1"/>
  <c r="K626" i="1" s="1"/>
  <c r="J627" i="1"/>
  <c r="K627" i="1" s="1"/>
  <c r="J628" i="1"/>
  <c r="K628" i="1" s="1"/>
  <c r="J629" i="1"/>
  <c r="K629" i="1" s="1"/>
  <c r="J630" i="1"/>
  <c r="K630" i="1" s="1"/>
  <c r="J631" i="1"/>
  <c r="K631" i="1" s="1"/>
  <c r="J632" i="1"/>
  <c r="K632" i="1" s="1"/>
  <c r="J633" i="1"/>
  <c r="K633" i="1" s="1"/>
  <c r="J634" i="1"/>
  <c r="K634" i="1" s="1"/>
  <c r="J635" i="1"/>
  <c r="K635" i="1" s="1"/>
  <c r="J636" i="1"/>
  <c r="K636" i="1" s="1"/>
  <c r="J637" i="1"/>
  <c r="K637" i="1" s="1"/>
  <c r="J638" i="1"/>
  <c r="K638" i="1" s="1"/>
  <c r="J639" i="1"/>
  <c r="K639" i="1" s="1"/>
  <c r="J640" i="1"/>
  <c r="K640" i="1" s="1"/>
  <c r="J641" i="1"/>
  <c r="K641" i="1" s="1"/>
  <c r="J642" i="1"/>
  <c r="K642" i="1" s="1"/>
  <c r="J643" i="1"/>
  <c r="K643" i="1" s="1"/>
  <c r="J644" i="1"/>
  <c r="K644" i="1" s="1"/>
  <c r="J645" i="1"/>
  <c r="K645" i="1" s="1"/>
  <c r="J646" i="1"/>
  <c r="K646" i="1" s="1"/>
  <c r="J647" i="1"/>
  <c r="K647" i="1" s="1"/>
  <c r="J648" i="1"/>
  <c r="K648" i="1" s="1"/>
  <c r="J649" i="1"/>
  <c r="K649" i="1" s="1"/>
  <c r="J650" i="1"/>
  <c r="K650" i="1" s="1"/>
  <c r="J651" i="1"/>
  <c r="K651" i="1" s="1"/>
  <c r="J652" i="1"/>
  <c r="K652" i="1" s="1"/>
  <c r="J653" i="1"/>
  <c r="K653" i="1" s="1"/>
  <c r="J654" i="1"/>
  <c r="K654" i="1" s="1"/>
  <c r="J655" i="1"/>
  <c r="K655" i="1" s="1"/>
  <c r="J656" i="1"/>
  <c r="K656" i="1" s="1"/>
  <c r="J657" i="1"/>
  <c r="K657" i="1" s="1"/>
  <c r="J658" i="1"/>
  <c r="K658" i="1" s="1"/>
  <c r="J659" i="1"/>
  <c r="K659" i="1" s="1"/>
  <c r="J660" i="1"/>
  <c r="K660" i="1" s="1"/>
  <c r="J661" i="1"/>
  <c r="K661" i="1" s="1"/>
  <c r="J662" i="1"/>
  <c r="K662" i="1" s="1"/>
  <c r="J663" i="1"/>
  <c r="K663" i="1" s="1"/>
  <c r="J664" i="1"/>
  <c r="K664" i="1" s="1"/>
  <c r="J665" i="1"/>
  <c r="K665" i="1" s="1"/>
  <c r="J666" i="1"/>
  <c r="K666" i="1" s="1"/>
  <c r="J667" i="1"/>
  <c r="K667" i="1" s="1"/>
  <c r="J668" i="1"/>
  <c r="K668" i="1" s="1"/>
  <c r="J669" i="1"/>
  <c r="K669" i="1" s="1"/>
  <c r="J670" i="1"/>
  <c r="K670" i="1" s="1"/>
  <c r="J671" i="1"/>
  <c r="K671" i="1" s="1"/>
  <c r="J672" i="1"/>
  <c r="K672" i="1" s="1"/>
  <c r="J673" i="1"/>
  <c r="K673" i="1" s="1"/>
  <c r="J674" i="1"/>
  <c r="K674" i="1" s="1"/>
  <c r="J675" i="1"/>
  <c r="K675" i="1" s="1"/>
  <c r="J676" i="1"/>
  <c r="K676" i="1" s="1"/>
  <c r="J677" i="1"/>
  <c r="K677" i="1" s="1"/>
  <c r="J678" i="1"/>
  <c r="K678" i="1" s="1"/>
  <c r="J679" i="1"/>
  <c r="K679" i="1" s="1"/>
  <c r="J680" i="1"/>
  <c r="K680" i="1" s="1"/>
  <c r="J681" i="1"/>
  <c r="K681" i="1" s="1"/>
  <c r="J682" i="1"/>
  <c r="K682" i="1" s="1"/>
  <c r="J683" i="1"/>
  <c r="K683" i="1" s="1"/>
  <c r="J684" i="1"/>
  <c r="K684" i="1" s="1"/>
  <c r="J685" i="1"/>
  <c r="K685" i="1" s="1"/>
  <c r="J686" i="1"/>
  <c r="K686" i="1" s="1"/>
  <c r="J687" i="1"/>
  <c r="K687" i="1" s="1"/>
  <c r="J688" i="1"/>
  <c r="K688" i="1" s="1"/>
  <c r="J689" i="1"/>
  <c r="K689" i="1" s="1"/>
  <c r="J690" i="1"/>
  <c r="K690" i="1" s="1"/>
  <c r="J691" i="1"/>
  <c r="K691" i="1" s="1"/>
  <c r="J692" i="1"/>
  <c r="K692" i="1" s="1"/>
  <c r="J693" i="1"/>
  <c r="K693" i="1" s="1"/>
  <c r="J694" i="1"/>
  <c r="K694" i="1" s="1"/>
  <c r="J695" i="1"/>
  <c r="K695" i="1" s="1"/>
  <c r="J696" i="1"/>
  <c r="K696" i="1" s="1"/>
  <c r="J697" i="1"/>
  <c r="K697" i="1" s="1"/>
  <c r="J698" i="1"/>
  <c r="K698" i="1" s="1"/>
  <c r="J699" i="1"/>
  <c r="K699" i="1" s="1"/>
  <c r="J700" i="1"/>
  <c r="K700" i="1" s="1"/>
  <c r="J701" i="1"/>
  <c r="K701" i="1" s="1"/>
  <c r="J702" i="1"/>
  <c r="K702" i="1" s="1"/>
  <c r="J703" i="1"/>
  <c r="K703" i="1" s="1"/>
  <c r="J704" i="1"/>
  <c r="K704" i="1" s="1"/>
  <c r="J705" i="1"/>
  <c r="K705" i="1" s="1"/>
  <c r="J706" i="1"/>
  <c r="K706" i="1" s="1"/>
  <c r="J707" i="1"/>
  <c r="K707" i="1" s="1"/>
  <c r="J708" i="1"/>
  <c r="K708" i="1" s="1"/>
  <c r="J709" i="1"/>
  <c r="K709" i="1" s="1"/>
  <c r="J710" i="1"/>
  <c r="K710" i="1" s="1"/>
  <c r="J711" i="1"/>
  <c r="K711" i="1" s="1"/>
  <c r="J712" i="1"/>
  <c r="K712" i="1" s="1"/>
  <c r="J713" i="1"/>
  <c r="K713" i="1" s="1"/>
  <c r="J714" i="1"/>
  <c r="K714" i="1" s="1"/>
  <c r="J715" i="1"/>
  <c r="K715" i="1" s="1"/>
  <c r="J716" i="1"/>
  <c r="K716" i="1" s="1"/>
  <c r="J717" i="1"/>
  <c r="K717" i="1" s="1"/>
  <c r="J718" i="1"/>
  <c r="K718" i="1" s="1"/>
  <c r="J719" i="1"/>
  <c r="K719" i="1" s="1"/>
  <c r="J720" i="1"/>
  <c r="K720" i="1" s="1"/>
  <c r="J721" i="1"/>
  <c r="K721" i="1" s="1"/>
  <c r="J722" i="1"/>
  <c r="K722" i="1" s="1"/>
  <c r="J723" i="1"/>
  <c r="K723" i="1" s="1"/>
  <c r="J724" i="1"/>
  <c r="K724" i="1" s="1"/>
  <c r="J725" i="1"/>
  <c r="K725" i="1" s="1"/>
  <c r="J726" i="1"/>
  <c r="K726" i="1" s="1"/>
  <c r="J727" i="1"/>
  <c r="K727" i="1" s="1"/>
  <c r="J728" i="1"/>
  <c r="K728" i="1" s="1"/>
  <c r="J729" i="1"/>
  <c r="K729" i="1" s="1"/>
  <c r="J730" i="1"/>
  <c r="K730" i="1" s="1"/>
  <c r="J731" i="1"/>
  <c r="K731" i="1" s="1"/>
  <c r="J732" i="1"/>
  <c r="K732" i="1" s="1"/>
  <c r="J733" i="1"/>
  <c r="K733" i="1" s="1"/>
  <c r="J734" i="1"/>
  <c r="K734" i="1" s="1"/>
  <c r="J735" i="1"/>
  <c r="K735" i="1" s="1"/>
  <c r="J736" i="1"/>
  <c r="K736" i="1" s="1"/>
  <c r="J737" i="1"/>
  <c r="K737" i="1" s="1"/>
  <c r="J738" i="1"/>
  <c r="K738" i="1" s="1"/>
  <c r="J739" i="1"/>
  <c r="K739" i="1" s="1"/>
  <c r="J740" i="1"/>
  <c r="K740" i="1" s="1"/>
  <c r="J741" i="1"/>
  <c r="K741" i="1" s="1"/>
  <c r="J742" i="1"/>
  <c r="K742" i="1" s="1"/>
  <c r="J743" i="1"/>
  <c r="K743" i="1" s="1"/>
  <c r="J744" i="1"/>
  <c r="K744" i="1" s="1"/>
  <c r="J745" i="1"/>
  <c r="K745" i="1" s="1"/>
  <c r="J746" i="1"/>
  <c r="K746" i="1" s="1"/>
  <c r="J747" i="1"/>
  <c r="K747" i="1" s="1"/>
  <c r="J748" i="1"/>
  <c r="K748" i="1" s="1"/>
  <c r="J749" i="1"/>
  <c r="K749" i="1" s="1"/>
  <c r="J750" i="1"/>
  <c r="K750" i="1" s="1"/>
  <c r="J751" i="1"/>
  <c r="K751" i="1" s="1"/>
  <c r="J752" i="1"/>
  <c r="K752" i="1" s="1"/>
  <c r="J753" i="1"/>
  <c r="K753" i="1" s="1"/>
  <c r="J754" i="1"/>
  <c r="K754" i="1" s="1"/>
  <c r="J755" i="1"/>
  <c r="K755" i="1" s="1"/>
  <c r="J756" i="1"/>
  <c r="K756" i="1" s="1"/>
  <c r="J757" i="1"/>
  <c r="K757" i="1" s="1"/>
  <c r="J758" i="1"/>
  <c r="K758" i="1" s="1"/>
  <c r="J759" i="1"/>
  <c r="K759" i="1" s="1"/>
  <c r="J760" i="1"/>
  <c r="K760" i="1" s="1"/>
  <c r="J761" i="1"/>
  <c r="K761" i="1" s="1"/>
  <c r="J762" i="1"/>
  <c r="K762" i="1" s="1"/>
  <c r="J763" i="1"/>
  <c r="K763" i="1" s="1"/>
  <c r="J764" i="1"/>
  <c r="K764" i="1" s="1"/>
  <c r="J765" i="1"/>
  <c r="K765" i="1" s="1"/>
  <c r="J766" i="1"/>
  <c r="K766" i="1" s="1"/>
  <c r="J767" i="1"/>
  <c r="K767" i="1" s="1"/>
  <c r="J768" i="1"/>
  <c r="K768" i="1" s="1"/>
  <c r="J769" i="1"/>
  <c r="K769" i="1" s="1"/>
  <c r="J770" i="1"/>
  <c r="K770" i="1" s="1"/>
  <c r="J771" i="1"/>
  <c r="K771" i="1" s="1"/>
  <c r="J772" i="1"/>
  <c r="K772" i="1" s="1"/>
  <c r="J773" i="1"/>
  <c r="K773" i="1" s="1"/>
  <c r="J774" i="1"/>
  <c r="K774" i="1" s="1"/>
  <c r="J775" i="1"/>
  <c r="K775" i="1" s="1"/>
  <c r="J776" i="1"/>
  <c r="K776" i="1" s="1"/>
  <c r="J777" i="1"/>
  <c r="K777" i="1" s="1"/>
  <c r="J778" i="1"/>
  <c r="K778" i="1" s="1"/>
  <c r="J779" i="1"/>
  <c r="K779" i="1" s="1"/>
  <c r="J780" i="1"/>
  <c r="K780" i="1" s="1"/>
  <c r="J781" i="1"/>
  <c r="K781" i="1" s="1"/>
  <c r="J782" i="1"/>
  <c r="K782" i="1" s="1"/>
  <c r="J783" i="1"/>
  <c r="K783" i="1" s="1"/>
  <c r="J784" i="1"/>
  <c r="K784" i="1" s="1"/>
  <c r="J785" i="1"/>
  <c r="K785" i="1" s="1"/>
  <c r="J786" i="1"/>
  <c r="K786" i="1" s="1"/>
  <c r="J787" i="1"/>
  <c r="K787" i="1" s="1"/>
  <c r="J788" i="1"/>
  <c r="K788" i="1" s="1"/>
  <c r="J789" i="1"/>
  <c r="K789" i="1" s="1"/>
  <c r="J790" i="1"/>
  <c r="K790" i="1" s="1"/>
  <c r="J791" i="1"/>
  <c r="K791" i="1" s="1"/>
  <c r="J792" i="1"/>
  <c r="K792" i="1" s="1"/>
  <c r="J793" i="1"/>
  <c r="K793" i="1" s="1"/>
  <c r="J794" i="1"/>
  <c r="K794" i="1" s="1"/>
  <c r="J795" i="1"/>
  <c r="K795" i="1" s="1"/>
  <c r="J796" i="1"/>
  <c r="K796" i="1" s="1"/>
  <c r="J797" i="1"/>
  <c r="K797" i="1" s="1"/>
  <c r="J798" i="1"/>
  <c r="K798" i="1" s="1"/>
  <c r="J799" i="1"/>
  <c r="K799" i="1" s="1"/>
  <c r="J800" i="1"/>
  <c r="K800" i="1" s="1"/>
  <c r="J801" i="1"/>
  <c r="K801" i="1" s="1"/>
  <c r="J802" i="1"/>
  <c r="K802" i="1" s="1"/>
  <c r="J803" i="1"/>
  <c r="K803" i="1" s="1"/>
  <c r="J804" i="1"/>
  <c r="K804" i="1" s="1"/>
  <c r="J805" i="1"/>
  <c r="K805" i="1" s="1"/>
  <c r="J806" i="1"/>
  <c r="K806" i="1" s="1"/>
  <c r="J807" i="1"/>
  <c r="K807" i="1" s="1"/>
  <c r="J808" i="1"/>
  <c r="K808" i="1" s="1"/>
  <c r="J809" i="1"/>
  <c r="K809" i="1" s="1"/>
  <c r="J810" i="1"/>
  <c r="K810" i="1" s="1"/>
  <c r="J811" i="1"/>
  <c r="K811" i="1" s="1"/>
  <c r="J812" i="1"/>
  <c r="K812" i="1" s="1"/>
  <c r="J813" i="1"/>
  <c r="K813" i="1" s="1"/>
  <c r="J814" i="1"/>
  <c r="K814" i="1" s="1"/>
  <c r="J815" i="1"/>
  <c r="K815" i="1" s="1"/>
  <c r="J816" i="1"/>
  <c r="K816" i="1" s="1"/>
  <c r="J817" i="1"/>
  <c r="K817" i="1" s="1"/>
  <c r="J818" i="1"/>
  <c r="K818" i="1" s="1"/>
  <c r="J819" i="1"/>
  <c r="K819" i="1" s="1"/>
  <c r="J820" i="1"/>
  <c r="K820" i="1" s="1"/>
  <c r="J821" i="1"/>
  <c r="K821" i="1" s="1"/>
  <c r="J822" i="1"/>
  <c r="K822" i="1" s="1"/>
  <c r="J823" i="1"/>
  <c r="K823" i="1" s="1"/>
  <c r="J824" i="1"/>
  <c r="K824" i="1" s="1"/>
  <c r="J825" i="1"/>
  <c r="K825" i="1" s="1"/>
  <c r="J826" i="1"/>
  <c r="K826" i="1" s="1"/>
  <c r="J827" i="1"/>
  <c r="K827" i="1" s="1"/>
  <c r="J828" i="1"/>
  <c r="K828" i="1" s="1"/>
  <c r="J829" i="1"/>
  <c r="K829" i="1" s="1"/>
  <c r="J830" i="1"/>
  <c r="K830" i="1" s="1"/>
  <c r="J831" i="1"/>
  <c r="K831" i="1" s="1"/>
  <c r="J832" i="1"/>
  <c r="K832" i="1" s="1"/>
  <c r="J833" i="1"/>
  <c r="K833" i="1" s="1"/>
  <c r="J834" i="1"/>
  <c r="K834" i="1" s="1"/>
  <c r="J835" i="1"/>
  <c r="K835" i="1" s="1"/>
  <c r="J836" i="1"/>
  <c r="K836" i="1" s="1"/>
  <c r="J837" i="1"/>
  <c r="K837" i="1" s="1"/>
  <c r="J838" i="1"/>
  <c r="K838" i="1" s="1"/>
  <c r="J839" i="1"/>
  <c r="K839" i="1" s="1"/>
  <c r="J840" i="1"/>
  <c r="K840" i="1" s="1"/>
  <c r="J841" i="1"/>
  <c r="K841" i="1" s="1"/>
  <c r="J842" i="1"/>
  <c r="K842" i="1" s="1"/>
  <c r="J843" i="1"/>
  <c r="K843" i="1" s="1"/>
  <c r="J844" i="1"/>
  <c r="K844" i="1" s="1"/>
  <c r="J845" i="1"/>
  <c r="K845" i="1" s="1"/>
  <c r="J846" i="1"/>
  <c r="K846" i="1" s="1"/>
  <c r="J847" i="1"/>
  <c r="K847" i="1" s="1"/>
  <c r="J848" i="1"/>
  <c r="K848" i="1" s="1"/>
  <c r="J849" i="1"/>
  <c r="K849" i="1" s="1"/>
  <c r="J850" i="1"/>
  <c r="K850" i="1" s="1"/>
  <c r="J851" i="1"/>
  <c r="K851" i="1" s="1"/>
  <c r="J852" i="1"/>
  <c r="K852" i="1" s="1"/>
  <c r="J853" i="1"/>
  <c r="K853" i="1" s="1"/>
  <c r="J854" i="1"/>
  <c r="K854" i="1" s="1"/>
  <c r="J855" i="1"/>
  <c r="K855" i="1" s="1"/>
  <c r="J856" i="1"/>
  <c r="K856" i="1" s="1"/>
  <c r="J857" i="1"/>
  <c r="K857" i="1" s="1"/>
  <c r="J858" i="1"/>
  <c r="K858" i="1" s="1"/>
  <c r="J859" i="1"/>
  <c r="K859" i="1" s="1"/>
  <c r="J860" i="1"/>
  <c r="K860" i="1" s="1"/>
  <c r="J861" i="1"/>
  <c r="K861" i="1" s="1"/>
  <c r="J862" i="1"/>
  <c r="K862" i="1" s="1"/>
  <c r="J863" i="1"/>
  <c r="K863" i="1" s="1"/>
  <c r="J864" i="1"/>
  <c r="K864" i="1" s="1"/>
  <c r="J865" i="1"/>
  <c r="K865" i="1" s="1"/>
  <c r="J866" i="1"/>
  <c r="K866" i="1" s="1"/>
  <c r="J867" i="1"/>
  <c r="K867" i="1" s="1"/>
  <c r="J868" i="1"/>
  <c r="K868" i="1" s="1"/>
  <c r="J869" i="1"/>
  <c r="K869" i="1" s="1"/>
  <c r="J870" i="1"/>
  <c r="K870" i="1" s="1"/>
  <c r="J871" i="1"/>
  <c r="K871" i="1" s="1"/>
  <c r="J872" i="1"/>
  <c r="K872" i="1" s="1"/>
  <c r="J873" i="1"/>
  <c r="K873" i="1" s="1"/>
  <c r="J874" i="1"/>
  <c r="K874" i="1" s="1"/>
  <c r="J875" i="1"/>
  <c r="K875" i="1" s="1"/>
  <c r="J876" i="1"/>
  <c r="K876" i="1" s="1"/>
  <c r="J877" i="1"/>
  <c r="K877" i="1" s="1"/>
  <c r="J878" i="1"/>
  <c r="K878" i="1" s="1"/>
  <c r="J879" i="1"/>
  <c r="K879" i="1" s="1"/>
  <c r="J880" i="1"/>
  <c r="K880" i="1" s="1"/>
  <c r="J881" i="1"/>
  <c r="K881" i="1" s="1"/>
  <c r="J882" i="1"/>
  <c r="K882" i="1" s="1"/>
  <c r="J883" i="1"/>
  <c r="K883" i="1" s="1"/>
  <c r="J884" i="1"/>
  <c r="K884" i="1" s="1"/>
  <c r="J885" i="1"/>
  <c r="K885" i="1" s="1"/>
  <c r="J886" i="1"/>
  <c r="K886" i="1" s="1"/>
  <c r="J887" i="1"/>
  <c r="K887" i="1" s="1"/>
  <c r="J888" i="1"/>
  <c r="K888" i="1" s="1"/>
  <c r="J889" i="1"/>
  <c r="K889" i="1" s="1"/>
  <c r="J890" i="1"/>
  <c r="K890" i="1" s="1"/>
  <c r="J891" i="1"/>
  <c r="K891" i="1" s="1"/>
  <c r="J892" i="1"/>
  <c r="K892" i="1" s="1"/>
  <c r="J893" i="1"/>
  <c r="K893" i="1" s="1"/>
  <c r="J894" i="1"/>
  <c r="K894" i="1" s="1"/>
  <c r="J895" i="1"/>
  <c r="K895" i="1" s="1"/>
  <c r="J896" i="1"/>
  <c r="K896" i="1" s="1"/>
  <c r="J897" i="1"/>
  <c r="K897" i="1" s="1"/>
  <c r="J898" i="1"/>
  <c r="K898" i="1" s="1"/>
  <c r="J899" i="1"/>
  <c r="K899" i="1" s="1"/>
  <c r="J900" i="1"/>
  <c r="K900" i="1" s="1"/>
  <c r="J901" i="1"/>
  <c r="K901" i="1" s="1"/>
  <c r="J902" i="1"/>
  <c r="K902" i="1" s="1"/>
  <c r="J903" i="1"/>
  <c r="K903" i="1" s="1"/>
  <c r="J904" i="1"/>
  <c r="K904" i="1" s="1"/>
  <c r="J905" i="1"/>
  <c r="K905" i="1" s="1"/>
  <c r="J906" i="1"/>
  <c r="K906" i="1" s="1"/>
  <c r="J907" i="1"/>
  <c r="K907" i="1" s="1"/>
  <c r="J908" i="1"/>
  <c r="K908" i="1" s="1"/>
  <c r="J909" i="1"/>
  <c r="K909" i="1" s="1"/>
  <c r="J910" i="1"/>
  <c r="K910" i="1" s="1"/>
  <c r="J911" i="1"/>
  <c r="K911" i="1" s="1"/>
  <c r="J912" i="1"/>
  <c r="K912" i="1" s="1"/>
  <c r="J913" i="1"/>
  <c r="K913" i="1" s="1"/>
  <c r="J914" i="1"/>
  <c r="K914" i="1" s="1"/>
  <c r="J915" i="1"/>
  <c r="K915" i="1" s="1"/>
  <c r="J916" i="1"/>
  <c r="K916" i="1" s="1"/>
  <c r="J917" i="1"/>
  <c r="K917" i="1" s="1"/>
  <c r="J918" i="1"/>
  <c r="K918" i="1" s="1"/>
  <c r="J919" i="1"/>
  <c r="K919" i="1" s="1"/>
  <c r="J920" i="1"/>
  <c r="K920" i="1" s="1"/>
  <c r="J921" i="1"/>
  <c r="K921" i="1" s="1"/>
  <c r="J922" i="1"/>
  <c r="K922" i="1" s="1"/>
  <c r="J923" i="1"/>
  <c r="K923" i="1" s="1"/>
  <c r="J924" i="1"/>
  <c r="K924" i="1" s="1"/>
  <c r="J925" i="1"/>
  <c r="K925" i="1" s="1"/>
  <c r="J926" i="1"/>
  <c r="K926" i="1" s="1"/>
  <c r="J927" i="1"/>
  <c r="K927" i="1" s="1"/>
  <c r="J928" i="1"/>
  <c r="K928" i="1" s="1"/>
  <c r="J929" i="1"/>
  <c r="K929" i="1" s="1"/>
  <c r="J930" i="1"/>
  <c r="K930" i="1" s="1"/>
  <c r="J931" i="1"/>
  <c r="K931" i="1" s="1"/>
  <c r="J932" i="1"/>
  <c r="K932" i="1" s="1"/>
  <c r="J933" i="1"/>
  <c r="K933" i="1" s="1"/>
  <c r="J934" i="1"/>
  <c r="K934" i="1" s="1"/>
  <c r="J935" i="1"/>
  <c r="K935" i="1" s="1"/>
  <c r="J936" i="1"/>
  <c r="K936" i="1" s="1"/>
  <c r="J937" i="1"/>
  <c r="K937" i="1" s="1"/>
  <c r="J938" i="1"/>
  <c r="K938" i="1" s="1"/>
  <c r="J939" i="1"/>
  <c r="K939" i="1" s="1"/>
  <c r="J940" i="1"/>
  <c r="K940" i="1" s="1"/>
  <c r="J941" i="1"/>
  <c r="K941" i="1" s="1"/>
  <c r="J942" i="1"/>
  <c r="K942" i="1" s="1"/>
  <c r="J943" i="1"/>
  <c r="K943" i="1" s="1"/>
  <c r="J944" i="1"/>
  <c r="K944" i="1" s="1"/>
  <c r="J945" i="1"/>
  <c r="K945" i="1" s="1"/>
  <c r="J946" i="1"/>
  <c r="K946" i="1" s="1"/>
  <c r="J947" i="1"/>
  <c r="K947" i="1" s="1"/>
  <c r="J948" i="1"/>
  <c r="K948" i="1" s="1"/>
  <c r="J949" i="1"/>
  <c r="K949" i="1" s="1"/>
  <c r="J950" i="1"/>
  <c r="K950" i="1" s="1"/>
  <c r="J951" i="1"/>
  <c r="K951" i="1" s="1"/>
  <c r="J952" i="1"/>
  <c r="K952" i="1" s="1"/>
  <c r="J953" i="1"/>
  <c r="K953" i="1" s="1"/>
  <c r="J954" i="1"/>
  <c r="K954" i="1" s="1"/>
  <c r="J955" i="1"/>
  <c r="K955" i="1" s="1"/>
  <c r="J956" i="1"/>
  <c r="K956" i="1" s="1"/>
  <c r="J957" i="1"/>
  <c r="K957" i="1" s="1"/>
  <c r="J958" i="1"/>
  <c r="K958" i="1" s="1"/>
  <c r="J959" i="1"/>
  <c r="K959" i="1" s="1"/>
  <c r="J960" i="1"/>
  <c r="K960" i="1" s="1"/>
  <c r="J961" i="1"/>
  <c r="K961" i="1" s="1"/>
  <c r="J962" i="1"/>
  <c r="K962" i="1" s="1"/>
  <c r="J963" i="1"/>
  <c r="K963" i="1" s="1"/>
  <c r="J964" i="1"/>
  <c r="K964" i="1" s="1"/>
  <c r="J965" i="1"/>
  <c r="K965" i="1" s="1"/>
  <c r="J966" i="1"/>
  <c r="K966" i="1" s="1"/>
  <c r="J967" i="1"/>
  <c r="K967" i="1" s="1"/>
  <c r="J968" i="1"/>
  <c r="K968" i="1" s="1"/>
  <c r="J969" i="1"/>
  <c r="K969" i="1" s="1"/>
  <c r="J970" i="1"/>
  <c r="K970" i="1" s="1"/>
  <c r="J971" i="1"/>
  <c r="K971" i="1" s="1"/>
  <c r="J972" i="1"/>
  <c r="K972" i="1" s="1"/>
  <c r="J973" i="1"/>
  <c r="K973" i="1" s="1"/>
  <c r="J974" i="1"/>
  <c r="K974" i="1" s="1"/>
  <c r="J975" i="1"/>
  <c r="K975" i="1" s="1"/>
  <c r="J976" i="1"/>
  <c r="K976" i="1" s="1"/>
  <c r="J977" i="1"/>
  <c r="K977" i="1" s="1"/>
  <c r="J978" i="1"/>
  <c r="K978" i="1" s="1"/>
  <c r="J979" i="1"/>
  <c r="K979" i="1" s="1"/>
  <c r="J980" i="1"/>
  <c r="K980" i="1" s="1"/>
  <c r="J981" i="1"/>
  <c r="K981" i="1" s="1"/>
  <c r="J982" i="1"/>
  <c r="K982" i="1" s="1"/>
  <c r="J983" i="1"/>
  <c r="K983" i="1" s="1"/>
  <c r="J984" i="1"/>
  <c r="K984" i="1" s="1"/>
  <c r="J985" i="1"/>
  <c r="K985" i="1" s="1"/>
  <c r="J986" i="1"/>
  <c r="K986" i="1" s="1"/>
  <c r="J987" i="1"/>
  <c r="K987" i="1" s="1"/>
  <c r="J988" i="1"/>
  <c r="K988" i="1" s="1"/>
  <c r="J989" i="1"/>
  <c r="K989" i="1" s="1"/>
  <c r="J990" i="1"/>
  <c r="K990" i="1" s="1"/>
  <c r="J991" i="1"/>
  <c r="K991" i="1" s="1"/>
  <c r="J992" i="1"/>
  <c r="K992" i="1" s="1"/>
  <c r="J993" i="1"/>
  <c r="K993" i="1" s="1"/>
  <c r="J994" i="1"/>
  <c r="K994" i="1" s="1"/>
  <c r="J995" i="1"/>
  <c r="K995" i="1" s="1"/>
  <c r="J996" i="1"/>
  <c r="K996" i="1" s="1"/>
  <c r="J997" i="1"/>
  <c r="K997" i="1" s="1"/>
  <c r="J998" i="1"/>
  <c r="K998" i="1" s="1"/>
  <c r="J999" i="1"/>
  <c r="K999" i="1" s="1"/>
  <c r="J1000" i="1"/>
  <c r="K1000" i="1" s="1"/>
  <c r="J1001" i="1"/>
  <c r="K1001" i="1" s="1"/>
  <c r="J1002" i="1"/>
  <c r="K1002" i="1" s="1"/>
  <c r="J1003" i="1"/>
  <c r="K1003" i="1" s="1"/>
  <c r="J1004" i="1"/>
  <c r="K1004" i="1" s="1"/>
  <c r="J1005" i="1"/>
  <c r="K1005" i="1" s="1"/>
  <c r="J1006" i="1"/>
  <c r="K1006" i="1" s="1"/>
  <c r="J1007" i="1"/>
  <c r="K1007" i="1" s="1"/>
  <c r="J1008" i="1"/>
  <c r="K1008" i="1" s="1"/>
  <c r="J1009" i="1"/>
  <c r="K1009" i="1" s="1"/>
  <c r="J1010" i="1"/>
  <c r="K1010" i="1" s="1"/>
  <c r="J1011" i="1"/>
  <c r="K1011" i="1" s="1"/>
  <c r="J1012" i="1"/>
  <c r="K1012" i="1" s="1"/>
  <c r="J1013" i="1"/>
  <c r="K1013" i="1" s="1"/>
  <c r="J1014" i="1"/>
  <c r="K1014" i="1" s="1"/>
  <c r="J1015" i="1"/>
  <c r="K1015" i="1" s="1"/>
  <c r="J1016" i="1"/>
  <c r="K1016" i="1" s="1"/>
  <c r="J1017" i="1"/>
  <c r="K1017" i="1" s="1"/>
  <c r="J1018" i="1"/>
  <c r="K1018" i="1" s="1"/>
  <c r="J1019" i="1"/>
  <c r="K1019" i="1" s="1"/>
  <c r="J1020" i="1"/>
  <c r="K1020" i="1" s="1"/>
  <c r="J1021" i="1"/>
  <c r="K1021" i="1" s="1"/>
  <c r="J1022" i="1"/>
  <c r="K1022" i="1" s="1"/>
  <c r="J1023" i="1"/>
  <c r="K1023" i="1" s="1"/>
  <c r="J1024" i="1"/>
  <c r="K1024" i="1" s="1"/>
  <c r="J1025" i="1"/>
  <c r="K1025" i="1" s="1"/>
  <c r="J1026" i="1"/>
  <c r="K1026" i="1" s="1"/>
  <c r="J1027" i="1"/>
  <c r="K1027" i="1" s="1"/>
  <c r="J1028" i="1"/>
  <c r="K1028" i="1" s="1"/>
  <c r="J1029" i="1"/>
  <c r="K1029" i="1" s="1"/>
  <c r="J1030" i="1"/>
  <c r="K1030" i="1" s="1"/>
  <c r="J1031" i="1"/>
  <c r="K1031" i="1" s="1"/>
  <c r="J1032" i="1"/>
  <c r="K1032" i="1" s="1"/>
  <c r="J1033" i="1"/>
  <c r="K1033" i="1" s="1"/>
  <c r="J1034" i="1"/>
  <c r="K1034" i="1" s="1"/>
  <c r="J1035" i="1"/>
  <c r="K1035" i="1" s="1"/>
  <c r="J1036" i="1"/>
  <c r="K1036" i="1" s="1"/>
  <c r="J1037" i="1"/>
  <c r="K1037" i="1" s="1"/>
  <c r="J1038" i="1"/>
  <c r="K1038" i="1" s="1"/>
  <c r="J1039" i="1"/>
  <c r="K1039" i="1" s="1"/>
  <c r="J1040" i="1"/>
  <c r="K1040" i="1" s="1"/>
  <c r="J1041" i="1"/>
  <c r="K1041" i="1" s="1"/>
  <c r="J1042" i="1"/>
  <c r="K1042" i="1" s="1"/>
  <c r="J1043" i="1"/>
  <c r="K1043" i="1" s="1"/>
  <c r="J1044" i="1"/>
  <c r="K1044" i="1" s="1"/>
  <c r="J1045" i="1"/>
  <c r="K1045" i="1" s="1"/>
  <c r="J1046" i="1"/>
  <c r="K1046" i="1" s="1"/>
  <c r="J1047" i="1"/>
  <c r="K1047" i="1" s="1"/>
  <c r="J1048" i="1"/>
  <c r="K1048" i="1" s="1"/>
  <c r="J1049" i="1"/>
  <c r="K1049" i="1" s="1"/>
  <c r="J1050" i="1"/>
  <c r="K1050" i="1" s="1"/>
  <c r="J1051" i="1"/>
  <c r="K1051" i="1" s="1"/>
  <c r="J1052" i="1"/>
  <c r="K1052" i="1" s="1"/>
  <c r="J1053" i="1"/>
  <c r="K1053" i="1" s="1"/>
  <c r="J1054" i="1"/>
  <c r="K1054" i="1" s="1"/>
  <c r="J1055" i="1"/>
  <c r="K1055" i="1" s="1"/>
  <c r="J1056" i="1"/>
  <c r="K1056" i="1" s="1"/>
  <c r="J1057" i="1"/>
  <c r="K1057" i="1" s="1"/>
  <c r="J1058" i="1"/>
  <c r="K1058" i="1" s="1"/>
  <c r="J1059" i="1"/>
  <c r="K1059" i="1" s="1"/>
  <c r="J1060" i="1"/>
  <c r="K1060" i="1" s="1"/>
  <c r="J1061" i="1"/>
  <c r="K1061" i="1" s="1"/>
  <c r="J1062" i="1"/>
  <c r="K1062" i="1" s="1"/>
  <c r="J1063" i="1"/>
  <c r="K1063" i="1" s="1"/>
  <c r="J1064" i="1"/>
  <c r="K1064" i="1" s="1"/>
  <c r="J1065" i="1"/>
  <c r="K1065" i="1" s="1"/>
  <c r="J1066" i="1"/>
  <c r="K1066" i="1" s="1"/>
  <c r="J1067" i="1"/>
  <c r="K1067" i="1" s="1"/>
  <c r="J1068" i="1"/>
  <c r="K1068" i="1" s="1"/>
  <c r="J1069" i="1"/>
  <c r="K1069" i="1" s="1"/>
  <c r="J1070" i="1"/>
  <c r="K1070" i="1" s="1"/>
  <c r="J1071" i="1"/>
  <c r="K1071" i="1" s="1"/>
  <c r="J1072" i="1"/>
  <c r="K1072" i="1" s="1"/>
  <c r="J1073" i="1"/>
  <c r="K1073" i="1" s="1"/>
  <c r="J1074" i="1"/>
  <c r="K1074" i="1" s="1"/>
  <c r="J1075" i="1"/>
  <c r="K1075" i="1" s="1"/>
  <c r="J1076" i="1"/>
  <c r="K1076" i="1" s="1"/>
  <c r="J1077" i="1"/>
  <c r="K1077" i="1" s="1"/>
  <c r="J1078" i="1"/>
  <c r="K1078" i="1" s="1"/>
  <c r="J1079" i="1"/>
  <c r="K1079" i="1" s="1"/>
  <c r="J1080" i="1"/>
  <c r="K1080" i="1" s="1"/>
  <c r="J1081" i="1"/>
  <c r="K1081" i="1" s="1"/>
  <c r="J1082" i="1"/>
  <c r="K1082" i="1" s="1"/>
  <c r="J1083" i="1"/>
  <c r="K1083" i="1" s="1"/>
  <c r="J1084" i="1"/>
  <c r="K1084" i="1" s="1"/>
  <c r="J1085" i="1"/>
  <c r="K1085" i="1" s="1"/>
  <c r="J1086" i="1"/>
  <c r="K1086" i="1" s="1"/>
  <c r="J1087" i="1"/>
  <c r="K1087" i="1" s="1"/>
  <c r="J1088" i="1"/>
  <c r="K1088" i="1" s="1"/>
  <c r="J1089" i="1"/>
  <c r="K1089" i="1" s="1"/>
  <c r="J1090" i="1"/>
  <c r="K1090" i="1" s="1"/>
  <c r="J1091" i="1"/>
  <c r="K1091" i="1" s="1"/>
  <c r="J1092" i="1"/>
  <c r="K1092" i="1" s="1"/>
  <c r="J1093" i="1"/>
  <c r="K1093" i="1" s="1"/>
  <c r="J1094" i="1"/>
  <c r="K1094" i="1" s="1"/>
  <c r="J1095" i="1"/>
  <c r="K1095" i="1" s="1"/>
  <c r="J1096" i="1"/>
  <c r="K1096" i="1" s="1"/>
  <c r="J1097" i="1"/>
  <c r="K1097" i="1" s="1"/>
  <c r="J1098" i="1"/>
  <c r="K1098" i="1" s="1"/>
  <c r="J1099" i="1"/>
  <c r="K1099" i="1" s="1"/>
  <c r="J1100" i="1"/>
  <c r="K1100" i="1" s="1"/>
  <c r="J1101" i="1"/>
  <c r="K1101" i="1" s="1"/>
  <c r="J1102" i="1"/>
  <c r="K1102" i="1" s="1"/>
  <c r="J1103" i="1"/>
  <c r="K1103" i="1" s="1"/>
  <c r="J1104" i="1"/>
  <c r="K1104" i="1" s="1"/>
  <c r="J1105" i="1"/>
  <c r="K1105" i="1" s="1"/>
  <c r="J1106" i="1"/>
  <c r="K1106" i="1" s="1"/>
  <c r="J1107" i="1"/>
  <c r="K1107" i="1" s="1"/>
  <c r="J1108" i="1"/>
  <c r="K1108" i="1" s="1"/>
  <c r="J1109" i="1"/>
  <c r="K1109" i="1" s="1"/>
  <c r="J1110" i="1"/>
  <c r="K1110" i="1" s="1"/>
  <c r="J1111" i="1"/>
  <c r="K1111" i="1" s="1"/>
  <c r="J1112" i="1"/>
  <c r="K1112" i="1" s="1"/>
  <c r="J1113" i="1"/>
  <c r="K1113" i="1" s="1"/>
  <c r="J1114" i="1"/>
  <c r="K1114" i="1" s="1"/>
  <c r="J1115" i="1"/>
  <c r="K1115" i="1" s="1"/>
  <c r="J1116" i="1"/>
  <c r="K1116" i="1" s="1"/>
  <c r="J1117" i="1"/>
  <c r="K1117" i="1" s="1"/>
  <c r="J1118" i="1"/>
  <c r="K1118" i="1" s="1"/>
  <c r="J1119" i="1"/>
  <c r="K1119" i="1" s="1"/>
  <c r="J1120" i="1"/>
  <c r="K1120" i="1" s="1"/>
  <c r="J1121" i="1"/>
  <c r="K1121" i="1" s="1"/>
  <c r="J1122" i="1"/>
  <c r="K1122" i="1" s="1"/>
  <c r="J1123" i="1"/>
  <c r="K1123" i="1" s="1"/>
  <c r="J1124" i="1"/>
  <c r="K1124" i="1" s="1"/>
  <c r="J1125" i="1"/>
  <c r="K1125" i="1" s="1"/>
  <c r="J1126" i="1"/>
  <c r="K1126" i="1" s="1"/>
  <c r="J1127" i="1"/>
  <c r="K1127" i="1" s="1"/>
  <c r="J1128" i="1"/>
  <c r="K1128" i="1" s="1"/>
  <c r="J1129" i="1"/>
  <c r="K1129" i="1" s="1"/>
  <c r="J1130" i="1"/>
  <c r="K1130" i="1" s="1"/>
  <c r="J1131" i="1"/>
  <c r="K1131" i="1" s="1"/>
  <c r="J1132" i="1"/>
  <c r="K1132" i="1" s="1"/>
  <c r="J1133" i="1"/>
  <c r="K1133" i="1" s="1"/>
  <c r="J1134" i="1"/>
  <c r="K1134" i="1" s="1"/>
  <c r="J1135" i="1"/>
  <c r="K1135" i="1" s="1"/>
  <c r="J1136" i="1"/>
  <c r="K1136" i="1" s="1"/>
  <c r="J1137" i="1"/>
  <c r="K1137" i="1" s="1"/>
  <c r="J1138" i="1"/>
  <c r="K1138" i="1" s="1"/>
  <c r="J1139" i="1"/>
  <c r="K1139" i="1" s="1"/>
  <c r="J1140" i="1"/>
  <c r="K1140" i="1" s="1"/>
  <c r="J1141" i="1"/>
  <c r="K1141" i="1" s="1"/>
  <c r="J1142" i="1"/>
  <c r="K1142" i="1" s="1"/>
  <c r="J1143" i="1"/>
  <c r="K1143" i="1" s="1"/>
  <c r="J1144" i="1"/>
  <c r="K1144" i="1" s="1"/>
  <c r="J1145" i="1"/>
  <c r="K1145" i="1" s="1"/>
  <c r="J1146" i="1"/>
  <c r="K1146" i="1" s="1"/>
  <c r="J1147" i="1"/>
  <c r="K1147" i="1" s="1"/>
  <c r="J1148" i="1"/>
  <c r="K1148" i="1" s="1"/>
  <c r="J1149" i="1"/>
  <c r="K1149" i="1" s="1"/>
  <c r="J1150" i="1"/>
  <c r="K1150" i="1" s="1"/>
  <c r="J1151" i="1"/>
  <c r="K1151" i="1" s="1"/>
  <c r="J1152" i="1"/>
  <c r="K1152" i="1" s="1"/>
  <c r="J1153" i="1"/>
  <c r="K1153" i="1" s="1"/>
  <c r="J1154" i="1"/>
  <c r="K1154" i="1" s="1"/>
  <c r="J1155" i="1"/>
  <c r="K1155" i="1" s="1"/>
  <c r="J1156" i="1"/>
  <c r="K1156" i="1" s="1"/>
  <c r="J1157" i="1"/>
  <c r="K1157" i="1" s="1"/>
  <c r="J1158" i="1"/>
  <c r="K1158" i="1" s="1"/>
  <c r="J1159" i="1"/>
  <c r="K1159" i="1" s="1"/>
  <c r="J1160" i="1"/>
  <c r="K1160" i="1" s="1"/>
  <c r="J1161" i="1"/>
  <c r="K1161" i="1" s="1"/>
  <c r="J1162" i="1"/>
  <c r="K1162" i="1" s="1"/>
  <c r="J1163" i="1"/>
  <c r="K1163" i="1" s="1"/>
  <c r="J1164" i="1"/>
  <c r="K1164" i="1" s="1"/>
  <c r="J1165" i="1"/>
  <c r="K1165" i="1" s="1"/>
  <c r="J1166" i="1"/>
  <c r="K1166" i="1" s="1"/>
  <c r="J1167" i="1"/>
  <c r="K1167" i="1" s="1"/>
  <c r="J1168" i="1"/>
  <c r="K1168" i="1" s="1"/>
  <c r="J1169" i="1"/>
  <c r="K1169" i="1" s="1"/>
  <c r="J1170" i="1"/>
  <c r="K1170" i="1" s="1"/>
  <c r="J1171" i="1"/>
  <c r="K1171" i="1" s="1"/>
  <c r="J1172" i="1"/>
  <c r="K1172" i="1" s="1"/>
  <c r="J1173" i="1"/>
  <c r="K1173" i="1" s="1"/>
  <c r="J1174" i="1"/>
  <c r="K1174" i="1" s="1"/>
  <c r="J1175" i="1"/>
  <c r="K1175" i="1" s="1"/>
  <c r="J1176" i="1"/>
  <c r="K1176" i="1" s="1"/>
  <c r="J1177" i="1"/>
  <c r="K1177" i="1" s="1"/>
  <c r="J1178" i="1"/>
  <c r="K1178" i="1" s="1"/>
  <c r="J1179" i="1"/>
  <c r="K1179" i="1" s="1"/>
  <c r="J1180" i="1"/>
  <c r="K1180" i="1" s="1"/>
  <c r="J1181" i="1"/>
  <c r="K1181" i="1" s="1"/>
  <c r="J1182" i="1"/>
  <c r="K1182" i="1" s="1"/>
  <c r="J1183" i="1"/>
  <c r="K1183" i="1" s="1"/>
  <c r="J1184" i="1"/>
  <c r="K1184" i="1" s="1"/>
  <c r="J1185" i="1"/>
  <c r="K1185" i="1" s="1"/>
  <c r="J1186" i="1"/>
  <c r="K1186" i="1" s="1"/>
  <c r="J1187" i="1"/>
  <c r="K1187" i="1" s="1"/>
  <c r="J1188" i="1"/>
  <c r="K1188" i="1" s="1"/>
  <c r="J1189" i="1"/>
  <c r="K1189" i="1" s="1"/>
  <c r="J1190" i="1"/>
  <c r="K1190" i="1" s="1"/>
  <c r="J1191" i="1"/>
  <c r="K1191" i="1" s="1"/>
  <c r="J1192" i="1"/>
  <c r="K1192" i="1" s="1"/>
  <c r="J1193" i="1"/>
  <c r="K1193" i="1" s="1"/>
  <c r="J1194" i="1"/>
  <c r="K1194" i="1" s="1"/>
  <c r="J1195" i="1"/>
  <c r="K1195" i="1" s="1"/>
  <c r="J1196" i="1"/>
  <c r="K1196" i="1" s="1"/>
  <c r="J1197" i="1"/>
  <c r="K1197" i="1" s="1"/>
  <c r="J1198" i="1"/>
  <c r="K1198" i="1" s="1"/>
  <c r="J1199" i="1"/>
  <c r="K1199" i="1" s="1"/>
  <c r="J1200" i="1"/>
  <c r="K1200" i="1" s="1"/>
  <c r="J1201" i="1"/>
  <c r="K1201" i="1" s="1"/>
  <c r="J1202" i="1"/>
  <c r="K1202" i="1" s="1"/>
  <c r="J1203" i="1"/>
  <c r="K1203" i="1" s="1"/>
  <c r="J1204" i="1"/>
  <c r="K1204" i="1" s="1"/>
  <c r="J1205" i="1"/>
  <c r="K1205" i="1" s="1"/>
  <c r="J1206" i="1"/>
  <c r="K1206" i="1" s="1"/>
  <c r="J1207" i="1"/>
  <c r="K1207" i="1" s="1"/>
  <c r="J1208" i="1"/>
  <c r="K1208" i="1" s="1"/>
  <c r="J1209" i="1"/>
  <c r="K1209" i="1" s="1"/>
  <c r="J1210" i="1"/>
  <c r="K1210" i="1" s="1"/>
  <c r="J1211" i="1"/>
  <c r="K1211" i="1" s="1"/>
  <c r="J1212" i="1"/>
  <c r="K1212" i="1" s="1"/>
  <c r="J1213" i="1"/>
  <c r="K1213" i="1" s="1"/>
  <c r="J1214" i="1"/>
  <c r="K1214" i="1" s="1"/>
  <c r="J1215" i="1"/>
  <c r="K1215" i="1" s="1"/>
  <c r="J1216" i="1"/>
  <c r="K1216" i="1" s="1"/>
  <c r="J1217" i="1"/>
  <c r="K1217" i="1" s="1"/>
  <c r="J1218" i="1"/>
  <c r="K1218" i="1" s="1"/>
  <c r="J1219" i="1"/>
  <c r="K1219" i="1" s="1"/>
  <c r="J1220" i="1"/>
  <c r="K1220" i="1" s="1"/>
  <c r="J1221" i="1"/>
  <c r="K1221" i="1" s="1"/>
  <c r="J1222" i="1"/>
  <c r="K1222" i="1" s="1"/>
  <c r="J1223" i="1"/>
  <c r="K1223" i="1" s="1"/>
  <c r="J1224" i="1"/>
  <c r="K1224" i="1" s="1"/>
  <c r="J1225" i="1"/>
  <c r="K1225" i="1" s="1"/>
  <c r="J1226" i="1"/>
  <c r="K1226" i="1" s="1"/>
  <c r="J1227" i="1"/>
  <c r="K1227" i="1" s="1"/>
  <c r="J1228" i="1"/>
  <c r="K1228" i="1" s="1"/>
  <c r="J1229" i="1"/>
  <c r="K1229" i="1" s="1"/>
  <c r="J1230" i="1"/>
  <c r="K1230" i="1" s="1"/>
  <c r="J1231" i="1"/>
  <c r="K1231" i="1" s="1"/>
  <c r="J1232" i="1"/>
  <c r="K1232" i="1" s="1"/>
  <c r="J1233" i="1"/>
  <c r="K1233" i="1" s="1"/>
  <c r="J1234" i="1"/>
  <c r="K1234" i="1" s="1"/>
  <c r="J1235" i="1"/>
  <c r="K1235" i="1" s="1"/>
  <c r="J1236" i="1"/>
  <c r="K1236" i="1" s="1"/>
  <c r="J1237" i="1"/>
  <c r="K1237" i="1" s="1"/>
  <c r="J1238" i="1"/>
  <c r="K1238" i="1" s="1"/>
  <c r="J1239" i="1"/>
  <c r="K1239" i="1" s="1"/>
  <c r="J1240" i="1"/>
  <c r="K1240" i="1" s="1"/>
  <c r="J1241" i="1"/>
  <c r="K1241" i="1" s="1"/>
  <c r="J1242" i="1"/>
  <c r="K1242" i="1" s="1"/>
  <c r="J1243" i="1"/>
  <c r="K1243" i="1" s="1"/>
  <c r="J1244" i="1"/>
  <c r="K1244" i="1" s="1"/>
  <c r="J1245" i="1"/>
  <c r="K1245" i="1" s="1"/>
  <c r="J1246" i="1"/>
  <c r="K1246" i="1" s="1"/>
  <c r="J1247" i="1"/>
  <c r="K1247" i="1" s="1"/>
  <c r="J1248" i="1"/>
  <c r="K1248" i="1" s="1"/>
  <c r="J1249" i="1"/>
  <c r="K1249" i="1" s="1"/>
  <c r="J1250" i="1"/>
  <c r="K1250" i="1" s="1"/>
  <c r="J1251" i="1"/>
  <c r="K1251" i="1" s="1"/>
  <c r="J1252" i="1"/>
  <c r="K1252" i="1" s="1"/>
  <c r="J1253" i="1"/>
  <c r="K1253" i="1" s="1"/>
  <c r="J1254" i="1"/>
  <c r="K1254" i="1" s="1"/>
  <c r="J1255" i="1"/>
  <c r="K1255" i="1" s="1"/>
  <c r="J1256" i="1"/>
  <c r="K1256" i="1" s="1"/>
  <c r="J1257" i="1"/>
  <c r="K1257" i="1" s="1"/>
  <c r="J1258" i="1"/>
  <c r="K1258" i="1" s="1"/>
  <c r="J1259" i="1"/>
  <c r="K1259" i="1" s="1"/>
  <c r="J1260" i="1"/>
  <c r="K1260" i="1" s="1"/>
  <c r="J1261" i="1"/>
  <c r="K1261" i="1" s="1"/>
  <c r="J1262" i="1"/>
  <c r="K1262" i="1" s="1"/>
  <c r="J1263" i="1"/>
  <c r="K1263" i="1" s="1"/>
  <c r="J1264" i="1"/>
  <c r="K1264" i="1" s="1"/>
  <c r="J1265" i="1"/>
  <c r="K1265" i="1" s="1"/>
  <c r="J1266" i="1"/>
  <c r="K1266" i="1" s="1"/>
  <c r="J1267" i="1"/>
  <c r="K1267" i="1" s="1"/>
  <c r="J1268" i="1"/>
  <c r="K1268" i="1" s="1"/>
  <c r="J1269" i="1"/>
  <c r="K1269" i="1" s="1"/>
  <c r="J1270" i="1"/>
  <c r="K1270" i="1" s="1"/>
  <c r="J1271" i="1"/>
  <c r="K1271" i="1" s="1"/>
  <c r="J1272" i="1"/>
  <c r="K1272" i="1" s="1"/>
  <c r="J1273" i="1"/>
  <c r="K1273" i="1" s="1"/>
  <c r="J1274" i="1"/>
  <c r="K1274" i="1" s="1"/>
  <c r="J1275" i="1"/>
  <c r="K1275" i="1" s="1"/>
  <c r="J1276" i="1"/>
  <c r="K1276" i="1" s="1"/>
  <c r="J1277" i="1"/>
  <c r="K1277" i="1" s="1"/>
  <c r="J1278" i="1"/>
  <c r="K1278" i="1" s="1"/>
  <c r="J1279" i="1"/>
  <c r="K1279" i="1" s="1"/>
  <c r="J1280" i="1"/>
  <c r="K1280" i="1" s="1"/>
  <c r="J1281" i="1"/>
  <c r="K1281" i="1" s="1"/>
  <c r="J1282" i="1"/>
  <c r="K1282" i="1" s="1"/>
  <c r="J1283" i="1"/>
  <c r="K1283" i="1" s="1"/>
  <c r="J1284" i="1"/>
  <c r="K1284" i="1" s="1"/>
  <c r="J1285" i="1"/>
  <c r="K1285" i="1" s="1"/>
  <c r="J1286" i="1"/>
  <c r="K1286" i="1" s="1"/>
  <c r="J1287" i="1"/>
  <c r="K1287" i="1" s="1"/>
  <c r="J1288" i="1"/>
  <c r="K1288" i="1" s="1"/>
  <c r="J1289" i="1"/>
  <c r="K1289" i="1" s="1"/>
  <c r="J1290" i="1"/>
  <c r="K1290" i="1" s="1"/>
  <c r="J1291" i="1"/>
  <c r="K1291" i="1" s="1"/>
  <c r="J1292" i="1"/>
  <c r="K1292" i="1" s="1"/>
  <c r="J1293" i="1"/>
  <c r="K1293" i="1" s="1"/>
  <c r="J1294" i="1"/>
  <c r="K1294" i="1" s="1"/>
  <c r="J1295" i="1"/>
  <c r="K1295" i="1" s="1"/>
  <c r="J1296" i="1"/>
  <c r="K1296" i="1" s="1"/>
  <c r="J1297" i="1"/>
  <c r="K1297" i="1" s="1"/>
  <c r="J1298" i="1"/>
  <c r="K1298" i="1" s="1"/>
  <c r="J1299" i="1"/>
  <c r="K1299" i="1" s="1"/>
  <c r="J1300" i="1"/>
  <c r="K1300" i="1" s="1"/>
  <c r="J1301" i="1"/>
  <c r="K1301" i="1" s="1"/>
  <c r="J1302" i="1"/>
  <c r="K1302" i="1" s="1"/>
  <c r="J1303" i="1"/>
  <c r="K1303" i="1" s="1"/>
  <c r="J1304" i="1"/>
  <c r="K1304" i="1" s="1"/>
  <c r="J1305" i="1"/>
  <c r="K1305" i="1" s="1"/>
  <c r="J1306" i="1"/>
  <c r="K1306" i="1" s="1"/>
  <c r="J1307" i="1"/>
  <c r="K1307" i="1" s="1"/>
  <c r="J1308" i="1"/>
  <c r="K1308" i="1" s="1"/>
  <c r="J1309" i="1"/>
  <c r="K1309" i="1" s="1"/>
  <c r="J1310" i="1"/>
  <c r="K1310" i="1" s="1"/>
  <c r="J1311" i="1"/>
  <c r="K1311" i="1" s="1"/>
  <c r="J1312" i="1"/>
  <c r="K1312" i="1" s="1"/>
  <c r="J1313" i="1"/>
  <c r="K1313" i="1" s="1"/>
  <c r="J1314" i="1"/>
  <c r="K1314" i="1" s="1"/>
  <c r="J1315" i="1"/>
  <c r="K1315" i="1" s="1"/>
  <c r="J1316" i="1"/>
  <c r="K1316" i="1" s="1"/>
  <c r="J1317" i="1"/>
  <c r="K1317" i="1" s="1"/>
  <c r="J1318" i="1"/>
  <c r="K1318" i="1" s="1"/>
  <c r="J1319" i="1"/>
  <c r="K1319" i="1" s="1"/>
  <c r="J1320" i="1"/>
  <c r="K1320" i="1" s="1"/>
  <c r="J1321" i="1"/>
  <c r="K1321" i="1" s="1"/>
  <c r="J1322" i="1"/>
  <c r="K1322" i="1" s="1"/>
  <c r="J1323" i="1"/>
  <c r="K1323" i="1" s="1"/>
  <c r="J1324" i="1"/>
  <c r="K1324" i="1" s="1"/>
  <c r="J1325" i="1"/>
  <c r="K1325" i="1" s="1"/>
  <c r="J1326" i="1"/>
  <c r="K1326" i="1" s="1"/>
  <c r="J1327" i="1"/>
  <c r="K1327" i="1" s="1"/>
  <c r="J1328" i="1"/>
  <c r="K1328" i="1" s="1"/>
  <c r="J1329" i="1"/>
  <c r="K1329" i="1" s="1"/>
  <c r="J1330" i="1"/>
  <c r="K1330" i="1" s="1"/>
  <c r="J1331" i="1"/>
  <c r="K1331" i="1" s="1"/>
  <c r="J1332" i="1"/>
  <c r="K1332" i="1" s="1"/>
  <c r="J1333" i="1"/>
  <c r="K1333" i="1" s="1"/>
  <c r="J1334" i="1"/>
  <c r="K1334" i="1" s="1"/>
  <c r="J1335" i="1"/>
  <c r="K1335" i="1" s="1"/>
  <c r="J1336" i="1"/>
  <c r="K1336" i="1" s="1"/>
  <c r="J1337" i="1"/>
  <c r="K1337" i="1" s="1"/>
  <c r="J1338" i="1"/>
  <c r="K1338" i="1" s="1"/>
  <c r="J1339" i="1"/>
  <c r="K1339" i="1" s="1"/>
  <c r="J1340" i="1"/>
  <c r="K1340" i="1" s="1"/>
  <c r="J1341" i="1"/>
  <c r="K1341" i="1" s="1"/>
  <c r="J1342" i="1"/>
  <c r="K1342" i="1" s="1"/>
  <c r="J1343" i="1"/>
  <c r="K1343" i="1" s="1"/>
  <c r="J1344" i="1"/>
  <c r="K1344" i="1" s="1"/>
  <c r="J1345" i="1"/>
  <c r="K1345" i="1" s="1"/>
  <c r="J1346" i="1"/>
  <c r="K1346" i="1" s="1"/>
  <c r="J1347" i="1"/>
  <c r="K1347" i="1" s="1"/>
  <c r="J1348" i="1"/>
  <c r="K1348" i="1" s="1"/>
  <c r="J1349" i="1"/>
  <c r="K1349" i="1" s="1"/>
  <c r="J1350" i="1"/>
  <c r="K1350" i="1" s="1"/>
  <c r="J1351" i="1"/>
  <c r="K1351" i="1" s="1"/>
  <c r="J1352" i="1"/>
  <c r="K1352" i="1" s="1"/>
  <c r="J1353" i="1"/>
  <c r="K1353" i="1" s="1"/>
  <c r="J1354" i="1"/>
  <c r="K1354" i="1" s="1"/>
  <c r="J1355" i="1"/>
  <c r="K1355" i="1" s="1"/>
  <c r="J1356" i="1"/>
  <c r="K1356" i="1" s="1"/>
  <c r="J1357" i="1"/>
  <c r="K1357" i="1" s="1"/>
  <c r="J1358" i="1"/>
  <c r="K1358" i="1" s="1"/>
  <c r="J1359" i="1"/>
  <c r="K1359" i="1" s="1"/>
  <c r="J1360" i="1"/>
  <c r="K1360" i="1" s="1"/>
  <c r="J1361" i="1"/>
  <c r="K1361" i="1" s="1"/>
  <c r="J1362" i="1"/>
  <c r="K1362" i="1" s="1"/>
  <c r="J1363" i="1"/>
  <c r="K1363" i="1" s="1"/>
  <c r="J1364" i="1"/>
  <c r="K1364" i="1" s="1"/>
  <c r="J1365" i="1"/>
  <c r="K1365" i="1" s="1"/>
  <c r="J1366" i="1"/>
  <c r="K1366" i="1" s="1"/>
  <c r="J1367" i="1"/>
  <c r="K1367" i="1" s="1"/>
  <c r="J1368" i="1"/>
  <c r="K1368" i="1" s="1"/>
  <c r="J1369" i="1"/>
  <c r="K1369" i="1" s="1"/>
  <c r="J1370" i="1"/>
  <c r="K1370" i="1" s="1"/>
  <c r="J1371" i="1"/>
  <c r="K1371" i="1" s="1"/>
  <c r="J1372" i="1"/>
  <c r="K1372" i="1" s="1"/>
  <c r="J1373" i="1"/>
  <c r="K1373" i="1" s="1"/>
  <c r="J1374" i="1"/>
  <c r="K1374" i="1" s="1"/>
  <c r="J1375" i="1"/>
  <c r="K1375" i="1" s="1"/>
  <c r="J1376" i="1"/>
  <c r="K1376" i="1" s="1"/>
  <c r="J1377" i="1"/>
  <c r="K1377" i="1" s="1"/>
  <c r="J1378" i="1"/>
  <c r="K1378" i="1" s="1"/>
  <c r="J1379" i="1"/>
  <c r="K1379" i="1" s="1"/>
  <c r="J1380" i="1"/>
  <c r="K1380" i="1" s="1"/>
  <c r="J1381" i="1"/>
  <c r="K1381" i="1" s="1"/>
  <c r="J1382" i="1"/>
  <c r="K1382" i="1" s="1"/>
  <c r="J1383" i="1"/>
  <c r="K1383" i="1" s="1"/>
  <c r="J1384" i="1"/>
  <c r="K1384" i="1" s="1"/>
  <c r="J1385" i="1"/>
  <c r="K1385" i="1" s="1"/>
  <c r="J1386" i="1"/>
  <c r="K1386" i="1" s="1"/>
  <c r="J1387" i="1"/>
  <c r="K1387" i="1" s="1"/>
  <c r="J1388" i="1"/>
  <c r="K1388" i="1" s="1"/>
  <c r="J1389" i="1"/>
  <c r="K1389" i="1" s="1"/>
  <c r="J1390" i="1"/>
  <c r="K1390" i="1" s="1"/>
  <c r="J1391" i="1"/>
  <c r="K1391" i="1" s="1"/>
  <c r="J1392" i="1"/>
  <c r="K1392" i="1" s="1"/>
  <c r="J1393" i="1"/>
  <c r="K1393" i="1" s="1"/>
  <c r="J1394" i="1"/>
  <c r="K1394" i="1" s="1"/>
  <c r="J1395" i="1"/>
  <c r="K1395" i="1" s="1"/>
  <c r="J1396" i="1"/>
  <c r="K1396" i="1" s="1"/>
  <c r="J1397" i="1"/>
  <c r="K1397" i="1" s="1"/>
  <c r="J1398" i="1"/>
  <c r="K1398" i="1" s="1"/>
  <c r="J1399" i="1"/>
  <c r="K1399" i="1" s="1"/>
  <c r="J1400" i="1"/>
  <c r="K1400" i="1" s="1"/>
  <c r="J1401" i="1"/>
  <c r="K1401" i="1" s="1"/>
  <c r="J1402" i="1"/>
  <c r="K1402" i="1" s="1"/>
  <c r="J1403" i="1"/>
  <c r="K1403" i="1" s="1"/>
  <c r="J1404" i="1"/>
  <c r="K1404" i="1" s="1"/>
  <c r="J1405" i="1"/>
  <c r="K1405" i="1" s="1"/>
  <c r="J1406" i="1"/>
  <c r="K1406" i="1" s="1"/>
  <c r="J1407" i="1"/>
  <c r="K1407" i="1" s="1"/>
  <c r="J1408" i="1"/>
  <c r="K1408" i="1" s="1"/>
  <c r="J1409" i="1"/>
  <c r="K1409" i="1" s="1"/>
  <c r="J1410" i="1"/>
  <c r="K1410" i="1" s="1"/>
  <c r="J1411" i="1"/>
  <c r="K1411" i="1" s="1"/>
  <c r="J1412" i="1"/>
  <c r="K1412" i="1" s="1"/>
  <c r="J1413" i="1"/>
  <c r="K1413" i="1" s="1"/>
  <c r="J1414" i="1"/>
  <c r="K1414" i="1" s="1"/>
  <c r="J1415" i="1"/>
  <c r="K1415" i="1" s="1"/>
  <c r="J1416" i="1"/>
  <c r="K1416" i="1" s="1"/>
  <c r="J1417" i="1"/>
  <c r="K1417" i="1" s="1"/>
  <c r="J1418" i="1"/>
  <c r="K1418" i="1" s="1"/>
  <c r="J1419" i="1"/>
  <c r="K1419" i="1" s="1"/>
  <c r="J1420" i="1"/>
  <c r="K1420" i="1" s="1"/>
  <c r="J1421" i="1"/>
  <c r="K1421" i="1" s="1"/>
  <c r="J1422" i="1"/>
  <c r="K1422" i="1" s="1"/>
  <c r="J1423" i="1"/>
  <c r="K1423" i="1" s="1"/>
  <c r="J1424" i="1"/>
  <c r="K1424" i="1" s="1"/>
  <c r="J1425" i="1"/>
  <c r="K1425" i="1" s="1"/>
  <c r="J1426" i="1"/>
  <c r="K1426" i="1" s="1"/>
  <c r="J1427" i="1"/>
  <c r="K1427" i="1" s="1"/>
  <c r="J1428" i="1"/>
  <c r="K1428" i="1" s="1"/>
  <c r="J1429" i="1"/>
  <c r="K1429" i="1" s="1"/>
  <c r="J1430" i="1"/>
  <c r="K1430" i="1" s="1"/>
  <c r="J1431" i="1"/>
  <c r="K1431" i="1" s="1"/>
  <c r="J1432" i="1"/>
  <c r="K1432" i="1" s="1"/>
  <c r="J1433" i="1"/>
  <c r="K1433" i="1" s="1"/>
  <c r="J1434" i="1"/>
  <c r="K1434" i="1" s="1"/>
  <c r="J1435" i="1"/>
  <c r="K1435" i="1" s="1"/>
  <c r="J1436" i="1"/>
  <c r="K1436" i="1" s="1"/>
  <c r="J1437" i="1"/>
  <c r="K1437" i="1" s="1"/>
  <c r="J1438" i="1"/>
  <c r="K1438" i="1" s="1"/>
  <c r="J1439" i="1"/>
  <c r="K1439" i="1" s="1"/>
  <c r="J1440" i="1"/>
  <c r="K1440" i="1" s="1"/>
  <c r="J1441" i="1"/>
  <c r="K1441" i="1" s="1"/>
  <c r="J1442" i="1"/>
  <c r="K1442" i="1" s="1"/>
  <c r="J1443" i="1"/>
  <c r="K1443" i="1" s="1"/>
  <c r="J1444" i="1"/>
  <c r="K1444" i="1" s="1"/>
  <c r="J1445" i="1"/>
  <c r="K1445" i="1" s="1"/>
  <c r="J1446" i="1"/>
  <c r="K1446" i="1" s="1"/>
  <c r="J1447" i="1"/>
  <c r="K1447" i="1" s="1"/>
  <c r="J1448" i="1"/>
  <c r="K1448" i="1" s="1"/>
  <c r="J1449" i="1"/>
  <c r="K1449" i="1" s="1"/>
  <c r="J1450" i="1"/>
  <c r="K1450" i="1" s="1"/>
  <c r="J1451" i="1"/>
  <c r="K1451" i="1" s="1"/>
  <c r="J1452" i="1"/>
  <c r="K1452" i="1" s="1"/>
  <c r="J1453" i="1"/>
  <c r="K1453" i="1" s="1"/>
  <c r="J1454" i="1"/>
  <c r="K1454" i="1" s="1"/>
  <c r="J1455" i="1"/>
  <c r="K1455" i="1" s="1"/>
  <c r="J1456" i="1"/>
  <c r="K1456" i="1" s="1"/>
  <c r="J1457" i="1"/>
  <c r="K1457" i="1" s="1"/>
  <c r="J1458" i="1"/>
  <c r="K1458" i="1" s="1"/>
  <c r="J1459" i="1"/>
  <c r="K1459" i="1" s="1"/>
  <c r="J1460" i="1"/>
  <c r="K1460" i="1" s="1"/>
  <c r="J1461" i="1"/>
  <c r="K1461" i="1" s="1"/>
  <c r="J1462" i="1"/>
  <c r="K1462" i="1" s="1"/>
  <c r="J1463" i="1"/>
  <c r="K1463" i="1" s="1"/>
  <c r="J1464" i="1"/>
  <c r="K1464" i="1" s="1"/>
  <c r="J1465" i="1"/>
  <c r="K1465" i="1" s="1"/>
  <c r="J1466" i="1"/>
  <c r="K1466" i="1" s="1"/>
  <c r="J1467" i="1"/>
  <c r="K1467" i="1" s="1"/>
  <c r="J1468" i="1"/>
  <c r="K1468" i="1" s="1"/>
  <c r="J1469" i="1"/>
  <c r="K1469" i="1" s="1"/>
  <c r="J1470" i="1"/>
  <c r="K1470" i="1" s="1"/>
  <c r="J1471" i="1"/>
  <c r="K1471" i="1" s="1"/>
  <c r="J1472" i="1"/>
  <c r="K1472" i="1" s="1"/>
  <c r="J1473" i="1"/>
  <c r="K1473" i="1" s="1"/>
  <c r="J1474" i="1"/>
  <c r="K1474" i="1" s="1"/>
  <c r="J1475" i="1"/>
  <c r="K1475" i="1" s="1"/>
  <c r="J1476" i="1"/>
  <c r="K1476" i="1" s="1"/>
  <c r="J1477" i="1"/>
  <c r="K1477" i="1" s="1"/>
  <c r="J1478" i="1"/>
  <c r="K1478" i="1" s="1"/>
  <c r="J1479" i="1"/>
  <c r="K1479" i="1" s="1"/>
  <c r="J1480" i="1"/>
  <c r="K1480" i="1" s="1"/>
  <c r="J1481" i="1"/>
  <c r="K1481" i="1" s="1"/>
  <c r="J1482" i="1"/>
  <c r="K1482" i="1" s="1"/>
  <c r="J1483" i="1"/>
  <c r="K1483" i="1" s="1"/>
  <c r="J1484" i="1"/>
  <c r="K1484" i="1" s="1"/>
  <c r="J1485" i="1"/>
  <c r="K1485" i="1" s="1"/>
  <c r="J1486" i="1"/>
  <c r="K1486" i="1" s="1"/>
  <c r="J1487" i="1"/>
  <c r="K1487" i="1" s="1"/>
  <c r="J1488" i="1"/>
  <c r="K1488" i="1" s="1"/>
  <c r="J1489" i="1"/>
  <c r="K1489" i="1" s="1"/>
  <c r="J1490" i="1"/>
  <c r="K1490" i="1" s="1"/>
  <c r="J1491" i="1"/>
  <c r="K1491" i="1" s="1"/>
  <c r="J1492" i="1"/>
  <c r="K1492" i="1" s="1"/>
  <c r="J1493" i="1"/>
  <c r="K1493" i="1" s="1"/>
  <c r="J1494" i="1"/>
  <c r="K1494" i="1" s="1"/>
  <c r="J1495" i="1"/>
  <c r="K1495" i="1" s="1"/>
  <c r="J1496" i="1"/>
  <c r="K1496" i="1" s="1"/>
  <c r="J1497" i="1"/>
  <c r="K1497" i="1" s="1"/>
  <c r="J1498" i="1"/>
  <c r="K1498" i="1" s="1"/>
  <c r="J1499" i="1"/>
  <c r="K1499" i="1" s="1"/>
  <c r="J1500" i="1"/>
  <c r="K1500" i="1" s="1"/>
  <c r="J1501" i="1"/>
  <c r="K1501" i="1" s="1"/>
  <c r="J1502" i="1"/>
  <c r="K1502" i="1" s="1"/>
  <c r="J1503" i="1"/>
  <c r="K1503" i="1" s="1"/>
  <c r="J1504" i="1"/>
  <c r="K1504" i="1" s="1"/>
  <c r="J1505" i="1"/>
  <c r="K1505" i="1" s="1"/>
  <c r="J1506" i="1"/>
  <c r="K1506" i="1" s="1"/>
  <c r="J1507" i="1"/>
  <c r="K1507" i="1" s="1"/>
  <c r="J1508" i="1"/>
  <c r="K1508" i="1" s="1"/>
  <c r="J1509" i="1"/>
  <c r="K1509" i="1" s="1"/>
  <c r="J1510" i="1"/>
  <c r="K1510" i="1" s="1"/>
  <c r="J1511" i="1"/>
  <c r="K1511" i="1" s="1"/>
  <c r="J1512" i="1"/>
  <c r="K1512" i="1" s="1"/>
  <c r="J1513" i="1"/>
  <c r="K1513" i="1" s="1"/>
  <c r="J1514" i="1"/>
  <c r="K1514" i="1" s="1"/>
  <c r="J1515" i="1"/>
  <c r="K1515" i="1" s="1"/>
  <c r="J1516" i="1"/>
  <c r="K1516" i="1" s="1"/>
  <c r="J1517" i="1"/>
  <c r="K1517" i="1" s="1"/>
  <c r="J1518" i="1"/>
  <c r="K1518" i="1" s="1"/>
  <c r="J1519" i="1"/>
  <c r="K1519" i="1" s="1"/>
  <c r="J1520" i="1"/>
  <c r="K1520" i="1" s="1"/>
  <c r="J1521" i="1"/>
  <c r="K1521" i="1" s="1"/>
  <c r="J1522" i="1"/>
  <c r="K1522" i="1" s="1"/>
  <c r="J1523" i="1"/>
  <c r="K1523" i="1" s="1"/>
  <c r="J1524" i="1"/>
  <c r="K1524" i="1" s="1"/>
  <c r="J1525" i="1"/>
  <c r="K1525" i="1" s="1"/>
  <c r="J1526" i="1"/>
  <c r="K1526" i="1" s="1"/>
  <c r="J1527" i="1"/>
  <c r="K1527" i="1" s="1"/>
  <c r="J1528" i="1"/>
  <c r="K1528" i="1" s="1"/>
  <c r="J1529" i="1"/>
  <c r="K1529" i="1" s="1"/>
  <c r="J1530" i="1"/>
  <c r="K1530" i="1" s="1"/>
  <c r="J1531" i="1"/>
  <c r="K1531" i="1" s="1"/>
  <c r="J1532" i="1"/>
  <c r="K1532" i="1" s="1"/>
  <c r="J1533" i="1"/>
  <c r="K1533" i="1" s="1"/>
  <c r="J1534" i="1"/>
  <c r="K1534" i="1" s="1"/>
  <c r="J1535" i="1"/>
  <c r="K1535" i="1" s="1"/>
  <c r="J1536" i="1"/>
  <c r="K1536" i="1" s="1"/>
  <c r="J1537" i="1"/>
  <c r="K1537" i="1" s="1"/>
  <c r="J1538" i="1"/>
  <c r="K1538" i="1" s="1"/>
  <c r="J1539" i="1"/>
  <c r="K1539" i="1" s="1"/>
  <c r="J1540" i="1"/>
  <c r="K1540" i="1" s="1"/>
  <c r="J1541" i="1"/>
  <c r="K1541" i="1" s="1"/>
  <c r="J1542" i="1"/>
  <c r="K1542" i="1" s="1"/>
  <c r="J1543" i="1"/>
  <c r="K1543" i="1" s="1"/>
  <c r="J1544" i="1"/>
  <c r="K1544" i="1" s="1"/>
  <c r="J1545" i="1"/>
  <c r="K1545" i="1" s="1"/>
  <c r="J1546" i="1"/>
  <c r="K1546" i="1" s="1"/>
  <c r="J1547" i="1"/>
  <c r="K1547" i="1" s="1"/>
  <c r="J1548" i="1"/>
  <c r="K1548" i="1" s="1"/>
  <c r="J1549" i="1"/>
  <c r="K1549" i="1" s="1"/>
  <c r="J1550" i="1"/>
  <c r="K1550" i="1" s="1"/>
  <c r="J1551" i="1"/>
  <c r="K1551" i="1" s="1"/>
  <c r="J1552" i="1"/>
  <c r="K1552" i="1" s="1"/>
  <c r="J1553" i="1"/>
  <c r="K1553" i="1" s="1"/>
  <c r="J1554" i="1"/>
  <c r="K1554" i="1" s="1"/>
  <c r="J1555" i="1"/>
  <c r="K1555" i="1" s="1"/>
  <c r="J1556" i="1"/>
  <c r="K1556" i="1" s="1"/>
  <c r="J1557" i="1"/>
  <c r="K1557" i="1" s="1"/>
  <c r="J1558" i="1"/>
  <c r="K1558" i="1" s="1"/>
  <c r="J1559" i="1"/>
  <c r="K1559" i="1" s="1"/>
  <c r="J1560" i="1"/>
  <c r="K1560" i="1" s="1"/>
  <c r="J1561" i="1"/>
  <c r="K1561" i="1" s="1"/>
  <c r="J1562" i="1"/>
  <c r="K1562" i="1" s="1"/>
  <c r="J1563" i="1"/>
  <c r="K1563" i="1" s="1"/>
  <c r="J1564" i="1"/>
  <c r="K1564" i="1" s="1"/>
  <c r="J1565" i="1"/>
  <c r="K1565" i="1" s="1"/>
  <c r="J1566" i="1"/>
  <c r="K1566" i="1" s="1"/>
  <c r="J1567" i="1"/>
  <c r="K1567" i="1" s="1"/>
  <c r="J1568" i="1"/>
  <c r="K1568" i="1" s="1"/>
  <c r="J1569" i="1"/>
  <c r="K1569" i="1" s="1"/>
  <c r="J1570" i="1"/>
  <c r="K1570" i="1" s="1"/>
  <c r="J1571" i="1"/>
  <c r="K1571" i="1" s="1"/>
  <c r="J1572" i="1"/>
  <c r="K1572" i="1" s="1"/>
  <c r="J1573" i="1"/>
  <c r="K1573" i="1" s="1"/>
  <c r="J1574" i="1"/>
  <c r="K1574" i="1" s="1"/>
  <c r="J1575" i="1"/>
  <c r="K1575" i="1" s="1"/>
  <c r="J1576" i="1"/>
  <c r="K1576" i="1" s="1"/>
  <c r="J1577" i="1"/>
  <c r="K1577" i="1" s="1"/>
  <c r="J1578" i="1"/>
  <c r="K1578" i="1" s="1"/>
  <c r="J1579" i="1"/>
  <c r="K1579" i="1" s="1"/>
  <c r="J1580" i="1"/>
  <c r="K1580" i="1" s="1"/>
  <c r="J1581" i="1"/>
  <c r="K1581" i="1" s="1"/>
  <c r="J1582" i="1"/>
  <c r="K1582" i="1" s="1"/>
  <c r="J1583" i="1"/>
  <c r="K1583" i="1" s="1"/>
  <c r="J1584" i="1"/>
  <c r="K1584" i="1" s="1"/>
  <c r="J1585" i="1"/>
  <c r="K1585" i="1" s="1"/>
  <c r="J1586" i="1"/>
  <c r="K1586" i="1" s="1"/>
  <c r="J1587" i="1"/>
  <c r="K1587" i="1" s="1"/>
  <c r="J1588" i="1"/>
  <c r="K1588" i="1" s="1"/>
  <c r="J1589" i="1"/>
  <c r="K1589" i="1" s="1"/>
  <c r="J1590" i="1"/>
  <c r="K1590" i="1" s="1"/>
  <c r="J1591" i="1"/>
  <c r="K1591" i="1" s="1"/>
  <c r="J1592" i="1"/>
  <c r="K1592" i="1" s="1"/>
  <c r="J1593" i="1"/>
  <c r="K1593" i="1" s="1"/>
  <c r="J1594" i="1"/>
  <c r="K1594" i="1" s="1"/>
  <c r="J1595" i="1"/>
  <c r="K1595" i="1" s="1"/>
  <c r="J1596" i="1"/>
  <c r="K1596" i="1" s="1"/>
  <c r="J1597" i="1"/>
  <c r="K1597" i="1" s="1"/>
  <c r="J1598" i="1"/>
  <c r="K1598" i="1" s="1"/>
  <c r="J1599" i="1"/>
  <c r="K1599" i="1" s="1"/>
  <c r="J1600" i="1"/>
  <c r="K1600" i="1" s="1"/>
  <c r="J1601" i="1"/>
  <c r="K1601" i="1" s="1"/>
  <c r="J1602" i="1"/>
  <c r="K1602" i="1" s="1"/>
  <c r="J1603" i="1"/>
  <c r="K1603" i="1" s="1"/>
  <c r="J1604" i="1"/>
  <c r="K1604" i="1" s="1"/>
  <c r="J1605" i="1"/>
  <c r="K1605" i="1" s="1"/>
  <c r="J1606" i="1"/>
  <c r="K1606" i="1" s="1"/>
  <c r="J1607" i="1"/>
  <c r="K1607" i="1" s="1"/>
  <c r="J1608" i="1"/>
  <c r="K1608" i="1" s="1"/>
  <c r="J1609" i="1"/>
  <c r="K1609" i="1" s="1"/>
  <c r="J1610" i="1"/>
  <c r="K1610" i="1" s="1"/>
  <c r="J1611" i="1"/>
  <c r="K1611" i="1" s="1"/>
  <c r="J1612" i="1"/>
  <c r="K1612" i="1" s="1"/>
  <c r="J1613" i="1"/>
  <c r="K1613" i="1" s="1"/>
  <c r="J1614" i="1"/>
  <c r="K1614" i="1" s="1"/>
  <c r="J1615" i="1"/>
  <c r="K1615" i="1" s="1"/>
  <c r="J1616" i="1"/>
  <c r="K1616" i="1" s="1"/>
  <c r="J1617" i="1"/>
  <c r="K1617" i="1" s="1"/>
  <c r="J1618" i="1"/>
  <c r="K1618" i="1" s="1"/>
  <c r="J1619" i="1"/>
  <c r="K1619" i="1" s="1"/>
  <c r="J1620" i="1"/>
  <c r="K1620" i="1" s="1"/>
  <c r="J1621" i="1"/>
  <c r="K1621" i="1" s="1"/>
  <c r="J1622" i="1"/>
  <c r="K1622" i="1" s="1"/>
  <c r="J1623" i="1"/>
  <c r="K1623" i="1" s="1"/>
  <c r="J1624" i="1"/>
  <c r="K1624" i="1" s="1"/>
  <c r="J1625" i="1"/>
  <c r="K1625" i="1" s="1"/>
  <c r="J1626" i="1"/>
  <c r="K1626" i="1" s="1"/>
  <c r="J1627" i="1"/>
  <c r="K1627" i="1" s="1"/>
  <c r="J1628" i="1"/>
  <c r="K1628" i="1" s="1"/>
  <c r="J1629" i="1"/>
  <c r="K1629" i="1" s="1"/>
  <c r="J1630" i="1"/>
  <c r="K1630" i="1" s="1"/>
  <c r="J1631" i="1"/>
  <c r="K1631" i="1" s="1"/>
  <c r="J1632" i="1"/>
  <c r="K1632" i="1" s="1"/>
  <c r="J1633" i="1"/>
  <c r="K1633" i="1" s="1"/>
  <c r="J1634" i="1"/>
  <c r="K1634" i="1" s="1"/>
  <c r="J1635" i="1"/>
  <c r="K1635" i="1" s="1"/>
  <c r="J1636" i="1"/>
  <c r="K1636" i="1" s="1"/>
  <c r="J1637" i="1"/>
  <c r="K1637" i="1" s="1"/>
  <c r="J1638" i="1"/>
  <c r="K1638" i="1" s="1"/>
  <c r="J1639" i="1"/>
  <c r="K1639" i="1" s="1"/>
  <c r="J1640" i="1"/>
  <c r="K1640" i="1" s="1"/>
  <c r="J1641" i="1"/>
  <c r="K1641" i="1" s="1"/>
  <c r="J1642" i="1"/>
  <c r="K1642" i="1" s="1"/>
  <c r="J1643" i="1"/>
  <c r="K1643" i="1" s="1"/>
  <c r="J1644" i="1"/>
  <c r="K1644" i="1" s="1"/>
  <c r="J1645" i="1"/>
  <c r="K1645" i="1" s="1"/>
  <c r="J1646" i="1"/>
  <c r="K1646" i="1" s="1"/>
  <c r="J1647" i="1"/>
  <c r="K1647" i="1" s="1"/>
  <c r="J1648" i="1"/>
  <c r="K1648" i="1" s="1"/>
  <c r="J1649" i="1"/>
  <c r="K1649" i="1" s="1"/>
  <c r="J1650" i="1"/>
  <c r="K1650" i="1" s="1"/>
  <c r="J1651" i="1"/>
  <c r="K1651" i="1" s="1"/>
  <c r="J1652" i="1"/>
  <c r="K1652" i="1" s="1"/>
  <c r="J1653" i="1"/>
  <c r="K1653" i="1" s="1"/>
  <c r="J1654" i="1"/>
  <c r="K1654" i="1" s="1"/>
  <c r="J1655" i="1"/>
  <c r="K1655" i="1" s="1"/>
  <c r="J1656" i="1"/>
  <c r="K1656" i="1" s="1"/>
  <c r="J1657" i="1"/>
  <c r="K1657" i="1" s="1"/>
  <c r="J1658" i="1"/>
  <c r="K1658" i="1" s="1"/>
  <c r="J1659" i="1"/>
  <c r="K1659" i="1" s="1"/>
  <c r="J1660" i="1"/>
  <c r="K1660" i="1" s="1"/>
  <c r="J1661" i="1"/>
  <c r="K1661" i="1" s="1"/>
  <c r="J1662" i="1"/>
  <c r="K1662" i="1" s="1"/>
  <c r="J1663" i="1"/>
  <c r="K1663" i="1" s="1"/>
  <c r="J1664" i="1"/>
  <c r="K1664" i="1" s="1"/>
  <c r="J1665" i="1"/>
  <c r="K1665" i="1" s="1"/>
  <c r="J1666" i="1"/>
  <c r="K1666" i="1" s="1"/>
  <c r="J1667" i="1"/>
  <c r="K1667" i="1" s="1"/>
  <c r="J1668" i="1"/>
  <c r="K1668" i="1" s="1"/>
  <c r="J1669" i="1"/>
  <c r="K1669" i="1" s="1"/>
  <c r="J1670" i="1"/>
  <c r="K1670" i="1" s="1"/>
  <c r="J1671" i="1"/>
  <c r="K1671" i="1" s="1"/>
  <c r="J1672" i="1"/>
  <c r="K1672" i="1" s="1"/>
  <c r="J1673" i="1"/>
  <c r="K1673" i="1" s="1"/>
  <c r="J1674" i="1"/>
  <c r="K1674" i="1" s="1"/>
  <c r="J1675" i="1"/>
  <c r="K1675" i="1" s="1"/>
  <c r="J1676" i="1"/>
  <c r="K1676" i="1" s="1"/>
  <c r="J1677" i="1"/>
  <c r="K1677" i="1" s="1"/>
  <c r="J1678" i="1"/>
  <c r="K1678" i="1" s="1"/>
  <c r="J1679" i="1"/>
  <c r="K1679" i="1" s="1"/>
  <c r="J1680" i="1"/>
  <c r="K1680" i="1" s="1"/>
  <c r="J1681" i="1"/>
  <c r="K1681" i="1" s="1"/>
  <c r="J1682" i="1"/>
  <c r="K1682" i="1" s="1"/>
  <c r="J1683" i="1"/>
  <c r="K1683" i="1" s="1"/>
  <c r="J1684" i="1"/>
  <c r="K1684" i="1" s="1"/>
  <c r="J1685" i="1"/>
  <c r="K1685" i="1" s="1"/>
  <c r="J1686" i="1"/>
  <c r="K1686" i="1" s="1"/>
  <c r="J1687" i="1"/>
  <c r="K1687" i="1" s="1"/>
  <c r="J1688" i="1"/>
  <c r="K1688" i="1" s="1"/>
  <c r="J1689" i="1"/>
  <c r="K1689" i="1" s="1"/>
  <c r="J1690" i="1"/>
  <c r="K1690" i="1" s="1"/>
  <c r="J1691" i="1"/>
  <c r="K1691" i="1" s="1"/>
  <c r="J1692" i="1"/>
  <c r="K1692" i="1" s="1"/>
  <c r="J1693" i="1"/>
  <c r="K1693" i="1" s="1"/>
  <c r="J1694" i="1"/>
  <c r="K1694" i="1" s="1"/>
  <c r="J1695" i="1"/>
  <c r="K1695" i="1" s="1"/>
  <c r="J1696" i="1"/>
  <c r="K1696" i="1" s="1"/>
  <c r="J1697" i="1"/>
  <c r="K1697" i="1" s="1"/>
  <c r="J1698" i="1"/>
  <c r="K1698" i="1" s="1"/>
  <c r="J1699" i="1"/>
  <c r="K1699" i="1" s="1"/>
  <c r="J1700" i="1"/>
  <c r="K1700" i="1" s="1"/>
  <c r="J1701" i="1"/>
  <c r="K1701" i="1" s="1"/>
  <c r="J1702" i="1"/>
  <c r="K1702" i="1" s="1"/>
  <c r="J1703" i="1"/>
  <c r="K1703" i="1" s="1"/>
  <c r="J1704" i="1"/>
  <c r="K1704" i="1" s="1"/>
  <c r="J1705" i="1"/>
  <c r="K1705" i="1" s="1"/>
  <c r="J1706" i="1"/>
  <c r="K1706" i="1" s="1"/>
  <c r="J1707" i="1"/>
  <c r="K1707" i="1" s="1"/>
  <c r="J1708" i="1"/>
  <c r="K1708" i="1" s="1"/>
  <c r="J1709" i="1"/>
  <c r="K1709" i="1" s="1"/>
  <c r="J1710" i="1"/>
  <c r="K1710" i="1" s="1"/>
  <c r="J1711" i="1"/>
  <c r="K1711" i="1" s="1"/>
  <c r="J1712" i="1"/>
  <c r="K1712" i="1" s="1"/>
  <c r="J1713" i="1"/>
  <c r="K1713" i="1" s="1"/>
  <c r="J1714" i="1"/>
  <c r="K1714" i="1" s="1"/>
  <c r="J1715" i="1"/>
  <c r="K1715" i="1" s="1"/>
  <c r="J1716" i="1"/>
  <c r="K1716" i="1" s="1"/>
  <c r="J1717" i="1"/>
  <c r="K1717" i="1" s="1"/>
  <c r="J1718" i="1"/>
  <c r="K1718" i="1" s="1"/>
  <c r="J1719" i="1"/>
  <c r="K1719" i="1" s="1"/>
  <c r="J1720" i="1"/>
  <c r="K1720" i="1" s="1"/>
  <c r="J1721" i="1"/>
  <c r="K1721" i="1" s="1"/>
  <c r="J1722" i="1"/>
  <c r="K1722" i="1" s="1"/>
  <c r="J1723" i="1"/>
  <c r="K1723" i="1" s="1"/>
  <c r="J1724" i="1"/>
  <c r="K1724" i="1" s="1"/>
  <c r="J1725" i="1"/>
  <c r="K1725" i="1" s="1"/>
  <c r="J1726" i="1"/>
  <c r="K1726" i="1" s="1"/>
  <c r="J1727" i="1"/>
  <c r="K1727" i="1" s="1"/>
  <c r="J1728" i="1"/>
  <c r="K1728" i="1" s="1"/>
  <c r="J1729" i="1"/>
  <c r="K1729" i="1" s="1"/>
  <c r="J1730" i="1"/>
  <c r="K1730" i="1" s="1"/>
  <c r="J1731" i="1"/>
  <c r="K1731" i="1" s="1"/>
  <c r="J1732" i="1"/>
  <c r="K1732" i="1" s="1"/>
  <c r="J1733" i="1"/>
  <c r="K1733" i="1" s="1"/>
  <c r="J1734" i="1"/>
  <c r="K1734" i="1" s="1"/>
  <c r="J1735" i="1"/>
  <c r="K1735" i="1" s="1"/>
  <c r="J1736" i="1"/>
  <c r="K1736" i="1" s="1"/>
  <c r="J1737" i="1"/>
  <c r="K1737" i="1" s="1"/>
  <c r="J1738" i="1"/>
  <c r="K1738" i="1" s="1"/>
  <c r="J1739" i="1"/>
  <c r="K1739" i="1" s="1"/>
  <c r="J1740" i="1"/>
  <c r="K1740" i="1" s="1"/>
  <c r="J1741" i="1"/>
  <c r="K1741" i="1" s="1"/>
  <c r="J1742" i="1"/>
  <c r="K1742" i="1" s="1"/>
  <c r="J1743" i="1"/>
  <c r="K1743" i="1" s="1"/>
  <c r="J1744" i="1"/>
  <c r="K1744" i="1" s="1"/>
  <c r="J1745" i="1"/>
  <c r="K1745" i="1" s="1"/>
  <c r="J1746" i="1"/>
  <c r="K1746" i="1" s="1"/>
  <c r="J1747" i="1"/>
  <c r="K1747" i="1" s="1"/>
  <c r="J1748" i="1"/>
  <c r="K1748" i="1" s="1"/>
  <c r="J1749" i="1"/>
  <c r="K1749" i="1" s="1"/>
  <c r="J1750" i="1"/>
  <c r="K1750" i="1" s="1"/>
  <c r="J1751" i="1"/>
  <c r="K1751" i="1" s="1"/>
  <c r="J1752" i="1"/>
  <c r="K1752" i="1" s="1"/>
  <c r="J1753" i="1"/>
  <c r="K1753" i="1" s="1"/>
  <c r="J1754" i="1"/>
  <c r="K1754" i="1" s="1"/>
  <c r="J1755" i="1"/>
  <c r="K1755" i="1" s="1"/>
  <c r="J1756" i="1"/>
  <c r="K1756" i="1" s="1"/>
  <c r="J1757" i="1"/>
  <c r="K1757" i="1" s="1"/>
  <c r="J1758" i="1"/>
  <c r="K1758" i="1" s="1"/>
  <c r="J1759" i="1"/>
  <c r="K1759" i="1" s="1"/>
  <c r="J1760" i="1"/>
  <c r="K1760" i="1" s="1"/>
  <c r="J1761" i="1"/>
  <c r="K1761" i="1" s="1"/>
  <c r="J1762" i="1"/>
  <c r="K1762" i="1" s="1"/>
  <c r="J1763" i="1"/>
  <c r="K1763" i="1" s="1"/>
  <c r="J1764" i="1"/>
  <c r="K1764" i="1" s="1"/>
  <c r="J1765" i="1"/>
  <c r="K1765" i="1" s="1"/>
  <c r="J1766" i="1"/>
  <c r="K1766" i="1" s="1"/>
  <c r="J1767" i="1"/>
  <c r="K1767" i="1" s="1"/>
  <c r="J1768" i="1"/>
  <c r="K1768" i="1" s="1"/>
  <c r="J1769" i="1"/>
  <c r="K1769" i="1" s="1"/>
  <c r="J1770" i="1"/>
  <c r="K1770" i="1" s="1"/>
  <c r="J1771" i="1"/>
  <c r="K1771" i="1" s="1"/>
  <c r="J1772" i="1"/>
  <c r="K1772" i="1" s="1"/>
  <c r="J1773" i="1"/>
  <c r="K1773" i="1" s="1"/>
  <c r="J1774" i="1"/>
  <c r="K1774" i="1" s="1"/>
  <c r="J1775" i="1"/>
  <c r="K1775" i="1" s="1"/>
  <c r="J1776" i="1"/>
  <c r="K1776" i="1" s="1"/>
  <c r="J1777" i="1"/>
  <c r="K1777" i="1" s="1"/>
  <c r="J1778" i="1"/>
  <c r="K1778" i="1" s="1"/>
  <c r="J1779" i="1"/>
  <c r="K1779" i="1" s="1"/>
  <c r="J1780" i="1"/>
  <c r="K1780" i="1" s="1"/>
  <c r="J1781" i="1"/>
  <c r="K1781" i="1" s="1"/>
  <c r="J1782" i="1"/>
  <c r="K1782" i="1" s="1"/>
  <c r="J1783" i="1"/>
  <c r="K1783" i="1" s="1"/>
  <c r="J1784" i="1"/>
  <c r="K1784" i="1" s="1"/>
  <c r="J1785" i="1"/>
  <c r="K1785" i="1" s="1"/>
  <c r="J1786" i="1"/>
  <c r="K1786" i="1" s="1"/>
  <c r="J1787" i="1"/>
  <c r="K1787" i="1" s="1"/>
  <c r="J1788" i="1"/>
  <c r="K1788" i="1" s="1"/>
  <c r="J1789" i="1"/>
  <c r="K1789" i="1" s="1"/>
  <c r="J1790" i="1"/>
  <c r="K1790" i="1" s="1"/>
  <c r="J1791" i="1"/>
  <c r="K1791" i="1" s="1"/>
  <c r="J1792" i="1"/>
  <c r="K1792" i="1" s="1"/>
  <c r="J1793" i="1"/>
  <c r="K1793" i="1" s="1"/>
  <c r="J1794" i="1"/>
  <c r="K1794" i="1" s="1"/>
  <c r="J1795" i="1"/>
  <c r="K1795" i="1" s="1"/>
  <c r="J1796" i="1"/>
  <c r="K1796" i="1" s="1"/>
  <c r="J1797" i="1"/>
  <c r="K1797" i="1" s="1"/>
  <c r="J1798" i="1"/>
  <c r="K1798" i="1" s="1"/>
  <c r="J1799" i="1"/>
  <c r="K1799" i="1" s="1"/>
  <c r="J1800" i="1"/>
  <c r="K1800" i="1" s="1"/>
  <c r="J1801" i="1"/>
  <c r="K1801" i="1" s="1"/>
  <c r="J1802" i="1"/>
  <c r="K1802" i="1" s="1"/>
  <c r="J1803" i="1"/>
  <c r="K1803" i="1" s="1"/>
  <c r="J1804" i="1"/>
  <c r="K1804" i="1" s="1"/>
  <c r="J1805" i="1"/>
  <c r="K1805" i="1" s="1"/>
  <c r="J1806" i="1"/>
  <c r="K1806" i="1" s="1"/>
  <c r="J1807" i="1"/>
  <c r="K1807" i="1" s="1"/>
  <c r="J1808" i="1"/>
  <c r="K1808" i="1" s="1"/>
  <c r="J1809" i="1"/>
  <c r="K1809" i="1" s="1"/>
  <c r="J1810" i="1"/>
  <c r="K1810" i="1" s="1"/>
  <c r="J1811" i="1"/>
  <c r="K1811" i="1" s="1"/>
  <c r="J1812" i="1"/>
  <c r="K1812" i="1" s="1"/>
  <c r="J1813" i="1"/>
  <c r="K1813" i="1" s="1"/>
  <c r="J1814" i="1"/>
  <c r="K1814" i="1" s="1"/>
  <c r="J1815" i="1"/>
  <c r="K1815" i="1" s="1"/>
  <c r="J1816" i="1"/>
  <c r="K1816" i="1" s="1"/>
  <c r="J1817" i="1"/>
  <c r="K1817" i="1" s="1"/>
  <c r="J1818" i="1"/>
  <c r="K1818" i="1" s="1"/>
  <c r="J1819" i="1"/>
  <c r="K1819" i="1" s="1"/>
  <c r="J1820" i="1"/>
  <c r="K1820" i="1" s="1"/>
  <c r="J1821" i="1"/>
  <c r="K1821" i="1" s="1"/>
  <c r="J1822" i="1"/>
  <c r="K1822" i="1" s="1"/>
  <c r="J1823" i="1"/>
  <c r="K1823" i="1" s="1"/>
  <c r="J1824" i="1"/>
  <c r="K1824" i="1" s="1"/>
  <c r="J1825" i="1"/>
  <c r="K1825" i="1" s="1"/>
  <c r="J1826" i="1"/>
  <c r="K1826" i="1" s="1"/>
  <c r="J1827" i="1"/>
  <c r="K1827" i="1" s="1"/>
  <c r="J1828" i="1"/>
  <c r="K1828" i="1" s="1"/>
  <c r="J1829" i="1"/>
  <c r="K1829" i="1" s="1"/>
  <c r="J1830" i="1"/>
  <c r="K1830" i="1" s="1"/>
  <c r="J1831" i="1"/>
  <c r="K1831" i="1" s="1"/>
  <c r="J1832" i="1"/>
  <c r="K1832" i="1" s="1"/>
  <c r="J1833" i="1"/>
  <c r="K1833" i="1" s="1"/>
  <c r="J1834" i="1"/>
  <c r="K1834" i="1" s="1"/>
  <c r="J1835" i="1"/>
  <c r="K1835" i="1" s="1"/>
  <c r="J1836" i="1"/>
  <c r="K1836" i="1" s="1"/>
  <c r="J1837" i="1"/>
  <c r="K1837" i="1" s="1"/>
  <c r="J1838" i="1"/>
  <c r="K1838" i="1" s="1"/>
  <c r="J1839" i="1"/>
  <c r="K1839" i="1" s="1"/>
  <c r="J1840" i="1"/>
  <c r="K1840" i="1" s="1"/>
  <c r="J1841" i="1"/>
  <c r="K1841" i="1" s="1"/>
  <c r="J1842" i="1"/>
  <c r="K1842" i="1" s="1"/>
  <c r="J1843" i="1"/>
  <c r="K1843" i="1" s="1"/>
  <c r="J1844" i="1"/>
  <c r="K1844" i="1" s="1"/>
  <c r="J1845" i="1"/>
  <c r="K1845" i="1" s="1"/>
  <c r="J1846" i="1"/>
  <c r="K1846" i="1" s="1"/>
  <c r="J1847" i="1"/>
  <c r="K1847" i="1" s="1"/>
  <c r="J1848" i="1"/>
  <c r="K1848" i="1" s="1"/>
  <c r="J1849" i="1"/>
  <c r="K1849" i="1" s="1"/>
  <c r="J1850" i="1"/>
  <c r="K1850" i="1" s="1"/>
  <c r="J1851" i="1"/>
  <c r="K1851" i="1" s="1"/>
  <c r="J1852" i="1"/>
  <c r="K1852" i="1" s="1"/>
  <c r="J1853" i="1"/>
  <c r="K1853" i="1" s="1"/>
  <c r="J1854" i="1"/>
  <c r="K1854" i="1" s="1"/>
  <c r="J1855" i="1"/>
  <c r="K1855" i="1" s="1"/>
  <c r="J1856" i="1"/>
  <c r="K1856" i="1" s="1"/>
  <c r="J1857" i="1"/>
  <c r="K1857" i="1" s="1"/>
  <c r="J1858" i="1"/>
  <c r="K1858" i="1" s="1"/>
  <c r="J1859" i="1"/>
  <c r="K1859" i="1" s="1"/>
  <c r="J1860" i="1"/>
  <c r="K1860" i="1" s="1"/>
  <c r="J1861" i="1"/>
  <c r="K1861" i="1" s="1"/>
  <c r="J1862" i="1"/>
  <c r="K1862" i="1" s="1"/>
  <c r="J1863" i="1"/>
  <c r="K1863" i="1" s="1"/>
  <c r="J1864" i="1"/>
  <c r="K1864" i="1" s="1"/>
  <c r="J1865" i="1"/>
  <c r="K1865" i="1" s="1"/>
  <c r="J1866" i="1"/>
  <c r="K1866" i="1" s="1"/>
  <c r="J1867" i="1"/>
  <c r="K1867" i="1" s="1"/>
  <c r="J1868" i="1"/>
  <c r="K1868" i="1" s="1"/>
  <c r="J1869" i="1"/>
  <c r="K1869" i="1" s="1"/>
  <c r="J1870" i="1"/>
  <c r="K1870" i="1" s="1"/>
  <c r="J1871" i="1"/>
  <c r="K1871" i="1" s="1"/>
  <c r="J1872" i="1"/>
  <c r="K1872" i="1" s="1"/>
  <c r="J1873" i="1"/>
  <c r="K1873" i="1" s="1"/>
  <c r="J1874" i="1"/>
  <c r="K1874" i="1" s="1"/>
  <c r="J1875" i="1"/>
  <c r="K1875" i="1" s="1"/>
  <c r="J1876" i="1"/>
  <c r="K1876" i="1" s="1"/>
  <c r="J1877" i="1"/>
  <c r="K1877" i="1" s="1"/>
  <c r="J1878" i="1"/>
  <c r="K1878" i="1" s="1"/>
  <c r="J1879" i="1"/>
  <c r="K1879" i="1" s="1"/>
  <c r="J1880" i="1"/>
  <c r="K1880" i="1" s="1"/>
  <c r="J1881" i="1"/>
  <c r="K1881" i="1" s="1"/>
  <c r="J1882" i="1"/>
  <c r="K1882" i="1" s="1"/>
  <c r="J1883" i="1"/>
  <c r="K1883" i="1" s="1"/>
  <c r="J1884" i="1"/>
  <c r="K1884" i="1" s="1"/>
  <c r="J1885" i="1"/>
  <c r="K1885" i="1" s="1"/>
  <c r="J1886" i="1"/>
  <c r="K1886" i="1" s="1"/>
  <c r="J1887" i="1"/>
  <c r="K1887" i="1" s="1"/>
  <c r="J1888" i="1"/>
  <c r="K1888" i="1" s="1"/>
  <c r="J1889" i="1"/>
  <c r="K1889" i="1" s="1"/>
  <c r="J1890" i="1"/>
  <c r="K1890" i="1" s="1"/>
  <c r="J1891" i="1"/>
  <c r="K1891" i="1" s="1"/>
  <c r="J1892" i="1"/>
  <c r="K1892" i="1" s="1"/>
  <c r="J1893" i="1"/>
  <c r="K1893" i="1" s="1"/>
  <c r="J1894" i="1"/>
  <c r="K1894" i="1" s="1"/>
  <c r="J1895" i="1"/>
  <c r="K1895" i="1" s="1"/>
  <c r="J1896" i="1"/>
  <c r="K1896" i="1" s="1"/>
  <c r="J1897" i="1"/>
  <c r="K1897" i="1" s="1"/>
  <c r="J1898" i="1"/>
  <c r="K1898" i="1" s="1"/>
  <c r="J1899" i="1"/>
  <c r="K1899" i="1" s="1"/>
  <c r="J1900" i="1"/>
  <c r="K1900" i="1" s="1"/>
  <c r="J1901" i="1"/>
  <c r="K1901" i="1" s="1"/>
  <c r="J1902" i="1"/>
  <c r="K1902" i="1" s="1"/>
  <c r="J1903" i="1"/>
  <c r="K1903" i="1" s="1"/>
  <c r="J1904" i="1"/>
  <c r="K1904" i="1" s="1"/>
  <c r="J1905" i="1"/>
  <c r="K1905" i="1" s="1"/>
  <c r="J1906" i="1"/>
  <c r="K1906" i="1" s="1"/>
  <c r="J1907" i="1"/>
  <c r="K1907" i="1" s="1"/>
  <c r="J1908" i="1"/>
  <c r="K1908" i="1" s="1"/>
  <c r="J1909" i="1"/>
  <c r="K1909" i="1" s="1"/>
  <c r="J1910" i="1"/>
  <c r="K1910" i="1" s="1"/>
  <c r="J1911" i="1"/>
  <c r="K1911" i="1" s="1"/>
  <c r="J1912" i="1"/>
  <c r="K1912" i="1" s="1"/>
  <c r="J1913" i="1"/>
  <c r="K1913" i="1" s="1"/>
  <c r="J1914" i="1"/>
  <c r="K1914" i="1" s="1"/>
  <c r="J1915" i="1"/>
  <c r="K1915" i="1" s="1"/>
  <c r="J1916" i="1"/>
  <c r="K1916" i="1" s="1"/>
  <c r="J1917" i="1"/>
  <c r="K1917" i="1" s="1"/>
  <c r="J1918" i="1"/>
  <c r="K1918" i="1" s="1"/>
  <c r="J1919" i="1"/>
  <c r="K1919" i="1" s="1"/>
  <c r="J1920" i="1"/>
  <c r="K1920" i="1" s="1"/>
  <c r="J1921" i="1"/>
  <c r="K1921" i="1" s="1"/>
  <c r="J1922" i="1"/>
  <c r="K1922" i="1" s="1"/>
  <c r="J1923" i="1"/>
  <c r="K1923" i="1" s="1"/>
  <c r="J1924" i="1"/>
  <c r="K1924" i="1" s="1"/>
  <c r="J1925" i="1"/>
  <c r="K1925" i="1" s="1"/>
  <c r="J1926" i="1"/>
  <c r="K1926" i="1" s="1"/>
  <c r="J1927" i="1"/>
  <c r="K1927" i="1" s="1"/>
  <c r="J1928" i="1"/>
  <c r="K1928" i="1" s="1"/>
  <c r="J1929" i="1"/>
  <c r="K1929" i="1" s="1"/>
  <c r="J1930" i="1"/>
  <c r="K1930" i="1" s="1"/>
  <c r="J1931" i="1"/>
  <c r="K1931" i="1" s="1"/>
  <c r="J1932" i="1"/>
  <c r="K1932" i="1" s="1"/>
  <c r="J1933" i="1"/>
  <c r="K1933" i="1" s="1"/>
  <c r="J1934" i="1"/>
  <c r="K1934" i="1" s="1"/>
  <c r="J1935" i="1"/>
  <c r="K1935" i="1" s="1"/>
  <c r="J1936" i="1"/>
  <c r="K1936" i="1" s="1"/>
  <c r="J1937" i="1"/>
  <c r="K1937" i="1" s="1"/>
  <c r="J1938" i="1"/>
  <c r="K1938" i="1" s="1"/>
  <c r="J1939" i="1"/>
  <c r="K1939" i="1" s="1"/>
  <c r="J1940" i="1"/>
  <c r="K1940" i="1" s="1"/>
  <c r="J1941" i="1"/>
  <c r="K1941" i="1" s="1"/>
  <c r="J1942" i="1"/>
  <c r="K1942" i="1" s="1"/>
  <c r="J1943" i="1"/>
  <c r="K1943" i="1" s="1"/>
  <c r="J1944" i="1"/>
  <c r="K1944" i="1" s="1"/>
  <c r="J1945" i="1"/>
  <c r="K1945" i="1" s="1"/>
  <c r="J1946" i="1"/>
  <c r="K1946" i="1" s="1"/>
  <c r="J1947" i="1"/>
  <c r="K1947" i="1" s="1"/>
  <c r="J1948" i="1"/>
  <c r="K1948" i="1" s="1"/>
  <c r="J1949" i="1"/>
  <c r="K1949" i="1" s="1"/>
  <c r="J1950" i="1"/>
  <c r="K1950" i="1" s="1"/>
  <c r="J1951" i="1"/>
  <c r="K1951" i="1" s="1"/>
  <c r="J1952" i="1"/>
  <c r="K1952" i="1" s="1"/>
  <c r="J1953" i="1"/>
  <c r="K1953" i="1" s="1"/>
  <c r="J1954" i="1"/>
  <c r="K1954" i="1" s="1"/>
  <c r="J1955" i="1"/>
  <c r="K1955" i="1" s="1"/>
  <c r="J1956" i="1"/>
  <c r="K1956" i="1" s="1"/>
  <c r="J1957" i="1"/>
  <c r="K1957" i="1" s="1"/>
  <c r="J1958" i="1"/>
  <c r="K1958" i="1" s="1"/>
  <c r="J1959" i="1"/>
  <c r="K1959" i="1" s="1"/>
  <c r="J1960" i="1"/>
  <c r="K1960" i="1" s="1"/>
  <c r="J1961" i="1"/>
  <c r="K1961" i="1" s="1"/>
  <c r="J1962" i="1"/>
  <c r="K1962" i="1" s="1"/>
  <c r="J1963" i="1"/>
  <c r="K1963" i="1" s="1"/>
  <c r="J1964" i="1"/>
  <c r="K1964" i="1" s="1"/>
  <c r="J1965" i="1"/>
  <c r="K1965" i="1" s="1"/>
  <c r="J1966" i="1"/>
  <c r="K1966" i="1" s="1"/>
  <c r="J1967" i="1"/>
  <c r="K1967" i="1" s="1"/>
  <c r="J1968" i="1"/>
  <c r="K1968" i="1" s="1"/>
  <c r="J1969" i="1"/>
  <c r="K1969" i="1" s="1"/>
  <c r="J1970" i="1"/>
  <c r="K1970" i="1" s="1"/>
  <c r="J1971" i="1"/>
  <c r="K1971" i="1" s="1"/>
  <c r="J1972" i="1"/>
  <c r="K1972" i="1" s="1"/>
  <c r="J1973" i="1"/>
  <c r="K1973" i="1" s="1"/>
  <c r="J1974" i="1"/>
  <c r="K1974" i="1" s="1"/>
  <c r="J1975" i="1"/>
  <c r="K1975" i="1" s="1"/>
  <c r="J1976" i="1"/>
  <c r="K1976" i="1" s="1"/>
  <c r="J1977" i="1"/>
  <c r="K1977" i="1" s="1"/>
  <c r="J1978" i="1"/>
  <c r="K1978" i="1" s="1"/>
  <c r="J1979" i="1"/>
  <c r="K1979" i="1" s="1"/>
  <c r="J1980" i="1"/>
  <c r="K1980" i="1" s="1"/>
  <c r="J1981" i="1"/>
  <c r="K1981" i="1" s="1"/>
  <c r="J1982" i="1"/>
  <c r="K1982" i="1" s="1"/>
  <c r="J1983" i="1"/>
  <c r="K1983" i="1" s="1"/>
  <c r="J1984" i="1"/>
  <c r="K1984" i="1" s="1"/>
  <c r="J1985" i="1"/>
  <c r="K1985" i="1" s="1"/>
  <c r="J1986" i="1"/>
  <c r="K1986" i="1" s="1"/>
  <c r="J1987" i="1"/>
  <c r="K1987" i="1" s="1"/>
  <c r="J1988" i="1"/>
  <c r="K1988" i="1" s="1"/>
  <c r="J1989" i="1"/>
  <c r="K1989" i="1" s="1"/>
  <c r="J1990" i="1"/>
  <c r="K1990" i="1" s="1"/>
  <c r="J1991" i="1"/>
  <c r="K1991" i="1" s="1"/>
  <c r="J1992" i="1"/>
  <c r="K1992" i="1" s="1"/>
  <c r="J1993" i="1"/>
  <c r="K1993" i="1" s="1"/>
  <c r="J1994" i="1"/>
  <c r="K1994" i="1" s="1"/>
  <c r="J1995" i="1"/>
  <c r="K1995" i="1" s="1"/>
  <c r="J1996" i="1"/>
  <c r="K1996" i="1" s="1"/>
  <c r="J1997" i="1"/>
  <c r="K1997" i="1" s="1"/>
  <c r="J1998" i="1"/>
  <c r="K1998" i="1" s="1"/>
  <c r="J1999" i="1"/>
  <c r="K1999" i="1" s="1"/>
  <c r="J2000" i="1"/>
  <c r="K2000" i="1" s="1"/>
  <c r="J2001" i="1"/>
  <c r="K2001" i="1" s="1"/>
  <c r="J2002" i="1"/>
  <c r="K2002" i="1" s="1"/>
  <c r="J2003" i="1"/>
  <c r="K2003" i="1" s="1"/>
  <c r="J2004" i="1"/>
  <c r="K2004" i="1" s="1"/>
  <c r="J2005" i="1"/>
  <c r="K2005" i="1" s="1"/>
  <c r="J2006" i="1"/>
  <c r="K2006" i="1" s="1"/>
  <c r="J2007" i="1"/>
  <c r="K2007" i="1" s="1"/>
  <c r="J2008" i="1"/>
  <c r="K2008" i="1" s="1"/>
  <c r="J2009" i="1"/>
  <c r="K2009" i="1" s="1"/>
  <c r="J2010" i="1"/>
  <c r="K2010" i="1" s="1"/>
  <c r="J2011" i="1"/>
  <c r="K2011" i="1" s="1"/>
  <c r="J2012" i="1"/>
  <c r="K2012" i="1" s="1"/>
  <c r="J2013" i="1"/>
  <c r="K2013" i="1" s="1"/>
  <c r="J2014" i="1"/>
  <c r="K2014" i="1" s="1"/>
  <c r="J2015" i="1"/>
  <c r="K2015" i="1" s="1"/>
  <c r="J2016" i="1"/>
  <c r="K2016" i="1" s="1"/>
  <c r="J2017" i="1"/>
  <c r="K2017" i="1" s="1"/>
  <c r="J2018" i="1"/>
  <c r="K2018" i="1" s="1"/>
  <c r="J2019" i="1"/>
  <c r="K2019" i="1" s="1"/>
  <c r="J2020" i="1"/>
  <c r="K2020" i="1" s="1"/>
  <c r="J2021" i="1"/>
  <c r="K2021" i="1" s="1"/>
  <c r="J2022" i="1"/>
  <c r="K2022" i="1" s="1"/>
  <c r="J2023" i="1"/>
  <c r="K2023" i="1" s="1"/>
  <c r="J2024" i="1"/>
  <c r="K2024" i="1" s="1"/>
  <c r="J2025" i="1"/>
  <c r="K2025" i="1" s="1"/>
  <c r="J2026" i="1"/>
  <c r="K2026" i="1" s="1"/>
  <c r="J2027" i="1"/>
  <c r="K2027" i="1" s="1"/>
  <c r="J2028" i="1"/>
  <c r="K2028" i="1" s="1"/>
  <c r="J2029" i="1"/>
  <c r="K2029" i="1" s="1"/>
  <c r="J2030" i="1"/>
  <c r="K2030" i="1" s="1"/>
  <c r="J2031" i="1"/>
  <c r="K2031" i="1" s="1"/>
  <c r="J2032" i="1"/>
  <c r="K2032" i="1" s="1"/>
  <c r="J2033" i="1"/>
  <c r="K2033" i="1" s="1"/>
  <c r="J2034" i="1"/>
  <c r="K2034" i="1" s="1"/>
  <c r="J2035" i="1"/>
  <c r="K2035" i="1" s="1"/>
  <c r="J2036" i="1"/>
  <c r="K2036" i="1" s="1"/>
  <c r="J2037" i="1"/>
  <c r="K2037" i="1" s="1"/>
  <c r="J2038" i="1"/>
  <c r="K2038" i="1" s="1"/>
  <c r="J2039" i="1"/>
  <c r="K2039" i="1" s="1"/>
  <c r="J2040" i="1"/>
  <c r="K2040" i="1" s="1"/>
  <c r="J2041" i="1"/>
  <c r="K2041" i="1" s="1"/>
  <c r="J2042" i="1"/>
  <c r="K2042" i="1" s="1"/>
  <c r="J2043" i="1"/>
  <c r="K2043" i="1" s="1"/>
  <c r="J2044" i="1"/>
  <c r="K2044" i="1" s="1"/>
  <c r="J2045" i="1"/>
  <c r="K2045" i="1" s="1"/>
  <c r="J2046" i="1"/>
  <c r="K2046" i="1" s="1"/>
  <c r="J2047" i="1"/>
  <c r="K2047" i="1" s="1"/>
  <c r="J2048" i="1"/>
  <c r="K2048" i="1" s="1"/>
  <c r="J2049" i="1"/>
  <c r="K2049" i="1" s="1"/>
  <c r="J2050" i="1"/>
  <c r="K2050" i="1" s="1"/>
  <c r="J2051" i="1"/>
  <c r="K2051" i="1" s="1"/>
  <c r="J2052" i="1"/>
  <c r="K2052" i="1" s="1"/>
  <c r="J2053" i="1"/>
  <c r="K2053" i="1" s="1"/>
  <c r="J2054" i="1"/>
  <c r="K2054" i="1" s="1"/>
  <c r="J2055" i="1"/>
  <c r="K2055" i="1" s="1"/>
  <c r="J2056" i="1"/>
  <c r="K2056" i="1" s="1"/>
  <c r="J2057" i="1"/>
  <c r="K2057" i="1" s="1"/>
  <c r="J2058" i="1"/>
  <c r="K2058" i="1" s="1"/>
  <c r="J2059" i="1"/>
  <c r="K2059" i="1" s="1"/>
  <c r="J2060" i="1"/>
  <c r="K2060" i="1" s="1"/>
  <c r="J2061" i="1"/>
  <c r="K2061" i="1" s="1"/>
  <c r="J2062" i="1"/>
  <c r="K2062" i="1" s="1"/>
  <c r="J2063" i="1"/>
  <c r="K2063" i="1" s="1"/>
  <c r="J2064" i="1"/>
  <c r="K2064" i="1" s="1"/>
  <c r="J2065" i="1"/>
  <c r="K2065" i="1" s="1"/>
  <c r="J2066" i="1"/>
  <c r="K2066" i="1" s="1"/>
  <c r="J2067" i="1"/>
  <c r="K2067" i="1" s="1"/>
  <c r="J2068" i="1"/>
  <c r="K2068" i="1" s="1"/>
  <c r="J2069" i="1"/>
  <c r="K2069" i="1" s="1"/>
  <c r="J2070" i="1"/>
  <c r="K2070" i="1" s="1"/>
  <c r="J2071" i="1"/>
  <c r="K2071" i="1" s="1"/>
  <c r="J2072" i="1"/>
  <c r="K2072" i="1" s="1"/>
  <c r="J2073" i="1"/>
  <c r="K2073" i="1" s="1"/>
  <c r="J2074" i="1"/>
  <c r="K2074" i="1" s="1"/>
  <c r="J2075" i="1"/>
  <c r="K2075" i="1" s="1"/>
  <c r="J2076" i="1"/>
  <c r="K2076" i="1" s="1"/>
  <c r="J2077" i="1"/>
  <c r="K2077" i="1" s="1"/>
  <c r="J2078" i="1"/>
  <c r="K2078" i="1" s="1"/>
  <c r="J2079" i="1"/>
  <c r="K2079" i="1" s="1"/>
  <c r="J2080" i="1"/>
  <c r="K2080" i="1" s="1"/>
  <c r="J2081" i="1"/>
  <c r="K2081" i="1" s="1"/>
  <c r="J2082" i="1"/>
  <c r="K2082" i="1" s="1"/>
  <c r="J2083" i="1"/>
  <c r="K2083" i="1" s="1"/>
  <c r="J2084" i="1"/>
  <c r="K2084" i="1" s="1"/>
  <c r="J2085" i="1"/>
  <c r="K2085" i="1" s="1"/>
  <c r="J2086" i="1"/>
  <c r="K2086" i="1" s="1"/>
  <c r="J2087" i="1"/>
  <c r="K2087" i="1" s="1"/>
  <c r="J2088" i="1"/>
  <c r="K2088" i="1" s="1"/>
  <c r="J2089" i="1"/>
  <c r="K2089" i="1" s="1"/>
  <c r="J2090" i="1"/>
  <c r="K2090" i="1" s="1"/>
  <c r="J2091" i="1"/>
  <c r="K2091" i="1" s="1"/>
  <c r="J2092" i="1"/>
  <c r="K2092" i="1" s="1"/>
  <c r="J2093" i="1"/>
  <c r="K2093" i="1" s="1"/>
  <c r="J2094" i="1"/>
  <c r="K2094" i="1" s="1"/>
  <c r="J2095" i="1"/>
  <c r="K2095" i="1" s="1"/>
  <c r="J2096" i="1"/>
  <c r="K2096" i="1" s="1"/>
  <c r="J2097" i="1"/>
  <c r="K2097" i="1" s="1"/>
  <c r="J2098" i="1"/>
  <c r="K2098" i="1" s="1"/>
  <c r="J2099" i="1"/>
  <c r="K2099" i="1" s="1"/>
  <c r="J2100" i="1"/>
  <c r="K2100" i="1" s="1"/>
  <c r="J2101" i="1"/>
  <c r="K2101" i="1" s="1"/>
  <c r="J2102" i="1"/>
  <c r="K2102" i="1" s="1"/>
  <c r="J2103" i="1"/>
  <c r="K2103" i="1" s="1"/>
  <c r="J2104" i="1"/>
  <c r="K2104" i="1" s="1"/>
  <c r="J2105" i="1"/>
  <c r="K2105" i="1" s="1"/>
  <c r="J2106" i="1"/>
  <c r="K2106" i="1" s="1"/>
  <c r="J2107" i="1"/>
  <c r="K2107" i="1" s="1"/>
  <c r="J2108" i="1"/>
  <c r="K2108" i="1" s="1"/>
  <c r="J2109" i="1"/>
  <c r="K2109" i="1" s="1"/>
  <c r="J2110" i="1"/>
  <c r="K2110" i="1" s="1"/>
  <c r="J2111" i="1"/>
  <c r="K2111" i="1" s="1"/>
  <c r="J2112" i="1"/>
  <c r="K2112" i="1" s="1"/>
  <c r="J2113" i="1"/>
  <c r="K2113" i="1" s="1"/>
  <c r="J2114" i="1"/>
  <c r="K2114" i="1" s="1"/>
  <c r="J2115" i="1"/>
  <c r="K2115" i="1" s="1"/>
  <c r="J2116" i="1"/>
  <c r="K2116" i="1" s="1"/>
  <c r="J2117" i="1"/>
  <c r="K2117" i="1" s="1"/>
  <c r="J2118" i="1"/>
  <c r="K2118" i="1" s="1"/>
  <c r="J2119" i="1"/>
  <c r="K2119" i="1" s="1"/>
  <c r="J2120" i="1"/>
  <c r="K2120" i="1" s="1"/>
  <c r="J2121" i="1"/>
  <c r="K2121" i="1" s="1"/>
  <c r="J2122" i="1"/>
  <c r="K2122" i="1" s="1"/>
  <c r="J2123" i="1"/>
  <c r="K2123" i="1" s="1"/>
  <c r="J2124" i="1"/>
  <c r="K2124" i="1" s="1"/>
  <c r="J2125" i="1"/>
  <c r="K2125" i="1" s="1"/>
  <c r="J2126" i="1"/>
  <c r="K2126" i="1" s="1"/>
  <c r="J2127" i="1"/>
  <c r="K2127" i="1" s="1"/>
  <c r="J2128" i="1"/>
  <c r="K2128" i="1" s="1"/>
  <c r="J2129" i="1"/>
  <c r="K2129" i="1" s="1"/>
  <c r="J2130" i="1"/>
  <c r="K2130" i="1" s="1"/>
  <c r="J2131" i="1"/>
  <c r="K2131" i="1" s="1"/>
  <c r="J2132" i="1"/>
  <c r="K2132" i="1" s="1"/>
  <c r="J2133" i="1"/>
  <c r="K2133" i="1" s="1"/>
  <c r="J2134" i="1"/>
  <c r="K2134" i="1" s="1"/>
  <c r="J2135" i="1"/>
  <c r="K2135" i="1" s="1"/>
  <c r="J2136" i="1"/>
  <c r="K2136" i="1" s="1"/>
  <c r="J2137" i="1"/>
  <c r="K2137" i="1" s="1"/>
  <c r="J2138" i="1"/>
  <c r="K2138" i="1" s="1"/>
  <c r="J2139" i="1"/>
  <c r="K2139" i="1" s="1"/>
  <c r="J2140" i="1"/>
  <c r="K2140" i="1" s="1"/>
  <c r="J2141" i="1"/>
  <c r="K2141" i="1" s="1"/>
  <c r="J2142" i="1"/>
  <c r="K2142" i="1" s="1"/>
  <c r="J2143" i="1"/>
  <c r="K2143" i="1" s="1"/>
  <c r="J2144" i="1"/>
  <c r="K2144" i="1" s="1"/>
  <c r="J2145" i="1"/>
  <c r="K2145" i="1" s="1"/>
  <c r="J2146" i="1"/>
  <c r="K2146" i="1" s="1"/>
  <c r="J2147" i="1"/>
  <c r="K2147" i="1" s="1"/>
  <c r="J2148" i="1"/>
  <c r="K2148" i="1" s="1"/>
  <c r="J2149" i="1"/>
  <c r="K2149" i="1" s="1"/>
  <c r="J2150" i="1"/>
  <c r="K2150" i="1" s="1"/>
  <c r="J2151" i="1"/>
  <c r="K2151" i="1" s="1"/>
  <c r="J2152" i="1"/>
  <c r="K2152" i="1" s="1"/>
  <c r="J2153" i="1"/>
  <c r="K2153" i="1" s="1"/>
  <c r="J2154" i="1"/>
  <c r="K2154" i="1" s="1"/>
  <c r="J2155" i="1"/>
  <c r="K2155" i="1" s="1"/>
  <c r="J2156" i="1"/>
  <c r="K2156" i="1" s="1"/>
  <c r="J2157" i="1"/>
  <c r="K2157" i="1" s="1"/>
  <c r="J2158" i="1"/>
  <c r="K2158" i="1" s="1"/>
  <c r="J2159" i="1"/>
  <c r="K2159" i="1" s="1"/>
  <c r="J2160" i="1"/>
  <c r="K2160" i="1" s="1"/>
  <c r="J2161" i="1"/>
  <c r="K2161" i="1" s="1"/>
  <c r="J2162" i="1"/>
  <c r="K2162" i="1" s="1"/>
  <c r="J2163" i="1"/>
  <c r="K2163" i="1" s="1"/>
  <c r="J2164" i="1"/>
  <c r="K2164" i="1" s="1"/>
  <c r="J2165" i="1"/>
  <c r="K2165" i="1" s="1"/>
  <c r="J2166" i="1"/>
  <c r="K2166" i="1" s="1"/>
  <c r="J2167" i="1"/>
  <c r="K2167" i="1" s="1"/>
  <c r="J2168" i="1"/>
  <c r="K2168" i="1" s="1"/>
  <c r="J2169" i="1"/>
  <c r="K2169" i="1" s="1"/>
  <c r="J2170" i="1"/>
  <c r="K2170" i="1" s="1"/>
  <c r="J2171" i="1"/>
  <c r="K2171" i="1" s="1"/>
  <c r="J2172" i="1"/>
  <c r="K2172" i="1" s="1"/>
  <c r="J2173" i="1"/>
  <c r="K2173" i="1" s="1"/>
  <c r="J2174" i="1"/>
  <c r="K2174" i="1" s="1"/>
  <c r="J2175" i="1"/>
  <c r="K2175" i="1" s="1"/>
  <c r="J2176" i="1"/>
  <c r="K2176" i="1" s="1"/>
  <c r="J2177" i="1"/>
  <c r="K2177" i="1" s="1"/>
  <c r="J2178" i="1"/>
  <c r="K2178" i="1" s="1"/>
  <c r="J2179" i="1"/>
  <c r="K2179" i="1" s="1"/>
  <c r="J2180" i="1"/>
  <c r="K2180" i="1" s="1"/>
  <c r="J2181" i="1"/>
  <c r="K2181" i="1" s="1"/>
  <c r="J2182" i="1"/>
  <c r="K2182" i="1" s="1"/>
  <c r="J2183" i="1"/>
  <c r="K2183" i="1" s="1"/>
  <c r="J2184" i="1"/>
  <c r="K2184" i="1" s="1"/>
  <c r="J2185" i="1"/>
  <c r="K2185" i="1" s="1"/>
  <c r="J2186" i="1"/>
  <c r="K2186" i="1" s="1"/>
  <c r="J2187" i="1"/>
  <c r="K2187" i="1" s="1"/>
  <c r="J2188" i="1"/>
  <c r="K2188" i="1" s="1"/>
  <c r="J2189" i="1"/>
  <c r="K2189" i="1" s="1"/>
  <c r="J2190" i="1"/>
  <c r="K2190" i="1" s="1"/>
  <c r="J2191" i="1"/>
  <c r="K2191" i="1" s="1"/>
  <c r="J2192" i="1"/>
  <c r="K2192" i="1" s="1"/>
  <c r="J2193" i="1"/>
  <c r="K2193" i="1" s="1"/>
  <c r="J2194" i="1"/>
  <c r="K2194" i="1" s="1"/>
  <c r="J2195" i="1"/>
  <c r="K2195" i="1" s="1"/>
  <c r="J2196" i="1"/>
  <c r="K2196" i="1" s="1"/>
  <c r="J2197" i="1"/>
  <c r="K2197" i="1" s="1"/>
  <c r="J2198" i="1"/>
  <c r="K2198" i="1" s="1"/>
  <c r="J2199" i="1"/>
  <c r="K2199" i="1" s="1"/>
  <c r="J2200" i="1"/>
  <c r="K2200" i="1" s="1"/>
  <c r="J2201" i="1"/>
  <c r="K2201" i="1" s="1"/>
  <c r="J2202" i="1"/>
  <c r="K2202" i="1" s="1"/>
  <c r="J2203" i="1"/>
  <c r="K2203" i="1" s="1"/>
  <c r="J2204" i="1"/>
  <c r="K2204" i="1" s="1"/>
  <c r="J2205" i="1"/>
  <c r="K2205" i="1" s="1"/>
  <c r="J2206" i="1"/>
  <c r="K2206" i="1" s="1"/>
  <c r="J2207" i="1"/>
  <c r="K2207" i="1" s="1"/>
  <c r="J2208" i="1"/>
  <c r="K2208" i="1" s="1"/>
  <c r="J2209" i="1"/>
  <c r="K2209" i="1" s="1"/>
  <c r="J2210" i="1"/>
  <c r="K2210" i="1" s="1"/>
  <c r="J2211" i="1"/>
  <c r="K2211" i="1" s="1"/>
  <c r="J2212" i="1"/>
  <c r="K2212" i="1" s="1"/>
  <c r="J2213" i="1"/>
  <c r="K2213" i="1" s="1"/>
  <c r="J2214" i="1"/>
  <c r="K2214" i="1" s="1"/>
  <c r="J2215" i="1"/>
  <c r="K2215" i="1" s="1"/>
  <c r="J2216" i="1"/>
  <c r="K2216" i="1" s="1"/>
  <c r="J2217" i="1"/>
  <c r="K2217" i="1" s="1"/>
  <c r="J2218" i="1"/>
  <c r="K2218" i="1" s="1"/>
  <c r="J2219" i="1"/>
  <c r="K2219" i="1" s="1"/>
  <c r="J2220" i="1"/>
  <c r="K2220" i="1" s="1"/>
  <c r="J2221" i="1"/>
  <c r="K2221" i="1" s="1"/>
  <c r="J2222" i="1"/>
  <c r="K2222" i="1" s="1"/>
  <c r="J2223" i="1"/>
  <c r="K2223" i="1" s="1"/>
  <c r="J2224" i="1"/>
  <c r="K2224" i="1" s="1"/>
  <c r="J2225" i="1"/>
  <c r="K2225" i="1" s="1"/>
  <c r="J2226" i="1"/>
  <c r="K2226" i="1" s="1"/>
  <c r="J2227" i="1"/>
  <c r="K2227" i="1" s="1"/>
  <c r="J2228" i="1"/>
  <c r="K2228" i="1" s="1"/>
  <c r="J2229" i="1"/>
  <c r="K2229" i="1" s="1"/>
  <c r="J2230" i="1"/>
  <c r="K2230" i="1" s="1"/>
  <c r="J2231" i="1"/>
  <c r="K2231" i="1" s="1"/>
  <c r="J2232" i="1"/>
  <c r="K2232" i="1" s="1"/>
  <c r="J2233" i="1"/>
  <c r="K2233" i="1" s="1"/>
  <c r="J2234" i="1"/>
  <c r="K2234" i="1" s="1"/>
  <c r="J2235" i="1"/>
  <c r="K2235" i="1" s="1"/>
  <c r="J2236" i="1"/>
  <c r="K2236" i="1" s="1"/>
  <c r="J2237" i="1"/>
  <c r="K2237" i="1" s="1"/>
  <c r="J2238" i="1"/>
  <c r="K2238" i="1" s="1"/>
  <c r="J2239" i="1"/>
  <c r="K2239" i="1" s="1"/>
  <c r="J2240" i="1"/>
  <c r="K2240" i="1" s="1"/>
  <c r="J2241" i="1"/>
  <c r="K2241" i="1" s="1"/>
  <c r="J2242" i="1"/>
  <c r="K2242" i="1" s="1"/>
  <c r="J2243" i="1"/>
  <c r="K2243" i="1" s="1"/>
  <c r="J2244" i="1"/>
  <c r="K2244" i="1" s="1"/>
  <c r="J2245" i="1"/>
  <c r="K2245" i="1" s="1"/>
  <c r="J2246" i="1"/>
  <c r="K2246" i="1" s="1"/>
  <c r="J2247" i="1"/>
  <c r="K2247" i="1" s="1"/>
  <c r="J2248" i="1"/>
  <c r="K2248" i="1" s="1"/>
  <c r="J2249" i="1"/>
  <c r="K2249" i="1" s="1"/>
  <c r="J2250" i="1"/>
  <c r="K2250" i="1" s="1"/>
  <c r="J2251" i="1"/>
  <c r="K2251" i="1" s="1"/>
  <c r="J2252" i="1"/>
  <c r="K2252" i="1" s="1"/>
  <c r="J2253" i="1"/>
  <c r="K2253" i="1" s="1"/>
  <c r="J2254" i="1"/>
  <c r="K2254" i="1" s="1"/>
  <c r="J2255" i="1"/>
  <c r="K2255" i="1" s="1"/>
  <c r="J2256" i="1"/>
  <c r="K2256" i="1" s="1"/>
  <c r="J2257" i="1"/>
  <c r="K2257" i="1" s="1"/>
  <c r="J2258" i="1"/>
  <c r="K2258" i="1" s="1"/>
  <c r="J2259" i="1"/>
  <c r="K2259" i="1" s="1"/>
  <c r="J2260" i="1"/>
  <c r="K2260" i="1" s="1"/>
  <c r="J2261" i="1"/>
  <c r="K2261" i="1" s="1"/>
  <c r="J2262" i="1"/>
  <c r="K2262" i="1" s="1"/>
  <c r="J2263" i="1"/>
  <c r="K2263" i="1" s="1"/>
  <c r="J2264" i="1"/>
  <c r="K2264" i="1" s="1"/>
  <c r="J2265" i="1"/>
  <c r="K2265" i="1" s="1"/>
  <c r="J2266" i="1"/>
  <c r="K2266" i="1" s="1"/>
  <c r="J2267" i="1"/>
  <c r="K2267" i="1" s="1"/>
  <c r="J2268" i="1"/>
  <c r="K2268" i="1" s="1"/>
  <c r="J2269" i="1"/>
  <c r="K2269" i="1" s="1"/>
  <c r="J2270" i="1"/>
  <c r="K2270" i="1" s="1"/>
  <c r="J2271" i="1"/>
  <c r="K2271" i="1" s="1"/>
  <c r="J2272" i="1"/>
  <c r="K2272" i="1" s="1"/>
  <c r="J2273" i="1"/>
  <c r="K2273" i="1" s="1"/>
  <c r="J2274" i="1"/>
  <c r="K2274" i="1" s="1"/>
  <c r="J2275" i="1"/>
  <c r="K2275" i="1" s="1"/>
  <c r="J2276" i="1"/>
  <c r="K2276" i="1" s="1"/>
  <c r="J2277" i="1"/>
  <c r="K2277" i="1" s="1"/>
  <c r="J2278" i="1"/>
  <c r="K2278" i="1" s="1"/>
  <c r="J2279" i="1"/>
  <c r="K2279" i="1" s="1"/>
  <c r="J2280" i="1"/>
  <c r="K2280" i="1" s="1"/>
  <c r="J2281" i="1"/>
  <c r="K2281" i="1" s="1"/>
  <c r="J2282" i="1"/>
  <c r="K2282" i="1" s="1"/>
  <c r="J2283" i="1"/>
  <c r="K2283" i="1" s="1"/>
  <c r="J2284" i="1"/>
  <c r="K2284" i="1" s="1"/>
  <c r="J2285" i="1"/>
  <c r="K2285" i="1" s="1"/>
  <c r="J2286" i="1"/>
  <c r="K2286" i="1" s="1"/>
  <c r="J2287" i="1"/>
  <c r="K2287" i="1" s="1"/>
  <c r="J2288" i="1"/>
  <c r="K2288" i="1" s="1"/>
  <c r="J2289" i="1"/>
  <c r="K2289" i="1" s="1"/>
  <c r="J2290" i="1"/>
  <c r="K2290" i="1" s="1"/>
  <c r="J2291" i="1"/>
  <c r="K2291" i="1" s="1"/>
  <c r="J2292" i="1"/>
  <c r="K2292" i="1" s="1"/>
  <c r="J2293" i="1"/>
  <c r="K2293" i="1" s="1"/>
  <c r="J2294" i="1"/>
  <c r="K2294" i="1" s="1"/>
  <c r="J2295" i="1"/>
  <c r="K2295" i="1" s="1"/>
  <c r="J2296" i="1"/>
  <c r="K2296" i="1" s="1"/>
  <c r="J2297" i="1"/>
  <c r="K2297" i="1" s="1"/>
  <c r="J2298" i="1"/>
  <c r="K2298" i="1" s="1"/>
  <c r="J2299" i="1"/>
  <c r="K2299" i="1" s="1"/>
  <c r="J2300" i="1"/>
  <c r="K2300" i="1" s="1"/>
  <c r="J2301" i="1"/>
  <c r="K2301" i="1" s="1"/>
  <c r="J2302" i="1"/>
  <c r="K2302" i="1" s="1"/>
  <c r="J2303" i="1"/>
  <c r="K2303" i="1" s="1"/>
  <c r="J2304" i="1"/>
  <c r="K2304" i="1" s="1"/>
  <c r="J2305" i="1"/>
  <c r="K2305" i="1" s="1"/>
  <c r="J2306" i="1"/>
  <c r="K2306" i="1" s="1"/>
  <c r="J2307" i="1"/>
  <c r="K2307" i="1" s="1"/>
  <c r="J2308" i="1"/>
  <c r="K2308" i="1" s="1"/>
  <c r="J2309" i="1"/>
  <c r="K2309" i="1" s="1"/>
  <c r="J2310" i="1"/>
  <c r="K2310" i="1" s="1"/>
  <c r="J2311" i="1"/>
  <c r="K2311" i="1" s="1"/>
  <c r="J2312" i="1"/>
  <c r="K2312" i="1" s="1"/>
  <c r="J2313" i="1"/>
  <c r="K2313" i="1" s="1"/>
  <c r="J2314" i="1"/>
  <c r="K2314" i="1" s="1"/>
  <c r="J2315" i="1"/>
  <c r="K2315" i="1" s="1"/>
  <c r="J2316" i="1"/>
  <c r="K2316" i="1" s="1"/>
  <c r="J2317" i="1"/>
  <c r="K2317" i="1" s="1"/>
  <c r="J2318" i="1"/>
  <c r="K2318" i="1" s="1"/>
  <c r="J2319" i="1"/>
  <c r="K2319" i="1" s="1"/>
  <c r="J2320" i="1"/>
  <c r="K2320" i="1" s="1"/>
  <c r="J2321" i="1"/>
  <c r="K2321" i="1" s="1"/>
  <c r="J2322" i="1"/>
  <c r="K2322" i="1" s="1"/>
  <c r="J2323" i="1"/>
  <c r="K2323" i="1" s="1"/>
  <c r="J2324" i="1"/>
  <c r="K2324" i="1" s="1"/>
  <c r="J2325" i="1"/>
  <c r="K2325" i="1" s="1"/>
  <c r="J2326" i="1"/>
  <c r="K2326" i="1" s="1"/>
  <c r="J2327" i="1"/>
  <c r="K2327" i="1" s="1"/>
  <c r="J2328" i="1"/>
  <c r="K2328" i="1" s="1"/>
  <c r="J2329" i="1"/>
  <c r="K2329" i="1" s="1"/>
  <c r="J2330" i="1"/>
  <c r="K2330" i="1" s="1"/>
  <c r="J2331" i="1"/>
  <c r="K2331" i="1" s="1"/>
  <c r="J2332" i="1"/>
  <c r="K2332" i="1" s="1"/>
  <c r="J2333" i="1"/>
  <c r="K2333" i="1" s="1"/>
  <c r="J2334" i="1"/>
  <c r="K2334" i="1" s="1"/>
  <c r="J2335" i="1"/>
  <c r="K2335" i="1" s="1"/>
  <c r="J2336" i="1"/>
  <c r="K2336" i="1" s="1"/>
  <c r="J2337" i="1"/>
  <c r="K2337" i="1" s="1"/>
  <c r="J2338" i="1"/>
  <c r="K2338" i="1" s="1"/>
  <c r="J2339" i="1"/>
  <c r="K2339" i="1" s="1"/>
  <c r="J2340" i="1"/>
  <c r="K2340" i="1" s="1"/>
  <c r="J2341" i="1"/>
  <c r="K2341" i="1" s="1"/>
  <c r="J2342" i="1"/>
  <c r="K2342" i="1" s="1"/>
  <c r="J2343" i="1"/>
  <c r="K2343" i="1" s="1"/>
  <c r="J2344" i="1"/>
  <c r="K2344" i="1" s="1"/>
  <c r="J2345" i="1"/>
  <c r="K2345" i="1" s="1"/>
  <c r="J2346" i="1"/>
  <c r="K2346" i="1" s="1"/>
  <c r="J2347" i="1"/>
  <c r="K2347" i="1" s="1"/>
  <c r="J2348" i="1"/>
  <c r="K2348" i="1" s="1"/>
  <c r="J2349" i="1"/>
  <c r="K2349" i="1" s="1"/>
  <c r="J2350" i="1"/>
  <c r="K2350" i="1" s="1"/>
  <c r="J2351" i="1"/>
  <c r="K2351" i="1" s="1"/>
  <c r="J2352" i="1"/>
  <c r="K2352" i="1" s="1"/>
  <c r="J2353" i="1"/>
  <c r="K2353" i="1" s="1"/>
  <c r="J2354" i="1"/>
  <c r="K2354" i="1" s="1"/>
  <c r="J2355" i="1"/>
  <c r="K2355" i="1" s="1"/>
  <c r="J2356" i="1"/>
  <c r="K2356" i="1" s="1"/>
  <c r="J2357" i="1"/>
  <c r="K2357" i="1" s="1"/>
  <c r="J2358" i="1"/>
  <c r="K2358" i="1" s="1"/>
  <c r="J2359" i="1"/>
  <c r="K2359" i="1" s="1"/>
  <c r="J2360" i="1"/>
  <c r="K2360" i="1" s="1"/>
  <c r="J2361" i="1"/>
  <c r="K2361" i="1" s="1"/>
  <c r="J2362" i="1"/>
  <c r="K2362" i="1" s="1"/>
  <c r="J2363" i="1"/>
  <c r="K2363" i="1" s="1"/>
  <c r="J2364" i="1"/>
  <c r="K2364" i="1" s="1"/>
  <c r="J2365" i="1"/>
  <c r="K2365" i="1" s="1"/>
  <c r="J2366" i="1"/>
  <c r="K2366" i="1" s="1"/>
  <c r="J2367" i="1"/>
  <c r="K2367" i="1" s="1"/>
  <c r="J2368" i="1"/>
  <c r="K2368" i="1" s="1"/>
  <c r="J2369" i="1"/>
  <c r="K2369" i="1" s="1"/>
  <c r="J2370" i="1"/>
  <c r="K2370" i="1" s="1"/>
  <c r="J2371" i="1"/>
  <c r="K2371" i="1" s="1"/>
  <c r="J2372" i="1"/>
  <c r="K2372" i="1" s="1"/>
  <c r="J2373" i="1"/>
  <c r="K2373" i="1" s="1"/>
  <c r="J2374" i="1"/>
  <c r="K2374" i="1" s="1"/>
  <c r="J2375" i="1"/>
  <c r="K2375" i="1" s="1"/>
  <c r="J2376" i="1"/>
  <c r="K2376" i="1" s="1"/>
  <c r="J2377" i="1"/>
  <c r="K2377" i="1" s="1"/>
  <c r="J2378" i="1"/>
  <c r="K2378" i="1" s="1"/>
  <c r="J2379" i="1"/>
  <c r="K2379" i="1" s="1"/>
  <c r="J2380" i="1"/>
  <c r="K2380" i="1" s="1"/>
  <c r="J2381" i="1"/>
  <c r="K2381" i="1" s="1"/>
  <c r="J2382" i="1"/>
  <c r="K2382" i="1" s="1"/>
  <c r="J2383" i="1"/>
  <c r="K2383" i="1" s="1"/>
  <c r="J2384" i="1"/>
  <c r="K2384" i="1" s="1"/>
  <c r="J2385" i="1"/>
  <c r="K2385" i="1" s="1"/>
  <c r="J2386" i="1"/>
  <c r="K2386" i="1" s="1"/>
  <c r="J2387" i="1"/>
  <c r="K2387" i="1" s="1"/>
  <c r="J2388" i="1"/>
  <c r="K2388" i="1" s="1"/>
  <c r="J2389" i="1"/>
  <c r="K2389" i="1" s="1"/>
  <c r="J2390" i="1"/>
  <c r="K2390" i="1" s="1"/>
  <c r="J2391" i="1"/>
  <c r="K2391" i="1" s="1"/>
  <c r="J2392" i="1"/>
  <c r="K2392" i="1" s="1"/>
  <c r="J2393" i="1"/>
  <c r="K2393" i="1" s="1"/>
  <c r="J2394" i="1"/>
  <c r="K2394" i="1" s="1"/>
  <c r="J2395" i="1"/>
  <c r="K2395" i="1" s="1"/>
  <c r="J2396" i="1"/>
  <c r="K2396" i="1" s="1"/>
  <c r="J2397" i="1"/>
  <c r="K2397" i="1" s="1"/>
  <c r="J2398" i="1"/>
  <c r="K2398" i="1" s="1"/>
  <c r="J2399" i="1"/>
  <c r="K2399" i="1" s="1"/>
  <c r="J2400" i="1"/>
  <c r="K2400" i="1" s="1"/>
  <c r="J2401" i="1"/>
  <c r="K2401" i="1" s="1"/>
  <c r="J2402" i="1"/>
  <c r="K2402" i="1" s="1"/>
  <c r="J2403" i="1"/>
  <c r="K2403" i="1" s="1"/>
  <c r="J2404" i="1"/>
  <c r="K2404" i="1" s="1"/>
  <c r="J2405" i="1"/>
  <c r="K2405" i="1" s="1"/>
  <c r="J2406" i="1"/>
  <c r="K2406" i="1" s="1"/>
  <c r="J2407" i="1"/>
  <c r="K2407" i="1" s="1"/>
  <c r="J2408" i="1"/>
  <c r="K2408" i="1" s="1"/>
  <c r="J2409" i="1"/>
  <c r="K2409" i="1" s="1"/>
  <c r="J2410" i="1"/>
  <c r="K2410" i="1" s="1"/>
  <c r="J2411" i="1"/>
  <c r="K2411" i="1" s="1"/>
  <c r="J2412" i="1"/>
  <c r="K2412" i="1" s="1"/>
  <c r="J2413" i="1"/>
  <c r="K2413" i="1" s="1"/>
  <c r="J2414" i="1"/>
  <c r="K2414" i="1" s="1"/>
  <c r="J2415" i="1"/>
  <c r="K2415" i="1" s="1"/>
  <c r="J2416" i="1"/>
  <c r="K2416" i="1" s="1"/>
  <c r="J2417" i="1"/>
  <c r="K2417" i="1" s="1"/>
  <c r="J2418" i="1"/>
  <c r="K2418" i="1" s="1"/>
  <c r="J2419" i="1"/>
  <c r="K2419" i="1" s="1"/>
  <c r="J2420" i="1"/>
  <c r="K2420" i="1" s="1"/>
  <c r="J2421" i="1"/>
  <c r="K2421" i="1" s="1"/>
  <c r="J2422" i="1"/>
  <c r="K2422" i="1" s="1"/>
  <c r="J2423" i="1"/>
  <c r="K2423" i="1" s="1"/>
  <c r="J2424" i="1"/>
  <c r="K2424" i="1" s="1"/>
  <c r="J2425" i="1"/>
  <c r="K2425" i="1" s="1"/>
  <c r="J2426" i="1"/>
  <c r="K2426" i="1" s="1"/>
  <c r="J2427" i="1"/>
  <c r="K2427" i="1" s="1"/>
  <c r="J2428" i="1"/>
  <c r="K2428" i="1" s="1"/>
  <c r="J2429" i="1"/>
  <c r="K2429" i="1" s="1"/>
  <c r="J2430" i="1"/>
  <c r="K2430" i="1" s="1"/>
  <c r="J2431" i="1"/>
  <c r="K2431" i="1" s="1"/>
  <c r="J2432" i="1"/>
  <c r="K2432" i="1" s="1"/>
  <c r="J2433" i="1"/>
  <c r="K2433" i="1" s="1"/>
  <c r="J2434" i="1"/>
  <c r="K2434" i="1" s="1"/>
  <c r="J2435" i="1"/>
  <c r="K2435" i="1" s="1"/>
  <c r="J2436" i="1"/>
  <c r="K2436" i="1" s="1"/>
  <c r="J2437" i="1"/>
  <c r="K2437" i="1" s="1"/>
  <c r="J2438" i="1"/>
  <c r="K2438" i="1" s="1"/>
  <c r="J2439" i="1"/>
  <c r="K2439" i="1" s="1"/>
  <c r="J2440" i="1"/>
  <c r="K2440" i="1" s="1"/>
  <c r="J2441" i="1"/>
  <c r="K2441" i="1" s="1"/>
  <c r="J2442" i="1"/>
  <c r="K2442" i="1" s="1"/>
  <c r="J2443" i="1"/>
  <c r="K2443" i="1" s="1"/>
  <c r="J2444" i="1"/>
  <c r="K2444" i="1" s="1"/>
  <c r="J2445" i="1"/>
  <c r="K2445" i="1" s="1"/>
  <c r="J2446" i="1"/>
  <c r="K2446" i="1" s="1"/>
  <c r="J2447" i="1"/>
  <c r="K2447" i="1" s="1"/>
  <c r="J2448" i="1"/>
  <c r="K2448" i="1" s="1"/>
  <c r="J2449" i="1"/>
  <c r="K2449" i="1" s="1"/>
  <c r="J2450" i="1"/>
  <c r="K2450" i="1" s="1"/>
  <c r="J2451" i="1"/>
  <c r="K2451" i="1" s="1"/>
  <c r="J2452" i="1"/>
  <c r="K2452" i="1" s="1"/>
  <c r="J2453" i="1"/>
  <c r="K2453" i="1" s="1"/>
  <c r="J2454" i="1"/>
  <c r="K2454" i="1" s="1"/>
  <c r="J2455" i="1"/>
  <c r="K2455" i="1" s="1"/>
  <c r="J2456" i="1"/>
  <c r="K2456" i="1" s="1"/>
  <c r="J2457" i="1"/>
  <c r="K2457" i="1" s="1"/>
  <c r="J2458" i="1"/>
  <c r="K2458" i="1" s="1"/>
  <c r="J2459" i="1"/>
  <c r="K2459" i="1" s="1"/>
  <c r="J2460" i="1"/>
  <c r="K2460" i="1" s="1"/>
  <c r="J2461" i="1"/>
  <c r="K2461" i="1" s="1"/>
  <c r="J2462" i="1"/>
  <c r="K2462" i="1" s="1"/>
  <c r="J2463" i="1"/>
  <c r="K2463" i="1" s="1"/>
  <c r="J2464" i="1"/>
  <c r="K2464" i="1" s="1"/>
  <c r="J2465" i="1"/>
  <c r="K2465" i="1" s="1"/>
  <c r="J2466" i="1"/>
  <c r="K2466" i="1" s="1"/>
  <c r="J2467" i="1"/>
  <c r="K2467" i="1" s="1"/>
  <c r="J2468" i="1"/>
  <c r="K2468" i="1" s="1"/>
  <c r="J2469" i="1"/>
  <c r="K2469" i="1" s="1"/>
  <c r="J2470" i="1"/>
  <c r="K2470" i="1" s="1"/>
  <c r="J2471" i="1"/>
  <c r="K2471" i="1" s="1"/>
  <c r="J2472" i="1"/>
  <c r="K2472" i="1" s="1"/>
  <c r="J2473" i="1"/>
  <c r="K2473" i="1" s="1"/>
  <c r="J2474" i="1"/>
  <c r="K2474" i="1" s="1"/>
  <c r="J2475" i="1"/>
  <c r="K2475" i="1" s="1"/>
  <c r="J2476" i="1"/>
  <c r="K2476" i="1" s="1"/>
  <c r="J2477" i="1"/>
  <c r="K2477" i="1" s="1"/>
  <c r="J2478" i="1"/>
  <c r="K2478" i="1" s="1"/>
  <c r="J2479" i="1"/>
  <c r="K2479" i="1" s="1"/>
  <c r="J2480" i="1"/>
  <c r="K2480" i="1" s="1"/>
  <c r="J2481" i="1"/>
  <c r="K2481" i="1" s="1"/>
  <c r="J2482" i="1"/>
  <c r="K2482" i="1" s="1"/>
  <c r="J2483" i="1"/>
  <c r="K2483" i="1" s="1"/>
  <c r="J2484" i="1"/>
  <c r="K2484" i="1" s="1"/>
  <c r="J2485" i="1"/>
  <c r="K2485" i="1" s="1"/>
  <c r="J2486" i="1"/>
  <c r="K2486" i="1" s="1"/>
  <c r="J2487" i="1"/>
  <c r="K2487" i="1" s="1"/>
  <c r="J2488" i="1"/>
  <c r="K2488" i="1" s="1"/>
  <c r="J2489" i="1"/>
  <c r="K2489" i="1" s="1"/>
  <c r="J2490" i="1"/>
  <c r="K2490" i="1" s="1"/>
  <c r="J2491" i="1"/>
  <c r="K2491" i="1" s="1"/>
  <c r="J2492" i="1"/>
  <c r="K2492" i="1" s="1"/>
  <c r="J2493" i="1"/>
  <c r="K2493" i="1" s="1"/>
  <c r="J2494" i="1"/>
  <c r="K2494" i="1" s="1"/>
  <c r="J2495" i="1"/>
  <c r="K2495" i="1" s="1"/>
  <c r="J2496" i="1"/>
  <c r="K2496" i="1" s="1"/>
  <c r="J2497" i="1"/>
  <c r="K2497" i="1" s="1"/>
  <c r="J2498" i="1"/>
  <c r="K2498" i="1" s="1"/>
  <c r="J2499" i="1"/>
  <c r="K2499" i="1" s="1"/>
  <c r="J2500" i="1"/>
  <c r="K2500" i="1" s="1"/>
  <c r="J2501" i="1"/>
  <c r="K2501" i="1" s="1"/>
  <c r="J2502" i="1"/>
  <c r="K2502" i="1" s="1"/>
  <c r="J2503" i="1"/>
  <c r="K2503" i="1" s="1"/>
  <c r="J2504" i="1"/>
  <c r="K2504" i="1" s="1"/>
  <c r="J2505" i="1"/>
  <c r="K2505" i="1" s="1"/>
  <c r="J2506" i="1"/>
  <c r="K2506" i="1" s="1"/>
  <c r="J2507" i="1"/>
  <c r="K2507" i="1" s="1"/>
  <c r="J2508" i="1"/>
  <c r="K2508" i="1" s="1"/>
  <c r="J2509" i="1"/>
  <c r="K2509" i="1" s="1"/>
  <c r="J2510" i="1"/>
  <c r="K2510" i="1" s="1"/>
  <c r="J2511" i="1"/>
  <c r="K2511" i="1" s="1"/>
  <c r="J2512" i="1"/>
  <c r="K2512" i="1" s="1"/>
  <c r="J2513" i="1"/>
  <c r="K2513" i="1" s="1"/>
  <c r="J2514" i="1"/>
  <c r="K2514" i="1" s="1"/>
  <c r="J2515" i="1"/>
  <c r="K2515" i="1" s="1"/>
  <c r="J2516" i="1"/>
  <c r="K2516" i="1" s="1"/>
  <c r="J2517" i="1"/>
  <c r="K2517" i="1" s="1"/>
  <c r="J2518" i="1"/>
  <c r="K2518" i="1" s="1"/>
  <c r="J2519" i="1"/>
  <c r="K2519" i="1" s="1"/>
  <c r="J2520" i="1"/>
  <c r="K2520" i="1" s="1"/>
  <c r="J2521" i="1"/>
  <c r="K2521" i="1" s="1"/>
  <c r="J2522" i="1"/>
  <c r="K2522" i="1" s="1"/>
  <c r="J2523" i="1"/>
  <c r="K2523" i="1" s="1"/>
  <c r="J2524" i="1"/>
  <c r="K2524" i="1" s="1"/>
  <c r="J2525" i="1"/>
  <c r="K2525" i="1" s="1"/>
  <c r="J2526" i="1"/>
  <c r="K2526" i="1" s="1"/>
  <c r="J2527" i="1"/>
  <c r="K2527" i="1" s="1"/>
  <c r="J2528" i="1"/>
  <c r="K2528" i="1" s="1"/>
  <c r="J2529" i="1"/>
  <c r="K2529" i="1" s="1"/>
  <c r="J2530" i="1"/>
  <c r="K2530" i="1" s="1"/>
  <c r="J2531" i="1"/>
  <c r="K2531" i="1" s="1"/>
  <c r="J2532" i="1"/>
  <c r="K2532" i="1" s="1"/>
  <c r="J2533" i="1"/>
  <c r="K2533" i="1" s="1"/>
  <c r="J2534" i="1"/>
  <c r="K2534" i="1" s="1"/>
  <c r="J2535" i="1"/>
  <c r="K2535" i="1" s="1"/>
  <c r="J2536" i="1"/>
  <c r="K2536" i="1" s="1"/>
  <c r="J2537" i="1"/>
  <c r="K2537" i="1" s="1"/>
  <c r="J2538" i="1"/>
  <c r="K2538" i="1" s="1"/>
  <c r="J2539" i="1"/>
  <c r="K2539" i="1" s="1"/>
  <c r="J2540" i="1"/>
  <c r="K2540" i="1" s="1"/>
  <c r="J2541" i="1"/>
  <c r="K2541" i="1" s="1"/>
  <c r="J2542" i="1"/>
  <c r="K2542" i="1" s="1"/>
  <c r="J2543" i="1"/>
  <c r="K2543" i="1" s="1"/>
  <c r="J2544" i="1"/>
  <c r="K2544" i="1" s="1"/>
  <c r="J2545" i="1"/>
  <c r="K2545" i="1" s="1"/>
  <c r="J2546" i="1"/>
  <c r="K2546" i="1" s="1"/>
  <c r="J2547" i="1"/>
  <c r="K2547" i="1" s="1"/>
  <c r="J2548" i="1"/>
  <c r="K2548" i="1" s="1"/>
  <c r="J2549" i="1"/>
  <c r="K2549" i="1" s="1"/>
  <c r="J2550" i="1"/>
  <c r="K2550" i="1" s="1"/>
  <c r="J2551" i="1"/>
  <c r="K2551" i="1" s="1"/>
  <c r="J2552" i="1"/>
  <c r="K2552" i="1" s="1"/>
  <c r="J2553" i="1"/>
  <c r="K2553" i="1" s="1"/>
  <c r="J2554" i="1"/>
  <c r="K2554" i="1" s="1"/>
  <c r="J2555" i="1"/>
  <c r="K2555" i="1" s="1"/>
  <c r="J2556" i="1"/>
  <c r="K2556" i="1" s="1"/>
  <c r="J2557" i="1"/>
  <c r="K2557" i="1" s="1"/>
  <c r="J2558" i="1"/>
  <c r="K2558" i="1" s="1"/>
  <c r="J2559" i="1"/>
  <c r="K2559" i="1" s="1"/>
  <c r="J2560" i="1"/>
  <c r="K2560" i="1" s="1"/>
  <c r="J2561" i="1"/>
  <c r="K2561" i="1" s="1"/>
  <c r="J2562" i="1"/>
  <c r="K2562" i="1" s="1"/>
  <c r="J2563" i="1"/>
  <c r="K2563" i="1" s="1"/>
  <c r="J2564" i="1"/>
  <c r="K2564" i="1" s="1"/>
  <c r="J2565" i="1"/>
  <c r="K2565" i="1" s="1"/>
  <c r="J2566" i="1"/>
  <c r="K2566" i="1" s="1"/>
  <c r="J2567" i="1"/>
  <c r="K2567" i="1" s="1"/>
  <c r="J2568" i="1"/>
  <c r="K2568" i="1" s="1"/>
  <c r="J2569" i="1"/>
  <c r="K2569" i="1" s="1"/>
  <c r="J2570" i="1"/>
  <c r="K2570" i="1" s="1"/>
  <c r="J2571" i="1"/>
  <c r="K2571" i="1" s="1"/>
  <c r="J2572" i="1"/>
  <c r="K2572" i="1" s="1"/>
  <c r="J2573" i="1"/>
  <c r="K2573" i="1" s="1"/>
  <c r="J2574" i="1"/>
  <c r="K2574" i="1" s="1"/>
  <c r="J2575" i="1"/>
  <c r="K2575" i="1" s="1"/>
  <c r="J2576" i="1"/>
  <c r="K2576" i="1" s="1"/>
  <c r="J2577" i="1"/>
  <c r="K2577" i="1" s="1"/>
  <c r="J2578" i="1"/>
  <c r="K2578" i="1" s="1"/>
  <c r="J2579" i="1"/>
  <c r="K2579" i="1" s="1"/>
  <c r="J2580" i="1"/>
  <c r="K2580" i="1" s="1"/>
  <c r="J2581" i="1"/>
  <c r="K2581" i="1" s="1"/>
  <c r="J2582" i="1"/>
  <c r="K2582" i="1" s="1"/>
  <c r="J2583" i="1"/>
  <c r="K2583" i="1" s="1"/>
  <c r="J2584" i="1"/>
  <c r="K2584" i="1" s="1"/>
  <c r="J2585" i="1"/>
  <c r="K2585" i="1" s="1"/>
  <c r="J2586" i="1"/>
  <c r="K2586" i="1" s="1"/>
  <c r="J2587" i="1"/>
  <c r="K2587" i="1" s="1"/>
  <c r="J2588" i="1"/>
  <c r="K2588" i="1" s="1"/>
  <c r="J2589" i="1"/>
  <c r="K2589" i="1" s="1"/>
  <c r="J2590" i="1"/>
  <c r="K2590" i="1" s="1"/>
  <c r="J2591" i="1"/>
  <c r="K2591" i="1" s="1"/>
  <c r="J2592" i="1"/>
  <c r="K2592" i="1" s="1"/>
  <c r="J2593" i="1"/>
  <c r="K2593" i="1" s="1"/>
  <c r="J2594" i="1"/>
  <c r="K2594" i="1" s="1"/>
  <c r="J2595" i="1"/>
  <c r="K2595" i="1" s="1"/>
  <c r="J2596" i="1"/>
  <c r="K2596" i="1" s="1"/>
  <c r="J2597" i="1"/>
  <c r="K2597" i="1" s="1"/>
  <c r="J2598" i="1"/>
  <c r="K2598" i="1" s="1"/>
  <c r="J2599" i="1"/>
  <c r="K2599" i="1" s="1"/>
  <c r="J2600" i="1"/>
  <c r="K2600" i="1" s="1"/>
  <c r="J2601" i="1"/>
  <c r="K2601" i="1" s="1"/>
  <c r="J2602" i="1"/>
  <c r="K2602" i="1" s="1"/>
  <c r="J2603" i="1"/>
  <c r="K2603" i="1" s="1"/>
  <c r="J2604" i="1"/>
  <c r="K2604" i="1" s="1"/>
  <c r="J2605" i="1"/>
  <c r="K2605" i="1" s="1"/>
  <c r="J2606" i="1"/>
  <c r="K2606" i="1" s="1"/>
  <c r="J2607" i="1"/>
  <c r="K2607" i="1" s="1"/>
  <c r="J2608" i="1"/>
  <c r="K2608" i="1" s="1"/>
  <c r="J2609" i="1"/>
  <c r="K2609" i="1" s="1"/>
  <c r="J2610" i="1"/>
  <c r="K2610" i="1" s="1"/>
  <c r="J2611" i="1"/>
  <c r="K2611" i="1" s="1"/>
  <c r="J2612" i="1"/>
  <c r="K2612" i="1" s="1"/>
  <c r="J2613" i="1"/>
  <c r="K2613" i="1" s="1"/>
  <c r="J2614" i="1"/>
  <c r="K2614" i="1" s="1"/>
  <c r="J2615" i="1"/>
  <c r="K2615" i="1" s="1"/>
  <c r="J2616" i="1"/>
  <c r="K2616" i="1" s="1"/>
  <c r="J2617" i="1"/>
  <c r="K2617" i="1" s="1"/>
  <c r="J2618" i="1"/>
  <c r="K2618" i="1" s="1"/>
  <c r="J2619" i="1"/>
  <c r="K2619" i="1" s="1"/>
  <c r="J2620" i="1"/>
  <c r="K2620" i="1" s="1"/>
  <c r="J2621" i="1"/>
  <c r="K2621" i="1" s="1"/>
  <c r="J2622" i="1"/>
  <c r="K2622" i="1" s="1"/>
  <c r="J2623" i="1"/>
  <c r="K2623" i="1" s="1"/>
  <c r="J2624" i="1"/>
  <c r="K2624" i="1" s="1"/>
  <c r="J2625" i="1"/>
  <c r="K2625" i="1" s="1"/>
  <c r="J2626" i="1"/>
  <c r="K2626" i="1" s="1"/>
  <c r="J2627" i="1"/>
  <c r="K2627" i="1" s="1"/>
  <c r="J2628" i="1"/>
  <c r="K2628" i="1" s="1"/>
  <c r="J2629" i="1"/>
  <c r="K2629" i="1" s="1"/>
  <c r="J2630" i="1"/>
  <c r="K2630" i="1" s="1"/>
  <c r="J2631" i="1"/>
  <c r="K2631" i="1" s="1"/>
  <c r="J2632" i="1"/>
  <c r="K2632" i="1" s="1"/>
  <c r="J2633" i="1"/>
  <c r="K2633" i="1" s="1"/>
  <c r="J2634" i="1"/>
  <c r="K2634" i="1" s="1"/>
  <c r="J2635" i="1"/>
  <c r="K2635" i="1" s="1"/>
  <c r="J2636" i="1"/>
  <c r="K2636" i="1" s="1"/>
  <c r="J2637" i="1"/>
  <c r="K2637" i="1" s="1"/>
  <c r="J2638" i="1"/>
  <c r="K2638" i="1" s="1"/>
  <c r="J2639" i="1"/>
  <c r="K2639" i="1" s="1"/>
  <c r="J2640" i="1"/>
  <c r="K2640" i="1" s="1"/>
  <c r="J2641" i="1"/>
  <c r="K2641" i="1" s="1"/>
  <c r="J2642" i="1"/>
  <c r="K2642" i="1" s="1"/>
  <c r="J2643" i="1"/>
  <c r="K2643" i="1" s="1"/>
  <c r="J2644" i="1"/>
  <c r="K2644" i="1" s="1"/>
  <c r="J2645" i="1"/>
  <c r="K2645" i="1" s="1"/>
  <c r="J2646" i="1"/>
  <c r="K2646" i="1" s="1"/>
  <c r="J2647" i="1"/>
  <c r="K2647" i="1" s="1"/>
  <c r="J2648" i="1"/>
  <c r="K2648" i="1" s="1"/>
  <c r="J2649" i="1"/>
  <c r="K2649" i="1" s="1"/>
  <c r="J2650" i="1"/>
  <c r="K2650" i="1" s="1"/>
  <c r="J2651" i="1"/>
  <c r="K2651" i="1" s="1"/>
  <c r="J2652" i="1"/>
  <c r="K2652" i="1" s="1"/>
  <c r="J2653" i="1"/>
  <c r="K2653" i="1" s="1"/>
  <c r="J2654" i="1"/>
  <c r="K2654" i="1" s="1"/>
  <c r="J2655" i="1"/>
  <c r="K2655" i="1" s="1"/>
  <c r="J2656" i="1"/>
  <c r="K2656" i="1" s="1"/>
  <c r="J2657" i="1"/>
  <c r="K2657" i="1" s="1"/>
  <c r="J2658" i="1"/>
  <c r="K2658" i="1" s="1"/>
  <c r="J2659" i="1"/>
  <c r="K2659" i="1" s="1"/>
  <c r="J2660" i="1"/>
  <c r="K2660" i="1" s="1"/>
  <c r="J2661" i="1"/>
  <c r="K2661" i="1" s="1"/>
  <c r="J2662" i="1"/>
  <c r="K2662" i="1" s="1"/>
  <c r="J2663" i="1"/>
  <c r="K2663" i="1" s="1"/>
  <c r="J2664" i="1"/>
  <c r="K2664" i="1" s="1"/>
  <c r="J2665" i="1"/>
  <c r="K2665" i="1" s="1"/>
  <c r="J2666" i="1"/>
  <c r="K2666" i="1" s="1"/>
  <c r="J2667" i="1"/>
  <c r="K2667" i="1" s="1"/>
  <c r="J2668" i="1"/>
  <c r="K2668" i="1" s="1"/>
  <c r="J2669" i="1"/>
  <c r="K2669" i="1" s="1"/>
  <c r="J2670" i="1"/>
  <c r="K2670" i="1" s="1"/>
  <c r="J2671" i="1"/>
  <c r="K2671" i="1" s="1"/>
  <c r="J2672" i="1"/>
  <c r="K2672" i="1" s="1"/>
  <c r="J2673" i="1"/>
  <c r="K2673" i="1" s="1"/>
  <c r="J2674" i="1"/>
  <c r="K2674" i="1" s="1"/>
  <c r="J2675" i="1"/>
  <c r="K2675" i="1" s="1"/>
  <c r="J2676" i="1"/>
  <c r="K2676" i="1" s="1"/>
  <c r="J2677" i="1"/>
  <c r="K2677" i="1" s="1"/>
  <c r="J2678" i="1"/>
  <c r="K2678" i="1" s="1"/>
  <c r="J2679" i="1"/>
  <c r="K2679" i="1" s="1"/>
  <c r="J2680" i="1"/>
  <c r="K2680" i="1" s="1"/>
  <c r="J2681" i="1"/>
  <c r="K2681" i="1" s="1"/>
  <c r="J2682" i="1"/>
  <c r="K2682" i="1" s="1"/>
  <c r="J2683" i="1"/>
  <c r="K2683" i="1" s="1"/>
  <c r="J2684" i="1"/>
  <c r="K2684" i="1" s="1"/>
  <c r="J2685" i="1"/>
  <c r="K2685" i="1" s="1"/>
  <c r="J2686" i="1"/>
  <c r="K2686" i="1" s="1"/>
  <c r="J2687" i="1"/>
  <c r="K2687" i="1" s="1"/>
  <c r="J2688" i="1"/>
  <c r="K2688" i="1" s="1"/>
  <c r="J2689" i="1"/>
  <c r="K2689" i="1" s="1"/>
  <c r="J2690" i="1"/>
  <c r="K2690" i="1" s="1"/>
  <c r="J2691" i="1"/>
  <c r="K2691" i="1" s="1"/>
  <c r="J2692" i="1"/>
  <c r="K2692" i="1" s="1"/>
  <c r="J2693" i="1"/>
  <c r="K2693" i="1" s="1"/>
  <c r="J2694" i="1"/>
  <c r="K2694" i="1" s="1"/>
  <c r="J2695" i="1"/>
  <c r="K2695" i="1" s="1"/>
  <c r="J2696" i="1"/>
  <c r="K2696" i="1" s="1"/>
  <c r="J2697" i="1"/>
  <c r="K2697" i="1" s="1"/>
  <c r="J2698" i="1"/>
  <c r="K2698" i="1" s="1"/>
  <c r="J2699" i="1"/>
  <c r="K2699" i="1" s="1"/>
  <c r="J2700" i="1"/>
  <c r="K2700" i="1" s="1"/>
  <c r="J2701" i="1"/>
  <c r="K2701" i="1" s="1"/>
  <c r="J2702" i="1"/>
  <c r="K2702" i="1" s="1"/>
  <c r="J2703" i="1"/>
  <c r="K2703" i="1" s="1"/>
  <c r="J2704" i="1"/>
  <c r="K2704" i="1" s="1"/>
  <c r="J2705" i="1"/>
  <c r="K2705" i="1" s="1"/>
  <c r="J2706" i="1"/>
  <c r="K2706" i="1" s="1"/>
  <c r="J2707" i="1"/>
  <c r="K2707" i="1" s="1"/>
  <c r="J2708" i="1"/>
  <c r="K2708" i="1" s="1"/>
  <c r="J2709" i="1"/>
  <c r="K2709" i="1" s="1"/>
  <c r="J2710" i="1"/>
  <c r="K2710" i="1" s="1"/>
  <c r="J2711" i="1"/>
  <c r="K2711" i="1" s="1"/>
  <c r="J2712" i="1"/>
  <c r="K2712" i="1" s="1"/>
  <c r="J2713" i="1"/>
  <c r="K2713" i="1" s="1"/>
  <c r="J2714" i="1"/>
  <c r="K2714" i="1" s="1"/>
  <c r="J2715" i="1"/>
  <c r="K2715" i="1" s="1"/>
  <c r="J2716" i="1"/>
  <c r="K2716" i="1" s="1"/>
  <c r="J2717" i="1"/>
  <c r="K2717" i="1" s="1"/>
  <c r="J2718" i="1"/>
  <c r="K2718" i="1" s="1"/>
  <c r="J2719" i="1"/>
  <c r="K2719" i="1" s="1"/>
  <c r="J2720" i="1"/>
  <c r="K2720" i="1" s="1"/>
  <c r="J2721" i="1"/>
  <c r="K2721" i="1" s="1"/>
  <c r="J2722" i="1"/>
  <c r="K2722" i="1" s="1"/>
  <c r="J2723" i="1"/>
  <c r="K2723" i="1" s="1"/>
  <c r="J2724" i="1"/>
  <c r="K2724" i="1" s="1"/>
  <c r="J2725" i="1"/>
  <c r="K2725" i="1" s="1"/>
  <c r="J2726" i="1"/>
  <c r="K2726" i="1" s="1"/>
  <c r="J2727" i="1"/>
  <c r="K2727" i="1" s="1"/>
  <c r="J2728" i="1"/>
  <c r="K2728" i="1" s="1"/>
  <c r="J2729" i="1"/>
  <c r="K2729" i="1" s="1"/>
  <c r="J2730" i="1"/>
  <c r="K2730" i="1" s="1"/>
  <c r="J2731" i="1"/>
  <c r="K2731" i="1" s="1"/>
  <c r="J2732" i="1"/>
  <c r="K2732" i="1" s="1"/>
  <c r="J2733" i="1"/>
  <c r="K2733" i="1" s="1"/>
  <c r="J2734" i="1"/>
  <c r="K2734" i="1" s="1"/>
  <c r="J2735" i="1"/>
  <c r="K2735" i="1" s="1"/>
  <c r="J2736" i="1"/>
  <c r="K2736" i="1" s="1"/>
  <c r="J2737" i="1"/>
  <c r="K2737" i="1" s="1"/>
  <c r="J2738" i="1"/>
  <c r="K2738" i="1" s="1"/>
  <c r="J2739" i="1"/>
  <c r="K2739" i="1" s="1"/>
  <c r="J2740" i="1"/>
  <c r="K2740" i="1" s="1"/>
  <c r="J2741" i="1"/>
  <c r="K2741" i="1" s="1"/>
  <c r="J2742" i="1"/>
  <c r="K2742" i="1" s="1"/>
  <c r="J2743" i="1"/>
  <c r="K2743" i="1" s="1"/>
  <c r="J2744" i="1"/>
  <c r="K2744" i="1" s="1"/>
  <c r="J2745" i="1"/>
  <c r="K2745" i="1" s="1"/>
  <c r="J2746" i="1"/>
  <c r="K2746" i="1" s="1"/>
  <c r="J2747" i="1"/>
  <c r="K2747" i="1" s="1"/>
  <c r="J2748" i="1"/>
  <c r="K2748" i="1" s="1"/>
  <c r="J2749" i="1"/>
  <c r="K2749" i="1" s="1"/>
  <c r="J2750" i="1"/>
  <c r="K2750" i="1" s="1"/>
  <c r="J2751" i="1"/>
  <c r="K2751" i="1" s="1"/>
  <c r="J2752" i="1"/>
  <c r="K2752" i="1" s="1"/>
  <c r="J2753" i="1"/>
  <c r="K2753" i="1" s="1"/>
  <c r="J2754" i="1"/>
  <c r="K2754" i="1" s="1"/>
  <c r="J2755" i="1"/>
  <c r="K2755" i="1" s="1"/>
  <c r="J2756" i="1"/>
  <c r="K2756" i="1" s="1"/>
  <c r="J2757" i="1"/>
  <c r="K2757" i="1" s="1"/>
  <c r="J2758" i="1"/>
  <c r="K2758" i="1" s="1"/>
  <c r="J2759" i="1"/>
  <c r="K2759" i="1" s="1"/>
  <c r="J2760" i="1"/>
  <c r="K2760" i="1" s="1"/>
  <c r="J2761" i="1"/>
  <c r="K2761" i="1" s="1"/>
  <c r="J2762" i="1"/>
  <c r="K2762" i="1" s="1"/>
  <c r="J2763" i="1"/>
  <c r="K2763" i="1" s="1"/>
  <c r="J2764" i="1"/>
  <c r="K2764" i="1" s="1"/>
  <c r="J2765" i="1"/>
  <c r="K2765" i="1" s="1"/>
  <c r="J2766" i="1"/>
  <c r="K2766" i="1" s="1"/>
  <c r="J2767" i="1"/>
  <c r="K2767" i="1" s="1"/>
  <c r="J2768" i="1"/>
  <c r="K2768" i="1" s="1"/>
  <c r="J2769" i="1"/>
  <c r="K2769" i="1" s="1"/>
  <c r="J2770" i="1"/>
  <c r="K2770" i="1" s="1"/>
  <c r="J2771" i="1"/>
  <c r="K2771" i="1" s="1"/>
  <c r="J2772" i="1"/>
  <c r="K2772" i="1" s="1"/>
  <c r="J2773" i="1"/>
  <c r="K2773" i="1" s="1"/>
  <c r="J2774" i="1"/>
  <c r="K2774" i="1" s="1"/>
  <c r="J2775" i="1"/>
  <c r="K2775" i="1" s="1"/>
  <c r="J2776" i="1"/>
  <c r="K2776" i="1" s="1"/>
  <c r="J2777" i="1"/>
  <c r="K2777" i="1" s="1"/>
  <c r="J2778" i="1"/>
  <c r="K2778" i="1" s="1"/>
  <c r="J2779" i="1"/>
  <c r="K2779" i="1" s="1"/>
  <c r="J2780" i="1"/>
  <c r="K2780" i="1" s="1"/>
  <c r="J2781" i="1"/>
  <c r="K2781" i="1" s="1"/>
  <c r="J2782" i="1"/>
  <c r="K2782" i="1" s="1"/>
  <c r="J2783" i="1"/>
  <c r="K2783" i="1" s="1"/>
  <c r="J2784" i="1"/>
  <c r="K2784" i="1" s="1"/>
  <c r="J2785" i="1"/>
  <c r="K2785" i="1" s="1"/>
  <c r="J2786" i="1"/>
  <c r="K2786" i="1" s="1"/>
  <c r="J2787" i="1"/>
  <c r="K2787" i="1" s="1"/>
  <c r="J2788" i="1"/>
  <c r="K2788" i="1" s="1"/>
  <c r="J2789" i="1"/>
  <c r="K2789" i="1" s="1"/>
  <c r="J2790" i="1"/>
  <c r="K2790" i="1" s="1"/>
  <c r="J2791" i="1"/>
  <c r="K2791" i="1" s="1"/>
  <c r="J2792" i="1"/>
  <c r="K2792" i="1" s="1"/>
  <c r="J2793" i="1"/>
  <c r="K2793" i="1" s="1"/>
  <c r="J2794" i="1"/>
  <c r="K2794" i="1" s="1"/>
  <c r="J2795" i="1"/>
  <c r="K2795" i="1" s="1"/>
  <c r="J2796" i="1"/>
  <c r="K2796" i="1" s="1"/>
  <c r="J2797" i="1"/>
  <c r="K2797" i="1" s="1"/>
  <c r="J2798" i="1"/>
  <c r="K2798" i="1" s="1"/>
  <c r="J2799" i="1"/>
  <c r="K2799" i="1" s="1"/>
  <c r="J2800" i="1"/>
  <c r="K2800" i="1" s="1"/>
  <c r="J2801" i="1"/>
  <c r="K2801" i="1" s="1"/>
  <c r="J2802" i="1"/>
  <c r="K2802" i="1" s="1"/>
  <c r="J2803" i="1"/>
  <c r="K2803" i="1" s="1"/>
  <c r="J2804" i="1"/>
  <c r="K2804" i="1" s="1"/>
  <c r="J2805" i="1"/>
  <c r="K2805" i="1" s="1"/>
  <c r="J2806" i="1"/>
  <c r="K2806" i="1" s="1"/>
  <c r="J2807" i="1"/>
  <c r="K2807" i="1" s="1"/>
  <c r="J2808" i="1"/>
  <c r="K2808" i="1" s="1"/>
  <c r="J2809" i="1"/>
  <c r="K2809" i="1" s="1"/>
  <c r="J2810" i="1"/>
  <c r="K2810" i="1" s="1"/>
  <c r="J2811" i="1"/>
  <c r="K2811" i="1" s="1"/>
  <c r="J2812" i="1"/>
  <c r="K2812" i="1" s="1"/>
  <c r="J2813" i="1"/>
  <c r="K2813" i="1" s="1"/>
  <c r="J2814" i="1"/>
  <c r="K2814" i="1" s="1"/>
  <c r="J2815" i="1"/>
  <c r="K2815" i="1" s="1"/>
  <c r="J2816" i="1"/>
  <c r="K2816" i="1" s="1"/>
  <c r="J2817" i="1"/>
  <c r="K2817" i="1" s="1"/>
  <c r="J2818" i="1"/>
  <c r="K2818" i="1" s="1"/>
  <c r="J2819" i="1"/>
  <c r="K2819" i="1" s="1"/>
  <c r="J2820" i="1"/>
  <c r="K2820" i="1" s="1"/>
  <c r="J2821" i="1"/>
  <c r="K2821" i="1" s="1"/>
  <c r="J2822" i="1"/>
  <c r="K2822" i="1" s="1"/>
  <c r="J2823" i="1"/>
  <c r="K2823" i="1" s="1"/>
  <c r="J2824" i="1"/>
  <c r="K2824" i="1" s="1"/>
  <c r="J2825" i="1"/>
  <c r="K2825" i="1" s="1"/>
  <c r="J2826" i="1"/>
  <c r="K2826" i="1" s="1"/>
  <c r="J2827" i="1"/>
  <c r="K2827" i="1" s="1"/>
  <c r="J2828" i="1"/>
  <c r="K2828" i="1" s="1"/>
  <c r="J2829" i="1"/>
  <c r="K2829" i="1" s="1"/>
  <c r="J2830" i="1"/>
  <c r="K2830" i="1" s="1"/>
  <c r="J2831" i="1"/>
  <c r="K2831" i="1" s="1"/>
  <c r="J2832" i="1"/>
  <c r="K2832" i="1" s="1"/>
  <c r="J2833" i="1"/>
  <c r="K2833" i="1" s="1"/>
  <c r="J2834" i="1"/>
  <c r="K2834" i="1" s="1"/>
  <c r="J2835" i="1"/>
  <c r="K2835" i="1" s="1"/>
  <c r="J2836" i="1"/>
  <c r="K2836" i="1" s="1"/>
  <c r="J2837" i="1"/>
  <c r="K2837" i="1" s="1"/>
  <c r="J2838" i="1"/>
  <c r="K2838" i="1" s="1"/>
  <c r="J2839" i="1"/>
  <c r="K2839" i="1" s="1"/>
  <c r="J2840" i="1"/>
  <c r="K2840" i="1" s="1"/>
  <c r="J2841" i="1"/>
  <c r="K2841" i="1" s="1"/>
  <c r="J2842" i="1"/>
  <c r="K2842" i="1" s="1"/>
  <c r="J2843" i="1"/>
  <c r="K2843" i="1" s="1"/>
  <c r="J2844" i="1"/>
  <c r="K2844" i="1" s="1"/>
  <c r="J2845" i="1"/>
  <c r="K2845" i="1" s="1"/>
  <c r="J2846" i="1"/>
  <c r="K2846" i="1" s="1"/>
  <c r="J2847" i="1"/>
  <c r="K2847" i="1" s="1"/>
  <c r="J2848" i="1"/>
  <c r="K2848" i="1" s="1"/>
  <c r="J2849" i="1"/>
  <c r="K2849" i="1" s="1"/>
  <c r="J2850" i="1"/>
  <c r="K2850" i="1" s="1"/>
  <c r="J2851" i="1"/>
  <c r="K2851" i="1" s="1"/>
  <c r="J2852" i="1"/>
  <c r="K2852" i="1" s="1"/>
  <c r="J2853" i="1"/>
  <c r="K2853" i="1" s="1"/>
  <c r="J2854" i="1"/>
  <c r="K2854" i="1" s="1"/>
  <c r="J2855" i="1"/>
  <c r="K2855" i="1" s="1"/>
  <c r="J2856" i="1"/>
  <c r="K2856" i="1" s="1"/>
  <c r="J2857" i="1"/>
  <c r="K2857" i="1" s="1"/>
  <c r="J2858" i="1"/>
  <c r="K2858" i="1" s="1"/>
  <c r="J2859" i="1"/>
  <c r="K2859" i="1" s="1"/>
  <c r="J2860" i="1"/>
  <c r="K2860" i="1" s="1"/>
  <c r="J2861" i="1"/>
  <c r="K2861" i="1" s="1"/>
  <c r="J2862" i="1"/>
  <c r="K2862" i="1" s="1"/>
  <c r="J2863" i="1"/>
  <c r="K2863" i="1" s="1"/>
  <c r="J2864" i="1"/>
  <c r="K2864" i="1" s="1"/>
  <c r="J2865" i="1"/>
  <c r="K2865" i="1" s="1"/>
  <c r="J2866" i="1"/>
  <c r="K2866" i="1" s="1"/>
  <c r="J2867" i="1"/>
  <c r="K2867" i="1" s="1"/>
  <c r="J2868" i="1"/>
  <c r="K2868" i="1" s="1"/>
  <c r="J2869" i="1"/>
  <c r="K2869" i="1" s="1"/>
  <c r="J2870" i="1"/>
  <c r="K2870" i="1" s="1"/>
  <c r="J2871" i="1"/>
  <c r="K2871" i="1" s="1"/>
  <c r="J2872" i="1"/>
  <c r="K2872" i="1" s="1"/>
  <c r="J2873" i="1"/>
  <c r="K2873" i="1" s="1"/>
  <c r="J2874" i="1"/>
  <c r="K2874" i="1" s="1"/>
  <c r="J2875" i="1"/>
  <c r="K2875" i="1" s="1"/>
  <c r="J2876" i="1"/>
  <c r="K2876" i="1" s="1"/>
  <c r="J2877" i="1"/>
  <c r="K2877" i="1" s="1"/>
  <c r="J2878" i="1"/>
  <c r="K2878" i="1" s="1"/>
  <c r="J2879" i="1"/>
  <c r="K2879" i="1" s="1"/>
  <c r="J2880" i="1"/>
  <c r="K2880" i="1" s="1"/>
  <c r="J2881" i="1"/>
  <c r="K2881" i="1" s="1"/>
  <c r="J2882" i="1"/>
  <c r="K2882" i="1" s="1"/>
  <c r="J2883" i="1"/>
  <c r="K2883" i="1" s="1"/>
  <c r="J2884" i="1"/>
  <c r="K2884" i="1" s="1"/>
  <c r="J2885" i="1"/>
  <c r="K2885" i="1" s="1"/>
  <c r="J2886" i="1"/>
  <c r="K2886" i="1" s="1"/>
  <c r="J2887" i="1"/>
  <c r="K2887" i="1" s="1"/>
  <c r="J2888" i="1"/>
  <c r="K2888" i="1" s="1"/>
  <c r="J2889" i="1"/>
  <c r="K2889" i="1" s="1"/>
  <c r="J2890" i="1"/>
  <c r="K2890" i="1" s="1"/>
  <c r="J2891" i="1"/>
  <c r="K2891" i="1" s="1"/>
  <c r="J2892" i="1"/>
  <c r="K2892" i="1" s="1"/>
  <c r="J2893" i="1"/>
  <c r="K2893" i="1" s="1"/>
  <c r="J2894" i="1"/>
  <c r="K2894" i="1" s="1"/>
  <c r="J2895" i="1"/>
  <c r="K2895" i="1" s="1"/>
  <c r="J2896" i="1"/>
  <c r="K2896" i="1" s="1"/>
  <c r="J2897" i="1"/>
  <c r="K2897" i="1" s="1"/>
  <c r="J2898" i="1"/>
  <c r="K2898" i="1" s="1"/>
  <c r="J2899" i="1"/>
  <c r="K2899" i="1" s="1"/>
  <c r="J2900" i="1"/>
  <c r="K2900" i="1" s="1"/>
  <c r="J2901" i="1"/>
  <c r="K2901" i="1" s="1"/>
  <c r="J2902" i="1"/>
  <c r="K2902" i="1" s="1"/>
  <c r="J2903" i="1"/>
  <c r="K2903" i="1" s="1"/>
  <c r="J2904" i="1"/>
  <c r="K2904" i="1" s="1"/>
  <c r="J2905" i="1"/>
  <c r="K2905" i="1" s="1"/>
  <c r="J2906" i="1"/>
  <c r="K2906" i="1" s="1"/>
  <c r="J2907" i="1"/>
  <c r="K2907" i="1" s="1"/>
  <c r="J2908" i="1"/>
  <c r="K2908" i="1" s="1"/>
  <c r="J2909" i="1"/>
  <c r="K2909" i="1" s="1"/>
  <c r="J2910" i="1"/>
  <c r="K2910" i="1" s="1"/>
  <c r="J2911" i="1"/>
  <c r="K2911" i="1" s="1"/>
  <c r="J2912" i="1"/>
  <c r="K2912" i="1" s="1"/>
  <c r="J2913" i="1"/>
  <c r="K2913" i="1" s="1"/>
  <c r="J2914" i="1"/>
  <c r="K2914" i="1" s="1"/>
  <c r="J2915" i="1"/>
  <c r="K2915" i="1" s="1"/>
  <c r="J2916" i="1"/>
  <c r="K2916" i="1" s="1"/>
  <c r="J2917" i="1"/>
  <c r="K2917" i="1" s="1"/>
  <c r="J2918" i="1"/>
  <c r="K2918" i="1" s="1"/>
  <c r="J2919" i="1"/>
  <c r="K2919" i="1" s="1"/>
  <c r="J2920" i="1"/>
  <c r="K2920" i="1" s="1"/>
  <c r="J2921" i="1"/>
  <c r="K2921" i="1" s="1"/>
  <c r="J2922" i="1"/>
  <c r="K2922" i="1" s="1"/>
  <c r="J2923" i="1"/>
  <c r="K2923" i="1" s="1"/>
  <c r="J2924" i="1"/>
  <c r="K2924" i="1" s="1"/>
  <c r="J2925" i="1"/>
  <c r="K2925" i="1" s="1"/>
  <c r="J2926" i="1"/>
  <c r="K2926" i="1" s="1"/>
  <c r="J2927" i="1"/>
  <c r="K2927" i="1" s="1"/>
  <c r="J2928" i="1"/>
  <c r="K2928" i="1" s="1"/>
  <c r="J2929" i="1"/>
  <c r="K2929" i="1" s="1"/>
  <c r="J2930" i="1"/>
  <c r="K2930" i="1" s="1"/>
  <c r="J2931" i="1"/>
  <c r="K2931" i="1" s="1"/>
  <c r="J2932" i="1"/>
  <c r="K2932" i="1" s="1"/>
  <c r="J2933" i="1"/>
  <c r="K2933" i="1" s="1"/>
  <c r="J2934" i="1"/>
  <c r="K2934" i="1" s="1"/>
  <c r="J2935" i="1"/>
  <c r="K2935" i="1" s="1"/>
  <c r="J2936" i="1"/>
  <c r="K2936" i="1" s="1"/>
  <c r="J2937" i="1"/>
  <c r="K2937" i="1" s="1"/>
  <c r="J2938" i="1"/>
  <c r="K2938" i="1" s="1"/>
  <c r="J2939" i="1"/>
  <c r="K2939" i="1" s="1"/>
  <c r="J2940" i="1"/>
  <c r="K2940" i="1" s="1"/>
  <c r="J2941" i="1"/>
  <c r="K2941" i="1" s="1"/>
  <c r="J2942" i="1"/>
  <c r="K2942" i="1" s="1"/>
  <c r="J2943" i="1"/>
  <c r="K2943" i="1" s="1"/>
  <c r="J2944" i="1"/>
  <c r="K2944" i="1" s="1"/>
  <c r="J2945" i="1"/>
  <c r="K2945" i="1" s="1"/>
  <c r="J2946" i="1"/>
  <c r="K2946" i="1" s="1"/>
  <c r="J2947" i="1"/>
  <c r="K2947" i="1" s="1"/>
  <c r="J2948" i="1"/>
  <c r="K2948" i="1" s="1"/>
  <c r="J2949" i="1"/>
  <c r="K2949" i="1" s="1"/>
  <c r="J2950" i="1"/>
  <c r="K2950" i="1" s="1"/>
  <c r="J2951" i="1"/>
  <c r="K2951" i="1" s="1"/>
  <c r="J2952" i="1"/>
  <c r="K2952" i="1" s="1"/>
  <c r="J2953" i="1"/>
  <c r="K2953" i="1" s="1"/>
  <c r="J2954" i="1"/>
  <c r="K2954" i="1" s="1"/>
  <c r="J2955" i="1"/>
  <c r="K2955" i="1" s="1"/>
  <c r="J2956" i="1"/>
  <c r="K2956" i="1" s="1"/>
  <c r="J2957" i="1"/>
  <c r="K2957" i="1" s="1"/>
  <c r="J2958" i="1"/>
  <c r="K2958" i="1" s="1"/>
  <c r="J2959" i="1"/>
  <c r="K2959" i="1" s="1"/>
  <c r="J2960" i="1"/>
  <c r="K2960" i="1" s="1"/>
  <c r="J2961" i="1"/>
  <c r="K2961" i="1" s="1"/>
  <c r="J2962" i="1"/>
  <c r="K2962" i="1" s="1"/>
  <c r="J2963" i="1"/>
  <c r="K2963" i="1" s="1"/>
  <c r="J2964" i="1"/>
  <c r="K2964" i="1" s="1"/>
  <c r="J2965" i="1"/>
  <c r="K2965" i="1" s="1"/>
  <c r="J2966" i="1"/>
  <c r="K2966" i="1" s="1"/>
  <c r="J2967" i="1"/>
  <c r="K2967" i="1" s="1"/>
  <c r="J2968" i="1"/>
  <c r="K2968" i="1" s="1"/>
  <c r="J2969" i="1"/>
  <c r="K2969" i="1" s="1"/>
  <c r="J2970" i="1"/>
  <c r="K2970" i="1" s="1"/>
  <c r="J2971" i="1"/>
  <c r="K2971" i="1" s="1"/>
  <c r="J2972" i="1"/>
  <c r="K2972" i="1" s="1"/>
  <c r="J2973" i="1"/>
  <c r="K2973" i="1" s="1"/>
  <c r="J2974" i="1"/>
  <c r="K2974" i="1" s="1"/>
  <c r="J2975" i="1"/>
  <c r="K2975" i="1" s="1"/>
  <c r="J2976" i="1"/>
  <c r="K2976" i="1" s="1"/>
  <c r="J2977" i="1"/>
  <c r="K2977" i="1" s="1"/>
  <c r="J2978" i="1"/>
  <c r="K2978" i="1" s="1"/>
  <c r="J2979" i="1"/>
  <c r="K2979" i="1" s="1"/>
  <c r="J2980" i="1"/>
  <c r="K2980" i="1" s="1"/>
  <c r="J2981" i="1"/>
  <c r="K2981" i="1" s="1"/>
  <c r="J2982" i="1"/>
  <c r="K2982" i="1" s="1"/>
  <c r="J2983" i="1"/>
  <c r="K2983" i="1" s="1"/>
  <c r="J2984" i="1"/>
  <c r="K2984" i="1" s="1"/>
  <c r="J2985" i="1"/>
  <c r="K2985" i="1" s="1"/>
  <c r="J2986" i="1"/>
  <c r="K2986" i="1" s="1"/>
  <c r="J2987" i="1"/>
  <c r="K2987" i="1" s="1"/>
  <c r="J2988" i="1"/>
  <c r="K2988" i="1" s="1"/>
  <c r="J2989" i="1"/>
  <c r="K2989" i="1" s="1"/>
  <c r="J2990" i="1"/>
  <c r="K2990" i="1" s="1"/>
  <c r="J2991" i="1"/>
  <c r="K2991" i="1" s="1"/>
  <c r="J2992" i="1"/>
  <c r="K2992" i="1" s="1"/>
  <c r="J2993" i="1"/>
  <c r="K2993" i="1" s="1"/>
  <c r="J2994" i="1"/>
  <c r="K2994" i="1" s="1"/>
  <c r="J2995" i="1"/>
  <c r="K2995" i="1" s="1"/>
  <c r="J2996" i="1"/>
  <c r="K2996" i="1" s="1"/>
  <c r="J2997" i="1"/>
  <c r="K2997" i="1" s="1"/>
  <c r="J2998" i="1"/>
  <c r="K2998" i="1" s="1"/>
  <c r="J2999" i="1"/>
  <c r="K2999" i="1" s="1"/>
  <c r="J3000" i="1"/>
  <c r="K3000" i="1" s="1"/>
  <c r="J3001" i="1"/>
  <c r="K3001" i="1" s="1"/>
  <c r="J3002" i="1"/>
  <c r="K3002" i="1" s="1"/>
  <c r="J3003" i="1"/>
  <c r="K3003" i="1" s="1"/>
  <c r="J3004" i="1"/>
  <c r="K3004" i="1" s="1"/>
  <c r="J3005" i="1"/>
  <c r="K3005" i="1" s="1"/>
  <c r="J3006" i="1"/>
  <c r="K3006" i="1" s="1"/>
  <c r="J3007" i="1"/>
  <c r="K3007" i="1" s="1"/>
  <c r="J3008" i="1"/>
  <c r="K3008" i="1" s="1"/>
  <c r="J3009" i="1"/>
  <c r="K3009" i="1" s="1"/>
  <c r="J3010" i="1"/>
  <c r="K3010" i="1" s="1"/>
  <c r="J3011" i="1"/>
  <c r="K3011" i="1" s="1"/>
  <c r="J3012" i="1"/>
  <c r="K3012" i="1" s="1"/>
  <c r="J3013" i="1"/>
  <c r="K3013" i="1" s="1"/>
  <c r="J3014" i="1"/>
  <c r="K3014" i="1" s="1"/>
  <c r="J3015" i="1"/>
  <c r="K3015" i="1" s="1"/>
  <c r="J3016" i="1"/>
  <c r="K3016" i="1" s="1"/>
  <c r="J3017" i="1"/>
  <c r="K3017" i="1" s="1"/>
  <c r="J3018" i="1"/>
  <c r="K3018" i="1" s="1"/>
  <c r="J3019" i="1"/>
  <c r="K3019" i="1" s="1"/>
  <c r="J3020" i="1"/>
  <c r="K3020" i="1" s="1"/>
  <c r="J3021" i="1"/>
  <c r="K3021" i="1" s="1"/>
  <c r="J3022" i="1"/>
  <c r="K3022" i="1" s="1"/>
  <c r="J3023" i="1"/>
  <c r="K3023" i="1" s="1"/>
  <c r="J3024" i="1"/>
  <c r="K3024" i="1" s="1"/>
  <c r="J3025" i="1"/>
  <c r="K3025" i="1" s="1"/>
  <c r="J3026" i="1"/>
  <c r="K3026" i="1" s="1"/>
  <c r="J3027" i="1"/>
  <c r="K3027" i="1" s="1"/>
  <c r="J3028" i="1"/>
  <c r="K3028" i="1" s="1"/>
  <c r="J3029" i="1"/>
  <c r="K3029" i="1" s="1"/>
  <c r="J3030" i="1"/>
  <c r="K3030" i="1" s="1"/>
  <c r="J3031" i="1"/>
  <c r="K3031" i="1" s="1"/>
  <c r="J3032" i="1"/>
  <c r="K3032" i="1" s="1"/>
  <c r="J3033" i="1"/>
  <c r="K3033" i="1" s="1"/>
  <c r="J3034" i="1"/>
  <c r="K3034" i="1" s="1"/>
  <c r="J3035" i="1"/>
  <c r="K3035" i="1" s="1"/>
  <c r="J3036" i="1"/>
  <c r="K3036" i="1" s="1"/>
  <c r="J3037" i="1"/>
  <c r="K3037" i="1" s="1"/>
  <c r="J3038" i="1"/>
  <c r="K3038" i="1" s="1"/>
  <c r="J3039" i="1"/>
  <c r="K3039" i="1" s="1"/>
  <c r="J3040" i="1"/>
  <c r="K3040" i="1" s="1"/>
  <c r="J3041" i="1"/>
  <c r="K3041" i="1" s="1"/>
  <c r="J3042" i="1"/>
  <c r="K3042" i="1" s="1"/>
  <c r="J3043" i="1"/>
  <c r="K3043" i="1" s="1"/>
  <c r="J3044" i="1"/>
  <c r="K3044" i="1" s="1"/>
  <c r="J3045" i="1"/>
  <c r="K3045" i="1" s="1"/>
  <c r="J3046" i="1"/>
  <c r="K3046" i="1" s="1"/>
  <c r="J3047" i="1"/>
  <c r="K3047" i="1" s="1"/>
  <c r="J3048" i="1"/>
  <c r="K3048" i="1" s="1"/>
  <c r="J3049" i="1"/>
  <c r="K3049" i="1" s="1"/>
  <c r="J3050" i="1"/>
  <c r="K3050" i="1" s="1"/>
  <c r="J3051" i="1"/>
  <c r="K3051" i="1" s="1"/>
  <c r="J3052" i="1"/>
  <c r="K3052" i="1" s="1"/>
  <c r="J3053" i="1"/>
  <c r="K3053" i="1" s="1"/>
  <c r="J3054" i="1"/>
  <c r="K3054" i="1" s="1"/>
  <c r="J3055" i="1"/>
  <c r="K3055" i="1" s="1"/>
  <c r="J3056" i="1"/>
  <c r="K3056" i="1" s="1"/>
  <c r="J3057" i="1"/>
  <c r="K3057" i="1" s="1"/>
  <c r="J3058" i="1"/>
  <c r="K3058" i="1" s="1"/>
  <c r="J3059" i="1"/>
  <c r="K3059" i="1" s="1"/>
  <c r="J3060" i="1"/>
  <c r="K3060" i="1" s="1"/>
  <c r="J3061" i="1"/>
  <c r="K3061" i="1" s="1"/>
  <c r="J3062" i="1"/>
  <c r="K3062" i="1" s="1"/>
  <c r="J3063" i="1"/>
  <c r="K3063" i="1" s="1"/>
  <c r="J3064" i="1"/>
  <c r="K3064" i="1" s="1"/>
  <c r="J3065" i="1"/>
  <c r="K3065" i="1" s="1"/>
  <c r="J3066" i="1"/>
  <c r="K3066" i="1" s="1"/>
  <c r="J3067" i="1"/>
  <c r="K3067" i="1" s="1"/>
  <c r="J3068" i="1"/>
  <c r="K3068" i="1" s="1"/>
  <c r="J3069" i="1"/>
  <c r="K3069" i="1" s="1"/>
  <c r="J3070" i="1"/>
  <c r="K3070" i="1" s="1"/>
  <c r="J3071" i="1"/>
  <c r="K3071" i="1" s="1"/>
  <c r="J3072" i="1"/>
  <c r="K3072" i="1" s="1"/>
  <c r="J3073" i="1"/>
  <c r="K3073" i="1" s="1"/>
  <c r="J3074" i="1"/>
  <c r="K3074" i="1" s="1"/>
  <c r="J3075" i="1"/>
  <c r="K3075" i="1" s="1"/>
  <c r="J3076" i="1"/>
  <c r="K3076" i="1" s="1"/>
  <c r="J3077" i="1"/>
  <c r="K3077" i="1" s="1"/>
  <c r="J3078" i="1"/>
  <c r="K3078" i="1" s="1"/>
  <c r="J3079" i="1"/>
  <c r="K3079" i="1" s="1"/>
  <c r="J3080" i="1"/>
  <c r="K3080" i="1" s="1"/>
  <c r="J3081" i="1"/>
  <c r="K3081" i="1" s="1"/>
  <c r="J3082" i="1"/>
  <c r="K3082" i="1" s="1"/>
  <c r="J3083" i="1"/>
  <c r="K3083" i="1" s="1"/>
  <c r="J3084" i="1"/>
  <c r="K3084" i="1" s="1"/>
  <c r="J3085" i="1"/>
  <c r="K3085" i="1" s="1"/>
  <c r="J3086" i="1"/>
  <c r="K3086" i="1" s="1"/>
  <c r="J3087" i="1"/>
  <c r="K3087" i="1" s="1"/>
  <c r="J3088" i="1"/>
  <c r="K3088" i="1" s="1"/>
  <c r="J3089" i="1"/>
  <c r="K3089" i="1" s="1"/>
  <c r="J3090" i="1"/>
  <c r="K3090" i="1" s="1"/>
  <c r="J3091" i="1"/>
  <c r="K3091" i="1" s="1"/>
  <c r="J3092" i="1"/>
  <c r="K3092" i="1" s="1"/>
  <c r="J3093" i="1"/>
  <c r="K3093" i="1" s="1"/>
  <c r="J3094" i="1"/>
  <c r="K3094" i="1" s="1"/>
  <c r="J3095" i="1"/>
  <c r="K3095" i="1" s="1"/>
  <c r="J3096" i="1"/>
  <c r="K3096" i="1" s="1"/>
  <c r="J3097" i="1"/>
  <c r="K3097" i="1" s="1"/>
  <c r="J3098" i="1"/>
  <c r="K3098" i="1" s="1"/>
  <c r="J3099" i="1"/>
  <c r="K3099" i="1" s="1"/>
  <c r="J3100" i="1"/>
  <c r="K3100" i="1" s="1"/>
  <c r="J3101" i="1"/>
  <c r="K3101" i="1" s="1"/>
  <c r="J3102" i="1"/>
  <c r="K3102" i="1" s="1"/>
  <c r="J3103" i="1"/>
  <c r="K3103" i="1" s="1"/>
  <c r="J3104" i="1"/>
  <c r="K3104" i="1" s="1"/>
  <c r="J3105" i="1"/>
  <c r="K3105" i="1" s="1"/>
  <c r="J3106" i="1"/>
  <c r="K3106" i="1" s="1"/>
  <c r="J3107" i="1"/>
  <c r="K3107" i="1" s="1"/>
  <c r="J3108" i="1"/>
  <c r="K3108" i="1" s="1"/>
  <c r="J3109" i="1"/>
  <c r="K3109" i="1" s="1"/>
  <c r="J3110" i="1"/>
  <c r="K3110" i="1" s="1"/>
  <c r="J3111" i="1"/>
  <c r="K3111" i="1" s="1"/>
  <c r="J3112" i="1"/>
  <c r="K3112" i="1" s="1"/>
  <c r="J3113" i="1"/>
  <c r="K3113" i="1" s="1"/>
  <c r="J3114" i="1"/>
  <c r="K3114" i="1" s="1"/>
  <c r="J3115" i="1"/>
  <c r="K3115" i="1" s="1"/>
  <c r="J3116" i="1"/>
  <c r="K3116" i="1" s="1"/>
  <c r="J3117" i="1"/>
  <c r="K3117" i="1" s="1"/>
  <c r="J3118" i="1"/>
  <c r="K3118" i="1" s="1"/>
  <c r="J3119" i="1"/>
  <c r="K3119" i="1" s="1"/>
  <c r="J3120" i="1"/>
  <c r="K3120" i="1" s="1"/>
  <c r="J3121" i="1"/>
  <c r="K3121" i="1" s="1"/>
  <c r="J3122" i="1"/>
  <c r="K3122" i="1" s="1"/>
  <c r="J3123" i="1"/>
  <c r="K3123" i="1" s="1"/>
  <c r="J3124" i="1"/>
  <c r="K3124" i="1" s="1"/>
  <c r="J3125" i="1"/>
  <c r="K3125" i="1" s="1"/>
  <c r="J3126" i="1"/>
  <c r="K3126" i="1" s="1"/>
  <c r="J3127" i="1"/>
  <c r="K3127" i="1" s="1"/>
  <c r="J3128" i="1"/>
  <c r="K3128" i="1" s="1"/>
  <c r="J3129" i="1"/>
  <c r="K3129" i="1" s="1"/>
  <c r="J3130" i="1"/>
  <c r="K3130" i="1" s="1"/>
  <c r="J3131" i="1"/>
  <c r="K3131" i="1" s="1"/>
  <c r="J3132" i="1"/>
  <c r="K3132" i="1" s="1"/>
  <c r="J3133" i="1"/>
  <c r="K3133" i="1" s="1"/>
  <c r="J3134" i="1"/>
  <c r="K3134" i="1" s="1"/>
  <c r="J3135" i="1"/>
  <c r="K3135" i="1" s="1"/>
  <c r="J3136" i="1"/>
  <c r="K3136" i="1" s="1"/>
  <c r="J3137" i="1"/>
  <c r="K3137" i="1" s="1"/>
  <c r="J3138" i="1"/>
  <c r="K3138" i="1" s="1"/>
  <c r="J3139" i="1"/>
  <c r="K3139" i="1" s="1"/>
  <c r="J3140" i="1"/>
  <c r="K3140" i="1" s="1"/>
  <c r="J3141" i="1"/>
  <c r="K3141" i="1" s="1"/>
  <c r="J3142" i="1"/>
  <c r="K3142" i="1" s="1"/>
  <c r="J3143" i="1"/>
  <c r="K3143" i="1" s="1"/>
  <c r="J3144" i="1"/>
  <c r="K3144" i="1" s="1"/>
  <c r="J3145" i="1"/>
  <c r="K3145" i="1" s="1"/>
  <c r="J3146" i="1"/>
  <c r="K3146" i="1" s="1"/>
  <c r="J3147" i="1"/>
  <c r="K3147" i="1" s="1"/>
  <c r="J3148" i="1"/>
  <c r="K3148" i="1" s="1"/>
  <c r="J3149" i="1"/>
  <c r="K3149" i="1" s="1"/>
  <c r="J3150" i="1"/>
  <c r="K3150" i="1" s="1"/>
  <c r="J3151" i="1"/>
  <c r="K3151" i="1" s="1"/>
  <c r="J3152" i="1"/>
  <c r="K3152" i="1" s="1"/>
  <c r="J3153" i="1"/>
  <c r="K3153" i="1" s="1"/>
  <c r="J3154" i="1"/>
  <c r="K3154" i="1" s="1"/>
  <c r="J3155" i="1"/>
  <c r="K3155" i="1" s="1"/>
  <c r="J3156" i="1"/>
  <c r="K3156" i="1" s="1"/>
  <c r="J3157" i="1"/>
  <c r="K3157" i="1" s="1"/>
  <c r="J3158" i="1"/>
  <c r="K3158" i="1" s="1"/>
  <c r="J3159" i="1"/>
  <c r="K3159" i="1" s="1"/>
  <c r="J3160" i="1"/>
  <c r="K3160" i="1" s="1"/>
  <c r="J3161" i="1"/>
  <c r="K3161" i="1" s="1"/>
  <c r="J3162" i="1"/>
  <c r="K3162" i="1" s="1"/>
  <c r="J3163" i="1"/>
  <c r="K3163" i="1" s="1"/>
  <c r="J3164" i="1"/>
  <c r="K3164" i="1" s="1"/>
  <c r="J3165" i="1"/>
  <c r="K3165" i="1" s="1"/>
  <c r="J3166" i="1"/>
  <c r="K3166" i="1" s="1"/>
  <c r="J3167" i="1"/>
  <c r="K3167" i="1" s="1"/>
  <c r="J3168" i="1"/>
  <c r="K3168" i="1" s="1"/>
  <c r="J3169" i="1"/>
  <c r="K3169" i="1" s="1"/>
  <c r="J3170" i="1"/>
  <c r="K3170" i="1" s="1"/>
  <c r="J3171" i="1"/>
  <c r="K3171" i="1" s="1"/>
  <c r="J3172" i="1"/>
  <c r="K3172" i="1" s="1"/>
  <c r="J3173" i="1"/>
  <c r="K3173" i="1" s="1"/>
  <c r="J3174" i="1"/>
  <c r="K3174" i="1" s="1"/>
  <c r="J3175" i="1"/>
  <c r="K3175" i="1" s="1"/>
  <c r="J3176" i="1"/>
  <c r="K3176" i="1" s="1"/>
  <c r="J3177" i="1"/>
  <c r="K3177" i="1" s="1"/>
  <c r="J3178" i="1"/>
  <c r="K3178" i="1" s="1"/>
  <c r="J3179" i="1"/>
  <c r="K3179" i="1" s="1"/>
  <c r="J3180" i="1"/>
  <c r="K3180" i="1" s="1"/>
  <c r="J3181" i="1"/>
  <c r="K3181" i="1" s="1"/>
  <c r="J3182" i="1"/>
  <c r="K3182" i="1" s="1"/>
  <c r="J3183" i="1"/>
  <c r="K3183" i="1" s="1"/>
  <c r="J3184" i="1"/>
  <c r="K3184" i="1" s="1"/>
  <c r="J3185" i="1"/>
  <c r="K3185" i="1" s="1"/>
  <c r="J3186" i="1"/>
  <c r="K3186" i="1" s="1"/>
  <c r="J3187" i="1"/>
  <c r="K3187" i="1" s="1"/>
  <c r="J3188" i="1"/>
  <c r="K3188" i="1" s="1"/>
  <c r="J3189" i="1"/>
  <c r="K3189" i="1" s="1"/>
  <c r="J3190" i="1"/>
  <c r="K3190" i="1" s="1"/>
  <c r="J3191" i="1"/>
  <c r="K3191" i="1" s="1"/>
  <c r="J3192" i="1"/>
  <c r="K3192" i="1" s="1"/>
  <c r="J3193" i="1"/>
  <c r="K3193" i="1" s="1"/>
  <c r="J3194" i="1"/>
  <c r="K3194" i="1" s="1"/>
  <c r="J3195" i="1"/>
  <c r="K3195" i="1" s="1"/>
  <c r="J3196" i="1"/>
  <c r="K3196" i="1" s="1"/>
  <c r="J3197" i="1"/>
  <c r="K3197" i="1" s="1"/>
  <c r="J3198" i="1"/>
  <c r="K3198" i="1" s="1"/>
  <c r="J3199" i="1"/>
  <c r="K3199" i="1" s="1"/>
  <c r="J3200" i="1"/>
  <c r="K3200" i="1" s="1"/>
  <c r="J3201" i="1"/>
  <c r="K3201" i="1" s="1"/>
  <c r="J3202" i="1"/>
  <c r="K3202" i="1" s="1"/>
  <c r="J3203" i="1"/>
  <c r="K3203" i="1" s="1"/>
  <c r="J3204" i="1"/>
  <c r="K3204" i="1" s="1"/>
  <c r="J3205" i="1"/>
  <c r="K3205" i="1" s="1"/>
  <c r="J3206" i="1"/>
  <c r="K3206" i="1" s="1"/>
  <c r="J3207" i="1"/>
  <c r="K3207" i="1" s="1"/>
  <c r="J3208" i="1"/>
  <c r="K3208" i="1" s="1"/>
  <c r="J3209" i="1"/>
  <c r="K3209" i="1" s="1"/>
  <c r="J3210" i="1"/>
  <c r="K3210" i="1" s="1"/>
  <c r="J3211" i="1"/>
  <c r="K3211" i="1" s="1"/>
  <c r="J3212" i="1"/>
  <c r="K3212" i="1" s="1"/>
  <c r="J3213" i="1"/>
  <c r="K3213" i="1" s="1"/>
  <c r="J3214" i="1"/>
  <c r="K3214" i="1" s="1"/>
  <c r="J3215" i="1"/>
  <c r="K3215" i="1" s="1"/>
  <c r="J3216" i="1"/>
  <c r="K3216" i="1" s="1"/>
  <c r="J3217" i="1"/>
  <c r="K3217" i="1" s="1"/>
  <c r="J3218" i="1"/>
  <c r="K3218" i="1" s="1"/>
  <c r="J3219" i="1"/>
  <c r="K3219" i="1" s="1"/>
  <c r="J3220" i="1"/>
  <c r="K3220" i="1" s="1"/>
  <c r="J3221" i="1"/>
  <c r="K3221" i="1" s="1"/>
  <c r="J3222" i="1"/>
  <c r="K3222" i="1" s="1"/>
  <c r="J3223" i="1"/>
  <c r="K3223" i="1" s="1"/>
  <c r="J3224" i="1"/>
  <c r="K3224" i="1" s="1"/>
  <c r="J3225" i="1"/>
  <c r="K3225" i="1" s="1"/>
  <c r="J3226" i="1"/>
  <c r="K3226" i="1" s="1"/>
  <c r="J3227" i="1"/>
  <c r="K3227" i="1" s="1"/>
  <c r="J3228" i="1"/>
  <c r="K3228" i="1" s="1"/>
  <c r="J3229" i="1"/>
  <c r="K3229" i="1" s="1"/>
  <c r="J3230" i="1"/>
  <c r="K3230" i="1" s="1"/>
  <c r="J3231" i="1"/>
  <c r="K3231" i="1" s="1"/>
  <c r="J3232" i="1"/>
  <c r="K3232" i="1" s="1"/>
  <c r="J3233" i="1"/>
  <c r="K3233" i="1" s="1"/>
  <c r="J3234" i="1"/>
  <c r="K3234" i="1" s="1"/>
  <c r="J3235" i="1"/>
  <c r="K3235" i="1" s="1"/>
  <c r="J3236" i="1"/>
  <c r="K3236" i="1" s="1"/>
  <c r="J3237" i="1"/>
  <c r="K3237" i="1" s="1"/>
  <c r="J3238" i="1"/>
  <c r="K3238" i="1" s="1"/>
  <c r="J3239" i="1"/>
  <c r="K3239" i="1" s="1"/>
  <c r="J3240" i="1"/>
  <c r="K3240" i="1" s="1"/>
  <c r="J3241" i="1"/>
  <c r="K3241" i="1" s="1"/>
  <c r="J3242" i="1"/>
  <c r="K3242" i="1" s="1"/>
  <c r="J3243" i="1"/>
  <c r="K3243" i="1" s="1"/>
  <c r="J3244" i="1"/>
  <c r="K3244" i="1" s="1"/>
  <c r="J3245" i="1"/>
  <c r="K3245" i="1" s="1"/>
  <c r="J3246" i="1"/>
  <c r="K3246" i="1" s="1"/>
  <c r="J3247" i="1"/>
  <c r="K3247" i="1" s="1"/>
  <c r="J3248" i="1"/>
  <c r="K3248" i="1" s="1"/>
  <c r="J3249" i="1"/>
  <c r="K3249" i="1" s="1"/>
  <c r="J3250" i="1"/>
  <c r="K3250" i="1" s="1"/>
  <c r="J3251" i="1"/>
  <c r="K3251" i="1" s="1"/>
  <c r="J3252" i="1"/>
  <c r="K3252" i="1" s="1"/>
  <c r="J3253" i="1"/>
  <c r="K3253" i="1" s="1"/>
  <c r="J3254" i="1"/>
  <c r="K3254" i="1" s="1"/>
  <c r="J3255" i="1"/>
  <c r="K3255" i="1" s="1"/>
  <c r="J3256" i="1"/>
  <c r="K3256" i="1" s="1"/>
  <c r="J3257" i="1"/>
  <c r="K3257" i="1" s="1"/>
  <c r="J3258" i="1"/>
  <c r="K3258" i="1" s="1"/>
  <c r="J3259" i="1"/>
  <c r="K3259" i="1" s="1"/>
  <c r="J3260" i="1"/>
  <c r="K3260" i="1" s="1"/>
  <c r="J3261" i="1"/>
  <c r="K3261" i="1" s="1"/>
  <c r="J3262" i="1"/>
  <c r="K3262" i="1" s="1"/>
  <c r="J3263" i="1"/>
  <c r="K3263" i="1" s="1"/>
  <c r="J3264" i="1"/>
  <c r="K3264" i="1" s="1"/>
  <c r="J3265" i="1"/>
  <c r="K3265" i="1" s="1"/>
  <c r="J3266" i="1"/>
  <c r="K3266" i="1" s="1"/>
  <c r="J3267" i="1"/>
  <c r="K3267" i="1" s="1"/>
  <c r="J3268" i="1"/>
  <c r="K3268" i="1" s="1"/>
  <c r="J3269" i="1"/>
  <c r="K3269" i="1" s="1"/>
  <c r="J3270" i="1"/>
  <c r="K3270" i="1" s="1"/>
  <c r="J3271" i="1"/>
  <c r="K3271" i="1" s="1"/>
  <c r="J3272" i="1"/>
  <c r="K3272" i="1" s="1"/>
  <c r="J3273" i="1"/>
  <c r="K3273" i="1" s="1"/>
  <c r="J3274" i="1"/>
  <c r="K3274" i="1" s="1"/>
  <c r="J3275" i="1"/>
  <c r="K3275" i="1" s="1"/>
  <c r="J3276" i="1"/>
  <c r="K3276" i="1" s="1"/>
  <c r="J3277" i="1"/>
  <c r="K3277" i="1" s="1"/>
  <c r="J3278" i="1"/>
  <c r="K3278" i="1" s="1"/>
  <c r="J3279" i="1"/>
  <c r="K3279" i="1" s="1"/>
  <c r="J3280" i="1"/>
  <c r="K3280" i="1" s="1"/>
  <c r="J3281" i="1"/>
  <c r="K3281" i="1" s="1"/>
  <c r="J3282" i="1"/>
  <c r="K3282" i="1" s="1"/>
  <c r="J3283" i="1"/>
  <c r="K3283" i="1" s="1"/>
  <c r="J3284" i="1"/>
  <c r="K3284" i="1" s="1"/>
  <c r="J3285" i="1"/>
  <c r="K3285" i="1" s="1"/>
  <c r="J3286" i="1"/>
  <c r="K3286" i="1" s="1"/>
  <c r="J3287" i="1"/>
  <c r="K3287" i="1" s="1"/>
  <c r="J3288" i="1"/>
  <c r="K3288" i="1" s="1"/>
  <c r="J3289" i="1"/>
  <c r="K3289" i="1" s="1"/>
  <c r="J3290" i="1"/>
  <c r="K3290" i="1" s="1"/>
  <c r="J3291" i="1"/>
  <c r="K3291" i="1" s="1"/>
  <c r="J3292" i="1"/>
  <c r="K3292" i="1" s="1"/>
  <c r="J3293" i="1"/>
  <c r="K3293" i="1" s="1"/>
  <c r="J3294" i="1"/>
  <c r="K3294" i="1" s="1"/>
  <c r="J3295" i="1"/>
  <c r="K3295" i="1" s="1"/>
  <c r="J3296" i="1"/>
  <c r="K3296" i="1" s="1"/>
  <c r="J3297" i="1"/>
  <c r="K3297" i="1" s="1"/>
  <c r="J3298" i="1"/>
  <c r="K3298" i="1" s="1"/>
  <c r="J3299" i="1"/>
  <c r="K3299" i="1" s="1"/>
  <c r="J3300" i="1"/>
  <c r="K3300" i="1" s="1"/>
  <c r="J3301" i="1"/>
  <c r="K3301" i="1" s="1"/>
  <c r="J3302" i="1"/>
  <c r="K3302" i="1" s="1"/>
  <c r="J3303" i="1"/>
  <c r="K3303" i="1" s="1"/>
  <c r="J3304" i="1"/>
  <c r="K3304" i="1" s="1"/>
  <c r="J3305" i="1"/>
  <c r="K3305" i="1" s="1"/>
  <c r="J3306" i="1"/>
  <c r="K3306" i="1" s="1"/>
  <c r="J3307" i="1"/>
  <c r="K3307" i="1" s="1"/>
  <c r="J3308" i="1"/>
  <c r="K3308" i="1" s="1"/>
  <c r="J3309" i="1"/>
  <c r="K3309" i="1" s="1"/>
  <c r="J3310" i="1"/>
  <c r="K3310" i="1" s="1"/>
  <c r="J3311" i="1"/>
  <c r="K3311" i="1" s="1"/>
  <c r="J3312" i="1"/>
  <c r="K3312" i="1" s="1"/>
  <c r="J3313" i="1"/>
  <c r="K3313" i="1" s="1"/>
  <c r="J3314" i="1"/>
  <c r="K3314" i="1" s="1"/>
  <c r="J3315" i="1"/>
  <c r="K3315" i="1" s="1"/>
  <c r="J3316" i="1"/>
  <c r="K3316" i="1" s="1"/>
  <c r="J3317" i="1"/>
  <c r="K3317" i="1" s="1"/>
  <c r="J3318" i="1"/>
  <c r="K3318" i="1" s="1"/>
  <c r="J3319" i="1"/>
  <c r="K3319" i="1" s="1"/>
  <c r="J3320" i="1"/>
  <c r="K3320" i="1" s="1"/>
  <c r="J3321" i="1"/>
  <c r="K3321" i="1" s="1"/>
  <c r="J3322" i="1"/>
  <c r="K3322" i="1" s="1"/>
  <c r="J3323" i="1"/>
  <c r="K3323" i="1" s="1"/>
  <c r="J3324" i="1"/>
  <c r="K3324" i="1" s="1"/>
  <c r="J3325" i="1"/>
  <c r="K3325" i="1" s="1"/>
  <c r="J3326" i="1"/>
  <c r="K3326" i="1" s="1"/>
  <c r="J3327" i="1"/>
  <c r="K3327" i="1" s="1"/>
  <c r="J3328" i="1"/>
  <c r="K3328" i="1" s="1"/>
  <c r="J3329" i="1"/>
  <c r="K3329" i="1" s="1"/>
  <c r="J3330" i="1"/>
  <c r="K3330" i="1" s="1"/>
  <c r="J3331" i="1"/>
  <c r="K3331" i="1" s="1"/>
  <c r="J3332" i="1"/>
  <c r="K3332" i="1" s="1"/>
  <c r="J3333" i="1"/>
  <c r="K3333" i="1" s="1"/>
  <c r="J3334" i="1"/>
  <c r="K3334" i="1" s="1"/>
  <c r="J3335" i="1"/>
  <c r="K3335" i="1" s="1"/>
  <c r="J3336" i="1"/>
  <c r="K3336" i="1" s="1"/>
  <c r="J3337" i="1"/>
  <c r="K3337" i="1" s="1"/>
  <c r="J3338" i="1"/>
  <c r="K3338" i="1" s="1"/>
  <c r="J3339" i="1"/>
  <c r="K3339" i="1" s="1"/>
  <c r="J3340" i="1"/>
  <c r="K3340" i="1" s="1"/>
  <c r="J3341" i="1"/>
  <c r="K3341" i="1" s="1"/>
  <c r="J3342" i="1"/>
  <c r="K3342" i="1" s="1"/>
  <c r="J3343" i="1"/>
  <c r="K3343" i="1" s="1"/>
  <c r="J3344" i="1"/>
  <c r="K3344" i="1" s="1"/>
  <c r="J3345" i="1"/>
  <c r="K3345" i="1" s="1"/>
  <c r="J3346" i="1"/>
  <c r="K3346" i="1" s="1"/>
  <c r="J3347" i="1"/>
  <c r="K3347" i="1" s="1"/>
  <c r="J3348" i="1"/>
  <c r="K3348" i="1" s="1"/>
  <c r="J3349" i="1"/>
  <c r="K3349" i="1" s="1"/>
  <c r="J3350" i="1"/>
  <c r="K3350" i="1" s="1"/>
  <c r="J3351" i="1"/>
  <c r="K3351" i="1" s="1"/>
  <c r="J3352" i="1"/>
  <c r="K3352" i="1" s="1"/>
  <c r="J3353" i="1"/>
  <c r="K3353" i="1" s="1"/>
  <c r="J3354" i="1"/>
  <c r="K3354" i="1" s="1"/>
  <c r="J3355" i="1"/>
  <c r="K3355" i="1" s="1"/>
  <c r="J3356" i="1"/>
  <c r="K3356" i="1" s="1"/>
  <c r="J3357" i="1"/>
  <c r="K3357" i="1" s="1"/>
  <c r="J3358" i="1"/>
  <c r="K3358" i="1" s="1"/>
  <c r="J3359" i="1"/>
  <c r="K3359" i="1" s="1"/>
  <c r="J3360" i="1"/>
  <c r="K3360" i="1" s="1"/>
  <c r="J3361" i="1"/>
  <c r="K3361" i="1" s="1"/>
  <c r="J3362" i="1"/>
  <c r="K3362" i="1" s="1"/>
  <c r="J3363" i="1"/>
  <c r="K3363" i="1" s="1"/>
  <c r="J3364" i="1"/>
  <c r="K3364" i="1" s="1"/>
  <c r="J3365" i="1"/>
  <c r="K3365" i="1" s="1"/>
  <c r="J3366" i="1"/>
  <c r="K3366" i="1" s="1"/>
  <c r="J3367" i="1"/>
  <c r="K3367" i="1" s="1"/>
  <c r="J3368" i="1"/>
  <c r="K3368" i="1" s="1"/>
  <c r="J3369" i="1"/>
  <c r="K3369" i="1" s="1"/>
  <c r="J3370" i="1"/>
  <c r="K3370" i="1" s="1"/>
  <c r="J3371" i="1"/>
  <c r="K3371" i="1" s="1"/>
  <c r="J3372" i="1"/>
  <c r="K3372" i="1" s="1"/>
  <c r="J3373" i="1"/>
  <c r="K3373" i="1" s="1"/>
  <c r="J3374" i="1"/>
  <c r="K3374" i="1" s="1"/>
  <c r="J3375" i="1"/>
  <c r="K3375" i="1" s="1"/>
  <c r="J3376" i="1"/>
  <c r="K3376" i="1" s="1"/>
  <c r="J3377" i="1"/>
  <c r="K3377" i="1" s="1"/>
  <c r="J3378" i="1"/>
  <c r="K3378" i="1" s="1"/>
  <c r="J3379" i="1"/>
  <c r="K3379" i="1" s="1"/>
  <c r="J3380" i="1"/>
  <c r="K3380" i="1" s="1"/>
  <c r="J3381" i="1"/>
  <c r="K3381" i="1" s="1"/>
  <c r="J3382" i="1"/>
  <c r="K3382" i="1" s="1"/>
  <c r="J3383" i="1"/>
  <c r="K3383" i="1" s="1"/>
  <c r="J3384" i="1"/>
  <c r="K3384" i="1" s="1"/>
  <c r="J3385" i="1"/>
  <c r="K3385" i="1" s="1"/>
  <c r="J3386" i="1"/>
  <c r="K3386" i="1" s="1"/>
  <c r="J3387" i="1"/>
  <c r="K3387" i="1" s="1"/>
  <c r="J3388" i="1"/>
  <c r="K3388" i="1" s="1"/>
  <c r="J3389" i="1"/>
  <c r="K3389" i="1" s="1"/>
  <c r="J3390" i="1"/>
  <c r="K3390" i="1" s="1"/>
  <c r="J3391" i="1"/>
  <c r="K3391" i="1" s="1"/>
  <c r="J3392" i="1"/>
  <c r="K3392" i="1" s="1"/>
  <c r="J3393" i="1"/>
  <c r="K3393" i="1" s="1"/>
  <c r="J3394" i="1"/>
  <c r="K3394" i="1" s="1"/>
  <c r="J3395" i="1"/>
  <c r="K3395" i="1" s="1"/>
  <c r="J3396" i="1"/>
  <c r="K3396" i="1" s="1"/>
  <c r="J3397" i="1"/>
  <c r="K3397" i="1" s="1"/>
  <c r="J3398" i="1"/>
  <c r="K3398" i="1" s="1"/>
  <c r="J3399" i="1"/>
  <c r="K3399" i="1" s="1"/>
  <c r="J3400" i="1"/>
  <c r="K3400" i="1" s="1"/>
  <c r="J3401" i="1"/>
  <c r="K3401" i="1" s="1"/>
  <c r="J3402" i="1"/>
  <c r="K3402" i="1" s="1"/>
  <c r="J3403" i="1"/>
  <c r="K3403" i="1" s="1"/>
  <c r="J3404" i="1"/>
  <c r="K3404" i="1" s="1"/>
  <c r="J3405" i="1"/>
  <c r="K3405" i="1" s="1"/>
  <c r="J3406" i="1"/>
  <c r="K3406" i="1" s="1"/>
  <c r="J3407" i="1"/>
  <c r="K3407" i="1" s="1"/>
  <c r="J3408" i="1"/>
  <c r="K3408" i="1" s="1"/>
  <c r="J3409" i="1"/>
  <c r="K3409" i="1" s="1"/>
  <c r="J3410" i="1"/>
  <c r="K3410" i="1" s="1"/>
  <c r="J3411" i="1"/>
  <c r="K3411" i="1" s="1"/>
  <c r="J3412" i="1"/>
  <c r="K3412" i="1" s="1"/>
  <c r="J3413" i="1"/>
  <c r="K3413" i="1" s="1"/>
  <c r="J3414" i="1"/>
  <c r="K3414" i="1" s="1"/>
  <c r="J3415" i="1"/>
  <c r="K3415" i="1" s="1"/>
  <c r="J3416" i="1"/>
  <c r="K3416" i="1" s="1"/>
  <c r="J3417" i="1"/>
  <c r="K3417" i="1" s="1"/>
  <c r="J3418" i="1"/>
  <c r="K3418" i="1" s="1"/>
  <c r="J3419" i="1"/>
  <c r="K3419" i="1" s="1"/>
  <c r="J3420" i="1"/>
  <c r="K3420" i="1" s="1"/>
  <c r="J3421" i="1"/>
  <c r="K3421" i="1" s="1"/>
  <c r="J3422" i="1"/>
  <c r="K3422" i="1" s="1"/>
  <c r="J3423" i="1"/>
  <c r="K3423" i="1" s="1"/>
  <c r="J3424" i="1"/>
  <c r="K3424" i="1" s="1"/>
  <c r="J3425" i="1"/>
  <c r="K3425" i="1" s="1"/>
  <c r="J3426" i="1"/>
  <c r="K3426" i="1" s="1"/>
  <c r="J3427" i="1"/>
  <c r="K3427" i="1" s="1"/>
  <c r="J3428" i="1"/>
  <c r="K3428" i="1" s="1"/>
  <c r="J3429" i="1"/>
  <c r="K3429" i="1" s="1"/>
  <c r="J3430" i="1"/>
  <c r="K3430" i="1" s="1"/>
  <c r="J3431" i="1"/>
  <c r="K3431" i="1" s="1"/>
  <c r="J3432" i="1"/>
  <c r="K3432" i="1" s="1"/>
  <c r="J3433" i="1"/>
  <c r="K3433" i="1" s="1"/>
  <c r="J3434" i="1"/>
  <c r="K3434" i="1" s="1"/>
  <c r="J3435" i="1"/>
  <c r="K3435" i="1" s="1"/>
  <c r="J3436" i="1"/>
  <c r="K3436" i="1" s="1"/>
  <c r="J3437" i="1"/>
  <c r="K3437" i="1" s="1"/>
  <c r="J3438" i="1"/>
  <c r="K3438" i="1" s="1"/>
  <c r="J3439" i="1"/>
  <c r="K3439" i="1" s="1"/>
  <c r="J3440" i="1"/>
  <c r="K3440" i="1" s="1"/>
  <c r="J3441" i="1"/>
  <c r="K3441" i="1" s="1"/>
  <c r="J3442" i="1"/>
  <c r="K3442" i="1" s="1"/>
  <c r="J3443" i="1"/>
  <c r="K3443" i="1" s="1"/>
  <c r="J3444" i="1"/>
  <c r="K3444" i="1" s="1"/>
  <c r="J3445" i="1"/>
  <c r="K3445" i="1" s="1"/>
  <c r="J3446" i="1"/>
  <c r="K3446" i="1" s="1"/>
  <c r="J3447" i="1"/>
  <c r="K3447" i="1" s="1"/>
  <c r="J3448" i="1"/>
  <c r="K3448" i="1" s="1"/>
  <c r="J3449" i="1"/>
  <c r="K3449" i="1" s="1"/>
  <c r="J3450" i="1"/>
  <c r="K3450" i="1" s="1"/>
  <c r="J3451" i="1"/>
  <c r="K3451" i="1" s="1"/>
  <c r="J3452" i="1"/>
  <c r="K3452" i="1" s="1"/>
  <c r="J3453" i="1"/>
  <c r="K3453" i="1" s="1"/>
  <c r="J3454" i="1"/>
  <c r="K3454" i="1" s="1"/>
  <c r="J3455" i="1"/>
  <c r="K3455" i="1" s="1"/>
  <c r="J3456" i="1"/>
  <c r="K3456" i="1" s="1"/>
  <c r="J3457" i="1"/>
  <c r="K3457" i="1" s="1"/>
  <c r="J3458" i="1"/>
  <c r="K3458" i="1" s="1"/>
  <c r="J3459" i="1"/>
  <c r="K3459" i="1" s="1"/>
  <c r="J3460" i="1"/>
  <c r="K3460" i="1" s="1"/>
  <c r="J3461" i="1"/>
  <c r="K3461" i="1" s="1"/>
  <c r="J3462" i="1"/>
  <c r="K3462" i="1" s="1"/>
  <c r="J3463" i="1"/>
  <c r="K3463" i="1" s="1"/>
  <c r="J3464" i="1"/>
  <c r="K3464" i="1" s="1"/>
  <c r="J3465" i="1"/>
  <c r="K3465" i="1" s="1"/>
  <c r="J3466" i="1"/>
  <c r="K3466" i="1" s="1"/>
  <c r="J3467" i="1"/>
  <c r="K3467" i="1" s="1"/>
  <c r="J3468" i="1"/>
  <c r="K3468" i="1" s="1"/>
  <c r="J3469" i="1"/>
  <c r="K3469" i="1" s="1"/>
  <c r="J3470" i="1"/>
  <c r="K3470" i="1" s="1"/>
  <c r="J3471" i="1"/>
  <c r="K3471" i="1" s="1"/>
  <c r="J3472" i="1"/>
  <c r="K3472" i="1" s="1"/>
  <c r="J3473" i="1"/>
  <c r="K3473" i="1" s="1"/>
  <c r="J3474" i="1"/>
  <c r="K3474" i="1" s="1"/>
  <c r="J3475" i="1"/>
  <c r="K3475" i="1" s="1"/>
  <c r="J3476" i="1"/>
  <c r="K3476" i="1" s="1"/>
  <c r="J3477" i="1"/>
  <c r="K3477" i="1" s="1"/>
  <c r="J3478" i="1"/>
  <c r="K3478" i="1" s="1"/>
  <c r="J3479" i="1"/>
  <c r="K3479" i="1" s="1"/>
  <c r="J3480" i="1"/>
  <c r="K3480" i="1" s="1"/>
  <c r="J3481" i="1"/>
  <c r="K3481" i="1" s="1"/>
  <c r="J3482" i="1"/>
  <c r="K3482" i="1" s="1"/>
  <c r="J3483" i="1"/>
  <c r="K3483" i="1" s="1"/>
  <c r="J3484" i="1"/>
  <c r="K3484" i="1" s="1"/>
  <c r="J3485" i="1"/>
  <c r="K3485" i="1" s="1"/>
  <c r="J3486" i="1"/>
  <c r="K3486" i="1" s="1"/>
  <c r="J3487" i="1"/>
  <c r="K3487" i="1" s="1"/>
  <c r="J3488" i="1"/>
  <c r="K3488" i="1" s="1"/>
  <c r="J3489" i="1"/>
  <c r="K3489" i="1" s="1"/>
  <c r="J3490" i="1"/>
  <c r="K3490" i="1" s="1"/>
  <c r="J3491" i="1"/>
  <c r="K3491" i="1" s="1"/>
  <c r="J3492" i="1"/>
  <c r="K3492" i="1" s="1"/>
  <c r="J3493" i="1"/>
  <c r="K3493" i="1" s="1"/>
  <c r="J3494" i="1"/>
  <c r="K3494" i="1" s="1"/>
  <c r="J3495" i="1"/>
  <c r="K3495" i="1" s="1"/>
  <c r="J3496" i="1"/>
  <c r="K3496" i="1" s="1"/>
  <c r="J3497" i="1"/>
  <c r="K3497" i="1" s="1"/>
  <c r="J3498" i="1"/>
  <c r="K3498" i="1" s="1"/>
  <c r="J3499" i="1"/>
  <c r="K3499" i="1" s="1"/>
  <c r="J3500" i="1"/>
  <c r="K3500" i="1" s="1"/>
  <c r="J3501" i="1"/>
  <c r="K3501" i="1" s="1"/>
  <c r="J3502" i="1"/>
  <c r="K3502" i="1" s="1"/>
  <c r="J3503" i="1"/>
  <c r="K3503" i="1" s="1"/>
  <c r="J3504" i="1"/>
  <c r="K3504" i="1" s="1"/>
  <c r="J3505" i="1"/>
  <c r="K3505" i="1" s="1"/>
  <c r="J3506" i="1"/>
  <c r="K3506" i="1" s="1"/>
  <c r="J3507" i="1"/>
  <c r="K3507" i="1" s="1"/>
  <c r="J3508" i="1"/>
  <c r="K3508" i="1" s="1"/>
  <c r="J3509" i="1"/>
  <c r="K3509" i="1" s="1"/>
  <c r="J3510" i="1"/>
  <c r="K3510" i="1" s="1"/>
  <c r="J3511" i="1"/>
  <c r="K3511" i="1" s="1"/>
  <c r="J3512" i="1"/>
  <c r="K3512" i="1" s="1"/>
  <c r="J3513" i="1"/>
  <c r="K3513" i="1" s="1"/>
  <c r="J3514" i="1"/>
  <c r="K3514" i="1" s="1"/>
  <c r="J3515" i="1"/>
  <c r="K3515" i="1" s="1"/>
  <c r="J3516" i="1"/>
  <c r="K3516" i="1" s="1"/>
  <c r="J3517" i="1"/>
  <c r="K3517" i="1" s="1"/>
  <c r="J3518" i="1"/>
  <c r="K3518" i="1" s="1"/>
  <c r="J3519" i="1"/>
  <c r="K3519" i="1" s="1"/>
  <c r="J3520" i="1"/>
  <c r="K3520" i="1" s="1"/>
  <c r="J3521" i="1"/>
  <c r="K3521" i="1" s="1"/>
  <c r="J3522" i="1"/>
  <c r="K3522" i="1" s="1"/>
  <c r="J3523" i="1"/>
  <c r="K3523" i="1" s="1"/>
  <c r="J3524" i="1"/>
  <c r="K3524" i="1" s="1"/>
  <c r="J3525" i="1"/>
  <c r="K3525" i="1" s="1"/>
  <c r="J3526" i="1"/>
  <c r="K3526" i="1" s="1"/>
  <c r="J3527" i="1"/>
  <c r="K3527" i="1" s="1"/>
  <c r="J3528" i="1"/>
  <c r="K3528" i="1" s="1"/>
  <c r="J3529" i="1"/>
  <c r="K3529" i="1" s="1"/>
  <c r="J3530" i="1"/>
  <c r="K3530" i="1" s="1"/>
  <c r="J3531" i="1"/>
  <c r="K3531" i="1" s="1"/>
  <c r="J3532" i="1"/>
  <c r="K3532" i="1" s="1"/>
  <c r="J3533" i="1"/>
  <c r="K3533" i="1" s="1"/>
  <c r="J3534" i="1"/>
  <c r="K3534" i="1" s="1"/>
  <c r="J3535" i="1"/>
  <c r="K3535" i="1" s="1"/>
  <c r="J3536" i="1"/>
  <c r="K3536" i="1" s="1"/>
  <c r="J3537" i="1"/>
  <c r="K3537" i="1" s="1"/>
  <c r="J3538" i="1"/>
  <c r="K3538" i="1" s="1"/>
  <c r="J3539" i="1"/>
  <c r="K3539" i="1" s="1"/>
  <c r="J3540" i="1"/>
  <c r="K3540" i="1" s="1"/>
  <c r="J3541" i="1"/>
  <c r="K3541" i="1" s="1"/>
  <c r="J3542" i="1"/>
  <c r="K3542" i="1" s="1"/>
  <c r="J3543" i="1"/>
  <c r="K3543" i="1" s="1"/>
  <c r="J3544" i="1"/>
  <c r="K3544" i="1" s="1"/>
  <c r="J3545" i="1"/>
  <c r="K3545" i="1" s="1"/>
  <c r="J3546" i="1"/>
  <c r="K3546" i="1" s="1"/>
  <c r="J3547" i="1"/>
  <c r="K3547" i="1" s="1"/>
  <c r="J3548" i="1"/>
  <c r="K3548" i="1" s="1"/>
  <c r="J3549" i="1"/>
  <c r="K3549" i="1" s="1"/>
  <c r="J3550" i="1"/>
  <c r="K3550" i="1" s="1"/>
  <c r="J3551" i="1"/>
  <c r="K3551" i="1" s="1"/>
  <c r="J3552" i="1"/>
  <c r="K3552" i="1" s="1"/>
  <c r="J3553" i="1"/>
  <c r="K3553" i="1" s="1"/>
  <c r="J3554" i="1"/>
  <c r="K3554" i="1" s="1"/>
  <c r="J3555" i="1"/>
  <c r="K3555" i="1" s="1"/>
  <c r="J3556" i="1"/>
  <c r="K3556" i="1" s="1"/>
  <c r="J3557" i="1"/>
  <c r="K3557" i="1" s="1"/>
  <c r="J3558" i="1"/>
  <c r="K3558" i="1" s="1"/>
  <c r="J3559" i="1"/>
  <c r="K3559" i="1" s="1"/>
  <c r="J3560" i="1"/>
  <c r="K3560" i="1" s="1"/>
  <c r="J3561" i="1"/>
  <c r="K3561" i="1" s="1"/>
  <c r="J3562" i="1"/>
  <c r="K3562" i="1" s="1"/>
  <c r="J3563" i="1"/>
  <c r="K3563" i="1" s="1"/>
  <c r="J3564" i="1"/>
  <c r="K3564" i="1" s="1"/>
  <c r="J3565" i="1"/>
  <c r="K3565" i="1" s="1"/>
  <c r="J3566" i="1"/>
  <c r="K3566" i="1" s="1"/>
  <c r="J3567" i="1"/>
  <c r="K3567" i="1" s="1"/>
  <c r="J3568" i="1"/>
  <c r="K3568" i="1" s="1"/>
  <c r="J3569" i="1"/>
  <c r="K3569" i="1" s="1"/>
  <c r="J3570" i="1"/>
  <c r="K3570" i="1" s="1"/>
  <c r="J3571" i="1"/>
  <c r="K3571" i="1" s="1"/>
  <c r="J3572" i="1"/>
  <c r="K3572" i="1" s="1"/>
  <c r="J3573" i="1"/>
  <c r="K3573" i="1" s="1"/>
  <c r="J3574" i="1"/>
  <c r="K3574" i="1" s="1"/>
  <c r="J3575" i="1"/>
  <c r="K3575" i="1" s="1"/>
  <c r="J3576" i="1"/>
  <c r="K3576" i="1" s="1"/>
  <c r="J3577" i="1"/>
  <c r="K3577" i="1" s="1"/>
  <c r="J3578" i="1"/>
  <c r="K3578" i="1" s="1"/>
  <c r="J3579" i="1"/>
  <c r="K3579" i="1" s="1"/>
  <c r="J3580" i="1"/>
  <c r="K3580" i="1" s="1"/>
  <c r="J3581" i="1"/>
  <c r="K3581" i="1" s="1"/>
  <c r="J3582" i="1"/>
  <c r="K3582" i="1" s="1"/>
  <c r="J3583" i="1"/>
  <c r="K3583" i="1" s="1"/>
  <c r="J3584" i="1"/>
  <c r="K3584" i="1" s="1"/>
  <c r="J3585" i="1"/>
  <c r="K3585" i="1" s="1"/>
  <c r="J3586" i="1"/>
  <c r="K3586" i="1" s="1"/>
  <c r="J3587" i="1"/>
  <c r="K3587" i="1" s="1"/>
  <c r="J3588" i="1"/>
  <c r="K3588" i="1" s="1"/>
  <c r="J3589" i="1"/>
  <c r="K3589" i="1" s="1"/>
  <c r="J3590" i="1"/>
  <c r="K3590" i="1" s="1"/>
  <c r="J3591" i="1"/>
  <c r="K3591" i="1" s="1"/>
  <c r="J3592" i="1"/>
  <c r="K3592" i="1" s="1"/>
  <c r="J3593" i="1"/>
  <c r="K3593" i="1" s="1"/>
  <c r="J3594" i="1"/>
  <c r="K3594" i="1" s="1"/>
  <c r="J3595" i="1"/>
  <c r="K3595" i="1" s="1"/>
  <c r="J3596" i="1"/>
  <c r="K3596" i="1" s="1"/>
  <c r="J3597" i="1"/>
  <c r="K3597" i="1" s="1"/>
  <c r="J3598" i="1"/>
  <c r="K3598" i="1" s="1"/>
  <c r="J3599" i="1"/>
  <c r="K3599" i="1" s="1"/>
  <c r="J3600" i="1"/>
  <c r="K3600" i="1" s="1"/>
  <c r="J3601" i="1"/>
  <c r="K3601" i="1" s="1"/>
  <c r="J3602" i="1"/>
  <c r="K3602" i="1" s="1"/>
  <c r="J3603" i="1"/>
  <c r="K3603" i="1" s="1"/>
  <c r="J3604" i="1"/>
  <c r="K3604" i="1" s="1"/>
  <c r="J3605" i="1"/>
  <c r="K3605" i="1" s="1"/>
  <c r="J3606" i="1"/>
  <c r="K3606" i="1" s="1"/>
  <c r="J3607" i="1"/>
  <c r="K3607" i="1" s="1"/>
  <c r="J3608" i="1"/>
  <c r="K3608" i="1" s="1"/>
  <c r="J3609" i="1"/>
  <c r="K3609" i="1" s="1"/>
  <c r="J3610" i="1"/>
  <c r="K3610" i="1" s="1"/>
  <c r="J3611" i="1"/>
  <c r="K3611" i="1" s="1"/>
  <c r="J3612" i="1"/>
  <c r="K3612" i="1" s="1"/>
  <c r="J3613" i="1"/>
  <c r="K3613" i="1" s="1"/>
  <c r="J3614" i="1"/>
  <c r="K3614" i="1" s="1"/>
  <c r="J3615" i="1"/>
  <c r="K3615" i="1" s="1"/>
  <c r="J3616" i="1"/>
  <c r="K3616" i="1" s="1"/>
  <c r="J3617" i="1"/>
  <c r="K3617" i="1" s="1"/>
  <c r="J3618" i="1"/>
  <c r="K3618" i="1" s="1"/>
  <c r="J3619" i="1"/>
  <c r="K3619" i="1" s="1"/>
  <c r="J3620" i="1"/>
  <c r="K3620" i="1" s="1"/>
  <c r="J3621" i="1"/>
  <c r="K3621" i="1" s="1"/>
  <c r="J3622" i="1"/>
  <c r="K3622" i="1" s="1"/>
  <c r="J3623" i="1"/>
  <c r="K3623" i="1" s="1"/>
  <c r="J3624" i="1"/>
  <c r="K3624" i="1" s="1"/>
  <c r="J3625" i="1"/>
  <c r="K3625" i="1" s="1"/>
  <c r="J3626" i="1"/>
  <c r="K3626" i="1" s="1"/>
  <c r="J3627" i="1"/>
  <c r="K3627" i="1" s="1"/>
  <c r="J3628" i="1"/>
  <c r="K3628" i="1" s="1"/>
  <c r="J3629" i="1"/>
  <c r="K3629" i="1" s="1"/>
  <c r="J3630" i="1"/>
  <c r="K3630" i="1" s="1"/>
  <c r="J3631" i="1"/>
  <c r="K3631" i="1" s="1"/>
  <c r="J3632" i="1"/>
  <c r="K3632" i="1" s="1"/>
  <c r="J3633" i="1"/>
  <c r="K3633" i="1" s="1"/>
  <c r="J3634" i="1"/>
  <c r="K3634" i="1" s="1"/>
  <c r="J3635" i="1"/>
  <c r="K3635" i="1" s="1"/>
  <c r="J3636" i="1"/>
  <c r="K3636" i="1" s="1"/>
  <c r="J3637" i="1"/>
  <c r="K3637" i="1" s="1"/>
  <c r="J3638" i="1"/>
  <c r="K3638" i="1" s="1"/>
  <c r="J3639" i="1"/>
  <c r="K3639" i="1" s="1"/>
  <c r="J3640" i="1"/>
  <c r="K3640" i="1" s="1"/>
  <c r="J3641" i="1"/>
  <c r="K3641" i="1" s="1"/>
  <c r="J3642" i="1"/>
  <c r="K3642" i="1" s="1"/>
  <c r="J3643" i="1"/>
  <c r="K3643" i="1" s="1"/>
  <c r="J3644" i="1"/>
  <c r="K3644" i="1" s="1"/>
  <c r="J3645" i="1"/>
  <c r="K3645" i="1" s="1"/>
  <c r="J3646" i="1"/>
  <c r="K3646" i="1" s="1"/>
  <c r="J3647" i="1"/>
  <c r="K3647" i="1" s="1"/>
  <c r="J3648" i="1"/>
  <c r="K3648" i="1" s="1"/>
  <c r="J3649" i="1"/>
  <c r="K3649" i="1" s="1"/>
  <c r="J3650" i="1"/>
  <c r="K3650" i="1" s="1"/>
  <c r="J3651" i="1"/>
  <c r="K3651" i="1" s="1"/>
  <c r="J3652" i="1"/>
  <c r="K3652" i="1" s="1"/>
  <c r="J3653" i="1"/>
  <c r="K3653" i="1" s="1"/>
  <c r="J3654" i="1"/>
  <c r="K3654" i="1" s="1"/>
  <c r="J3655" i="1"/>
  <c r="K3655" i="1" s="1"/>
  <c r="J3656" i="1"/>
  <c r="K3656" i="1" s="1"/>
  <c r="J3657" i="1"/>
  <c r="K3657" i="1" s="1"/>
  <c r="J3658" i="1"/>
  <c r="K3658" i="1" s="1"/>
  <c r="J3659" i="1"/>
  <c r="K3659" i="1" s="1"/>
  <c r="J3660" i="1"/>
  <c r="K3660" i="1" s="1"/>
  <c r="J3661" i="1"/>
  <c r="K3661" i="1" s="1"/>
  <c r="J3662" i="1"/>
  <c r="K3662" i="1" s="1"/>
  <c r="J3663" i="1"/>
  <c r="K3663" i="1" s="1"/>
  <c r="J3664" i="1"/>
  <c r="K3664" i="1" s="1"/>
  <c r="J3665" i="1"/>
  <c r="K3665" i="1" s="1"/>
  <c r="J3666" i="1"/>
  <c r="K3666" i="1" s="1"/>
  <c r="J3667" i="1"/>
  <c r="K3667" i="1" s="1"/>
  <c r="J3668" i="1"/>
  <c r="K3668" i="1" s="1"/>
  <c r="J3669" i="1"/>
  <c r="K3669" i="1" s="1"/>
  <c r="J3670" i="1"/>
  <c r="K3670" i="1" s="1"/>
  <c r="J3671" i="1"/>
  <c r="K3671" i="1" s="1"/>
  <c r="J3672" i="1"/>
  <c r="K3672" i="1" s="1"/>
  <c r="J3673" i="1"/>
  <c r="K3673" i="1" s="1"/>
  <c r="J3674" i="1"/>
  <c r="K3674" i="1" s="1"/>
  <c r="J3675" i="1"/>
  <c r="K3675" i="1" s="1"/>
  <c r="J3676" i="1"/>
  <c r="K3676" i="1" s="1"/>
  <c r="J3677" i="1"/>
  <c r="K3677" i="1" s="1"/>
  <c r="J3678" i="1"/>
  <c r="K3678" i="1" s="1"/>
  <c r="J3679" i="1"/>
  <c r="K3679" i="1" s="1"/>
  <c r="J3680" i="1"/>
  <c r="K3680" i="1" s="1"/>
  <c r="J3681" i="1"/>
  <c r="K3681" i="1" s="1"/>
  <c r="J3682" i="1"/>
  <c r="K3682" i="1" s="1"/>
  <c r="J3683" i="1"/>
  <c r="K3683" i="1" s="1"/>
  <c r="J3684" i="1"/>
  <c r="K3684" i="1" s="1"/>
  <c r="J3685" i="1"/>
  <c r="K3685" i="1" s="1"/>
  <c r="J3686" i="1"/>
  <c r="K3686" i="1" s="1"/>
  <c r="J3687" i="1"/>
  <c r="K3687" i="1" s="1"/>
  <c r="J3688" i="1"/>
  <c r="K3688" i="1" s="1"/>
  <c r="J3689" i="1"/>
  <c r="K3689" i="1" s="1"/>
  <c r="J3690" i="1"/>
  <c r="K3690" i="1" s="1"/>
  <c r="J3691" i="1"/>
  <c r="K3691" i="1" s="1"/>
  <c r="J3692" i="1"/>
  <c r="K3692" i="1" s="1"/>
  <c r="J3693" i="1"/>
  <c r="K3693" i="1" s="1"/>
  <c r="J3694" i="1"/>
  <c r="K3694" i="1" s="1"/>
  <c r="J3695" i="1"/>
  <c r="K3695" i="1" s="1"/>
  <c r="J3696" i="1"/>
  <c r="K3696" i="1" s="1"/>
  <c r="J3697" i="1"/>
  <c r="K3697" i="1" s="1"/>
  <c r="J3698" i="1"/>
  <c r="K3698" i="1" s="1"/>
  <c r="J3699" i="1"/>
  <c r="K3699" i="1" s="1"/>
  <c r="J3700" i="1"/>
  <c r="K3700" i="1" s="1"/>
  <c r="J3701" i="1"/>
  <c r="K3701" i="1" s="1"/>
  <c r="J3702" i="1"/>
  <c r="K3702" i="1" s="1"/>
  <c r="J3703" i="1"/>
  <c r="K3703" i="1" s="1"/>
  <c r="J3704" i="1"/>
  <c r="K3704" i="1" s="1"/>
  <c r="J3705" i="1"/>
  <c r="K3705" i="1" s="1"/>
  <c r="J3706" i="1"/>
  <c r="K3706" i="1" s="1"/>
  <c r="J3707" i="1"/>
  <c r="K3707" i="1" s="1"/>
  <c r="J3708" i="1"/>
  <c r="K3708" i="1" s="1"/>
  <c r="J3709" i="1"/>
  <c r="K3709" i="1" s="1"/>
  <c r="J3710" i="1"/>
  <c r="K3710" i="1" s="1"/>
  <c r="J3711" i="1"/>
  <c r="K3711" i="1" s="1"/>
  <c r="J3712" i="1"/>
  <c r="K3712" i="1" s="1"/>
  <c r="J3713" i="1"/>
  <c r="K3713" i="1" s="1"/>
  <c r="J3714" i="1"/>
  <c r="K3714" i="1" s="1"/>
  <c r="J3715" i="1"/>
  <c r="K3715" i="1" s="1"/>
  <c r="J3716" i="1"/>
  <c r="K3716" i="1" s="1"/>
  <c r="J3717" i="1"/>
  <c r="K3717" i="1" s="1"/>
  <c r="J3718" i="1"/>
  <c r="K3718" i="1" s="1"/>
  <c r="J3719" i="1"/>
  <c r="K3719" i="1" s="1"/>
  <c r="J3720" i="1"/>
  <c r="K3720" i="1" s="1"/>
  <c r="J3721" i="1"/>
  <c r="K3721" i="1" s="1"/>
  <c r="J3722" i="1"/>
  <c r="K3722" i="1" s="1"/>
  <c r="J3723" i="1"/>
  <c r="K3723" i="1" s="1"/>
  <c r="J3724" i="1"/>
  <c r="K3724" i="1" s="1"/>
  <c r="J3725" i="1"/>
  <c r="K3725" i="1" s="1"/>
  <c r="J3726" i="1"/>
  <c r="K3726" i="1" s="1"/>
  <c r="J3727" i="1"/>
  <c r="K3727" i="1" s="1"/>
  <c r="J3728" i="1"/>
  <c r="K3728" i="1" s="1"/>
  <c r="J3729" i="1"/>
  <c r="K3729" i="1" s="1"/>
  <c r="J3730" i="1"/>
  <c r="K3730" i="1" s="1"/>
  <c r="J3731" i="1"/>
  <c r="K3731" i="1" s="1"/>
  <c r="J3732" i="1"/>
  <c r="K3732" i="1" s="1"/>
  <c r="J3733" i="1"/>
  <c r="K3733" i="1" s="1"/>
  <c r="J3734" i="1"/>
  <c r="K3734" i="1" s="1"/>
  <c r="J3735" i="1"/>
  <c r="K3735" i="1" s="1"/>
  <c r="J3736" i="1"/>
  <c r="K3736" i="1" s="1"/>
  <c r="J3737" i="1"/>
  <c r="K3737" i="1" s="1"/>
  <c r="J3738" i="1"/>
  <c r="K3738" i="1" s="1"/>
  <c r="J3739" i="1"/>
  <c r="K3739" i="1" s="1"/>
  <c r="J3740" i="1"/>
  <c r="K3740" i="1" s="1"/>
  <c r="J3741" i="1"/>
  <c r="K3741" i="1" s="1"/>
  <c r="J3742" i="1"/>
  <c r="K3742" i="1" s="1"/>
  <c r="J3743" i="1"/>
  <c r="K3743" i="1" s="1"/>
  <c r="J3744" i="1"/>
  <c r="K3744" i="1" s="1"/>
  <c r="J3745" i="1"/>
  <c r="K3745" i="1" s="1"/>
  <c r="J3746" i="1"/>
  <c r="K3746" i="1" s="1"/>
  <c r="J3747" i="1"/>
  <c r="K3747" i="1" s="1"/>
  <c r="J3748" i="1"/>
  <c r="K3748" i="1" s="1"/>
  <c r="J3749" i="1"/>
  <c r="K3749" i="1" s="1"/>
  <c r="J3750" i="1"/>
  <c r="K3750" i="1" s="1"/>
  <c r="J3751" i="1"/>
  <c r="K3751" i="1" s="1"/>
  <c r="J3752" i="1"/>
  <c r="K3752" i="1" s="1"/>
  <c r="J3753" i="1"/>
  <c r="K3753" i="1" s="1"/>
  <c r="J3754" i="1"/>
  <c r="K3754" i="1" s="1"/>
  <c r="J3755" i="1"/>
  <c r="K3755" i="1" s="1"/>
  <c r="J3756" i="1"/>
  <c r="K3756" i="1" s="1"/>
  <c r="J3757" i="1"/>
  <c r="K3757" i="1" s="1"/>
  <c r="J3758" i="1"/>
  <c r="K3758" i="1" s="1"/>
  <c r="J3759" i="1"/>
  <c r="K3759" i="1" s="1"/>
  <c r="J3760" i="1"/>
  <c r="K3760" i="1" s="1"/>
  <c r="J3761" i="1"/>
  <c r="K3761" i="1" s="1"/>
  <c r="J3762" i="1"/>
  <c r="K3762" i="1" s="1"/>
  <c r="J3763" i="1"/>
  <c r="K3763" i="1" s="1"/>
  <c r="J3764" i="1"/>
  <c r="K3764" i="1" s="1"/>
  <c r="J3765" i="1"/>
  <c r="K3765" i="1" s="1"/>
  <c r="J3766" i="1"/>
  <c r="K3766" i="1" s="1"/>
  <c r="J3767" i="1"/>
  <c r="K3767" i="1" s="1"/>
  <c r="J3768" i="1"/>
  <c r="K3768" i="1" s="1"/>
  <c r="J3769" i="1"/>
  <c r="K3769" i="1" s="1"/>
  <c r="J3770" i="1"/>
  <c r="K3770" i="1" s="1"/>
  <c r="J3771" i="1"/>
  <c r="K3771" i="1" s="1"/>
  <c r="J3772" i="1"/>
  <c r="K3772" i="1" s="1"/>
  <c r="J3773" i="1"/>
  <c r="K3773" i="1" s="1"/>
  <c r="J3774" i="1"/>
  <c r="K3774" i="1" s="1"/>
  <c r="J3775" i="1"/>
  <c r="K3775" i="1" s="1"/>
  <c r="J3776" i="1"/>
  <c r="K3776" i="1" s="1"/>
  <c r="J3777" i="1"/>
  <c r="K3777" i="1" s="1"/>
  <c r="J3778" i="1"/>
  <c r="K3778" i="1" s="1"/>
  <c r="J3779" i="1"/>
  <c r="K3779" i="1" s="1"/>
  <c r="J3780" i="1"/>
  <c r="K3780" i="1" s="1"/>
  <c r="J3781" i="1"/>
  <c r="K3781" i="1" s="1"/>
  <c r="J3782" i="1"/>
  <c r="K3782" i="1" s="1"/>
  <c r="J3783" i="1"/>
  <c r="K3783" i="1" s="1"/>
  <c r="J3784" i="1"/>
  <c r="K3784" i="1" s="1"/>
  <c r="J3785" i="1"/>
  <c r="K3785" i="1" s="1"/>
  <c r="J3786" i="1"/>
  <c r="K3786" i="1" s="1"/>
  <c r="J3787" i="1"/>
  <c r="K3787" i="1" s="1"/>
  <c r="J3788" i="1"/>
  <c r="K3788" i="1" s="1"/>
  <c r="J3789" i="1"/>
  <c r="K3789" i="1" s="1"/>
  <c r="J3790" i="1"/>
  <c r="K3790" i="1" s="1"/>
  <c r="J3791" i="1"/>
  <c r="K3791" i="1" s="1"/>
  <c r="J3792" i="1"/>
  <c r="K3792" i="1" s="1"/>
  <c r="J3793" i="1"/>
  <c r="K3793" i="1" s="1"/>
  <c r="J3794" i="1"/>
  <c r="K3794" i="1" s="1"/>
  <c r="J3795" i="1"/>
  <c r="K3795" i="1" s="1"/>
  <c r="J3796" i="1"/>
  <c r="K3796" i="1" s="1"/>
  <c r="J3797" i="1"/>
  <c r="K3797" i="1" s="1"/>
  <c r="J3798" i="1"/>
  <c r="K3798" i="1" s="1"/>
  <c r="J3799" i="1"/>
  <c r="K3799" i="1" s="1"/>
  <c r="J3800" i="1"/>
  <c r="K3800" i="1" s="1"/>
  <c r="J3801" i="1"/>
  <c r="K3801" i="1" s="1"/>
  <c r="J3802" i="1"/>
  <c r="K3802" i="1" s="1"/>
  <c r="J3803" i="1"/>
  <c r="K3803" i="1" s="1"/>
  <c r="J3804" i="1"/>
  <c r="K3804" i="1" s="1"/>
  <c r="J3805" i="1"/>
  <c r="K3805" i="1" s="1"/>
  <c r="J3806" i="1"/>
  <c r="K3806" i="1" s="1"/>
  <c r="J3807" i="1"/>
  <c r="K3807" i="1" s="1"/>
  <c r="J3808" i="1"/>
  <c r="K3808" i="1" s="1"/>
  <c r="J3809" i="1"/>
  <c r="K3809" i="1" s="1"/>
  <c r="J3810" i="1"/>
  <c r="K3810" i="1" s="1"/>
  <c r="J3811" i="1"/>
  <c r="K3811" i="1" s="1"/>
  <c r="J3812" i="1"/>
  <c r="K3812" i="1" s="1"/>
  <c r="J3813" i="1"/>
  <c r="K3813" i="1" s="1"/>
  <c r="J3814" i="1"/>
  <c r="K3814" i="1" s="1"/>
  <c r="J3815" i="1"/>
  <c r="K3815" i="1" s="1"/>
  <c r="J3816" i="1"/>
  <c r="K3816" i="1" s="1"/>
  <c r="J3817" i="1"/>
  <c r="K3817" i="1" s="1"/>
  <c r="J3818" i="1"/>
  <c r="K3818" i="1" s="1"/>
  <c r="J3819" i="1"/>
  <c r="K3819" i="1" s="1"/>
  <c r="J3820" i="1"/>
  <c r="K3820" i="1" s="1"/>
  <c r="J3821" i="1"/>
  <c r="K3821" i="1" s="1"/>
  <c r="J3822" i="1"/>
  <c r="K3822" i="1" s="1"/>
  <c r="J3823" i="1"/>
  <c r="K3823" i="1" s="1"/>
  <c r="J3824" i="1"/>
  <c r="K3824" i="1" s="1"/>
  <c r="J3825" i="1"/>
  <c r="K3825" i="1" s="1"/>
  <c r="J3826" i="1"/>
  <c r="K3826" i="1" s="1"/>
  <c r="J3827" i="1"/>
  <c r="K3827" i="1" s="1"/>
  <c r="J3828" i="1"/>
  <c r="K3828" i="1" s="1"/>
  <c r="J3829" i="1"/>
  <c r="K3829" i="1" s="1"/>
  <c r="J3830" i="1"/>
  <c r="K3830" i="1" s="1"/>
  <c r="J3831" i="1"/>
  <c r="K3831" i="1" s="1"/>
  <c r="J3832" i="1"/>
  <c r="K3832" i="1" s="1"/>
  <c r="J3833" i="1"/>
  <c r="K3833" i="1" s="1"/>
  <c r="J3834" i="1"/>
  <c r="K3834" i="1" s="1"/>
  <c r="J3835" i="1"/>
  <c r="K3835" i="1" s="1"/>
  <c r="J3836" i="1"/>
  <c r="K3836" i="1" s="1"/>
  <c r="J3837" i="1"/>
  <c r="K3837" i="1" s="1"/>
  <c r="J3838" i="1"/>
  <c r="K3838" i="1" s="1"/>
  <c r="J3839" i="1"/>
  <c r="K3839" i="1" s="1"/>
  <c r="J3840" i="1"/>
  <c r="K3840" i="1" s="1"/>
  <c r="J3841" i="1"/>
  <c r="K3841" i="1" s="1"/>
  <c r="J3842" i="1"/>
  <c r="K3842" i="1" s="1"/>
  <c r="J3843" i="1"/>
  <c r="K3843" i="1" s="1"/>
  <c r="J3844" i="1"/>
  <c r="K3844" i="1" s="1"/>
  <c r="J3845" i="1"/>
  <c r="K3845" i="1" s="1"/>
  <c r="J3846" i="1"/>
  <c r="K3846" i="1" s="1"/>
  <c r="J3847" i="1"/>
  <c r="K3847" i="1" s="1"/>
  <c r="J3848" i="1"/>
  <c r="K3848" i="1" s="1"/>
  <c r="J3849" i="1"/>
  <c r="K3849" i="1" s="1"/>
  <c r="J3850" i="1"/>
  <c r="K3850" i="1" s="1"/>
  <c r="J3851" i="1"/>
  <c r="K3851" i="1" s="1"/>
  <c r="J3852" i="1"/>
  <c r="K3852" i="1" s="1"/>
  <c r="J3853" i="1"/>
  <c r="K3853" i="1" s="1"/>
  <c r="J3854" i="1"/>
  <c r="K3854" i="1" s="1"/>
  <c r="J3855" i="1"/>
  <c r="K3855" i="1" s="1"/>
  <c r="J3856" i="1"/>
  <c r="K3856" i="1" s="1"/>
  <c r="J3857" i="1"/>
  <c r="K3857" i="1" s="1"/>
  <c r="J3858" i="1"/>
  <c r="K3858" i="1" s="1"/>
  <c r="J3859" i="1"/>
  <c r="K3859" i="1" s="1"/>
  <c r="J3860" i="1"/>
  <c r="K3860" i="1" s="1"/>
  <c r="J3861" i="1"/>
  <c r="K3861" i="1" s="1"/>
  <c r="J3862" i="1"/>
  <c r="K3862" i="1" s="1"/>
  <c r="J3863" i="1"/>
  <c r="K3863" i="1" s="1"/>
  <c r="J3864" i="1"/>
  <c r="K3864" i="1" s="1"/>
  <c r="J3865" i="1"/>
  <c r="K3865" i="1" s="1"/>
  <c r="J3866" i="1"/>
  <c r="K3866" i="1" s="1"/>
  <c r="J3867" i="1"/>
  <c r="K3867" i="1" s="1"/>
  <c r="J3868" i="1"/>
  <c r="K3868" i="1" s="1"/>
  <c r="J3869" i="1"/>
  <c r="K3869" i="1" s="1"/>
  <c r="J3870" i="1"/>
  <c r="K3870" i="1" s="1"/>
  <c r="J3871" i="1"/>
  <c r="K3871" i="1" s="1"/>
  <c r="J3872" i="1"/>
  <c r="K3872" i="1" s="1"/>
  <c r="J3873" i="1"/>
  <c r="K3873" i="1" s="1"/>
  <c r="J3874" i="1"/>
  <c r="K3874" i="1" s="1"/>
  <c r="J3875" i="1"/>
  <c r="K3875" i="1" s="1"/>
  <c r="J3876" i="1"/>
  <c r="K3876" i="1" s="1"/>
  <c r="J3877" i="1"/>
  <c r="K3877" i="1" s="1"/>
  <c r="J3878" i="1"/>
  <c r="K3878" i="1" s="1"/>
  <c r="J3879" i="1"/>
  <c r="K3879" i="1" s="1"/>
  <c r="J3880" i="1"/>
  <c r="K3880" i="1" s="1"/>
  <c r="J3881" i="1"/>
  <c r="K3881" i="1" s="1"/>
  <c r="J3882" i="1"/>
  <c r="K3882" i="1" s="1"/>
  <c r="J3883" i="1"/>
  <c r="K3883" i="1" s="1"/>
  <c r="J3884" i="1"/>
  <c r="K3884" i="1" s="1"/>
  <c r="J3885" i="1"/>
  <c r="K3885" i="1" s="1"/>
  <c r="J3886" i="1"/>
  <c r="K3886" i="1" s="1"/>
  <c r="J3887" i="1"/>
  <c r="K3887" i="1" s="1"/>
  <c r="J3888" i="1"/>
  <c r="K3888" i="1" s="1"/>
  <c r="J3889" i="1"/>
  <c r="K3889" i="1" s="1"/>
  <c r="J3890" i="1"/>
  <c r="K3890" i="1" s="1"/>
  <c r="J3891" i="1"/>
  <c r="K3891" i="1" s="1"/>
  <c r="J3892" i="1"/>
  <c r="K3892" i="1" s="1"/>
  <c r="J3893" i="1"/>
  <c r="K3893" i="1" s="1"/>
  <c r="J3894" i="1"/>
  <c r="K3894" i="1" s="1"/>
  <c r="J3895" i="1"/>
  <c r="K3895" i="1" s="1"/>
  <c r="J3896" i="1"/>
  <c r="K3896" i="1" s="1"/>
  <c r="J3897" i="1"/>
  <c r="K3897" i="1" s="1"/>
  <c r="J3898" i="1"/>
  <c r="K3898" i="1" s="1"/>
  <c r="J3899" i="1"/>
  <c r="K3899" i="1" s="1"/>
  <c r="J3900" i="1"/>
  <c r="K3900" i="1" s="1"/>
  <c r="J3901" i="1"/>
  <c r="K3901" i="1" s="1"/>
  <c r="J3902" i="1"/>
  <c r="K3902" i="1" s="1"/>
  <c r="J3903" i="1"/>
  <c r="K3903" i="1" s="1"/>
  <c r="J3904" i="1"/>
  <c r="K3904" i="1" s="1"/>
  <c r="J3905" i="1"/>
  <c r="K3905" i="1" s="1"/>
  <c r="J3906" i="1"/>
  <c r="K3906" i="1" s="1"/>
  <c r="J3907" i="1"/>
  <c r="K3907" i="1" s="1"/>
  <c r="J3908" i="1"/>
  <c r="K3908" i="1" s="1"/>
  <c r="J3909" i="1"/>
  <c r="K3909" i="1" s="1"/>
  <c r="J3910" i="1"/>
  <c r="K3910" i="1" s="1"/>
  <c r="J3911" i="1"/>
  <c r="K3911" i="1" s="1"/>
  <c r="J3912" i="1"/>
  <c r="K3912" i="1" s="1"/>
  <c r="J3913" i="1"/>
  <c r="K3913" i="1" s="1"/>
  <c r="J3914" i="1"/>
  <c r="K3914" i="1" s="1"/>
  <c r="J3915" i="1"/>
  <c r="K3915" i="1" s="1"/>
  <c r="J3916" i="1"/>
  <c r="K3916" i="1" s="1"/>
  <c r="J3917" i="1"/>
  <c r="K3917" i="1" s="1"/>
  <c r="J3918" i="1"/>
  <c r="K3918" i="1" s="1"/>
  <c r="J3919" i="1"/>
  <c r="K3919" i="1" s="1"/>
  <c r="J3920" i="1"/>
  <c r="K3920" i="1" s="1"/>
  <c r="J3921" i="1"/>
  <c r="K3921" i="1" s="1"/>
  <c r="J3922" i="1"/>
  <c r="K3922" i="1" s="1"/>
  <c r="J3923" i="1"/>
  <c r="K3923" i="1" s="1"/>
  <c r="J3924" i="1"/>
  <c r="K3924" i="1" s="1"/>
  <c r="J3925" i="1"/>
  <c r="K3925" i="1" s="1"/>
  <c r="J3926" i="1"/>
  <c r="K3926" i="1" s="1"/>
  <c r="J3927" i="1"/>
  <c r="K3927" i="1" s="1"/>
  <c r="J3928" i="1"/>
  <c r="K3928" i="1" s="1"/>
  <c r="J3929" i="1"/>
  <c r="K3929" i="1" s="1"/>
  <c r="J3930" i="1"/>
  <c r="K3930" i="1" s="1"/>
  <c r="J3931" i="1"/>
  <c r="K3931" i="1" s="1"/>
  <c r="J3932" i="1"/>
  <c r="K3932" i="1" s="1"/>
  <c r="J3933" i="1"/>
  <c r="K3933" i="1" s="1"/>
  <c r="J3934" i="1"/>
  <c r="K3934" i="1" s="1"/>
  <c r="J3935" i="1"/>
  <c r="K3935" i="1" s="1"/>
  <c r="J3936" i="1"/>
  <c r="K3936" i="1" s="1"/>
  <c r="J3937" i="1"/>
  <c r="K3937" i="1" s="1"/>
  <c r="J3938" i="1"/>
  <c r="K3938" i="1" s="1"/>
  <c r="J3939" i="1"/>
  <c r="K3939" i="1" s="1"/>
  <c r="J3940" i="1"/>
  <c r="K3940" i="1" s="1"/>
  <c r="J3941" i="1"/>
  <c r="K3941" i="1" s="1"/>
  <c r="J3942" i="1"/>
  <c r="K3942" i="1" s="1"/>
  <c r="J3943" i="1"/>
  <c r="K3943" i="1" s="1"/>
  <c r="J3944" i="1"/>
  <c r="K3944" i="1" s="1"/>
  <c r="J3945" i="1"/>
  <c r="K3945" i="1" s="1"/>
  <c r="J3946" i="1"/>
  <c r="K3946" i="1" s="1"/>
  <c r="J3947" i="1"/>
  <c r="K3947" i="1" s="1"/>
  <c r="J3948" i="1"/>
  <c r="K3948" i="1" s="1"/>
  <c r="J3949" i="1"/>
  <c r="K3949" i="1" s="1"/>
  <c r="J3950" i="1"/>
  <c r="K3950" i="1" s="1"/>
  <c r="J3951" i="1"/>
  <c r="K3951" i="1" s="1"/>
  <c r="J3952" i="1"/>
  <c r="K3952" i="1" s="1"/>
  <c r="J3953" i="1"/>
  <c r="K3953" i="1" s="1"/>
  <c r="J3954" i="1"/>
  <c r="K3954" i="1" s="1"/>
  <c r="J3955" i="1"/>
  <c r="K3955" i="1" s="1"/>
  <c r="J3956" i="1"/>
  <c r="K3956" i="1" s="1"/>
  <c r="J3957" i="1"/>
  <c r="K3957" i="1" s="1"/>
  <c r="J3958" i="1"/>
  <c r="K3958" i="1" s="1"/>
  <c r="J3959" i="1"/>
  <c r="K3959" i="1" s="1"/>
  <c r="J3960" i="1"/>
  <c r="K3960" i="1" s="1"/>
  <c r="J3961" i="1"/>
  <c r="K3961" i="1" s="1"/>
  <c r="J3962" i="1"/>
  <c r="K3962" i="1" s="1"/>
  <c r="J3963" i="1"/>
  <c r="K3963" i="1" s="1"/>
  <c r="J3964" i="1"/>
  <c r="K3964" i="1" s="1"/>
  <c r="J3965" i="1"/>
  <c r="K3965" i="1" s="1"/>
  <c r="J3966" i="1"/>
  <c r="K3966" i="1" s="1"/>
  <c r="J3967" i="1"/>
  <c r="K3967" i="1" s="1"/>
  <c r="J3968" i="1"/>
  <c r="K3968" i="1" s="1"/>
  <c r="J3969" i="1"/>
  <c r="K3969" i="1" s="1"/>
  <c r="J3970" i="1"/>
  <c r="K3970" i="1" s="1"/>
  <c r="J3971" i="1"/>
  <c r="K3971" i="1" s="1"/>
  <c r="J3972" i="1"/>
  <c r="K3972" i="1" s="1"/>
  <c r="J3973" i="1"/>
  <c r="K3973" i="1" s="1"/>
  <c r="J3974" i="1"/>
  <c r="K3974" i="1" s="1"/>
  <c r="J3975" i="1"/>
  <c r="K3975" i="1" s="1"/>
  <c r="J3976" i="1"/>
  <c r="K3976" i="1" s="1"/>
  <c r="J3977" i="1"/>
  <c r="K3977" i="1" s="1"/>
  <c r="J3978" i="1"/>
  <c r="K3978" i="1" s="1"/>
  <c r="J3979" i="1"/>
  <c r="K3979" i="1" s="1"/>
  <c r="J3980" i="1"/>
  <c r="K3980" i="1" s="1"/>
  <c r="J3981" i="1"/>
  <c r="K3981" i="1" s="1"/>
  <c r="J3982" i="1"/>
  <c r="K3982" i="1" s="1"/>
  <c r="J3983" i="1"/>
  <c r="K3983" i="1" s="1"/>
  <c r="J3984" i="1"/>
  <c r="K3984" i="1" s="1"/>
  <c r="J3985" i="1"/>
  <c r="K3985" i="1" s="1"/>
  <c r="J3986" i="1"/>
  <c r="K3986" i="1" s="1"/>
  <c r="J3987" i="1"/>
  <c r="K3987" i="1" s="1"/>
  <c r="J3988" i="1"/>
  <c r="K3988" i="1" s="1"/>
  <c r="J3989" i="1"/>
  <c r="K3989" i="1" s="1"/>
  <c r="J3990" i="1"/>
  <c r="K3990" i="1" s="1"/>
  <c r="J3991" i="1"/>
  <c r="K3991" i="1" s="1"/>
  <c r="J3992" i="1"/>
  <c r="K3992" i="1" s="1"/>
  <c r="J3993" i="1"/>
  <c r="K3993" i="1" s="1"/>
  <c r="J3994" i="1"/>
  <c r="K3994" i="1" s="1"/>
  <c r="J3995" i="1"/>
  <c r="K3995" i="1" s="1"/>
  <c r="J3996" i="1"/>
  <c r="K3996" i="1" s="1"/>
  <c r="J3997" i="1"/>
  <c r="K3997" i="1" s="1"/>
  <c r="J3998" i="1"/>
  <c r="K3998" i="1" s="1"/>
  <c r="J3999" i="1"/>
  <c r="K3999" i="1" s="1"/>
  <c r="J4000" i="1"/>
  <c r="K4000" i="1" s="1"/>
  <c r="J4001" i="1"/>
  <c r="K4001" i="1" s="1"/>
  <c r="J4002" i="1"/>
  <c r="K4002" i="1" s="1"/>
  <c r="J4003" i="1"/>
  <c r="K4003" i="1" s="1"/>
  <c r="J4004" i="1"/>
  <c r="K4004" i="1" s="1"/>
  <c r="J4005" i="1"/>
  <c r="K4005" i="1" s="1"/>
  <c r="J4006" i="1"/>
  <c r="K4006" i="1" s="1"/>
  <c r="J4007" i="1"/>
  <c r="K4007" i="1" s="1"/>
  <c r="J4008" i="1"/>
  <c r="K4008" i="1" s="1"/>
  <c r="J4009" i="1"/>
  <c r="K4009" i="1" s="1"/>
  <c r="J4010" i="1"/>
  <c r="K4010" i="1" s="1"/>
  <c r="J4011" i="1"/>
  <c r="K4011" i="1" s="1"/>
  <c r="J4012" i="1"/>
  <c r="K4012" i="1" s="1"/>
  <c r="J4013" i="1"/>
  <c r="K4013" i="1" s="1"/>
  <c r="J4014" i="1"/>
  <c r="K4014" i="1" s="1"/>
  <c r="J4015" i="1"/>
  <c r="K4015" i="1" s="1"/>
  <c r="J4016" i="1"/>
  <c r="K4016" i="1" s="1"/>
  <c r="J4017" i="1"/>
  <c r="K4017" i="1" s="1"/>
  <c r="J4018" i="1"/>
  <c r="K4018" i="1" s="1"/>
  <c r="J4019" i="1"/>
  <c r="K4019" i="1" s="1"/>
  <c r="J4020" i="1"/>
  <c r="K4020" i="1" s="1"/>
  <c r="J4021" i="1"/>
  <c r="K4021" i="1" s="1"/>
  <c r="J4022" i="1"/>
  <c r="K4022" i="1" s="1"/>
  <c r="J4023" i="1"/>
  <c r="K4023" i="1" s="1"/>
  <c r="J4024" i="1"/>
  <c r="K4024" i="1" s="1"/>
  <c r="J4025" i="1"/>
  <c r="K4025" i="1" s="1"/>
  <c r="J4026" i="1"/>
  <c r="K4026" i="1" s="1"/>
  <c r="J4027" i="1"/>
  <c r="K4027" i="1" s="1"/>
  <c r="J4028" i="1"/>
  <c r="K4028" i="1" s="1"/>
  <c r="J4029" i="1"/>
  <c r="K4029" i="1" s="1"/>
  <c r="J4030" i="1"/>
  <c r="K4030" i="1" s="1"/>
  <c r="J4031" i="1"/>
  <c r="K4031" i="1" s="1"/>
  <c r="J4032" i="1"/>
  <c r="K4032" i="1" s="1"/>
  <c r="J4033" i="1"/>
  <c r="K4033" i="1" s="1"/>
  <c r="J4034" i="1"/>
  <c r="K4034" i="1" s="1"/>
  <c r="J4035" i="1"/>
  <c r="K4035" i="1" s="1"/>
  <c r="J4036" i="1"/>
  <c r="K4036" i="1" s="1"/>
  <c r="J4037" i="1"/>
  <c r="K4037" i="1" s="1"/>
  <c r="J4038" i="1"/>
  <c r="K4038" i="1" s="1"/>
  <c r="J4039" i="1"/>
  <c r="K4039" i="1" s="1"/>
  <c r="J4040" i="1"/>
  <c r="K4040" i="1" s="1"/>
  <c r="J4041" i="1"/>
  <c r="K4041" i="1" s="1"/>
  <c r="J4042" i="1"/>
  <c r="K4042" i="1" s="1"/>
  <c r="J4043" i="1"/>
  <c r="K4043" i="1" s="1"/>
  <c r="J4044" i="1"/>
  <c r="K4044" i="1" s="1"/>
  <c r="J4045" i="1"/>
  <c r="K4045" i="1" s="1"/>
  <c r="J4046" i="1"/>
  <c r="K4046" i="1" s="1"/>
  <c r="J4047" i="1"/>
  <c r="K4047" i="1" s="1"/>
  <c r="J4048" i="1"/>
  <c r="K4048" i="1" s="1"/>
  <c r="J4049" i="1"/>
  <c r="K4049" i="1" s="1"/>
  <c r="J4050" i="1"/>
  <c r="K4050" i="1" s="1"/>
  <c r="J4051" i="1"/>
  <c r="K4051" i="1" s="1"/>
  <c r="J4052" i="1"/>
  <c r="K4052" i="1" s="1"/>
  <c r="J4053" i="1"/>
  <c r="K4053" i="1" s="1"/>
  <c r="J4054" i="1"/>
  <c r="K4054" i="1" s="1"/>
  <c r="J4055" i="1"/>
  <c r="K4055" i="1" s="1"/>
  <c r="J4056" i="1"/>
  <c r="K4056" i="1" s="1"/>
  <c r="J4057" i="1"/>
  <c r="K4057" i="1" s="1"/>
  <c r="J4058" i="1"/>
  <c r="K4058" i="1" s="1"/>
  <c r="J4059" i="1"/>
  <c r="K4059" i="1" s="1"/>
  <c r="J4060" i="1"/>
  <c r="K4060" i="1" s="1"/>
  <c r="J4061" i="1"/>
  <c r="K4061" i="1" s="1"/>
  <c r="J4062" i="1"/>
  <c r="K4062" i="1" s="1"/>
  <c r="J4063" i="1"/>
  <c r="K4063" i="1" s="1"/>
  <c r="J4064" i="1"/>
  <c r="K4064" i="1" s="1"/>
  <c r="J4065" i="1"/>
  <c r="K4065" i="1" s="1"/>
  <c r="J4066" i="1"/>
  <c r="K4066" i="1" s="1"/>
  <c r="J4067" i="1"/>
  <c r="K4067" i="1" s="1"/>
  <c r="J4068" i="1"/>
  <c r="K4068" i="1" s="1"/>
  <c r="J4069" i="1"/>
  <c r="K4069" i="1" s="1"/>
  <c r="J4070" i="1"/>
  <c r="K4070" i="1" s="1"/>
  <c r="J4071" i="1"/>
  <c r="K4071" i="1" s="1"/>
  <c r="J4072" i="1"/>
  <c r="K4072" i="1" s="1"/>
  <c r="J4073" i="1"/>
  <c r="K4073" i="1" s="1"/>
  <c r="J4074" i="1"/>
  <c r="K4074" i="1" s="1"/>
  <c r="J4075" i="1"/>
  <c r="K4075" i="1" s="1"/>
  <c r="J4076" i="1"/>
  <c r="K4076" i="1" s="1"/>
  <c r="J4077" i="1"/>
  <c r="K4077" i="1" s="1"/>
  <c r="J4078" i="1"/>
  <c r="K4078" i="1" s="1"/>
  <c r="J4079" i="1"/>
  <c r="K4079" i="1" s="1"/>
  <c r="J4080" i="1"/>
  <c r="K4080" i="1" s="1"/>
  <c r="J4081" i="1"/>
  <c r="K4081" i="1" s="1"/>
  <c r="J4082" i="1"/>
  <c r="K4082" i="1" s="1"/>
  <c r="J4083" i="1"/>
  <c r="K4083" i="1" s="1"/>
  <c r="J4084" i="1"/>
  <c r="K4084" i="1" s="1"/>
  <c r="J4085" i="1"/>
  <c r="K4085" i="1" s="1"/>
  <c r="J4086" i="1"/>
  <c r="K4086" i="1" s="1"/>
  <c r="J4087" i="1"/>
  <c r="K4087" i="1" s="1"/>
  <c r="J4088" i="1"/>
  <c r="K4088" i="1" s="1"/>
  <c r="J4089" i="1"/>
  <c r="K4089" i="1" s="1"/>
  <c r="J4090" i="1"/>
  <c r="K4090" i="1" s="1"/>
  <c r="J4091" i="1"/>
  <c r="K4091" i="1" s="1"/>
  <c r="J4092" i="1"/>
  <c r="K4092" i="1" s="1"/>
  <c r="J4093" i="1"/>
  <c r="K4093" i="1" s="1"/>
  <c r="J4094" i="1"/>
  <c r="K4094" i="1" s="1"/>
  <c r="J4095" i="1"/>
  <c r="K4095" i="1" s="1"/>
  <c r="J4096" i="1"/>
  <c r="K4096" i="1" s="1"/>
  <c r="J4097" i="1"/>
  <c r="K4097" i="1" s="1"/>
  <c r="J4098" i="1"/>
  <c r="K4098" i="1" s="1"/>
  <c r="J4099" i="1"/>
  <c r="K4099" i="1" s="1"/>
  <c r="J4100" i="1"/>
  <c r="K4100" i="1" s="1"/>
  <c r="J4101" i="1"/>
  <c r="K4101" i="1" s="1"/>
  <c r="J4102" i="1"/>
  <c r="K4102" i="1" s="1"/>
  <c r="J4103" i="1"/>
  <c r="K4103" i="1" s="1"/>
  <c r="J4104" i="1"/>
  <c r="K4104" i="1" s="1"/>
  <c r="J4105" i="1"/>
  <c r="K4105" i="1" s="1"/>
  <c r="J4106" i="1"/>
  <c r="K4106" i="1" s="1"/>
  <c r="J4107" i="1"/>
  <c r="K4107" i="1" s="1"/>
  <c r="J4108" i="1"/>
  <c r="K4108" i="1" s="1"/>
  <c r="J4109" i="1"/>
  <c r="K4109" i="1" s="1"/>
  <c r="J4110" i="1"/>
  <c r="K4110" i="1" s="1"/>
  <c r="J4111" i="1"/>
  <c r="K4111" i="1" s="1"/>
  <c r="J4112" i="1"/>
  <c r="K4112" i="1" s="1"/>
  <c r="J4113" i="1"/>
  <c r="K4113" i="1" s="1"/>
  <c r="J4114" i="1"/>
  <c r="K4114" i="1" s="1"/>
  <c r="J4115" i="1"/>
  <c r="K4115" i="1" s="1"/>
  <c r="J4116" i="1"/>
  <c r="K4116" i="1" s="1"/>
  <c r="J4117" i="1"/>
  <c r="K4117" i="1" s="1"/>
  <c r="J4118" i="1"/>
  <c r="K4118" i="1" s="1"/>
  <c r="J4119" i="1"/>
  <c r="K4119" i="1" s="1"/>
  <c r="J4120" i="1"/>
  <c r="K4120" i="1" s="1"/>
  <c r="J4121" i="1"/>
  <c r="K4121" i="1" s="1"/>
  <c r="J4122" i="1"/>
  <c r="K4122" i="1" s="1"/>
  <c r="J4123" i="1"/>
  <c r="K4123" i="1" s="1"/>
  <c r="J4124" i="1"/>
  <c r="K4124" i="1" s="1"/>
  <c r="J4125" i="1"/>
  <c r="K4125" i="1" s="1"/>
  <c r="J4126" i="1"/>
  <c r="K4126" i="1" s="1"/>
  <c r="J4127" i="1"/>
  <c r="K4127" i="1" s="1"/>
  <c r="J4128" i="1"/>
  <c r="K4128" i="1" s="1"/>
  <c r="J4129" i="1"/>
  <c r="K4129" i="1" s="1"/>
  <c r="J4130" i="1"/>
  <c r="K4130" i="1" s="1"/>
  <c r="J4131" i="1"/>
  <c r="K4131" i="1" s="1"/>
  <c r="J4132" i="1"/>
  <c r="K4132" i="1" s="1"/>
  <c r="J4133" i="1"/>
  <c r="K4133" i="1" s="1"/>
  <c r="J4134" i="1"/>
  <c r="K4134" i="1" s="1"/>
  <c r="J4135" i="1"/>
  <c r="K4135" i="1" s="1"/>
  <c r="J4136" i="1"/>
  <c r="K4136" i="1" s="1"/>
  <c r="J4137" i="1"/>
  <c r="K4137" i="1" s="1"/>
  <c r="J4138" i="1"/>
  <c r="K4138" i="1" s="1"/>
  <c r="J4139" i="1"/>
  <c r="K4139" i="1" s="1"/>
  <c r="J4140" i="1"/>
  <c r="K4140" i="1" s="1"/>
  <c r="J4141" i="1"/>
  <c r="K4141" i="1" s="1"/>
  <c r="J4142" i="1"/>
  <c r="K4142" i="1" s="1"/>
  <c r="J4143" i="1"/>
  <c r="K4143" i="1" s="1"/>
  <c r="J4144" i="1"/>
  <c r="K4144" i="1" s="1"/>
  <c r="J4145" i="1"/>
  <c r="K4145" i="1" s="1"/>
  <c r="J4146" i="1"/>
  <c r="K4146" i="1" s="1"/>
  <c r="J4147" i="1"/>
  <c r="K4147" i="1" s="1"/>
  <c r="J4148" i="1"/>
  <c r="K4148" i="1" s="1"/>
  <c r="J4149" i="1"/>
  <c r="K4149" i="1" s="1"/>
  <c r="J4150" i="1"/>
  <c r="K4150" i="1" s="1"/>
  <c r="J4151" i="1"/>
  <c r="K4151" i="1" s="1"/>
  <c r="J4152" i="1"/>
  <c r="K4152" i="1" s="1"/>
  <c r="J4153" i="1"/>
  <c r="K4153" i="1" s="1"/>
  <c r="J4154" i="1"/>
  <c r="K4154" i="1" s="1"/>
  <c r="J4155" i="1"/>
  <c r="K4155" i="1" s="1"/>
  <c r="J4156" i="1"/>
  <c r="K4156" i="1" s="1"/>
  <c r="J4157" i="1"/>
  <c r="K4157" i="1" s="1"/>
  <c r="J4158" i="1"/>
  <c r="K4158" i="1" s="1"/>
  <c r="J4159" i="1"/>
  <c r="K4159" i="1" s="1"/>
  <c r="J4160" i="1"/>
  <c r="K4160" i="1" s="1"/>
  <c r="J4161" i="1"/>
  <c r="K4161" i="1" s="1"/>
  <c r="J4162" i="1"/>
  <c r="K4162" i="1" s="1"/>
  <c r="J4163" i="1"/>
  <c r="K4163" i="1" s="1"/>
  <c r="J4164" i="1"/>
  <c r="K4164" i="1" s="1"/>
  <c r="J4165" i="1"/>
  <c r="K4165" i="1" s="1"/>
  <c r="J4166" i="1"/>
  <c r="K4166" i="1" s="1"/>
  <c r="J4167" i="1"/>
  <c r="K4167" i="1" s="1"/>
  <c r="J4168" i="1"/>
  <c r="K4168" i="1" s="1"/>
  <c r="J4169" i="1"/>
  <c r="K4169" i="1" s="1"/>
  <c r="J4170" i="1"/>
  <c r="K4170" i="1" s="1"/>
  <c r="J4171" i="1"/>
  <c r="K4171" i="1" s="1"/>
  <c r="J4172" i="1"/>
  <c r="K4172" i="1" s="1"/>
  <c r="J4173" i="1"/>
  <c r="K4173" i="1" s="1"/>
  <c r="J4174" i="1"/>
  <c r="K4174" i="1" s="1"/>
  <c r="J4175" i="1"/>
  <c r="K4175" i="1" s="1"/>
  <c r="J4176" i="1"/>
  <c r="K4176" i="1" s="1"/>
  <c r="J4177" i="1"/>
  <c r="K4177" i="1" s="1"/>
  <c r="J4178" i="1"/>
  <c r="K4178" i="1" s="1"/>
  <c r="J4179" i="1"/>
  <c r="K4179" i="1" s="1"/>
  <c r="J4180" i="1"/>
  <c r="K4180" i="1" s="1"/>
  <c r="J4181" i="1"/>
  <c r="K4181" i="1" s="1"/>
  <c r="J4182" i="1"/>
  <c r="K4182" i="1" s="1"/>
  <c r="J4183" i="1"/>
  <c r="K4183" i="1" s="1"/>
  <c r="J4184" i="1"/>
  <c r="K4184" i="1" s="1"/>
  <c r="J4185" i="1"/>
  <c r="K4185" i="1" s="1"/>
  <c r="J4186" i="1"/>
  <c r="K4186" i="1" s="1"/>
  <c r="J4187" i="1"/>
  <c r="K4187" i="1" s="1"/>
  <c r="J4188" i="1"/>
  <c r="K4188" i="1" s="1"/>
  <c r="J4189" i="1"/>
  <c r="K4189" i="1" s="1"/>
  <c r="J4190" i="1"/>
  <c r="K4190" i="1" s="1"/>
  <c r="J4191" i="1"/>
  <c r="K4191" i="1" s="1"/>
  <c r="J4192" i="1"/>
  <c r="K4192" i="1" s="1"/>
  <c r="J4193" i="1"/>
  <c r="K4193" i="1" s="1"/>
  <c r="J4194" i="1"/>
  <c r="K4194" i="1" s="1"/>
  <c r="J4195" i="1"/>
  <c r="K4195" i="1" s="1"/>
  <c r="J4196" i="1"/>
  <c r="K4196" i="1" s="1"/>
  <c r="J4197" i="1"/>
  <c r="K4197" i="1" s="1"/>
  <c r="J4198" i="1"/>
  <c r="K4198" i="1" s="1"/>
  <c r="J4199" i="1"/>
  <c r="K4199" i="1" s="1"/>
  <c r="J4200" i="1"/>
  <c r="K4200" i="1" s="1"/>
  <c r="J4201" i="1"/>
  <c r="K4201" i="1" s="1"/>
  <c r="J4202" i="1"/>
  <c r="K4202" i="1" s="1"/>
  <c r="J4203" i="1"/>
  <c r="K4203" i="1" s="1"/>
  <c r="J4204" i="1"/>
  <c r="K4204" i="1" s="1"/>
  <c r="J4205" i="1"/>
  <c r="K4205" i="1" s="1"/>
  <c r="J4206" i="1"/>
  <c r="K4206" i="1" s="1"/>
  <c r="J4207" i="1"/>
  <c r="K4207" i="1" s="1"/>
  <c r="J4208" i="1"/>
  <c r="K4208" i="1" s="1"/>
  <c r="J4209" i="1"/>
  <c r="K4209" i="1" s="1"/>
  <c r="J4210" i="1"/>
  <c r="K4210" i="1" s="1"/>
  <c r="J4211" i="1"/>
  <c r="K4211" i="1" s="1"/>
  <c r="J4212" i="1"/>
  <c r="K4212" i="1" s="1"/>
  <c r="J4213" i="1"/>
  <c r="K4213" i="1" s="1"/>
  <c r="J4214" i="1"/>
  <c r="K4214" i="1" s="1"/>
  <c r="J4215" i="1"/>
  <c r="K4215" i="1" s="1"/>
  <c r="J4216" i="1"/>
  <c r="K4216" i="1" s="1"/>
  <c r="J4217" i="1"/>
  <c r="K4217" i="1" s="1"/>
  <c r="J4218" i="1"/>
  <c r="K4218" i="1" s="1"/>
  <c r="J4219" i="1"/>
  <c r="K4219" i="1" s="1"/>
  <c r="J4220" i="1"/>
  <c r="K4220" i="1" s="1"/>
  <c r="J4221" i="1"/>
  <c r="K4221" i="1" s="1"/>
  <c r="J4222" i="1"/>
  <c r="K4222" i="1" s="1"/>
  <c r="J4223" i="1"/>
  <c r="K4223" i="1" s="1"/>
  <c r="J4224" i="1"/>
  <c r="K4224" i="1" s="1"/>
  <c r="J4225" i="1"/>
  <c r="K4225" i="1" s="1"/>
  <c r="J4226" i="1"/>
  <c r="K4226" i="1" s="1"/>
  <c r="J4227" i="1"/>
  <c r="K4227" i="1" s="1"/>
  <c r="J4228" i="1"/>
  <c r="K4228" i="1" s="1"/>
  <c r="J4229" i="1"/>
  <c r="K4229" i="1" s="1"/>
  <c r="J4230" i="1"/>
  <c r="K4230" i="1" s="1"/>
  <c r="J4231" i="1"/>
  <c r="K4231" i="1" s="1"/>
  <c r="J4232" i="1"/>
  <c r="K4232" i="1" s="1"/>
  <c r="J4233" i="1"/>
  <c r="K4233" i="1" s="1"/>
  <c r="J4234" i="1"/>
  <c r="K4234" i="1" s="1"/>
  <c r="J4235" i="1"/>
  <c r="K4235" i="1" s="1"/>
  <c r="J4236" i="1"/>
  <c r="K4236" i="1" s="1"/>
  <c r="J4237" i="1"/>
  <c r="K4237" i="1" s="1"/>
  <c r="J4238" i="1"/>
  <c r="K4238" i="1" s="1"/>
  <c r="J4239" i="1"/>
  <c r="K4239" i="1" s="1"/>
  <c r="J4240" i="1"/>
  <c r="K4240" i="1" s="1"/>
  <c r="J4241" i="1"/>
  <c r="K4241" i="1" s="1"/>
  <c r="J4242" i="1"/>
  <c r="K4242" i="1" s="1"/>
  <c r="J4243" i="1"/>
  <c r="K4243" i="1" s="1"/>
  <c r="J4244" i="1"/>
  <c r="K4244" i="1" s="1"/>
  <c r="J4245" i="1"/>
  <c r="K4245" i="1" s="1"/>
  <c r="J4246" i="1"/>
  <c r="K4246" i="1" s="1"/>
  <c r="J4247" i="1"/>
  <c r="K4247" i="1" s="1"/>
  <c r="J4248" i="1"/>
  <c r="K4248" i="1" s="1"/>
  <c r="J4249" i="1"/>
  <c r="K4249" i="1" s="1"/>
  <c r="J4250" i="1"/>
  <c r="K4250" i="1" s="1"/>
  <c r="J4251" i="1"/>
  <c r="K4251" i="1" s="1"/>
  <c r="J4252" i="1"/>
  <c r="K4252" i="1" s="1"/>
  <c r="J4253" i="1"/>
  <c r="K4253" i="1" s="1"/>
  <c r="J4254" i="1"/>
  <c r="K4254" i="1" s="1"/>
  <c r="J4255" i="1"/>
  <c r="K4255" i="1" s="1"/>
  <c r="J4256" i="1"/>
  <c r="K4256" i="1" s="1"/>
  <c r="J4257" i="1"/>
  <c r="K4257" i="1" s="1"/>
  <c r="J4258" i="1"/>
  <c r="K4258" i="1" s="1"/>
  <c r="J4259" i="1"/>
  <c r="K4259" i="1" s="1"/>
  <c r="J4260" i="1"/>
  <c r="K4260" i="1" s="1"/>
  <c r="J4261" i="1"/>
  <c r="K4261" i="1" s="1"/>
  <c r="J4262" i="1"/>
  <c r="K4262" i="1" s="1"/>
  <c r="J4263" i="1"/>
  <c r="K4263" i="1" s="1"/>
  <c r="J4264" i="1"/>
  <c r="K4264" i="1" s="1"/>
  <c r="J4265" i="1"/>
  <c r="K4265" i="1" s="1"/>
  <c r="J4266" i="1"/>
  <c r="K4266" i="1" s="1"/>
  <c r="J4267" i="1"/>
  <c r="K4267" i="1" s="1"/>
  <c r="J4268" i="1"/>
  <c r="K4268" i="1" s="1"/>
  <c r="J4269" i="1"/>
  <c r="K4269" i="1" s="1"/>
  <c r="J4270" i="1"/>
  <c r="K4270" i="1" s="1"/>
  <c r="J4271" i="1"/>
  <c r="K4271" i="1" s="1"/>
  <c r="J4272" i="1"/>
  <c r="K4272" i="1" s="1"/>
  <c r="J4273" i="1"/>
  <c r="K4273" i="1" s="1"/>
  <c r="J4274" i="1"/>
  <c r="K4274" i="1" s="1"/>
  <c r="J4275" i="1"/>
  <c r="K4275" i="1" s="1"/>
  <c r="J4276" i="1"/>
  <c r="K4276" i="1" s="1"/>
  <c r="J4277" i="1"/>
  <c r="K4277" i="1" s="1"/>
  <c r="J4278" i="1"/>
  <c r="K4278" i="1" s="1"/>
  <c r="J4279" i="1"/>
  <c r="K4279" i="1" s="1"/>
  <c r="J4280" i="1"/>
  <c r="K4280" i="1" s="1"/>
  <c r="J4281" i="1"/>
  <c r="K4281" i="1" s="1"/>
  <c r="J4282" i="1"/>
  <c r="K4282" i="1" s="1"/>
  <c r="J4283" i="1"/>
  <c r="K4283" i="1" s="1"/>
  <c r="J4284" i="1"/>
  <c r="K4284" i="1" s="1"/>
  <c r="J4285" i="1"/>
  <c r="K4285" i="1" s="1"/>
  <c r="J4286" i="1"/>
  <c r="K4286" i="1" s="1"/>
  <c r="J4287" i="1"/>
  <c r="K4287" i="1" s="1"/>
  <c r="J4288" i="1"/>
  <c r="K4288" i="1" s="1"/>
  <c r="J4289" i="1"/>
  <c r="K4289" i="1" s="1"/>
  <c r="J4290" i="1"/>
  <c r="K4290" i="1" s="1"/>
  <c r="J4291" i="1"/>
  <c r="K4291" i="1" s="1"/>
  <c r="J4292" i="1"/>
  <c r="K4292" i="1" s="1"/>
  <c r="J4293" i="1"/>
  <c r="K4293" i="1" s="1"/>
  <c r="J4294" i="1"/>
  <c r="K4294" i="1" s="1"/>
  <c r="J4295" i="1"/>
  <c r="K4295" i="1" s="1"/>
  <c r="J4296" i="1"/>
  <c r="K4296" i="1" s="1"/>
  <c r="J4297" i="1"/>
  <c r="K4297" i="1" s="1"/>
  <c r="J4298" i="1"/>
  <c r="K4298" i="1" s="1"/>
  <c r="J4299" i="1"/>
  <c r="K4299" i="1" s="1"/>
  <c r="J4300" i="1"/>
  <c r="K4300" i="1" s="1"/>
  <c r="J4301" i="1"/>
  <c r="K4301" i="1" s="1"/>
  <c r="J4302" i="1"/>
  <c r="K4302" i="1" s="1"/>
  <c r="J4303" i="1"/>
  <c r="K4303" i="1" s="1"/>
  <c r="J4304" i="1"/>
  <c r="K4304" i="1" s="1"/>
  <c r="J4305" i="1"/>
  <c r="K4305" i="1" s="1"/>
  <c r="J4306" i="1"/>
  <c r="K4306" i="1" s="1"/>
  <c r="J4307" i="1"/>
  <c r="K4307" i="1" s="1"/>
  <c r="J4308" i="1"/>
  <c r="K4308" i="1" s="1"/>
  <c r="J4309" i="1"/>
  <c r="K4309" i="1" s="1"/>
  <c r="J4310" i="1"/>
  <c r="K4310" i="1" s="1"/>
  <c r="J4311" i="1"/>
  <c r="K4311" i="1" s="1"/>
  <c r="J4312" i="1"/>
  <c r="K4312" i="1" s="1"/>
  <c r="J4313" i="1"/>
  <c r="K4313" i="1" s="1"/>
  <c r="J4314" i="1"/>
  <c r="K4314" i="1" s="1"/>
  <c r="J4315" i="1"/>
  <c r="K4315" i="1" s="1"/>
  <c r="J4316" i="1"/>
  <c r="K4316" i="1" s="1"/>
  <c r="J4317" i="1"/>
  <c r="K4317" i="1" s="1"/>
  <c r="J4318" i="1"/>
  <c r="K4318" i="1" s="1"/>
  <c r="J4319" i="1"/>
  <c r="K4319" i="1" s="1"/>
  <c r="J4320" i="1"/>
  <c r="K4320" i="1" s="1"/>
  <c r="J4321" i="1"/>
  <c r="K4321" i="1" s="1"/>
  <c r="J4322" i="1"/>
  <c r="K4322" i="1" s="1"/>
  <c r="J4323" i="1"/>
  <c r="K4323" i="1" s="1"/>
  <c r="J4324" i="1"/>
  <c r="K4324" i="1" s="1"/>
  <c r="J4325" i="1"/>
  <c r="K4325" i="1" s="1"/>
  <c r="J4326" i="1"/>
  <c r="K4326" i="1" s="1"/>
  <c r="J4327" i="1"/>
  <c r="K4327" i="1" s="1"/>
  <c r="J4328" i="1"/>
  <c r="K4328" i="1" s="1"/>
  <c r="J4329" i="1"/>
  <c r="K4329" i="1" s="1"/>
  <c r="J4330" i="1"/>
  <c r="K4330" i="1" s="1"/>
  <c r="J4331" i="1"/>
  <c r="K4331" i="1" s="1"/>
  <c r="J4332" i="1"/>
  <c r="K4332" i="1" s="1"/>
  <c r="J4333" i="1"/>
  <c r="K4333" i="1" s="1"/>
  <c r="J4334" i="1"/>
  <c r="K4334" i="1" s="1"/>
  <c r="J4335" i="1"/>
  <c r="K4335" i="1" s="1"/>
  <c r="J4336" i="1"/>
  <c r="K4336" i="1" s="1"/>
  <c r="J4337" i="1"/>
  <c r="K4337" i="1" s="1"/>
  <c r="J4338" i="1"/>
  <c r="K4338" i="1" s="1"/>
  <c r="J4339" i="1"/>
  <c r="K4339" i="1" s="1"/>
  <c r="J4340" i="1"/>
  <c r="K4340" i="1" s="1"/>
  <c r="J4341" i="1"/>
  <c r="K4341" i="1" s="1"/>
  <c r="J4342" i="1"/>
  <c r="K4342" i="1" s="1"/>
  <c r="J4343" i="1"/>
  <c r="K4343" i="1" s="1"/>
  <c r="J4344" i="1"/>
  <c r="K4344" i="1" s="1"/>
  <c r="J4345" i="1"/>
  <c r="K4345" i="1" s="1"/>
  <c r="J4346" i="1"/>
  <c r="K4346" i="1" s="1"/>
  <c r="J4347" i="1"/>
  <c r="K4347" i="1" s="1"/>
  <c r="J4348" i="1"/>
  <c r="K4348" i="1" s="1"/>
  <c r="J4349" i="1"/>
  <c r="K4349" i="1" s="1"/>
  <c r="J4350" i="1"/>
  <c r="K4350" i="1" s="1"/>
  <c r="J4351" i="1"/>
  <c r="K4351" i="1" s="1"/>
  <c r="J4352" i="1"/>
  <c r="K4352" i="1" s="1"/>
  <c r="J4353" i="1"/>
  <c r="K4353" i="1" s="1"/>
  <c r="J4354" i="1"/>
  <c r="K4354" i="1" s="1"/>
  <c r="J4355" i="1"/>
  <c r="K4355" i="1" s="1"/>
  <c r="J4356" i="1"/>
  <c r="K4356" i="1" s="1"/>
  <c r="J4357" i="1"/>
  <c r="K4357" i="1" s="1"/>
  <c r="J4358" i="1"/>
  <c r="K4358" i="1" s="1"/>
  <c r="J4359" i="1"/>
  <c r="K4359" i="1" s="1"/>
  <c r="J4360" i="1"/>
  <c r="K4360" i="1" s="1"/>
  <c r="J4361" i="1"/>
  <c r="K4361" i="1" s="1"/>
  <c r="J4362" i="1"/>
  <c r="K4362" i="1" s="1"/>
  <c r="J4363" i="1"/>
  <c r="K4363" i="1" s="1"/>
  <c r="J4364" i="1"/>
  <c r="K4364" i="1" s="1"/>
  <c r="J4365" i="1"/>
  <c r="K4365" i="1" s="1"/>
  <c r="J4366" i="1"/>
  <c r="K4366" i="1" s="1"/>
  <c r="J4367" i="1"/>
  <c r="K4367" i="1" s="1"/>
  <c r="J4368" i="1"/>
  <c r="K4368" i="1" s="1"/>
  <c r="J4369" i="1"/>
  <c r="K4369" i="1" s="1"/>
  <c r="J4370" i="1"/>
  <c r="K4370" i="1" s="1"/>
  <c r="J4371" i="1"/>
  <c r="K4371" i="1" s="1"/>
  <c r="J4372" i="1"/>
  <c r="K4372" i="1" s="1"/>
  <c r="J4373" i="1"/>
  <c r="K4373" i="1" s="1"/>
  <c r="J4374" i="1"/>
  <c r="K4374" i="1" s="1"/>
  <c r="J4375" i="1"/>
  <c r="K4375" i="1" s="1"/>
  <c r="J4376" i="1"/>
  <c r="K4376" i="1" s="1"/>
  <c r="J4377" i="1"/>
  <c r="K4377" i="1" s="1"/>
  <c r="J4378" i="1"/>
  <c r="K4378" i="1" s="1"/>
  <c r="J4379" i="1"/>
  <c r="K4379" i="1" s="1"/>
  <c r="J4380" i="1"/>
  <c r="K4380" i="1" s="1"/>
  <c r="J4381" i="1"/>
  <c r="K4381" i="1" s="1"/>
  <c r="J4382" i="1"/>
  <c r="K4382" i="1" s="1"/>
  <c r="J4383" i="1"/>
  <c r="K4383" i="1" s="1"/>
  <c r="J4384" i="1"/>
  <c r="K4384" i="1" s="1"/>
  <c r="J4385" i="1"/>
  <c r="K4385" i="1" s="1"/>
  <c r="J4386" i="1"/>
  <c r="K4386" i="1" s="1"/>
  <c r="J4387" i="1"/>
  <c r="K4387" i="1" s="1"/>
  <c r="J4388" i="1"/>
  <c r="K4388" i="1" s="1"/>
  <c r="J4389" i="1"/>
  <c r="K4389" i="1" s="1"/>
  <c r="J4390" i="1"/>
  <c r="K4390" i="1" s="1"/>
  <c r="J4391" i="1"/>
  <c r="K4391" i="1" s="1"/>
  <c r="J4392" i="1"/>
  <c r="K4392" i="1" s="1"/>
  <c r="J4393" i="1"/>
  <c r="K4393" i="1" s="1"/>
  <c r="J4394" i="1"/>
  <c r="K4394" i="1" s="1"/>
  <c r="J4395" i="1"/>
  <c r="K4395" i="1" s="1"/>
  <c r="J4396" i="1"/>
  <c r="K4396" i="1" s="1"/>
  <c r="J4397" i="1"/>
  <c r="K4397" i="1" s="1"/>
  <c r="J4398" i="1"/>
  <c r="K4398" i="1" s="1"/>
  <c r="J4399" i="1"/>
  <c r="K4399" i="1" s="1"/>
  <c r="J4400" i="1"/>
  <c r="K4400" i="1" s="1"/>
  <c r="J4401" i="1"/>
  <c r="K4401" i="1" s="1"/>
  <c r="J4402" i="1"/>
  <c r="K4402" i="1" s="1"/>
  <c r="J4403" i="1"/>
  <c r="K4403" i="1" s="1"/>
  <c r="J4404" i="1"/>
  <c r="K4404" i="1" s="1"/>
  <c r="J4405" i="1"/>
  <c r="K4405" i="1" s="1"/>
  <c r="J4406" i="1"/>
  <c r="K4406" i="1" s="1"/>
  <c r="J4407" i="1"/>
  <c r="K4407" i="1" s="1"/>
  <c r="J4408" i="1"/>
  <c r="K4408" i="1" s="1"/>
  <c r="J4409" i="1"/>
  <c r="K4409" i="1" s="1"/>
  <c r="J4410" i="1"/>
  <c r="K4410" i="1" s="1"/>
  <c r="J4411" i="1"/>
  <c r="K4411" i="1" s="1"/>
  <c r="J4412" i="1"/>
  <c r="K4412" i="1" s="1"/>
  <c r="J4413" i="1"/>
  <c r="K4413" i="1" s="1"/>
  <c r="J4414" i="1"/>
  <c r="K4414" i="1" s="1"/>
  <c r="J4415" i="1"/>
  <c r="K4415" i="1" s="1"/>
  <c r="J4416" i="1"/>
  <c r="K4416" i="1" s="1"/>
  <c r="J4417" i="1"/>
  <c r="K4417" i="1" s="1"/>
  <c r="J4418" i="1"/>
  <c r="K4418" i="1" s="1"/>
  <c r="J4419" i="1"/>
  <c r="K4419" i="1" s="1"/>
  <c r="J4420" i="1"/>
  <c r="K4420" i="1" s="1"/>
  <c r="J4421" i="1"/>
  <c r="K4421" i="1" s="1"/>
  <c r="J4422" i="1"/>
  <c r="K4422" i="1" s="1"/>
  <c r="J4423" i="1"/>
  <c r="K4423" i="1" s="1"/>
  <c r="J4424" i="1"/>
  <c r="K4424" i="1" s="1"/>
  <c r="J4425" i="1"/>
  <c r="K4425" i="1" s="1"/>
  <c r="J4426" i="1"/>
  <c r="K4426" i="1" s="1"/>
  <c r="J4427" i="1"/>
  <c r="K4427" i="1" s="1"/>
  <c r="J4428" i="1"/>
  <c r="K4428" i="1" s="1"/>
  <c r="J4429" i="1"/>
  <c r="K4429" i="1" s="1"/>
  <c r="J4430" i="1"/>
  <c r="K4430" i="1" s="1"/>
  <c r="J4431" i="1"/>
  <c r="K4431" i="1" s="1"/>
  <c r="J4432" i="1"/>
  <c r="K4432" i="1" s="1"/>
  <c r="J4433" i="1"/>
  <c r="K4433" i="1" s="1"/>
  <c r="J4434" i="1"/>
  <c r="K4434" i="1" s="1"/>
  <c r="J4435" i="1"/>
  <c r="K4435" i="1" s="1"/>
  <c r="J4436" i="1"/>
  <c r="K4436" i="1" s="1"/>
  <c r="J4437" i="1"/>
  <c r="K4437" i="1" s="1"/>
  <c r="J4438" i="1"/>
  <c r="K4438" i="1" s="1"/>
  <c r="J4439" i="1"/>
  <c r="K4439" i="1" s="1"/>
  <c r="J4440" i="1"/>
  <c r="K4440" i="1" s="1"/>
  <c r="J4441" i="1"/>
  <c r="K4441" i="1" s="1"/>
  <c r="J4442" i="1"/>
  <c r="K4442" i="1" s="1"/>
  <c r="J4443" i="1"/>
  <c r="K4443" i="1" s="1"/>
  <c r="J4444" i="1"/>
  <c r="K4444" i="1" s="1"/>
  <c r="J4445" i="1"/>
  <c r="K4445" i="1" s="1"/>
  <c r="J4446" i="1"/>
  <c r="K4446" i="1" s="1"/>
  <c r="J4447" i="1"/>
  <c r="K4447" i="1" s="1"/>
  <c r="J4448" i="1"/>
  <c r="K4448" i="1" s="1"/>
  <c r="J4449" i="1"/>
  <c r="K4449" i="1" s="1"/>
  <c r="J4450" i="1"/>
  <c r="K4450" i="1" s="1"/>
  <c r="J4451" i="1"/>
  <c r="K4451" i="1" s="1"/>
  <c r="J4452" i="1"/>
  <c r="K4452" i="1" s="1"/>
  <c r="J4453" i="1"/>
  <c r="K4453" i="1" s="1"/>
  <c r="J4454" i="1"/>
  <c r="K4454" i="1" s="1"/>
  <c r="J4455" i="1"/>
  <c r="K4455" i="1" s="1"/>
  <c r="J4456" i="1"/>
  <c r="K4456" i="1" s="1"/>
  <c r="J4457" i="1"/>
  <c r="K4457" i="1" s="1"/>
  <c r="J4458" i="1"/>
  <c r="K4458" i="1" s="1"/>
  <c r="J4459" i="1"/>
  <c r="K4459" i="1" s="1"/>
  <c r="J4460" i="1"/>
  <c r="K4460" i="1" s="1"/>
  <c r="J4461" i="1"/>
  <c r="K4461" i="1" s="1"/>
  <c r="J4462" i="1"/>
  <c r="K4462" i="1" s="1"/>
  <c r="J4463" i="1"/>
  <c r="K4463" i="1" s="1"/>
  <c r="J4464" i="1"/>
  <c r="K4464" i="1" s="1"/>
  <c r="J4465" i="1"/>
  <c r="K4465" i="1" s="1"/>
  <c r="J4466" i="1"/>
  <c r="K4466" i="1" s="1"/>
  <c r="J4467" i="1"/>
  <c r="K4467" i="1" s="1"/>
  <c r="J4468" i="1"/>
  <c r="K4468" i="1" s="1"/>
  <c r="J4469" i="1"/>
  <c r="K4469" i="1" s="1"/>
  <c r="J4470" i="1"/>
  <c r="K4470" i="1" s="1"/>
  <c r="J4471" i="1"/>
  <c r="K4471" i="1" s="1"/>
  <c r="J4472" i="1"/>
  <c r="K4472" i="1" s="1"/>
  <c r="J4473" i="1"/>
  <c r="K4473" i="1" s="1"/>
  <c r="J4474" i="1"/>
  <c r="K4474" i="1" s="1"/>
  <c r="J4475" i="1"/>
  <c r="K4475" i="1" s="1"/>
  <c r="J4476" i="1"/>
  <c r="K4476" i="1" s="1"/>
  <c r="J4477" i="1"/>
  <c r="K4477" i="1" s="1"/>
  <c r="J4478" i="1"/>
  <c r="K4478" i="1" s="1"/>
  <c r="J4479" i="1"/>
  <c r="K4479" i="1" s="1"/>
  <c r="J4480" i="1"/>
  <c r="K4480" i="1" s="1"/>
  <c r="J4481" i="1"/>
  <c r="K4481" i="1" s="1"/>
  <c r="J4482" i="1"/>
  <c r="K4482" i="1" s="1"/>
  <c r="J4483" i="1"/>
  <c r="K4483" i="1" s="1"/>
  <c r="J4484" i="1"/>
  <c r="K4484" i="1" s="1"/>
  <c r="J4485" i="1"/>
  <c r="K4485" i="1" s="1"/>
  <c r="J4486" i="1"/>
  <c r="K4486" i="1" s="1"/>
  <c r="J4487" i="1"/>
  <c r="K4487" i="1" s="1"/>
  <c r="J4488" i="1"/>
  <c r="K4488" i="1" s="1"/>
  <c r="J4489" i="1"/>
  <c r="K4489" i="1" s="1"/>
  <c r="J4490" i="1"/>
  <c r="K4490" i="1" s="1"/>
  <c r="J4491" i="1"/>
  <c r="K4491" i="1" s="1"/>
  <c r="J4492" i="1"/>
  <c r="K4492" i="1" s="1"/>
  <c r="J4493" i="1"/>
  <c r="K4493" i="1" s="1"/>
  <c r="J4494" i="1"/>
  <c r="K4494" i="1" s="1"/>
  <c r="J4495" i="1"/>
  <c r="K4495" i="1" s="1"/>
  <c r="J4496" i="1"/>
  <c r="K4496" i="1" s="1"/>
  <c r="J4497" i="1"/>
  <c r="K4497" i="1" s="1"/>
  <c r="J4498" i="1"/>
  <c r="K4498" i="1" s="1"/>
  <c r="J4499" i="1"/>
  <c r="K4499" i="1" s="1"/>
  <c r="J4500" i="1"/>
  <c r="K4500" i="1" s="1"/>
  <c r="J4501" i="1"/>
  <c r="K4501" i="1" s="1"/>
  <c r="J4502" i="1"/>
  <c r="K4502" i="1" s="1"/>
  <c r="J4503" i="1"/>
  <c r="K4503" i="1" s="1"/>
  <c r="J4504" i="1"/>
  <c r="K4504" i="1" s="1"/>
  <c r="J4505" i="1"/>
  <c r="K4505" i="1" s="1"/>
  <c r="J4506" i="1"/>
  <c r="K4506" i="1" s="1"/>
  <c r="J4507" i="1"/>
  <c r="K4507" i="1" s="1"/>
  <c r="J4508" i="1"/>
  <c r="K4508" i="1" s="1"/>
  <c r="J4509" i="1"/>
  <c r="K4509" i="1" s="1"/>
  <c r="J4510" i="1"/>
  <c r="K4510" i="1" s="1"/>
  <c r="J4511" i="1"/>
  <c r="K4511" i="1" s="1"/>
  <c r="J4512" i="1"/>
  <c r="K4512" i="1" s="1"/>
  <c r="J4513" i="1"/>
  <c r="K4513" i="1" s="1"/>
  <c r="J4514" i="1"/>
  <c r="K4514" i="1" s="1"/>
  <c r="J4515" i="1"/>
  <c r="K4515" i="1" s="1"/>
  <c r="J4516" i="1"/>
  <c r="K4516" i="1" s="1"/>
  <c r="J4517" i="1"/>
  <c r="K4517" i="1" s="1"/>
  <c r="J4518" i="1"/>
  <c r="K4518" i="1" s="1"/>
  <c r="J4519" i="1"/>
  <c r="K4519" i="1" s="1"/>
  <c r="J4520" i="1"/>
  <c r="K4520" i="1" s="1"/>
  <c r="J4521" i="1"/>
  <c r="K4521" i="1" s="1"/>
  <c r="J4522" i="1"/>
  <c r="K4522" i="1" s="1"/>
  <c r="J4523" i="1"/>
  <c r="K4523" i="1" s="1"/>
  <c r="J4524" i="1"/>
  <c r="K4524" i="1" s="1"/>
  <c r="J4525" i="1"/>
  <c r="K4525" i="1" s="1"/>
  <c r="J4526" i="1"/>
  <c r="K4526" i="1" s="1"/>
  <c r="J4527" i="1"/>
  <c r="K4527" i="1" s="1"/>
  <c r="J4528" i="1"/>
  <c r="K4528" i="1" s="1"/>
  <c r="J4529" i="1"/>
  <c r="K4529" i="1" s="1"/>
  <c r="J4530" i="1"/>
  <c r="K4530" i="1" s="1"/>
  <c r="J4531" i="1"/>
  <c r="K4531" i="1" s="1"/>
  <c r="J4532" i="1"/>
  <c r="K4532" i="1" s="1"/>
  <c r="J4533" i="1"/>
  <c r="K4533" i="1" s="1"/>
  <c r="J4534" i="1"/>
  <c r="K4534" i="1" s="1"/>
  <c r="J4535" i="1"/>
  <c r="K4535" i="1" s="1"/>
  <c r="J4536" i="1"/>
  <c r="K4536" i="1" s="1"/>
  <c r="J4537" i="1"/>
  <c r="K4537" i="1" s="1"/>
  <c r="J4538" i="1"/>
  <c r="K4538" i="1" s="1"/>
  <c r="J4539" i="1"/>
  <c r="K4539" i="1" s="1"/>
  <c r="J4540" i="1"/>
  <c r="K4540" i="1" s="1"/>
  <c r="J4541" i="1"/>
  <c r="K4541" i="1" s="1"/>
  <c r="J4542" i="1"/>
  <c r="K4542" i="1" s="1"/>
  <c r="J4543" i="1"/>
  <c r="K4543" i="1" s="1"/>
  <c r="J4544" i="1"/>
  <c r="K4544" i="1" s="1"/>
  <c r="J4545" i="1"/>
  <c r="K4545" i="1" s="1"/>
  <c r="J4546" i="1"/>
  <c r="K4546" i="1" s="1"/>
  <c r="J4547" i="1"/>
  <c r="K4547" i="1" s="1"/>
  <c r="J4548" i="1"/>
  <c r="K4548" i="1" s="1"/>
  <c r="J4549" i="1"/>
  <c r="K4549" i="1" s="1"/>
  <c r="J4550" i="1"/>
  <c r="K4550" i="1" s="1"/>
  <c r="J4551" i="1"/>
  <c r="K4551" i="1" s="1"/>
  <c r="J4552" i="1"/>
  <c r="K4552" i="1" s="1"/>
  <c r="J4553" i="1"/>
  <c r="K4553" i="1" s="1"/>
  <c r="J4554" i="1"/>
  <c r="K4554" i="1" s="1"/>
  <c r="J4555" i="1"/>
  <c r="K4555" i="1" s="1"/>
  <c r="J4556" i="1"/>
  <c r="K4556" i="1" s="1"/>
  <c r="J4557" i="1"/>
  <c r="K4557" i="1" s="1"/>
  <c r="J4558" i="1"/>
  <c r="K4558" i="1" s="1"/>
  <c r="J4559" i="1"/>
  <c r="K4559" i="1" s="1"/>
  <c r="J4560" i="1"/>
  <c r="K4560" i="1" s="1"/>
  <c r="J4561" i="1"/>
  <c r="K4561" i="1" s="1"/>
  <c r="J4562" i="1"/>
  <c r="K4562" i="1" s="1"/>
  <c r="J4563" i="1"/>
  <c r="K4563" i="1" s="1"/>
  <c r="J4564" i="1"/>
  <c r="K4564" i="1" s="1"/>
  <c r="J4565" i="1"/>
  <c r="K4565" i="1" s="1"/>
  <c r="J4566" i="1"/>
  <c r="K4566" i="1" s="1"/>
  <c r="J4567" i="1"/>
  <c r="K4567" i="1" s="1"/>
  <c r="J4568" i="1"/>
  <c r="K4568" i="1" s="1"/>
  <c r="J4569" i="1"/>
  <c r="K4569" i="1" s="1"/>
  <c r="J4570" i="1"/>
  <c r="K4570" i="1" s="1"/>
  <c r="J4571" i="1"/>
  <c r="K4571" i="1" s="1"/>
  <c r="J4572" i="1"/>
  <c r="K4572" i="1" s="1"/>
  <c r="J4573" i="1"/>
  <c r="K4573" i="1" s="1"/>
  <c r="J4574" i="1"/>
  <c r="K4574" i="1" s="1"/>
  <c r="J4575" i="1"/>
  <c r="K4575" i="1" s="1"/>
  <c r="J4576" i="1"/>
  <c r="K4576" i="1" s="1"/>
  <c r="J4577" i="1"/>
  <c r="K4577" i="1" s="1"/>
  <c r="J4578" i="1"/>
  <c r="K4578" i="1" s="1"/>
  <c r="J4579" i="1"/>
  <c r="K4579" i="1" s="1"/>
  <c r="J4580" i="1"/>
  <c r="K4580" i="1" s="1"/>
  <c r="J4581" i="1"/>
  <c r="K4581" i="1" s="1"/>
  <c r="J4582" i="1"/>
  <c r="K4582" i="1" s="1"/>
  <c r="J4583" i="1"/>
  <c r="K4583" i="1" s="1"/>
  <c r="J4584" i="1"/>
  <c r="K4584" i="1" s="1"/>
  <c r="J4585" i="1"/>
  <c r="K4585" i="1" s="1"/>
  <c r="J4586" i="1"/>
  <c r="K4586" i="1" s="1"/>
  <c r="J4587" i="1"/>
  <c r="K4587" i="1" s="1"/>
  <c r="J4588" i="1"/>
  <c r="K4588" i="1" s="1"/>
  <c r="J4589" i="1"/>
  <c r="K4589" i="1" s="1"/>
  <c r="J4590" i="1"/>
  <c r="K4590" i="1" s="1"/>
  <c r="J4591" i="1"/>
  <c r="K4591" i="1" s="1"/>
  <c r="J4592" i="1"/>
  <c r="K4592" i="1" s="1"/>
  <c r="J4593" i="1"/>
  <c r="K4593" i="1" s="1"/>
  <c r="J4594" i="1"/>
  <c r="K4594" i="1" s="1"/>
  <c r="J4595" i="1"/>
  <c r="K4595" i="1" s="1"/>
  <c r="J4596" i="1"/>
  <c r="K4596" i="1" s="1"/>
  <c r="J4597" i="1"/>
  <c r="K4597" i="1" s="1"/>
  <c r="J4598" i="1"/>
  <c r="K4598" i="1" s="1"/>
  <c r="J4599" i="1"/>
  <c r="K4599" i="1" s="1"/>
  <c r="J4600" i="1"/>
  <c r="K4600" i="1" s="1"/>
  <c r="J4601" i="1"/>
  <c r="K4601" i="1" s="1"/>
  <c r="J4602" i="1"/>
  <c r="K4602" i="1" s="1"/>
  <c r="J4603" i="1"/>
  <c r="K4603" i="1" s="1"/>
  <c r="J4604" i="1"/>
  <c r="K4604" i="1" s="1"/>
  <c r="J4605" i="1"/>
  <c r="K4605" i="1" s="1"/>
  <c r="J4606" i="1"/>
  <c r="K4606" i="1" s="1"/>
  <c r="J4607" i="1"/>
  <c r="K4607" i="1" s="1"/>
  <c r="J4608" i="1"/>
  <c r="K4608" i="1" s="1"/>
  <c r="J4609" i="1"/>
  <c r="K4609" i="1" s="1"/>
  <c r="J4610" i="1"/>
  <c r="K4610" i="1" s="1"/>
  <c r="J4611" i="1"/>
  <c r="K4611" i="1" s="1"/>
  <c r="J4612" i="1"/>
  <c r="K4612" i="1" s="1"/>
  <c r="J4613" i="1"/>
  <c r="K4613" i="1" s="1"/>
  <c r="J4614" i="1"/>
  <c r="K4614" i="1" s="1"/>
  <c r="J4615" i="1"/>
  <c r="K4615" i="1" s="1"/>
  <c r="J4616" i="1"/>
  <c r="K4616" i="1" s="1"/>
  <c r="J4617" i="1"/>
  <c r="K4617" i="1" s="1"/>
  <c r="J4618" i="1"/>
  <c r="K4618" i="1" s="1"/>
  <c r="J4619" i="1"/>
  <c r="K4619" i="1" s="1"/>
  <c r="J4620" i="1"/>
  <c r="K4620" i="1" s="1"/>
  <c r="J4621" i="1"/>
  <c r="K4621" i="1" s="1"/>
  <c r="J4622" i="1"/>
  <c r="K4622" i="1" s="1"/>
  <c r="J4623" i="1"/>
  <c r="K4623" i="1" s="1"/>
  <c r="J4624" i="1"/>
  <c r="K4624" i="1" s="1"/>
  <c r="J4625" i="1"/>
  <c r="K4625" i="1" s="1"/>
  <c r="J4626" i="1"/>
  <c r="K4626" i="1" s="1"/>
  <c r="J4627" i="1"/>
  <c r="K4627" i="1" s="1"/>
  <c r="J4628" i="1"/>
  <c r="K4628" i="1" s="1"/>
  <c r="J4629" i="1"/>
  <c r="K4629" i="1" s="1"/>
  <c r="J4630" i="1"/>
  <c r="K4630" i="1" s="1"/>
  <c r="J4631" i="1"/>
  <c r="K4631" i="1" s="1"/>
  <c r="J4632" i="1"/>
  <c r="K4632" i="1" s="1"/>
  <c r="J4633" i="1"/>
  <c r="K4633" i="1" s="1"/>
  <c r="J4634" i="1"/>
  <c r="K4634" i="1" s="1"/>
  <c r="J4635" i="1"/>
  <c r="K4635" i="1" s="1"/>
  <c r="J4636" i="1"/>
  <c r="K4636" i="1" s="1"/>
  <c r="J4637" i="1"/>
  <c r="K4637" i="1" s="1"/>
  <c r="J4638" i="1"/>
  <c r="K4638" i="1" s="1"/>
  <c r="J4639" i="1"/>
  <c r="K4639" i="1" s="1"/>
  <c r="J4640" i="1"/>
  <c r="K4640" i="1" s="1"/>
  <c r="J4641" i="1"/>
  <c r="K4641" i="1" s="1"/>
  <c r="J4642" i="1"/>
  <c r="K4642" i="1" s="1"/>
  <c r="J4643" i="1"/>
  <c r="K4643" i="1" s="1"/>
  <c r="J4644" i="1"/>
  <c r="K4644" i="1" s="1"/>
  <c r="J4645" i="1"/>
  <c r="K4645" i="1" s="1"/>
  <c r="J4646" i="1"/>
  <c r="K4646" i="1" s="1"/>
  <c r="J4647" i="1"/>
  <c r="K4647" i="1" s="1"/>
  <c r="J4648" i="1"/>
  <c r="K4648" i="1" s="1"/>
  <c r="J4649" i="1"/>
  <c r="K4649" i="1" s="1"/>
  <c r="J4650" i="1"/>
  <c r="K4650" i="1" s="1"/>
  <c r="J4651" i="1"/>
  <c r="K4651" i="1" s="1"/>
  <c r="J4652" i="1"/>
  <c r="K4652" i="1" s="1"/>
  <c r="J4653" i="1"/>
  <c r="K4653" i="1" s="1"/>
  <c r="J4654" i="1"/>
  <c r="K4654" i="1" s="1"/>
  <c r="J4655" i="1"/>
  <c r="K4655" i="1" s="1"/>
  <c r="J4656" i="1"/>
  <c r="K4656" i="1" s="1"/>
  <c r="J4657" i="1"/>
  <c r="K4657" i="1" s="1"/>
  <c r="J4658" i="1"/>
  <c r="K4658" i="1" s="1"/>
  <c r="J4659" i="1"/>
  <c r="K4659" i="1" s="1"/>
  <c r="J4660" i="1"/>
  <c r="K4660" i="1" s="1"/>
  <c r="J4661" i="1"/>
  <c r="K4661" i="1" s="1"/>
  <c r="J4662" i="1"/>
  <c r="K4662" i="1" s="1"/>
  <c r="J4663" i="1"/>
  <c r="K4663" i="1" s="1"/>
  <c r="J4664" i="1"/>
  <c r="K4664" i="1" s="1"/>
  <c r="J4665" i="1"/>
  <c r="K4665" i="1" s="1"/>
  <c r="J4666" i="1"/>
  <c r="K4666" i="1" s="1"/>
  <c r="J4667" i="1"/>
  <c r="K4667" i="1" s="1"/>
  <c r="J4668" i="1"/>
  <c r="K4668" i="1" s="1"/>
  <c r="J4669" i="1"/>
  <c r="K4669" i="1" s="1"/>
  <c r="J4670" i="1"/>
  <c r="K4670" i="1" s="1"/>
  <c r="J4671" i="1"/>
  <c r="K4671" i="1" s="1"/>
  <c r="J4672" i="1"/>
  <c r="K4672" i="1" s="1"/>
  <c r="J4673" i="1"/>
  <c r="K4673" i="1" s="1"/>
  <c r="J4674" i="1"/>
  <c r="K4674" i="1" s="1"/>
  <c r="J4675" i="1"/>
  <c r="K4675" i="1" s="1"/>
  <c r="J4676" i="1"/>
  <c r="K4676" i="1" s="1"/>
  <c r="J4677" i="1"/>
  <c r="K4677" i="1" s="1"/>
  <c r="J4678" i="1"/>
  <c r="K4678" i="1" s="1"/>
  <c r="J4679" i="1"/>
  <c r="K4679" i="1" s="1"/>
  <c r="J4680" i="1"/>
  <c r="K4680" i="1" s="1"/>
  <c r="J4681" i="1"/>
  <c r="K4681" i="1" s="1"/>
  <c r="J4682" i="1"/>
  <c r="K4682" i="1" s="1"/>
  <c r="J4683" i="1"/>
  <c r="K4683" i="1" s="1"/>
  <c r="J4684" i="1"/>
  <c r="K4684" i="1" s="1"/>
  <c r="J4685" i="1"/>
  <c r="K4685" i="1" s="1"/>
  <c r="J4686" i="1"/>
  <c r="K4686" i="1" s="1"/>
  <c r="J4687" i="1"/>
  <c r="K4687" i="1" s="1"/>
  <c r="J4688" i="1"/>
  <c r="K4688" i="1" s="1"/>
  <c r="J4689" i="1"/>
  <c r="K4689" i="1" s="1"/>
  <c r="J4690" i="1"/>
  <c r="K4690" i="1" s="1"/>
  <c r="J4691" i="1"/>
  <c r="K4691" i="1" s="1"/>
  <c r="J4692" i="1"/>
  <c r="K4692" i="1" s="1"/>
  <c r="J4693" i="1"/>
  <c r="K4693" i="1" s="1"/>
  <c r="J4694" i="1"/>
  <c r="K4694" i="1" s="1"/>
  <c r="J4695" i="1"/>
  <c r="K4695" i="1" s="1"/>
  <c r="J4696" i="1"/>
  <c r="K4696" i="1" s="1"/>
  <c r="J4697" i="1"/>
  <c r="K4697" i="1" s="1"/>
  <c r="J4698" i="1"/>
  <c r="K4698" i="1" s="1"/>
  <c r="J4699" i="1"/>
  <c r="K4699" i="1" s="1"/>
  <c r="J4700" i="1"/>
  <c r="K4700" i="1" s="1"/>
  <c r="J4701" i="1"/>
  <c r="K4701" i="1" s="1"/>
  <c r="J4702" i="1"/>
  <c r="K4702" i="1" s="1"/>
  <c r="J4703" i="1"/>
  <c r="K4703" i="1" s="1"/>
  <c r="J4704" i="1"/>
  <c r="K4704" i="1" s="1"/>
  <c r="J4705" i="1"/>
  <c r="K4705" i="1" s="1"/>
  <c r="J4706" i="1"/>
  <c r="K4706" i="1" s="1"/>
  <c r="J4707" i="1"/>
  <c r="K4707" i="1" s="1"/>
  <c r="J4708" i="1"/>
  <c r="K4708" i="1" s="1"/>
  <c r="J4709" i="1"/>
  <c r="K4709" i="1" s="1"/>
  <c r="J4710" i="1"/>
  <c r="K4710" i="1" s="1"/>
  <c r="J4711" i="1"/>
  <c r="K4711" i="1" s="1"/>
  <c r="J4712" i="1"/>
  <c r="K4712" i="1" s="1"/>
  <c r="J4713" i="1"/>
  <c r="K4713" i="1" s="1"/>
  <c r="J4714" i="1"/>
  <c r="K4714" i="1" s="1"/>
  <c r="J4715" i="1"/>
  <c r="K4715" i="1" s="1"/>
  <c r="J4716" i="1"/>
  <c r="K4716" i="1" s="1"/>
  <c r="J4717" i="1"/>
  <c r="K4717" i="1" s="1"/>
  <c r="J4718" i="1"/>
  <c r="K4718" i="1" s="1"/>
  <c r="J4719" i="1"/>
  <c r="K4719" i="1" s="1"/>
  <c r="J4720" i="1"/>
  <c r="K4720" i="1" s="1"/>
  <c r="J4721" i="1"/>
  <c r="K4721" i="1" s="1"/>
  <c r="J4722" i="1"/>
  <c r="K4722" i="1" s="1"/>
  <c r="J4723" i="1"/>
  <c r="K4723" i="1" s="1"/>
  <c r="J4724" i="1"/>
  <c r="K4724" i="1" s="1"/>
  <c r="J4725" i="1"/>
  <c r="K4725" i="1" s="1"/>
  <c r="J4726" i="1"/>
  <c r="K4726" i="1" s="1"/>
  <c r="J4727" i="1"/>
  <c r="K4727" i="1" s="1"/>
  <c r="J4728" i="1"/>
  <c r="K4728" i="1" s="1"/>
  <c r="J4729" i="1"/>
  <c r="K4729" i="1" s="1"/>
  <c r="J4730" i="1"/>
  <c r="K4730" i="1" s="1"/>
  <c r="J4731" i="1"/>
  <c r="K4731" i="1" s="1"/>
  <c r="J4732" i="1"/>
  <c r="K4732" i="1" s="1"/>
  <c r="J4733" i="1"/>
  <c r="K4733" i="1" s="1"/>
  <c r="J4734" i="1"/>
  <c r="K4734" i="1" s="1"/>
  <c r="J4735" i="1"/>
  <c r="K4735" i="1" s="1"/>
  <c r="J4736" i="1"/>
  <c r="K4736" i="1" s="1"/>
  <c r="J4737" i="1"/>
  <c r="K4737" i="1" s="1"/>
  <c r="J4738" i="1"/>
  <c r="K4738" i="1" s="1"/>
  <c r="J4739" i="1"/>
  <c r="K4739" i="1" s="1"/>
  <c r="J4740" i="1"/>
  <c r="K4740" i="1" s="1"/>
  <c r="J4741" i="1"/>
  <c r="K4741" i="1" s="1"/>
  <c r="J4742" i="1"/>
  <c r="K4742" i="1" s="1"/>
  <c r="J4743" i="1"/>
  <c r="K4743" i="1" s="1"/>
  <c r="J4744" i="1"/>
  <c r="K4744" i="1" s="1"/>
  <c r="J4745" i="1"/>
  <c r="K4745" i="1" s="1"/>
  <c r="J4746" i="1"/>
  <c r="K4746" i="1" s="1"/>
  <c r="J4747" i="1"/>
  <c r="K4747" i="1" s="1"/>
  <c r="J4748" i="1"/>
  <c r="K4748" i="1" s="1"/>
  <c r="J4749" i="1"/>
  <c r="K4749" i="1" s="1"/>
  <c r="J4750" i="1"/>
  <c r="K4750" i="1" s="1"/>
  <c r="J4751" i="1"/>
  <c r="K4751" i="1" s="1"/>
  <c r="J4752" i="1"/>
  <c r="K4752" i="1" s="1"/>
  <c r="J4753" i="1"/>
  <c r="K4753" i="1" s="1"/>
  <c r="J4754" i="1"/>
  <c r="K4754" i="1" s="1"/>
  <c r="J4755" i="1"/>
  <c r="K4755" i="1" s="1"/>
  <c r="J4756" i="1"/>
  <c r="K4756" i="1" s="1"/>
  <c r="J4757" i="1"/>
  <c r="K4757" i="1" s="1"/>
  <c r="J4758" i="1"/>
  <c r="K4758" i="1" s="1"/>
  <c r="J4759" i="1"/>
  <c r="K4759" i="1" s="1"/>
  <c r="J4760" i="1"/>
  <c r="K4760" i="1" s="1"/>
  <c r="J4761" i="1"/>
  <c r="K4761" i="1" s="1"/>
  <c r="J4762" i="1"/>
  <c r="K4762" i="1" s="1"/>
  <c r="J4763" i="1"/>
  <c r="K4763" i="1" s="1"/>
  <c r="J4764" i="1"/>
  <c r="K4764" i="1" s="1"/>
  <c r="J4765" i="1"/>
  <c r="K4765" i="1" s="1"/>
  <c r="J4766" i="1"/>
  <c r="K4766" i="1" s="1"/>
  <c r="J4767" i="1"/>
  <c r="K4767" i="1" s="1"/>
  <c r="J4768" i="1"/>
  <c r="K4768" i="1" s="1"/>
  <c r="J4769" i="1"/>
  <c r="K4769" i="1" s="1"/>
  <c r="J4770" i="1"/>
  <c r="K4770" i="1" s="1"/>
  <c r="J4771" i="1"/>
  <c r="K4771" i="1" s="1"/>
  <c r="J4772" i="1"/>
  <c r="K4772" i="1" s="1"/>
  <c r="J4773" i="1"/>
  <c r="K4773" i="1" s="1"/>
  <c r="J4774" i="1"/>
  <c r="K4774" i="1" s="1"/>
  <c r="J4775" i="1"/>
  <c r="K4775" i="1" s="1"/>
  <c r="J4776" i="1"/>
  <c r="K4776" i="1" s="1"/>
  <c r="J4777" i="1"/>
  <c r="K4777" i="1" s="1"/>
  <c r="J4778" i="1"/>
  <c r="K4778" i="1" s="1"/>
  <c r="J4779" i="1"/>
  <c r="K4779" i="1" s="1"/>
  <c r="J4780" i="1"/>
  <c r="K4780" i="1" s="1"/>
  <c r="J4781" i="1"/>
  <c r="K4781" i="1" s="1"/>
  <c r="J4782" i="1"/>
  <c r="K4782" i="1" s="1"/>
  <c r="J4783" i="1"/>
  <c r="K4783" i="1" s="1"/>
  <c r="J4784" i="1"/>
  <c r="K4784" i="1" s="1"/>
  <c r="J4785" i="1"/>
  <c r="K4785" i="1" s="1"/>
  <c r="J4786" i="1"/>
  <c r="K4786" i="1" s="1"/>
  <c r="J4787" i="1"/>
  <c r="K4787" i="1" s="1"/>
  <c r="J4788" i="1"/>
  <c r="K4788" i="1" s="1"/>
  <c r="J4789" i="1"/>
  <c r="K4789" i="1" s="1"/>
  <c r="J4790" i="1"/>
  <c r="K4790" i="1" s="1"/>
  <c r="J4791" i="1"/>
  <c r="K4791" i="1" s="1"/>
  <c r="J4792" i="1"/>
  <c r="K4792" i="1" s="1"/>
  <c r="J4793" i="1"/>
  <c r="K4793" i="1" s="1"/>
  <c r="J4794" i="1"/>
  <c r="K4794" i="1" s="1"/>
  <c r="J4795" i="1"/>
  <c r="K4795" i="1" s="1"/>
  <c r="J4796" i="1"/>
  <c r="K4796" i="1" s="1"/>
  <c r="J4797" i="1"/>
  <c r="K4797" i="1" s="1"/>
  <c r="J4798" i="1"/>
  <c r="K4798" i="1" s="1"/>
  <c r="J4799" i="1"/>
  <c r="K4799" i="1" s="1"/>
  <c r="J4800" i="1"/>
  <c r="K4800" i="1" s="1"/>
  <c r="J4801" i="1"/>
  <c r="K4801" i="1" s="1"/>
  <c r="J4802" i="1"/>
  <c r="K4802" i="1" s="1"/>
  <c r="J4803" i="1"/>
  <c r="K4803" i="1" s="1"/>
  <c r="J4804" i="1"/>
  <c r="K4804" i="1" s="1"/>
  <c r="J4805" i="1"/>
  <c r="K4805" i="1" s="1"/>
  <c r="J4806" i="1"/>
  <c r="K4806" i="1" s="1"/>
  <c r="J4807" i="1"/>
  <c r="K4807" i="1" s="1"/>
  <c r="J4808" i="1"/>
  <c r="K4808" i="1" s="1"/>
  <c r="J4809" i="1"/>
  <c r="K4809" i="1" s="1"/>
  <c r="J4810" i="1"/>
  <c r="K4810" i="1" s="1"/>
  <c r="J4811" i="1"/>
  <c r="K4811" i="1" s="1"/>
  <c r="J4812" i="1"/>
  <c r="K4812" i="1" s="1"/>
  <c r="J4813" i="1"/>
  <c r="K4813" i="1" s="1"/>
  <c r="J4814" i="1"/>
  <c r="K4814" i="1" s="1"/>
  <c r="J4815" i="1"/>
  <c r="K4815" i="1" s="1"/>
  <c r="J4816" i="1"/>
  <c r="K4816" i="1" s="1"/>
  <c r="J4817" i="1"/>
  <c r="K4817" i="1" s="1"/>
  <c r="J4818" i="1"/>
  <c r="K4818" i="1" s="1"/>
  <c r="J4819" i="1"/>
  <c r="K4819" i="1" s="1"/>
  <c r="J4820" i="1"/>
  <c r="K4820" i="1" s="1"/>
  <c r="J4821" i="1"/>
  <c r="K4821" i="1" s="1"/>
  <c r="J4822" i="1"/>
  <c r="K4822" i="1" s="1"/>
  <c r="J4823" i="1"/>
  <c r="K4823" i="1" s="1"/>
  <c r="J4824" i="1"/>
  <c r="K4824" i="1" s="1"/>
  <c r="J4825" i="1"/>
  <c r="K4825" i="1" s="1"/>
  <c r="J4826" i="1"/>
  <c r="K4826" i="1" s="1"/>
  <c r="J4827" i="1"/>
  <c r="K4827" i="1" s="1"/>
  <c r="J4828" i="1"/>
  <c r="K4828" i="1" s="1"/>
  <c r="J4829" i="1"/>
  <c r="K4829" i="1" s="1"/>
  <c r="J4830" i="1"/>
  <c r="K4830" i="1" s="1"/>
  <c r="J4831" i="1"/>
  <c r="K4831" i="1" s="1"/>
  <c r="J4832" i="1"/>
  <c r="K4832" i="1" s="1"/>
  <c r="J4833" i="1"/>
  <c r="K4833" i="1" s="1"/>
  <c r="J4834" i="1"/>
  <c r="K4834" i="1" s="1"/>
  <c r="J4835" i="1"/>
  <c r="K4835" i="1" s="1"/>
  <c r="J4836" i="1"/>
  <c r="K4836" i="1" s="1"/>
  <c r="J4837" i="1"/>
  <c r="K4837" i="1" s="1"/>
  <c r="J4838" i="1"/>
  <c r="K4838" i="1" s="1"/>
  <c r="J4839" i="1"/>
  <c r="K4839" i="1" s="1"/>
  <c r="J4840" i="1"/>
  <c r="K4840" i="1" s="1"/>
  <c r="J4841" i="1"/>
  <c r="K4841" i="1" s="1"/>
  <c r="J4842" i="1"/>
  <c r="K4842" i="1" s="1"/>
  <c r="J4843" i="1"/>
  <c r="K4843" i="1" s="1"/>
  <c r="J4844" i="1"/>
  <c r="K4844" i="1" s="1"/>
  <c r="J4845" i="1"/>
  <c r="K4845" i="1" s="1"/>
  <c r="J4846" i="1"/>
  <c r="K4846" i="1" s="1"/>
  <c r="J4847" i="1"/>
  <c r="K4847" i="1" s="1"/>
  <c r="J4848" i="1"/>
  <c r="K4848" i="1" s="1"/>
  <c r="J4849" i="1"/>
  <c r="K4849" i="1" s="1"/>
  <c r="J4850" i="1"/>
  <c r="K4850" i="1" s="1"/>
  <c r="J4851" i="1"/>
  <c r="K4851" i="1" s="1"/>
  <c r="J4852" i="1"/>
  <c r="K4852" i="1" s="1"/>
  <c r="J4853" i="1"/>
  <c r="K4853" i="1" s="1"/>
  <c r="J4854" i="1"/>
  <c r="K4854" i="1" s="1"/>
  <c r="J4855" i="1"/>
  <c r="K4855" i="1" s="1"/>
  <c r="J4856" i="1"/>
  <c r="K4856" i="1" s="1"/>
  <c r="J4857" i="1"/>
  <c r="K4857" i="1" s="1"/>
  <c r="J4858" i="1"/>
  <c r="K4858" i="1" s="1"/>
  <c r="J4859" i="1"/>
  <c r="K4859" i="1" s="1"/>
  <c r="J4860" i="1"/>
  <c r="K4860" i="1" s="1"/>
  <c r="J4861" i="1"/>
  <c r="K4861" i="1" s="1"/>
  <c r="J4862" i="1"/>
  <c r="K4862" i="1" s="1"/>
  <c r="J4863" i="1"/>
  <c r="K4863" i="1" s="1"/>
  <c r="J4864" i="1"/>
  <c r="K4864" i="1" s="1"/>
  <c r="J4865" i="1"/>
  <c r="K4865" i="1" s="1"/>
  <c r="J4866" i="1"/>
  <c r="K4866" i="1" s="1"/>
  <c r="J4867" i="1"/>
  <c r="K4867" i="1" s="1"/>
  <c r="J4868" i="1"/>
  <c r="K4868" i="1" s="1"/>
  <c r="J4869" i="1"/>
  <c r="K4869" i="1" s="1"/>
  <c r="J4870" i="1"/>
  <c r="K4870" i="1" s="1"/>
  <c r="J4871" i="1"/>
  <c r="K4871" i="1" s="1"/>
  <c r="J4872" i="1"/>
  <c r="K4872" i="1" s="1"/>
  <c r="J4873" i="1"/>
  <c r="K4873" i="1" s="1"/>
  <c r="J4874" i="1"/>
  <c r="K4874" i="1" s="1"/>
  <c r="J4875" i="1"/>
  <c r="K4875" i="1" s="1"/>
  <c r="J4876" i="1"/>
  <c r="K4876" i="1" s="1"/>
  <c r="J4877" i="1"/>
  <c r="K4877" i="1" s="1"/>
  <c r="J4878" i="1"/>
  <c r="K4878" i="1" s="1"/>
  <c r="J4879" i="1"/>
  <c r="K4879" i="1" s="1"/>
  <c r="J4880" i="1"/>
  <c r="K4880" i="1" s="1"/>
  <c r="J4881" i="1"/>
  <c r="K4881" i="1" s="1"/>
  <c r="J4882" i="1"/>
  <c r="K4882" i="1" s="1"/>
  <c r="J4883" i="1"/>
  <c r="K4883" i="1" s="1"/>
  <c r="J4884" i="1"/>
  <c r="K4884" i="1" s="1"/>
  <c r="J4885" i="1"/>
  <c r="K4885" i="1" s="1"/>
  <c r="J4886" i="1"/>
  <c r="K4886" i="1" s="1"/>
  <c r="J4887" i="1"/>
  <c r="K4887" i="1" s="1"/>
  <c r="J4888" i="1"/>
  <c r="K4888" i="1" s="1"/>
  <c r="J4889" i="1"/>
  <c r="K4889" i="1" s="1"/>
  <c r="J4890" i="1"/>
  <c r="K4890" i="1" s="1"/>
  <c r="J4891" i="1"/>
  <c r="K4891" i="1" s="1"/>
  <c r="J4892" i="1"/>
  <c r="K4892" i="1" s="1"/>
  <c r="J4893" i="1"/>
  <c r="K4893" i="1" s="1"/>
  <c r="J4894" i="1"/>
  <c r="K4894" i="1" s="1"/>
  <c r="J4895" i="1"/>
  <c r="K4895" i="1" s="1"/>
  <c r="J4896" i="1"/>
  <c r="K4896" i="1" s="1"/>
  <c r="J4897" i="1"/>
  <c r="K4897" i="1" s="1"/>
  <c r="J4898" i="1"/>
  <c r="K4898" i="1" s="1"/>
  <c r="J4899" i="1"/>
  <c r="K4899" i="1" s="1"/>
  <c r="J4900" i="1"/>
  <c r="K4900" i="1" s="1"/>
  <c r="J4901" i="1"/>
  <c r="K4901" i="1" s="1"/>
  <c r="J4902" i="1"/>
  <c r="K4902" i="1" s="1"/>
  <c r="J4903" i="1"/>
  <c r="K4903" i="1" s="1"/>
  <c r="J4904" i="1"/>
  <c r="K4904" i="1" s="1"/>
  <c r="J4905" i="1"/>
  <c r="K4905" i="1" s="1"/>
  <c r="J4906" i="1"/>
  <c r="K4906" i="1" s="1"/>
  <c r="J4907" i="1"/>
  <c r="K4907" i="1" s="1"/>
  <c r="J4908" i="1"/>
  <c r="K4908" i="1" s="1"/>
  <c r="J4909" i="1"/>
  <c r="K4909" i="1" s="1"/>
  <c r="J4910" i="1"/>
  <c r="K4910" i="1" s="1"/>
  <c r="J4911" i="1"/>
  <c r="K4911" i="1" s="1"/>
  <c r="J4912" i="1"/>
  <c r="K4912" i="1" s="1"/>
  <c r="J4913" i="1"/>
  <c r="K4913" i="1" s="1"/>
  <c r="J4914" i="1"/>
  <c r="K4914" i="1" s="1"/>
  <c r="J4915" i="1"/>
  <c r="K4915" i="1" s="1"/>
  <c r="J4916" i="1"/>
  <c r="K4916" i="1" s="1"/>
  <c r="J4917" i="1"/>
  <c r="K4917" i="1" s="1"/>
  <c r="J4918" i="1"/>
  <c r="K4918" i="1" s="1"/>
  <c r="J4919" i="1"/>
  <c r="K4919" i="1" s="1"/>
  <c r="J4920" i="1"/>
  <c r="K4920" i="1" s="1"/>
  <c r="J4921" i="1"/>
  <c r="K4921" i="1" s="1"/>
  <c r="J4922" i="1"/>
  <c r="K4922" i="1" s="1"/>
  <c r="J4923" i="1"/>
  <c r="K4923" i="1" s="1"/>
  <c r="J4924" i="1"/>
  <c r="K4924" i="1" s="1"/>
  <c r="J4925" i="1"/>
  <c r="K4925" i="1" s="1"/>
  <c r="J4926" i="1"/>
  <c r="K4926" i="1" s="1"/>
  <c r="J4927" i="1"/>
  <c r="K4927" i="1" s="1"/>
  <c r="J4928" i="1"/>
  <c r="K4928" i="1" s="1"/>
  <c r="J4929" i="1"/>
  <c r="K4929" i="1" s="1"/>
  <c r="J4930" i="1"/>
  <c r="K4930" i="1" s="1"/>
  <c r="J4931" i="1"/>
  <c r="K4931" i="1" s="1"/>
  <c r="J4932" i="1"/>
  <c r="K4932" i="1" s="1"/>
  <c r="J4933" i="1"/>
  <c r="K4933" i="1" s="1"/>
  <c r="J4934" i="1"/>
  <c r="K4934" i="1" s="1"/>
  <c r="J4935" i="1"/>
  <c r="K4935" i="1" s="1"/>
  <c r="J4936" i="1"/>
  <c r="K4936" i="1" s="1"/>
  <c r="J4937" i="1"/>
  <c r="K4937" i="1" s="1"/>
  <c r="J4938" i="1"/>
  <c r="K4938" i="1" s="1"/>
  <c r="J4939" i="1"/>
  <c r="K4939" i="1" s="1"/>
  <c r="J4940" i="1"/>
  <c r="K4940" i="1" s="1"/>
  <c r="J4941" i="1"/>
  <c r="K4941" i="1" s="1"/>
  <c r="J4942" i="1"/>
  <c r="K4942" i="1" s="1"/>
  <c r="J4943" i="1"/>
  <c r="K4943" i="1" s="1"/>
  <c r="J4944" i="1"/>
  <c r="K4944" i="1" s="1"/>
  <c r="J4945" i="1"/>
  <c r="K4945" i="1" s="1"/>
  <c r="J4946" i="1"/>
  <c r="K4946" i="1" s="1"/>
  <c r="J4947" i="1"/>
  <c r="K4947" i="1" s="1"/>
  <c r="J4948" i="1"/>
  <c r="K4948" i="1" s="1"/>
  <c r="J4949" i="1"/>
  <c r="K4949" i="1" s="1"/>
  <c r="J4950" i="1"/>
  <c r="K4950" i="1" s="1"/>
  <c r="J4951" i="1"/>
  <c r="K4951" i="1" s="1"/>
  <c r="J4952" i="1"/>
  <c r="K4952" i="1" s="1"/>
  <c r="J4953" i="1"/>
  <c r="K4953" i="1" s="1"/>
  <c r="J4954" i="1"/>
  <c r="K4954" i="1" s="1"/>
  <c r="J4955" i="1"/>
  <c r="K4955" i="1" s="1"/>
  <c r="J4956" i="1"/>
  <c r="K4956" i="1" s="1"/>
  <c r="J4957" i="1"/>
  <c r="K4957" i="1" s="1"/>
  <c r="J4958" i="1"/>
  <c r="K4958" i="1" s="1"/>
  <c r="J4959" i="1"/>
  <c r="K4959" i="1" s="1"/>
  <c r="J4960" i="1"/>
  <c r="K4960" i="1" s="1"/>
  <c r="J4961" i="1"/>
  <c r="K4961" i="1" s="1"/>
  <c r="J4962" i="1"/>
  <c r="K4962" i="1" s="1"/>
  <c r="J4963" i="1"/>
  <c r="K4963" i="1" s="1"/>
  <c r="J4964" i="1"/>
  <c r="K4964" i="1" s="1"/>
  <c r="J4965" i="1"/>
  <c r="K4965" i="1" s="1"/>
  <c r="J4966" i="1"/>
  <c r="K4966" i="1" s="1"/>
  <c r="J4967" i="1"/>
  <c r="K4967" i="1" s="1"/>
  <c r="J4968" i="1"/>
  <c r="K4968" i="1" s="1"/>
  <c r="J4969" i="1"/>
  <c r="K4969" i="1" s="1"/>
  <c r="J4970" i="1"/>
  <c r="K4970" i="1" s="1"/>
  <c r="J4971" i="1"/>
  <c r="K4971" i="1" s="1"/>
  <c r="J4972" i="1"/>
  <c r="K4972" i="1" s="1"/>
  <c r="J4973" i="1"/>
  <c r="K4973" i="1" s="1"/>
  <c r="J4974" i="1"/>
  <c r="K4974" i="1" s="1"/>
  <c r="J4975" i="1"/>
  <c r="K4975" i="1" s="1"/>
  <c r="J4976" i="1"/>
  <c r="K4976" i="1" s="1"/>
  <c r="J4977" i="1"/>
  <c r="K4977" i="1" s="1"/>
  <c r="J4978" i="1"/>
  <c r="K4978" i="1" s="1"/>
  <c r="J4979" i="1"/>
  <c r="K4979" i="1" s="1"/>
  <c r="J4980" i="1"/>
  <c r="K4980" i="1" s="1"/>
  <c r="J4981" i="1"/>
  <c r="K4981" i="1" s="1"/>
  <c r="J4982" i="1"/>
  <c r="K4982" i="1" s="1"/>
  <c r="J4983" i="1"/>
  <c r="K4983" i="1" s="1"/>
  <c r="J4984" i="1"/>
  <c r="K4984" i="1" s="1"/>
  <c r="J4985" i="1"/>
  <c r="K4985" i="1" s="1"/>
  <c r="J4986" i="1"/>
  <c r="K4986" i="1" s="1"/>
  <c r="J4987" i="1"/>
  <c r="K4987" i="1" s="1"/>
  <c r="J4988" i="1"/>
  <c r="K4988" i="1" s="1"/>
  <c r="J4989" i="1"/>
  <c r="K4989" i="1" s="1"/>
  <c r="J4990" i="1"/>
  <c r="K4990" i="1" s="1"/>
  <c r="J4991" i="1"/>
  <c r="K4991" i="1" s="1"/>
  <c r="J4992" i="1"/>
  <c r="K4992" i="1" s="1"/>
  <c r="J4993" i="1"/>
  <c r="K4993" i="1" s="1"/>
  <c r="J4994" i="1"/>
  <c r="K4994" i="1" s="1"/>
  <c r="J4995" i="1"/>
  <c r="K4995" i="1" s="1"/>
  <c r="J4996" i="1"/>
  <c r="K4996" i="1" s="1"/>
  <c r="J4997" i="1"/>
  <c r="K4997" i="1" s="1"/>
  <c r="J4998" i="1"/>
  <c r="K4998" i="1" s="1"/>
  <c r="J4999" i="1"/>
  <c r="K4999" i="1" s="1"/>
  <c r="J5000" i="1"/>
  <c r="K5000" i="1" s="1"/>
  <c r="J5001" i="1"/>
  <c r="K5001" i="1" s="1"/>
  <c r="J5002" i="1"/>
  <c r="K5002" i="1" s="1"/>
  <c r="J5003" i="1"/>
  <c r="K5003" i="1" s="1"/>
  <c r="J5004" i="1"/>
  <c r="K5004" i="1" s="1"/>
  <c r="J5005" i="1"/>
  <c r="K5005" i="1" s="1"/>
  <c r="J5006" i="1"/>
  <c r="K5006" i="1" s="1"/>
  <c r="J5007" i="1"/>
  <c r="K5007" i="1" s="1"/>
  <c r="J5008" i="1"/>
  <c r="K5008" i="1" s="1"/>
  <c r="J5009" i="1"/>
  <c r="K5009" i="1" s="1"/>
  <c r="J5010" i="1"/>
  <c r="K5010" i="1" s="1"/>
  <c r="J5011" i="1"/>
  <c r="K5011" i="1" s="1"/>
  <c r="J5012" i="1"/>
  <c r="K5012" i="1" s="1"/>
  <c r="J5013" i="1"/>
  <c r="K5013" i="1" s="1"/>
  <c r="J5014" i="1"/>
  <c r="K5014" i="1" s="1"/>
  <c r="J5015" i="1"/>
  <c r="K5015" i="1" s="1"/>
  <c r="J5016" i="1"/>
  <c r="K5016" i="1" s="1"/>
  <c r="J5017" i="1"/>
  <c r="K5017" i="1" s="1"/>
  <c r="J5018" i="1"/>
  <c r="K5018" i="1" s="1"/>
  <c r="J5019" i="1"/>
  <c r="K5019" i="1" s="1"/>
  <c r="J5020" i="1"/>
  <c r="K5020" i="1" s="1"/>
  <c r="J5021" i="1"/>
  <c r="K5021" i="1" s="1"/>
  <c r="J5022" i="1"/>
  <c r="K5022" i="1" s="1"/>
  <c r="J5023" i="1"/>
  <c r="K5023" i="1" s="1"/>
  <c r="J5024" i="1"/>
  <c r="K5024" i="1" s="1"/>
  <c r="J5025" i="1"/>
  <c r="K5025" i="1" s="1"/>
  <c r="J5026" i="1"/>
  <c r="K5026" i="1" s="1"/>
  <c r="J5027" i="1"/>
  <c r="K5027" i="1" s="1"/>
  <c r="J5028" i="1"/>
  <c r="K5028" i="1" s="1"/>
  <c r="J5029" i="1"/>
  <c r="K5029" i="1" s="1"/>
  <c r="J5030" i="1"/>
  <c r="K5030" i="1" s="1"/>
  <c r="J5031" i="1"/>
  <c r="K5031" i="1" s="1"/>
  <c r="J5032" i="1"/>
  <c r="K5032" i="1" s="1"/>
  <c r="J5033" i="1"/>
  <c r="K5033" i="1" s="1"/>
  <c r="J5034" i="1"/>
  <c r="K5034" i="1" s="1"/>
  <c r="J5035" i="1"/>
  <c r="K5035" i="1" s="1"/>
  <c r="J5036" i="1"/>
  <c r="K5036" i="1" s="1"/>
  <c r="J5037" i="1"/>
  <c r="K5037" i="1" s="1"/>
  <c r="J5038" i="1"/>
  <c r="K5038" i="1" s="1"/>
  <c r="J5039" i="1"/>
  <c r="K5039" i="1" s="1"/>
  <c r="J5040" i="1"/>
  <c r="K5040" i="1" s="1"/>
  <c r="J5041" i="1"/>
  <c r="K5041" i="1" s="1"/>
  <c r="J5042" i="1"/>
  <c r="K5042" i="1" s="1"/>
  <c r="J5043" i="1"/>
  <c r="K5043" i="1" s="1"/>
  <c r="J5044" i="1"/>
  <c r="K5044" i="1" s="1"/>
  <c r="J5045" i="1"/>
  <c r="K5045" i="1" s="1"/>
  <c r="J5046" i="1"/>
  <c r="K5046" i="1" s="1"/>
  <c r="J5047" i="1"/>
  <c r="K5047" i="1" s="1"/>
  <c r="J5048" i="1"/>
  <c r="K5048" i="1" s="1"/>
  <c r="J5049" i="1"/>
  <c r="K5049" i="1" s="1"/>
  <c r="J5050" i="1"/>
  <c r="K5050" i="1" s="1"/>
  <c r="J5051" i="1"/>
  <c r="K5051" i="1" s="1"/>
  <c r="J5052" i="1"/>
  <c r="K5052" i="1" s="1"/>
  <c r="J5053" i="1"/>
  <c r="K5053" i="1" s="1"/>
  <c r="J5054" i="1"/>
  <c r="K5054" i="1" s="1"/>
  <c r="J5055" i="1"/>
  <c r="K5055" i="1" s="1"/>
  <c r="J5056" i="1"/>
  <c r="K5056" i="1" s="1"/>
  <c r="J5057" i="1"/>
  <c r="K5057" i="1" s="1"/>
  <c r="J5058" i="1"/>
  <c r="K5058" i="1" s="1"/>
  <c r="J5059" i="1"/>
  <c r="K5059" i="1" s="1"/>
  <c r="J5060" i="1"/>
  <c r="K5060" i="1" s="1"/>
  <c r="J5061" i="1"/>
  <c r="K5061" i="1" s="1"/>
  <c r="J5062" i="1"/>
  <c r="K5062" i="1" s="1"/>
  <c r="J5063" i="1"/>
  <c r="K5063" i="1" s="1"/>
  <c r="J5064" i="1"/>
  <c r="K5064" i="1" s="1"/>
  <c r="J5065" i="1"/>
  <c r="K5065" i="1" s="1"/>
  <c r="J5066" i="1"/>
  <c r="K5066" i="1" s="1"/>
  <c r="J5067" i="1"/>
  <c r="K5067" i="1" s="1"/>
  <c r="J5068" i="1"/>
  <c r="K5068" i="1" s="1"/>
  <c r="J5069" i="1"/>
  <c r="K5069" i="1" s="1"/>
  <c r="J5070" i="1"/>
  <c r="K5070" i="1" s="1"/>
  <c r="J5071" i="1"/>
  <c r="K5071" i="1" s="1"/>
  <c r="J5072" i="1"/>
  <c r="K5072" i="1" s="1"/>
  <c r="J5073" i="1"/>
  <c r="K5073" i="1" s="1"/>
  <c r="J5074" i="1"/>
  <c r="K5074" i="1" s="1"/>
  <c r="J5075" i="1"/>
  <c r="K5075" i="1" s="1"/>
  <c r="J5076" i="1"/>
  <c r="K5076" i="1" s="1"/>
  <c r="J5077" i="1"/>
  <c r="K5077" i="1" s="1"/>
  <c r="J5078" i="1"/>
  <c r="K5078" i="1" s="1"/>
  <c r="J5079" i="1"/>
  <c r="K5079" i="1" s="1"/>
  <c r="J5080" i="1"/>
  <c r="K5080" i="1" s="1"/>
  <c r="J5081" i="1"/>
  <c r="K5081" i="1" s="1"/>
  <c r="J5082" i="1"/>
  <c r="K5082" i="1" s="1"/>
  <c r="J5083" i="1"/>
  <c r="K5083" i="1" s="1"/>
  <c r="J5084" i="1"/>
  <c r="K5084" i="1" s="1"/>
  <c r="J5085" i="1"/>
  <c r="K5085" i="1" s="1"/>
  <c r="J5086" i="1"/>
  <c r="K5086" i="1" s="1"/>
  <c r="J5087" i="1"/>
  <c r="K5087" i="1" s="1"/>
  <c r="J5088" i="1"/>
  <c r="K5088" i="1" s="1"/>
  <c r="J5089" i="1"/>
  <c r="K5089" i="1" s="1"/>
  <c r="J5090" i="1"/>
  <c r="K5090" i="1" s="1"/>
  <c r="J5091" i="1"/>
  <c r="K5091" i="1" s="1"/>
  <c r="J5092" i="1"/>
  <c r="K5092" i="1" s="1"/>
  <c r="J5093" i="1"/>
  <c r="K5093" i="1" s="1"/>
  <c r="J5094" i="1"/>
  <c r="K5094" i="1" s="1"/>
  <c r="J5095" i="1"/>
  <c r="K5095" i="1" s="1"/>
  <c r="J5096" i="1"/>
  <c r="K5096" i="1" s="1"/>
  <c r="J5097" i="1"/>
  <c r="K5097" i="1" s="1"/>
  <c r="J5098" i="1"/>
  <c r="K5098" i="1" s="1"/>
  <c r="J5099" i="1"/>
  <c r="K5099" i="1" s="1"/>
  <c r="J5100" i="1"/>
  <c r="K5100" i="1" s="1"/>
  <c r="J5101" i="1"/>
  <c r="K5101" i="1" s="1"/>
  <c r="J5102" i="1"/>
  <c r="K5102" i="1" s="1"/>
  <c r="J5103" i="1"/>
  <c r="K5103" i="1" s="1"/>
  <c r="J5104" i="1"/>
  <c r="K5104" i="1" s="1"/>
  <c r="J5105" i="1"/>
  <c r="K5105" i="1" s="1"/>
  <c r="J5106" i="1"/>
  <c r="K5106" i="1" s="1"/>
  <c r="J5107" i="1"/>
  <c r="K5107" i="1" s="1"/>
  <c r="J5108" i="1"/>
  <c r="K5108" i="1" s="1"/>
  <c r="J5109" i="1"/>
  <c r="K5109" i="1" s="1"/>
  <c r="J5110" i="1"/>
  <c r="K5110" i="1" s="1"/>
  <c r="J5111" i="1"/>
  <c r="K5111" i="1" s="1"/>
  <c r="J5112" i="1"/>
  <c r="K5112" i="1" s="1"/>
  <c r="J5113" i="1"/>
  <c r="K5113" i="1" s="1"/>
  <c r="J5114" i="1"/>
  <c r="K5114" i="1" s="1"/>
  <c r="J5115" i="1"/>
  <c r="K5115" i="1" s="1"/>
  <c r="J5116" i="1"/>
  <c r="K5116" i="1" s="1"/>
  <c r="J5117" i="1"/>
  <c r="K5117" i="1" s="1"/>
  <c r="J5118" i="1"/>
  <c r="K5118" i="1" s="1"/>
  <c r="J5119" i="1"/>
  <c r="K5119" i="1" s="1"/>
  <c r="J5120" i="1"/>
  <c r="K5120" i="1" s="1"/>
  <c r="J5121" i="1"/>
  <c r="K5121" i="1" s="1"/>
  <c r="J5122" i="1"/>
  <c r="K5122" i="1" s="1"/>
  <c r="J5123" i="1"/>
  <c r="K5123" i="1" s="1"/>
  <c r="J5124" i="1"/>
  <c r="K5124" i="1" s="1"/>
  <c r="J5125" i="1"/>
  <c r="K5125" i="1" s="1"/>
  <c r="J5126" i="1"/>
  <c r="K5126" i="1" s="1"/>
  <c r="J5127" i="1"/>
  <c r="K5127" i="1" s="1"/>
  <c r="J5128" i="1"/>
  <c r="K5128" i="1" s="1"/>
  <c r="J5129" i="1"/>
  <c r="K5129" i="1" s="1"/>
  <c r="J5130" i="1"/>
  <c r="K5130" i="1" s="1"/>
  <c r="J5131" i="1"/>
  <c r="K5131" i="1" s="1"/>
  <c r="J5132" i="1"/>
  <c r="K5132" i="1" s="1"/>
  <c r="J5133" i="1"/>
  <c r="K5133" i="1" s="1"/>
  <c r="J5134" i="1"/>
  <c r="K5134" i="1" s="1"/>
  <c r="J5135" i="1"/>
  <c r="K5135" i="1" s="1"/>
  <c r="J5136" i="1"/>
  <c r="K5136" i="1" s="1"/>
  <c r="J5137" i="1"/>
  <c r="K5137" i="1" s="1"/>
  <c r="J5138" i="1"/>
  <c r="K5138" i="1" s="1"/>
  <c r="J5139" i="1"/>
  <c r="K5139" i="1" s="1"/>
  <c r="J5140" i="1"/>
  <c r="K5140" i="1" s="1"/>
  <c r="J5141" i="1"/>
  <c r="K5141" i="1" s="1"/>
  <c r="J5142" i="1"/>
  <c r="K5142" i="1" s="1"/>
  <c r="J5143" i="1"/>
  <c r="K5143" i="1" s="1"/>
  <c r="J5144" i="1"/>
  <c r="K5144" i="1" s="1"/>
  <c r="J5145" i="1"/>
  <c r="K5145" i="1" s="1"/>
  <c r="J5146" i="1"/>
  <c r="K5146" i="1" s="1"/>
  <c r="J5147" i="1"/>
  <c r="K5147" i="1" s="1"/>
  <c r="J5148" i="1"/>
  <c r="K5148" i="1" s="1"/>
  <c r="J5149" i="1"/>
  <c r="K5149" i="1" s="1"/>
  <c r="J5150" i="1"/>
  <c r="K5150" i="1" s="1"/>
  <c r="J5151" i="1"/>
  <c r="K5151" i="1" s="1"/>
  <c r="J5152" i="1"/>
  <c r="K5152" i="1" s="1"/>
  <c r="J5153" i="1"/>
  <c r="K5153" i="1" s="1"/>
  <c r="J5154" i="1"/>
  <c r="K5154" i="1" s="1"/>
  <c r="J5155" i="1"/>
  <c r="K5155" i="1" s="1"/>
  <c r="J5156" i="1"/>
  <c r="K5156" i="1" s="1"/>
  <c r="J5157" i="1"/>
  <c r="K5157" i="1" s="1"/>
  <c r="J5158" i="1"/>
  <c r="K5158" i="1" s="1"/>
  <c r="J5159" i="1"/>
  <c r="K5159" i="1" s="1"/>
  <c r="J5160" i="1"/>
  <c r="K5160" i="1" s="1"/>
  <c r="J5161" i="1"/>
  <c r="K5161" i="1" s="1"/>
  <c r="J5162" i="1"/>
  <c r="K5162" i="1" s="1"/>
  <c r="J5163" i="1"/>
  <c r="K5163" i="1" s="1"/>
  <c r="J5164" i="1"/>
  <c r="K5164" i="1" s="1"/>
  <c r="J5165" i="1"/>
  <c r="K5165" i="1" s="1"/>
  <c r="J5166" i="1"/>
  <c r="K5166" i="1" s="1"/>
  <c r="J5167" i="1"/>
  <c r="K5167" i="1" s="1"/>
  <c r="J5168" i="1"/>
  <c r="K5168" i="1" s="1"/>
  <c r="J5169" i="1"/>
  <c r="K5169" i="1" s="1"/>
  <c r="J5170" i="1"/>
  <c r="K5170" i="1" s="1"/>
  <c r="J5171" i="1"/>
  <c r="K5171" i="1" s="1"/>
  <c r="J5172" i="1"/>
  <c r="K5172" i="1" s="1"/>
  <c r="J5173" i="1"/>
  <c r="K5173" i="1" s="1"/>
  <c r="J5174" i="1"/>
  <c r="K5174" i="1" s="1"/>
  <c r="J5175" i="1"/>
  <c r="K5175" i="1" s="1"/>
  <c r="J5176" i="1"/>
  <c r="K5176" i="1" s="1"/>
  <c r="J5177" i="1"/>
  <c r="K5177" i="1" s="1"/>
  <c r="J5178" i="1"/>
  <c r="K5178" i="1" s="1"/>
  <c r="J5179" i="1"/>
  <c r="K5179" i="1" s="1"/>
  <c r="J5180" i="1"/>
  <c r="K5180" i="1" s="1"/>
  <c r="J5181" i="1"/>
  <c r="K5181" i="1" s="1"/>
  <c r="J5182" i="1"/>
  <c r="K5182" i="1" s="1"/>
  <c r="J5183" i="1"/>
  <c r="K5183" i="1" s="1"/>
  <c r="J5184" i="1"/>
  <c r="K5184" i="1" s="1"/>
  <c r="J5185" i="1"/>
  <c r="K5185" i="1" s="1"/>
  <c r="J5186" i="1"/>
  <c r="K5186" i="1" s="1"/>
  <c r="J5187" i="1"/>
  <c r="K5187" i="1" s="1"/>
  <c r="J5188" i="1"/>
  <c r="K5188" i="1" s="1"/>
  <c r="J5189" i="1"/>
  <c r="K5189" i="1" s="1"/>
  <c r="J5190" i="1"/>
  <c r="K5190" i="1" s="1"/>
  <c r="J5191" i="1"/>
  <c r="K5191" i="1" s="1"/>
  <c r="J5192" i="1"/>
  <c r="K5192" i="1" s="1"/>
  <c r="J5193" i="1"/>
  <c r="K5193" i="1" s="1"/>
  <c r="J5194" i="1"/>
  <c r="K5194" i="1" s="1"/>
  <c r="J5195" i="1"/>
  <c r="K5195" i="1" s="1"/>
  <c r="J5196" i="1"/>
  <c r="K5196" i="1" s="1"/>
  <c r="J5197" i="1"/>
  <c r="K5197" i="1" s="1"/>
  <c r="J5198" i="1"/>
  <c r="K5198" i="1" s="1"/>
  <c r="J5199" i="1"/>
  <c r="K5199" i="1" s="1"/>
  <c r="J5200" i="1"/>
  <c r="K5200" i="1" s="1"/>
  <c r="J5201" i="1"/>
  <c r="K5201" i="1" s="1"/>
  <c r="J5202" i="1"/>
  <c r="K5202" i="1" s="1"/>
  <c r="J5203" i="1"/>
  <c r="K5203" i="1" s="1"/>
  <c r="J5204" i="1"/>
  <c r="K5204" i="1" s="1"/>
  <c r="J5205" i="1"/>
  <c r="K5205" i="1" s="1"/>
  <c r="J5206" i="1"/>
  <c r="K5206" i="1" s="1"/>
  <c r="J5207" i="1"/>
  <c r="K5207" i="1" s="1"/>
  <c r="J5208" i="1"/>
  <c r="K5208" i="1" s="1"/>
  <c r="J5209" i="1"/>
  <c r="K5209" i="1" s="1"/>
  <c r="J5210" i="1"/>
  <c r="K5210" i="1" s="1"/>
  <c r="J5211" i="1"/>
  <c r="K5211" i="1" s="1"/>
  <c r="J5212" i="1"/>
  <c r="K5212" i="1" s="1"/>
  <c r="J5213" i="1"/>
  <c r="K5213" i="1" s="1"/>
  <c r="J5214" i="1"/>
  <c r="K5214" i="1" s="1"/>
  <c r="J5215" i="1"/>
  <c r="K5215" i="1" s="1"/>
  <c r="J5216" i="1"/>
  <c r="K5216" i="1" s="1"/>
  <c r="J5217" i="1"/>
  <c r="K5217" i="1" s="1"/>
  <c r="J5218" i="1"/>
  <c r="K5218" i="1" s="1"/>
  <c r="J5219" i="1"/>
  <c r="K5219" i="1" s="1"/>
  <c r="J5220" i="1"/>
  <c r="K5220" i="1" s="1"/>
  <c r="J5221" i="1"/>
  <c r="K5221" i="1" s="1"/>
  <c r="J5222" i="1"/>
  <c r="K5222" i="1" s="1"/>
  <c r="J5223" i="1"/>
  <c r="K5223" i="1" s="1"/>
  <c r="J5224" i="1"/>
  <c r="K5224" i="1" s="1"/>
  <c r="J5225" i="1"/>
  <c r="K5225" i="1" s="1"/>
  <c r="J5226" i="1"/>
  <c r="K5226" i="1" s="1"/>
  <c r="J5227" i="1"/>
  <c r="K5227" i="1" s="1"/>
  <c r="J5228" i="1"/>
  <c r="K5228" i="1" s="1"/>
  <c r="J5229" i="1"/>
  <c r="K5229" i="1" s="1"/>
  <c r="J5230" i="1"/>
  <c r="K5230" i="1" s="1"/>
  <c r="J5231" i="1"/>
  <c r="K5231" i="1" s="1"/>
  <c r="J5232" i="1"/>
  <c r="K5232" i="1" s="1"/>
  <c r="J5233" i="1"/>
  <c r="K5233" i="1" s="1"/>
  <c r="J5234" i="1"/>
  <c r="K5234" i="1" s="1"/>
  <c r="J5235" i="1"/>
  <c r="K5235" i="1" s="1"/>
  <c r="J5236" i="1"/>
  <c r="K5236" i="1" s="1"/>
  <c r="J5237" i="1"/>
  <c r="K5237" i="1" s="1"/>
  <c r="J5238" i="1"/>
  <c r="K5238" i="1" s="1"/>
  <c r="J5239" i="1"/>
  <c r="K5239" i="1" s="1"/>
  <c r="J5240" i="1"/>
  <c r="K5240" i="1" s="1"/>
  <c r="J5241" i="1"/>
  <c r="K5241" i="1" s="1"/>
  <c r="J5242" i="1"/>
  <c r="K5242" i="1" s="1"/>
  <c r="J5243" i="1"/>
  <c r="K5243" i="1" s="1"/>
  <c r="J5244" i="1"/>
  <c r="K5244" i="1" s="1"/>
  <c r="J5245" i="1"/>
  <c r="K5245" i="1" s="1"/>
  <c r="J5246" i="1"/>
  <c r="K5246" i="1" s="1"/>
  <c r="J5247" i="1"/>
  <c r="K5247" i="1" s="1"/>
  <c r="J5248" i="1"/>
  <c r="K5248" i="1" s="1"/>
  <c r="J5249" i="1"/>
  <c r="K5249" i="1" s="1"/>
  <c r="J5250" i="1"/>
  <c r="K5250" i="1" s="1"/>
  <c r="J5251" i="1"/>
  <c r="K5251" i="1" s="1"/>
  <c r="J5252" i="1"/>
  <c r="K5252" i="1" s="1"/>
  <c r="J5253" i="1"/>
  <c r="K5253" i="1" s="1"/>
  <c r="J5254" i="1"/>
  <c r="K5254" i="1" s="1"/>
  <c r="J5255" i="1"/>
  <c r="K5255" i="1" s="1"/>
  <c r="J5256" i="1"/>
  <c r="K5256" i="1" s="1"/>
  <c r="J5257" i="1"/>
  <c r="K5257" i="1" s="1"/>
  <c r="J5258" i="1"/>
  <c r="K5258" i="1" s="1"/>
  <c r="J5259" i="1"/>
  <c r="K5259" i="1" s="1"/>
  <c r="J5260" i="1"/>
  <c r="K5260" i="1" s="1"/>
  <c r="J5261" i="1"/>
  <c r="K5261" i="1" s="1"/>
  <c r="J5262" i="1"/>
  <c r="K5262" i="1" s="1"/>
  <c r="J5263" i="1"/>
  <c r="K5263" i="1" s="1"/>
  <c r="J5264" i="1"/>
  <c r="K5264" i="1" s="1"/>
  <c r="J5265" i="1"/>
  <c r="K5265" i="1" s="1"/>
  <c r="J5266" i="1"/>
  <c r="K5266" i="1" s="1"/>
  <c r="J5267" i="1"/>
  <c r="K5267" i="1" s="1"/>
  <c r="J5268" i="1"/>
  <c r="K5268" i="1" s="1"/>
  <c r="J5269" i="1"/>
  <c r="K5269" i="1" s="1"/>
  <c r="J5270" i="1"/>
  <c r="K5270" i="1" s="1"/>
  <c r="J5271" i="1"/>
  <c r="K5271" i="1" s="1"/>
  <c r="J5272" i="1"/>
  <c r="K5272" i="1" s="1"/>
  <c r="J5273" i="1"/>
  <c r="K5273" i="1" s="1"/>
  <c r="J5274" i="1"/>
  <c r="K5274" i="1" s="1"/>
  <c r="J5275" i="1"/>
  <c r="K5275" i="1" s="1"/>
  <c r="J5276" i="1"/>
  <c r="K5276" i="1" s="1"/>
  <c r="J5277" i="1"/>
  <c r="K5277" i="1" s="1"/>
  <c r="J5278" i="1"/>
  <c r="K5278" i="1" s="1"/>
  <c r="J5279" i="1"/>
  <c r="K5279" i="1" s="1"/>
  <c r="J5280" i="1"/>
  <c r="K5280" i="1" s="1"/>
  <c r="J5281" i="1"/>
  <c r="K5281" i="1" s="1"/>
  <c r="J5282" i="1"/>
  <c r="K5282" i="1" s="1"/>
  <c r="J5283" i="1"/>
  <c r="K5283" i="1" s="1"/>
  <c r="J5284" i="1"/>
  <c r="K5284" i="1" s="1"/>
  <c r="J5285" i="1"/>
  <c r="K5285" i="1" s="1"/>
  <c r="J5286" i="1"/>
  <c r="K5286" i="1" s="1"/>
  <c r="J5287" i="1"/>
  <c r="K5287" i="1" s="1"/>
  <c r="J5288" i="1"/>
  <c r="K5288" i="1" s="1"/>
  <c r="J5289" i="1"/>
  <c r="K5289" i="1" s="1"/>
  <c r="J5290" i="1"/>
  <c r="K5290" i="1" s="1"/>
  <c r="J5291" i="1"/>
  <c r="K5291" i="1" s="1"/>
  <c r="J5292" i="1"/>
  <c r="K5292" i="1" s="1"/>
  <c r="J5293" i="1"/>
  <c r="K5293" i="1" s="1"/>
  <c r="J5294" i="1"/>
  <c r="K5294" i="1" s="1"/>
  <c r="J5295" i="1"/>
  <c r="K5295" i="1" s="1"/>
  <c r="J5296" i="1"/>
  <c r="K5296" i="1" s="1"/>
  <c r="J5297" i="1"/>
  <c r="K5297" i="1" s="1"/>
  <c r="J5298" i="1"/>
  <c r="K5298" i="1" s="1"/>
  <c r="J5299" i="1"/>
  <c r="K5299" i="1" s="1"/>
  <c r="J5300" i="1"/>
  <c r="K5300" i="1" s="1"/>
  <c r="J5301" i="1"/>
  <c r="K5301" i="1" s="1"/>
  <c r="J5302" i="1"/>
  <c r="K5302" i="1" s="1"/>
  <c r="J5303" i="1"/>
  <c r="K5303" i="1" s="1"/>
  <c r="J5304" i="1"/>
  <c r="K5304" i="1" s="1"/>
  <c r="J5305" i="1"/>
  <c r="K5305" i="1" s="1"/>
  <c r="J5306" i="1"/>
  <c r="K5306" i="1" s="1"/>
  <c r="J5307" i="1"/>
  <c r="K5307" i="1" s="1"/>
  <c r="J5308" i="1"/>
  <c r="K5308" i="1" s="1"/>
  <c r="J5309" i="1"/>
  <c r="K5309" i="1" s="1"/>
  <c r="J5310" i="1"/>
  <c r="K5310" i="1" s="1"/>
  <c r="J5311" i="1"/>
  <c r="K5311" i="1" s="1"/>
  <c r="J5312" i="1"/>
  <c r="K5312" i="1" s="1"/>
  <c r="J5313" i="1"/>
  <c r="K5313" i="1" s="1"/>
  <c r="J5314" i="1"/>
  <c r="K5314" i="1" s="1"/>
  <c r="J5315" i="1"/>
  <c r="K5315" i="1" s="1"/>
  <c r="J5316" i="1"/>
  <c r="K5316" i="1" s="1"/>
  <c r="J5317" i="1"/>
  <c r="K5317" i="1" s="1"/>
  <c r="J5318" i="1"/>
  <c r="K5318" i="1" s="1"/>
  <c r="J5319" i="1"/>
  <c r="K5319" i="1" s="1"/>
  <c r="J5320" i="1"/>
  <c r="K5320" i="1" s="1"/>
  <c r="J5321" i="1"/>
  <c r="K5321" i="1" s="1"/>
  <c r="J5322" i="1"/>
  <c r="K5322" i="1" s="1"/>
  <c r="J5323" i="1"/>
  <c r="K5323" i="1" s="1"/>
  <c r="J5324" i="1"/>
  <c r="K5324" i="1" s="1"/>
  <c r="J5325" i="1"/>
  <c r="K5325" i="1" s="1"/>
  <c r="J5326" i="1"/>
  <c r="K5326" i="1" s="1"/>
  <c r="J5327" i="1"/>
  <c r="K5327" i="1" s="1"/>
  <c r="J5328" i="1"/>
  <c r="K5328" i="1" s="1"/>
  <c r="J5329" i="1"/>
  <c r="K5329" i="1" s="1"/>
  <c r="J5330" i="1"/>
  <c r="K5330" i="1" s="1"/>
  <c r="J5331" i="1"/>
  <c r="K5331" i="1" s="1"/>
  <c r="J5332" i="1"/>
  <c r="K5332" i="1" s="1"/>
  <c r="J5333" i="1"/>
  <c r="K5333" i="1" s="1"/>
  <c r="J5334" i="1"/>
  <c r="K5334" i="1" s="1"/>
  <c r="J5335" i="1"/>
  <c r="K5335" i="1" s="1"/>
  <c r="J5336" i="1"/>
  <c r="K5336" i="1" s="1"/>
  <c r="J5337" i="1"/>
  <c r="K5337" i="1" s="1"/>
  <c r="J5338" i="1"/>
  <c r="K5338" i="1" s="1"/>
  <c r="J5339" i="1"/>
  <c r="K5339" i="1" s="1"/>
  <c r="J5340" i="1"/>
  <c r="K5340" i="1" s="1"/>
  <c r="J5341" i="1"/>
  <c r="K5341" i="1" s="1"/>
  <c r="J5342" i="1"/>
  <c r="K5342" i="1" s="1"/>
  <c r="J5343" i="1"/>
  <c r="K5343" i="1" s="1"/>
  <c r="J5344" i="1"/>
  <c r="K5344" i="1" s="1"/>
  <c r="J5345" i="1"/>
  <c r="K5345" i="1" s="1"/>
  <c r="J5346" i="1"/>
  <c r="K5346" i="1" s="1"/>
  <c r="J5347" i="1"/>
  <c r="K5347" i="1" s="1"/>
  <c r="J5348" i="1"/>
  <c r="K5348" i="1" s="1"/>
  <c r="J5349" i="1"/>
  <c r="K5349" i="1" s="1"/>
  <c r="J5350" i="1"/>
  <c r="K5350" i="1" s="1"/>
  <c r="J5351" i="1"/>
  <c r="K5351" i="1" s="1"/>
  <c r="J5352" i="1"/>
  <c r="K5352" i="1" s="1"/>
  <c r="J5353" i="1"/>
  <c r="K5353" i="1" s="1"/>
  <c r="J5354" i="1"/>
  <c r="K5354" i="1" s="1"/>
  <c r="J5355" i="1"/>
  <c r="K5355" i="1" s="1"/>
  <c r="J5356" i="1"/>
  <c r="K5356" i="1" s="1"/>
  <c r="J5357" i="1"/>
  <c r="K5357" i="1" s="1"/>
  <c r="J5358" i="1"/>
  <c r="K5358" i="1" s="1"/>
  <c r="J5359" i="1"/>
  <c r="K5359" i="1" s="1"/>
  <c r="J5360" i="1"/>
  <c r="K5360" i="1" s="1"/>
  <c r="J5361" i="1"/>
  <c r="K5361" i="1" s="1"/>
  <c r="J5362" i="1"/>
  <c r="K5362" i="1" s="1"/>
  <c r="J5363" i="1"/>
  <c r="K5363" i="1" s="1"/>
  <c r="J5364" i="1"/>
  <c r="K5364" i="1" s="1"/>
  <c r="J5365" i="1"/>
  <c r="K5365" i="1" s="1"/>
  <c r="J5366" i="1"/>
  <c r="K5366" i="1" s="1"/>
  <c r="J5367" i="1"/>
  <c r="K5367" i="1" s="1"/>
  <c r="J5368" i="1"/>
  <c r="K5368" i="1" s="1"/>
  <c r="J5369" i="1"/>
  <c r="K5369" i="1" s="1"/>
  <c r="J5370" i="1"/>
  <c r="K5370" i="1" s="1"/>
  <c r="J5371" i="1"/>
  <c r="K5371" i="1" s="1"/>
  <c r="J5372" i="1"/>
  <c r="K5372" i="1" s="1"/>
  <c r="J5373" i="1"/>
  <c r="K5373" i="1" s="1"/>
  <c r="J5374" i="1"/>
  <c r="K5374" i="1" s="1"/>
  <c r="J5375" i="1"/>
  <c r="K5375" i="1" s="1"/>
  <c r="J5376" i="1"/>
  <c r="K5376" i="1" s="1"/>
  <c r="J5377" i="1"/>
  <c r="K5377" i="1" s="1"/>
  <c r="J5378" i="1"/>
  <c r="K5378" i="1" s="1"/>
  <c r="J5379" i="1"/>
  <c r="K5379" i="1" s="1"/>
  <c r="J5380" i="1"/>
  <c r="K5380" i="1" s="1"/>
  <c r="J5381" i="1"/>
  <c r="K5381" i="1" s="1"/>
  <c r="J5382" i="1"/>
  <c r="K5382" i="1" s="1"/>
  <c r="J5383" i="1"/>
  <c r="K5383" i="1" s="1"/>
  <c r="J5384" i="1"/>
  <c r="K5384" i="1" s="1"/>
  <c r="J5385" i="1"/>
  <c r="K5385" i="1" s="1"/>
  <c r="J5386" i="1"/>
  <c r="K5386" i="1" s="1"/>
  <c r="J5387" i="1"/>
  <c r="K5387" i="1" s="1"/>
  <c r="J5388" i="1"/>
  <c r="K5388" i="1" s="1"/>
  <c r="J5389" i="1"/>
  <c r="K5389" i="1" s="1"/>
  <c r="J5390" i="1"/>
  <c r="K5390" i="1" s="1"/>
  <c r="J5391" i="1"/>
  <c r="K5391" i="1" s="1"/>
  <c r="J5392" i="1"/>
  <c r="K5392" i="1" s="1"/>
  <c r="J5393" i="1"/>
  <c r="K5393" i="1" s="1"/>
  <c r="J5394" i="1"/>
  <c r="K5394" i="1" s="1"/>
  <c r="J5395" i="1"/>
  <c r="K5395" i="1" s="1"/>
  <c r="J5396" i="1"/>
  <c r="K5396" i="1" s="1"/>
  <c r="J5397" i="1"/>
  <c r="K5397" i="1" s="1"/>
  <c r="J5398" i="1"/>
  <c r="K5398" i="1" s="1"/>
  <c r="J5399" i="1"/>
  <c r="K5399" i="1" s="1"/>
  <c r="J5400" i="1"/>
  <c r="K5400" i="1" s="1"/>
  <c r="J5401" i="1"/>
  <c r="K5401" i="1" s="1"/>
  <c r="J5402" i="1"/>
  <c r="K5402" i="1" s="1"/>
  <c r="J5403" i="1"/>
  <c r="K5403" i="1" s="1"/>
  <c r="J5404" i="1"/>
  <c r="K5404" i="1" s="1"/>
  <c r="J5405" i="1"/>
  <c r="K5405" i="1" s="1"/>
  <c r="J5406" i="1"/>
  <c r="K5406" i="1" s="1"/>
  <c r="J5407" i="1"/>
  <c r="K5407" i="1" s="1"/>
  <c r="J5408" i="1"/>
  <c r="K5408" i="1" s="1"/>
  <c r="J5409" i="1"/>
  <c r="K5409" i="1" s="1"/>
  <c r="J5410" i="1"/>
  <c r="K5410" i="1" s="1"/>
  <c r="J5411" i="1"/>
  <c r="K5411" i="1" s="1"/>
  <c r="J5412" i="1"/>
  <c r="K5412" i="1" s="1"/>
  <c r="J5413" i="1"/>
  <c r="K5413" i="1" s="1"/>
  <c r="J5414" i="1"/>
  <c r="K5414" i="1" s="1"/>
  <c r="J5415" i="1"/>
  <c r="K5415" i="1" s="1"/>
  <c r="J5416" i="1"/>
  <c r="K5416" i="1" s="1"/>
  <c r="J5417" i="1"/>
  <c r="K5417" i="1" s="1"/>
  <c r="J5418" i="1"/>
  <c r="K5418" i="1" s="1"/>
  <c r="J5419" i="1"/>
  <c r="K5419" i="1" s="1"/>
  <c r="J5420" i="1"/>
  <c r="K5420" i="1" s="1"/>
  <c r="J5421" i="1"/>
  <c r="K5421" i="1" s="1"/>
  <c r="J5422" i="1"/>
  <c r="K5422" i="1" s="1"/>
  <c r="J5423" i="1"/>
  <c r="K5423" i="1" s="1"/>
  <c r="J5424" i="1"/>
  <c r="K5424" i="1" s="1"/>
  <c r="J5425" i="1"/>
  <c r="K5425" i="1" s="1"/>
  <c r="J5426" i="1"/>
  <c r="K5426" i="1" s="1"/>
  <c r="J5427" i="1"/>
  <c r="K5427" i="1" s="1"/>
  <c r="J5428" i="1"/>
  <c r="K5428" i="1" s="1"/>
  <c r="J5429" i="1"/>
  <c r="K5429" i="1" s="1"/>
  <c r="J5430" i="1"/>
  <c r="K5430" i="1" s="1"/>
  <c r="J5431" i="1"/>
  <c r="K5431" i="1" s="1"/>
  <c r="J5432" i="1"/>
  <c r="K5432" i="1" s="1"/>
  <c r="J5433" i="1"/>
  <c r="K5433" i="1" s="1"/>
  <c r="J5434" i="1"/>
  <c r="K5434" i="1" s="1"/>
  <c r="J5435" i="1"/>
  <c r="K5435" i="1" s="1"/>
  <c r="J5436" i="1"/>
  <c r="K5436" i="1" s="1"/>
  <c r="J5437" i="1"/>
  <c r="K5437" i="1" s="1"/>
  <c r="J5438" i="1"/>
  <c r="K5438" i="1" s="1"/>
  <c r="J5439" i="1"/>
  <c r="K5439" i="1" s="1"/>
  <c r="J5440" i="1"/>
  <c r="K5440" i="1" s="1"/>
  <c r="J5441" i="1"/>
  <c r="K5441" i="1" s="1"/>
  <c r="J5442" i="1"/>
  <c r="K5442" i="1" s="1"/>
  <c r="J5443" i="1"/>
  <c r="K5443" i="1" s="1"/>
  <c r="J5444" i="1"/>
  <c r="K5444" i="1" s="1"/>
  <c r="J5445" i="1"/>
  <c r="K5445" i="1" s="1"/>
  <c r="J5446" i="1"/>
  <c r="K5446" i="1" s="1"/>
  <c r="J5447" i="1"/>
  <c r="K5447" i="1" s="1"/>
  <c r="J5448" i="1"/>
  <c r="K5448" i="1" s="1"/>
  <c r="J5449" i="1"/>
  <c r="K5449" i="1" s="1"/>
  <c r="J5450" i="1"/>
  <c r="K5450" i="1" s="1"/>
  <c r="J5451" i="1"/>
  <c r="K5451" i="1" s="1"/>
  <c r="J5452" i="1"/>
  <c r="K5452" i="1" s="1"/>
  <c r="J5453" i="1"/>
  <c r="K5453" i="1" s="1"/>
  <c r="J5454" i="1"/>
  <c r="K5454" i="1" s="1"/>
  <c r="J5455" i="1"/>
  <c r="K5455" i="1" s="1"/>
  <c r="J5456" i="1"/>
  <c r="K5456" i="1" s="1"/>
  <c r="J5457" i="1"/>
  <c r="K5457" i="1" s="1"/>
  <c r="J5458" i="1"/>
  <c r="K5458" i="1" s="1"/>
  <c r="J5459" i="1"/>
  <c r="K5459" i="1" s="1"/>
  <c r="J5460" i="1"/>
  <c r="K5460" i="1" s="1"/>
  <c r="J5461" i="1"/>
  <c r="K5461" i="1" s="1"/>
  <c r="J5462" i="1"/>
  <c r="K5462" i="1" s="1"/>
  <c r="J5463" i="1"/>
  <c r="K5463" i="1" s="1"/>
  <c r="J5464" i="1"/>
  <c r="K5464" i="1" s="1"/>
  <c r="J5465" i="1"/>
  <c r="K5465" i="1" s="1"/>
  <c r="J5466" i="1"/>
  <c r="K5466" i="1" s="1"/>
  <c r="J5467" i="1"/>
  <c r="K5467" i="1" s="1"/>
  <c r="J5468" i="1"/>
  <c r="K5468" i="1" s="1"/>
  <c r="J5469" i="1"/>
  <c r="K5469" i="1" s="1"/>
  <c r="J5470" i="1"/>
  <c r="K5470" i="1" s="1"/>
  <c r="J5471" i="1"/>
  <c r="K5471" i="1" s="1"/>
  <c r="J5472" i="1"/>
  <c r="K5472" i="1" s="1"/>
  <c r="J5473" i="1"/>
  <c r="K5473" i="1" s="1"/>
  <c r="J5474" i="1"/>
  <c r="K5474" i="1" s="1"/>
  <c r="J5475" i="1"/>
  <c r="K5475" i="1" s="1"/>
  <c r="J5476" i="1"/>
  <c r="K5476" i="1" s="1"/>
  <c r="J5477" i="1"/>
  <c r="K5477" i="1" s="1"/>
  <c r="J5478" i="1"/>
  <c r="K5478" i="1" s="1"/>
  <c r="J5479" i="1"/>
  <c r="K5479" i="1" s="1"/>
  <c r="J5480" i="1"/>
  <c r="K5480" i="1" s="1"/>
  <c r="J5481" i="1"/>
  <c r="K5481" i="1" s="1"/>
  <c r="J5482" i="1"/>
  <c r="K5482" i="1" s="1"/>
  <c r="J5483" i="1"/>
  <c r="K5483" i="1" s="1"/>
  <c r="J5484" i="1"/>
  <c r="K5484" i="1" s="1"/>
  <c r="J5485" i="1"/>
  <c r="K5485" i="1" s="1"/>
  <c r="J5486" i="1"/>
  <c r="K5486" i="1" s="1"/>
  <c r="J5487" i="1"/>
  <c r="K5487" i="1" s="1"/>
  <c r="J5488" i="1"/>
  <c r="K5488" i="1" s="1"/>
  <c r="J5489" i="1"/>
  <c r="K5489" i="1" s="1"/>
  <c r="J5490" i="1"/>
  <c r="K5490" i="1" s="1"/>
  <c r="J5491" i="1"/>
  <c r="K5491" i="1" s="1"/>
  <c r="J5492" i="1"/>
  <c r="K5492" i="1" s="1"/>
  <c r="J5493" i="1"/>
  <c r="K5493" i="1" s="1"/>
  <c r="J5494" i="1"/>
  <c r="K5494" i="1" s="1"/>
  <c r="J5495" i="1"/>
  <c r="K5495" i="1" s="1"/>
  <c r="J5496" i="1"/>
  <c r="K5496" i="1" s="1"/>
  <c r="J5497" i="1"/>
  <c r="K5497" i="1" s="1"/>
  <c r="J5498" i="1"/>
  <c r="K5498" i="1" s="1"/>
  <c r="J5499" i="1"/>
  <c r="K5499" i="1" s="1"/>
  <c r="J5500" i="1"/>
  <c r="K5500" i="1" s="1"/>
  <c r="J5501" i="1"/>
  <c r="K5501" i="1" s="1"/>
  <c r="J5502" i="1"/>
  <c r="K5502" i="1" s="1"/>
  <c r="J5503" i="1"/>
  <c r="K5503" i="1" s="1"/>
  <c r="J5504" i="1"/>
  <c r="K5504" i="1" s="1"/>
  <c r="J5505" i="1"/>
  <c r="K5505" i="1" s="1"/>
  <c r="J5506" i="1"/>
  <c r="K5506" i="1" s="1"/>
  <c r="J5507" i="1"/>
  <c r="K5507" i="1" s="1"/>
  <c r="J5508" i="1"/>
  <c r="K5508" i="1" s="1"/>
  <c r="J5509" i="1"/>
  <c r="K5509" i="1" s="1"/>
  <c r="J5510" i="1"/>
  <c r="K5510" i="1" s="1"/>
  <c r="J5511" i="1"/>
  <c r="K5511" i="1" s="1"/>
  <c r="J5512" i="1"/>
  <c r="K5512" i="1" s="1"/>
  <c r="J5513" i="1"/>
  <c r="K5513" i="1" s="1"/>
  <c r="J5514" i="1"/>
  <c r="K5514" i="1" s="1"/>
  <c r="J5515" i="1"/>
  <c r="K5515" i="1" s="1"/>
  <c r="J5516" i="1"/>
  <c r="K5516" i="1" s="1"/>
  <c r="J5517" i="1"/>
  <c r="K5517" i="1" s="1"/>
  <c r="J5518" i="1"/>
  <c r="K5518" i="1" s="1"/>
  <c r="J5519" i="1"/>
  <c r="K5519" i="1" s="1"/>
  <c r="J5520" i="1"/>
  <c r="K5520" i="1" s="1"/>
  <c r="J5521" i="1"/>
  <c r="K5521" i="1" s="1"/>
  <c r="J5522" i="1"/>
  <c r="K5522" i="1" s="1"/>
  <c r="J5523" i="1"/>
  <c r="K5523" i="1" s="1"/>
  <c r="J5524" i="1"/>
  <c r="K5524" i="1" s="1"/>
  <c r="J5525" i="1"/>
  <c r="K5525" i="1" s="1"/>
  <c r="J5526" i="1"/>
  <c r="K5526" i="1" s="1"/>
  <c r="J5527" i="1"/>
  <c r="K5527" i="1" s="1"/>
  <c r="J5528" i="1"/>
  <c r="K5528" i="1" s="1"/>
  <c r="J5529" i="1"/>
  <c r="K5529" i="1" s="1"/>
  <c r="J5530" i="1"/>
  <c r="K5530" i="1" s="1"/>
  <c r="J5531" i="1"/>
  <c r="K5531" i="1" s="1"/>
  <c r="J5532" i="1"/>
  <c r="K5532" i="1" s="1"/>
  <c r="J5533" i="1"/>
  <c r="K5533" i="1" s="1"/>
  <c r="J5534" i="1"/>
  <c r="K5534" i="1" s="1"/>
  <c r="J5535" i="1"/>
  <c r="K5535" i="1" s="1"/>
  <c r="J5536" i="1"/>
  <c r="K5536" i="1" s="1"/>
  <c r="J5537" i="1"/>
  <c r="K5537" i="1" s="1"/>
  <c r="J5538" i="1"/>
  <c r="K5538" i="1" s="1"/>
  <c r="J5539" i="1"/>
  <c r="K5539" i="1" s="1"/>
  <c r="J5540" i="1"/>
  <c r="K5540" i="1" s="1"/>
  <c r="J5541" i="1"/>
  <c r="K5541" i="1" s="1"/>
  <c r="J5542" i="1"/>
  <c r="K5542" i="1" s="1"/>
  <c r="J5543" i="1"/>
  <c r="K5543" i="1" s="1"/>
  <c r="J5544" i="1"/>
  <c r="K5544" i="1" s="1"/>
  <c r="J5545" i="1"/>
  <c r="K5545" i="1" s="1"/>
  <c r="J5546" i="1"/>
  <c r="K5546" i="1" s="1"/>
  <c r="J5547" i="1"/>
  <c r="K5547" i="1" s="1"/>
  <c r="J5548" i="1"/>
  <c r="K5548" i="1" s="1"/>
  <c r="J5549" i="1"/>
  <c r="K5549" i="1" s="1"/>
  <c r="J5550" i="1"/>
  <c r="K5550" i="1" s="1"/>
  <c r="J5551" i="1"/>
  <c r="K5551" i="1" s="1"/>
  <c r="J5552" i="1"/>
  <c r="K5552" i="1" s="1"/>
  <c r="J5553" i="1"/>
  <c r="K5553" i="1" s="1"/>
  <c r="J5554" i="1"/>
  <c r="K5554" i="1" s="1"/>
  <c r="J5555" i="1"/>
  <c r="K5555" i="1" s="1"/>
  <c r="J5556" i="1"/>
  <c r="K5556" i="1" s="1"/>
  <c r="J5557" i="1"/>
  <c r="K5557" i="1" s="1"/>
  <c r="J5558" i="1"/>
  <c r="K5558" i="1" s="1"/>
  <c r="J5559" i="1"/>
  <c r="K5559" i="1" s="1"/>
  <c r="J5560" i="1"/>
  <c r="K5560" i="1" s="1"/>
  <c r="J5561" i="1"/>
  <c r="K5561" i="1" s="1"/>
  <c r="J5562" i="1"/>
  <c r="K5562" i="1" s="1"/>
  <c r="J5563" i="1"/>
  <c r="K5563" i="1" s="1"/>
  <c r="J5564" i="1"/>
  <c r="K5564" i="1" s="1"/>
  <c r="J5565" i="1"/>
  <c r="K5565" i="1" s="1"/>
  <c r="J5566" i="1"/>
  <c r="K5566" i="1" s="1"/>
  <c r="J5567" i="1"/>
  <c r="K5567" i="1" s="1"/>
  <c r="J5568" i="1"/>
  <c r="K5568" i="1" s="1"/>
  <c r="J5569" i="1"/>
  <c r="K5569" i="1" s="1"/>
  <c r="J5570" i="1"/>
  <c r="K5570" i="1" s="1"/>
  <c r="J5571" i="1"/>
  <c r="K5571" i="1" s="1"/>
  <c r="J5572" i="1"/>
  <c r="K5572" i="1" s="1"/>
  <c r="J5573" i="1"/>
  <c r="K5573" i="1" s="1"/>
  <c r="J5574" i="1"/>
  <c r="K5574" i="1" s="1"/>
  <c r="J5575" i="1"/>
  <c r="K5575" i="1" s="1"/>
  <c r="J5576" i="1"/>
  <c r="K5576" i="1" s="1"/>
  <c r="J5577" i="1"/>
  <c r="K5577" i="1" s="1"/>
  <c r="J5578" i="1"/>
  <c r="K5578" i="1" s="1"/>
  <c r="J5579" i="1"/>
  <c r="K5579" i="1" s="1"/>
  <c r="J5580" i="1"/>
  <c r="K5580" i="1" s="1"/>
  <c r="J5581" i="1"/>
  <c r="K5581" i="1" s="1"/>
  <c r="J5582" i="1"/>
  <c r="K5582" i="1" s="1"/>
  <c r="J5583" i="1"/>
  <c r="K5583" i="1" s="1"/>
  <c r="J5584" i="1"/>
  <c r="K5584" i="1" s="1"/>
  <c r="J5585" i="1"/>
  <c r="K5585" i="1" s="1"/>
  <c r="J5586" i="1"/>
  <c r="K5586" i="1" s="1"/>
  <c r="J5587" i="1"/>
  <c r="K5587" i="1" s="1"/>
  <c r="J5588" i="1"/>
  <c r="K5588" i="1" s="1"/>
  <c r="J5589" i="1"/>
  <c r="K5589" i="1" s="1"/>
  <c r="J5590" i="1"/>
  <c r="K5590" i="1" s="1"/>
  <c r="J5591" i="1"/>
  <c r="K5591" i="1" s="1"/>
  <c r="J5592" i="1"/>
  <c r="K5592" i="1" s="1"/>
  <c r="J5593" i="1"/>
  <c r="K5593" i="1" s="1"/>
  <c r="J5594" i="1"/>
  <c r="K5594" i="1" s="1"/>
  <c r="J5595" i="1"/>
  <c r="K5595" i="1" s="1"/>
  <c r="J5596" i="1"/>
  <c r="K5596" i="1" s="1"/>
  <c r="J5597" i="1"/>
  <c r="K5597" i="1" s="1"/>
  <c r="J5598" i="1"/>
  <c r="K5598" i="1" s="1"/>
  <c r="J5599" i="1"/>
  <c r="K5599" i="1" s="1"/>
  <c r="J5600" i="1"/>
  <c r="K5600" i="1" s="1"/>
  <c r="J5601" i="1"/>
  <c r="K5601" i="1" s="1"/>
  <c r="J5602" i="1"/>
  <c r="K5602" i="1" s="1"/>
  <c r="J5603" i="1"/>
  <c r="K5603" i="1" s="1"/>
  <c r="J5604" i="1"/>
  <c r="K5604" i="1" s="1"/>
  <c r="J5605" i="1"/>
  <c r="K5605" i="1" s="1"/>
  <c r="J5606" i="1"/>
  <c r="K5606" i="1" s="1"/>
  <c r="J5607" i="1"/>
  <c r="K5607" i="1" s="1"/>
  <c r="J5608" i="1"/>
  <c r="K5608" i="1" s="1"/>
  <c r="J5609" i="1"/>
  <c r="K5609" i="1" s="1"/>
  <c r="J5610" i="1"/>
  <c r="K5610" i="1" s="1"/>
  <c r="J5611" i="1"/>
  <c r="K5611" i="1" s="1"/>
  <c r="J5612" i="1"/>
  <c r="K5612" i="1" s="1"/>
  <c r="J5613" i="1"/>
  <c r="K5613" i="1" s="1"/>
  <c r="J5614" i="1"/>
  <c r="K5614" i="1" s="1"/>
  <c r="J5615" i="1"/>
  <c r="K5615" i="1" s="1"/>
  <c r="J5616" i="1"/>
  <c r="K5616" i="1" s="1"/>
  <c r="J5617" i="1"/>
  <c r="K5617" i="1" s="1"/>
  <c r="J5618" i="1"/>
  <c r="K5618" i="1" s="1"/>
  <c r="J5619" i="1"/>
  <c r="K5619" i="1" s="1"/>
  <c r="J5620" i="1"/>
  <c r="K5620" i="1" s="1"/>
  <c r="J5621" i="1"/>
  <c r="K5621" i="1" s="1"/>
  <c r="J5622" i="1"/>
  <c r="K5622" i="1" s="1"/>
  <c r="J5623" i="1"/>
  <c r="K5623" i="1" s="1"/>
  <c r="J5624" i="1"/>
  <c r="K5624" i="1" s="1"/>
  <c r="J5625" i="1"/>
  <c r="K5625" i="1" s="1"/>
  <c r="J5626" i="1"/>
  <c r="K5626" i="1" s="1"/>
  <c r="J5627" i="1"/>
  <c r="K5627" i="1" s="1"/>
  <c r="J5628" i="1"/>
  <c r="K5628" i="1" s="1"/>
  <c r="J5629" i="1"/>
  <c r="K5629" i="1" s="1"/>
  <c r="J5630" i="1"/>
  <c r="K5630" i="1" s="1"/>
  <c r="J5631" i="1"/>
  <c r="K5631" i="1" s="1"/>
  <c r="J5632" i="1"/>
  <c r="K5632" i="1" s="1"/>
  <c r="J5633" i="1"/>
  <c r="K5633" i="1" s="1"/>
  <c r="J5634" i="1"/>
  <c r="K5634" i="1" s="1"/>
  <c r="J5635" i="1"/>
  <c r="K5635" i="1" s="1"/>
  <c r="J5636" i="1"/>
  <c r="K5636" i="1" s="1"/>
  <c r="J5637" i="1"/>
  <c r="K5637" i="1" s="1"/>
  <c r="J5638" i="1"/>
  <c r="K5638" i="1" s="1"/>
  <c r="J5639" i="1"/>
  <c r="K5639" i="1" s="1"/>
  <c r="J5640" i="1"/>
  <c r="K5640" i="1" s="1"/>
  <c r="J5641" i="1"/>
  <c r="K5641" i="1" s="1"/>
  <c r="J5642" i="1"/>
  <c r="K5642" i="1" s="1"/>
  <c r="J5643" i="1"/>
  <c r="K5643" i="1" s="1"/>
  <c r="J5644" i="1"/>
  <c r="K5644" i="1" s="1"/>
  <c r="J5645" i="1"/>
  <c r="K5645" i="1" s="1"/>
  <c r="J5646" i="1"/>
  <c r="K5646" i="1" s="1"/>
  <c r="J5647" i="1"/>
  <c r="K5647" i="1" s="1"/>
  <c r="J5648" i="1"/>
  <c r="K5648" i="1" s="1"/>
  <c r="J5649" i="1"/>
  <c r="K5649" i="1" s="1"/>
  <c r="J5650" i="1"/>
  <c r="K5650" i="1" s="1"/>
  <c r="J5651" i="1"/>
  <c r="K5651" i="1" s="1"/>
  <c r="J5652" i="1"/>
  <c r="K5652" i="1" s="1"/>
  <c r="J5653" i="1"/>
  <c r="K5653" i="1" s="1"/>
  <c r="J5654" i="1"/>
  <c r="K5654" i="1" s="1"/>
  <c r="J5655" i="1"/>
  <c r="K5655" i="1" s="1"/>
  <c r="J5656" i="1"/>
  <c r="K5656" i="1" s="1"/>
  <c r="J5657" i="1"/>
  <c r="K5657" i="1" s="1"/>
  <c r="J5658" i="1"/>
  <c r="K5658" i="1" s="1"/>
  <c r="J5659" i="1"/>
  <c r="K5659" i="1" s="1"/>
  <c r="J5660" i="1"/>
  <c r="K5660" i="1" s="1"/>
  <c r="J5661" i="1"/>
  <c r="K5661" i="1" s="1"/>
  <c r="J5662" i="1"/>
  <c r="K5662" i="1" s="1"/>
  <c r="J5663" i="1"/>
  <c r="K5663" i="1" s="1"/>
  <c r="J5664" i="1"/>
  <c r="K5664" i="1" s="1"/>
  <c r="J5665" i="1"/>
  <c r="K5665" i="1" s="1"/>
  <c r="J5666" i="1"/>
  <c r="K5666" i="1" s="1"/>
  <c r="J5667" i="1"/>
  <c r="K5667" i="1" s="1"/>
  <c r="J5668" i="1"/>
  <c r="K5668" i="1" s="1"/>
  <c r="J5669" i="1"/>
  <c r="K5669" i="1" s="1"/>
  <c r="J5670" i="1"/>
  <c r="K5670" i="1" s="1"/>
  <c r="J5671" i="1"/>
  <c r="K5671" i="1" s="1"/>
  <c r="J5672" i="1"/>
  <c r="K5672" i="1" s="1"/>
  <c r="J5673" i="1"/>
  <c r="K5673" i="1" s="1"/>
  <c r="J5674" i="1"/>
  <c r="K5674" i="1" s="1"/>
  <c r="J5675" i="1"/>
  <c r="K5675" i="1" s="1"/>
  <c r="J5676" i="1"/>
  <c r="K5676" i="1" s="1"/>
  <c r="J5677" i="1"/>
  <c r="K5677" i="1" s="1"/>
  <c r="J5678" i="1"/>
  <c r="K5678" i="1" s="1"/>
  <c r="J5679" i="1"/>
  <c r="K5679" i="1" s="1"/>
  <c r="J5680" i="1"/>
  <c r="K5680" i="1" s="1"/>
  <c r="J5681" i="1"/>
  <c r="K5681" i="1" s="1"/>
  <c r="J5682" i="1"/>
  <c r="K5682" i="1" s="1"/>
  <c r="J5683" i="1"/>
  <c r="K5683" i="1" s="1"/>
  <c r="J5684" i="1"/>
  <c r="K5684" i="1" s="1"/>
  <c r="J5685" i="1"/>
  <c r="K5685" i="1" s="1"/>
  <c r="J5686" i="1"/>
  <c r="K5686" i="1" s="1"/>
  <c r="J5687" i="1"/>
  <c r="K5687" i="1" s="1"/>
  <c r="J5688" i="1"/>
  <c r="K5688" i="1" s="1"/>
  <c r="J5689" i="1"/>
  <c r="K5689" i="1" s="1"/>
  <c r="J5690" i="1"/>
  <c r="K5690" i="1" s="1"/>
  <c r="J5691" i="1"/>
  <c r="K5691" i="1" s="1"/>
  <c r="J5692" i="1"/>
  <c r="K5692" i="1" s="1"/>
  <c r="J5693" i="1"/>
  <c r="K5693" i="1" s="1"/>
  <c r="J5694" i="1"/>
  <c r="K5694" i="1" s="1"/>
  <c r="J5695" i="1"/>
  <c r="K5695" i="1" s="1"/>
  <c r="J5696" i="1"/>
  <c r="K5696" i="1" s="1"/>
  <c r="J5697" i="1"/>
  <c r="K5697" i="1" s="1"/>
  <c r="J5698" i="1"/>
  <c r="K5698" i="1" s="1"/>
  <c r="J5699" i="1"/>
  <c r="K5699" i="1" s="1"/>
  <c r="J5700" i="1"/>
  <c r="K5700" i="1" s="1"/>
  <c r="J5701" i="1"/>
  <c r="K5701" i="1" s="1"/>
  <c r="J5702" i="1"/>
  <c r="K5702" i="1" s="1"/>
  <c r="J5703" i="1"/>
  <c r="K5703" i="1" s="1"/>
  <c r="J5704" i="1"/>
  <c r="K5704" i="1" s="1"/>
  <c r="J5705" i="1"/>
  <c r="K5705" i="1" s="1"/>
  <c r="J5706" i="1"/>
  <c r="K5706" i="1" s="1"/>
  <c r="J5707" i="1"/>
  <c r="K5707" i="1" s="1"/>
  <c r="J5708" i="1"/>
  <c r="K5708" i="1" s="1"/>
  <c r="J5709" i="1"/>
  <c r="K5709" i="1" s="1"/>
  <c r="J5710" i="1"/>
  <c r="K5710" i="1" s="1"/>
  <c r="J5711" i="1"/>
  <c r="K5711" i="1" s="1"/>
  <c r="J5712" i="1"/>
  <c r="K5712" i="1" s="1"/>
  <c r="J5713" i="1"/>
  <c r="K5713" i="1" s="1"/>
  <c r="J5714" i="1"/>
  <c r="K5714" i="1" s="1"/>
  <c r="J5715" i="1"/>
  <c r="K5715" i="1" s="1"/>
  <c r="J5716" i="1"/>
  <c r="K5716" i="1" s="1"/>
  <c r="J5717" i="1"/>
  <c r="K5717" i="1" s="1"/>
  <c r="J5718" i="1"/>
  <c r="K5718" i="1" s="1"/>
  <c r="J5719" i="1"/>
  <c r="K5719" i="1" s="1"/>
  <c r="J5720" i="1"/>
  <c r="K5720" i="1" s="1"/>
  <c r="J5721" i="1"/>
  <c r="K5721" i="1" s="1"/>
  <c r="J5722" i="1"/>
  <c r="K5722" i="1" s="1"/>
  <c r="J5723" i="1"/>
  <c r="K5723" i="1" s="1"/>
  <c r="J5724" i="1"/>
  <c r="K5724" i="1" s="1"/>
  <c r="J5725" i="1"/>
  <c r="K5725" i="1" s="1"/>
  <c r="J5726" i="1"/>
  <c r="K5726" i="1" s="1"/>
  <c r="J5727" i="1"/>
  <c r="K5727" i="1" s="1"/>
  <c r="J5728" i="1"/>
  <c r="K5728" i="1" s="1"/>
  <c r="J5729" i="1"/>
  <c r="K5729" i="1" s="1"/>
  <c r="J5730" i="1"/>
  <c r="K5730" i="1" s="1"/>
  <c r="J5731" i="1"/>
  <c r="K5731" i="1" s="1"/>
  <c r="J5732" i="1"/>
  <c r="K5732" i="1" s="1"/>
  <c r="J5733" i="1"/>
  <c r="K5733" i="1" s="1"/>
  <c r="J5734" i="1"/>
  <c r="K5734" i="1" s="1"/>
  <c r="J5735" i="1"/>
  <c r="K5735" i="1" s="1"/>
  <c r="J5736" i="1"/>
  <c r="K5736" i="1" s="1"/>
  <c r="J5737" i="1"/>
  <c r="K5737" i="1" s="1"/>
  <c r="J5738" i="1"/>
  <c r="K5738" i="1" s="1"/>
  <c r="J5739" i="1"/>
  <c r="K5739" i="1" s="1"/>
  <c r="J5740" i="1"/>
  <c r="K5740" i="1" s="1"/>
  <c r="J5741" i="1"/>
  <c r="K5741" i="1" s="1"/>
  <c r="J5742" i="1"/>
  <c r="K5742" i="1" s="1"/>
  <c r="J5743" i="1"/>
  <c r="K5743" i="1" s="1"/>
  <c r="J5744" i="1"/>
  <c r="K5744" i="1" s="1"/>
  <c r="J5745" i="1"/>
  <c r="K5745" i="1" s="1"/>
  <c r="J5746" i="1"/>
  <c r="K5746" i="1" s="1"/>
  <c r="J5747" i="1"/>
  <c r="K5747" i="1" s="1"/>
  <c r="J5748" i="1"/>
  <c r="K5748" i="1" s="1"/>
  <c r="J5749" i="1"/>
  <c r="K5749" i="1" s="1"/>
  <c r="J5750" i="1"/>
  <c r="K5750" i="1" s="1"/>
  <c r="J5751" i="1"/>
  <c r="K5751" i="1" s="1"/>
  <c r="J5752" i="1"/>
  <c r="K5752" i="1" s="1"/>
  <c r="J5753" i="1"/>
  <c r="K5753" i="1" s="1"/>
  <c r="J5754" i="1"/>
  <c r="K5754" i="1" s="1"/>
  <c r="J5755" i="1"/>
  <c r="K5755" i="1" s="1"/>
  <c r="J5756" i="1"/>
  <c r="K5756" i="1" s="1"/>
  <c r="J5757" i="1"/>
  <c r="K5757" i="1" s="1"/>
  <c r="J5758" i="1"/>
  <c r="K5758" i="1" s="1"/>
  <c r="J5759" i="1"/>
  <c r="K5759" i="1" s="1"/>
  <c r="J5760" i="1"/>
  <c r="K5760" i="1" s="1"/>
  <c r="J5761" i="1"/>
  <c r="K5761" i="1" s="1"/>
  <c r="J5762" i="1"/>
  <c r="K5762" i="1" s="1"/>
  <c r="J5763" i="1"/>
  <c r="K5763" i="1" s="1"/>
  <c r="J5764" i="1"/>
  <c r="K5764" i="1" s="1"/>
  <c r="J5765" i="1"/>
  <c r="K5765" i="1" s="1"/>
  <c r="J5766" i="1"/>
  <c r="K5766" i="1" s="1"/>
  <c r="J5767" i="1"/>
  <c r="K5767" i="1" s="1"/>
  <c r="J5768" i="1"/>
  <c r="K5768" i="1" s="1"/>
  <c r="J5769" i="1"/>
  <c r="K5769" i="1" s="1"/>
  <c r="J5770" i="1"/>
  <c r="K5770" i="1" s="1"/>
  <c r="J5771" i="1"/>
  <c r="K5771" i="1" s="1"/>
  <c r="J5772" i="1"/>
  <c r="K5772" i="1" s="1"/>
  <c r="J5773" i="1"/>
  <c r="K5773" i="1" s="1"/>
  <c r="J5774" i="1"/>
  <c r="K5774" i="1" s="1"/>
  <c r="J5775" i="1"/>
  <c r="K5775" i="1" s="1"/>
  <c r="J5776" i="1"/>
  <c r="K5776" i="1" s="1"/>
  <c r="J5777" i="1"/>
  <c r="K5777" i="1" s="1"/>
  <c r="J5778" i="1"/>
  <c r="K5778" i="1" s="1"/>
  <c r="J5779" i="1"/>
  <c r="K5779" i="1" s="1"/>
  <c r="J5780" i="1"/>
  <c r="K5780" i="1" s="1"/>
  <c r="J5781" i="1"/>
  <c r="K5781" i="1" s="1"/>
  <c r="J5782" i="1"/>
  <c r="K5782" i="1" s="1"/>
  <c r="J5783" i="1"/>
  <c r="K5783" i="1" s="1"/>
  <c r="J5784" i="1"/>
  <c r="K5784" i="1" s="1"/>
  <c r="J5785" i="1"/>
  <c r="K5785" i="1" s="1"/>
  <c r="J5786" i="1"/>
  <c r="K5786" i="1" s="1"/>
  <c r="J5787" i="1"/>
  <c r="K5787" i="1" s="1"/>
  <c r="J5788" i="1"/>
  <c r="K5788" i="1" s="1"/>
  <c r="J5789" i="1"/>
  <c r="K5789" i="1" s="1"/>
  <c r="J5790" i="1"/>
  <c r="K5790" i="1" s="1"/>
  <c r="J5791" i="1"/>
  <c r="K5791" i="1" s="1"/>
  <c r="J5792" i="1"/>
  <c r="K5792" i="1" s="1"/>
  <c r="J5793" i="1"/>
  <c r="K5793" i="1" s="1"/>
  <c r="J5794" i="1"/>
  <c r="K5794" i="1" s="1"/>
  <c r="J5795" i="1"/>
  <c r="K5795" i="1" s="1"/>
  <c r="J5796" i="1"/>
  <c r="K5796" i="1" s="1"/>
  <c r="J5797" i="1"/>
  <c r="K5797" i="1" s="1"/>
  <c r="J5798" i="1"/>
  <c r="K5798" i="1" s="1"/>
  <c r="J5799" i="1"/>
  <c r="K5799" i="1" s="1"/>
  <c r="J5800" i="1"/>
  <c r="K5800" i="1" s="1"/>
  <c r="J5801" i="1"/>
  <c r="K5801" i="1" s="1"/>
  <c r="J5802" i="1"/>
  <c r="K5802" i="1" s="1"/>
  <c r="J5803" i="1"/>
  <c r="K5803" i="1" s="1"/>
  <c r="J5804" i="1"/>
  <c r="K5804" i="1" s="1"/>
  <c r="J5805" i="1"/>
  <c r="K5805" i="1" s="1"/>
  <c r="J5806" i="1"/>
  <c r="K5806" i="1" s="1"/>
  <c r="J5807" i="1"/>
  <c r="K5807" i="1" s="1"/>
  <c r="J5808" i="1"/>
  <c r="K5808" i="1" s="1"/>
  <c r="J5809" i="1"/>
  <c r="K5809" i="1" s="1"/>
  <c r="J5810" i="1"/>
  <c r="K5810" i="1" s="1"/>
  <c r="J5811" i="1"/>
  <c r="K5811" i="1" s="1"/>
  <c r="J5812" i="1"/>
  <c r="K5812" i="1" s="1"/>
  <c r="J5813" i="1"/>
  <c r="K5813" i="1" s="1"/>
  <c r="J5814" i="1"/>
  <c r="K5814" i="1" s="1"/>
  <c r="J5815" i="1"/>
  <c r="K5815" i="1" s="1"/>
  <c r="J5816" i="1"/>
  <c r="K5816" i="1" s="1"/>
  <c r="J5817" i="1"/>
  <c r="K5817" i="1" s="1"/>
  <c r="J5818" i="1"/>
  <c r="K5818" i="1" s="1"/>
  <c r="J5819" i="1"/>
  <c r="K5819" i="1" s="1"/>
  <c r="J5820" i="1"/>
  <c r="K5820" i="1" s="1"/>
  <c r="J5821" i="1"/>
  <c r="K5821" i="1" s="1"/>
  <c r="J5822" i="1"/>
  <c r="K5822" i="1" s="1"/>
  <c r="J5823" i="1"/>
  <c r="K5823" i="1" s="1"/>
  <c r="J5824" i="1"/>
  <c r="K5824" i="1" s="1"/>
  <c r="J5825" i="1"/>
  <c r="K5825" i="1" s="1"/>
  <c r="J5826" i="1"/>
  <c r="K5826" i="1" s="1"/>
  <c r="J5827" i="1"/>
  <c r="K5827" i="1" s="1"/>
  <c r="J5828" i="1"/>
  <c r="K5828" i="1" s="1"/>
  <c r="J5829" i="1"/>
  <c r="K5829" i="1" s="1"/>
  <c r="J5830" i="1"/>
  <c r="K5830" i="1" s="1"/>
  <c r="J5831" i="1"/>
  <c r="K5831" i="1" s="1"/>
  <c r="J5832" i="1"/>
  <c r="K5832" i="1" s="1"/>
  <c r="J5833" i="1"/>
  <c r="K5833" i="1" s="1"/>
  <c r="J5834" i="1"/>
  <c r="K5834" i="1" s="1"/>
  <c r="J5835" i="1"/>
  <c r="K5835" i="1" s="1"/>
  <c r="J5836" i="1"/>
  <c r="K5836" i="1" s="1"/>
  <c r="J5837" i="1"/>
  <c r="K5837" i="1" s="1"/>
  <c r="J5838" i="1"/>
  <c r="K5838" i="1" s="1"/>
  <c r="J5839" i="1"/>
  <c r="K5839" i="1" s="1"/>
  <c r="J5840" i="1"/>
  <c r="K5840" i="1" s="1"/>
  <c r="J5841" i="1"/>
  <c r="K5841" i="1" s="1"/>
  <c r="J5842" i="1"/>
  <c r="K5842" i="1" s="1"/>
  <c r="J5843" i="1"/>
  <c r="K5843" i="1" s="1"/>
  <c r="J5844" i="1"/>
  <c r="K5844" i="1" s="1"/>
  <c r="J5845" i="1"/>
  <c r="K5845" i="1" s="1"/>
  <c r="J5846" i="1"/>
  <c r="K5846" i="1" s="1"/>
  <c r="J5847" i="1"/>
  <c r="K5847" i="1" s="1"/>
  <c r="J5848" i="1"/>
  <c r="K5848" i="1" s="1"/>
  <c r="J5849" i="1"/>
  <c r="K5849" i="1" s="1"/>
  <c r="J5850" i="1"/>
  <c r="K5850" i="1" s="1"/>
  <c r="J5851" i="1"/>
  <c r="K5851" i="1" s="1"/>
  <c r="J5852" i="1"/>
  <c r="K5852" i="1" s="1"/>
  <c r="J5853" i="1"/>
  <c r="K5853" i="1" s="1"/>
  <c r="J5854" i="1"/>
  <c r="K5854" i="1" s="1"/>
  <c r="J5855" i="1"/>
  <c r="K5855" i="1" s="1"/>
  <c r="J5856" i="1"/>
  <c r="K5856" i="1" s="1"/>
  <c r="J5857" i="1"/>
  <c r="K5857" i="1" s="1"/>
  <c r="J5858" i="1"/>
  <c r="K5858" i="1" s="1"/>
  <c r="J5859" i="1"/>
  <c r="K5859" i="1" s="1"/>
  <c r="J5860" i="1"/>
  <c r="K5860" i="1" s="1"/>
  <c r="J5861" i="1"/>
  <c r="K5861" i="1" s="1"/>
  <c r="J5862" i="1"/>
  <c r="K5862" i="1" s="1"/>
  <c r="J5863" i="1"/>
  <c r="K5863" i="1" s="1"/>
  <c r="J5864" i="1"/>
  <c r="K5864" i="1" s="1"/>
  <c r="J5865" i="1"/>
  <c r="K5865" i="1" s="1"/>
  <c r="J5866" i="1"/>
  <c r="K5866" i="1" s="1"/>
  <c r="J5867" i="1"/>
  <c r="K5867" i="1" s="1"/>
  <c r="J5868" i="1"/>
  <c r="K5868" i="1" s="1"/>
  <c r="J5869" i="1"/>
  <c r="K5869" i="1" s="1"/>
  <c r="J5870" i="1"/>
  <c r="K5870" i="1" s="1"/>
  <c r="J5871" i="1"/>
  <c r="K5871" i="1" s="1"/>
  <c r="J5872" i="1"/>
  <c r="K5872" i="1" s="1"/>
  <c r="J5873" i="1"/>
  <c r="K5873" i="1" s="1"/>
  <c r="J5874" i="1"/>
  <c r="K5874" i="1" s="1"/>
  <c r="J5875" i="1"/>
  <c r="K5875" i="1" s="1"/>
  <c r="J5876" i="1"/>
  <c r="K5876" i="1" s="1"/>
  <c r="J5877" i="1"/>
  <c r="K5877" i="1" s="1"/>
  <c r="J5878" i="1"/>
  <c r="K5878" i="1" s="1"/>
  <c r="J5879" i="1"/>
  <c r="K5879" i="1" s="1"/>
  <c r="J5880" i="1"/>
  <c r="K5880" i="1" s="1"/>
  <c r="J5881" i="1"/>
  <c r="K5881" i="1" s="1"/>
  <c r="J5882" i="1"/>
  <c r="K5882" i="1" s="1"/>
  <c r="J5883" i="1"/>
  <c r="K5883" i="1" s="1"/>
  <c r="J5884" i="1"/>
  <c r="K5884" i="1" s="1"/>
  <c r="J5885" i="1"/>
  <c r="K5885" i="1" s="1"/>
  <c r="J5886" i="1"/>
  <c r="K5886" i="1" s="1"/>
  <c r="J5887" i="1"/>
  <c r="K5887" i="1" s="1"/>
  <c r="J5888" i="1"/>
  <c r="K5888" i="1" s="1"/>
  <c r="J5889" i="1"/>
  <c r="K5889" i="1" s="1"/>
  <c r="J5890" i="1"/>
  <c r="K5890" i="1" s="1"/>
  <c r="J5891" i="1"/>
  <c r="K5891" i="1" s="1"/>
  <c r="J5892" i="1"/>
  <c r="K5892" i="1" s="1"/>
  <c r="J5893" i="1"/>
  <c r="K5893" i="1" s="1"/>
  <c r="J5894" i="1"/>
  <c r="K5894" i="1" s="1"/>
  <c r="J5895" i="1"/>
  <c r="K5895" i="1" s="1"/>
  <c r="J5896" i="1"/>
  <c r="K5896" i="1" s="1"/>
  <c r="J5897" i="1"/>
  <c r="K5897" i="1" s="1"/>
  <c r="J5898" i="1"/>
  <c r="K5898" i="1" s="1"/>
  <c r="J5899" i="1"/>
  <c r="K5899" i="1" s="1"/>
  <c r="J5900" i="1"/>
  <c r="K5900" i="1" s="1"/>
  <c r="J5901" i="1"/>
  <c r="K5901" i="1" s="1"/>
  <c r="J5902" i="1"/>
  <c r="K5902" i="1" s="1"/>
  <c r="J5903" i="1"/>
  <c r="K5903" i="1" s="1"/>
  <c r="J5904" i="1"/>
  <c r="K5904" i="1" s="1"/>
  <c r="J5905" i="1"/>
  <c r="K5905" i="1" s="1"/>
  <c r="J5906" i="1"/>
  <c r="K5906" i="1" s="1"/>
  <c r="J5907" i="1"/>
  <c r="K5907" i="1" s="1"/>
  <c r="J5908" i="1"/>
  <c r="K5908" i="1" s="1"/>
  <c r="J5909" i="1"/>
  <c r="K5909" i="1" s="1"/>
  <c r="J5910" i="1"/>
  <c r="K5910" i="1" s="1"/>
  <c r="J5911" i="1"/>
  <c r="K5911" i="1" s="1"/>
  <c r="J5912" i="1"/>
  <c r="K5912" i="1" s="1"/>
  <c r="J5913" i="1"/>
  <c r="K5913" i="1" s="1"/>
  <c r="J5914" i="1"/>
  <c r="K5914" i="1" s="1"/>
  <c r="J5915" i="1"/>
  <c r="K5915" i="1" s="1"/>
  <c r="J5916" i="1"/>
  <c r="K5916" i="1" s="1"/>
  <c r="J5917" i="1"/>
  <c r="K5917" i="1" s="1"/>
  <c r="J5918" i="1"/>
  <c r="K5918" i="1" s="1"/>
  <c r="J5919" i="1"/>
  <c r="K5919" i="1" s="1"/>
  <c r="J5920" i="1"/>
  <c r="K5920" i="1" s="1"/>
  <c r="J5921" i="1"/>
  <c r="K5921" i="1" s="1"/>
  <c r="J5922" i="1"/>
  <c r="K5922" i="1" s="1"/>
  <c r="J5923" i="1"/>
  <c r="K5923" i="1" s="1"/>
  <c r="J5924" i="1"/>
  <c r="K5924" i="1" s="1"/>
  <c r="J5925" i="1"/>
  <c r="K5925" i="1" s="1"/>
  <c r="J5926" i="1"/>
  <c r="K5926" i="1" s="1"/>
  <c r="J5927" i="1"/>
  <c r="K5927" i="1" s="1"/>
  <c r="J5928" i="1"/>
  <c r="K5928" i="1" s="1"/>
  <c r="J5929" i="1"/>
  <c r="K5929" i="1" s="1"/>
  <c r="J5930" i="1"/>
  <c r="K5930" i="1" s="1"/>
  <c r="J5931" i="1"/>
  <c r="K5931" i="1" s="1"/>
  <c r="J5932" i="1"/>
  <c r="K5932" i="1" s="1"/>
  <c r="J5933" i="1"/>
  <c r="K5933" i="1" s="1"/>
  <c r="J5934" i="1"/>
  <c r="K5934" i="1" s="1"/>
  <c r="J5935" i="1"/>
  <c r="K5935" i="1" s="1"/>
  <c r="J5936" i="1"/>
  <c r="K5936" i="1" s="1"/>
  <c r="J5937" i="1"/>
  <c r="K5937" i="1" s="1"/>
  <c r="J5938" i="1"/>
  <c r="K5938" i="1" s="1"/>
  <c r="J5939" i="1"/>
  <c r="K5939" i="1" s="1"/>
  <c r="J5940" i="1"/>
  <c r="K5940" i="1" s="1"/>
  <c r="J5941" i="1"/>
  <c r="K5941" i="1" s="1"/>
  <c r="J5942" i="1"/>
  <c r="K5942" i="1" s="1"/>
  <c r="J5943" i="1"/>
  <c r="K5943" i="1" s="1"/>
  <c r="J5944" i="1"/>
  <c r="K5944" i="1" s="1"/>
  <c r="J5945" i="1"/>
  <c r="K5945" i="1" s="1"/>
  <c r="J5946" i="1"/>
  <c r="K5946" i="1" s="1"/>
  <c r="J5947" i="1"/>
  <c r="K5947" i="1" s="1"/>
  <c r="J5948" i="1"/>
  <c r="K5948" i="1" s="1"/>
  <c r="J5949" i="1"/>
  <c r="K5949" i="1" s="1"/>
  <c r="J5950" i="1"/>
  <c r="K5950" i="1" s="1"/>
  <c r="J5951" i="1"/>
  <c r="K5951" i="1" s="1"/>
  <c r="J5952" i="1"/>
  <c r="K5952" i="1" s="1"/>
  <c r="J5953" i="1"/>
  <c r="K5953" i="1" s="1"/>
  <c r="J5954" i="1"/>
  <c r="K5954" i="1" s="1"/>
  <c r="J5955" i="1"/>
  <c r="K5955" i="1" s="1"/>
  <c r="J5956" i="1"/>
  <c r="K5956" i="1" s="1"/>
  <c r="J5957" i="1"/>
  <c r="K5957" i="1" s="1"/>
  <c r="J5958" i="1"/>
  <c r="K5958" i="1" s="1"/>
  <c r="J5959" i="1"/>
  <c r="K5959" i="1" s="1"/>
  <c r="J5960" i="1"/>
  <c r="K5960" i="1" s="1"/>
  <c r="J5961" i="1"/>
  <c r="K5961" i="1" s="1"/>
  <c r="J5962" i="1"/>
  <c r="K5962" i="1" s="1"/>
  <c r="J5963" i="1"/>
  <c r="K5963" i="1" s="1"/>
  <c r="J5964" i="1"/>
  <c r="K5964" i="1" s="1"/>
  <c r="J5965" i="1"/>
  <c r="K5965" i="1" s="1"/>
  <c r="J5966" i="1"/>
  <c r="K5966" i="1" s="1"/>
  <c r="J5967" i="1"/>
  <c r="K5967" i="1" s="1"/>
  <c r="J5968" i="1"/>
  <c r="K5968" i="1" s="1"/>
  <c r="J5969" i="1"/>
  <c r="K5969" i="1" s="1"/>
  <c r="J5970" i="1"/>
  <c r="K5970" i="1" s="1"/>
  <c r="J5971" i="1"/>
  <c r="K5971" i="1" s="1"/>
  <c r="J5972" i="1"/>
  <c r="K5972" i="1" s="1"/>
  <c r="J5973" i="1"/>
  <c r="K5973" i="1" s="1"/>
  <c r="J5974" i="1"/>
  <c r="K5974" i="1" s="1"/>
  <c r="J5975" i="1"/>
  <c r="K5975" i="1" s="1"/>
  <c r="J5976" i="1"/>
  <c r="K5976" i="1" s="1"/>
  <c r="J5977" i="1"/>
  <c r="K5977" i="1" s="1"/>
  <c r="J5978" i="1"/>
  <c r="K5978" i="1" s="1"/>
  <c r="J5979" i="1"/>
  <c r="K5979" i="1" s="1"/>
  <c r="J5980" i="1"/>
  <c r="K5980" i="1" s="1"/>
  <c r="J5981" i="1"/>
  <c r="K5981" i="1" s="1"/>
  <c r="J5982" i="1"/>
  <c r="K5982" i="1" s="1"/>
  <c r="J5983" i="1"/>
  <c r="K5983" i="1" s="1"/>
  <c r="J5984" i="1"/>
  <c r="K5984" i="1" s="1"/>
  <c r="J5985" i="1"/>
  <c r="K5985" i="1" s="1"/>
  <c r="J5986" i="1"/>
  <c r="K5986" i="1" s="1"/>
  <c r="J5987" i="1"/>
  <c r="K5987" i="1" s="1"/>
  <c r="J5988" i="1"/>
  <c r="K5988" i="1" s="1"/>
  <c r="J5989" i="1"/>
  <c r="K5989" i="1" s="1"/>
  <c r="J5990" i="1"/>
  <c r="K5990" i="1" s="1"/>
  <c r="J5991" i="1"/>
  <c r="K5991" i="1" s="1"/>
  <c r="J5992" i="1"/>
  <c r="K5992" i="1" s="1"/>
  <c r="J5993" i="1"/>
  <c r="K5993" i="1" s="1"/>
  <c r="J5994" i="1"/>
  <c r="K5994" i="1" s="1"/>
  <c r="J5995" i="1"/>
  <c r="K5995" i="1" s="1"/>
  <c r="J5996" i="1"/>
  <c r="K5996" i="1" s="1"/>
  <c r="J5997" i="1"/>
  <c r="K5997" i="1" s="1"/>
  <c r="J5998" i="1"/>
  <c r="K5998" i="1" s="1"/>
  <c r="J5999" i="1"/>
  <c r="K5999" i="1" s="1"/>
  <c r="J6000" i="1"/>
  <c r="K6000" i="1" s="1"/>
  <c r="J6001" i="1"/>
  <c r="K6001" i="1" s="1"/>
  <c r="J6002" i="1"/>
  <c r="K6002" i="1" s="1"/>
  <c r="J6003" i="1"/>
  <c r="K6003" i="1" s="1"/>
  <c r="J6004" i="1"/>
  <c r="K6004" i="1" s="1"/>
  <c r="J6005" i="1"/>
  <c r="K6005" i="1" s="1"/>
  <c r="J6006" i="1"/>
  <c r="K6006" i="1" s="1"/>
  <c r="J6007" i="1"/>
  <c r="K6007" i="1" s="1"/>
  <c r="J6008" i="1"/>
  <c r="K6008" i="1" s="1"/>
  <c r="J6009" i="1"/>
  <c r="K6009" i="1" s="1"/>
  <c r="J6010" i="1"/>
  <c r="K6010" i="1" s="1"/>
  <c r="J6011" i="1"/>
  <c r="K6011" i="1" s="1"/>
  <c r="J6012" i="1"/>
  <c r="K6012" i="1" s="1"/>
  <c r="J6013" i="1"/>
  <c r="K6013" i="1" s="1"/>
  <c r="J6014" i="1"/>
  <c r="K6014" i="1" s="1"/>
  <c r="J6015" i="1"/>
  <c r="K6015" i="1" s="1"/>
  <c r="J6016" i="1"/>
  <c r="K6016" i="1" s="1"/>
  <c r="J6017" i="1"/>
  <c r="K6017" i="1" s="1"/>
  <c r="J6018" i="1"/>
  <c r="K6018" i="1" s="1"/>
  <c r="J6019" i="1"/>
  <c r="K6019" i="1" s="1"/>
  <c r="J6020" i="1"/>
  <c r="K6020" i="1" s="1"/>
  <c r="J6021" i="1"/>
  <c r="K6021" i="1" s="1"/>
  <c r="J6022" i="1"/>
  <c r="K6022" i="1" s="1"/>
  <c r="J6023" i="1"/>
  <c r="K6023" i="1" s="1"/>
  <c r="J6024" i="1"/>
  <c r="K6024" i="1" s="1"/>
  <c r="J6025" i="1"/>
  <c r="K6025" i="1" s="1"/>
  <c r="J6026" i="1"/>
  <c r="K6026" i="1" s="1"/>
  <c r="J6027" i="1"/>
  <c r="K6027" i="1" s="1"/>
  <c r="J6028" i="1"/>
  <c r="K6028" i="1" s="1"/>
  <c r="J6029" i="1"/>
  <c r="K6029" i="1" s="1"/>
  <c r="J6030" i="1"/>
  <c r="K6030" i="1" s="1"/>
  <c r="J6031" i="1"/>
  <c r="K6031" i="1" s="1"/>
  <c r="J6032" i="1"/>
  <c r="K6032" i="1" s="1"/>
  <c r="J6033" i="1"/>
  <c r="K6033" i="1" s="1"/>
  <c r="J6034" i="1"/>
  <c r="K6034" i="1" s="1"/>
  <c r="J6035" i="1"/>
  <c r="K6035" i="1" s="1"/>
  <c r="J6036" i="1"/>
  <c r="K6036" i="1" s="1"/>
  <c r="J6037" i="1"/>
  <c r="K6037" i="1" s="1"/>
  <c r="J6038" i="1"/>
  <c r="K6038" i="1" s="1"/>
  <c r="J6039" i="1"/>
  <c r="K6039" i="1" s="1"/>
  <c r="J6040" i="1"/>
  <c r="K6040" i="1" s="1"/>
  <c r="J6041" i="1"/>
  <c r="K6041" i="1" s="1"/>
  <c r="J6042" i="1"/>
  <c r="K6042" i="1" s="1"/>
  <c r="J6043" i="1"/>
  <c r="K6043" i="1" s="1"/>
  <c r="J6044" i="1"/>
  <c r="K6044" i="1" s="1"/>
  <c r="J6045" i="1"/>
  <c r="K6045" i="1" s="1"/>
  <c r="J6046" i="1"/>
  <c r="K6046" i="1" s="1"/>
  <c r="J6047" i="1"/>
  <c r="K6047" i="1" s="1"/>
  <c r="J6048" i="1"/>
  <c r="K6048" i="1" s="1"/>
  <c r="J6049" i="1"/>
  <c r="K6049" i="1" s="1"/>
  <c r="J6050" i="1"/>
  <c r="K6050" i="1" s="1"/>
  <c r="J6051" i="1"/>
  <c r="K6051" i="1" s="1"/>
  <c r="J6052" i="1"/>
  <c r="K6052" i="1" s="1"/>
  <c r="J6053" i="1"/>
  <c r="K6053" i="1" s="1"/>
  <c r="J6054" i="1"/>
  <c r="K6054" i="1" s="1"/>
  <c r="J6055" i="1"/>
  <c r="K6055" i="1" s="1"/>
  <c r="J6056" i="1"/>
  <c r="K6056" i="1" s="1"/>
  <c r="J6057" i="1"/>
  <c r="K6057" i="1" s="1"/>
  <c r="J6058" i="1"/>
  <c r="K6058" i="1" s="1"/>
  <c r="J6059" i="1"/>
  <c r="K6059" i="1" s="1"/>
  <c r="J6060" i="1"/>
  <c r="K6060" i="1" s="1"/>
  <c r="J6061" i="1"/>
  <c r="K6061" i="1" s="1"/>
  <c r="J6062" i="1"/>
  <c r="K6062" i="1" s="1"/>
  <c r="J6063" i="1"/>
  <c r="K6063" i="1" s="1"/>
  <c r="J6064" i="1"/>
  <c r="K6064" i="1" s="1"/>
  <c r="J6065" i="1"/>
  <c r="K6065" i="1" s="1"/>
  <c r="J6066" i="1"/>
  <c r="K6066" i="1" s="1"/>
  <c r="J6067" i="1"/>
  <c r="K6067" i="1" s="1"/>
  <c r="J6068" i="1"/>
  <c r="K6068" i="1" s="1"/>
  <c r="J6069" i="1"/>
  <c r="K6069" i="1" s="1"/>
  <c r="J6070" i="1"/>
  <c r="K6070" i="1" s="1"/>
  <c r="J6071" i="1"/>
  <c r="K6071" i="1" s="1"/>
  <c r="J6072" i="1"/>
  <c r="K6072" i="1" s="1"/>
  <c r="J6073" i="1"/>
  <c r="K6073" i="1" s="1"/>
  <c r="J6074" i="1"/>
  <c r="K6074" i="1" s="1"/>
  <c r="J6075" i="1"/>
  <c r="K6075" i="1" s="1"/>
  <c r="J6076" i="1"/>
  <c r="K6076" i="1" s="1"/>
  <c r="J6077" i="1"/>
  <c r="K6077" i="1" s="1"/>
  <c r="J6078" i="1"/>
  <c r="K6078" i="1" s="1"/>
  <c r="J6079" i="1"/>
  <c r="K6079" i="1" s="1"/>
  <c r="J6080" i="1"/>
  <c r="K6080" i="1" s="1"/>
  <c r="J6081" i="1"/>
  <c r="K6081" i="1" s="1"/>
  <c r="J6082" i="1"/>
  <c r="K6082" i="1" s="1"/>
  <c r="J6083" i="1"/>
  <c r="K6083" i="1" s="1"/>
  <c r="J6084" i="1"/>
  <c r="K6084" i="1" s="1"/>
  <c r="J6085" i="1"/>
  <c r="K6085" i="1" s="1"/>
  <c r="J6086" i="1"/>
  <c r="K6086" i="1" s="1"/>
  <c r="J6087" i="1"/>
  <c r="K6087" i="1" s="1"/>
  <c r="J6088" i="1"/>
  <c r="K6088" i="1" s="1"/>
  <c r="J6089" i="1"/>
  <c r="K6089" i="1" s="1"/>
  <c r="J6090" i="1"/>
  <c r="K6090" i="1" s="1"/>
  <c r="J6091" i="1"/>
  <c r="K6091" i="1" s="1"/>
  <c r="J6092" i="1"/>
  <c r="K6092" i="1" s="1"/>
  <c r="J6093" i="1"/>
  <c r="K6093" i="1" s="1"/>
  <c r="J6094" i="1"/>
  <c r="K6094" i="1" s="1"/>
  <c r="J6095" i="1"/>
  <c r="K6095" i="1" s="1"/>
  <c r="J6096" i="1"/>
  <c r="K6096" i="1" s="1"/>
  <c r="J6097" i="1"/>
  <c r="K6097" i="1" s="1"/>
  <c r="J6098" i="1"/>
  <c r="K6098" i="1" s="1"/>
  <c r="J6099" i="1"/>
  <c r="K6099" i="1" s="1"/>
  <c r="J6100" i="1"/>
  <c r="K6100" i="1" s="1"/>
  <c r="J6101" i="1"/>
  <c r="K6101" i="1" s="1"/>
  <c r="J6102" i="1"/>
  <c r="K6102" i="1" s="1"/>
  <c r="J6103" i="1"/>
  <c r="K6103" i="1" s="1"/>
  <c r="J6104" i="1"/>
  <c r="K6104" i="1" s="1"/>
  <c r="J6105" i="1"/>
  <c r="K6105" i="1" s="1"/>
  <c r="J6106" i="1"/>
  <c r="K6106" i="1" s="1"/>
  <c r="J6107" i="1"/>
  <c r="K6107" i="1" s="1"/>
  <c r="J6108" i="1"/>
  <c r="K6108" i="1" s="1"/>
  <c r="J6109" i="1"/>
  <c r="K6109" i="1" s="1"/>
  <c r="J6110" i="1"/>
  <c r="K6110" i="1" s="1"/>
  <c r="J6111" i="1"/>
  <c r="K6111" i="1" s="1"/>
  <c r="J6112" i="1"/>
  <c r="K6112" i="1" s="1"/>
  <c r="J6113" i="1"/>
  <c r="K6113" i="1" s="1"/>
  <c r="J6114" i="1"/>
  <c r="K6114" i="1" s="1"/>
  <c r="J6115" i="1"/>
  <c r="K6115" i="1" s="1"/>
  <c r="J6116" i="1"/>
  <c r="K6116" i="1" s="1"/>
  <c r="J6117" i="1"/>
  <c r="K6117" i="1" s="1"/>
  <c r="J6118" i="1"/>
  <c r="K6118" i="1" s="1"/>
  <c r="J6119" i="1"/>
  <c r="K6119" i="1" s="1"/>
  <c r="J6120" i="1"/>
  <c r="K6120" i="1" s="1"/>
  <c r="J6121" i="1"/>
  <c r="K6121" i="1" s="1"/>
  <c r="J6122" i="1"/>
  <c r="K6122" i="1" s="1"/>
  <c r="J6123" i="1"/>
  <c r="K6123" i="1" s="1"/>
  <c r="J6124" i="1"/>
  <c r="K6124" i="1" s="1"/>
  <c r="J6125" i="1"/>
  <c r="K6125" i="1" s="1"/>
  <c r="J6126" i="1"/>
  <c r="K6126" i="1" s="1"/>
  <c r="J6127" i="1"/>
  <c r="K6127" i="1" s="1"/>
  <c r="J6128" i="1"/>
  <c r="K6128" i="1" s="1"/>
  <c r="J6129" i="1"/>
  <c r="K6129" i="1" s="1"/>
  <c r="J6130" i="1"/>
  <c r="K6130" i="1" s="1"/>
  <c r="J6131" i="1"/>
  <c r="K6131" i="1" s="1"/>
  <c r="J6132" i="1"/>
  <c r="K6132" i="1" s="1"/>
  <c r="J6133" i="1"/>
  <c r="K6133" i="1" s="1"/>
  <c r="J6134" i="1"/>
  <c r="K6134" i="1" s="1"/>
  <c r="J6135" i="1"/>
  <c r="K6135" i="1" s="1"/>
  <c r="J6136" i="1"/>
  <c r="K6136" i="1" s="1"/>
  <c r="J6137" i="1"/>
  <c r="K6137" i="1" s="1"/>
  <c r="J6138" i="1"/>
  <c r="K6138" i="1" s="1"/>
  <c r="J6139" i="1"/>
  <c r="K6139" i="1" s="1"/>
  <c r="J6140" i="1"/>
  <c r="K6140" i="1" s="1"/>
  <c r="J6141" i="1"/>
  <c r="K6141" i="1" s="1"/>
  <c r="J6142" i="1"/>
  <c r="K6142" i="1" s="1"/>
  <c r="J6143" i="1"/>
  <c r="K6143" i="1" s="1"/>
  <c r="J6144" i="1"/>
  <c r="K6144" i="1" s="1"/>
  <c r="J6145" i="1"/>
  <c r="K6145" i="1" s="1"/>
  <c r="J6146" i="1"/>
  <c r="K6146" i="1" s="1"/>
  <c r="J6147" i="1"/>
  <c r="K6147" i="1" s="1"/>
  <c r="J6148" i="1"/>
  <c r="K6148" i="1" s="1"/>
  <c r="J6149" i="1"/>
  <c r="K6149" i="1" s="1"/>
  <c r="J6150" i="1"/>
  <c r="K6150" i="1" s="1"/>
  <c r="J6151" i="1"/>
  <c r="K6151" i="1" s="1"/>
  <c r="J6152" i="1"/>
  <c r="K6152" i="1" s="1"/>
  <c r="J6153" i="1"/>
  <c r="K6153" i="1" s="1"/>
  <c r="J6154" i="1"/>
  <c r="K6154" i="1" s="1"/>
  <c r="J6155" i="1"/>
  <c r="K6155" i="1" s="1"/>
  <c r="J6156" i="1"/>
  <c r="K6156" i="1" s="1"/>
  <c r="J6157" i="1"/>
  <c r="K6157" i="1" s="1"/>
  <c r="J6158" i="1"/>
  <c r="K6158" i="1" s="1"/>
  <c r="J6159" i="1"/>
  <c r="K6159" i="1" s="1"/>
  <c r="J6160" i="1"/>
  <c r="K6160" i="1" s="1"/>
  <c r="J6161" i="1"/>
  <c r="K6161" i="1" s="1"/>
  <c r="J6162" i="1"/>
  <c r="K6162" i="1" s="1"/>
  <c r="J6163" i="1"/>
  <c r="K6163" i="1" s="1"/>
  <c r="J6164" i="1"/>
  <c r="K6164" i="1" s="1"/>
  <c r="J6165" i="1"/>
  <c r="K6165" i="1" s="1"/>
  <c r="J6166" i="1"/>
  <c r="K6166" i="1" s="1"/>
  <c r="J6167" i="1"/>
  <c r="K6167" i="1" s="1"/>
  <c r="J6168" i="1"/>
  <c r="K6168" i="1" s="1"/>
  <c r="J6169" i="1"/>
  <c r="K6169" i="1" s="1"/>
  <c r="J6170" i="1"/>
  <c r="K6170" i="1" s="1"/>
  <c r="J6171" i="1"/>
  <c r="K6171" i="1" s="1"/>
  <c r="J6172" i="1"/>
  <c r="K6172" i="1" s="1"/>
  <c r="J6173" i="1"/>
  <c r="K6173" i="1" s="1"/>
  <c r="J6174" i="1"/>
  <c r="K6174" i="1" s="1"/>
  <c r="J6175" i="1"/>
  <c r="K6175" i="1" s="1"/>
  <c r="J6176" i="1"/>
  <c r="K6176" i="1" s="1"/>
  <c r="J6177" i="1"/>
  <c r="K6177" i="1" s="1"/>
  <c r="J6178" i="1"/>
  <c r="K6178" i="1" s="1"/>
  <c r="J6179" i="1"/>
  <c r="K6179" i="1" s="1"/>
  <c r="J6180" i="1"/>
  <c r="K6180" i="1" s="1"/>
  <c r="J6181" i="1"/>
  <c r="K6181" i="1" s="1"/>
  <c r="J6182" i="1"/>
  <c r="K6182" i="1" s="1"/>
  <c r="J6183" i="1"/>
  <c r="K6183" i="1" s="1"/>
  <c r="J6184" i="1"/>
  <c r="K6184" i="1" s="1"/>
  <c r="J6185" i="1"/>
  <c r="K6185" i="1" s="1"/>
  <c r="J6186" i="1"/>
  <c r="K6186" i="1" s="1"/>
  <c r="J6187" i="1"/>
  <c r="K6187" i="1" s="1"/>
  <c r="J6188" i="1"/>
  <c r="K6188" i="1" s="1"/>
  <c r="J6189" i="1"/>
  <c r="K6189" i="1" s="1"/>
  <c r="J6190" i="1"/>
  <c r="K6190" i="1" s="1"/>
  <c r="J6191" i="1"/>
  <c r="K6191" i="1" s="1"/>
  <c r="J6192" i="1"/>
  <c r="K6192" i="1" s="1"/>
  <c r="J6193" i="1"/>
  <c r="K6193" i="1" s="1"/>
  <c r="J6194" i="1"/>
  <c r="K6194" i="1" s="1"/>
  <c r="J6195" i="1"/>
  <c r="K6195" i="1" s="1"/>
  <c r="J6196" i="1"/>
  <c r="K6196" i="1" s="1"/>
  <c r="J6197" i="1"/>
  <c r="K6197" i="1" s="1"/>
  <c r="J6198" i="1"/>
  <c r="K6198" i="1" s="1"/>
  <c r="J6199" i="1"/>
  <c r="K6199" i="1" s="1"/>
  <c r="J6200" i="1"/>
  <c r="K6200" i="1" s="1"/>
  <c r="J6201" i="1"/>
  <c r="K6201" i="1" s="1"/>
  <c r="J6202" i="1"/>
  <c r="K6202" i="1" s="1"/>
  <c r="J6203" i="1"/>
  <c r="K6203" i="1" s="1"/>
  <c r="J6204" i="1"/>
  <c r="K6204" i="1" s="1"/>
  <c r="J6205" i="1"/>
  <c r="K6205" i="1" s="1"/>
  <c r="J6206" i="1"/>
  <c r="K6206" i="1" s="1"/>
  <c r="J6207" i="1"/>
  <c r="K6207" i="1" s="1"/>
  <c r="J6208" i="1"/>
  <c r="K6208" i="1" s="1"/>
  <c r="J6209" i="1"/>
  <c r="K6209" i="1" s="1"/>
  <c r="J6210" i="1"/>
  <c r="K6210" i="1" s="1"/>
  <c r="J6211" i="1"/>
  <c r="K6211" i="1" s="1"/>
  <c r="J6212" i="1"/>
  <c r="K6212" i="1" s="1"/>
  <c r="J6213" i="1"/>
  <c r="K6213" i="1" s="1"/>
  <c r="J6214" i="1"/>
  <c r="K6214" i="1" s="1"/>
  <c r="J6215" i="1"/>
  <c r="K6215" i="1" s="1"/>
  <c r="J6216" i="1"/>
  <c r="K6216" i="1" s="1"/>
  <c r="J6217" i="1"/>
  <c r="K6217" i="1" s="1"/>
  <c r="J6218" i="1"/>
  <c r="K6218" i="1" s="1"/>
  <c r="J6219" i="1"/>
  <c r="K6219" i="1" s="1"/>
  <c r="J6220" i="1"/>
  <c r="K6220" i="1" s="1"/>
  <c r="J6221" i="1"/>
  <c r="K6221" i="1" s="1"/>
  <c r="J6222" i="1"/>
  <c r="K6222" i="1" s="1"/>
  <c r="J6223" i="1"/>
  <c r="K6223" i="1" s="1"/>
  <c r="J6224" i="1"/>
  <c r="K6224" i="1" s="1"/>
  <c r="J6225" i="1"/>
  <c r="K6225" i="1" s="1"/>
  <c r="J6226" i="1"/>
  <c r="K6226" i="1" s="1"/>
  <c r="J6227" i="1"/>
  <c r="K6227" i="1" s="1"/>
  <c r="J6228" i="1"/>
  <c r="K6228" i="1" s="1"/>
  <c r="J6229" i="1"/>
  <c r="K6229" i="1" s="1"/>
  <c r="J6230" i="1"/>
  <c r="K6230" i="1" s="1"/>
  <c r="J6231" i="1"/>
  <c r="K6231" i="1" s="1"/>
  <c r="J6232" i="1"/>
  <c r="K6232" i="1" s="1"/>
  <c r="J6233" i="1"/>
  <c r="K6233" i="1" s="1"/>
  <c r="J6234" i="1"/>
  <c r="K6234" i="1" s="1"/>
  <c r="J6235" i="1"/>
  <c r="K6235" i="1" s="1"/>
  <c r="J6236" i="1"/>
  <c r="K6236" i="1" s="1"/>
  <c r="J6237" i="1"/>
  <c r="K6237" i="1" s="1"/>
  <c r="J6238" i="1"/>
  <c r="K6238" i="1" s="1"/>
  <c r="J6239" i="1"/>
  <c r="K6239" i="1" s="1"/>
  <c r="J6240" i="1"/>
  <c r="K6240" i="1" s="1"/>
  <c r="J6241" i="1"/>
  <c r="K6241" i="1" s="1"/>
  <c r="J6242" i="1"/>
  <c r="K6242" i="1" s="1"/>
  <c r="J6243" i="1"/>
  <c r="K6243" i="1" s="1"/>
  <c r="J6244" i="1"/>
  <c r="K6244" i="1" s="1"/>
  <c r="J6245" i="1"/>
  <c r="K6245" i="1" s="1"/>
  <c r="J6246" i="1"/>
  <c r="K6246" i="1" s="1"/>
  <c r="J6247" i="1"/>
  <c r="K6247" i="1" s="1"/>
  <c r="J6248" i="1"/>
  <c r="K6248" i="1" s="1"/>
  <c r="J6249" i="1"/>
  <c r="K6249" i="1" s="1"/>
  <c r="J6250" i="1"/>
  <c r="K6250" i="1" s="1"/>
  <c r="J6251" i="1"/>
  <c r="K6251" i="1" s="1"/>
  <c r="J6252" i="1"/>
  <c r="K6252" i="1" s="1"/>
  <c r="J6253" i="1"/>
  <c r="K6253" i="1" s="1"/>
  <c r="J6254" i="1"/>
  <c r="K6254" i="1" s="1"/>
  <c r="J6255" i="1"/>
  <c r="K6255" i="1" s="1"/>
  <c r="J6256" i="1"/>
  <c r="K6256" i="1" s="1"/>
  <c r="J6257" i="1"/>
  <c r="K6257" i="1" s="1"/>
  <c r="J6258" i="1"/>
  <c r="K6258" i="1" s="1"/>
  <c r="J6259" i="1"/>
  <c r="K6259" i="1" s="1"/>
  <c r="J6260" i="1"/>
  <c r="K6260" i="1" s="1"/>
  <c r="J6261" i="1"/>
  <c r="K6261" i="1" s="1"/>
  <c r="J6262" i="1"/>
  <c r="K6262" i="1" s="1"/>
  <c r="J6263" i="1"/>
  <c r="K6263" i="1" s="1"/>
  <c r="J6264" i="1"/>
  <c r="K6264" i="1" s="1"/>
  <c r="J6265" i="1"/>
  <c r="K6265" i="1" s="1"/>
  <c r="J6266" i="1"/>
  <c r="K6266" i="1" s="1"/>
  <c r="J6267" i="1"/>
  <c r="K6267" i="1" s="1"/>
  <c r="J6268" i="1"/>
  <c r="K6268" i="1" s="1"/>
  <c r="J6269" i="1"/>
  <c r="K6269" i="1" s="1"/>
  <c r="J6270" i="1"/>
  <c r="K6270" i="1" s="1"/>
  <c r="J6271" i="1"/>
  <c r="K6271" i="1" s="1"/>
  <c r="J6272" i="1"/>
  <c r="K6272" i="1" s="1"/>
  <c r="J6273" i="1"/>
  <c r="K6273" i="1" s="1"/>
  <c r="J6274" i="1"/>
  <c r="K6274" i="1" s="1"/>
  <c r="J6275" i="1"/>
  <c r="K6275" i="1" s="1"/>
  <c r="J6276" i="1"/>
  <c r="K6276" i="1" s="1"/>
  <c r="J6277" i="1"/>
  <c r="K6277" i="1" s="1"/>
  <c r="J6278" i="1"/>
  <c r="K6278" i="1" s="1"/>
  <c r="J6279" i="1"/>
  <c r="K6279" i="1" s="1"/>
  <c r="J6280" i="1"/>
  <c r="K6280" i="1" s="1"/>
  <c r="J6281" i="1"/>
  <c r="K6281" i="1" s="1"/>
  <c r="J6282" i="1"/>
  <c r="K6282" i="1" s="1"/>
  <c r="J6283" i="1"/>
  <c r="K6283" i="1" s="1"/>
  <c r="J6284" i="1"/>
  <c r="K6284" i="1" s="1"/>
  <c r="J6285" i="1"/>
  <c r="K6285" i="1" s="1"/>
  <c r="J6286" i="1"/>
  <c r="K6286" i="1" s="1"/>
  <c r="J6287" i="1"/>
  <c r="K6287" i="1" s="1"/>
  <c r="J6288" i="1"/>
  <c r="K6288" i="1" s="1"/>
  <c r="J6289" i="1"/>
  <c r="K6289" i="1" s="1"/>
  <c r="J6290" i="1"/>
  <c r="K6290" i="1" s="1"/>
  <c r="J6291" i="1"/>
  <c r="K6291" i="1" s="1"/>
  <c r="J6292" i="1"/>
  <c r="K6292" i="1" s="1"/>
  <c r="J6293" i="1"/>
  <c r="K6293" i="1" s="1"/>
  <c r="J6294" i="1"/>
  <c r="K6294" i="1" s="1"/>
  <c r="J6295" i="1"/>
  <c r="K6295" i="1" s="1"/>
  <c r="J6296" i="1"/>
  <c r="K6296" i="1" s="1"/>
  <c r="J6297" i="1"/>
  <c r="K6297" i="1" s="1"/>
  <c r="J6298" i="1"/>
  <c r="K6298" i="1" s="1"/>
  <c r="J6299" i="1"/>
  <c r="K6299" i="1" s="1"/>
  <c r="J6300" i="1"/>
  <c r="K6300" i="1" s="1"/>
  <c r="J6301" i="1"/>
  <c r="K6301" i="1" s="1"/>
  <c r="J6302" i="1"/>
  <c r="K6302" i="1" s="1"/>
  <c r="J6303" i="1"/>
  <c r="K6303" i="1" s="1"/>
  <c r="J6304" i="1"/>
  <c r="K6304" i="1" s="1"/>
  <c r="J6305" i="1"/>
  <c r="K6305" i="1" s="1"/>
  <c r="J6306" i="1"/>
  <c r="K6306" i="1" s="1"/>
  <c r="J6307" i="1"/>
  <c r="K6307" i="1" s="1"/>
  <c r="J6308" i="1"/>
  <c r="K6308" i="1" s="1"/>
  <c r="J6309" i="1"/>
  <c r="K6309" i="1" s="1"/>
  <c r="J6310" i="1"/>
  <c r="K6310" i="1" s="1"/>
  <c r="J6311" i="1"/>
  <c r="K6311" i="1" s="1"/>
  <c r="J6312" i="1"/>
  <c r="K6312" i="1" s="1"/>
  <c r="J6313" i="1"/>
  <c r="K6313" i="1" s="1"/>
  <c r="J6314" i="1"/>
  <c r="K6314" i="1" s="1"/>
  <c r="J6315" i="1"/>
  <c r="K6315" i="1" s="1"/>
  <c r="J6316" i="1"/>
  <c r="K6316" i="1" s="1"/>
  <c r="J6317" i="1"/>
  <c r="K6317" i="1" s="1"/>
  <c r="J6318" i="1"/>
  <c r="K6318" i="1" s="1"/>
  <c r="J6319" i="1"/>
  <c r="K6319" i="1" s="1"/>
  <c r="J6320" i="1"/>
  <c r="K6320" i="1" s="1"/>
  <c r="J6321" i="1"/>
  <c r="K6321" i="1" s="1"/>
  <c r="J6322" i="1"/>
  <c r="K6322" i="1" s="1"/>
  <c r="J6323" i="1"/>
  <c r="K6323" i="1" s="1"/>
  <c r="J6324" i="1"/>
  <c r="K6324" i="1" s="1"/>
  <c r="J6325" i="1"/>
  <c r="K6325" i="1" s="1"/>
  <c r="J6326" i="1"/>
  <c r="K6326" i="1" s="1"/>
  <c r="J6327" i="1"/>
  <c r="K6327" i="1" s="1"/>
  <c r="J6328" i="1"/>
  <c r="K6328" i="1" s="1"/>
  <c r="J6329" i="1"/>
  <c r="K6329" i="1" s="1"/>
  <c r="J6330" i="1"/>
  <c r="K6330" i="1" s="1"/>
  <c r="J6331" i="1"/>
  <c r="K6331" i="1" s="1"/>
  <c r="J6332" i="1"/>
  <c r="K6332" i="1" s="1"/>
  <c r="J6333" i="1"/>
  <c r="K6333" i="1" s="1"/>
  <c r="J6334" i="1"/>
  <c r="K6334" i="1" s="1"/>
  <c r="J6335" i="1"/>
  <c r="K6335" i="1" s="1"/>
  <c r="J6336" i="1"/>
  <c r="K6336" i="1" s="1"/>
  <c r="J6337" i="1"/>
  <c r="K6337" i="1" s="1"/>
  <c r="J6338" i="1"/>
  <c r="K6338" i="1" s="1"/>
  <c r="J6339" i="1"/>
  <c r="K6339" i="1" s="1"/>
  <c r="J6340" i="1"/>
  <c r="K6340" i="1" s="1"/>
  <c r="J6341" i="1"/>
  <c r="K6341" i="1" s="1"/>
  <c r="J6342" i="1"/>
  <c r="K6342" i="1" s="1"/>
  <c r="J6343" i="1"/>
  <c r="K6343" i="1" s="1"/>
  <c r="J6344" i="1"/>
  <c r="K6344" i="1" s="1"/>
  <c r="J6345" i="1"/>
  <c r="K6345" i="1" s="1"/>
  <c r="J6346" i="1"/>
  <c r="K6346" i="1" s="1"/>
  <c r="J6347" i="1"/>
  <c r="K6347" i="1" s="1"/>
  <c r="J6348" i="1"/>
  <c r="K6348" i="1" s="1"/>
  <c r="J6349" i="1"/>
  <c r="K6349" i="1" s="1"/>
  <c r="J6350" i="1"/>
  <c r="K6350" i="1" s="1"/>
  <c r="J6351" i="1"/>
  <c r="K6351" i="1" s="1"/>
  <c r="J6352" i="1"/>
  <c r="K6352" i="1" s="1"/>
  <c r="J6353" i="1"/>
  <c r="K6353" i="1" s="1"/>
  <c r="J6354" i="1"/>
  <c r="K6354" i="1" s="1"/>
  <c r="J6355" i="1"/>
  <c r="K6355" i="1" s="1"/>
  <c r="J6356" i="1"/>
  <c r="K6356" i="1" s="1"/>
  <c r="J6357" i="1"/>
  <c r="K6357" i="1" s="1"/>
  <c r="J6358" i="1"/>
  <c r="K6358" i="1" s="1"/>
  <c r="J6359" i="1"/>
  <c r="K6359" i="1" s="1"/>
  <c r="J6360" i="1"/>
  <c r="K6360" i="1" s="1"/>
  <c r="J6361" i="1"/>
  <c r="K6361" i="1" s="1"/>
  <c r="J6362" i="1"/>
  <c r="K6362" i="1" s="1"/>
  <c r="J6363" i="1"/>
  <c r="K6363" i="1" s="1"/>
  <c r="J6364" i="1"/>
  <c r="K6364" i="1" s="1"/>
  <c r="J6365" i="1"/>
  <c r="K6365" i="1" s="1"/>
  <c r="J6366" i="1"/>
  <c r="K6366" i="1" s="1"/>
  <c r="J6367" i="1"/>
  <c r="K6367" i="1" s="1"/>
  <c r="J6368" i="1"/>
  <c r="K6368" i="1" s="1"/>
  <c r="J6369" i="1"/>
  <c r="K6369" i="1" s="1"/>
  <c r="J6370" i="1"/>
  <c r="K6370" i="1" s="1"/>
  <c r="J6371" i="1"/>
  <c r="K6371" i="1" s="1"/>
  <c r="J6372" i="1"/>
  <c r="K6372" i="1" s="1"/>
  <c r="J6373" i="1"/>
  <c r="K6373" i="1" s="1"/>
  <c r="J6374" i="1"/>
  <c r="K6374" i="1" s="1"/>
  <c r="J6375" i="1"/>
  <c r="K6375" i="1" s="1"/>
  <c r="J6376" i="1"/>
  <c r="K6376" i="1" s="1"/>
  <c r="J6377" i="1"/>
  <c r="K6377" i="1" s="1"/>
  <c r="J6378" i="1"/>
  <c r="K6378" i="1" s="1"/>
  <c r="J6379" i="1"/>
  <c r="K6379" i="1" s="1"/>
  <c r="J6380" i="1"/>
  <c r="K6380" i="1" s="1"/>
  <c r="J6381" i="1"/>
  <c r="K6381" i="1" s="1"/>
  <c r="J6382" i="1"/>
  <c r="K6382" i="1" s="1"/>
  <c r="J6383" i="1"/>
  <c r="K6383" i="1" s="1"/>
  <c r="J6384" i="1"/>
  <c r="K6384" i="1" s="1"/>
  <c r="J6385" i="1"/>
  <c r="K6385" i="1" s="1"/>
  <c r="J6386" i="1"/>
  <c r="K6386" i="1" s="1"/>
  <c r="J6387" i="1"/>
  <c r="K6387" i="1" s="1"/>
  <c r="J6388" i="1"/>
  <c r="K6388" i="1" s="1"/>
  <c r="J6389" i="1"/>
  <c r="K6389" i="1" s="1"/>
  <c r="J6390" i="1"/>
  <c r="K6390" i="1" s="1"/>
  <c r="J6391" i="1"/>
  <c r="K6391" i="1" s="1"/>
  <c r="J6392" i="1"/>
  <c r="K6392" i="1" s="1"/>
  <c r="J6393" i="1"/>
  <c r="K6393" i="1" s="1"/>
  <c r="J6394" i="1"/>
  <c r="K6394" i="1" s="1"/>
  <c r="J6395" i="1"/>
  <c r="K6395" i="1" s="1"/>
  <c r="J6396" i="1"/>
  <c r="K6396" i="1" s="1"/>
  <c r="J6397" i="1"/>
  <c r="K6397" i="1" s="1"/>
  <c r="J6398" i="1"/>
  <c r="K6398" i="1" s="1"/>
  <c r="J6399" i="1"/>
  <c r="K6399" i="1" s="1"/>
  <c r="J6400" i="1"/>
  <c r="K6400" i="1" s="1"/>
  <c r="J6401" i="1"/>
  <c r="K6401" i="1" s="1"/>
  <c r="J6402" i="1"/>
  <c r="K6402" i="1" s="1"/>
  <c r="J6403" i="1"/>
  <c r="K6403" i="1" s="1"/>
  <c r="J6404" i="1"/>
  <c r="K6404" i="1" s="1"/>
  <c r="J6405" i="1"/>
  <c r="K6405" i="1" s="1"/>
  <c r="J6406" i="1"/>
  <c r="K6406" i="1" s="1"/>
  <c r="J6407" i="1"/>
  <c r="K6407" i="1" s="1"/>
  <c r="J6408" i="1"/>
  <c r="K6408" i="1" s="1"/>
  <c r="J6409" i="1"/>
  <c r="K6409" i="1" s="1"/>
  <c r="J6410" i="1"/>
  <c r="K6410" i="1" s="1"/>
  <c r="J6411" i="1"/>
  <c r="K6411" i="1" s="1"/>
  <c r="J6412" i="1"/>
  <c r="K6412" i="1" s="1"/>
  <c r="J6413" i="1"/>
  <c r="K6413" i="1" s="1"/>
  <c r="J6414" i="1"/>
  <c r="K6414" i="1" s="1"/>
  <c r="J6415" i="1"/>
  <c r="K6415" i="1" s="1"/>
  <c r="J6416" i="1"/>
  <c r="K6416" i="1" s="1"/>
  <c r="J6417" i="1"/>
  <c r="K6417" i="1" s="1"/>
  <c r="J6418" i="1"/>
  <c r="K6418" i="1" s="1"/>
  <c r="J6419" i="1"/>
  <c r="K6419" i="1" s="1"/>
  <c r="J6420" i="1"/>
  <c r="K6420" i="1" s="1"/>
  <c r="J6421" i="1"/>
  <c r="K6421" i="1" s="1"/>
  <c r="J6422" i="1"/>
  <c r="K6422" i="1" s="1"/>
  <c r="J6423" i="1"/>
  <c r="K6423" i="1" s="1"/>
  <c r="J6424" i="1"/>
  <c r="K6424" i="1" s="1"/>
  <c r="J6425" i="1"/>
  <c r="K6425" i="1" s="1"/>
  <c r="J6426" i="1"/>
  <c r="K6426" i="1" s="1"/>
  <c r="J6427" i="1"/>
  <c r="K6427" i="1" s="1"/>
  <c r="J6428" i="1"/>
  <c r="K6428" i="1" s="1"/>
  <c r="J6429" i="1"/>
  <c r="K6429" i="1" s="1"/>
  <c r="J6430" i="1"/>
  <c r="K6430" i="1" s="1"/>
  <c r="J6431" i="1"/>
  <c r="K6431" i="1" s="1"/>
  <c r="J6432" i="1"/>
  <c r="K6432" i="1" s="1"/>
  <c r="J6433" i="1"/>
  <c r="K6433" i="1" s="1"/>
  <c r="J6434" i="1"/>
  <c r="K6434" i="1" s="1"/>
  <c r="J6435" i="1"/>
  <c r="K6435" i="1" s="1"/>
  <c r="J6436" i="1"/>
  <c r="K6436" i="1" s="1"/>
  <c r="J6437" i="1"/>
  <c r="K6437" i="1" s="1"/>
  <c r="J6438" i="1"/>
  <c r="K6438" i="1" s="1"/>
  <c r="J6439" i="1"/>
  <c r="K6439" i="1" s="1"/>
  <c r="J6440" i="1"/>
  <c r="K6440" i="1" s="1"/>
  <c r="J6441" i="1"/>
  <c r="K6441" i="1" s="1"/>
  <c r="J6442" i="1"/>
  <c r="K6442" i="1" s="1"/>
  <c r="J6443" i="1"/>
  <c r="K6443" i="1" s="1"/>
  <c r="J6444" i="1"/>
  <c r="K6444" i="1" s="1"/>
  <c r="J6445" i="1"/>
  <c r="K6445" i="1" s="1"/>
  <c r="J6446" i="1"/>
  <c r="K6446" i="1" s="1"/>
  <c r="J6447" i="1"/>
  <c r="K6447" i="1" s="1"/>
  <c r="J6448" i="1"/>
  <c r="K6448" i="1" s="1"/>
  <c r="J6449" i="1"/>
  <c r="K6449" i="1" s="1"/>
  <c r="J6450" i="1"/>
  <c r="K6450" i="1" s="1"/>
  <c r="J6451" i="1"/>
  <c r="K6451" i="1" s="1"/>
  <c r="J6452" i="1"/>
  <c r="K6452" i="1" s="1"/>
  <c r="J6453" i="1"/>
  <c r="K6453" i="1" s="1"/>
  <c r="J6454" i="1"/>
  <c r="K6454" i="1" s="1"/>
  <c r="J6455" i="1"/>
  <c r="K6455" i="1" s="1"/>
  <c r="J6456" i="1"/>
  <c r="K6456" i="1" s="1"/>
  <c r="J6457" i="1"/>
  <c r="K6457" i="1" s="1"/>
  <c r="J6458" i="1"/>
  <c r="K6458" i="1" s="1"/>
  <c r="J6459" i="1"/>
  <c r="K6459" i="1" s="1"/>
  <c r="J6460" i="1"/>
  <c r="K6460" i="1" s="1"/>
  <c r="J6461" i="1"/>
  <c r="K6461" i="1" s="1"/>
  <c r="J6462" i="1"/>
  <c r="K6462" i="1" s="1"/>
  <c r="J6463" i="1"/>
  <c r="K6463" i="1" s="1"/>
  <c r="J6464" i="1"/>
  <c r="K6464" i="1" s="1"/>
  <c r="J6465" i="1"/>
  <c r="K6465" i="1" s="1"/>
  <c r="J6466" i="1"/>
  <c r="K6466" i="1" s="1"/>
  <c r="J6467" i="1"/>
  <c r="K6467" i="1" s="1"/>
  <c r="J6468" i="1"/>
  <c r="K6468" i="1" s="1"/>
  <c r="J6469" i="1"/>
  <c r="K6469" i="1" s="1"/>
  <c r="J6470" i="1"/>
  <c r="K6470" i="1" s="1"/>
  <c r="J6471" i="1"/>
  <c r="K6471" i="1" s="1"/>
  <c r="J6472" i="1"/>
  <c r="K6472" i="1" s="1"/>
  <c r="J6473" i="1"/>
  <c r="K6473" i="1" s="1"/>
  <c r="J6474" i="1"/>
  <c r="K6474" i="1" s="1"/>
  <c r="J6475" i="1"/>
  <c r="K6475" i="1" s="1"/>
  <c r="J6476" i="1"/>
  <c r="K6476" i="1" s="1"/>
  <c r="J6477" i="1"/>
  <c r="K6477" i="1" s="1"/>
  <c r="J6478" i="1"/>
  <c r="K6478" i="1" s="1"/>
  <c r="J6479" i="1"/>
  <c r="K6479" i="1" s="1"/>
  <c r="J6480" i="1"/>
  <c r="K6480" i="1" s="1"/>
  <c r="J6481" i="1"/>
  <c r="K6481" i="1" s="1"/>
  <c r="J6482" i="1"/>
  <c r="K6482" i="1" s="1"/>
  <c r="J6483" i="1"/>
  <c r="K6483" i="1" s="1"/>
  <c r="J6484" i="1"/>
  <c r="K6484" i="1" s="1"/>
  <c r="J6485" i="1"/>
  <c r="K6485" i="1" s="1"/>
  <c r="J6486" i="1"/>
  <c r="K6486" i="1" s="1"/>
  <c r="J6487" i="1"/>
  <c r="K6487" i="1" s="1"/>
  <c r="J6488" i="1"/>
  <c r="K6488" i="1" s="1"/>
  <c r="J6489" i="1"/>
  <c r="K6489" i="1" s="1"/>
  <c r="J6490" i="1"/>
  <c r="K6490" i="1" s="1"/>
  <c r="J6491" i="1"/>
  <c r="K6491" i="1" s="1"/>
  <c r="J6492" i="1"/>
  <c r="K6492" i="1" s="1"/>
  <c r="J6493" i="1"/>
  <c r="K6493" i="1" s="1"/>
  <c r="J6494" i="1"/>
  <c r="K6494" i="1" s="1"/>
  <c r="J6495" i="1"/>
  <c r="K6495" i="1" s="1"/>
  <c r="J6496" i="1"/>
  <c r="K6496" i="1" s="1"/>
  <c r="J6497" i="1"/>
  <c r="K6497" i="1" s="1"/>
  <c r="J6498" i="1"/>
  <c r="K6498" i="1" s="1"/>
  <c r="J6499" i="1"/>
  <c r="K6499" i="1" s="1"/>
  <c r="J6500" i="1"/>
  <c r="K6500" i="1" s="1"/>
  <c r="J6501" i="1"/>
  <c r="K6501" i="1" s="1"/>
  <c r="J6502" i="1"/>
  <c r="K6502" i="1" s="1"/>
  <c r="J6503" i="1"/>
  <c r="K6503" i="1" s="1"/>
  <c r="J6504" i="1"/>
  <c r="K6504" i="1" s="1"/>
  <c r="J6505" i="1"/>
  <c r="K6505" i="1" s="1"/>
  <c r="J6506" i="1"/>
  <c r="K6506" i="1" s="1"/>
  <c r="J6507" i="1"/>
  <c r="K6507" i="1" s="1"/>
  <c r="J6508" i="1"/>
  <c r="K6508" i="1" s="1"/>
  <c r="J6509" i="1"/>
  <c r="K6509" i="1" s="1"/>
  <c r="J6510" i="1"/>
  <c r="K6510" i="1" s="1"/>
  <c r="J6511" i="1"/>
  <c r="K6511" i="1" s="1"/>
  <c r="J6512" i="1"/>
  <c r="K6512" i="1" s="1"/>
  <c r="J6513" i="1"/>
  <c r="K6513" i="1" s="1"/>
  <c r="J6514" i="1"/>
  <c r="K6514" i="1" s="1"/>
  <c r="J6515" i="1"/>
  <c r="K6515" i="1" s="1"/>
  <c r="J6516" i="1"/>
  <c r="K6516" i="1" s="1"/>
  <c r="J6517" i="1"/>
  <c r="K6517" i="1" s="1"/>
  <c r="J6518" i="1"/>
  <c r="K6518" i="1" s="1"/>
  <c r="J6519" i="1"/>
  <c r="K6519" i="1" s="1"/>
  <c r="J6520" i="1"/>
  <c r="K6520" i="1" s="1"/>
  <c r="J6521" i="1"/>
  <c r="K6521" i="1" s="1"/>
  <c r="J6522" i="1"/>
  <c r="K6522" i="1" s="1"/>
  <c r="J6523" i="1"/>
  <c r="K6523" i="1" s="1"/>
  <c r="J6524" i="1"/>
  <c r="K6524" i="1" s="1"/>
  <c r="J6525" i="1"/>
  <c r="K6525" i="1" s="1"/>
  <c r="J6526" i="1"/>
  <c r="K6526" i="1" s="1"/>
  <c r="J6527" i="1"/>
  <c r="K6527" i="1" s="1"/>
  <c r="J6528" i="1"/>
  <c r="K6528" i="1" s="1"/>
  <c r="J6529" i="1"/>
  <c r="K6529" i="1" s="1"/>
  <c r="J6530" i="1"/>
  <c r="K6530" i="1" s="1"/>
  <c r="J6531" i="1"/>
  <c r="K6531" i="1" s="1"/>
  <c r="J6532" i="1"/>
  <c r="K6532" i="1" s="1"/>
  <c r="J6533" i="1"/>
  <c r="K6533" i="1" s="1"/>
  <c r="J6534" i="1"/>
  <c r="K6534" i="1" s="1"/>
  <c r="J6535" i="1"/>
  <c r="K6535" i="1" s="1"/>
  <c r="J6536" i="1"/>
  <c r="K6536" i="1" s="1"/>
  <c r="J6537" i="1"/>
  <c r="K6537" i="1" s="1"/>
  <c r="J6538" i="1"/>
  <c r="K6538" i="1" s="1"/>
  <c r="J6539" i="1"/>
  <c r="K6539" i="1" s="1"/>
  <c r="J6540" i="1"/>
  <c r="K6540" i="1" s="1"/>
  <c r="J6541" i="1"/>
  <c r="K6541" i="1" s="1"/>
  <c r="J6542" i="1"/>
  <c r="K6542" i="1" s="1"/>
  <c r="J6543" i="1"/>
  <c r="K6543" i="1" s="1"/>
  <c r="J6544" i="1"/>
  <c r="K6544" i="1" s="1"/>
  <c r="J6545" i="1"/>
  <c r="K6545" i="1" s="1"/>
  <c r="J6546" i="1"/>
  <c r="K6546" i="1" s="1"/>
  <c r="J6547" i="1"/>
  <c r="K6547" i="1" s="1"/>
  <c r="J6548" i="1"/>
  <c r="K6548" i="1" s="1"/>
  <c r="J6549" i="1"/>
  <c r="K6549" i="1" s="1"/>
  <c r="J6550" i="1"/>
  <c r="K6550" i="1" s="1"/>
  <c r="J6551" i="1"/>
  <c r="K6551" i="1" s="1"/>
  <c r="J6552" i="1"/>
  <c r="K6552" i="1" s="1"/>
  <c r="J6553" i="1"/>
  <c r="K6553" i="1" s="1"/>
  <c r="J6554" i="1"/>
  <c r="K6554" i="1" s="1"/>
  <c r="J6555" i="1"/>
  <c r="K6555" i="1" s="1"/>
  <c r="J6556" i="1"/>
  <c r="K6556" i="1" s="1"/>
  <c r="J6557" i="1"/>
  <c r="K6557" i="1" s="1"/>
  <c r="J6558" i="1"/>
  <c r="K6558" i="1" s="1"/>
  <c r="J6559" i="1"/>
  <c r="K6559" i="1" s="1"/>
  <c r="J6560" i="1"/>
  <c r="K6560" i="1" s="1"/>
  <c r="J6561" i="1"/>
  <c r="K6561" i="1" s="1"/>
  <c r="J6562" i="1"/>
  <c r="K6562" i="1" s="1"/>
  <c r="J6563" i="1"/>
  <c r="K6563" i="1" s="1"/>
  <c r="J6564" i="1"/>
  <c r="K6564" i="1" s="1"/>
  <c r="J6565" i="1"/>
  <c r="K6565" i="1" s="1"/>
  <c r="J6566" i="1"/>
  <c r="K6566" i="1" s="1"/>
  <c r="J6567" i="1"/>
  <c r="K6567" i="1" s="1"/>
  <c r="J6568" i="1"/>
  <c r="K6568" i="1" s="1"/>
  <c r="J6569" i="1"/>
  <c r="K6569" i="1" s="1"/>
  <c r="J6570" i="1"/>
  <c r="K6570" i="1" s="1"/>
  <c r="J6571" i="1"/>
  <c r="K6571" i="1" s="1"/>
  <c r="J6572" i="1"/>
  <c r="K6572" i="1" s="1"/>
  <c r="J6573" i="1"/>
  <c r="K6573" i="1" s="1"/>
  <c r="J6574" i="1"/>
  <c r="K6574" i="1" s="1"/>
  <c r="J6575" i="1"/>
  <c r="K6575" i="1" s="1"/>
  <c r="J6576" i="1"/>
  <c r="K6576" i="1" s="1"/>
  <c r="J6577" i="1"/>
  <c r="K6577" i="1" s="1"/>
  <c r="J6578" i="1"/>
  <c r="K6578" i="1" s="1"/>
  <c r="J6579" i="1"/>
  <c r="K6579" i="1" s="1"/>
  <c r="J6580" i="1"/>
  <c r="K6580" i="1" s="1"/>
  <c r="J6581" i="1"/>
  <c r="K6581" i="1" s="1"/>
  <c r="J6582" i="1"/>
  <c r="K6582" i="1" s="1"/>
  <c r="J6583" i="1"/>
  <c r="K6583" i="1" s="1"/>
  <c r="J6584" i="1"/>
  <c r="K6584" i="1" s="1"/>
  <c r="J6585" i="1"/>
  <c r="K6585" i="1" s="1"/>
  <c r="J6586" i="1"/>
  <c r="K6586" i="1" s="1"/>
  <c r="J6587" i="1"/>
  <c r="K6587" i="1" s="1"/>
  <c r="J6588" i="1"/>
  <c r="K6588" i="1" s="1"/>
  <c r="J6589" i="1"/>
  <c r="K6589" i="1" s="1"/>
  <c r="J6590" i="1"/>
  <c r="K6590" i="1" s="1"/>
  <c r="J6591" i="1"/>
  <c r="K6591" i="1" s="1"/>
  <c r="J6592" i="1"/>
  <c r="K6592" i="1" s="1"/>
  <c r="J6593" i="1"/>
  <c r="K6593" i="1" s="1"/>
  <c r="J6594" i="1"/>
  <c r="K6594" i="1" s="1"/>
  <c r="J6595" i="1"/>
  <c r="K6595" i="1" s="1"/>
  <c r="J6596" i="1"/>
  <c r="K6596" i="1" s="1"/>
  <c r="J6597" i="1"/>
  <c r="K6597" i="1" s="1"/>
  <c r="J6598" i="1"/>
  <c r="K6598" i="1" s="1"/>
  <c r="J6599" i="1"/>
  <c r="K6599" i="1" s="1"/>
  <c r="J6600" i="1"/>
  <c r="K6600" i="1" s="1"/>
  <c r="J6601" i="1"/>
  <c r="K6601" i="1" s="1"/>
  <c r="J6602" i="1"/>
  <c r="K6602" i="1" s="1"/>
  <c r="J6603" i="1"/>
  <c r="K6603" i="1" s="1"/>
  <c r="J6604" i="1"/>
  <c r="K6604" i="1" s="1"/>
  <c r="J6605" i="1"/>
  <c r="K6605" i="1" s="1"/>
  <c r="J6606" i="1"/>
  <c r="K6606" i="1" s="1"/>
  <c r="J6607" i="1"/>
  <c r="K6607" i="1" s="1"/>
  <c r="J6608" i="1"/>
  <c r="K6608" i="1" s="1"/>
  <c r="J6609" i="1"/>
  <c r="K6609" i="1" s="1"/>
  <c r="J6610" i="1"/>
  <c r="K6610" i="1" s="1"/>
  <c r="J6611" i="1"/>
  <c r="K6611" i="1" s="1"/>
  <c r="J6612" i="1"/>
  <c r="K6612" i="1" s="1"/>
  <c r="J6613" i="1"/>
  <c r="K6613" i="1" s="1"/>
  <c r="J6614" i="1"/>
  <c r="K6614" i="1" s="1"/>
  <c r="J6615" i="1"/>
  <c r="K6615" i="1" s="1"/>
  <c r="J6616" i="1"/>
  <c r="K6616" i="1" s="1"/>
  <c r="J6617" i="1"/>
  <c r="K6617" i="1" s="1"/>
  <c r="J6618" i="1"/>
  <c r="K6618" i="1" s="1"/>
  <c r="J6619" i="1"/>
  <c r="K6619" i="1" s="1"/>
  <c r="J6620" i="1"/>
  <c r="K6620" i="1" s="1"/>
  <c r="J6621" i="1"/>
  <c r="K6621" i="1" s="1"/>
  <c r="J6622" i="1"/>
  <c r="K6622" i="1" s="1"/>
  <c r="J6623" i="1"/>
  <c r="K6623" i="1" s="1"/>
  <c r="J6624" i="1"/>
  <c r="K6624" i="1" s="1"/>
  <c r="J6625" i="1"/>
  <c r="K6625" i="1" s="1"/>
  <c r="J6626" i="1"/>
  <c r="K6626" i="1" s="1"/>
  <c r="J6627" i="1"/>
  <c r="K6627" i="1" s="1"/>
  <c r="J6628" i="1"/>
  <c r="K6628" i="1" s="1"/>
  <c r="J6629" i="1"/>
  <c r="K6629" i="1" s="1"/>
  <c r="J6630" i="1"/>
  <c r="K6630" i="1" s="1"/>
  <c r="J6631" i="1"/>
  <c r="K6631" i="1" s="1"/>
  <c r="J6632" i="1"/>
  <c r="K6632" i="1" s="1"/>
  <c r="J6633" i="1"/>
  <c r="K6633" i="1" s="1"/>
  <c r="J6634" i="1"/>
  <c r="K6634" i="1" s="1"/>
  <c r="J6635" i="1"/>
  <c r="K6635" i="1" s="1"/>
  <c r="J6636" i="1"/>
  <c r="K6636" i="1" s="1"/>
  <c r="J6637" i="1"/>
  <c r="K6637" i="1" s="1"/>
  <c r="J6638" i="1"/>
  <c r="K6638" i="1" s="1"/>
  <c r="J6639" i="1"/>
  <c r="K6639" i="1" s="1"/>
  <c r="J6640" i="1"/>
  <c r="K6640" i="1" s="1"/>
  <c r="J6641" i="1"/>
  <c r="K6641" i="1" s="1"/>
  <c r="J6642" i="1"/>
  <c r="K6642" i="1" s="1"/>
  <c r="J6643" i="1"/>
  <c r="K6643" i="1" s="1"/>
  <c r="J6644" i="1"/>
  <c r="K6644" i="1" s="1"/>
  <c r="J6645" i="1"/>
  <c r="K6645" i="1" s="1"/>
  <c r="J6646" i="1"/>
  <c r="K6646" i="1" s="1"/>
  <c r="J6647" i="1"/>
  <c r="K6647" i="1" s="1"/>
  <c r="J6648" i="1"/>
  <c r="K6648" i="1" s="1"/>
  <c r="J6649" i="1"/>
  <c r="K6649" i="1" s="1"/>
  <c r="J6650" i="1"/>
  <c r="K6650" i="1" s="1"/>
  <c r="J6651" i="1"/>
  <c r="K6651" i="1" s="1"/>
  <c r="J6652" i="1"/>
  <c r="K6652" i="1" s="1"/>
  <c r="J6653" i="1"/>
  <c r="K6653" i="1" s="1"/>
  <c r="J6654" i="1"/>
  <c r="K6654" i="1" s="1"/>
  <c r="J6655" i="1"/>
  <c r="K6655" i="1" s="1"/>
  <c r="J6656" i="1"/>
  <c r="K6656" i="1" s="1"/>
  <c r="J6657" i="1"/>
  <c r="K6657" i="1" s="1"/>
  <c r="J6658" i="1"/>
  <c r="K6658" i="1" s="1"/>
  <c r="J6659" i="1"/>
  <c r="K6659" i="1" s="1"/>
  <c r="J6660" i="1"/>
  <c r="K6660" i="1" s="1"/>
  <c r="J6661" i="1"/>
  <c r="K6661" i="1" s="1"/>
  <c r="J6662" i="1"/>
  <c r="K6662" i="1" s="1"/>
  <c r="J6663" i="1"/>
  <c r="K6663" i="1" s="1"/>
  <c r="J6664" i="1"/>
  <c r="K6664" i="1" s="1"/>
  <c r="J6665" i="1"/>
  <c r="K6665" i="1" s="1"/>
  <c r="J6666" i="1"/>
  <c r="K6666" i="1" s="1"/>
  <c r="J6667" i="1"/>
  <c r="K6667" i="1" s="1"/>
  <c r="J6668" i="1"/>
  <c r="K6668" i="1" s="1"/>
  <c r="J6669" i="1"/>
  <c r="K6669" i="1" s="1"/>
  <c r="J6670" i="1"/>
  <c r="K6670" i="1" s="1"/>
  <c r="J6671" i="1"/>
  <c r="K6671" i="1" s="1"/>
  <c r="J6672" i="1"/>
  <c r="K6672" i="1" s="1"/>
  <c r="J6673" i="1"/>
  <c r="K6673" i="1" s="1"/>
  <c r="J6674" i="1"/>
  <c r="K6674" i="1" s="1"/>
  <c r="J6675" i="1"/>
  <c r="K6675" i="1" s="1"/>
  <c r="J6676" i="1"/>
  <c r="K6676" i="1" s="1"/>
  <c r="J6677" i="1"/>
  <c r="K6677" i="1" s="1"/>
  <c r="J6678" i="1"/>
  <c r="K6678" i="1" s="1"/>
  <c r="J6679" i="1"/>
  <c r="K6679" i="1" s="1"/>
  <c r="J6680" i="1"/>
  <c r="K6680" i="1" s="1"/>
  <c r="J6681" i="1"/>
  <c r="K6681" i="1" s="1"/>
  <c r="J6682" i="1"/>
  <c r="K6682" i="1" s="1"/>
  <c r="J6683" i="1"/>
  <c r="K6683" i="1" s="1"/>
  <c r="J6684" i="1"/>
  <c r="K6684" i="1" s="1"/>
  <c r="J6685" i="1"/>
  <c r="K6685" i="1" s="1"/>
  <c r="J6686" i="1"/>
  <c r="K6686" i="1" s="1"/>
  <c r="J6687" i="1"/>
  <c r="K6687" i="1" s="1"/>
  <c r="J6688" i="1"/>
  <c r="K6688" i="1" s="1"/>
  <c r="J6689" i="1"/>
  <c r="K6689" i="1" s="1"/>
  <c r="J6690" i="1"/>
  <c r="K6690" i="1" s="1"/>
  <c r="J6691" i="1"/>
  <c r="K6691" i="1" s="1"/>
  <c r="J6692" i="1"/>
  <c r="K6692" i="1" s="1"/>
  <c r="J6693" i="1"/>
  <c r="K6693" i="1" s="1"/>
  <c r="J6694" i="1"/>
  <c r="K6694" i="1" s="1"/>
  <c r="J6695" i="1"/>
  <c r="K6695" i="1" s="1"/>
  <c r="J6696" i="1"/>
  <c r="K6696" i="1" s="1"/>
  <c r="J6697" i="1"/>
  <c r="K6697" i="1" s="1"/>
  <c r="J6698" i="1"/>
  <c r="K6698" i="1" s="1"/>
  <c r="J6699" i="1"/>
  <c r="K6699" i="1" s="1"/>
  <c r="J6700" i="1"/>
  <c r="K6700" i="1" s="1"/>
  <c r="J6701" i="1"/>
  <c r="K6701" i="1" s="1"/>
  <c r="J6702" i="1"/>
  <c r="K6702" i="1" s="1"/>
  <c r="J6703" i="1"/>
  <c r="K6703" i="1" s="1"/>
  <c r="J6704" i="1"/>
  <c r="K6704" i="1" s="1"/>
  <c r="J6705" i="1"/>
  <c r="K6705" i="1" s="1"/>
  <c r="J6706" i="1"/>
  <c r="K6706" i="1" s="1"/>
  <c r="J6707" i="1"/>
  <c r="K6707" i="1" s="1"/>
  <c r="J6708" i="1"/>
  <c r="K6708" i="1" s="1"/>
  <c r="J6709" i="1"/>
  <c r="K6709" i="1" s="1"/>
  <c r="J6710" i="1"/>
  <c r="K6710" i="1" s="1"/>
  <c r="J6711" i="1"/>
  <c r="K6711" i="1" s="1"/>
  <c r="J6712" i="1"/>
  <c r="K6712" i="1" s="1"/>
  <c r="J6713" i="1"/>
  <c r="K6713" i="1" s="1"/>
  <c r="J6714" i="1"/>
  <c r="K6714" i="1" s="1"/>
  <c r="J6715" i="1"/>
  <c r="K6715" i="1" s="1"/>
  <c r="J6716" i="1"/>
  <c r="K6716" i="1" s="1"/>
  <c r="J6717" i="1"/>
  <c r="K6717" i="1" s="1"/>
  <c r="J6718" i="1"/>
  <c r="K6718" i="1" s="1"/>
  <c r="J6719" i="1"/>
  <c r="K6719" i="1" s="1"/>
  <c r="J6720" i="1"/>
  <c r="K6720" i="1" s="1"/>
  <c r="J6721" i="1"/>
  <c r="K6721" i="1" s="1"/>
  <c r="J6722" i="1"/>
  <c r="K6722" i="1" s="1"/>
  <c r="J6723" i="1"/>
  <c r="K6723" i="1" s="1"/>
  <c r="J6724" i="1"/>
  <c r="K6724" i="1" s="1"/>
  <c r="J6725" i="1"/>
  <c r="K6725" i="1" s="1"/>
  <c r="J6726" i="1"/>
  <c r="K6726" i="1" s="1"/>
  <c r="J6727" i="1"/>
  <c r="K6727" i="1" s="1"/>
  <c r="J6728" i="1"/>
  <c r="K6728" i="1" s="1"/>
  <c r="J6729" i="1"/>
  <c r="K6729" i="1" s="1"/>
  <c r="J6730" i="1"/>
  <c r="K6730" i="1" s="1"/>
  <c r="J6731" i="1"/>
  <c r="K6731" i="1" s="1"/>
  <c r="J6732" i="1"/>
  <c r="K6732" i="1" s="1"/>
  <c r="J6733" i="1"/>
  <c r="K6733" i="1" s="1"/>
  <c r="J6734" i="1"/>
  <c r="K6734" i="1" s="1"/>
  <c r="J6735" i="1"/>
  <c r="K6735" i="1" s="1"/>
  <c r="J6736" i="1"/>
  <c r="K6736" i="1" s="1"/>
  <c r="J6737" i="1"/>
  <c r="K6737" i="1" s="1"/>
  <c r="J6738" i="1"/>
  <c r="K6738" i="1" s="1"/>
  <c r="J6739" i="1"/>
  <c r="K6739" i="1" s="1"/>
  <c r="J6740" i="1"/>
  <c r="K6740" i="1" s="1"/>
  <c r="J6741" i="1"/>
  <c r="K6741" i="1" s="1"/>
  <c r="J6742" i="1"/>
  <c r="K6742" i="1" s="1"/>
  <c r="J6743" i="1"/>
  <c r="K6743" i="1" s="1"/>
  <c r="J6744" i="1"/>
  <c r="K6744" i="1" s="1"/>
  <c r="J6745" i="1"/>
  <c r="K6745" i="1" s="1"/>
  <c r="J6746" i="1"/>
  <c r="K6746" i="1" s="1"/>
  <c r="J6747" i="1"/>
  <c r="K6747" i="1" s="1"/>
  <c r="J6748" i="1"/>
  <c r="K6748" i="1" s="1"/>
  <c r="J6749" i="1"/>
  <c r="K6749" i="1" s="1"/>
  <c r="J6750" i="1"/>
  <c r="K6750" i="1" s="1"/>
  <c r="J6751" i="1"/>
  <c r="K6751" i="1" s="1"/>
  <c r="J6752" i="1"/>
  <c r="K6752" i="1" s="1"/>
  <c r="J6753" i="1"/>
  <c r="K6753" i="1" s="1"/>
  <c r="J6754" i="1"/>
  <c r="K6754" i="1" s="1"/>
  <c r="J6755" i="1"/>
  <c r="K6755" i="1" s="1"/>
  <c r="J6756" i="1"/>
  <c r="K6756" i="1" s="1"/>
  <c r="J6757" i="1"/>
  <c r="K6757" i="1" s="1"/>
  <c r="J6758" i="1"/>
  <c r="K6758" i="1" s="1"/>
  <c r="J6759" i="1"/>
  <c r="K6759" i="1" s="1"/>
  <c r="J6760" i="1"/>
  <c r="K6760" i="1" s="1"/>
  <c r="J6761" i="1"/>
  <c r="K6761" i="1" s="1"/>
  <c r="J6762" i="1"/>
  <c r="K6762" i="1" s="1"/>
  <c r="J6763" i="1"/>
  <c r="K6763" i="1" s="1"/>
  <c r="J6764" i="1"/>
  <c r="K6764" i="1" s="1"/>
  <c r="J6765" i="1"/>
  <c r="K6765" i="1" s="1"/>
  <c r="J6766" i="1"/>
  <c r="K6766" i="1" s="1"/>
  <c r="J6767" i="1"/>
  <c r="K6767" i="1" s="1"/>
  <c r="J6768" i="1"/>
  <c r="K6768" i="1" s="1"/>
  <c r="J6769" i="1"/>
  <c r="K6769" i="1" s="1"/>
  <c r="J6770" i="1"/>
  <c r="K6770" i="1" s="1"/>
  <c r="J6771" i="1"/>
  <c r="K6771" i="1" s="1"/>
  <c r="J6772" i="1"/>
  <c r="K6772" i="1" s="1"/>
  <c r="J6773" i="1"/>
  <c r="K6773" i="1" s="1"/>
  <c r="J6774" i="1"/>
  <c r="K6774" i="1" s="1"/>
  <c r="J6775" i="1"/>
  <c r="K6775" i="1" s="1"/>
  <c r="J6776" i="1"/>
  <c r="K6776" i="1" s="1"/>
  <c r="J6777" i="1"/>
  <c r="K6777" i="1" s="1"/>
  <c r="J6778" i="1"/>
  <c r="K6778" i="1" s="1"/>
  <c r="J6779" i="1"/>
  <c r="K6779" i="1" s="1"/>
  <c r="J6780" i="1"/>
  <c r="K6780" i="1" s="1"/>
  <c r="J6781" i="1"/>
  <c r="K6781" i="1" s="1"/>
  <c r="J6782" i="1"/>
  <c r="K6782" i="1" s="1"/>
  <c r="J6783" i="1"/>
  <c r="K6783" i="1" s="1"/>
  <c r="J6784" i="1"/>
  <c r="K6784" i="1" s="1"/>
  <c r="J6785" i="1"/>
  <c r="K6785" i="1" s="1"/>
  <c r="J6786" i="1"/>
  <c r="K6786" i="1" s="1"/>
  <c r="J6787" i="1"/>
  <c r="K6787" i="1" s="1"/>
  <c r="J6788" i="1"/>
  <c r="K6788" i="1" s="1"/>
  <c r="J6789" i="1"/>
  <c r="K6789" i="1" s="1"/>
  <c r="J6790" i="1"/>
  <c r="K6790" i="1" s="1"/>
  <c r="J6791" i="1"/>
  <c r="K6791" i="1" s="1"/>
  <c r="J6792" i="1"/>
  <c r="K6792" i="1" s="1"/>
  <c r="J6793" i="1"/>
  <c r="K6793" i="1" s="1"/>
  <c r="J6794" i="1"/>
  <c r="K6794" i="1" s="1"/>
  <c r="J6795" i="1"/>
  <c r="K6795" i="1" s="1"/>
  <c r="J6796" i="1"/>
  <c r="K6796" i="1" s="1"/>
  <c r="J6797" i="1"/>
  <c r="K6797" i="1" s="1"/>
  <c r="J6798" i="1"/>
  <c r="K6798" i="1" s="1"/>
  <c r="J6799" i="1"/>
  <c r="K6799" i="1" s="1"/>
  <c r="J6800" i="1"/>
  <c r="K6800" i="1" s="1"/>
  <c r="J6801" i="1"/>
  <c r="K6801" i="1" s="1"/>
  <c r="J6802" i="1"/>
  <c r="K6802" i="1" s="1"/>
  <c r="J6803" i="1"/>
  <c r="K6803" i="1" s="1"/>
  <c r="J6804" i="1"/>
  <c r="K6804" i="1" s="1"/>
  <c r="J6805" i="1"/>
  <c r="K6805" i="1" s="1"/>
  <c r="J6806" i="1"/>
  <c r="K6806" i="1" s="1"/>
  <c r="J6807" i="1"/>
  <c r="K6807" i="1" s="1"/>
  <c r="J6808" i="1"/>
  <c r="K6808" i="1" s="1"/>
  <c r="J6809" i="1"/>
  <c r="K6809" i="1" s="1"/>
  <c r="J6810" i="1"/>
  <c r="K6810" i="1" s="1"/>
  <c r="J6811" i="1"/>
  <c r="K6811" i="1" s="1"/>
  <c r="J6812" i="1"/>
  <c r="K6812" i="1" s="1"/>
  <c r="J6813" i="1"/>
  <c r="K6813" i="1" s="1"/>
  <c r="J6814" i="1"/>
  <c r="K6814" i="1" s="1"/>
  <c r="J6815" i="1"/>
  <c r="K6815" i="1" s="1"/>
  <c r="J6816" i="1"/>
  <c r="K6816" i="1" s="1"/>
  <c r="J6817" i="1"/>
  <c r="K6817" i="1" s="1"/>
  <c r="J6818" i="1"/>
  <c r="K6818" i="1" s="1"/>
  <c r="J6819" i="1"/>
  <c r="K6819" i="1" s="1"/>
  <c r="J6820" i="1"/>
  <c r="K6820" i="1" s="1"/>
  <c r="J6821" i="1"/>
  <c r="K6821" i="1" s="1"/>
  <c r="J6822" i="1"/>
  <c r="K6822" i="1" s="1"/>
  <c r="J6823" i="1"/>
  <c r="K6823" i="1" s="1"/>
  <c r="J6824" i="1"/>
  <c r="K6824" i="1" s="1"/>
  <c r="J6825" i="1"/>
  <c r="K6825" i="1" s="1"/>
  <c r="J6826" i="1"/>
  <c r="K6826" i="1" s="1"/>
  <c r="J6827" i="1"/>
  <c r="K6827" i="1" s="1"/>
  <c r="J6828" i="1"/>
  <c r="K6828" i="1" s="1"/>
  <c r="J6829" i="1"/>
  <c r="K6829" i="1" s="1"/>
  <c r="J6830" i="1"/>
  <c r="K6830" i="1" s="1"/>
  <c r="J6831" i="1"/>
  <c r="K6831" i="1" s="1"/>
  <c r="J6832" i="1"/>
  <c r="K6832" i="1" s="1"/>
  <c r="J6833" i="1"/>
  <c r="K6833" i="1" s="1"/>
  <c r="J6834" i="1"/>
  <c r="K6834" i="1" s="1"/>
  <c r="J6835" i="1"/>
  <c r="K6835" i="1" s="1"/>
  <c r="J6836" i="1"/>
  <c r="K6836" i="1" s="1"/>
  <c r="J6837" i="1"/>
  <c r="K6837" i="1" s="1"/>
  <c r="J6838" i="1"/>
  <c r="K6838" i="1" s="1"/>
  <c r="J6839" i="1"/>
  <c r="K6839" i="1" s="1"/>
  <c r="J6840" i="1"/>
  <c r="K6840" i="1" s="1"/>
  <c r="J6841" i="1"/>
  <c r="K6841" i="1" s="1"/>
  <c r="J6842" i="1"/>
  <c r="K6842" i="1" s="1"/>
  <c r="J6843" i="1"/>
  <c r="K6843" i="1" s="1"/>
  <c r="J6844" i="1"/>
  <c r="K6844" i="1" s="1"/>
  <c r="J6845" i="1"/>
  <c r="K6845" i="1" s="1"/>
  <c r="J6846" i="1"/>
  <c r="K6846" i="1" s="1"/>
  <c r="J6847" i="1"/>
  <c r="K6847" i="1" s="1"/>
  <c r="J6848" i="1"/>
  <c r="K6848" i="1" s="1"/>
  <c r="J6849" i="1"/>
  <c r="K6849" i="1" s="1"/>
  <c r="J6850" i="1"/>
  <c r="K6850" i="1" s="1"/>
  <c r="J6851" i="1"/>
  <c r="K6851" i="1" s="1"/>
  <c r="J6852" i="1"/>
  <c r="K6852" i="1" s="1"/>
  <c r="J6853" i="1"/>
  <c r="K6853" i="1" s="1"/>
  <c r="J6854" i="1"/>
  <c r="K6854" i="1" s="1"/>
  <c r="J6855" i="1"/>
  <c r="K6855" i="1" s="1"/>
  <c r="J6856" i="1"/>
  <c r="K6856" i="1" s="1"/>
  <c r="J6857" i="1"/>
  <c r="K6857" i="1" s="1"/>
  <c r="J6858" i="1"/>
  <c r="K6858" i="1" s="1"/>
  <c r="J6859" i="1"/>
  <c r="K6859" i="1" s="1"/>
  <c r="J6860" i="1"/>
  <c r="K6860" i="1" s="1"/>
  <c r="J6861" i="1"/>
  <c r="K6861" i="1" s="1"/>
  <c r="J6862" i="1"/>
  <c r="K6862" i="1" s="1"/>
  <c r="J6863" i="1"/>
  <c r="K6863" i="1" s="1"/>
  <c r="J6864" i="1"/>
  <c r="K6864" i="1" s="1"/>
  <c r="J6865" i="1"/>
  <c r="K6865" i="1" s="1"/>
  <c r="J6866" i="1"/>
  <c r="K6866" i="1" s="1"/>
  <c r="J6867" i="1"/>
  <c r="K6867" i="1" s="1"/>
  <c r="J6868" i="1"/>
  <c r="K6868" i="1" s="1"/>
  <c r="J6869" i="1"/>
  <c r="K6869" i="1" s="1"/>
  <c r="J6870" i="1"/>
  <c r="K6870" i="1" s="1"/>
  <c r="J6871" i="1"/>
  <c r="K6871" i="1" s="1"/>
  <c r="J6872" i="1"/>
  <c r="K6872" i="1" s="1"/>
  <c r="J6873" i="1"/>
  <c r="K6873" i="1" s="1"/>
  <c r="J6874" i="1"/>
  <c r="K6874" i="1" s="1"/>
  <c r="J6875" i="1"/>
  <c r="K6875" i="1" s="1"/>
  <c r="J6876" i="1"/>
  <c r="K6876" i="1" s="1"/>
  <c r="J6877" i="1"/>
  <c r="K6877" i="1" s="1"/>
  <c r="J6878" i="1"/>
  <c r="K6878" i="1" s="1"/>
  <c r="J6879" i="1"/>
  <c r="K6879" i="1" s="1"/>
  <c r="J6880" i="1"/>
  <c r="K6880" i="1" s="1"/>
  <c r="J6881" i="1"/>
  <c r="K6881" i="1" s="1"/>
  <c r="J6882" i="1"/>
  <c r="K6882" i="1" s="1"/>
  <c r="J6883" i="1"/>
  <c r="K6883" i="1" s="1"/>
  <c r="J6884" i="1"/>
  <c r="K6884" i="1" s="1"/>
  <c r="J6885" i="1"/>
  <c r="K6885" i="1" s="1"/>
  <c r="J6886" i="1"/>
  <c r="K6886" i="1" s="1"/>
  <c r="J6887" i="1"/>
  <c r="K6887" i="1" s="1"/>
  <c r="J6888" i="1"/>
  <c r="K6888" i="1" s="1"/>
  <c r="J6889" i="1"/>
  <c r="K6889" i="1" s="1"/>
  <c r="J6890" i="1"/>
  <c r="K6890" i="1" s="1"/>
  <c r="J6891" i="1"/>
  <c r="K6891" i="1" s="1"/>
  <c r="J6892" i="1"/>
  <c r="K6892" i="1" s="1"/>
  <c r="J6893" i="1"/>
  <c r="K6893" i="1" s="1"/>
  <c r="J6894" i="1"/>
  <c r="K6894" i="1" s="1"/>
  <c r="J6895" i="1"/>
  <c r="K6895" i="1" s="1"/>
  <c r="J6896" i="1"/>
  <c r="K6896" i="1" s="1"/>
  <c r="J6897" i="1"/>
  <c r="K6897" i="1" s="1"/>
  <c r="J6898" i="1"/>
  <c r="K6898" i="1" s="1"/>
  <c r="J6899" i="1"/>
  <c r="K6899" i="1" s="1"/>
  <c r="J6900" i="1"/>
  <c r="K6900" i="1" s="1"/>
  <c r="J6901" i="1"/>
  <c r="K6901" i="1" s="1"/>
  <c r="J6902" i="1"/>
  <c r="K6902" i="1" s="1"/>
  <c r="J6903" i="1"/>
  <c r="K6903" i="1" s="1"/>
  <c r="J6904" i="1"/>
  <c r="K6904" i="1" s="1"/>
  <c r="J6905" i="1"/>
  <c r="K6905" i="1" s="1"/>
  <c r="J6906" i="1"/>
  <c r="K6906" i="1" s="1"/>
  <c r="J6907" i="1"/>
  <c r="K6907" i="1" s="1"/>
  <c r="J6908" i="1"/>
  <c r="K6908" i="1" s="1"/>
  <c r="J6909" i="1"/>
  <c r="K6909" i="1" s="1"/>
  <c r="J6910" i="1"/>
  <c r="K6910" i="1" s="1"/>
  <c r="J6911" i="1"/>
  <c r="K6911" i="1" s="1"/>
  <c r="J6912" i="1"/>
  <c r="K6912" i="1" s="1"/>
  <c r="J6913" i="1"/>
  <c r="K6913" i="1" s="1"/>
  <c r="J6914" i="1"/>
  <c r="K6914" i="1" s="1"/>
  <c r="J6915" i="1"/>
  <c r="K6915" i="1" s="1"/>
  <c r="J6916" i="1"/>
  <c r="K6916" i="1" s="1"/>
  <c r="J6917" i="1"/>
  <c r="K6917" i="1" s="1"/>
  <c r="J6918" i="1"/>
  <c r="K6918" i="1" s="1"/>
  <c r="J6919" i="1"/>
  <c r="K6919" i="1" s="1"/>
  <c r="J6920" i="1"/>
  <c r="K6920" i="1" s="1"/>
  <c r="J6921" i="1"/>
  <c r="K6921" i="1" s="1"/>
  <c r="J6922" i="1"/>
  <c r="K6922" i="1" s="1"/>
  <c r="J6923" i="1"/>
  <c r="K6923" i="1" s="1"/>
  <c r="J6924" i="1"/>
  <c r="K6924" i="1" s="1"/>
  <c r="J6925" i="1"/>
  <c r="K6925" i="1" s="1"/>
  <c r="J6926" i="1"/>
  <c r="K6926" i="1" s="1"/>
  <c r="J6927" i="1"/>
  <c r="K6927" i="1" s="1"/>
  <c r="J6928" i="1"/>
  <c r="K6928" i="1" s="1"/>
  <c r="J6929" i="1"/>
  <c r="K6929" i="1" s="1"/>
  <c r="J6930" i="1"/>
  <c r="K6930" i="1" s="1"/>
  <c r="J6931" i="1"/>
  <c r="K6931" i="1" s="1"/>
  <c r="J6932" i="1"/>
  <c r="K6932" i="1" s="1"/>
  <c r="J6933" i="1"/>
  <c r="K6933" i="1" s="1"/>
  <c r="J6934" i="1"/>
  <c r="K6934" i="1" s="1"/>
  <c r="J6935" i="1"/>
  <c r="K6935" i="1" s="1"/>
  <c r="J6936" i="1"/>
  <c r="K6936" i="1" s="1"/>
  <c r="J6937" i="1"/>
  <c r="K6937" i="1" s="1"/>
  <c r="J6938" i="1"/>
  <c r="K6938" i="1" s="1"/>
  <c r="J6939" i="1"/>
  <c r="K6939" i="1" s="1"/>
  <c r="J6940" i="1"/>
  <c r="K6940" i="1" s="1"/>
  <c r="J6941" i="1"/>
  <c r="K6941" i="1" s="1"/>
  <c r="J6942" i="1"/>
  <c r="K6942" i="1" s="1"/>
  <c r="J6943" i="1"/>
  <c r="K6943" i="1" s="1"/>
  <c r="J6944" i="1"/>
  <c r="K6944" i="1" s="1"/>
  <c r="J6945" i="1"/>
  <c r="K6945" i="1" s="1"/>
  <c r="J6946" i="1"/>
  <c r="K6946" i="1" s="1"/>
  <c r="J6947" i="1"/>
  <c r="K6947" i="1" s="1"/>
  <c r="J6948" i="1"/>
  <c r="K6948" i="1" s="1"/>
  <c r="J6949" i="1"/>
  <c r="K6949" i="1" s="1"/>
  <c r="J6950" i="1"/>
  <c r="K6950" i="1" s="1"/>
  <c r="J6951" i="1"/>
  <c r="K6951" i="1" s="1"/>
  <c r="J6952" i="1"/>
  <c r="K6952" i="1" s="1"/>
  <c r="J6953" i="1"/>
  <c r="K6953" i="1" s="1"/>
  <c r="J6954" i="1"/>
  <c r="K6954" i="1" s="1"/>
  <c r="J6955" i="1"/>
  <c r="K6955" i="1" s="1"/>
  <c r="J6956" i="1"/>
  <c r="K6956" i="1" s="1"/>
  <c r="J6957" i="1"/>
  <c r="K6957" i="1" s="1"/>
  <c r="J6958" i="1"/>
  <c r="K6958" i="1" s="1"/>
  <c r="J6959" i="1"/>
  <c r="K6959" i="1" s="1"/>
  <c r="J6960" i="1"/>
  <c r="K6960" i="1" s="1"/>
  <c r="J6961" i="1"/>
  <c r="K6961" i="1" s="1"/>
  <c r="J6962" i="1"/>
  <c r="K6962" i="1" s="1"/>
  <c r="J6963" i="1"/>
  <c r="K6963" i="1" s="1"/>
  <c r="J6964" i="1"/>
  <c r="K6964" i="1" s="1"/>
  <c r="J6965" i="1"/>
  <c r="K6965" i="1" s="1"/>
  <c r="J6966" i="1"/>
  <c r="K6966" i="1" s="1"/>
  <c r="J6967" i="1"/>
  <c r="K6967" i="1" s="1"/>
  <c r="J6968" i="1"/>
  <c r="K6968" i="1" s="1"/>
  <c r="J6969" i="1"/>
  <c r="K6969" i="1" s="1"/>
  <c r="J6970" i="1"/>
  <c r="K6970" i="1" s="1"/>
  <c r="J6971" i="1"/>
  <c r="K6971" i="1" s="1"/>
  <c r="J6972" i="1"/>
  <c r="K6972" i="1" s="1"/>
  <c r="J6973" i="1"/>
  <c r="K6973" i="1" s="1"/>
  <c r="J6974" i="1"/>
  <c r="K6974" i="1" s="1"/>
  <c r="J6975" i="1"/>
  <c r="K6975" i="1" s="1"/>
  <c r="J6976" i="1"/>
  <c r="K6976" i="1" s="1"/>
  <c r="J6977" i="1"/>
  <c r="K6977" i="1" s="1"/>
  <c r="J6978" i="1"/>
  <c r="K6978" i="1" s="1"/>
  <c r="J6979" i="1"/>
  <c r="K6979" i="1" s="1"/>
  <c r="J6980" i="1"/>
  <c r="K6980" i="1" s="1"/>
  <c r="J6981" i="1"/>
  <c r="K6981" i="1" s="1"/>
  <c r="J6982" i="1"/>
  <c r="K6982" i="1" s="1"/>
  <c r="J6983" i="1"/>
  <c r="K6983" i="1" s="1"/>
  <c r="J6984" i="1"/>
  <c r="K6984" i="1" s="1"/>
  <c r="J6985" i="1"/>
  <c r="K6985" i="1" s="1"/>
  <c r="J6986" i="1"/>
  <c r="K6986" i="1" s="1"/>
  <c r="J6987" i="1"/>
  <c r="K6987" i="1" s="1"/>
  <c r="J6988" i="1"/>
  <c r="K6988" i="1" s="1"/>
  <c r="J6989" i="1"/>
  <c r="K6989" i="1" s="1"/>
  <c r="J6990" i="1"/>
  <c r="K6990" i="1" s="1"/>
  <c r="J6991" i="1"/>
  <c r="K6991" i="1" s="1"/>
  <c r="J6992" i="1"/>
  <c r="K6992" i="1" s="1"/>
  <c r="J6993" i="1"/>
  <c r="K6993" i="1" s="1"/>
  <c r="J6994" i="1"/>
  <c r="K6994" i="1" s="1"/>
  <c r="J6995" i="1"/>
  <c r="K6995" i="1" s="1"/>
  <c r="J6996" i="1"/>
  <c r="K6996" i="1" s="1"/>
  <c r="J6997" i="1"/>
  <c r="K6997" i="1" s="1"/>
  <c r="J6998" i="1"/>
  <c r="K6998" i="1" s="1"/>
  <c r="J6999" i="1"/>
  <c r="K6999" i="1" s="1"/>
  <c r="J7000" i="1"/>
  <c r="K7000" i="1" s="1"/>
  <c r="J7001" i="1"/>
  <c r="K7001" i="1" s="1"/>
  <c r="J7002" i="1"/>
  <c r="K7002" i="1" s="1"/>
  <c r="J7003" i="1"/>
  <c r="K7003" i="1" s="1"/>
  <c r="J7004" i="1"/>
  <c r="K7004" i="1" s="1"/>
  <c r="J7005" i="1"/>
  <c r="K7005" i="1" s="1"/>
  <c r="J7006" i="1"/>
  <c r="K7006" i="1" s="1"/>
  <c r="J7007" i="1"/>
  <c r="K7007" i="1" s="1"/>
  <c r="J7008" i="1"/>
  <c r="K7008" i="1" s="1"/>
  <c r="J7009" i="1"/>
  <c r="K7009" i="1" s="1"/>
  <c r="J7010" i="1"/>
  <c r="K7010" i="1" s="1"/>
  <c r="J7011" i="1"/>
  <c r="K7011" i="1" s="1"/>
  <c r="J7012" i="1"/>
  <c r="K7012" i="1" s="1"/>
  <c r="J7013" i="1"/>
  <c r="K7013" i="1" s="1"/>
  <c r="J7014" i="1"/>
  <c r="K7014" i="1" s="1"/>
  <c r="J7015" i="1"/>
  <c r="K7015" i="1" s="1"/>
  <c r="J7016" i="1"/>
  <c r="K7016" i="1" s="1"/>
  <c r="J7017" i="1"/>
  <c r="K7017" i="1" s="1"/>
  <c r="J7018" i="1"/>
  <c r="K7018" i="1" s="1"/>
  <c r="J7019" i="1"/>
  <c r="K7019" i="1" s="1"/>
  <c r="J7020" i="1"/>
  <c r="K7020" i="1" s="1"/>
  <c r="J7021" i="1"/>
  <c r="K7021" i="1" s="1"/>
  <c r="J7022" i="1"/>
  <c r="K7022" i="1" s="1"/>
  <c r="J7023" i="1"/>
  <c r="K7023" i="1" s="1"/>
  <c r="J7024" i="1"/>
  <c r="K7024" i="1" s="1"/>
  <c r="J7025" i="1"/>
  <c r="K7025" i="1" s="1"/>
  <c r="J7026" i="1"/>
  <c r="K7026" i="1" s="1"/>
  <c r="J7027" i="1"/>
  <c r="K7027" i="1" s="1"/>
  <c r="J7028" i="1"/>
  <c r="K7028" i="1" s="1"/>
  <c r="J7029" i="1"/>
  <c r="K7029" i="1" s="1"/>
  <c r="J7030" i="1"/>
  <c r="K7030" i="1" s="1"/>
  <c r="J7031" i="1"/>
  <c r="K7031" i="1" s="1"/>
  <c r="J7032" i="1"/>
  <c r="K7032" i="1" s="1"/>
  <c r="J7033" i="1"/>
  <c r="K7033" i="1" s="1"/>
  <c r="J7034" i="1"/>
  <c r="K7034" i="1" s="1"/>
  <c r="J7035" i="1"/>
  <c r="K7035" i="1" s="1"/>
  <c r="J7036" i="1"/>
  <c r="K7036" i="1" s="1"/>
  <c r="J7037" i="1"/>
  <c r="K7037" i="1" s="1"/>
  <c r="J7038" i="1"/>
  <c r="K7038" i="1" s="1"/>
  <c r="J7039" i="1"/>
  <c r="K7039" i="1" s="1"/>
  <c r="J7040" i="1"/>
  <c r="K7040" i="1" s="1"/>
  <c r="J7041" i="1"/>
  <c r="K7041" i="1" s="1"/>
  <c r="J7042" i="1"/>
  <c r="K7042" i="1" s="1"/>
  <c r="J7043" i="1"/>
  <c r="K7043" i="1" s="1"/>
  <c r="J7044" i="1"/>
  <c r="K7044" i="1" s="1"/>
  <c r="J7045" i="1"/>
  <c r="K7045" i="1" s="1"/>
  <c r="J7046" i="1"/>
  <c r="K7046" i="1" s="1"/>
  <c r="J7047" i="1"/>
  <c r="K7047" i="1" s="1"/>
  <c r="J7048" i="1"/>
  <c r="K7048" i="1" s="1"/>
  <c r="J7049" i="1"/>
  <c r="K7049" i="1" s="1"/>
  <c r="J7050" i="1"/>
  <c r="K7050" i="1" s="1"/>
  <c r="J7051" i="1"/>
  <c r="K7051" i="1" s="1"/>
  <c r="J7052" i="1"/>
  <c r="K7052" i="1" s="1"/>
  <c r="J7053" i="1"/>
  <c r="K7053" i="1" s="1"/>
  <c r="J7054" i="1"/>
  <c r="K7054" i="1" s="1"/>
  <c r="J7055" i="1"/>
  <c r="K7055" i="1" s="1"/>
  <c r="J7056" i="1"/>
  <c r="K7056" i="1" s="1"/>
  <c r="J7057" i="1"/>
  <c r="K7057" i="1" s="1"/>
  <c r="J7058" i="1"/>
  <c r="K7058" i="1" s="1"/>
  <c r="J7059" i="1"/>
  <c r="K7059" i="1" s="1"/>
  <c r="J7060" i="1"/>
  <c r="K7060" i="1" s="1"/>
  <c r="J7061" i="1"/>
  <c r="K7061" i="1" s="1"/>
  <c r="J7062" i="1"/>
  <c r="K7062" i="1" s="1"/>
  <c r="J7063" i="1"/>
  <c r="K7063" i="1" s="1"/>
  <c r="J7064" i="1"/>
  <c r="K7064" i="1" s="1"/>
  <c r="J7065" i="1"/>
  <c r="K7065" i="1" s="1"/>
  <c r="J7066" i="1"/>
  <c r="K7066" i="1" s="1"/>
  <c r="J7067" i="1"/>
  <c r="K7067" i="1" s="1"/>
  <c r="J7068" i="1"/>
  <c r="K7068" i="1" s="1"/>
  <c r="J7069" i="1"/>
  <c r="K7069" i="1" s="1"/>
  <c r="J7070" i="1"/>
  <c r="K7070" i="1" s="1"/>
  <c r="J7071" i="1"/>
  <c r="K7071" i="1" s="1"/>
  <c r="J7072" i="1"/>
  <c r="K7072" i="1" s="1"/>
  <c r="J7073" i="1"/>
  <c r="K7073" i="1" s="1"/>
  <c r="J7074" i="1"/>
  <c r="K7074" i="1" s="1"/>
  <c r="J7075" i="1"/>
  <c r="K7075" i="1" s="1"/>
  <c r="J7076" i="1"/>
  <c r="K7076" i="1" s="1"/>
  <c r="J7077" i="1"/>
  <c r="K7077" i="1" s="1"/>
  <c r="J7078" i="1"/>
  <c r="K7078" i="1" s="1"/>
  <c r="J7079" i="1"/>
  <c r="K7079" i="1" s="1"/>
  <c r="J7080" i="1"/>
  <c r="K7080" i="1" s="1"/>
  <c r="J7081" i="1"/>
  <c r="K7081" i="1" s="1"/>
  <c r="J7082" i="1"/>
  <c r="K7082" i="1" s="1"/>
  <c r="J7083" i="1"/>
  <c r="K7083" i="1" s="1"/>
  <c r="J7084" i="1"/>
  <c r="K7084" i="1" s="1"/>
  <c r="J7085" i="1"/>
  <c r="K7085" i="1" s="1"/>
  <c r="J7086" i="1"/>
  <c r="K7086" i="1" s="1"/>
  <c r="J7087" i="1"/>
  <c r="K7087" i="1" s="1"/>
  <c r="J7088" i="1"/>
  <c r="K7088" i="1" s="1"/>
  <c r="J7089" i="1"/>
  <c r="K7089" i="1" s="1"/>
  <c r="J7090" i="1"/>
  <c r="K7090" i="1" s="1"/>
  <c r="J7091" i="1"/>
  <c r="K7091" i="1" s="1"/>
  <c r="J7092" i="1"/>
  <c r="K7092" i="1" s="1"/>
  <c r="J7093" i="1"/>
  <c r="K7093" i="1" s="1"/>
  <c r="J7094" i="1"/>
  <c r="K7094" i="1" s="1"/>
  <c r="J7095" i="1"/>
  <c r="K7095" i="1" s="1"/>
  <c r="J7096" i="1"/>
  <c r="K7096" i="1" s="1"/>
  <c r="J7097" i="1"/>
  <c r="K7097" i="1" s="1"/>
  <c r="J7098" i="1"/>
  <c r="K7098" i="1" s="1"/>
  <c r="J7099" i="1"/>
  <c r="K7099" i="1" s="1"/>
  <c r="J7100" i="1"/>
  <c r="K7100" i="1" s="1"/>
  <c r="J7101" i="1"/>
  <c r="K7101" i="1" s="1"/>
  <c r="J7102" i="1"/>
  <c r="K7102" i="1" s="1"/>
  <c r="J7103" i="1"/>
  <c r="K7103" i="1" s="1"/>
  <c r="J7104" i="1"/>
  <c r="K7104" i="1" s="1"/>
  <c r="J7105" i="1"/>
  <c r="K7105" i="1" s="1"/>
  <c r="J7106" i="1"/>
  <c r="K7106" i="1" s="1"/>
  <c r="J7107" i="1"/>
  <c r="K7107" i="1" s="1"/>
  <c r="J7108" i="1"/>
  <c r="K7108" i="1" s="1"/>
  <c r="J7109" i="1"/>
  <c r="K7109" i="1" s="1"/>
  <c r="J7110" i="1"/>
  <c r="K7110" i="1" s="1"/>
  <c r="J7111" i="1"/>
  <c r="K7111" i="1" s="1"/>
  <c r="J7112" i="1"/>
  <c r="K7112" i="1" s="1"/>
  <c r="J7113" i="1"/>
  <c r="K7113" i="1" s="1"/>
  <c r="J7114" i="1"/>
  <c r="K7114" i="1" s="1"/>
  <c r="J7115" i="1"/>
  <c r="K7115" i="1" s="1"/>
  <c r="J7116" i="1"/>
  <c r="K7116" i="1" s="1"/>
  <c r="J7117" i="1"/>
  <c r="K7117" i="1" s="1"/>
  <c r="J7118" i="1"/>
  <c r="K7118" i="1" s="1"/>
  <c r="J7119" i="1"/>
  <c r="K7119" i="1" s="1"/>
  <c r="J7120" i="1"/>
  <c r="K7120" i="1" s="1"/>
  <c r="J7121" i="1"/>
  <c r="K7121" i="1" s="1"/>
  <c r="J7122" i="1"/>
  <c r="K7122" i="1" s="1"/>
  <c r="J7123" i="1"/>
  <c r="K7123" i="1" s="1"/>
  <c r="J7124" i="1"/>
  <c r="K7124" i="1" s="1"/>
  <c r="J7125" i="1"/>
  <c r="K7125" i="1" s="1"/>
  <c r="J7126" i="1"/>
  <c r="K7126" i="1" s="1"/>
  <c r="J7127" i="1"/>
  <c r="K7127" i="1" s="1"/>
  <c r="J7128" i="1"/>
  <c r="K7128" i="1" s="1"/>
  <c r="J7129" i="1"/>
  <c r="K7129" i="1" s="1"/>
  <c r="J7130" i="1"/>
  <c r="K7130" i="1" s="1"/>
  <c r="J7131" i="1"/>
  <c r="K7131" i="1" s="1"/>
  <c r="J7132" i="1"/>
  <c r="K7132" i="1" s="1"/>
  <c r="J7133" i="1"/>
  <c r="K7133" i="1" s="1"/>
  <c r="J7134" i="1"/>
  <c r="K7134" i="1" s="1"/>
  <c r="J7135" i="1"/>
  <c r="K7135" i="1" s="1"/>
  <c r="J7136" i="1"/>
  <c r="K7136" i="1" s="1"/>
  <c r="J7137" i="1"/>
  <c r="K7137" i="1" s="1"/>
  <c r="J7138" i="1"/>
  <c r="K7138" i="1" s="1"/>
  <c r="J7139" i="1"/>
  <c r="K7139" i="1" s="1"/>
  <c r="J7140" i="1"/>
  <c r="K7140" i="1" s="1"/>
  <c r="J7141" i="1"/>
  <c r="K7141" i="1" s="1"/>
  <c r="J7142" i="1"/>
  <c r="K7142" i="1" s="1"/>
  <c r="J7143" i="1"/>
  <c r="K7143" i="1" s="1"/>
  <c r="J7144" i="1"/>
  <c r="K7144" i="1" s="1"/>
  <c r="J7145" i="1"/>
  <c r="K7145" i="1" s="1"/>
  <c r="J7146" i="1"/>
  <c r="K7146" i="1" s="1"/>
  <c r="J7147" i="1"/>
  <c r="K7147" i="1" s="1"/>
  <c r="J7148" i="1"/>
  <c r="K7148" i="1" s="1"/>
  <c r="J7149" i="1"/>
  <c r="K7149" i="1" s="1"/>
  <c r="J7150" i="1"/>
  <c r="K7150" i="1" s="1"/>
  <c r="J7151" i="1"/>
  <c r="K7151" i="1" s="1"/>
  <c r="J7152" i="1"/>
  <c r="K7152" i="1" s="1"/>
  <c r="J7153" i="1"/>
  <c r="K7153" i="1" s="1"/>
  <c r="J7154" i="1"/>
  <c r="K7154" i="1" s="1"/>
  <c r="J7155" i="1"/>
  <c r="K7155" i="1" s="1"/>
  <c r="J7156" i="1"/>
  <c r="K7156" i="1" s="1"/>
  <c r="J7157" i="1"/>
  <c r="K7157" i="1" s="1"/>
  <c r="J7158" i="1"/>
  <c r="K7158" i="1" s="1"/>
  <c r="J7159" i="1"/>
  <c r="K7159" i="1" s="1"/>
  <c r="J7160" i="1"/>
  <c r="K7160" i="1" s="1"/>
  <c r="J7161" i="1"/>
  <c r="K7161" i="1" s="1"/>
  <c r="J7162" i="1"/>
  <c r="K7162" i="1" s="1"/>
  <c r="J7163" i="1"/>
  <c r="K7163" i="1" s="1"/>
  <c r="J7164" i="1"/>
  <c r="K7164" i="1" s="1"/>
  <c r="J7165" i="1"/>
  <c r="K7165" i="1" s="1"/>
  <c r="J7166" i="1"/>
  <c r="K7166" i="1" s="1"/>
  <c r="J7167" i="1"/>
  <c r="K7167" i="1" s="1"/>
  <c r="J7168" i="1"/>
  <c r="K7168" i="1" s="1"/>
  <c r="J7169" i="1"/>
  <c r="K7169" i="1" s="1"/>
  <c r="J7170" i="1"/>
  <c r="K7170" i="1" s="1"/>
  <c r="J7171" i="1"/>
  <c r="K7171" i="1" s="1"/>
  <c r="J7172" i="1"/>
  <c r="K7172" i="1" s="1"/>
  <c r="J7173" i="1"/>
  <c r="K7173" i="1" s="1"/>
  <c r="J7174" i="1"/>
  <c r="K7174" i="1" s="1"/>
  <c r="J7175" i="1"/>
  <c r="K7175" i="1" s="1"/>
  <c r="J7176" i="1"/>
  <c r="K7176" i="1" s="1"/>
  <c r="J7177" i="1"/>
  <c r="K7177" i="1" s="1"/>
  <c r="J7178" i="1"/>
  <c r="K7178" i="1" s="1"/>
  <c r="J7179" i="1"/>
  <c r="K7179" i="1" s="1"/>
  <c r="J7180" i="1"/>
  <c r="K7180" i="1" s="1"/>
  <c r="J7181" i="1"/>
  <c r="K7181" i="1" s="1"/>
  <c r="J7182" i="1"/>
  <c r="K7182" i="1" s="1"/>
  <c r="J7183" i="1"/>
  <c r="K7183" i="1" s="1"/>
  <c r="J7184" i="1"/>
  <c r="K7184" i="1" s="1"/>
  <c r="J7185" i="1"/>
  <c r="K7185" i="1" s="1"/>
  <c r="J7186" i="1"/>
  <c r="K7186" i="1" s="1"/>
  <c r="J7187" i="1"/>
  <c r="K7187" i="1" s="1"/>
  <c r="J7188" i="1"/>
  <c r="K7188" i="1" s="1"/>
  <c r="J7189" i="1"/>
  <c r="K7189" i="1" s="1"/>
  <c r="J7190" i="1"/>
  <c r="K7190" i="1" s="1"/>
  <c r="J7191" i="1"/>
  <c r="K7191" i="1" s="1"/>
  <c r="J7192" i="1"/>
  <c r="K7192" i="1" s="1"/>
  <c r="J7193" i="1"/>
  <c r="K7193" i="1" s="1"/>
  <c r="J7194" i="1"/>
  <c r="K7194" i="1" s="1"/>
  <c r="J7195" i="1"/>
  <c r="K7195" i="1" s="1"/>
  <c r="J7196" i="1"/>
  <c r="K7196" i="1" s="1"/>
  <c r="J7197" i="1"/>
  <c r="K7197" i="1" s="1"/>
  <c r="J7198" i="1"/>
  <c r="K7198" i="1" s="1"/>
  <c r="J7199" i="1"/>
  <c r="K7199" i="1" s="1"/>
  <c r="J7200" i="1"/>
  <c r="K7200" i="1" s="1"/>
  <c r="J7201" i="1"/>
  <c r="K7201" i="1" s="1"/>
  <c r="J7202" i="1"/>
  <c r="K7202" i="1" s="1"/>
  <c r="J7203" i="1"/>
  <c r="K7203" i="1" s="1"/>
  <c r="J7204" i="1"/>
  <c r="K7204" i="1" s="1"/>
  <c r="J7205" i="1"/>
  <c r="K7205" i="1" s="1"/>
  <c r="J7206" i="1"/>
  <c r="K7206" i="1" s="1"/>
  <c r="J7207" i="1"/>
  <c r="K7207" i="1" s="1"/>
  <c r="J7208" i="1"/>
  <c r="K7208" i="1" s="1"/>
  <c r="J7209" i="1"/>
  <c r="K7209" i="1" s="1"/>
  <c r="J7210" i="1"/>
  <c r="K7210" i="1" s="1"/>
  <c r="J7211" i="1"/>
  <c r="K7211" i="1" s="1"/>
  <c r="J7212" i="1"/>
  <c r="K7212" i="1" s="1"/>
  <c r="J7213" i="1"/>
  <c r="K7213" i="1" s="1"/>
  <c r="J7214" i="1"/>
  <c r="K7214" i="1" s="1"/>
  <c r="J7215" i="1"/>
  <c r="K7215" i="1" s="1"/>
  <c r="J7216" i="1"/>
  <c r="K7216" i="1" s="1"/>
  <c r="J7217" i="1"/>
  <c r="K7217" i="1" s="1"/>
  <c r="J7218" i="1"/>
  <c r="K7218" i="1" s="1"/>
  <c r="J7219" i="1"/>
  <c r="K7219" i="1" s="1"/>
  <c r="J7220" i="1"/>
  <c r="K7220" i="1" s="1"/>
  <c r="J7221" i="1"/>
  <c r="K7221" i="1" s="1"/>
  <c r="J7222" i="1"/>
  <c r="K7222" i="1" s="1"/>
  <c r="J7223" i="1"/>
  <c r="K7223" i="1" s="1"/>
  <c r="J7224" i="1"/>
  <c r="K7224" i="1" s="1"/>
  <c r="J7225" i="1"/>
  <c r="K7225" i="1" s="1"/>
  <c r="J7226" i="1"/>
  <c r="K7226" i="1" s="1"/>
  <c r="J7227" i="1"/>
  <c r="K7227" i="1" s="1"/>
  <c r="J7228" i="1"/>
  <c r="K7228" i="1" s="1"/>
  <c r="J7229" i="1"/>
  <c r="K7229" i="1" s="1"/>
  <c r="J7230" i="1"/>
  <c r="K7230" i="1" s="1"/>
  <c r="J7231" i="1"/>
  <c r="K7231" i="1" s="1"/>
  <c r="J7232" i="1"/>
  <c r="K7232" i="1" s="1"/>
  <c r="J7233" i="1"/>
  <c r="K7233" i="1" s="1"/>
  <c r="J7234" i="1"/>
  <c r="K7234" i="1" s="1"/>
  <c r="J7235" i="1"/>
  <c r="K7235" i="1" s="1"/>
  <c r="J7236" i="1"/>
  <c r="K7236" i="1" s="1"/>
  <c r="J7237" i="1"/>
  <c r="K7237" i="1" s="1"/>
  <c r="J7238" i="1"/>
  <c r="K7238" i="1" s="1"/>
  <c r="J7239" i="1"/>
  <c r="K7239" i="1" s="1"/>
  <c r="J7240" i="1"/>
  <c r="K7240" i="1" s="1"/>
  <c r="J7241" i="1"/>
  <c r="K7241" i="1" s="1"/>
  <c r="J7242" i="1"/>
  <c r="K7242" i="1" s="1"/>
  <c r="J7243" i="1"/>
  <c r="K7243" i="1" s="1"/>
  <c r="J7244" i="1"/>
  <c r="K7244" i="1" s="1"/>
  <c r="J7245" i="1"/>
  <c r="K7245" i="1" s="1"/>
  <c r="J7246" i="1"/>
  <c r="K7246" i="1" s="1"/>
  <c r="J7247" i="1"/>
  <c r="K7247" i="1" s="1"/>
  <c r="J7248" i="1"/>
  <c r="K7248" i="1" s="1"/>
  <c r="J7249" i="1"/>
  <c r="K7249" i="1" s="1"/>
  <c r="J7250" i="1"/>
  <c r="K7250" i="1" s="1"/>
  <c r="J7251" i="1"/>
  <c r="K7251" i="1" s="1"/>
  <c r="J7252" i="1"/>
  <c r="K7252" i="1" s="1"/>
  <c r="J7253" i="1"/>
  <c r="K7253" i="1" s="1"/>
  <c r="J7254" i="1"/>
  <c r="K7254" i="1" s="1"/>
  <c r="J7255" i="1"/>
  <c r="K7255" i="1" s="1"/>
  <c r="J7256" i="1"/>
  <c r="K7256" i="1" s="1"/>
  <c r="J7257" i="1"/>
  <c r="K7257" i="1" s="1"/>
  <c r="J7258" i="1"/>
  <c r="K7258" i="1" s="1"/>
  <c r="J7259" i="1"/>
  <c r="K7259" i="1" s="1"/>
  <c r="J7260" i="1"/>
  <c r="K7260" i="1" s="1"/>
  <c r="J7261" i="1"/>
  <c r="K7261" i="1" s="1"/>
  <c r="J7262" i="1"/>
  <c r="K7262" i="1" s="1"/>
  <c r="J7263" i="1"/>
  <c r="K7263" i="1" s="1"/>
  <c r="J7264" i="1"/>
  <c r="K7264" i="1" s="1"/>
  <c r="J7265" i="1"/>
  <c r="K7265" i="1" s="1"/>
  <c r="J7266" i="1"/>
  <c r="K7266" i="1" s="1"/>
  <c r="J7267" i="1"/>
  <c r="K7267" i="1" s="1"/>
  <c r="J7268" i="1"/>
  <c r="K7268" i="1" s="1"/>
  <c r="J7269" i="1"/>
  <c r="K7269" i="1" s="1"/>
  <c r="J7270" i="1"/>
  <c r="K7270" i="1" s="1"/>
  <c r="J7271" i="1"/>
  <c r="K7271" i="1" s="1"/>
  <c r="J7272" i="1"/>
  <c r="K7272" i="1" s="1"/>
  <c r="J7273" i="1"/>
  <c r="K7273" i="1" s="1"/>
  <c r="J7274" i="1"/>
  <c r="K7274" i="1" s="1"/>
  <c r="J7275" i="1"/>
  <c r="K7275" i="1" s="1"/>
  <c r="J7276" i="1"/>
  <c r="K7276" i="1" s="1"/>
  <c r="J7277" i="1"/>
  <c r="K7277" i="1" s="1"/>
  <c r="J7278" i="1"/>
  <c r="K7278" i="1" s="1"/>
  <c r="J7279" i="1"/>
  <c r="K7279" i="1" s="1"/>
  <c r="J7280" i="1"/>
  <c r="K7280" i="1" s="1"/>
  <c r="J7281" i="1"/>
  <c r="K7281" i="1" s="1"/>
  <c r="J7282" i="1"/>
  <c r="K7282" i="1" s="1"/>
  <c r="J7283" i="1"/>
  <c r="K7283" i="1" s="1"/>
  <c r="J7284" i="1"/>
  <c r="K7284" i="1" s="1"/>
  <c r="J7285" i="1"/>
  <c r="K7285" i="1" s="1"/>
  <c r="J7286" i="1"/>
  <c r="K7286" i="1" s="1"/>
  <c r="J7287" i="1"/>
  <c r="K7287" i="1" s="1"/>
  <c r="J7288" i="1"/>
  <c r="K7288" i="1" s="1"/>
  <c r="J7289" i="1"/>
  <c r="K7289" i="1" s="1"/>
  <c r="J7290" i="1"/>
  <c r="K7290" i="1" s="1"/>
  <c r="J7291" i="1"/>
  <c r="K7291" i="1" s="1"/>
  <c r="J7292" i="1"/>
  <c r="K7292" i="1" s="1"/>
  <c r="J7293" i="1"/>
  <c r="K7293" i="1" s="1"/>
  <c r="J7294" i="1"/>
  <c r="K7294" i="1" s="1"/>
  <c r="J7295" i="1"/>
  <c r="K7295" i="1" s="1"/>
  <c r="J7296" i="1"/>
  <c r="K7296" i="1" s="1"/>
  <c r="J7297" i="1"/>
  <c r="K7297" i="1" s="1"/>
  <c r="J7298" i="1"/>
  <c r="K7298" i="1" s="1"/>
  <c r="J7299" i="1"/>
  <c r="K7299" i="1" s="1"/>
  <c r="J7300" i="1"/>
  <c r="K7300" i="1" s="1"/>
  <c r="J7301" i="1"/>
  <c r="K7301" i="1" s="1"/>
  <c r="J7302" i="1"/>
  <c r="K7302" i="1" s="1"/>
  <c r="J7303" i="1"/>
  <c r="K7303" i="1" s="1"/>
  <c r="J7304" i="1"/>
  <c r="K7304" i="1" s="1"/>
  <c r="J7305" i="1"/>
  <c r="K7305" i="1" s="1"/>
  <c r="J7306" i="1"/>
  <c r="K7306" i="1" s="1"/>
  <c r="J7307" i="1"/>
  <c r="K7307" i="1" s="1"/>
  <c r="J7308" i="1"/>
  <c r="K7308" i="1" s="1"/>
  <c r="J7309" i="1"/>
  <c r="K7309" i="1" s="1"/>
  <c r="J7310" i="1"/>
  <c r="K7310" i="1" s="1"/>
  <c r="J7311" i="1"/>
  <c r="K7311" i="1" s="1"/>
  <c r="J7312" i="1"/>
  <c r="K7312" i="1" s="1"/>
  <c r="J7313" i="1"/>
  <c r="K7313" i="1" s="1"/>
  <c r="J7314" i="1"/>
  <c r="K7314" i="1" s="1"/>
  <c r="J7315" i="1"/>
  <c r="K7315" i="1" s="1"/>
  <c r="J7316" i="1"/>
  <c r="K7316" i="1" s="1"/>
  <c r="J7317" i="1"/>
  <c r="K7317" i="1" s="1"/>
  <c r="J7318" i="1"/>
  <c r="K7318" i="1" s="1"/>
  <c r="J7319" i="1"/>
  <c r="K7319" i="1" s="1"/>
  <c r="J7320" i="1"/>
  <c r="K7320" i="1" s="1"/>
  <c r="J7321" i="1"/>
  <c r="K7321" i="1" s="1"/>
  <c r="J7322" i="1"/>
  <c r="K7322" i="1" s="1"/>
  <c r="J7323" i="1"/>
  <c r="K7323" i="1" s="1"/>
  <c r="J7324" i="1"/>
  <c r="K7324" i="1" s="1"/>
  <c r="J7325" i="1"/>
  <c r="K7325" i="1" s="1"/>
  <c r="J7326" i="1"/>
  <c r="K7326" i="1" s="1"/>
  <c r="J7327" i="1"/>
  <c r="K7327" i="1" s="1"/>
  <c r="J7328" i="1"/>
  <c r="K7328" i="1" s="1"/>
  <c r="J7329" i="1"/>
  <c r="K7329" i="1" s="1"/>
  <c r="J7330" i="1"/>
  <c r="K7330" i="1" s="1"/>
  <c r="J7331" i="1"/>
  <c r="K7331" i="1" s="1"/>
  <c r="J7332" i="1"/>
  <c r="K7332" i="1" s="1"/>
  <c r="J7333" i="1"/>
  <c r="K7333" i="1" s="1"/>
  <c r="J7334" i="1"/>
  <c r="K7334" i="1" s="1"/>
  <c r="J7335" i="1"/>
  <c r="K7335" i="1" s="1"/>
  <c r="J7336" i="1"/>
  <c r="K7336" i="1" s="1"/>
  <c r="J7337" i="1"/>
  <c r="K7337" i="1" s="1"/>
  <c r="J7338" i="1"/>
  <c r="K7338" i="1" s="1"/>
  <c r="J7339" i="1"/>
  <c r="K7339" i="1" s="1"/>
  <c r="J7340" i="1"/>
  <c r="K7340" i="1" s="1"/>
  <c r="J7341" i="1"/>
  <c r="K7341" i="1" s="1"/>
  <c r="J7342" i="1"/>
  <c r="K7342" i="1" s="1"/>
  <c r="J7343" i="1"/>
  <c r="K7343" i="1" s="1"/>
  <c r="J7344" i="1"/>
  <c r="K7344" i="1" s="1"/>
  <c r="J7345" i="1"/>
  <c r="K7345" i="1" s="1"/>
  <c r="J7346" i="1"/>
  <c r="K7346" i="1" s="1"/>
  <c r="J7347" i="1"/>
  <c r="K7347" i="1" s="1"/>
  <c r="J7348" i="1"/>
  <c r="K7348" i="1" s="1"/>
  <c r="J7349" i="1"/>
  <c r="K7349" i="1" s="1"/>
  <c r="J7350" i="1"/>
  <c r="K7350" i="1" s="1"/>
  <c r="J7351" i="1"/>
  <c r="K7351" i="1" s="1"/>
  <c r="J7352" i="1"/>
  <c r="K7352" i="1" s="1"/>
  <c r="J7353" i="1"/>
  <c r="K7353" i="1" s="1"/>
  <c r="J7354" i="1"/>
  <c r="K7354" i="1" s="1"/>
  <c r="J7355" i="1"/>
  <c r="K7355" i="1" s="1"/>
  <c r="J7356" i="1"/>
  <c r="K7356" i="1" s="1"/>
  <c r="J7357" i="1"/>
  <c r="K7357" i="1" s="1"/>
  <c r="J7358" i="1"/>
  <c r="K7358" i="1" s="1"/>
  <c r="J7359" i="1"/>
  <c r="K7359" i="1" s="1"/>
  <c r="J7360" i="1"/>
  <c r="K7360" i="1" s="1"/>
  <c r="J7361" i="1"/>
  <c r="K7361" i="1" s="1"/>
  <c r="J7362" i="1"/>
  <c r="K7362" i="1" s="1"/>
  <c r="J7363" i="1"/>
  <c r="K7363" i="1" s="1"/>
  <c r="J7364" i="1"/>
  <c r="K7364" i="1" s="1"/>
  <c r="J7365" i="1"/>
  <c r="K7365" i="1" s="1"/>
  <c r="J7366" i="1"/>
  <c r="K7366" i="1" s="1"/>
  <c r="J7367" i="1"/>
  <c r="K7367" i="1" s="1"/>
  <c r="J7368" i="1"/>
  <c r="K7368" i="1" s="1"/>
  <c r="J7369" i="1"/>
  <c r="K7369" i="1" s="1"/>
  <c r="J7370" i="1"/>
  <c r="K7370" i="1" s="1"/>
  <c r="J7371" i="1"/>
  <c r="K7371" i="1" s="1"/>
  <c r="J7372" i="1"/>
  <c r="K7372" i="1" s="1"/>
  <c r="J7373" i="1"/>
  <c r="K7373" i="1" s="1"/>
  <c r="J7374" i="1"/>
  <c r="K7374" i="1" s="1"/>
  <c r="J7375" i="1"/>
  <c r="K7375" i="1" s="1"/>
  <c r="J7376" i="1"/>
  <c r="K7376" i="1" s="1"/>
  <c r="J7377" i="1"/>
  <c r="K7377" i="1" s="1"/>
  <c r="J7378" i="1"/>
  <c r="K7378" i="1" s="1"/>
  <c r="J7379" i="1"/>
  <c r="K7379" i="1" s="1"/>
  <c r="J7380" i="1"/>
  <c r="K7380" i="1" s="1"/>
  <c r="J7381" i="1"/>
  <c r="K7381" i="1" s="1"/>
  <c r="J7382" i="1"/>
  <c r="K7382" i="1" s="1"/>
  <c r="J7383" i="1"/>
  <c r="K7383" i="1" s="1"/>
  <c r="J7384" i="1"/>
  <c r="K7384" i="1" s="1"/>
  <c r="J7385" i="1"/>
  <c r="K7385" i="1" s="1"/>
  <c r="J7386" i="1"/>
  <c r="K7386" i="1" s="1"/>
  <c r="J7387" i="1"/>
  <c r="K7387" i="1" s="1"/>
  <c r="J7388" i="1"/>
  <c r="K7388" i="1" s="1"/>
  <c r="J7389" i="1"/>
  <c r="K7389" i="1" s="1"/>
  <c r="J7390" i="1"/>
  <c r="K7390" i="1" s="1"/>
  <c r="J7391" i="1"/>
  <c r="K7391" i="1" s="1"/>
  <c r="J7392" i="1"/>
  <c r="K7392" i="1" s="1"/>
  <c r="J7393" i="1"/>
  <c r="K7393" i="1" s="1"/>
  <c r="J7394" i="1"/>
  <c r="K7394" i="1" s="1"/>
  <c r="J7395" i="1"/>
  <c r="K7395" i="1" s="1"/>
  <c r="J7396" i="1"/>
  <c r="K7396" i="1" s="1"/>
  <c r="J7397" i="1"/>
  <c r="K7397" i="1" s="1"/>
  <c r="J7398" i="1"/>
  <c r="K7398" i="1" s="1"/>
  <c r="J7399" i="1"/>
  <c r="K7399" i="1" s="1"/>
  <c r="J7400" i="1"/>
  <c r="K7400" i="1" s="1"/>
  <c r="J7401" i="1"/>
  <c r="K7401" i="1" s="1"/>
  <c r="J7402" i="1"/>
  <c r="K7402" i="1" s="1"/>
  <c r="J7403" i="1"/>
  <c r="K7403" i="1" s="1"/>
  <c r="J7404" i="1"/>
  <c r="K7404" i="1" s="1"/>
  <c r="J7405" i="1"/>
  <c r="K7405" i="1" s="1"/>
  <c r="J7406" i="1"/>
  <c r="K7406" i="1" s="1"/>
  <c r="J7407" i="1"/>
  <c r="K7407" i="1" s="1"/>
  <c r="J7408" i="1"/>
  <c r="K7408" i="1" s="1"/>
  <c r="J7409" i="1"/>
  <c r="K7409" i="1" s="1"/>
  <c r="J7410" i="1"/>
  <c r="K7410" i="1" s="1"/>
  <c r="J7411" i="1"/>
  <c r="K7411" i="1" s="1"/>
  <c r="J7412" i="1"/>
  <c r="K7412" i="1" s="1"/>
  <c r="J7413" i="1"/>
  <c r="K7413" i="1" s="1"/>
  <c r="J7414" i="1"/>
  <c r="K7414" i="1" s="1"/>
  <c r="J7415" i="1"/>
  <c r="K7415" i="1" s="1"/>
  <c r="J7416" i="1"/>
  <c r="K7416" i="1" s="1"/>
  <c r="J7417" i="1"/>
  <c r="K7417" i="1" s="1"/>
  <c r="J7418" i="1"/>
  <c r="K7418" i="1" s="1"/>
  <c r="J7419" i="1"/>
  <c r="K7419" i="1" s="1"/>
  <c r="J7420" i="1"/>
  <c r="K7420" i="1" s="1"/>
  <c r="J7421" i="1"/>
  <c r="K7421" i="1" s="1"/>
  <c r="J7422" i="1"/>
  <c r="K7422" i="1" s="1"/>
  <c r="J7423" i="1"/>
  <c r="K7423" i="1" s="1"/>
  <c r="J7424" i="1"/>
  <c r="K7424" i="1" s="1"/>
  <c r="J7425" i="1"/>
  <c r="K7425" i="1" s="1"/>
  <c r="J7426" i="1"/>
  <c r="K7426" i="1" s="1"/>
  <c r="J7427" i="1"/>
  <c r="K7427" i="1" s="1"/>
  <c r="J7428" i="1"/>
  <c r="K7428" i="1" s="1"/>
  <c r="J7429" i="1"/>
  <c r="K7429" i="1" s="1"/>
  <c r="J7430" i="1"/>
  <c r="K7430" i="1" s="1"/>
  <c r="J7431" i="1"/>
  <c r="K7431" i="1" s="1"/>
  <c r="J7432" i="1"/>
  <c r="K7432" i="1" s="1"/>
  <c r="J7433" i="1"/>
  <c r="K7433" i="1" s="1"/>
  <c r="J7434" i="1"/>
  <c r="K7434" i="1" s="1"/>
  <c r="J7435" i="1"/>
  <c r="K7435" i="1" s="1"/>
  <c r="J7436" i="1"/>
  <c r="K7436" i="1" s="1"/>
  <c r="J7437" i="1"/>
  <c r="K7437" i="1" s="1"/>
  <c r="J7438" i="1"/>
  <c r="K7438" i="1" s="1"/>
  <c r="J7439" i="1"/>
  <c r="K7439" i="1" s="1"/>
  <c r="J7440" i="1"/>
  <c r="K7440" i="1" s="1"/>
  <c r="J7441" i="1"/>
  <c r="K7441" i="1" s="1"/>
  <c r="J7442" i="1"/>
  <c r="K7442" i="1" s="1"/>
  <c r="J7443" i="1"/>
  <c r="K7443" i="1" s="1"/>
  <c r="J7444" i="1"/>
  <c r="K7444" i="1" s="1"/>
  <c r="J7445" i="1"/>
  <c r="K7445" i="1" s="1"/>
  <c r="J7446" i="1"/>
  <c r="K7446" i="1" s="1"/>
  <c r="J7447" i="1"/>
  <c r="K7447" i="1" s="1"/>
  <c r="J7448" i="1"/>
  <c r="K7448" i="1" s="1"/>
  <c r="J7449" i="1"/>
  <c r="K7449" i="1" s="1"/>
  <c r="J7450" i="1"/>
  <c r="K7450" i="1" s="1"/>
  <c r="J7451" i="1"/>
  <c r="K7451" i="1" s="1"/>
  <c r="J7452" i="1"/>
  <c r="K7452" i="1" s="1"/>
  <c r="J7453" i="1"/>
  <c r="K7453" i="1" s="1"/>
  <c r="J7454" i="1"/>
  <c r="K7454" i="1" s="1"/>
  <c r="J7455" i="1"/>
  <c r="K7455" i="1" s="1"/>
  <c r="J7456" i="1"/>
  <c r="K7456" i="1" s="1"/>
  <c r="J7457" i="1"/>
  <c r="K7457" i="1" s="1"/>
  <c r="J7458" i="1"/>
  <c r="K7458" i="1" s="1"/>
  <c r="J7459" i="1"/>
  <c r="K7459" i="1" s="1"/>
  <c r="J7460" i="1"/>
  <c r="K7460" i="1" s="1"/>
  <c r="J7461" i="1"/>
  <c r="K7461" i="1" s="1"/>
  <c r="J7462" i="1"/>
  <c r="K7462" i="1" s="1"/>
  <c r="J7463" i="1"/>
  <c r="K7463" i="1" s="1"/>
  <c r="J7464" i="1"/>
  <c r="K7464" i="1" s="1"/>
  <c r="J7465" i="1"/>
  <c r="K7465" i="1" s="1"/>
  <c r="J7466" i="1"/>
  <c r="K7466" i="1" s="1"/>
  <c r="J7467" i="1"/>
  <c r="K7467" i="1" s="1"/>
  <c r="J7468" i="1"/>
  <c r="K7468" i="1" s="1"/>
  <c r="J7469" i="1"/>
  <c r="K7469" i="1" s="1"/>
  <c r="J7470" i="1"/>
  <c r="K7470" i="1" s="1"/>
  <c r="J7471" i="1"/>
  <c r="K7471" i="1" s="1"/>
  <c r="J7472" i="1"/>
  <c r="K7472" i="1" s="1"/>
  <c r="J7473" i="1"/>
  <c r="K7473" i="1" s="1"/>
  <c r="J7474" i="1"/>
  <c r="K7474" i="1" s="1"/>
  <c r="J7475" i="1"/>
  <c r="K7475" i="1" s="1"/>
  <c r="J7476" i="1"/>
  <c r="K7476" i="1" s="1"/>
  <c r="J7477" i="1"/>
  <c r="K7477" i="1" s="1"/>
  <c r="J7478" i="1"/>
  <c r="K7478" i="1" s="1"/>
  <c r="J7479" i="1"/>
  <c r="K7479" i="1" s="1"/>
  <c r="J7480" i="1"/>
  <c r="K7480" i="1" s="1"/>
  <c r="J7481" i="1"/>
  <c r="K7481" i="1" s="1"/>
  <c r="J7482" i="1"/>
  <c r="K7482" i="1" s="1"/>
  <c r="J7483" i="1"/>
  <c r="K7483" i="1" s="1"/>
  <c r="J7484" i="1"/>
  <c r="K7484" i="1" s="1"/>
  <c r="J7485" i="1"/>
  <c r="K7485" i="1" s="1"/>
  <c r="J7486" i="1"/>
  <c r="K7486" i="1" s="1"/>
  <c r="J7487" i="1"/>
  <c r="K7487" i="1" s="1"/>
  <c r="J7488" i="1"/>
  <c r="K7488" i="1" s="1"/>
  <c r="J7489" i="1"/>
  <c r="K7489" i="1" s="1"/>
  <c r="J7490" i="1"/>
  <c r="K7490" i="1" s="1"/>
  <c r="J7491" i="1"/>
  <c r="K7491" i="1" s="1"/>
  <c r="J7492" i="1"/>
  <c r="K7492" i="1" s="1"/>
  <c r="J7493" i="1"/>
  <c r="K7493" i="1" s="1"/>
  <c r="J7494" i="1"/>
  <c r="K7494" i="1" s="1"/>
  <c r="J7495" i="1"/>
  <c r="K7495" i="1" s="1"/>
  <c r="J7496" i="1"/>
  <c r="K7496" i="1" s="1"/>
  <c r="J7497" i="1"/>
  <c r="K7497" i="1" s="1"/>
  <c r="J7498" i="1"/>
  <c r="K7498" i="1" s="1"/>
  <c r="J7499" i="1"/>
  <c r="K7499" i="1" s="1"/>
  <c r="J7500" i="1"/>
  <c r="K7500" i="1" s="1"/>
  <c r="J7501" i="1"/>
  <c r="K7501" i="1" s="1"/>
  <c r="J7502" i="1"/>
  <c r="K7502" i="1" s="1"/>
  <c r="J7503" i="1"/>
  <c r="K7503" i="1" s="1"/>
  <c r="J7504" i="1"/>
  <c r="K7504" i="1" s="1"/>
  <c r="J7505" i="1"/>
  <c r="K7505" i="1" s="1"/>
  <c r="J7506" i="1"/>
  <c r="K7506" i="1" s="1"/>
  <c r="J7507" i="1"/>
  <c r="K7507" i="1" s="1"/>
  <c r="J7508" i="1"/>
  <c r="K7508" i="1" s="1"/>
  <c r="J7509" i="1"/>
  <c r="K7509" i="1" s="1"/>
  <c r="J7510" i="1"/>
  <c r="K7510" i="1" s="1"/>
  <c r="J7511" i="1"/>
  <c r="K7511" i="1" s="1"/>
  <c r="J7512" i="1"/>
  <c r="K7512" i="1" s="1"/>
  <c r="J7513" i="1"/>
  <c r="K7513" i="1" s="1"/>
  <c r="J7514" i="1"/>
  <c r="K7514" i="1" s="1"/>
  <c r="J7515" i="1"/>
  <c r="K7515" i="1" s="1"/>
  <c r="J7516" i="1"/>
  <c r="K7516" i="1" s="1"/>
  <c r="J7517" i="1"/>
  <c r="K7517" i="1" s="1"/>
  <c r="J7518" i="1"/>
  <c r="K7518" i="1" s="1"/>
  <c r="J7519" i="1"/>
  <c r="K7519" i="1" s="1"/>
  <c r="J7520" i="1"/>
  <c r="K7520" i="1" s="1"/>
  <c r="J7521" i="1"/>
  <c r="K7521" i="1" s="1"/>
  <c r="J7522" i="1"/>
  <c r="K7522" i="1" s="1"/>
  <c r="J7523" i="1"/>
  <c r="K7523" i="1" s="1"/>
  <c r="J7524" i="1"/>
  <c r="K7524" i="1" s="1"/>
  <c r="J7525" i="1"/>
  <c r="K7525" i="1" s="1"/>
  <c r="J7526" i="1"/>
  <c r="K7526" i="1" s="1"/>
  <c r="J7527" i="1"/>
  <c r="K7527" i="1" s="1"/>
  <c r="J7528" i="1"/>
  <c r="K7528" i="1" s="1"/>
  <c r="J7529" i="1"/>
  <c r="K7529" i="1" s="1"/>
  <c r="J7530" i="1"/>
  <c r="K7530" i="1" s="1"/>
  <c r="J7531" i="1"/>
  <c r="K7531" i="1" s="1"/>
  <c r="J7532" i="1"/>
  <c r="K7532" i="1" s="1"/>
  <c r="J7533" i="1"/>
  <c r="K7533" i="1" s="1"/>
  <c r="J7534" i="1"/>
  <c r="K7534" i="1" s="1"/>
  <c r="J7535" i="1"/>
  <c r="K7535" i="1" s="1"/>
  <c r="J7536" i="1"/>
  <c r="K7536" i="1" s="1"/>
  <c r="J7537" i="1"/>
  <c r="K7537" i="1" s="1"/>
  <c r="J7538" i="1"/>
  <c r="K7538" i="1" s="1"/>
  <c r="J7539" i="1"/>
  <c r="K7539" i="1" s="1"/>
  <c r="J7540" i="1"/>
  <c r="K7540" i="1" s="1"/>
  <c r="J7541" i="1"/>
  <c r="K7541" i="1" s="1"/>
  <c r="J7542" i="1"/>
  <c r="K7542" i="1" s="1"/>
  <c r="J7543" i="1"/>
  <c r="K7543" i="1" s="1"/>
  <c r="J7544" i="1"/>
  <c r="K7544" i="1" s="1"/>
  <c r="J7545" i="1"/>
  <c r="K7545" i="1" s="1"/>
  <c r="J7546" i="1"/>
  <c r="K7546" i="1" s="1"/>
  <c r="J7547" i="1"/>
  <c r="K7547" i="1" s="1"/>
  <c r="J7548" i="1"/>
  <c r="K7548" i="1" s="1"/>
  <c r="J7549" i="1"/>
  <c r="K7549" i="1" s="1"/>
  <c r="J7550" i="1"/>
  <c r="K7550" i="1" s="1"/>
  <c r="J7551" i="1"/>
  <c r="K7551" i="1" s="1"/>
  <c r="J7552" i="1"/>
  <c r="K7552" i="1" s="1"/>
  <c r="J7553" i="1"/>
  <c r="K7553" i="1" s="1"/>
  <c r="J7554" i="1"/>
  <c r="K7554" i="1" s="1"/>
  <c r="J7555" i="1"/>
  <c r="K7555" i="1" s="1"/>
  <c r="J7556" i="1"/>
  <c r="K7556" i="1" s="1"/>
  <c r="J7557" i="1"/>
  <c r="K7557" i="1" s="1"/>
  <c r="J7558" i="1"/>
  <c r="K7558" i="1" s="1"/>
  <c r="J7559" i="1"/>
  <c r="K7559" i="1" s="1"/>
  <c r="J7560" i="1"/>
  <c r="K7560" i="1" s="1"/>
  <c r="J7561" i="1"/>
  <c r="K7561" i="1" s="1"/>
  <c r="J7562" i="1"/>
  <c r="K7562" i="1" s="1"/>
  <c r="J7563" i="1"/>
  <c r="K7563" i="1" s="1"/>
  <c r="J7564" i="1"/>
  <c r="K7564" i="1" s="1"/>
  <c r="J7565" i="1"/>
  <c r="K7565" i="1" s="1"/>
  <c r="J7566" i="1"/>
  <c r="K7566" i="1" s="1"/>
  <c r="J7567" i="1"/>
  <c r="K7567" i="1" s="1"/>
  <c r="J7568" i="1"/>
  <c r="K7568" i="1" s="1"/>
  <c r="J7569" i="1"/>
  <c r="K7569" i="1" s="1"/>
  <c r="J7570" i="1"/>
  <c r="K7570" i="1" s="1"/>
  <c r="J7571" i="1"/>
  <c r="K7571" i="1" s="1"/>
  <c r="J7572" i="1"/>
  <c r="K7572" i="1" s="1"/>
  <c r="J7573" i="1"/>
  <c r="K7573" i="1" s="1"/>
  <c r="J7574" i="1"/>
  <c r="K7574" i="1" s="1"/>
  <c r="J7575" i="1"/>
  <c r="K7575" i="1" s="1"/>
  <c r="J7576" i="1"/>
  <c r="K7576" i="1" s="1"/>
  <c r="J7577" i="1"/>
  <c r="K7577" i="1" s="1"/>
  <c r="J7578" i="1"/>
  <c r="K7578" i="1" s="1"/>
  <c r="J7579" i="1"/>
  <c r="K7579" i="1" s="1"/>
  <c r="J7580" i="1"/>
  <c r="K7580" i="1" s="1"/>
  <c r="J7581" i="1"/>
  <c r="K7581" i="1" s="1"/>
  <c r="J7582" i="1"/>
  <c r="K7582" i="1" s="1"/>
  <c r="J7583" i="1"/>
  <c r="K7583" i="1" s="1"/>
  <c r="J7584" i="1"/>
  <c r="K7584" i="1" s="1"/>
  <c r="J7585" i="1"/>
  <c r="K7585" i="1" s="1"/>
  <c r="J7586" i="1"/>
  <c r="K7586" i="1" s="1"/>
  <c r="J7587" i="1"/>
  <c r="K7587" i="1" s="1"/>
  <c r="J7588" i="1"/>
  <c r="K7588" i="1" s="1"/>
  <c r="J7589" i="1"/>
  <c r="K7589" i="1" s="1"/>
  <c r="J7590" i="1"/>
  <c r="K7590" i="1" s="1"/>
  <c r="J7591" i="1"/>
  <c r="K7591" i="1" s="1"/>
  <c r="J7592" i="1"/>
  <c r="K7592" i="1" s="1"/>
  <c r="J7593" i="1"/>
  <c r="K7593" i="1" s="1"/>
  <c r="J7594" i="1"/>
  <c r="K7594" i="1" s="1"/>
  <c r="J7595" i="1"/>
  <c r="K7595" i="1" s="1"/>
  <c r="J7596" i="1"/>
  <c r="K7596" i="1" s="1"/>
  <c r="J7597" i="1"/>
  <c r="K7597" i="1" s="1"/>
  <c r="J7598" i="1"/>
  <c r="K7598" i="1" s="1"/>
  <c r="J7599" i="1"/>
  <c r="K7599" i="1" s="1"/>
  <c r="J7600" i="1"/>
  <c r="K7600" i="1" s="1"/>
  <c r="J7601" i="1"/>
  <c r="K7601" i="1" s="1"/>
  <c r="J7602" i="1"/>
  <c r="K7602" i="1" s="1"/>
  <c r="J7603" i="1"/>
  <c r="K7603" i="1" s="1"/>
  <c r="J7604" i="1"/>
  <c r="K7604" i="1" s="1"/>
  <c r="J7605" i="1"/>
  <c r="K7605" i="1" s="1"/>
  <c r="J7606" i="1"/>
  <c r="K7606" i="1" s="1"/>
  <c r="J7607" i="1"/>
  <c r="K7607" i="1" s="1"/>
  <c r="J7608" i="1"/>
  <c r="K7608" i="1" s="1"/>
  <c r="J7609" i="1"/>
  <c r="K7609" i="1" s="1"/>
  <c r="J7610" i="1"/>
  <c r="K7610" i="1" s="1"/>
  <c r="J7611" i="1"/>
  <c r="K7611" i="1" s="1"/>
  <c r="J7612" i="1"/>
  <c r="K7612" i="1" s="1"/>
  <c r="J7613" i="1"/>
  <c r="K7613" i="1" s="1"/>
  <c r="J7614" i="1"/>
  <c r="K7614" i="1" s="1"/>
  <c r="J7615" i="1"/>
  <c r="K7615" i="1" s="1"/>
  <c r="J7616" i="1"/>
  <c r="K7616" i="1" s="1"/>
  <c r="J7617" i="1"/>
  <c r="K7617" i="1" s="1"/>
  <c r="J7618" i="1"/>
  <c r="K7618" i="1" s="1"/>
  <c r="J7619" i="1"/>
  <c r="K7619" i="1" s="1"/>
  <c r="J7620" i="1"/>
  <c r="K7620" i="1" s="1"/>
  <c r="J7621" i="1"/>
  <c r="K7621" i="1" s="1"/>
  <c r="J7622" i="1"/>
  <c r="K7622" i="1" s="1"/>
  <c r="J7623" i="1"/>
  <c r="K7623" i="1" s="1"/>
  <c r="J7624" i="1"/>
  <c r="K7624" i="1" s="1"/>
  <c r="J7625" i="1"/>
  <c r="K7625" i="1" s="1"/>
  <c r="J7626" i="1"/>
  <c r="K7626" i="1" s="1"/>
  <c r="J7627" i="1"/>
  <c r="K7627" i="1" s="1"/>
  <c r="J7628" i="1"/>
  <c r="K7628" i="1" s="1"/>
  <c r="J7629" i="1"/>
  <c r="K7629" i="1" s="1"/>
  <c r="J7630" i="1"/>
  <c r="K7630" i="1" s="1"/>
  <c r="J7631" i="1"/>
  <c r="K7631" i="1" s="1"/>
  <c r="J7632" i="1"/>
  <c r="K7632" i="1" s="1"/>
  <c r="J7633" i="1"/>
  <c r="K7633" i="1" s="1"/>
  <c r="J7634" i="1"/>
  <c r="K7634" i="1" s="1"/>
  <c r="J7635" i="1"/>
  <c r="K7635" i="1" s="1"/>
  <c r="J7636" i="1"/>
  <c r="K7636" i="1" s="1"/>
  <c r="J7637" i="1"/>
  <c r="K7637" i="1" s="1"/>
  <c r="J7638" i="1"/>
  <c r="K7638" i="1" s="1"/>
  <c r="J7639" i="1"/>
  <c r="K7639" i="1" s="1"/>
  <c r="J7640" i="1"/>
  <c r="K7640" i="1" s="1"/>
  <c r="J7641" i="1"/>
  <c r="K7641" i="1" s="1"/>
  <c r="J7642" i="1"/>
  <c r="K7642" i="1" s="1"/>
  <c r="J7643" i="1"/>
  <c r="K7643" i="1" s="1"/>
  <c r="J7644" i="1"/>
  <c r="K7644" i="1" s="1"/>
  <c r="J7645" i="1"/>
  <c r="K7645" i="1" s="1"/>
  <c r="J7646" i="1"/>
  <c r="K7646" i="1" s="1"/>
  <c r="J7647" i="1"/>
  <c r="K7647" i="1" s="1"/>
  <c r="J7648" i="1"/>
  <c r="K7648" i="1" s="1"/>
  <c r="J7649" i="1"/>
  <c r="K7649" i="1" s="1"/>
  <c r="J7650" i="1"/>
  <c r="K7650" i="1" s="1"/>
  <c r="J7651" i="1"/>
  <c r="K7651" i="1" s="1"/>
  <c r="J7652" i="1"/>
  <c r="K7652" i="1" s="1"/>
  <c r="J7653" i="1"/>
  <c r="K7653" i="1" s="1"/>
  <c r="J7654" i="1"/>
  <c r="K7654" i="1" s="1"/>
  <c r="J7655" i="1"/>
  <c r="K7655" i="1" s="1"/>
  <c r="J7656" i="1"/>
  <c r="K7656" i="1" s="1"/>
  <c r="J7657" i="1"/>
  <c r="K7657" i="1" s="1"/>
  <c r="J7658" i="1"/>
  <c r="K7658" i="1" s="1"/>
  <c r="J7659" i="1"/>
  <c r="K7659" i="1" s="1"/>
  <c r="J7660" i="1"/>
  <c r="K7660" i="1" s="1"/>
  <c r="J7661" i="1"/>
  <c r="K7661" i="1" s="1"/>
  <c r="J7662" i="1"/>
  <c r="K7662" i="1" s="1"/>
  <c r="J7663" i="1"/>
  <c r="K7663" i="1" s="1"/>
  <c r="J7664" i="1"/>
  <c r="K7664" i="1" s="1"/>
  <c r="J7665" i="1"/>
  <c r="K7665" i="1" s="1"/>
  <c r="J7666" i="1"/>
  <c r="K7666" i="1" s="1"/>
  <c r="J7667" i="1"/>
  <c r="K7667" i="1" s="1"/>
  <c r="J7668" i="1"/>
  <c r="K7668" i="1" s="1"/>
  <c r="J7669" i="1"/>
  <c r="K7669" i="1" s="1"/>
  <c r="J7670" i="1"/>
  <c r="K7670" i="1" s="1"/>
  <c r="J7671" i="1"/>
  <c r="K7671" i="1" s="1"/>
  <c r="J7672" i="1"/>
  <c r="K7672" i="1" s="1"/>
  <c r="J7673" i="1"/>
  <c r="K7673" i="1" s="1"/>
  <c r="J7674" i="1"/>
  <c r="K7674" i="1" s="1"/>
  <c r="J7675" i="1"/>
  <c r="K7675" i="1" s="1"/>
  <c r="J7676" i="1"/>
  <c r="K7676" i="1" s="1"/>
  <c r="J7677" i="1"/>
  <c r="K7677" i="1" s="1"/>
  <c r="J7678" i="1"/>
  <c r="K7678" i="1" s="1"/>
  <c r="J7679" i="1"/>
  <c r="K7679" i="1" s="1"/>
  <c r="J7680" i="1"/>
  <c r="K7680" i="1" s="1"/>
  <c r="J7681" i="1"/>
  <c r="K7681" i="1" s="1"/>
  <c r="J7682" i="1"/>
  <c r="K7682" i="1" s="1"/>
  <c r="J7683" i="1"/>
  <c r="K7683" i="1" s="1"/>
  <c r="J7684" i="1"/>
  <c r="K7684" i="1" s="1"/>
  <c r="J7685" i="1"/>
  <c r="K7685" i="1" s="1"/>
  <c r="J7686" i="1"/>
  <c r="K7686" i="1" s="1"/>
  <c r="J7687" i="1"/>
  <c r="K7687" i="1" s="1"/>
  <c r="J7688" i="1"/>
  <c r="K7688" i="1" s="1"/>
  <c r="J7689" i="1"/>
  <c r="K7689" i="1" s="1"/>
  <c r="J7690" i="1"/>
  <c r="K7690" i="1" s="1"/>
  <c r="J7691" i="1"/>
  <c r="K7691" i="1" s="1"/>
  <c r="J7692" i="1"/>
  <c r="K7692" i="1" s="1"/>
  <c r="J7693" i="1"/>
  <c r="K7693" i="1" s="1"/>
  <c r="J7694" i="1"/>
  <c r="K7694" i="1" s="1"/>
  <c r="J7695" i="1"/>
  <c r="K7695" i="1" s="1"/>
  <c r="J7696" i="1"/>
  <c r="K7696" i="1" s="1"/>
  <c r="J7697" i="1"/>
  <c r="K7697" i="1" s="1"/>
  <c r="J7698" i="1"/>
  <c r="K7698" i="1" s="1"/>
  <c r="J7699" i="1"/>
  <c r="K7699" i="1" s="1"/>
  <c r="J7700" i="1"/>
  <c r="K7700" i="1" s="1"/>
  <c r="J7701" i="1"/>
  <c r="K7701" i="1" s="1"/>
  <c r="J2" i="1"/>
  <c r="K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2" i="1"/>
</calcChain>
</file>

<file path=xl/sharedStrings.xml><?xml version="1.0" encoding="utf-8"?>
<sst xmlns="http://schemas.openxmlformats.org/spreadsheetml/2006/main" count="23697" uniqueCount="291">
  <si>
    <t>ID</t>
  </si>
  <si>
    <t>Дата</t>
  </si>
  <si>
    <t>ID магазина</t>
  </si>
  <si>
    <t>Артикул</t>
  </si>
  <si>
    <t>Тип операции</t>
  </si>
  <si>
    <t>Количество</t>
  </si>
  <si>
    <t>M1</t>
  </si>
  <si>
    <t>irlen_160925</t>
  </si>
  <si>
    <t>Поступление</t>
  </si>
  <si>
    <t>M19</t>
  </si>
  <si>
    <t>irlen_170332</t>
  </si>
  <si>
    <t>M9</t>
  </si>
  <si>
    <t>irlen_160962</t>
  </si>
  <si>
    <t>Продажа</t>
  </si>
  <si>
    <t>M13</t>
  </si>
  <si>
    <t>irlen_160952</t>
  </si>
  <si>
    <t>M7</t>
  </si>
  <si>
    <t>irlen_170330</t>
  </si>
  <si>
    <t>M11</t>
  </si>
  <si>
    <t>irlen_170368</t>
  </si>
  <si>
    <t>M8</t>
  </si>
  <si>
    <t>irlen_160554</t>
  </si>
  <si>
    <t>M5</t>
  </si>
  <si>
    <t>irlen_170253</t>
  </si>
  <si>
    <t>irlen_170358</t>
  </si>
  <si>
    <t>irlen_160902</t>
  </si>
  <si>
    <t>M23</t>
  </si>
  <si>
    <t>irlen_170382</t>
  </si>
  <si>
    <t>M10</t>
  </si>
  <si>
    <t>irlen_170273</t>
  </si>
  <si>
    <t>M18</t>
  </si>
  <si>
    <t>irlen_170384</t>
  </si>
  <si>
    <t>irlen_160806</t>
  </si>
  <si>
    <t>M15</t>
  </si>
  <si>
    <t>irlen_170362</t>
  </si>
  <si>
    <t>M22</t>
  </si>
  <si>
    <t>irlen_170254</t>
  </si>
  <si>
    <t>irlen_170130</t>
  </si>
  <si>
    <t>irlen_170219</t>
  </si>
  <si>
    <t>irlen_170148</t>
  </si>
  <si>
    <t>irlen_170261</t>
  </si>
  <si>
    <t>M21</t>
  </si>
  <si>
    <t>irlen_160922</t>
  </si>
  <si>
    <t>M3</t>
  </si>
  <si>
    <t>irlen_170322</t>
  </si>
  <si>
    <t>irlen_160608</t>
  </si>
  <si>
    <t>irlen_160967</t>
  </si>
  <si>
    <t>irlen_160956</t>
  </si>
  <si>
    <t>M4</t>
  </si>
  <si>
    <t>irlen_160811</t>
  </si>
  <si>
    <t>irlen_170276</t>
  </si>
  <si>
    <t>irlen_170272</t>
  </si>
  <si>
    <t>irlen_170277</t>
  </si>
  <si>
    <t>irlen_170321</t>
  </si>
  <si>
    <t>M2</t>
  </si>
  <si>
    <t>irlen_170248</t>
  </si>
  <si>
    <t>irlen_170275</t>
  </si>
  <si>
    <t>M16</t>
  </si>
  <si>
    <t>M17</t>
  </si>
  <si>
    <t>irlen_170377</t>
  </si>
  <si>
    <t>irlen_170224</t>
  </si>
  <si>
    <t>irlen_160921</t>
  </si>
  <si>
    <t>irlen_170251</t>
  </si>
  <si>
    <t>M12</t>
  </si>
  <si>
    <t>irlen_170365</t>
  </si>
  <si>
    <t>irlen_170336</t>
  </si>
  <si>
    <t>irlen_170258</t>
  </si>
  <si>
    <t>irlen_170270</t>
  </si>
  <si>
    <t>irlen_170331</t>
  </si>
  <si>
    <t>irlen_170260</t>
  </si>
  <si>
    <t>irlen_170015</t>
  </si>
  <si>
    <t>irlen_170255</t>
  </si>
  <si>
    <t>irlen_170291</t>
  </si>
  <si>
    <t>irlen_170327</t>
  </si>
  <si>
    <t>irlen_170269</t>
  </si>
  <si>
    <t>irlen_170268</t>
  </si>
  <si>
    <t>irlen_160813</t>
  </si>
  <si>
    <t>irlen_160988</t>
  </si>
  <si>
    <t>irlen_160954</t>
  </si>
  <si>
    <t>irlen_170324</t>
  </si>
  <si>
    <t>irlen_170290</t>
  </si>
  <si>
    <t>irlen_170250</t>
  </si>
  <si>
    <t>irlen_170363</t>
  </si>
  <si>
    <t>irlen_170271</t>
  </si>
  <si>
    <t>irlen_170281</t>
  </si>
  <si>
    <t>irlen_15474</t>
  </si>
  <si>
    <t>irlen_17637</t>
  </si>
  <si>
    <t>irlen_170360</t>
  </si>
  <si>
    <t>irlen_170257</t>
  </si>
  <si>
    <t>irlen_170289</t>
  </si>
  <si>
    <t>irlen_14706</t>
  </si>
  <si>
    <t>irlen_170259</t>
  </si>
  <si>
    <t>M14</t>
  </si>
  <si>
    <t>irlen_170274</t>
  </si>
  <si>
    <t>irlen_170265</t>
  </si>
  <si>
    <t>irlen_170364</t>
  </si>
  <si>
    <t>irlen_170328</t>
  </si>
  <si>
    <t>irlen_160612</t>
  </si>
  <si>
    <t>irlen_170249</t>
  </si>
  <si>
    <t>irlen_160930</t>
  </si>
  <si>
    <t>irlen_170333</t>
  </si>
  <si>
    <t>irlen_160971</t>
  </si>
  <si>
    <t>irlen_170337</t>
  </si>
  <si>
    <t>M20</t>
  </si>
  <si>
    <t>irlen_170280</t>
  </si>
  <si>
    <t>irlen_139796</t>
  </si>
  <si>
    <t>irlen_170017</t>
  </si>
  <si>
    <t>irlen_17638</t>
  </si>
  <si>
    <t>irlen_170383</t>
  </si>
  <si>
    <t>irlen_170256</t>
  </si>
  <si>
    <t>irlen_170252</t>
  </si>
  <si>
    <t>M6</t>
  </si>
  <si>
    <t>irlen_140342</t>
  </si>
  <si>
    <t>irlen_170262</t>
  </si>
  <si>
    <t>irlen_170149</t>
  </si>
  <si>
    <t>irlen_170009</t>
  </si>
  <si>
    <t>irlen_141542</t>
  </si>
  <si>
    <t>irlen_170325</t>
  </si>
  <si>
    <t>irlen_170296</t>
  </si>
  <si>
    <t>irlen_160556</t>
  </si>
  <si>
    <t>irlen_170263</t>
  </si>
  <si>
    <t>irlen_160987</t>
  </si>
  <si>
    <t>irlen_170320</t>
  </si>
  <si>
    <t>irlen_170278</t>
  </si>
  <si>
    <t>irlen_170264</t>
  </si>
  <si>
    <t>irlen_170079</t>
  </si>
  <si>
    <t>irlen_170323</t>
  </si>
  <si>
    <t>irlen_170329</t>
  </si>
  <si>
    <t>irlen_170338</t>
  </si>
  <si>
    <t>irlen_170326</t>
  </si>
  <si>
    <t>irlen_170366</t>
  </si>
  <si>
    <t>irlen_170361</t>
  </si>
  <si>
    <t>Категория</t>
  </si>
  <si>
    <t>Наименование</t>
  </si>
  <si>
    <t>Цена</t>
  </si>
  <si>
    <t>Цвет</t>
  </si>
  <si>
    <t>Высота</t>
  </si>
  <si>
    <t>Ширина</t>
  </si>
  <si>
    <t>Глубина</t>
  </si>
  <si>
    <t>Монтаж</t>
  </si>
  <si>
    <t>Тумбы с раковиной</t>
  </si>
  <si>
    <t>Тумба с раковиной  напол. Нева 600 белый 2 двери + 1 ящик с умыв. Como</t>
  </si>
  <si>
    <t>белый</t>
  </si>
  <si>
    <t>напольный</t>
  </si>
  <si>
    <t>Тумба с раковиной  напол. Аква 560 белый 2 двери с умыв. Уют</t>
  </si>
  <si>
    <t>Зеркала, шкафы зеркальные</t>
  </si>
  <si>
    <t>Зеркало Нева 60 дуб/белый со светильником</t>
  </si>
  <si>
    <t>зеркало</t>
  </si>
  <si>
    <t>подвесной</t>
  </si>
  <si>
    <t>Шкафы, пеналы, комоды</t>
  </si>
  <si>
    <t>Пенал напол. Аква 350 белый 2 двери + 2 ящика</t>
  </si>
  <si>
    <t>Пенал напол. Аква 450 белый 2 двери + 2 ящика + корзина</t>
  </si>
  <si>
    <t>Зеркальный шкаф Рица 60 со светильником правый цвет cерый/керамика</t>
  </si>
  <si>
    <t>cерый/керамика</t>
  </si>
  <si>
    <t>Пенал навес./напол. Рица 350 cерый/керамика 2 двери</t>
  </si>
  <si>
    <t>универсальный</t>
  </si>
  <si>
    <t>Зеркальный шкаф Рица 80 со светильником правый цвет cерый/керамика</t>
  </si>
  <si>
    <t>Пенал напол. Кристалл 350 суфле 2 двери</t>
  </si>
  <si>
    <t>суфле</t>
  </si>
  <si>
    <t>Тумба с раковиной  напол. Леон Риф 700 солярис/белый риф 2 ящика с умыв. Слим</t>
  </si>
  <si>
    <t>солярис/белый риф</t>
  </si>
  <si>
    <t>Тумба с раковиной  напол. Леон 700 оникс 2 ящика с умыв. Слим</t>
  </si>
  <si>
    <t>оникс</t>
  </si>
  <si>
    <t>Тумба с раковиной  напол. Леон 600 оникс 2 ящика с умыв. Слим</t>
  </si>
  <si>
    <t>Пенал напол. Леон 400 оникс 2 двери + 1 ящик</t>
  </si>
  <si>
    <t>Мебель под стиральную машину</t>
  </si>
  <si>
    <t>Тумба под стиральную машину Леон Риф 57 напольная 2 ящика под ст/маш, без умывальника /под Marshall 120 Солярис/Белый Риф</t>
  </si>
  <si>
    <t>Тумба под стиральную машину Леон Риф 57 подвесная 2 ящика под ст/маш, без умывальника /под Marshall 120 Солярис/Белый Риф</t>
  </si>
  <si>
    <t>Пенал напол. Леон Риф 400 солярис/белый риф 2 двери + 1 ящик</t>
  </si>
  <si>
    <t>Тумба с раковиной  навес. Леон 600 оникс 2 ящика с умыв. Слим</t>
  </si>
  <si>
    <t>Зеркальный шкаф Кристалл 60 со светильником правый, ручка кнопка дуб цвет Шато Азур</t>
  </si>
  <si>
    <t>шато азур</t>
  </si>
  <si>
    <t>Зеркальный шкаф Кристалл 70 со светильником правый, ручка кнопка дуб цвет Шато Азур</t>
  </si>
  <si>
    <t>Пенал напол. Кристалл 350 шато азур 2 двери</t>
  </si>
  <si>
    <t>Тумба с раковиной  напол. Сохо 700 белый 2 двери с умыв. Слим</t>
  </si>
  <si>
    <t>Тумба с раковиной  напол. Сохо 700 белый 2 ящика с умыв. Слим</t>
  </si>
  <si>
    <t>Пенал напол. Сохо 400 белый 2 двери + 1 ящик</t>
  </si>
  <si>
    <t>Тумба с раковиной  напол. Куба Риф 600 белый 2 двери с умыв. Como</t>
  </si>
  <si>
    <t>Тумба с раковиной  напол. Куба Риф 600 белый 2 ящика с умыв. Como</t>
  </si>
  <si>
    <t>Тумба под стиральную машину Куба Риф 57 напольная 2 ящика под ст/маш, без умывальника /под Marshall 120 Белый</t>
  </si>
  <si>
    <t>Тумба с раковиной  напол. Кристалл 700 шато азур 2 ящика с умыв. Слим</t>
  </si>
  <si>
    <t>Тумба с раковиной  навес. Кристалл 700 шато азур 2 ящика с умыв. Слим</t>
  </si>
  <si>
    <t>Зеркальный шкаф Сохо 60 белый со светильником правый цвет Белый глянец</t>
  </si>
  <si>
    <t>Зеркальный шкаф Сохо 70 белый со светильником правый цвет Белый глянец</t>
  </si>
  <si>
    <t>Тумба с раковиной  напол. Альба 700 мята 2 ящика с умыв. Слим</t>
  </si>
  <si>
    <t>мята</t>
  </si>
  <si>
    <t>Тумба с раковиной  навес. Альба 700 мята 2 ящика с умыв. Слим</t>
  </si>
  <si>
    <t>Тумба с раковиной  навес. Куба Риф 600 белый 2 ящика с умыв. Como</t>
  </si>
  <si>
    <t>Пенал навес. Куба Риф 350 белый 2 двери</t>
  </si>
  <si>
    <t>Тумба с раковиной  напол. Рица 600 cерый/керамика 2 ящика с умыв. Океан</t>
  </si>
  <si>
    <t>Тумба с раковиной  напол. Рица 800 cерый/керамика 2 ящика с умыв. Слим</t>
  </si>
  <si>
    <t>Тумба с раковиной  навес. Рица 600 cерый/керамика 1 ящик + ниша 1 с умыв. Океан</t>
  </si>
  <si>
    <t>Тумба с раковиной  напол. Альба 600 мята 2 ящика с умыв. Океан</t>
  </si>
  <si>
    <t>Тумба с раковиной  напол. Альба 600 антрацит 2 ящика с умыв. Океан</t>
  </si>
  <si>
    <t>антрацит</t>
  </si>
  <si>
    <t>Тумба с раковиной  напол. Альба 800 антрацит 2 ящика с умыв. Слим</t>
  </si>
  <si>
    <t>Тумба с раковиной  напол. Альба 800 мята 2 ящика с умыв. Слим</t>
  </si>
  <si>
    <t>Тумба с раковиной  навес. Альба 600 мята 2 ящика с умыв. Океан</t>
  </si>
  <si>
    <t>Тумба с раковиной  навес. Альба 600 антрацит 2 ящика с умыв. Океан</t>
  </si>
  <si>
    <t>Тумба с раковиной  навес. Альба 800 антрацит 2 ящика с умыв. Слим</t>
  </si>
  <si>
    <t>Тумба с раковиной  навес. Альба 800 мята 2 ящика с умыв. Слим</t>
  </si>
  <si>
    <t>Пенал навес./напол. Альба 350 мята 2 двери</t>
  </si>
  <si>
    <t>Пенал навес./напол. Альба 350 антрацит 2 двери</t>
  </si>
  <si>
    <t>Тумба с раковиной  навес. Рица 800 cерый/керамика 1 ящик + ниша 1 с умыв. Слим</t>
  </si>
  <si>
    <t>Зеркальный шкаф Альба 60 со светильником правый цвет мята</t>
  </si>
  <si>
    <t>Зеркальный шкаф Альба 60 со светильником правый цвет антрацит</t>
  </si>
  <si>
    <t>Тумба с раковиной  напол. Леон 600 оникс 2 ящика с умыв. Океан</t>
  </si>
  <si>
    <t>Зеркальный шкаф Альба 80 со светильником правый цвет антрацит</t>
  </si>
  <si>
    <t>Тумба с раковиной  напол. Альба 600 суфле 2 ящика с умыв. Океан</t>
  </si>
  <si>
    <t>Тумба с раковиной  напол. Альба 800 суфле 2 ящика с умыв. Слим</t>
  </si>
  <si>
    <t>Пенал навес./напол. Альба 350 суфле 2 двери</t>
  </si>
  <si>
    <t>Зеркальный шкаф Альба 60 со светильником правый цвет суфле</t>
  </si>
  <si>
    <t>Зеркальный шкаф Альба 80 со светильником правый цвет суфле</t>
  </si>
  <si>
    <t>Тумба с раковиной  напол. Леон Риф 600 солярис/белый риф 2 ящика с умыв. Океан</t>
  </si>
  <si>
    <t>Тумба с раковиной  напол. Леон Риф 800 солярис/белый риф 2 ящика с умыв. Слим</t>
  </si>
  <si>
    <t>Зеркальный шкаф Альба 80 со светильником правый цвет мята</t>
  </si>
  <si>
    <t>Тумба с раковиной  напол. Леон 800 оникс 2 ящика с умыв. Слим</t>
  </si>
  <si>
    <t>Тумба с раковиной  напол. Кристалл 600 суфле 2 ящика с умыв. Океан</t>
  </si>
  <si>
    <t>Тумба с раковиной  напол. Кристалл 800 суфле 2 ящика с умыв. Слим</t>
  </si>
  <si>
    <t>Тумба под стиральную машину Куба Риф 57 подвесная 2 ящика под ст/маш, без умывальника /под Marshall 120 Белый</t>
  </si>
  <si>
    <t>Тумба с раковиной  напол. Куба Риф 800 белый 3 двери с умыв. Слим</t>
  </si>
  <si>
    <t>Тумба с раковиной  напол. Сохо 600 белый 2 двери с умыв. Океан</t>
  </si>
  <si>
    <t>Тумба с раковиной  навес. Сохо 600 белый 2 ящика с умыв. Океан</t>
  </si>
  <si>
    <t>Тумба с раковиной  напол. Сохо 600 белый 2 ящика с умыв. Океан</t>
  </si>
  <si>
    <t>Тумба с раковиной  напол. Сохо 800 белый 2 ящика с умыв. Слим</t>
  </si>
  <si>
    <t>Тумба с раковиной  навес. Кристалл 600 шато азур 2 ящика с умыв. Океан</t>
  </si>
  <si>
    <t>Тумба с раковиной  напол. Кристалл 600 шато азур 2 ящика с умыв. Океан</t>
  </si>
  <si>
    <t>Тумба с раковиной  навес. Кристалл 800 шато азур 2 ящика с умыв. Комфорт</t>
  </si>
  <si>
    <t>Тумба с раковиной  напол. Кристалл 800 шато азур 2 ящика с умыв. Комфорт</t>
  </si>
  <si>
    <t>Зеркальный шкаф Альба 70 со светильником правый цвет мята</t>
  </si>
  <si>
    <t>Тумба с раковиной  навес. Альба 700 антрацит 2 ящика с умыв. Слим</t>
  </si>
  <si>
    <t>Тумба с раковиной  напол. Альба 700 антрацит 2 ящика с умыв. Слим</t>
  </si>
  <si>
    <t>Зеркальный шкаф Альба 70 со светильником правый цвет антрацит</t>
  </si>
  <si>
    <t>Тумба с раковиной  навес. Альба 600 мята 1 ящик с умыв. Океан</t>
  </si>
  <si>
    <t>Тумба с раковиной  навес. Альба 700 мята 1 ящик с умыв. Слим</t>
  </si>
  <si>
    <t>Тумба с раковиной  навес. Альба 800 антрацит 1 ящик с умыв. Слим</t>
  </si>
  <si>
    <t>Тумба с раковиной  навес. Альба 600 антрацит 1 ящик с умыв. Океан</t>
  </si>
  <si>
    <t>Тумба с раковиной  навес. Альба 700 антрацит 1 ящик с умыв. Слим</t>
  </si>
  <si>
    <t>Тумба с раковиной  навес. Альба 800 мята 1 ящик с умыв. Слим</t>
  </si>
  <si>
    <t>Тумба с раковиной  навес. Альба 800 суфле 2 ящика с умыв. Слим</t>
  </si>
  <si>
    <t>Тумба с раковиной  напол. Леон Риф 1000 солярис/белый риф 2 ящика с умыв. Слим</t>
  </si>
  <si>
    <t>Тумба с раковиной  напол. Куба Риф 1000 белый 2 ящика с умыв. Слим</t>
  </si>
  <si>
    <t>Тумба с раковиной  напол. Леон 600 форест 2 ящика с умыв. Слим</t>
  </si>
  <si>
    <t>форест</t>
  </si>
  <si>
    <t>Тумба с раковиной  напол. Леон 700 форест 2 ящика с умыв. Слим</t>
  </si>
  <si>
    <t>Тумба с раковиной  напол. Леон 800 форест 2 ящика с умыв. Слим</t>
  </si>
  <si>
    <t>Тумба с раковиной  навес. Леон 700 форест 2 ящика с умыв. Слим</t>
  </si>
  <si>
    <t>Тумба с раковиной  навес. Леон 800 форест 2 ящика с умыв. Слим</t>
  </si>
  <si>
    <t>Тумба с раковиной  напол. Рица 600 антрацит 2 ящика с умыв. Океан</t>
  </si>
  <si>
    <t>Тумба с раковиной  напол. Рица 800 антрацит 2 ящика с умыв. Слим</t>
  </si>
  <si>
    <t>Пенал напол. Леон 400 форест 2 двери + 1 ящик</t>
  </si>
  <si>
    <t>Тумба с раковиной  навес. Леон 800 оникс 2 ящика с умыв. Слим</t>
  </si>
  <si>
    <t>Тумба с раковиной  навес. Куба Риф 600 белый 2 ящика с умыв. Океан</t>
  </si>
  <si>
    <t>Тумба с раковиной  навес. Виктория 800 белый 2 ящика с умыв. Слим</t>
  </si>
  <si>
    <t>Тумба с раковиной  навес. Виктория 1000 белый 2 ящика с умыв. Слим</t>
  </si>
  <si>
    <t>Пенал напол. Виктория 350 белый 2 двери</t>
  </si>
  <si>
    <t>Комод Аква 50 напольный 1 ящик 2 двери белый</t>
  </si>
  <si>
    <t>Комод Аква 35 напольный 1 дверь белый правый</t>
  </si>
  <si>
    <t>Название</t>
  </si>
  <si>
    <t>Город</t>
  </si>
  <si>
    <t xml:space="preserve">Водолей </t>
  </si>
  <si>
    <t>Оренбург</t>
  </si>
  <si>
    <t xml:space="preserve">АкваМастер </t>
  </si>
  <si>
    <t>Ставрополь</t>
  </si>
  <si>
    <t xml:space="preserve">Золотой Кран </t>
  </si>
  <si>
    <t>Набережные Челны</t>
  </si>
  <si>
    <t xml:space="preserve">СантехПлюс </t>
  </si>
  <si>
    <t xml:space="preserve">Душ&amp;Ванна </t>
  </si>
  <si>
    <t>Кемерово</t>
  </si>
  <si>
    <t xml:space="preserve">АкваСфера </t>
  </si>
  <si>
    <t xml:space="preserve">Кран-Маркет </t>
  </si>
  <si>
    <t xml:space="preserve">Водоград </t>
  </si>
  <si>
    <t xml:space="preserve">СантехПрофи </t>
  </si>
  <si>
    <t xml:space="preserve">АкваКомфорт </t>
  </si>
  <si>
    <t xml:space="preserve">Золотой Шланг </t>
  </si>
  <si>
    <t xml:space="preserve">Водоворот </t>
  </si>
  <si>
    <t xml:space="preserve">СантехСити </t>
  </si>
  <si>
    <t xml:space="preserve">Аква-Стиль </t>
  </si>
  <si>
    <t xml:space="preserve">Кран-Эксперт </t>
  </si>
  <si>
    <t xml:space="preserve">Вододел </t>
  </si>
  <si>
    <t xml:space="preserve">СантехЛюкс </t>
  </si>
  <si>
    <t xml:space="preserve">АкваПортал </t>
  </si>
  <si>
    <t xml:space="preserve">Кран-Сервис </t>
  </si>
  <si>
    <t xml:space="preserve">ВодоСфера </t>
  </si>
  <si>
    <t xml:space="preserve">СантехГрад </t>
  </si>
  <si>
    <t xml:space="preserve">Аква-Премиум </t>
  </si>
  <si>
    <t xml:space="preserve">Кран-Шоп </t>
  </si>
  <si>
    <t>высота</t>
  </si>
  <si>
    <t>город</t>
  </si>
  <si>
    <t>цена</t>
  </si>
  <si>
    <t>стоимость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</si>
</sst>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" x14ac:knownFonts="1"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Alignment="1" applyProtection="1"/>
    <xf numFmtId="0" fontId="1" fillId="0" borderId="0" xfId="0" applyFont="1" applyAlignment="1" applyProtection="1">
      <alignment horizontal="left"/>
    </xf>
    <xf numFmtId="0" fontId="0" fillId="0" borderId="0" xfId="0" applyFont="1" applyAlignment="1" applyProtection="1">
      <alignment horizontal="left"/>
    </xf>
    <xf numFmtId="0" fontId="1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7701"/>
  <sheetViews>
    <sheetView tabSelected="1" topLeftCell="G1" zoomScale="111" zoomScaleNormal="140" workbookViewId="0">
      <selection activeCell="K1" sqref="K1:K1048576"/>
    </sheetView>
  </sheetViews>
  <sheetFormatPr defaultColWidth="11.5546875" defaultRowHeight="13.2" x14ac:dyDescent="0.25"/>
  <cols>
    <col min="5" max="5" width="13.77734375" customWidth="1"/>
    <col min="7" max="7" width="116.77734375" customWidth="1"/>
    <col min="9" max="9" width="19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258</v>
      </c>
      <c r="H1" t="s">
        <v>287</v>
      </c>
      <c r="I1" t="s">
        <v>288</v>
      </c>
      <c r="J1" t="s">
        <v>289</v>
      </c>
      <c r="K1" t="s">
        <v>290</v>
      </c>
    </row>
    <row r="2" spans="1:11" hidden="1" x14ac:dyDescent="0.25">
      <c r="A2">
        <v>1</v>
      </c>
      <c r="B2" s="1">
        <v>45751</v>
      </c>
      <c r="C2" t="s">
        <v>6</v>
      </c>
      <c r="D2" t="s">
        <v>7</v>
      </c>
      <c r="E2" t="s">
        <v>8</v>
      </c>
      <c r="F2">
        <v>3</v>
      </c>
      <c r="G2" t="str">
        <f>VLOOKUP(D2,Товары!A:I,3,0)</f>
        <v>Пенал напол. Леон Риф 400 солярис/белый риф 2 двери + 1 ящик</v>
      </c>
      <c r="H2">
        <f>VLOOKUP(D2,Товары!A:I,6,0)</f>
        <v>190</v>
      </c>
      <c r="I2" t="str">
        <f>VLOOKUP(C2,Магазины!A:C,3,0)</f>
        <v>Оренбург</v>
      </c>
      <c r="J2">
        <f>VLOOKUP(D2,Товары!A:I,4,0)</f>
        <v>14490</v>
      </c>
      <c r="K2">
        <f>J2*F2</f>
        <v>43470</v>
      </c>
    </row>
    <row r="3" spans="1:11" hidden="1" x14ac:dyDescent="0.25">
      <c r="A3">
        <v>2</v>
      </c>
      <c r="B3" s="1">
        <v>45753</v>
      </c>
      <c r="C3" t="s">
        <v>9</v>
      </c>
      <c r="D3" t="s">
        <v>10</v>
      </c>
      <c r="E3" t="s">
        <v>8</v>
      </c>
      <c r="F3">
        <v>1</v>
      </c>
      <c r="G3" t="str">
        <f>VLOOKUP(D3,Товары!A:I,3,0)</f>
        <v>Тумба с раковиной  навес. Альба 700 антрацит 1 ящик с умыв. Слим</v>
      </c>
      <c r="H3">
        <f>VLOOKUP(D3,Товары!A:I,6,0)</f>
        <v>45</v>
      </c>
      <c r="I3" t="str">
        <f>VLOOKUP(C3,Магазины!A:C,3,0)</f>
        <v>Кемерово</v>
      </c>
      <c r="J3">
        <f>VLOOKUP(D3,Товары!A:I,4,0)</f>
        <v>20130</v>
      </c>
      <c r="K3">
        <f t="shared" ref="K3:K66" si="0">J3*F3</f>
        <v>20130</v>
      </c>
    </row>
    <row r="4" spans="1:11" hidden="1" x14ac:dyDescent="0.25">
      <c r="A4">
        <v>3</v>
      </c>
      <c r="B4" s="1">
        <v>45751</v>
      </c>
      <c r="C4" t="s">
        <v>11</v>
      </c>
      <c r="D4" t="s">
        <v>12</v>
      </c>
      <c r="E4" t="s">
        <v>13</v>
      </c>
      <c r="F4">
        <v>1</v>
      </c>
      <c r="G4" t="str">
        <f>VLOOKUP(D4,Товары!A:I,3,0)</f>
        <v>Тумба с раковиной  напол. Сохо 700 белый 2 двери с умыв. Слим</v>
      </c>
      <c r="H4">
        <f>VLOOKUP(D4,Товары!A:I,6,0)</f>
        <v>85</v>
      </c>
      <c r="I4" t="str">
        <f>VLOOKUP(C4,Магазины!A:C,3,0)</f>
        <v>Кемерово</v>
      </c>
      <c r="J4">
        <f>VLOOKUP(D4,Товары!A:I,4,0)</f>
        <v>17160</v>
      </c>
      <c r="K4">
        <f t="shared" si="0"/>
        <v>17160</v>
      </c>
    </row>
    <row r="5" spans="1:11" hidden="1" x14ac:dyDescent="0.25">
      <c r="A5">
        <v>4</v>
      </c>
      <c r="B5" s="1">
        <v>45749</v>
      </c>
      <c r="C5" t="s">
        <v>14</v>
      </c>
      <c r="D5" t="s">
        <v>15</v>
      </c>
      <c r="E5" t="s">
        <v>13</v>
      </c>
      <c r="F5">
        <v>3</v>
      </c>
      <c r="G5" t="str">
        <f>VLOOKUP(D5,Товары!A:I,3,0)</f>
        <v>Зеркальный шкаф Кристалл 60 со светильником правый, ручка кнопка дуб цвет Шато Азур</v>
      </c>
      <c r="H5">
        <f>VLOOKUP(D5,Товары!A:I,6,0)</f>
        <v>75</v>
      </c>
      <c r="I5" t="str">
        <f>VLOOKUP(C5,Магазины!A:C,3,0)</f>
        <v>Оренбург</v>
      </c>
      <c r="J5">
        <f>VLOOKUP(D5,Товары!A:I,4,0)</f>
        <v>9195</v>
      </c>
      <c r="K5">
        <f t="shared" si="0"/>
        <v>27585</v>
      </c>
    </row>
    <row r="6" spans="1:11" hidden="1" x14ac:dyDescent="0.25">
      <c r="A6">
        <v>5</v>
      </c>
      <c r="B6" s="1">
        <v>45753</v>
      </c>
      <c r="C6" t="s">
        <v>16</v>
      </c>
      <c r="D6" t="s">
        <v>17</v>
      </c>
      <c r="E6" t="s">
        <v>8</v>
      </c>
      <c r="F6">
        <v>2</v>
      </c>
      <c r="G6" t="str">
        <f>VLOOKUP(D6,Товары!A:I,3,0)</f>
        <v>Тумба с раковиной  навес. Альба 800 антрацит 1 ящик с умыв. Слим</v>
      </c>
      <c r="H6">
        <f>VLOOKUP(D6,Товары!A:I,6,0)</f>
        <v>45</v>
      </c>
      <c r="I6" t="str">
        <f>VLOOKUP(C6,Магазины!A:C,3,0)</f>
        <v>Оренбург</v>
      </c>
      <c r="J6">
        <f>VLOOKUP(D6,Товары!A:I,4,0)</f>
        <v>21630</v>
      </c>
      <c r="K6">
        <f t="shared" si="0"/>
        <v>43260</v>
      </c>
    </row>
    <row r="7" spans="1:11" hidden="1" x14ac:dyDescent="0.25">
      <c r="A7">
        <v>6</v>
      </c>
      <c r="B7" s="1">
        <v>45755</v>
      </c>
      <c r="C7" t="s">
        <v>18</v>
      </c>
      <c r="D7" t="s">
        <v>19</v>
      </c>
      <c r="E7" t="s">
        <v>8</v>
      </c>
      <c r="F7">
        <v>1</v>
      </c>
      <c r="G7" t="str">
        <f>VLOOKUP(D7,Товары!A:I,3,0)</f>
        <v>Тумба с раковиной  навес. Леон 800 оникс 2 ящика с умыв. Слим</v>
      </c>
      <c r="H7">
        <f>VLOOKUP(D7,Товары!A:I,6,0)</f>
        <v>60</v>
      </c>
      <c r="I7" t="str">
        <f>VLOOKUP(C7,Магазины!A:C,3,0)</f>
        <v>Набережные Челны</v>
      </c>
      <c r="J7">
        <f>VLOOKUP(D7,Товары!A:I,4,0)</f>
        <v>27930</v>
      </c>
      <c r="K7">
        <f t="shared" si="0"/>
        <v>27930</v>
      </c>
    </row>
    <row r="8" spans="1:11" hidden="1" x14ac:dyDescent="0.25">
      <c r="A8">
        <v>7</v>
      </c>
      <c r="B8" s="1">
        <v>45748</v>
      </c>
      <c r="C8" t="s">
        <v>20</v>
      </c>
      <c r="D8" t="s">
        <v>21</v>
      </c>
      <c r="E8" t="s">
        <v>8</v>
      </c>
      <c r="F8">
        <v>2</v>
      </c>
      <c r="G8" t="str">
        <f>VLOOKUP(D8,Товары!A:I,3,0)</f>
        <v>Зеркальный шкаф Рица 60 со светильником правый цвет cерый/керамика</v>
      </c>
      <c r="H8">
        <f>VLOOKUP(D8,Товары!A:I,6,0)</f>
        <v>75</v>
      </c>
      <c r="I8" t="str">
        <f>VLOOKUP(C8,Магазины!A:C,3,0)</f>
        <v>Оренбург</v>
      </c>
      <c r="J8">
        <f>VLOOKUP(D8,Товары!A:I,4,0)</f>
        <v>8910</v>
      </c>
      <c r="K8">
        <f t="shared" si="0"/>
        <v>17820</v>
      </c>
    </row>
    <row r="9" spans="1:11" hidden="1" x14ac:dyDescent="0.25">
      <c r="A9">
        <v>8</v>
      </c>
      <c r="B9" s="1">
        <v>45748</v>
      </c>
      <c r="C9" t="s">
        <v>22</v>
      </c>
      <c r="D9" t="s">
        <v>23</v>
      </c>
      <c r="E9" t="s">
        <v>8</v>
      </c>
      <c r="F9">
        <v>3</v>
      </c>
      <c r="G9" t="str">
        <f>VLOOKUP(D9,Товары!A:I,3,0)</f>
        <v>Тумба с раковиной  напол. Альба 800 антрацит 2 ящика с умыв. Слим</v>
      </c>
      <c r="H9">
        <f>VLOOKUP(D9,Товары!A:I,6,0)</f>
        <v>80</v>
      </c>
      <c r="I9" t="str">
        <f>VLOOKUP(C9,Магазины!A:C,3,0)</f>
        <v>Кемерово</v>
      </c>
      <c r="J9">
        <f>VLOOKUP(D9,Товары!A:I,4,0)</f>
        <v>29340</v>
      </c>
      <c r="K9">
        <f t="shared" si="0"/>
        <v>88020</v>
      </c>
    </row>
    <row r="10" spans="1:11" hidden="1" x14ac:dyDescent="0.25">
      <c r="A10">
        <v>9</v>
      </c>
      <c r="B10" s="1">
        <v>45755</v>
      </c>
      <c r="C10" t="s">
        <v>14</v>
      </c>
      <c r="D10" t="s">
        <v>24</v>
      </c>
      <c r="E10" t="s">
        <v>8</v>
      </c>
      <c r="F10">
        <v>2</v>
      </c>
      <c r="G10" t="str">
        <f>VLOOKUP(D10,Товары!A:I,3,0)</f>
        <v>Тумба с раковиной  напол. Леон 600 форест 2 ящика с умыв. Слим</v>
      </c>
      <c r="H10">
        <f>VLOOKUP(D10,Товары!A:I,6,0)</f>
        <v>80</v>
      </c>
      <c r="I10" t="str">
        <f>VLOOKUP(C10,Магазины!A:C,3,0)</f>
        <v>Оренбург</v>
      </c>
      <c r="J10">
        <f>VLOOKUP(D10,Товары!A:I,4,0)</f>
        <v>27150</v>
      </c>
      <c r="K10">
        <f t="shared" si="0"/>
        <v>54300</v>
      </c>
    </row>
    <row r="11" spans="1:11" hidden="1" x14ac:dyDescent="0.25">
      <c r="A11">
        <v>10</v>
      </c>
      <c r="B11" s="1">
        <v>45755</v>
      </c>
      <c r="C11" t="s">
        <v>11</v>
      </c>
      <c r="D11" t="s">
        <v>25</v>
      </c>
      <c r="E11" t="s">
        <v>8</v>
      </c>
      <c r="F11">
        <v>1</v>
      </c>
      <c r="G11" t="str">
        <f>VLOOKUP(D11,Товары!A:I,3,0)</f>
        <v>Пенал напол. Леон 400 оникс 2 двери + 1 ящик</v>
      </c>
      <c r="H11">
        <f>VLOOKUP(D11,Товары!A:I,6,0)</f>
        <v>190</v>
      </c>
      <c r="I11" t="str">
        <f>VLOOKUP(C11,Магазины!A:C,3,0)</f>
        <v>Кемерово</v>
      </c>
      <c r="J11">
        <f>VLOOKUP(D11,Товары!A:I,4,0)</f>
        <v>18450</v>
      </c>
      <c r="K11">
        <f t="shared" si="0"/>
        <v>18450</v>
      </c>
    </row>
    <row r="12" spans="1:11" hidden="1" x14ac:dyDescent="0.25">
      <c r="A12">
        <v>11</v>
      </c>
      <c r="B12" s="1">
        <v>45749</v>
      </c>
      <c r="C12" t="s">
        <v>26</v>
      </c>
      <c r="D12" t="s">
        <v>27</v>
      </c>
      <c r="E12" t="s">
        <v>13</v>
      </c>
      <c r="F12">
        <v>2</v>
      </c>
      <c r="G12" t="str">
        <f>VLOOKUP(D12,Товары!A:I,3,0)</f>
        <v>Тумба с раковиной  навес. Виктория 800 белый 2 ящика с умыв. Слим</v>
      </c>
      <c r="H12">
        <f>VLOOKUP(D12,Товары!A:I,6,0)</f>
        <v>60</v>
      </c>
      <c r="I12" t="str">
        <f>VLOOKUP(C12,Магазины!A:C,3,0)</f>
        <v>Оренбург</v>
      </c>
      <c r="J12">
        <f>VLOOKUP(D12,Товары!A:I,4,0)</f>
        <v>25290</v>
      </c>
      <c r="K12">
        <f t="shared" si="0"/>
        <v>50580</v>
      </c>
    </row>
    <row r="13" spans="1:11" hidden="1" x14ac:dyDescent="0.25">
      <c r="A13">
        <v>12</v>
      </c>
      <c r="B13" s="1">
        <v>45748</v>
      </c>
      <c r="C13" t="s">
        <v>28</v>
      </c>
      <c r="D13" t="s">
        <v>29</v>
      </c>
      <c r="E13" t="s">
        <v>8</v>
      </c>
      <c r="F13">
        <v>3</v>
      </c>
      <c r="G13" t="str">
        <f>VLOOKUP(D13,Товары!A:I,3,0)</f>
        <v>Тумба с раковиной  напол. Леон Риф 600 солярис/белый риф 2 ящика с умыв. Океан</v>
      </c>
      <c r="H13">
        <f>VLOOKUP(D13,Товары!A:I,6,0)</f>
        <v>80</v>
      </c>
      <c r="I13" t="str">
        <f>VLOOKUP(C13,Магазины!A:C,3,0)</f>
        <v>Набережные Челны</v>
      </c>
      <c r="J13">
        <f>VLOOKUP(D13,Товары!A:I,4,0)</f>
        <v>24150</v>
      </c>
      <c r="K13">
        <f t="shared" si="0"/>
        <v>72450</v>
      </c>
    </row>
    <row r="14" spans="1:11" hidden="1" x14ac:dyDescent="0.25">
      <c r="A14">
        <v>13</v>
      </c>
      <c r="B14" s="1">
        <v>45749</v>
      </c>
      <c r="C14" t="s">
        <v>30</v>
      </c>
      <c r="D14" t="s">
        <v>31</v>
      </c>
      <c r="E14" t="s">
        <v>8</v>
      </c>
      <c r="F14">
        <v>1</v>
      </c>
      <c r="G14" t="str">
        <f>VLOOKUP(D14,Товары!A:I,3,0)</f>
        <v>Пенал напол. Виктория 350 белый 2 двери</v>
      </c>
      <c r="H14">
        <f>VLOOKUP(D14,Товары!A:I,6,0)</f>
        <v>190</v>
      </c>
      <c r="I14" t="str">
        <f>VLOOKUP(C14,Магазины!A:C,3,0)</f>
        <v>Кемерово</v>
      </c>
      <c r="J14">
        <f>VLOOKUP(D14,Товары!A:I,4,0)</f>
        <v>14085</v>
      </c>
      <c r="K14">
        <f t="shared" si="0"/>
        <v>14085</v>
      </c>
    </row>
    <row r="15" spans="1:11" hidden="1" x14ac:dyDescent="0.25">
      <c r="A15">
        <v>14</v>
      </c>
      <c r="B15" s="1">
        <v>45754</v>
      </c>
      <c r="C15" t="s">
        <v>6</v>
      </c>
      <c r="D15" t="s">
        <v>32</v>
      </c>
      <c r="E15" t="s">
        <v>8</v>
      </c>
      <c r="F15">
        <v>3</v>
      </c>
      <c r="G15" t="str">
        <f>VLOOKUP(D15,Товары!A:I,3,0)</f>
        <v>Тумба с раковиной  напол. Леон Риф 700 солярис/белый риф 2 ящика с умыв. Слим</v>
      </c>
      <c r="H15">
        <f>VLOOKUP(D15,Товары!A:I,6,0)</f>
        <v>85</v>
      </c>
      <c r="I15" t="str">
        <f>VLOOKUP(C15,Магазины!A:C,3,0)</f>
        <v>Оренбург</v>
      </c>
      <c r="J15">
        <f>VLOOKUP(D15,Товары!A:I,4,0)</f>
        <v>26460</v>
      </c>
      <c r="K15">
        <f t="shared" si="0"/>
        <v>79380</v>
      </c>
    </row>
    <row r="16" spans="1:11" hidden="1" x14ac:dyDescent="0.25">
      <c r="A16">
        <v>15</v>
      </c>
      <c r="B16" s="1">
        <v>45749</v>
      </c>
      <c r="C16" t="s">
        <v>33</v>
      </c>
      <c r="D16" t="s">
        <v>34</v>
      </c>
      <c r="E16" t="s">
        <v>8</v>
      </c>
      <c r="F16">
        <v>1</v>
      </c>
      <c r="G16" t="str">
        <f>VLOOKUP(D16,Товары!A:I,3,0)</f>
        <v>Тумба с раковиной  навес. Леон 700 форест 2 ящика с умыв. Слим</v>
      </c>
      <c r="H16">
        <f>VLOOKUP(D16,Товары!A:I,6,0)</f>
        <v>60</v>
      </c>
      <c r="I16" t="str">
        <f>VLOOKUP(C16,Магазины!A:C,3,0)</f>
        <v>Набережные Челны</v>
      </c>
      <c r="J16">
        <f>VLOOKUP(D16,Товары!A:I,4,0)</f>
        <v>26220</v>
      </c>
      <c r="K16">
        <f t="shared" si="0"/>
        <v>26220</v>
      </c>
    </row>
    <row r="17" spans="1:11" hidden="1" x14ac:dyDescent="0.25">
      <c r="A17">
        <v>16</v>
      </c>
      <c r="B17" s="1">
        <v>45754</v>
      </c>
      <c r="C17" t="s">
        <v>28</v>
      </c>
      <c r="D17" t="s">
        <v>31</v>
      </c>
      <c r="E17" t="s">
        <v>13</v>
      </c>
      <c r="F17">
        <v>3</v>
      </c>
      <c r="G17" t="str">
        <f>VLOOKUP(D17,Товары!A:I,3,0)</f>
        <v>Пенал напол. Виктория 350 белый 2 двери</v>
      </c>
      <c r="H17">
        <f>VLOOKUP(D17,Товары!A:I,6,0)</f>
        <v>190</v>
      </c>
      <c r="I17" t="str">
        <f>VLOOKUP(C17,Магазины!A:C,3,0)</f>
        <v>Набережные Челны</v>
      </c>
      <c r="J17">
        <f>VLOOKUP(D17,Товары!A:I,4,0)</f>
        <v>14085</v>
      </c>
      <c r="K17">
        <f t="shared" si="0"/>
        <v>42255</v>
      </c>
    </row>
    <row r="18" spans="1:11" hidden="1" x14ac:dyDescent="0.25">
      <c r="A18">
        <v>17</v>
      </c>
      <c r="B18" s="1">
        <v>45753</v>
      </c>
      <c r="C18" t="s">
        <v>35</v>
      </c>
      <c r="D18" t="s">
        <v>36</v>
      </c>
      <c r="E18" t="s">
        <v>13</v>
      </c>
      <c r="F18">
        <v>1</v>
      </c>
      <c r="G18" t="str">
        <f>VLOOKUP(D18,Товары!A:I,3,0)</f>
        <v>Тумба с раковиной  напол. Альба 800 мята 2 ящика с умыв. Слим</v>
      </c>
      <c r="H18">
        <f>VLOOKUP(D18,Товары!A:I,6,0)</f>
        <v>80</v>
      </c>
      <c r="I18" t="str">
        <f>VLOOKUP(C18,Магазины!A:C,3,0)</f>
        <v>Набережные Челны</v>
      </c>
      <c r="J18">
        <f>VLOOKUP(D18,Товары!A:I,4,0)</f>
        <v>29340</v>
      </c>
      <c r="K18">
        <f t="shared" si="0"/>
        <v>29340</v>
      </c>
    </row>
    <row r="19" spans="1:11" hidden="1" x14ac:dyDescent="0.25">
      <c r="A19">
        <v>18</v>
      </c>
      <c r="B19" s="1">
        <v>45749</v>
      </c>
      <c r="C19" t="s">
        <v>33</v>
      </c>
      <c r="D19" t="s">
        <v>37</v>
      </c>
      <c r="E19" t="s">
        <v>13</v>
      </c>
      <c r="F19">
        <v>1</v>
      </c>
      <c r="G19" t="str">
        <f>VLOOKUP(D19,Товары!A:I,3,0)</f>
        <v>Зеркальный шкаф Сохо 70 белый со светильником правый цвет Белый глянец</v>
      </c>
      <c r="H19">
        <f>VLOOKUP(D19,Товары!A:I,6,0)</f>
        <v>75</v>
      </c>
      <c r="I19" t="str">
        <f>VLOOKUP(C19,Магазины!A:C,3,0)</f>
        <v>Набережные Челны</v>
      </c>
      <c r="J19">
        <f>VLOOKUP(D19,Товары!A:I,4,0)</f>
        <v>7935</v>
      </c>
      <c r="K19">
        <f t="shared" si="0"/>
        <v>7935</v>
      </c>
    </row>
    <row r="20" spans="1:11" hidden="1" x14ac:dyDescent="0.25">
      <c r="A20">
        <v>19</v>
      </c>
      <c r="B20" s="1">
        <v>45749</v>
      </c>
      <c r="C20" t="s">
        <v>30</v>
      </c>
      <c r="D20" t="s">
        <v>38</v>
      </c>
      <c r="E20" t="s">
        <v>13</v>
      </c>
      <c r="F20">
        <v>2</v>
      </c>
      <c r="G20" t="str">
        <f>VLOOKUP(D20,Товары!A:I,3,0)</f>
        <v>Тумба с раковиной  навес. Куба Риф 600 белый 2 ящика с умыв. Como</v>
      </c>
      <c r="H20">
        <f>VLOOKUP(D20,Товары!A:I,6,0)</f>
        <v>55</v>
      </c>
      <c r="I20" t="str">
        <f>VLOOKUP(C20,Магазины!A:C,3,0)</f>
        <v>Кемерово</v>
      </c>
      <c r="J20">
        <f>VLOOKUP(D20,Товары!A:I,4,0)</f>
        <v>14265</v>
      </c>
      <c r="K20">
        <f t="shared" si="0"/>
        <v>28530</v>
      </c>
    </row>
    <row r="21" spans="1:11" hidden="1" x14ac:dyDescent="0.25">
      <c r="A21">
        <v>20</v>
      </c>
      <c r="B21" s="1">
        <v>45753</v>
      </c>
      <c r="C21" t="s">
        <v>14</v>
      </c>
      <c r="D21" t="s">
        <v>39</v>
      </c>
      <c r="E21" t="s">
        <v>13</v>
      </c>
      <c r="F21">
        <v>3</v>
      </c>
      <c r="G21" t="str">
        <f>VLOOKUP(D21,Товары!A:I,3,0)</f>
        <v>Тумба с раковиной  напол. Альба 700 мята 2 ящика с умыв. Слим</v>
      </c>
      <c r="H21">
        <f>VLOOKUP(D21,Товары!A:I,6,0)</f>
        <v>85</v>
      </c>
      <c r="I21" t="str">
        <f>VLOOKUP(C21,Магазины!A:C,3,0)</f>
        <v>Оренбург</v>
      </c>
      <c r="J21">
        <f>VLOOKUP(D21,Товары!A:I,4,0)</f>
        <v>28695</v>
      </c>
      <c r="K21">
        <f t="shared" si="0"/>
        <v>86085</v>
      </c>
    </row>
    <row r="22" spans="1:11" hidden="1" x14ac:dyDescent="0.25">
      <c r="A22">
        <v>21</v>
      </c>
      <c r="B22" s="1">
        <v>45749</v>
      </c>
      <c r="C22" t="s">
        <v>9</v>
      </c>
      <c r="D22" t="s">
        <v>10</v>
      </c>
      <c r="E22" t="s">
        <v>13</v>
      </c>
      <c r="F22">
        <v>1</v>
      </c>
      <c r="G22" t="str">
        <f>VLOOKUP(D22,Товары!A:I,3,0)</f>
        <v>Тумба с раковиной  навес. Альба 700 антрацит 1 ящик с умыв. Слим</v>
      </c>
      <c r="H22">
        <f>VLOOKUP(D22,Товары!A:I,6,0)</f>
        <v>45</v>
      </c>
      <c r="I22" t="str">
        <f>VLOOKUP(C22,Магазины!A:C,3,0)</f>
        <v>Кемерово</v>
      </c>
      <c r="J22">
        <f>VLOOKUP(D22,Товары!A:I,4,0)</f>
        <v>20130</v>
      </c>
      <c r="K22">
        <f t="shared" si="0"/>
        <v>20130</v>
      </c>
    </row>
    <row r="23" spans="1:11" hidden="1" x14ac:dyDescent="0.25">
      <c r="A23">
        <v>22</v>
      </c>
      <c r="B23" s="1">
        <v>45752</v>
      </c>
      <c r="C23" t="s">
        <v>16</v>
      </c>
      <c r="D23" t="s">
        <v>40</v>
      </c>
      <c r="E23" t="s">
        <v>13</v>
      </c>
      <c r="F23">
        <v>3</v>
      </c>
      <c r="G23" t="str">
        <f>VLOOKUP(D23,Товары!A:I,3,0)</f>
        <v>Тумба с раковиной  навес. Рица 800 cерый/керамика 1 ящик + ниша 1 с умыв. Слим</v>
      </c>
      <c r="H23">
        <f>VLOOKUP(D23,Товары!A:I,6,0)</f>
        <v>60</v>
      </c>
      <c r="I23" t="str">
        <f>VLOOKUP(C23,Магазины!A:C,3,0)</f>
        <v>Оренбург</v>
      </c>
      <c r="J23">
        <f>VLOOKUP(D23,Товары!A:I,4,0)</f>
        <v>22425</v>
      </c>
      <c r="K23">
        <f t="shared" si="0"/>
        <v>67275</v>
      </c>
    </row>
    <row r="24" spans="1:11" hidden="1" x14ac:dyDescent="0.25">
      <c r="A24">
        <v>23</v>
      </c>
      <c r="B24" s="1">
        <v>45749</v>
      </c>
      <c r="C24" t="s">
        <v>41</v>
      </c>
      <c r="D24" t="s">
        <v>42</v>
      </c>
      <c r="E24" t="s">
        <v>8</v>
      </c>
      <c r="F24">
        <v>2</v>
      </c>
      <c r="G24" t="str">
        <f>VLOOKUP(D24,Товары!A:I,3,0)</f>
        <v>Тумба под стиральную машину Леон Риф 57 подвесная 2 ящика под ст/маш, без умывальника /под Marshall 120 Солярис/Белый Риф</v>
      </c>
      <c r="H24">
        <f>VLOOKUP(D24,Товары!A:I,6,0)</f>
        <v>60</v>
      </c>
      <c r="I24" t="str">
        <f>VLOOKUP(C24,Магазины!A:C,3,0)</f>
        <v>Ставрополь</v>
      </c>
      <c r="J24">
        <f>VLOOKUP(D24,Товары!A:I,4,0)</f>
        <v>15495</v>
      </c>
      <c r="K24">
        <f t="shared" si="0"/>
        <v>30990</v>
      </c>
    </row>
    <row r="25" spans="1:11" hidden="1" x14ac:dyDescent="0.25">
      <c r="A25">
        <v>24</v>
      </c>
      <c r="B25" s="1">
        <v>45755</v>
      </c>
      <c r="C25" t="s">
        <v>43</v>
      </c>
      <c r="D25" t="s">
        <v>44</v>
      </c>
      <c r="E25" t="s">
        <v>13</v>
      </c>
      <c r="F25">
        <v>3</v>
      </c>
      <c r="G25" t="str">
        <f>VLOOKUP(D25,Товары!A:I,3,0)</f>
        <v>Тумба с раковиной  навес. Кристалл 800 шато азур 2 ящика с умыв. Комфорт</v>
      </c>
      <c r="H25">
        <f>VLOOKUP(D25,Товары!A:I,6,0)</f>
        <v>55</v>
      </c>
      <c r="I25" t="str">
        <f>VLOOKUP(C25,Магазины!A:C,3,0)</f>
        <v>Набережные Челны</v>
      </c>
      <c r="J25">
        <f>VLOOKUP(D25,Товары!A:I,4,0)</f>
        <v>25080</v>
      </c>
      <c r="K25">
        <f t="shared" si="0"/>
        <v>75240</v>
      </c>
    </row>
    <row r="26" spans="1:11" hidden="1" x14ac:dyDescent="0.25">
      <c r="A26">
        <v>25</v>
      </c>
      <c r="B26" s="1">
        <v>45749</v>
      </c>
      <c r="C26" t="s">
        <v>30</v>
      </c>
      <c r="D26" t="s">
        <v>45</v>
      </c>
      <c r="E26" t="s">
        <v>8</v>
      </c>
      <c r="F26">
        <v>2</v>
      </c>
      <c r="G26" t="str">
        <f>VLOOKUP(D26,Товары!A:I,3,0)</f>
        <v>Зеркальный шкаф Рица 80 со светильником правый цвет cерый/керамика</v>
      </c>
      <c r="H26">
        <f>VLOOKUP(D26,Товары!A:I,6,0)</f>
        <v>75</v>
      </c>
      <c r="I26" t="str">
        <f>VLOOKUP(C26,Магазины!A:C,3,0)</f>
        <v>Кемерово</v>
      </c>
      <c r="J26">
        <f>VLOOKUP(D26,Товары!A:I,4,0)</f>
        <v>9930</v>
      </c>
      <c r="K26">
        <f t="shared" si="0"/>
        <v>19860</v>
      </c>
    </row>
    <row r="27" spans="1:11" hidden="1" x14ac:dyDescent="0.25">
      <c r="A27">
        <v>26</v>
      </c>
      <c r="B27" s="1">
        <v>45753</v>
      </c>
      <c r="C27" t="s">
        <v>14</v>
      </c>
      <c r="D27" t="s">
        <v>46</v>
      </c>
      <c r="E27" t="s">
        <v>8</v>
      </c>
      <c r="F27">
        <v>2</v>
      </c>
      <c r="G27" t="str">
        <f>VLOOKUP(D27,Товары!A:I,3,0)</f>
        <v>Тумба с раковиной  напол. Сохо 700 белый 2 ящика с умыв. Слим</v>
      </c>
      <c r="H27">
        <f>VLOOKUP(D27,Товары!A:I,6,0)</f>
        <v>85</v>
      </c>
      <c r="I27" t="str">
        <f>VLOOKUP(C27,Магазины!A:C,3,0)</f>
        <v>Оренбург</v>
      </c>
      <c r="J27">
        <f>VLOOKUP(D27,Товары!A:I,4,0)</f>
        <v>18405</v>
      </c>
      <c r="K27">
        <f t="shared" si="0"/>
        <v>36810</v>
      </c>
    </row>
    <row r="28" spans="1:11" hidden="1" x14ac:dyDescent="0.25">
      <c r="A28">
        <v>27</v>
      </c>
      <c r="B28" s="1">
        <v>45751</v>
      </c>
      <c r="C28" t="s">
        <v>30</v>
      </c>
      <c r="D28" t="s">
        <v>47</v>
      </c>
      <c r="E28" t="s">
        <v>13</v>
      </c>
      <c r="F28">
        <v>3</v>
      </c>
      <c r="G28" t="str">
        <f>VLOOKUP(D28,Товары!A:I,3,0)</f>
        <v>Пенал напол. Кристалл 350 шато азур 2 двери</v>
      </c>
      <c r="H28">
        <f>VLOOKUP(D28,Товары!A:I,6,0)</f>
        <v>190</v>
      </c>
      <c r="I28" t="str">
        <f>VLOOKUP(C28,Магазины!A:C,3,0)</f>
        <v>Кемерово</v>
      </c>
      <c r="J28">
        <f>VLOOKUP(D28,Товары!A:I,4,0)</f>
        <v>15810</v>
      </c>
      <c r="K28">
        <f t="shared" si="0"/>
        <v>47430</v>
      </c>
    </row>
    <row r="29" spans="1:11" hidden="1" x14ac:dyDescent="0.25">
      <c r="A29">
        <v>28</v>
      </c>
      <c r="B29" s="1">
        <v>45751</v>
      </c>
      <c r="C29" t="s">
        <v>48</v>
      </c>
      <c r="D29" t="s">
        <v>49</v>
      </c>
      <c r="E29" t="s">
        <v>8</v>
      </c>
      <c r="F29">
        <v>2</v>
      </c>
      <c r="G29" t="str">
        <f>VLOOKUP(D29,Товары!A:I,3,0)</f>
        <v>Тумба с раковиной  напол. Леон 700 оникс 2 ящика с умыв. Слим</v>
      </c>
      <c r="H29">
        <f>VLOOKUP(D29,Товары!A:I,6,0)</f>
        <v>80</v>
      </c>
      <c r="I29" t="str">
        <f>VLOOKUP(C29,Магазины!A:C,3,0)</f>
        <v>Ставрополь</v>
      </c>
      <c r="J29">
        <f>VLOOKUP(D29,Товары!A:I,4,0)</f>
        <v>28380</v>
      </c>
      <c r="K29">
        <f t="shared" si="0"/>
        <v>56760</v>
      </c>
    </row>
    <row r="30" spans="1:11" hidden="1" x14ac:dyDescent="0.25">
      <c r="A30">
        <v>29</v>
      </c>
      <c r="B30" s="1">
        <v>45753</v>
      </c>
      <c r="C30" t="s">
        <v>6</v>
      </c>
      <c r="D30" t="s">
        <v>50</v>
      </c>
      <c r="E30" t="s">
        <v>13</v>
      </c>
      <c r="F30">
        <v>3</v>
      </c>
      <c r="G30" t="str">
        <f>VLOOKUP(D30,Товары!A:I,3,0)</f>
        <v>Тумба с раковиной  напол. Леон 800 оникс 2 ящика с умыв. Слим</v>
      </c>
      <c r="H30">
        <f>VLOOKUP(D30,Товары!A:I,6,0)</f>
        <v>80</v>
      </c>
      <c r="I30" t="str">
        <f>VLOOKUP(C30,Магазины!A:C,3,0)</f>
        <v>Оренбург</v>
      </c>
      <c r="J30">
        <f>VLOOKUP(D30,Товары!A:I,4,0)</f>
        <v>29400</v>
      </c>
      <c r="K30">
        <f t="shared" si="0"/>
        <v>88200</v>
      </c>
    </row>
    <row r="31" spans="1:11" hidden="1" x14ac:dyDescent="0.25">
      <c r="A31">
        <v>30</v>
      </c>
      <c r="B31" s="1">
        <v>45748</v>
      </c>
      <c r="C31" t="s">
        <v>20</v>
      </c>
      <c r="D31" t="s">
        <v>51</v>
      </c>
      <c r="E31" t="s">
        <v>13</v>
      </c>
      <c r="F31">
        <v>1</v>
      </c>
      <c r="G31" t="str">
        <f>VLOOKUP(D31,Товары!A:I,3,0)</f>
        <v>Зеркальный шкаф Альба 80 со светильником правый цвет суфле</v>
      </c>
      <c r="H31">
        <f>VLOOKUP(D31,Товары!A:I,6,0)</f>
        <v>75</v>
      </c>
      <c r="I31" t="str">
        <f>VLOOKUP(C31,Магазины!A:C,3,0)</f>
        <v>Оренбург</v>
      </c>
      <c r="J31">
        <f>VLOOKUP(D31,Товары!A:I,4,0)</f>
        <v>9930</v>
      </c>
      <c r="K31">
        <f t="shared" si="0"/>
        <v>9930</v>
      </c>
    </row>
    <row r="32" spans="1:11" hidden="1" x14ac:dyDescent="0.25">
      <c r="A32">
        <v>31</v>
      </c>
      <c r="B32" s="1">
        <v>45750</v>
      </c>
      <c r="C32" t="s">
        <v>18</v>
      </c>
      <c r="D32" t="s">
        <v>52</v>
      </c>
      <c r="E32" t="s">
        <v>13</v>
      </c>
      <c r="F32">
        <v>3</v>
      </c>
      <c r="G32" t="str">
        <f>VLOOKUP(D32,Товары!A:I,3,0)</f>
        <v>Тумба с раковиной  напол. Кристалл 600 суфле 2 ящика с умыв. Океан</v>
      </c>
      <c r="H32">
        <f>VLOOKUP(D32,Товары!A:I,6,0)</f>
        <v>80</v>
      </c>
      <c r="I32" t="str">
        <f>VLOOKUP(C32,Магазины!A:C,3,0)</f>
        <v>Набережные Челны</v>
      </c>
      <c r="J32">
        <f>VLOOKUP(D32,Товары!A:I,4,0)</f>
        <v>27600</v>
      </c>
      <c r="K32">
        <f t="shared" si="0"/>
        <v>82800</v>
      </c>
    </row>
    <row r="33" spans="1:11" hidden="1" x14ac:dyDescent="0.25">
      <c r="A33">
        <v>32</v>
      </c>
      <c r="B33" s="1">
        <v>45753</v>
      </c>
      <c r="C33" t="s">
        <v>30</v>
      </c>
      <c r="D33" t="s">
        <v>53</v>
      </c>
      <c r="E33" t="s">
        <v>8</v>
      </c>
      <c r="F33">
        <v>2</v>
      </c>
      <c r="G33" t="str">
        <f>VLOOKUP(D33,Товары!A:I,3,0)</f>
        <v>Тумба с раковиной  напол. Кристалл 600 шато азур 2 ящика с умыв. Океан</v>
      </c>
      <c r="H33">
        <f>VLOOKUP(D33,Товары!A:I,6,0)</f>
        <v>85</v>
      </c>
      <c r="I33" t="str">
        <f>VLOOKUP(C33,Магазины!A:C,3,0)</f>
        <v>Кемерово</v>
      </c>
      <c r="J33">
        <f>VLOOKUP(D33,Товары!A:I,4,0)</f>
        <v>27600</v>
      </c>
      <c r="K33">
        <f t="shared" si="0"/>
        <v>55200</v>
      </c>
    </row>
    <row r="34" spans="1:11" hidden="1" x14ac:dyDescent="0.25">
      <c r="A34">
        <v>33</v>
      </c>
      <c r="B34" s="1">
        <v>45755</v>
      </c>
      <c r="C34" t="s">
        <v>43</v>
      </c>
      <c r="D34" t="s">
        <v>49</v>
      </c>
      <c r="E34" t="s">
        <v>8</v>
      </c>
      <c r="F34">
        <v>1</v>
      </c>
      <c r="G34" t="str">
        <f>VLOOKUP(D34,Товары!A:I,3,0)</f>
        <v>Тумба с раковиной  напол. Леон 700 оникс 2 ящика с умыв. Слим</v>
      </c>
      <c r="H34">
        <f>VLOOKUP(D34,Товары!A:I,6,0)</f>
        <v>80</v>
      </c>
      <c r="I34" t="str">
        <f>VLOOKUP(C34,Магазины!A:C,3,0)</f>
        <v>Набережные Челны</v>
      </c>
      <c r="J34">
        <f>VLOOKUP(D34,Товары!A:I,4,0)</f>
        <v>28380</v>
      </c>
      <c r="K34">
        <f t="shared" si="0"/>
        <v>28380</v>
      </c>
    </row>
    <row r="35" spans="1:11" hidden="1" x14ac:dyDescent="0.25">
      <c r="A35">
        <v>34</v>
      </c>
      <c r="B35" s="1">
        <v>45750</v>
      </c>
      <c r="C35" t="s">
        <v>54</v>
      </c>
      <c r="D35" t="s">
        <v>38</v>
      </c>
      <c r="E35" t="s">
        <v>13</v>
      </c>
      <c r="F35">
        <v>1</v>
      </c>
      <c r="G35" t="str">
        <f>VLOOKUP(D35,Товары!A:I,3,0)</f>
        <v>Тумба с раковиной  навес. Куба Риф 600 белый 2 ящика с умыв. Como</v>
      </c>
      <c r="H35">
        <f>VLOOKUP(D35,Товары!A:I,6,0)</f>
        <v>55</v>
      </c>
      <c r="I35" t="str">
        <f>VLOOKUP(C35,Магазины!A:C,3,0)</f>
        <v>Ставрополь</v>
      </c>
      <c r="J35">
        <f>VLOOKUP(D35,Товары!A:I,4,0)</f>
        <v>14265</v>
      </c>
      <c r="K35">
        <f t="shared" si="0"/>
        <v>14265</v>
      </c>
    </row>
    <row r="36" spans="1:11" hidden="1" x14ac:dyDescent="0.25">
      <c r="A36">
        <v>35</v>
      </c>
      <c r="B36" s="1">
        <v>45753</v>
      </c>
      <c r="C36" t="s">
        <v>6</v>
      </c>
      <c r="D36" t="s">
        <v>55</v>
      </c>
      <c r="E36" t="s">
        <v>13</v>
      </c>
      <c r="F36">
        <v>1</v>
      </c>
      <c r="G36" t="str">
        <f>VLOOKUP(D36,Товары!A:I,3,0)</f>
        <v>Тумба с раковиной  напол. Рица 600 cерый/керамика 2 ящика с умыв. Океан</v>
      </c>
      <c r="H36">
        <f>VLOOKUP(D36,Товары!A:I,6,0)</f>
        <v>80</v>
      </c>
      <c r="I36" t="str">
        <f>VLOOKUP(C36,Магазины!A:C,3,0)</f>
        <v>Оренбург</v>
      </c>
      <c r="J36">
        <f>VLOOKUP(D36,Товары!A:I,4,0)</f>
        <v>25560</v>
      </c>
      <c r="K36">
        <f t="shared" si="0"/>
        <v>25560</v>
      </c>
    </row>
    <row r="37" spans="1:11" hidden="1" x14ac:dyDescent="0.25">
      <c r="A37">
        <v>36</v>
      </c>
      <c r="B37" s="1">
        <v>45755</v>
      </c>
      <c r="C37" t="s">
        <v>48</v>
      </c>
      <c r="D37" t="s">
        <v>56</v>
      </c>
      <c r="E37" t="s">
        <v>13</v>
      </c>
      <c r="F37">
        <v>2</v>
      </c>
      <c r="G37" t="str">
        <f>VLOOKUP(D37,Товары!A:I,3,0)</f>
        <v>Зеркальный шкаф Альба 80 со светильником правый цвет мята</v>
      </c>
      <c r="H37">
        <f>VLOOKUP(D37,Товары!A:I,6,0)</f>
        <v>75</v>
      </c>
      <c r="I37" t="str">
        <f>VLOOKUP(C37,Магазины!A:C,3,0)</f>
        <v>Ставрополь</v>
      </c>
      <c r="J37">
        <f>VLOOKUP(D37,Товары!A:I,4,0)</f>
        <v>9930</v>
      </c>
      <c r="K37">
        <f t="shared" si="0"/>
        <v>19860</v>
      </c>
    </row>
    <row r="38" spans="1:11" hidden="1" x14ac:dyDescent="0.25">
      <c r="A38">
        <v>37</v>
      </c>
      <c r="B38" s="1">
        <v>45751</v>
      </c>
      <c r="C38" t="s">
        <v>57</v>
      </c>
      <c r="D38" t="s">
        <v>27</v>
      </c>
      <c r="E38" t="s">
        <v>8</v>
      </c>
      <c r="F38">
        <v>1</v>
      </c>
      <c r="G38" t="str">
        <f>VLOOKUP(D38,Товары!A:I,3,0)</f>
        <v>Тумба с раковиной  навес. Виктория 800 белый 2 ящика с умыв. Слим</v>
      </c>
      <c r="H38">
        <f>VLOOKUP(D38,Товары!A:I,6,0)</f>
        <v>60</v>
      </c>
      <c r="I38" t="str">
        <f>VLOOKUP(C38,Магазины!A:C,3,0)</f>
        <v>Оренбург</v>
      </c>
      <c r="J38">
        <f>VLOOKUP(D38,Товары!A:I,4,0)</f>
        <v>25290</v>
      </c>
      <c r="K38">
        <f t="shared" si="0"/>
        <v>25290</v>
      </c>
    </row>
    <row r="39" spans="1:11" hidden="1" x14ac:dyDescent="0.25">
      <c r="A39">
        <v>38</v>
      </c>
      <c r="B39" s="1">
        <v>45751</v>
      </c>
      <c r="C39" t="s">
        <v>58</v>
      </c>
      <c r="D39" t="s">
        <v>59</v>
      </c>
      <c r="E39" t="s">
        <v>8</v>
      </c>
      <c r="F39">
        <v>2</v>
      </c>
      <c r="G39" t="str">
        <f>VLOOKUP(D39,Товары!A:I,3,0)</f>
        <v>Тумба с раковиной  навес. Куба Риф 600 белый 2 ящика с умыв. Океан</v>
      </c>
      <c r="H39">
        <f>VLOOKUP(D39,Товары!A:I,6,0)</f>
        <v>55</v>
      </c>
      <c r="I39" t="str">
        <f>VLOOKUP(C39,Магазины!A:C,3,0)</f>
        <v>Ставрополь</v>
      </c>
      <c r="J39">
        <f>VLOOKUP(D39,Товары!A:I,4,0)</f>
        <v>15765</v>
      </c>
      <c r="K39">
        <f t="shared" si="0"/>
        <v>31530</v>
      </c>
    </row>
    <row r="40" spans="1:11" hidden="1" x14ac:dyDescent="0.25">
      <c r="A40">
        <v>39</v>
      </c>
      <c r="B40" s="1">
        <v>45749</v>
      </c>
      <c r="C40" t="s">
        <v>22</v>
      </c>
      <c r="D40" t="s">
        <v>60</v>
      </c>
      <c r="E40" t="s">
        <v>8</v>
      </c>
      <c r="F40">
        <v>1</v>
      </c>
      <c r="G40" t="str">
        <f>VLOOKUP(D40,Товары!A:I,3,0)</f>
        <v>Пенал навес. Куба Риф 350 белый 2 двери</v>
      </c>
      <c r="H40">
        <f>VLOOKUP(D40,Товары!A:I,6,0)</f>
        <v>150</v>
      </c>
      <c r="I40" t="str">
        <f>VLOOKUP(C40,Магазины!A:C,3,0)</f>
        <v>Кемерово</v>
      </c>
      <c r="J40">
        <f>VLOOKUP(D40,Товары!A:I,4,0)</f>
        <v>9720</v>
      </c>
      <c r="K40">
        <f t="shared" si="0"/>
        <v>9720</v>
      </c>
    </row>
    <row r="41" spans="1:11" hidden="1" x14ac:dyDescent="0.25">
      <c r="A41">
        <v>40</v>
      </c>
      <c r="B41" s="1">
        <v>45756</v>
      </c>
      <c r="C41" t="s">
        <v>26</v>
      </c>
      <c r="D41" t="s">
        <v>24</v>
      </c>
      <c r="E41" t="s">
        <v>13</v>
      </c>
      <c r="F41">
        <v>1</v>
      </c>
      <c r="G41" t="str">
        <f>VLOOKUP(D41,Товары!A:I,3,0)</f>
        <v>Тумба с раковиной  напол. Леон 600 форест 2 ящика с умыв. Слим</v>
      </c>
      <c r="H41">
        <f>VLOOKUP(D41,Товары!A:I,6,0)</f>
        <v>80</v>
      </c>
      <c r="I41" t="str">
        <f>VLOOKUP(C41,Магазины!A:C,3,0)</f>
        <v>Оренбург</v>
      </c>
      <c r="J41">
        <f>VLOOKUP(D41,Товары!A:I,4,0)</f>
        <v>27150</v>
      </c>
      <c r="K41">
        <f t="shared" si="0"/>
        <v>27150</v>
      </c>
    </row>
    <row r="42" spans="1:11" hidden="1" x14ac:dyDescent="0.25">
      <c r="A42">
        <v>41</v>
      </c>
      <c r="B42" s="1">
        <v>45748</v>
      </c>
      <c r="C42" t="s">
        <v>58</v>
      </c>
      <c r="D42" t="s">
        <v>61</v>
      </c>
      <c r="E42" t="s">
        <v>13</v>
      </c>
      <c r="F42">
        <v>2</v>
      </c>
      <c r="G42" t="str">
        <f>VLOOKUP(D42,Товары!A:I,3,0)</f>
        <v>Тумба под стиральную машину Леон Риф 57 напольная 2 ящика под ст/маш, без умывальника /под Marshall 120 Солярис/Белый Риф</v>
      </c>
      <c r="H42">
        <f>VLOOKUP(D42,Товары!A:I,6,0)</f>
        <v>85</v>
      </c>
      <c r="I42" t="str">
        <f>VLOOKUP(C42,Магазины!A:C,3,0)</f>
        <v>Ставрополь</v>
      </c>
      <c r="J42">
        <f>VLOOKUP(D42,Товары!A:I,4,0)</f>
        <v>17430</v>
      </c>
      <c r="K42">
        <f t="shared" si="0"/>
        <v>34860</v>
      </c>
    </row>
    <row r="43" spans="1:11" hidden="1" x14ac:dyDescent="0.25">
      <c r="A43">
        <v>42</v>
      </c>
      <c r="B43" s="1">
        <v>45748</v>
      </c>
      <c r="C43" t="s">
        <v>30</v>
      </c>
      <c r="D43" t="s">
        <v>62</v>
      </c>
      <c r="E43" t="s">
        <v>8</v>
      </c>
      <c r="F43">
        <v>1</v>
      </c>
      <c r="G43" t="str">
        <f>VLOOKUP(D43,Товары!A:I,3,0)</f>
        <v>Тумба с раковиной  напол. Альба 600 мята 2 ящика с умыв. Океан</v>
      </c>
      <c r="H43">
        <f>VLOOKUP(D43,Товары!A:I,6,0)</f>
        <v>80</v>
      </c>
      <c r="I43" t="str">
        <f>VLOOKUP(C43,Магазины!A:C,3,0)</f>
        <v>Кемерово</v>
      </c>
      <c r="J43">
        <f>VLOOKUP(D43,Товары!A:I,4,0)</f>
        <v>26370</v>
      </c>
      <c r="K43">
        <f t="shared" si="0"/>
        <v>26370</v>
      </c>
    </row>
    <row r="44" spans="1:11" hidden="1" x14ac:dyDescent="0.25">
      <c r="A44">
        <v>43</v>
      </c>
      <c r="B44" s="1">
        <v>45749</v>
      </c>
      <c r="C44" t="s">
        <v>63</v>
      </c>
      <c r="D44" t="s">
        <v>64</v>
      </c>
      <c r="E44" t="s">
        <v>13</v>
      </c>
      <c r="F44">
        <v>3</v>
      </c>
      <c r="G44" t="str">
        <f>VLOOKUP(D44,Товары!A:I,3,0)</f>
        <v>Тумба с раковиной  напол. Рица 800 антрацит 2 ящика с умыв. Слим</v>
      </c>
      <c r="H44">
        <f>VLOOKUP(D44,Товары!A:I,6,0)</f>
        <v>80</v>
      </c>
      <c r="I44" t="str">
        <f>VLOOKUP(C44,Магазины!A:C,3,0)</f>
        <v>Ставрополь</v>
      </c>
      <c r="J44">
        <f>VLOOKUP(D44,Товары!A:I,4,0)</f>
        <v>28980</v>
      </c>
      <c r="K44">
        <f t="shared" si="0"/>
        <v>86940</v>
      </c>
    </row>
    <row r="45" spans="1:11" hidden="1" x14ac:dyDescent="0.25">
      <c r="A45">
        <v>44</v>
      </c>
      <c r="B45" s="1">
        <v>45751</v>
      </c>
      <c r="C45" t="s">
        <v>41</v>
      </c>
      <c r="D45" t="s">
        <v>65</v>
      </c>
      <c r="E45" t="s">
        <v>13</v>
      </c>
      <c r="F45">
        <v>2</v>
      </c>
      <c r="G45" t="str">
        <f>VLOOKUP(D45,Товары!A:I,3,0)</f>
        <v>Тумба с раковиной  навес. Альба 800 суфле 2 ящика с умыв. Слим</v>
      </c>
      <c r="H45">
        <f>VLOOKUP(D45,Товары!A:I,6,0)</f>
        <v>50</v>
      </c>
      <c r="I45" t="str">
        <f>VLOOKUP(C45,Магазины!A:C,3,0)</f>
        <v>Ставрополь</v>
      </c>
      <c r="J45">
        <f>VLOOKUP(D45,Товары!A:I,4,0)</f>
        <v>26070</v>
      </c>
      <c r="K45">
        <f t="shared" si="0"/>
        <v>52140</v>
      </c>
    </row>
    <row r="46" spans="1:11" hidden="1" x14ac:dyDescent="0.25">
      <c r="A46">
        <v>45</v>
      </c>
      <c r="B46" s="1">
        <v>45754</v>
      </c>
      <c r="C46" t="s">
        <v>18</v>
      </c>
      <c r="D46" t="s">
        <v>66</v>
      </c>
      <c r="E46" t="s">
        <v>13</v>
      </c>
      <c r="F46">
        <v>1</v>
      </c>
      <c r="G46" t="str">
        <f>VLOOKUP(D46,Товары!A:I,3,0)</f>
        <v>Тумба с раковиной  навес. Альба 800 мята 2 ящика с умыв. Слим</v>
      </c>
      <c r="H46">
        <f>VLOOKUP(D46,Товары!A:I,6,0)</f>
        <v>50</v>
      </c>
      <c r="I46" t="str">
        <f>VLOOKUP(C46,Магазины!A:C,3,0)</f>
        <v>Набережные Челны</v>
      </c>
      <c r="J46">
        <f>VLOOKUP(D46,Товары!A:I,4,0)</f>
        <v>26070</v>
      </c>
      <c r="K46">
        <f t="shared" si="0"/>
        <v>26070</v>
      </c>
    </row>
    <row r="47" spans="1:11" hidden="1" x14ac:dyDescent="0.25">
      <c r="A47">
        <v>46</v>
      </c>
      <c r="B47" s="1">
        <v>45751</v>
      </c>
      <c r="C47" t="s">
        <v>58</v>
      </c>
      <c r="D47" t="s">
        <v>67</v>
      </c>
      <c r="E47" t="s">
        <v>13</v>
      </c>
      <c r="F47">
        <v>3</v>
      </c>
      <c r="G47" t="str">
        <f>VLOOKUP(D47,Товары!A:I,3,0)</f>
        <v>Пенал навес./напол. Альба 350 суфле 2 двери</v>
      </c>
      <c r="H47">
        <f>VLOOKUP(D47,Товары!A:I,6,0)</f>
        <v>150</v>
      </c>
      <c r="I47" t="str">
        <f>VLOOKUP(C47,Магазины!A:C,3,0)</f>
        <v>Ставрополь</v>
      </c>
      <c r="J47">
        <f>VLOOKUP(D47,Товары!A:I,4,0)</f>
        <v>11655</v>
      </c>
      <c r="K47">
        <f t="shared" si="0"/>
        <v>34965</v>
      </c>
    </row>
    <row r="48" spans="1:11" hidden="1" x14ac:dyDescent="0.25">
      <c r="A48">
        <v>47</v>
      </c>
      <c r="B48" s="1">
        <v>45752</v>
      </c>
      <c r="C48" t="s">
        <v>18</v>
      </c>
      <c r="D48" t="s">
        <v>50</v>
      </c>
      <c r="E48" t="s">
        <v>13</v>
      </c>
      <c r="F48">
        <v>1</v>
      </c>
      <c r="G48" t="str">
        <f>VLOOKUP(D48,Товары!A:I,3,0)</f>
        <v>Тумба с раковиной  напол. Леон 800 оникс 2 ящика с умыв. Слим</v>
      </c>
      <c r="H48">
        <f>VLOOKUP(D48,Товары!A:I,6,0)</f>
        <v>80</v>
      </c>
      <c r="I48" t="str">
        <f>VLOOKUP(C48,Магазины!A:C,3,0)</f>
        <v>Набережные Челны</v>
      </c>
      <c r="J48">
        <f>VLOOKUP(D48,Товары!A:I,4,0)</f>
        <v>29400</v>
      </c>
      <c r="K48">
        <f t="shared" si="0"/>
        <v>29400</v>
      </c>
    </row>
    <row r="49" spans="1:11" hidden="1" x14ac:dyDescent="0.25">
      <c r="A49">
        <v>48</v>
      </c>
      <c r="B49" s="1">
        <v>45753</v>
      </c>
      <c r="C49" t="s">
        <v>22</v>
      </c>
      <c r="D49" t="s">
        <v>68</v>
      </c>
      <c r="E49" t="s">
        <v>13</v>
      </c>
      <c r="F49">
        <v>1</v>
      </c>
      <c r="G49" t="str">
        <f>VLOOKUP(D49,Товары!A:I,3,0)</f>
        <v>Тумба с раковиной  навес. Альба 600 антрацит 1 ящик с умыв. Океан</v>
      </c>
      <c r="H49">
        <f>VLOOKUP(D49,Товары!A:I,6,0)</f>
        <v>85</v>
      </c>
      <c r="I49" t="str">
        <f>VLOOKUP(C49,Магазины!A:C,3,0)</f>
        <v>Кемерово</v>
      </c>
      <c r="J49">
        <f>VLOOKUP(D49,Товары!A:I,4,0)</f>
        <v>17625</v>
      </c>
      <c r="K49">
        <f t="shared" si="0"/>
        <v>17625</v>
      </c>
    </row>
    <row r="50" spans="1:11" hidden="1" x14ac:dyDescent="0.25">
      <c r="A50">
        <v>49</v>
      </c>
      <c r="B50" s="1">
        <v>45757</v>
      </c>
      <c r="C50" t="s">
        <v>9</v>
      </c>
      <c r="D50" t="s">
        <v>69</v>
      </c>
      <c r="E50" t="s">
        <v>13</v>
      </c>
      <c r="F50">
        <v>1</v>
      </c>
      <c r="G50" t="str">
        <f>VLOOKUP(D50,Товары!A:I,3,0)</f>
        <v>Пенал навес./напол. Альба 350 антрацит 2 двери</v>
      </c>
      <c r="H50">
        <f>VLOOKUP(D50,Товары!A:I,6,0)</f>
        <v>150</v>
      </c>
      <c r="I50" t="str">
        <f>VLOOKUP(C50,Магазины!A:C,3,0)</f>
        <v>Кемерово</v>
      </c>
      <c r="J50">
        <f>VLOOKUP(D50,Товары!A:I,4,0)</f>
        <v>11655</v>
      </c>
      <c r="K50">
        <f t="shared" si="0"/>
        <v>11655</v>
      </c>
    </row>
    <row r="51" spans="1:11" hidden="1" x14ac:dyDescent="0.25">
      <c r="A51">
        <v>50</v>
      </c>
      <c r="B51" s="1">
        <v>45752</v>
      </c>
      <c r="C51" t="s">
        <v>30</v>
      </c>
      <c r="D51" t="s">
        <v>39</v>
      </c>
      <c r="E51" t="s">
        <v>13</v>
      </c>
      <c r="F51">
        <v>3</v>
      </c>
      <c r="G51" t="str">
        <f>VLOOKUP(D51,Товары!A:I,3,0)</f>
        <v>Тумба с раковиной  напол. Альба 700 мята 2 ящика с умыв. Слим</v>
      </c>
      <c r="H51">
        <f>VLOOKUP(D51,Товары!A:I,6,0)</f>
        <v>85</v>
      </c>
      <c r="I51" t="str">
        <f>VLOOKUP(C51,Магазины!A:C,3,0)</f>
        <v>Кемерово</v>
      </c>
      <c r="J51">
        <f>VLOOKUP(D51,Товары!A:I,4,0)</f>
        <v>28695</v>
      </c>
      <c r="K51">
        <f t="shared" si="0"/>
        <v>86085</v>
      </c>
    </row>
    <row r="52" spans="1:11" hidden="1" x14ac:dyDescent="0.25">
      <c r="A52">
        <v>51</v>
      </c>
      <c r="B52" s="1">
        <v>45751</v>
      </c>
      <c r="C52" t="s">
        <v>58</v>
      </c>
      <c r="D52" t="s">
        <v>70</v>
      </c>
      <c r="E52" t="s">
        <v>8</v>
      </c>
      <c r="F52">
        <v>1</v>
      </c>
      <c r="G52" t="str">
        <f>VLOOKUP(D52,Товары!A:I,3,0)</f>
        <v>Тумба с раковиной  напол. Кристалл 700 шато азур 2 ящика с умыв. Слим</v>
      </c>
      <c r="H52">
        <f>VLOOKUP(D52,Товары!A:I,6,0)</f>
        <v>85</v>
      </c>
      <c r="I52" t="str">
        <f>VLOOKUP(C52,Магазины!A:C,3,0)</f>
        <v>Ставрополь</v>
      </c>
      <c r="J52">
        <f>VLOOKUP(D52,Товары!A:I,4,0)</f>
        <v>29910</v>
      </c>
      <c r="K52">
        <f t="shared" si="0"/>
        <v>29910</v>
      </c>
    </row>
    <row r="53" spans="1:11" hidden="1" x14ac:dyDescent="0.25">
      <c r="A53">
        <v>52</v>
      </c>
      <c r="B53" s="1">
        <v>45752</v>
      </c>
      <c r="C53" t="s">
        <v>16</v>
      </c>
      <c r="D53" t="s">
        <v>71</v>
      </c>
      <c r="E53" t="s">
        <v>8</v>
      </c>
      <c r="F53">
        <v>2</v>
      </c>
      <c r="G53" t="str">
        <f>VLOOKUP(D53,Товары!A:I,3,0)</f>
        <v>Тумба с раковиной  навес. Альба 600 мята 2 ящика с умыв. Океан</v>
      </c>
      <c r="H53">
        <f>VLOOKUP(D53,Товары!A:I,6,0)</f>
        <v>50</v>
      </c>
      <c r="I53" t="str">
        <f>VLOOKUP(C53,Магазины!A:C,3,0)</f>
        <v>Оренбург</v>
      </c>
      <c r="J53">
        <f>VLOOKUP(D53,Товары!A:I,4,0)</f>
        <v>24810</v>
      </c>
      <c r="K53">
        <f t="shared" si="0"/>
        <v>49620</v>
      </c>
    </row>
    <row r="54" spans="1:11" hidden="1" x14ac:dyDescent="0.25">
      <c r="A54">
        <v>53</v>
      </c>
      <c r="B54" s="1">
        <v>45755</v>
      </c>
      <c r="C54" t="s">
        <v>41</v>
      </c>
      <c r="D54" t="s">
        <v>42</v>
      </c>
      <c r="E54" t="s">
        <v>13</v>
      </c>
      <c r="F54">
        <v>1</v>
      </c>
      <c r="G54" t="str">
        <f>VLOOKUP(D54,Товары!A:I,3,0)</f>
        <v>Тумба под стиральную машину Леон Риф 57 подвесная 2 ящика под ст/маш, без умывальника /под Marshall 120 Солярис/Белый Риф</v>
      </c>
      <c r="H54">
        <f>VLOOKUP(D54,Товары!A:I,6,0)</f>
        <v>60</v>
      </c>
      <c r="I54" t="str">
        <f>VLOOKUP(C54,Магазины!A:C,3,0)</f>
        <v>Ставрополь</v>
      </c>
      <c r="J54">
        <f>VLOOKUP(D54,Товары!A:I,4,0)</f>
        <v>15495</v>
      </c>
      <c r="K54">
        <f t="shared" si="0"/>
        <v>15495</v>
      </c>
    </row>
    <row r="55" spans="1:11" hidden="1" x14ac:dyDescent="0.25">
      <c r="A55">
        <v>54</v>
      </c>
      <c r="B55" s="1">
        <v>45756</v>
      </c>
      <c r="C55" t="s">
        <v>57</v>
      </c>
      <c r="D55" t="s">
        <v>72</v>
      </c>
      <c r="E55" t="s">
        <v>8</v>
      </c>
      <c r="F55">
        <v>2</v>
      </c>
      <c r="G55" t="str">
        <f>VLOOKUP(D55,Товары!A:I,3,0)</f>
        <v>Тумба с раковиной  напол. Сохо 600 белый 2 ящика с умыв. Океан</v>
      </c>
      <c r="H55">
        <f>VLOOKUP(D55,Товары!A:I,6,0)</f>
        <v>85</v>
      </c>
      <c r="I55" t="str">
        <f>VLOOKUP(C55,Магазины!A:C,3,0)</f>
        <v>Оренбург</v>
      </c>
      <c r="J55">
        <f>VLOOKUP(D55,Товары!A:I,4,0)</f>
        <v>16140</v>
      </c>
      <c r="K55">
        <f t="shared" si="0"/>
        <v>32280</v>
      </c>
    </row>
    <row r="56" spans="1:11" hidden="1" x14ac:dyDescent="0.25">
      <c r="A56">
        <v>55</v>
      </c>
      <c r="B56" s="1">
        <v>45757</v>
      </c>
      <c r="C56" t="s">
        <v>48</v>
      </c>
      <c r="D56" t="s">
        <v>51</v>
      </c>
      <c r="E56" t="s">
        <v>8</v>
      </c>
      <c r="F56">
        <v>1</v>
      </c>
      <c r="G56" t="str">
        <f>VLOOKUP(D56,Товары!A:I,3,0)</f>
        <v>Зеркальный шкаф Альба 80 со светильником правый цвет суфле</v>
      </c>
      <c r="H56">
        <f>VLOOKUP(D56,Товары!A:I,6,0)</f>
        <v>75</v>
      </c>
      <c r="I56" t="str">
        <f>VLOOKUP(C56,Магазины!A:C,3,0)</f>
        <v>Ставрополь</v>
      </c>
      <c r="J56">
        <f>VLOOKUP(D56,Товары!A:I,4,0)</f>
        <v>9930</v>
      </c>
      <c r="K56">
        <f t="shared" si="0"/>
        <v>9930</v>
      </c>
    </row>
    <row r="57" spans="1:11" hidden="1" x14ac:dyDescent="0.25">
      <c r="A57">
        <v>56</v>
      </c>
      <c r="B57" s="1">
        <v>45750</v>
      </c>
      <c r="C57" t="s">
        <v>48</v>
      </c>
      <c r="D57" t="s">
        <v>73</v>
      </c>
      <c r="E57" t="s">
        <v>13</v>
      </c>
      <c r="F57">
        <v>2</v>
      </c>
      <c r="G57" t="str">
        <f>VLOOKUP(D57,Товары!A:I,3,0)</f>
        <v>Зеркальный шкаф Альба 70 со светильником правый цвет антрацит</v>
      </c>
      <c r="H57">
        <f>VLOOKUP(D57,Товары!A:I,6,0)</f>
        <v>75</v>
      </c>
      <c r="I57" t="str">
        <f>VLOOKUP(C57,Магазины!A:C,3,0)</f>
        <v>Ставрополь</v>
      </c>
      <c r="J57">
        <f>VLOOKUP(D57,Товары!A:I,4,0)</f>
        <v>9615</v>
      </c>
      <c r="K57">
        <f t="shared" si="0"/>
        <v>19230</v>
      </c>
    </row>
    <row r="58" spans="1:11" hidden="1" x14ac:dyDescent="0.25">
      <c r="A58">
        <v>57</v>
      </c>
      <c r="B58" s="1">
        <v>45756</v>
      </c>
      <c r="C58" t="s">
        <v>14</v>
      </c>
      <c r="D58" t="s">
        <v>74</v>
      </c>
      <c r="E58" t="s">
        <v>13</v>
      </c>
      <c r="F58">
        <v>3</v>
      </c>
      <c r="G58" t="str">
        <f>VLOOKUP(D58,Товары!A:I,3,0)</f>
        <v>Тумба с раковиной  напол. Альба 800 суфле 2 ящика с умыв. Слим</v>
      </c>
      <c r="H58">
        <f>VLOOKUP(D58,Товары!A:I,6,0)</f>
        <v>80</v>
      </c>
      <c r="I58" t="str">
        <f>VLOOKUP(C58,Магазины!A:C,3,0)</f>
        <v>Оренбург</v>
      </c>
      <c r="J58">
        <f>VLOOKUP(D58,Товары!A:I,4,0)</f>
        <v>29340</v>
      </c>
      <c r="K58">
        <f t="shared" si="0"/>
        <v>88020</v>
      </c>
    </row>
    <row r="59" spans="1:11" hidden="1" x14ac:dyDescent="0.25">
      <c r="A59">
        <v>58</v>
      </c>
      <c r="B59" s="1">
        <v>45755</v>
      </c>
      <c r="C59" t="s">
        <v>35</v>
      </c>
      <c r="D59" t="s">
        <v>75</v>
      </c>
      <c r="E59" t="s">
        <v>8</v>
      </c>
      <c r="F59">
        <v>2</v>
      </c>
      <c r="G59" t="str">
        <f>VLOOKUP(D59,Товары!A:I,3,0)</f>
        <v>Тумба с раковиной  напол. Альба 600 суфле 2 ящика с умыв. Океан</v>
      </c>
      <c r="H59">
        <f>VLOOKUP(D59,Товары!A:I,6,0)</f>
        <v>80</v>
      </c>
      <c r="I59" t="str">
        <f>VLOOKUP(C59,Магазины!A:C,3,0)</f>
        <v>Набережные Челны</v>
      </c>
      <c r="J59">
        <f>VLOOKUP(D59,Товары!A:I,4,0)</f>
        <v>26370</v>
      </c>
      <c r="K59">
        <f t="shared" si="0"/>
        <v>52740</v>
      </c>
    </row>
    <row r="60" spans="1:11" hidden="1" x14ac:dyDescent="0.25">
      <c r="A60">
        <v>59</v>
      </c>
      <c r="B60" s="1">
        <v>45750</v>
      </c>
      <c r="C60" t="s">
        <v>41</v>
      </c>
      <c r="D60" t="s">
        <v>76</v>
      </c>
      <c r="E60" t="s">
        <v>8</v>
      </c>
      <c r="F60">
        <v>2</v>
      </c>
      <c r="G60" t="str">
        <f>VLOOKUP(D60,Товары!A:I,3,0)</f>
        <v>Тумба с раковиной  напол. Леон 600 оникс 2 ящика с умыв. Слим</v>
      </c>
      <c r="H60">
        <f>VLOOKUP(D60,Товары!A:I,6,0)</f>
        <v>80</v>
      </c>
      <c r="I60" t="str">
        <f>VLOOKUP(C60,Магазины!A:C,3,0)</f>
        <v>Ставрополь</v>
      </c>
      <c r="J60">
        <f>VLOOKUP(D60,Товары!A:I,4,0)</f>
        <v>25860</v>
      </c>
      <c r="K60">
        <f t="shared" si="0"/>
        <v>51720</v>
      </c>
    </row>
    <row r="61" spans="1:11" hidden="1" x14ac:dyDescent="0.25">
      <c r="A61">
        <v>60</v>
      </c>
      <c r="B61" s="1">
        <v>45757</v>
      </c>
      <c r="C61" t="s">
        <v>26</v>
      </c>
      <c r="D61" t="s">
        <v>77</v>
      </c>
      <c r="E61" t="s">
        <v>13</v>
      </c>
      <c r="F61">
        <v>1</v>
      </c>
      <c r="G61" t="str">
        <f>VLOOKUP(D61,Товары!A:I,3,0)</f>
        <v>Тумба с раковиной  напол. Куба Риф 600 белый 2 ящика с умыв. Como</v>
      </c>
      <c r="H61">
        <f>VLOOKUP(D61,Товары!A:I,6,0)</f>
        <v>85</v>
      </c>
      <c r="I61" t="str">
        <f>VLOOKUP(C61,Магазины!A:C,3,0)</f>
        <v>Оренбург</v>
      </c>
      <c r="J61">
        <f>VLOOKUP(D61,Товары!A:I,4,0)</f>
        <v>15660</v>
      </c>
      <c r="K61">
        <f t="shared" si="0"/>
        <v>15660</v>
      </c>
    </row>
    <row r="62" spans="1:11" hidden="1" x14ac:dyDescent="0.25">
      <c r="A62">
        <v>61</v>
      </c>
      <c r="B62" s="1">
        <v>45754</v>
      </c>
      <c r="C62" t="s">
        <v>11</v>
      </c>
      <c r="D62" t="s">
        <v>39</v>
      </c>
      <c r="E62" t="s">
        <v>13</v>
      </c>
      <c r="F62">
        <v>2</v>
      </c>
      <c r="G62" t="str">
        <f>VLOOKUP(D62,Товары!A:I,3,0)</f>
        <v>Тумба с раковиной  напол. Альба 700 мята 2 ящика с умыв. Слим</v>
      </c>
      <c r="H62">
        <f>VLOOKUP(D62,Товары!A:I,6,0)</f>
        <v>85</v>
      </c>
      <c r="I62" t="str">
        <f>VLOOKUP(C62,Магазины!A:C,3,0)</f>
        <v>Кемерово</v>
      </c>
      <c r="J62">
        <f>VLOOKUP(D62,Товары!A:I,4,0)</f>
        <v>28695</v>
      </c>
      <c r="K62">
        <f t="shared" si="0"/>
        <v>57390</v>
      </c>
    </row>
    <row r="63" spans="1:11" hidden="1" x14ac:dyDescent="0.25">
      <c r="A63">
        <v>62</v>
      </c>
      <c r="B63" s="1">
        <v>45756</v>
      </c>
      <c r="C63" t="s">
        <v>9</v>
      </c>
      <c r="D63" t="s">
        <v>70</v>
      </c>
      <c r="E63" t="s">
        <v>8</v>
      </c>
      <c r="F63">
        <v>2</v>
      </c>
      <c r="G63" t="str">
        <f>VLOOKUP(D63,Товары!A:I,3,0)</f>
        <v>Тумба с раковиной  напол. Кристалл 700 шато азур 2 ящика с умыв. Слим</v>
      </c>
      <c r="H63">
        <f>VLOOKUP(D63,Товары!A:I,6,0)</f>
        <v>85</v>
      </c>
      <c r="I63" t="str">
        <f>VLOOKUP(C63,Магазины!A:C,3,0)</f>
        <v>Кемерово</v>
      </c>
      <c r="J63">
        <f>VLOOKUP(D63,Товары!A:I,4,0)</f>
        <v>29910</v>
      </c>
      <c r="K63">
        <f t="shared" si="0"/>
        <v>59820</v>
      </c>
    </row>
    <row r="64" spans="1:11" hidden="1" x14ac:dyDescent="0.25">
      <c r="A64">
        <v>63</v>
      </c>
      <c r="B64" s="1">
        <v>45748</v>
      </c>
      <c r="C64" t="s">
        <v>43</v>
      </c>
      <c r="D64" t="s">
        <v>78</v>
      </c>
      <c r="E64" t="s">
        <v>13</v>
      </c>
      <c r="F64">
        <v>2</v>
      </c>
      <c r="G64" t="str">
        <f>VLOOKUP(D64,Товары!A:I,3,0)</f>
        <v>Зеркальный шкаф Кристалл 70 со светильником правый, ручка кнопка дуб цвет Шато Азур</v>
      </c>
      <c r="H64">
        <f>VLOOKUP(D64,Товары!A:I,6,0)</f>
        <v>75</v>
      </c>
      <c r="I64" t="str">
        <f>VLOOKUP(C64,Магазины!A:C,3,0)</f>
        <v>Набережные Челны</v>
      </c>
      <c r="J64">
        <f>VLOOKUP(D64,Товары!A:I,4,0)</f>
        <v>9615</v>
      </c>
      <c r="K64">
        <f t="shared" si="0"/>
        <v>19230</v>
      </c>
    </row>
    <row r="65" spans="1:11" hidden="1" x14ac:dyDescent="0.25">
      <c r="A65">
        <v>64</v>
      </c>
      <c r="B65" s="1">
        <v>45756</v>
      </c>
      <c r="C65" t="s">
        <v>28</v>
      </c>
      <c r="D65" t="s">
        <v>73</v>
      </c>
      <c r="E65" t="s">
        <v>8</v>
      </c>
      <c r="F65">
        <v>2</v>
      </c>
      <c r="G65" t="str">
        <f>VLOOKUP(D65,Товары!A:I,3,0)</f>
        <v>Зеркальный шкаф Альба 70 со светильником правый цвет антрацит</v>
      </c>
      <c r="H65">
        <f>VLOOKUP(D65,Товары!A:I,6,0)</f>
        <v>75</v>
      </c>
      <c r="I65" t="str">
        <f>VLOOKUP(C65,Магазины!A:C,3,0)</f>
        <v>Набережные Челны</v>
      </c>
      <c r="J65">
        <f>VLOOKUP(D65,Товары!A:I,4,0)</f>
        <v>9615</v>
      </c>
      <c r="K65">
        <f t="shared" si="0"/>
        <v>19230</v>
      </c>
    </row>
    <row r="66" spans="1:11" hidden="1" x14ac:dyDescent="0.25">
      <c r="A66">
        <v>65</v>
      </c>
      <c r="B66" s="1">
        <v>45755</v>
      </c>
      <c r="C66" t="s">
        <v>26</v>
      </c>
      <c r="D66" t="s">
        <v>45</v>
      </c>
      <c r="E66" t="s">
        <v>13</v>
      </c>
      <c r="F66">
        <v>1</v>
      </c>
      <c r="G66" t="str">
        <f>VLOOKUP(D66,Товары!A:I,3,0)</f>
        <v>Зеркальный шкаф Рица 80 со светильником правый цвет cерый/керамика</v>
      </c>
      <c r="H66">
        <f>VLOOKUP(D66,Товары!A:I,6,0)</f>
        <v>75</v>
      </c>
      <c r="I66" t="str">
        <f>VLOOKUP(C66,Магазины!A:C,3,0)</f>
        <v>Оренбург</v>
      </c>
      <c r="J66">
        <f>VLOOKUP(D66,Товары!A:I,4,0)</f>
        <v>9930</v>
      </c>
      <c r="K66">
        <f t="shared" si="0"/>
        <v>9930</v>
      </c>
    </row>
    <row r="67" spans="1:11" hidden="1" x14ac:dyDescent="0.25">
      <c r="A67">
        <v>66</v>
      </c>
      <c r="B67" s="1">
        <v>45756</v>
      </c>
      <c r="C67" t="s">
        <v>6</v>
      </c>
      <c r="D67" t="s">
        <v>79</v>
      </c>
      <c r="E67" t="s">
        <v>13</v>
      </c>
      <c r="F67">
        <v>3</v>
      </c>
      <c r="G67" t="str">
        <f>VLOOKUP(D67,Товары!A:I,3,0)</f>
        <v>Зеркальный шкаф Альба 70 со светильником правый цвет мята</v>
      </c>
      <c r="H67">
        <f>VLOOKUP(D67,Товары!A:I,6,0)</f>
        <v>75</v>
      </c>
      <c r="I67" t="str">
        <f>VLOOKUP(C67,Магазины!A:C,3,0)</f>
        <v>Оренбург</v>
      </c>
      <c r="J67">
        <f>VLOOKUP(D67,Товары!A:I,4,0)</f>
        <v>9615</v>
      </c>
      <c r="K67">
        <f t="shared" ref="K67:K130" si="1">J67*F67</f>
        <v>28845</v>
      </c>
    </row>
    <row r="68" spans="1:11" hidden="1" x14ac:dyDescent="0.25">
      <c r="A68">
        <v>67</v>
      </c>
      <c r="B68" s="1">
        <v>45756</v>
      </c>
      <c r="C68" t="s">
        <v>9</v>
      </c>
      <c r="D68" t="s">
        <v>80</v>
      </c>
      <c r="E68" t="s">
        <v>13</v>
      </c>
      <c r="F68">
        <v>2</v>
      </c>
      <c r="G68" t="str">
        <f>VLOOKUP(D68,Товары!A:I,3,0)</f>
        <v>Тумба с раковиной  навес. Сохо 600 белый 2 ящика с умыв. Океан</v>
      </c>
      <c r="H68">
        <f>VLOOKUP(D68,Товары!A:I,6,0)</f>
        <v>55</v>
      </c>
      <c r="I68" t="str">
        <f>VLOOKUP(C68,Магазины!A:C,3,0)</f>
        <v>Кемерово</v>
      </c>
      <c r="J68">
        <f>VLOOKUP(D68,Товары!A:I,4,0)</f>
        <v>13950</v>
      </c>
      <c r="K68">
        <f t="shared" si="1"/>
        <v>27900</v>
      </c>
    </row>
    <row r="69" spans="1:11" hidden="1" x14ac:dyDescent="0.25">
      <c r="A69">
        <v>68</v>
      </c>
      <c r="B69" s="1">
        <v>45748</v>
      </c>
      <c r="C69" t="s">
        <v>26</v>
      </c>
      <c r="D69" t="s">
        <v>46</v>
      </c>
      <c r="E69" t="s">
        <v>13</v>
      </c>
      <c r="F69">
        <v>1</v>
      </c>
      <c r="G69" t="str">
        <f>VLOOKUP(D69,Товары!A:I,3,0)</f>
        <v>Тумба с раковиной  напол. Сохо 700 белый 2 ящика с умыв. Слим</v>
      </c>
      <c r="H69">
        <f>VLOOKUP(D69,Товары!A:I,6,0)</f>
        <v>85</v>
      </c>
      <c r="I69" t="str">
        <f>VLOOKUP(C69,Магазины!A:C,3,0)</f>
        <v>Оренбург</v>
      </c>
      <c r="J69">
        <f>VLOOKUP(D69,Товары!A:I,4,0)</f>
        <v>18405</v>
      </c>
      <c r="K69">
        <f t="shared" si="1"/>
        <v>18405</v>
      </c>
    </row>
    <row r="70" spans="1:11" hidden="1" x14ac:dyDescent="0.25">
      <c r="A70">
        <v>69</v>
      </c>
      <c r="B70" s="1">
        <v>45757</v>
      </c>
      <c r="C70" t="s">
        <v>57</v>
      </c>
      <c r="D70" t="s">
        <v>10</v>
      </c>
      <c r="E70" t="s">
        <v>13</v>
      </c>
      <c r="F70">
        <v>3</v>
      </c>
      <c r="G70" t="str">
        <f>VLOOKUP(D70,Товары!A:I,3,0)</f>
        <v>Тумба с раковиной  навес. Альба 700 антрацит 1 ящик с умыв. Слим</v>
      </c>
      <c r="H70">
        <f>VLOOKUP(D70,Товары!A:I,6,0)</f>
        <v>45</v>
      </c>
      <c r="I70" t="str">
        <f>VLOOKUP(C70,Магазины!A:C,3,0)</f>
        <v>Оренбург</v>
      </c>
      <c r="J70">
        <f>VLOOKUP(D70,Товары!A:I,4,0)</f>
        <v>20130</v>
      </c>
      <c r="K70">
        <f t="shared" si="1"/>
        <v>60390</v>
      </c>
    </row>
    <row r="71" spans="1:11" hidden="1" x14ac:dyDescent="0.25">
      <c r="A71">
        <v>70</v>
      </c>
      <c r="B71" s="1">
        <v>45749</v>
      </c>
      <c r="C71" t="s">
        <v>14</v>
      </c>
      <c r="D71" t="s">
        <v>81</v>
      </c>
      <c r="E71" t="s">
        <v>8</v>
      </c>
      <c r="F71">
        <v>2</v>
      </c>
      <c r="G71" t="str">
        <f>VLOOKUP(D71,Товары!A:I,3,0)</f>
        <v>Тумба с раковиной  навес. Рица 600 cерый/керамика 1 ящик + ниша 1 с умыв. Океан</v>
      </c>
      <c r="H71">
        <f>VLOOKUP(D71,Товары!A:I,6,0)</f>
        <v>60</v>
      </c>
      <c r="I71" t="str">
        <f>VLOOKUP(C71,Магазины!A:C,3,0)</f>
        <v>Оренбург</v>
      </c>
      <c r="J71">
        <f>VLOOKUP(D71,Товары!A:I,4,0)</f>
        <v>18900</v>
      </c>
      <c r="K71">
        <f t="shared" si="1"/>
        <v>37800</v>
      </c>
    </row>
    <row r="72" spans="1:11" hidden="1" x14ac:dyDescent="0.25">
      <c r="A72">
        <v>71</v>
      </c>
      <c r="B72" s="1">
        <v>45749</v>
      </c>
      <c r="C72" t="s">
        <v>35</v>
      </c>
      <c r="D72" t="s">
        <v>82</v>
      </c>
      <c r="E72" t="s">
        <v>8</v>
      </c>
      <c r="F72">
        <v>2</v>
      </c>
      <c r="G72" t="str">
        <f>VLOOKUP(D72,Товары!A:I,3,0)</f>
        <v>Тумба с раковиной  навес. Леон 800 форест 2 ящика с умыв. Слим</v>
      </c>
      <c r="H72">
        <f>VLOOKUP(D72,Товары!A:I,6,0)</f>
        <v>60</v>
      </c>
      <c r="I72" t="str">
        <f>VLOOKUP(C72,Магазины!A:C,3,0)</f>
        <v>Набережные Челны</v>
      </c>
      <c r="J72">
        <f>VLOOKUP(D72,Товары!A:I,4,0)</f>
        <v>27930</v>
      </c>
      <c r="K72">
        <f t="shared" si="1"/>
        <v>55860</v>
      </c>
    </row>
    <row r="73" spans="1:11" hidden="1" x14ac:dyDescent="0.25">
      <c r="A73">
        <v>72</v>
      </c>
      <c r="B73" s="1">
        <v>45755</v>
      </c>
      <c r="C73" t="s">
        <v>58</v>
      </c>
      <c r="D73" t="s">
        <v>52</v>
      </c>
      <c r="E73" t="s">
        <v>13</v>
      </c>
      <c r="F73">
        <v>1</v>
      </c>
      <c r="G73" t="str">
        <f>VLOOKUP(D73,Товары!A:I,3,0)</f>
        <v>Тумба с раковиной  напол. Кристалл 600 суфле 2 ящика с умыв. Океан</v>
      </c>
      <c r="H73">
        <f>VLOOKUP(D73,Товары!A:I,6,0)</f>
        <v>80</v>
      </c>
      <c r="I73" t="str">
        <f>VLOOKUP(C73,Магазины!A:C,3,0)</f>
        <v>Ставрополь</v>
      </c>
      <c r="J73">
        <f>VLOOKUP(D73,Товары!A:I,4,0)</f>
        <v>27600</v>
      </c>
      <c r="K73">
        <f t="shared" si="1"/>
        <v>27600</v>
      </c>
    </row>
    <row r="74" spans="1:11" hidden="1" x14ac:dyDescent="0.25">
      <c r="A74">
        <v>73</v>
      </c>
      <c r="B74" s="1">
        <v>45753</v>
      </c>
      <c r="C74" t="s">
        <v>22</v>
      </c>
      <c r="D74" t="s">
        <v>31</v>
      </c>
      <c r="E74" t="s">
        <v>13</v>
      </c>
      <c r="F74">
        <v>3</v>
      </c>
      <c r="G74" t="str">
        <f>VLOOKUP(D74,Товары!A:I,3,0)</f>
        <v>Пенал напол. Виктория 350 белый 2 двери</v>
      </c>
      <c r="H74">
        <f>VLOOKUP(D74,Товары!A:I,6,0)</f>
        <v>190</v>
      </c>
      <c r="I74" t="str">
        <f>VLOOKUP(C74,Магазины!A:C,3,0)</f>
        <v>Кемерово</v>
      </c>
      <c r="J74">
        <f>VLOOKUP(D74,Товары!A:I,4,0)</f>
        <v>14085</v>
      </c>
      <c r="K74">
        <f t="shared" si="1"/>
        <v>42255</v>
      </c>
    </row>
    <row r="75" spans="1:11" hidden="1" x14ac:dyDescent="0.25">
      <c r="A75">
        <v>74</v>
      </c>
      <c r="B75" s="1">
        <v>45754</v>
      </c>
      <c r="C75" t="s">
        <v>14</v>
      </c>
      <c r="D75" t="s">
        <v>34</v>
      </c>
      <c r="E75" t="s">
        <v>13</v>
      </c>
      <c r="F75">
        <v>3</v>
      </c>
      <c r="G75" t="str">
        <f>VLOOKUP(D75,Товары!A:I,3,0)</f>
        <v>Тумба с раковиной  навес. Леон 700 форест 2 ящика с умыв. Слим</v>
      </c>
      <c r="H75">
        <f>VLOOKUP(D75,Товары!A:I,6,0)</f>
        <v>60</v>
      </c>
      <c r="I75" t="str">
        <f>VLOOKUP(C75,Магазины!A:C,3,0)</f>
        <v>Оренбург</v>
      </c>
      <c r="J75">
        <f>VLOOKUP(D75,Товары!A:I,4,0)</f>
        <v>26220</v>
      </c>
      <c r="K75">
        <f t="shared" si="1"/>
        <v>78660</v>
      </c>
    </row>
    <row r="76" spans="1:11" hidden="1" x14ac:dyDescent="0.25">
      <c r="A76">
        <v>75</v>
      </c>
      <c r="B76" s="1">
        <v>45749</v>
      </c>
      <c r="C76" t="s">
        <v>41</v>
      </c>
      <c r="D76" t="s">
        <v>7</v>
      </c>
      <c r="E76" t="s">
        <v>13</v>
      </c>
      <c r="F76">
        <v>3</v>
      </c>
      <c r="G76" t="str">
        <f>VLOOKUP(D76,Товары!A:I,3,0)</f>
        <v>Пенал напол. Леон Риф 400 солярис/белый риф 2 двери + 1 ящик</v>
      </c>
      <c r="H76">
        <f>VLOOKUP(D76,Товары!A:I,6,0)</f>
        <v>190</v>
      </c>
      <c r="I76" t="str">
        <f>VLOOKUP(C76,Магазины!A:C,3,0)</f>
        <v>Ставрополь</v>
      </c>
      <c r="J76">
        <f>VLOOKUP(D76,Товары!A:I,4,0)</f>
        <v>14490</v>
      </c>
      <c r="K76">
        <f t="shared" si="1"/>
        <v>43470</v>
      </c>
    </row>
    <row r="77" spans="1:11" hidden="1" x14ac:dyDescent="0.25">
      <c r="A77">
        <v>76</v>
      </c>
      <c r="B77" s="1">
        <v>45757</v>
      </c>
      <c r="C77" t="s">
        <v>43</v>
      </c>
      <c r="D77" t="s">
        <v>83</v>
      </c>
      <c r="E77" t="s">
        <v>8</v>
      </c>
      <c r="F77">
        <v>2</v>
      </c>
      <c r="G77" t="str">
        <f>VLOOKUP(D77,Товары!A:I,3,0)</f>
        <v>Зеркальный шкаф Альба 60 со светильником правый цвет суфле</v>
      </c>
      <c r="H77">
        <f>VLOOKUP(D77,Товары!A:I,6,0)</f>
        <v>75</v>
      </c>
      <c r="I77" t="str">
        <f>VLOOKUP(C77,Магазины!A:C,3,0)</f>
        <v>Набережные Челны</v>
      </c>
      <c r="J77">
        <f>VLOOKUP(D77,Товары!A:I,4,0)</f>
        <v>8910</v>
      </c>
      <c r="K77">
        <f t="shared" si="1"/>
        <v>17820</v>
      </c>
    </row>
    <row r="78" spans="1:11" hidden="1" x14ac:dyDescent="0.25">
      <c r="A78">
        <v>77</v>
      </c>
      <c r="B78" s="1">
        <v>45751</v>
      </c>
      <c r="C78" t="s">
        <v>26</v>
      </c>
      <c r="D78" t="s">
        <v>84</v>
      </c>
      <c r="E78" t="s">
        <v>8</v>
      </c>
      <c r="F78">
        <v>3</v>
      </c>
      <c r="G78" t="str">
        <f>VLOOKUP(D78,Товары!A:I,3,0)</f>
        <v>Тумба с раковиной  напол. Куба Риф 800 белый 3 двери с умыв. Слим</v>
      </c>
      <c r="H78">
        <f>VLOOKUP(D78,Товары!A:I,6,0)</f>
        <v>85</v>
      </c>
      <c r="I78" t="str">
        <f>VLOOKUP(C78,Магазины!A:C,3,0)</f>
        <v>Оренбург</v>
      </c>
      <c r="J78">
        <f>VLOOKUP(D78,Товары!A:I,4,0)</f>
        <v>19920</v>
      </c>
      <c r="K78">
        <f t="shared" si="1"/>
        <v>59760</v>
      </c>
    </row>
    <row r="79" spans="1:11" hidden="1" x14ac:dyDescent="0.25">
      <c r="A79">
        <v>78</v>
      </c>
      <c r="B79" s="1">
        <v>45753</v>
      </c>
      <c r="C79" t="s">
        <v>22</v>
      </c>
      <c r="D79" t="s">
        <v>85</v>
      </c>
      <c r="E79" t="s">
        <v>8</v>
      </c>
      <c r="F79">
        <v>2</v>
      </c>
      <c r="G79" t="str">
        <f>VLOOKUP(D79,Товары!A:I,3,0)</f>
        <v>Пенал напол. Аква 450 белый 2 двери + 2 ящика + корзина</v>
      </c>
      <c r="H79">
        <f>VLOOKUP(D79,Товары!A:I,6,0)</f>
        <v>190</v>
      </c>
      <c r="I79" t="str">
        <f>VLOOKUP(C79,Магазины!A:C,3,0)</f>
        <v>Кемерово</v>
      </c>
      <c r="J79">
        <f>VLOOKUP(D79,Товары!A:I,4,0)</f>
        <v>13335</v>
      </c>
      <c r="K79">
        <f t="shared" si="1"/>
        <v>26670</v>
      </c>
    </row>
    <row r="80" spans="1:11" hidden="1" x14ac:dyDescent="0.25">
      <c r="A80">
        <v>79</v>
      </c>
      <c r="B80" s="1">
        <v>45754</v>
      </c>
      <c r="C80" t="s">
        <v>28</v>
      </c>
      <c r="D80" t="s">
        <v>86</v>
      </c>
      <c r="E80" t="s">
        <v>8</v>
      </c>
      <c r="F80">
        <v>3</v>
      </c>
      <c r="G80" t="str">
        <f>VLOOKUP(D80,Товары!A:I,3,0)</f>
        <v>Комод Аква 50 напольный 1 ящик 2 двери белый</v>
      </c>
      <c r="H80">
        <f>VLOOKUP(D80,Товары!A:I,6,0)</f>
        <v>90</v>
      </c>
      <c r="I80" t="str">
        <f>VLOOKUP(C80,Магазины!A:C,3,0)</f>
        <v>Набережные Челны</v>
      </c>
      <c r="J80">
        <f>VLOOKUP(D80,Товары!A:I,4,0)</f>
        <v>7260</v>
      </c>
      <c r="K80">
        <f t="shared" si="1"/>
        <v>21780</v>
      </c>
    </row>
    <row r="81" spans="1:11" hidden="1" x14ac:dyDescent="0.25">
      <c r="A81">
        <v>80</v>
      </c>
      <c r="B81" s="1">
        <v>45754</v>
      </c>
      <c r="C81" t="s">
        <v>41</v>
      </c>
      <c r="D81" t="s">
        <v>87</v>
      </c>
      <c r="E81" t="s">
        <v>13</v>
      </c>
      <c r="F81">
        <v>1</v>
      </c>
      <c r="G81" t="str">
        <f>VLOOKUP(D81,Товары!A:I,3,0)</f>
        <v>Тумба с раковиной  напол. Леон 700 форест 2 ящика с умыв. Слим</v>
      </c>
      <c r="H81">
        <f>VLOOKUP(D81,Товары!A:I,6,0)</f>
        <v>80</v>
      </c>
      <c r="I81" t="str">
        <f>VLOOKUP(C81,Магазины!A:C,3,0)</f>
        <v>Ставрополь</v>
      </c>
      <c r="J81">
        <f>VLOOKUP(D81,Товары!A:I,4,0)</f>
        <v>28380</v>
      </c>
      <c r="K81">
        <f t="shared" si="1"/>
        <v>28380</v>
      </c>
    </row>
    <row r="82" spans="1:11" hidden="1" x14ac:dyDescent="0.25">
      <c r="A82">
        <v>81</v>
      </c>
      <c r="B82" s="1">
        <v>45752</v>
      </c>
      <c r="C82" t="s">
        <v>14</v>
      </c>
      <c r="D82" t="s">
        <v>75</v>
      </c>
      <c r="E82" t="s">
        <v>8</v>
      </c>
      <c r="F82">
        <v>1</v>
      </c>
      <c r="G82" t="str">
        <f>VLOOKUP(D82,Товары!A:I,3,0)</f>
        <v>Тумба с раковиной  напол. Альба 600 суфле 2 ящика с умыв. Океан</v>
      </c>
      <c r="H82">
        <f>VLOOKUP(D82,Товары!A:I,6,0)</f>
        <v>80</v>
      </c>
      <c r="I82" t="str">
        <f>VLOOKUP(C82,Магазины!A:C,3,0)</f>
        <v>Оренбург</v>
      </c>
      <c r="J82">
        <f>VLOOKUP(D82,Товары!A:I,4,0)</f>
        <v>26370</v>
      </c>
      <c r="K82">
        <f t="shared" si="1"/>
        <v>26370</v>
      </c>
    </row>
    <row r="83" spans="1:11" hidden="1" x14ac:dyDescent="0.25">
      <c r="A83">
        <v>82</v>
      </c>
      <c r="B83" s="1">
        <v>45749</v>
      </c>
      <c r="C83" t="s">
        <v>33</v>
      </c>
      <c r="D83" t="s">
        <v>25</v>
      </c>
      <c r="E83" t="s">
        <v>8</v>
      </c>
      <c r="F83">
        <v>1</v>
      </c>
      <c r="G83" t="str">
        <f>VLOOKUP(D83,Товары!A:I,3,0)</f>
        <v>Пенал напол. Леон 400 оникс 2 двери + 1 ящик</v>
      </c>
      <c r="H83">
        <f>VLOOKUP(D83,Товары!A:I,6,0)</f>
        <v>190</v>
      </c>
      <c r="I83" t="str">
        <f>VLOOKUP(C83,Магазины!A:C,3,0)</f>
        <v>Набережные Челны</v>
      </c>
      <c r="J83">
        <f>VLOOKUP(D83,Товары!A:I,4,0)</f>
        <v>18450</v>
      </c>
      <c r="K83">
        <f t="shared" si="1"/>
        <v>18450</v>
      </c>
    </row>
    <row r="84" spans="1:11" hidden="1" x14ac:dyDescent="0.25">
      <c r="A84">
        <v>83</v>
      </c>
      <c r="B84" s="1">
        <v>45756</v>
      </c>
      <c r="C84" t="s">
        <v>16</v>
      </c>
      <c r="D84" t="s">
        <v>65</v>
      </c>
      <c r="E84" t="s">
        <v>13</v>
      </c>
      <c r="F84">
        <v>3</v>
      </c>
      <c r="G84" t="str">
        <f>VLOOKUP(D84,Товары!A:I,3,0)</f>
        <v>Тумба с раковиной  навес. Альба 800 суфле 2 ящика с умыв. Слим</v>
      </c>
      <c r="H84">
        <f>VLOOKUP(D84,Товары!A:I,6,0)</f>
        <v>50</v>
      </c>
      <c r="I84" t="str">
        <f>VLOOKUP(C84,Магазины!A:C,3,0)</f>
        <v>Оренбург</v>
      </c>
      <c r="J84">
        <f>VLOOKUP(D84,Товары!A:I,4,0)</f>
        <v>26070</v>
      </c>
      <c r="K84">
        <f t="shared" si="1"/>
        <v>78210</v>
      </c>
    </row>
    <row r="85" spans="1:11" hidden="1" x14ac:dyDescent="0.25">
      <c r="A85">
        <v>84</v>
      </c>
      <c r="B85" s="1">
        <v>45751</v>
      </c>
      <c r="C85" t="s">
        <v>11</v>
      </c>
      <c r="D85" t="s">
        <v>88</v>
      </c>
      <c r="E85" t="s">
        <v>13</v>
      </c>
      <c r="F85">
        <v>1</v>
      </c>
      <c r="G85" t="str">
        <f>VLOOKUP(D85,Товары!A:I,3,0)</f>
        <v>Тумба с раковиной  навес. Альба 800 антрацит 2 ящика с умыв. Слим</v>
      </c>
      <c r="H85">
        <f>VLOOKUP(D85,Товары!A:I,6,0)</f>
        <v>50</v>
      </c>
      <c r="I85" t="str">
        <f>VLOOKUP(C85,Магазины!A:C,3,0)</f>
        <v>Кемерово</v>
      </c>
      <c r="J85">
        <f>VLOOKUP(D85,Товары!A:I,4,0)</f>
        <v>26070</v>
      </c>
      <c r="K85">
        <f t="shared" si="1"/>
        <v>26070</v>
      </c>
    </row>
    <row r="86" spans="1:11" hidden="1" x14ac:dyDescent="0.25">
      <c r="A86">
        <v>85</v>
      </c>
      <c r="B86" s="1">
        <v>45748</v>
      </c>
      <c r="C86" t="s">
        <v>22</v>
      </c>
      <c r="D86" t="s">
        <v>19</v>
      </c>
      <c r="E86" t="s">
        <v>13</v>
      </c>
      <c r="F86">
        <v>1</v>
      </c>
      <c r="G86" t="str">
        <f>VLOOKUP(D86,Товары!A:I,3,0)</f>
        <v>Тумба с раковиной  навес. Леон 800 оникс 2 ящика с умыв. Слим</v>
      </c>
      <c r="H86">
        <f>VLOOKUP(D86,Товары!A:I,6,0)</f>
        <v>60</v>
      </c>
      <c r="I86" t="str">
        <f>VLOOKUP(C86,Магазины!A:C,3,0)</f>
        <v>Кемерово</v>
      </c>
      <c r="J86">
        <f>VLOOKUP(D86,Товары!A:I,4,0)</f>
        <v>27930</v>
      </c>
      <c r="K86">
        <f t="shared" si="1"/>
        <v>27930</v>
      </c>
    </row>
    <row r="87" spans="1:11" hidden="1" x14ac:dyDescent="0.25">
      <c r="A87">
        <v>86</v>
      </c>
      <c r="B87" s="1">
        <v>45748</v>
      </c>
      <c r="C87" t="s">
        <v>14</v>
      </c>
      <c r="D87" t="s">
        <v>66</v>
      </c>
      <c r="E87" t="s">
        <v>8</v>
      </c>
      <c r="F87">
        <v>1</v>
      </c>
      <c r="G87" t="str">
        <f>VLOOKUP(D87,Товары!A:I,3,0)</f>
        <v>Тумба с раковиной  навес. Альба 800 мята 2 ящика с умыв. Слим</v>
      </c>
      <c r="H87">
        <f>VLOOKUP(D87,Товары!A:I,6,0)</f>
        <v>50</v>
      </c>
      <c r="I87" t="str">
        <f>VLOOKUP(C87,Магазины!A:C,3,0)</f>
        <v>Оренбург</v>
      </c>
      <c r="J87">
        <f>VLOOKUP(D87,Товары!A:I,4,0)</f>
        <v>26070</v>
      </c>
      <c r="K87">
        <f t="shared" si="1"/>
        <v>26070</v>
      </c>
    </row>
    <row r="88" spans="1:11" hidden="1" x14ac:dyDescent="0.25">
      <c r="A88">
        <v>87</v>
      </c>
      <c r="B88" s="1">
        <v>45756</v>
      </c>
      <c r="C88" t="s">
        <v>54</v>
      </c>
      <c r="D88" t="s">
        <v>64</v>
      </c>
      <c r="E88" t="s">
        <v>8</v>
      </c>
      <c r="F88">
        <v>1</v>
      </c>
      <c r="G88" t="str">
        <f>VLOOKUP(D88,Товары!A:I,3,0)</f>
        <v>Тумба с раковиной  напол. Рица 800 антрацит 2 ящика с умыв. Слим</v>
      </c>
      <c r="H88">
        <f>VLOOKUP(D88,Товары!A:I,6,0)</f>
        <v>80</v>
      </c>
      <c r="I88" t="str">
        <f>VLOOKUP(C88,Магазины!A:C,3,0)</f>
        <v>Ставрополь</v>
      </c>
      <c r="J88">
        <f>VLOOKUP(D88,Товары!A:I,4,0)</f>
        <v>28980</v>
      </c>
      <c r="K88">
        <f t="shared" si="1"/>
        <v>28980</v>
      </c>
    </row>
    <row r="89" spans="1:11" hidden="1" x14ac:dyDescent="0.25">
      <c r="A89">
        <v>88</v>
      </c>
      <c r="B89" s="1">
        <v>45757</v>
      </c>
      <c r="C89" t="s">
        <v>54</v>
      </c>
      <c r="D89" t="s">
        <v>46</v>
      </c>
      <c r="E89" t="s">
        <v>8</v>
      </c>
      <c r="F89">
        <v>3</v>
      </c>
      <c r="G89" t="str">
        <f>VLOOKUP(D89,Товары!A:I,3,0)</f>
        <v>Тумба с раковиной  напол. Сохо 700 белый 2 ящика с умыв. Слим</v>
      </c>
      <c r="H89">
        <f>VLOOKUP(D89,Товары!A:I,6,0)</f>
        <v>85</v>
      </c>
      <c r="I89" t="str">
        <f>VLOOKUP(C89,Магазины!A:C,3,0)</f>
        <v>Ставрополь</v>
      </c>
      <c r="J89">
        <f>VLOOKUP(D89,Товары!A:I,4,0)</f>
        <v>18405</v>
      </c>
      <c r="K89">
        <f t="shared" si="1"/>
        <v>55215</v>
      </c>
    </row>
    <row r="90" spans="1:11" hidden="1" x14ac:dyDescent="0.25">
      <c r="A90">
        <v>89</v>
      </c>
      <c r="B90" s="1">
        <v>45752</v>
      </c>
      <c r="C90" t="s">
        <v>58</v>
      </c>
      <c r="D90" t="s">
        <v>78</v>
      </c>
      <c r="E90" t="s">
        <v>8</v>
      </c>
      <c r="F90">
        <v>1</v>
      </c>
      <c r="G90" t="str">
        <f>VLOOKUP(D90,Товары!A:I,3,0)</f>
        <v>Зеркальный шкаф Кристалл 70 со светильником правый, ручка кнопка дуб цвет Шато Азур</v>
      </c>
      <c r="H90">
        <f>VLOOKUP(D90,Товары!A:I,6,0)</f>
        <v>75</v>
      </c>
      <c r="I90" t="str">
        <f>VLOOKUP(C90,Магазины!A:C,3,0)</f>
        <v>Ставрополь</v>
      </c>
      <c r="J90">
        <f>VLOOKUP(D90,Товары!A:I,4,0)</f>
        <v>9615</v>
      </c>
      <c r="K90">
        <f t="shared" si="1"/>
        <v>9615</v>
      </c>
    </row>
    <row r="91" spans="1:11" hidden="1" x14ac:dyDescent="0.25">
      <c r="A91">
        <v>90</v>
      </c>
      <c r="B91" s="1">
        <v>45756</v>
      </c>
      <c r="C91" t="s">
        <v>18</v>
      </c>
      <c r="D91" t="s">
        <v>89</v>
      </c>
      <c r="E91" t="s">
        <v>8</v>
      </c>
      <c r="F91">
        <v>3</v>
      </c>
      <c r="G91" t="str">
        <f>VLOOKUP(D91,Товары!A:I,3,0)</f>
        <v>Тумба с раковиной  напол. Сохо 600 белый 2 двери с умыв. Океан</v>
      </c>
      <c r="H91">
        <f>VLOOKUP(D91,Товары!A:I,6,0)</f>
        <v>85</v>
      </c>
      <c r="I91" t="str">
        <f>VLOOKUP(C91,Магазины!A:C,3,0)</f>
        <v>Набережные Челны</v>
      </c>
      <c r="J91">
        <f>VLOOKUP(D91,Товары!A:I,4,0)</f>
        <v>14880</v>
      </c>
      <c r="K91">
        <f t="shared" si="1"/>
        <v>44640</v>
      </c>
    </row>
    <row r="92" spans="1:11" hidden="1" x14ac:dyDescent="0.25">
      <c r="A92">
        <v>91</v>
      </c>
      <c r="B92" s="1">
        <v>45756</v>
      </c>
      <c r="C92" t="s">
        <v>35</v>
      </c>
      <c r="D92" t="s">
        <v>60</v>
      </c>
      <c r="E92" t="s">
        <v>8</v>
      </c>
      <c r="F92">
        <v>2</v>
      </c>
      <c r="G92" t="str">
        <f>VLOOKUP(D92,Товары!A:I,3,0)</f>
        <v>Пенал навес. Куба Риф 350 белый 2 двери</v>
      </c>
      <c r="H92">
        <f>VLOOKUP(D92,Товары!A:I,6,0)</f>
        <v>150</v>
      </c>
      <c r="I92" t="str">
        <f>VLOOKUP(C92,Магазины!A:C,3,0)</f>
        <v>Набережные Челны</v>
      </c>
      <c r="J92">
        <f>VLOOKUP(D92,Товары!A:I,4,0)</f>
        <v>9720</v>
      </c>
      <c r="K92">
        <f t="shared" si="1"/>
        <v>19440</v>
      </c>
    </row>
    <row r="93" spans="1:11" hidden="1" x14ac:dyDescent="0.25">
      <c r="A93">
        <v>92</v>
      </c>
      <c r="B93" s="1">
        <v>45749</v>
      </c>
      <c r="C93" t="s">
        <v>63</v>
      </c>
      <c r="D93" t="s">
        <v>90</v>
      </c>
      <c r="E93" t="s">
        <v>13</v>
      </c>
      <c r="F93">
        <v>3</v>
      </c>
      <c r="G93" t="str">
        <f>VLOOKUP(D93,Товары!A:I,3,0)</f>
        <v>Пенал напол. Аква 350 белый 2 двери + 2 ящика</v>
      </c>
      <c r="H93">
        <f>VLOOKUP(D93,Товары!A:I,6,0)</f>
        <v>190</v>
      </c>
      <c r="I93" t="str">
        <f>VLOOKUP(C93,Магазины!A:C,3,0)</f>
        <v>Ставрополь</v>
      </c>
      <c r="J93">
        <f>VLOOKUP(D93,Товары!A:I,4,0)</f>
        <v>10650</v>
      </c>
      <c r="K93">
        <f t="shared" si="1"/>
        <v>31950</v>
      </c>
    </row>
    <row r="94" spans="1:11" hidden="1" x14ac:dyDescent="0.25">
      <c r="A94">
        <v>93</v>
      </c>
      <c r="B94" s="1">
        <v>45753</v>
      </c>
      <c r="C94" t="s">
        <v>16</v>
      </c>
      <c r="D94" t="s">
        <v>91</v>
      </c>
      <c r="E94" t="s">
        <v>13</v>
      </c>
      <c r="F94">
        <v>2</v>
      </c>
      <c r="G94" t="str">
        <f>VLOOKUP(D94,Товары!A:I,3,0)</f>
        <v>Пенал навес./напол. Альба 350 мята 2 двери</v>
      </c>
      <c r="H94">
        <f>VLOOKUP(D94,Товары!A:I,6,0)</f>
        <v>150</v>
      </c>
      <c r="I94" t="str">
        <f>VLOOKUP(C94,Магазины!A:C,3,0)</f>
        <v>Оренбург</v>
      </c>
      <c r="J94">
        <f>VLOOKUP(D94,Товары!A:I,4,0)</f>
        <v>11655</v>
      </c>
      <c r="K94">
        <f t="shared" si="1"/>
        <v>23310</v>
      </c>
    </row>
    <row r="95" spans="1:11" hidden="1" x14ac:dyDescent="0.25">
      <c r="A95">
        <v>94</v>
      </c>
      <c r="B95" s="1">
        <v>45753</v>
      </c>
      <c r="C95" t="s">
        <v>92</v>
      </c>
      <c r="D95" t="s">
        <v>53</v>
      </c>
      <c r="E95" t="s">
        <v>13</v>
      </c>
      <c r="F95">
        <v>1</v>
      </c>
      <c r="G95" t="str">
        <f>VLOOKUP(D95,Товары!A:I,3,0)</f>
        <v>Тумба с раковиной  напол. Кристалл 600 шато азур 2 ящика с умыв. Океан</v>
      </c>
      <c r="H95">
        <f>VLOOKUP(D95,Товары!A:I,6,0)</f>
        <v>85</v>
      </c>
      <c r="I95" t="str">
        <f>VLOOKUP(C95,Магазины!A:C,3,0)</f>
        <v>Кемерово</v>
      </c>
      <c r="J95">
        <f>VLOOKUP(D95,Товары!A:I,4,0)</f>
        <v>27600</v>
      </c>
      <c r="K95">
        <f t="shared" si="1"/>
        <v>27600</v>
      </c>
    </row>
    <row r="96" spans="1:11" hidden="1" x14ac:dyDescent="0.25">
      <c r="A96">
        <v>95</v>
      </c>
      <c r="B96" s="1">
        <v>45749</v>
      </c>
      <c r="C96" t="s">
        <v>26</v>
      </c>
      <c r="D96" t="s">
        <v>93</v>
      </c>
      <c r="E96" t="s">
        <v>13</v>
      </c>
      <c r="F96">
        <v>1</v>
      </c>
      <c r="G96" t="str">
        <f>VLOOKUP(D96,Товары!A:I,3,0)</f>
        <v>Тумба с раковиной  напол. Леон Риф 800 солярис/белый риф 2 ящика с умыв. Слим</v>
      </c>
      <c r="H96">
        <f>VLOOKUP(D96,Товары!A:I,6,0)</f>
        <v>80</v>
      </c>
      <c r="I96" t="str">
        <f>VLOOKUP(C96,Магазины!A:C,3,0)</f>
        <v>Оренбург</v>
      </c>
      <c r="J96">
        <f>VLOOKUP(D96,Товары!A:I,4,0)</f>
        <v>29340</v>
      </c>
      <c r="K96">
        <f t="shared" si="1"/>
        <v>29340</v>
      </c>
    </row>
    <row r="97" spans="1:11" hidden="1" x14ac:dyDescent="0.25">
      <c r="A97">
        <v>96</v>
      </c>
      <c r="B97" s="1">
        <v>45749</v>
      </c>
      <c r="C97" t="s">
        <v>11</v>
      </c>
      <c r="D97" t="s">
        <v>94</v>
      </c>
      <c r="E97" t="s">
        <v>8</v>
      </c>
      <c r="F97">
        <v>3</v>
      </c>
      <c r="G97" t="str">
        <f>VLOOKUP(D97,Товары!A:I,3,0)</f>
        <v>Зеркальный шкаф Альба 80 со светильником правый цвет антрацит</v>
      </c>
      <c r="H97">
        <f>VLOOKUP(D97,Товары!A:I,6,0)</f>
        <v>75</v>
      </c>
      <c r="I97" t="str">
        <f>VLOOKUP(C97,Магазины!A:C,3,0)</f>
        <v>Кемерово</v>
      </c>
      <c r="J97">
        <f>VLOOKUP(D97,Товары!A:I,4,0)</f>
        <v>9930</v>
      </c>
      <c r="K97">
        <f t="shared" si="1"/>
        <v>29790</v>
      </c>
    </row>
    <row r="98" spans="1:11" hidden="1" x14ac:dyDescent="0.25">
      <c r="A98">
        <v>97</v>
      </c>
      <c r="B98" s="1">
        <v>45757</v>
      </c>
      <c r="C98" t="s">
        <v>33</v>
      </c>
      <c r="D98" t="s">
        <v>95</v>
      </c>
      <c r="E98" t="s">
        <v>13</v>
      </c>
      <c r="F98">
        <v>3</v>
      </c>
      <c r="G98" t="str">
        <f>VLOOKUP(D98,Товары!A:I,3,0)</f>
        <v>Тумба с раковиной  напол. Рица 600 антрацит 2 ящика с умыв. Океан</v>
      </c>
      <c r="H98">
        <f>VLOOKUP(D98,Товары!A:I,6,0)</f>
        <v>80</v>
      </c>
      <c r="I98" t="str">
        <f>VLOOKUP(C98,Магазины!A:C,3,0)</f>
        <v>Набережные Челны</v>
      </c>
      <c r="J98">
        <f>VLOOKUP(D98,Товары!A:I,4,0)</f>
        <v>25560</v>
      </c>
      <c r="K98">
        <f t="shared" si="1"/>
        <v>76680</v>
      </c>
    </row>
    <row r="99" spans="1:11" hidden="1" x14ac:dyDescent="0.25">
      <c r="A99">
        <v>98</v>
      </c>
      <c r="B99" s="1">
        <v>45757</v>
      </c>
      <c r="C99" t="s">
        <v>9</v>
      </c>
      <c r="D99" t="s">
        <v>60</v>
      </c>
      <c r="E99" t="s">
        <v>13</v>
      </c>
      <c r="F99">
        <v>3</v>
      </c>
      <c r="G99" t="str">
        <f>VLOOKUP(D99,Товары!A:I,3,0)</f>
        <v>Пенал навес. Куба Риф 350 белый 2 двери</v>
      </c>
      <c r="H99">
        <f>VLOOKUP(D99,Товары!A:I,6,0)</f>
        <v>150</v>
      </c>
      <c r="I99" t="str">
        <f>VLOOKUP(C99,Магазины!A:C,3,0)</f>
        <v>Кемерово</v>
      </c>
      <c r="J99">
        <f>VLOOKUP(D99,Товары!A:I,4,0)</f>
        <v>9720</v>
      </c>
      <c r="K99">
        <f t="shared" si="1"/>
        <v>29160</v>
      </c>
    </row>
    <row r="100" spans="1:11" hidden="1" x14ac:dyDescent="0.25">
      <c r="A100">
        <v>99</v>
      </c>
      <c r="B100" s="1">
        <v>45757</v>
      </c>
      <c r="C100" t="s">
        <v>28</v>
      </c>
      <c r="D100" t="s">
        <v>29</v>
      </c>
      <c r="E100" t="s">
        <v>8</v>
      </c>
      <c r="F100">
        <v>3</v>
      </c>
      <c r="G100" t="str">
        <f>VLOOKUP(D100,Товары!A:I,3,0)</f>
        <v>Тумба с раковиной  напол. Леон Риф 600 солярис/белый риф 2 ящика с умыв. Океан</v>
      </c>
      <c r="H100">
        <f>VLOOKUP(D100,Товары!A:I,6,0)</f>
        <v>80</v>
      </c>
      <c r="I100" t="str">
        <f>VLOOKUP(C100,Магазины!A:C,3,0)</f>
        <v>Набережные Челны</v>
      </c>
      <c r="J100">
        <f>VLOOKUP(D100,Товары!A:I,4,0)</f>
        <v>24150</v>
      </c>
      <c r="K100">
        <f t="shared" si="1"/>
        <v>72450</v>
      </c>
    </row>
    <row r="101" spans="1:11" hidden="1" x14ac:dyDescent="0.25">
      <c r="A101">
        <v>100</v>
      </c>
      <c r="B101" s="1">
        <v>45753</v>
      </c>
      <c r="C101" t="s">
        <v>11</v>
      </c>
      <c r="D101" t="s">
        <v>89</v>
      </c>
      <c r="E101" t="s">
        <v>8</v>
      </c>
      <c r="F101">
        <v>3</v>
      </c>
      <c r="G101" t="str">
        <f>VLOOKUP(D101,Товары!A:I,3,0)</f>
        <v>Тумба с раковиной  напол. Сохо 600 белый 2 двери с умыв. Океан</v>
      </c>
      <c r="H101">
        <f>VLOOKUP(D101,Товары!A:I,6,0)</f>
        <v>85</v>
      </c>
      <c r="I101" t="str">
        <f>VLOOKUP(C101,Магазины!A:C,3,0)</f>
        <v>Кемерово</v>
      </c>
      <c r="J101">
        <f>VLOOKUP(D101,Товары!A:I,4,0)</f>
        <v>14880</v>
      </c>
      <c r="K101">
        <f t="shared" si="1"/>
        <v>44640</v>
      </c>
    </row>
    <row r="102" spans="1:11" hidden="1" x14ac:dyDescent="0.25">
      <c r="A102">
        <v>101</v>
      </c>
      <c r="B102" s="1">
        <v>45752</v>
      </c>
      <c r="C102" t="s">
        <v>43</v>
      </c>
      <c r="D102" t="s">
        <v>38</v>
      </c>
      <c r="E102" t="s">
        <v>13</v>
      </c>
      <c r="F102">
        <v>1</v>
      </c>
      <c r="G102" t="str">
        <f>VLOOKUP(D102,Товары!A:I,3,0)</f>
        <v>Тумба с раковиной  навес. Куба Риф 600 белый 2 ящика с умыв. Como</v>
      </c>
      <c r="H102">
        <f>VLOOKUP(D102,Товары!A:I,6,0)</f>
        <v>55</v>
      </c>
      <c r="I102" t="str">
        <f>VLOOKUP(C102,Магазины!A:C,3,0)</f>
        <v>Набережные Челны</v>
      </c>
      <c r="J102">
        <f>VLOOKUP(D102,Товары!A:I,4,0)</f>
        <v>14265</v>
      </c>
      <c r="K102">
        <f t="shared" si="1"/>
        <v>14265</v>
      </c>
    </row>
    <row r="103" spans="1:11" hidden="1" x14ac:dyDescent="0.25">
      <c r="A103">
        <v>102</v>
      </c>
      <c r="B103" s="1">
        <v>45748</v>
      </c>
      <c r="C103" t="s">
        <v>43</v>
      </c>
      <c r="D103" t="s">
        <v>96</v>
      </c>
      <c r="E103" t="s">
        <v>8</v>
      </c>
      <c r="F103">
        <v>2</v>
      </c>
      <c r="G103" t="str">
        <f>VLOOKUP(D103,Товары!A:I,3,0)</f>
        <v>Тумба с раковиной  навес. Альба 600 мята 1 ящик с умыв. Океан</v>
      </c>
      <c r="H103">
        <f>VLOOKUP(D103,Товары!A:I,6,0)</f>
        <v>85</v>
      </c>
      <c r="I103" t="str">
        <f>VLOOKUP(C103,Магазины!A:C,3,0)</f>
        <v>Набережные Челны</v>
      </c>
      <c r="J103">
        <f>VLOOKUP(D103,Товары!A:I,4,0)</f>
        <v>17625</v>
      </c>
      <c r="K103">
        <f t="shared" si="1"/>
        <v>35250</v>
      </c>
    </row>
    <row r="104" spans="1:11" hidden="1" x14ac:dyDescent="0.25">
      <c r="A104">
        <v>103</v>
      </c>
      <c r="B104" s="1">
        <v>45748</v>
      </c>
      <c r="C104" t="s">
        <v>41</v>
      </c>
      <c r="D104" t="s">
        <v>39</v>
      </c>
      <c r="E104" t="s">
        <v>13</v>
      </c>
      <c r="F104">
        <v>3</v>
      </c>
      <c r="G104" t="str">
        <f>VLOOKUP(D104,Товары!A:I,3,0)</f>
        <v>Тумба с раковиной  напол. Альба 700 мята 2 ящика с умыв. Слим</v>
      </c>
      <c r="H104">
        <f>VLOOKUP(D104,Товары!A:I,6,0)</f>
        <v>85</v>
      </c>
      <c r="I104" t="str">
        <f>VLOOKUP(C104,Магазины!A:C,3,0)</f>
        <v>Ставрополь</v>
      </c>
      <c r="J104">
        <f>VLOOKUP(D104,Товары!A:I,4,0)</f>
        <v>28695</v>
      </c>
      <c r="K104">
        <f t="shared" si="1"/>
        <v>86085</v>
      </c>
    </row>
    <row r="105" spans="1:11" hidden="1" x14ac:dyDescent="0.25">
      <c r="A105">
        <v>104</v>
      </c>
      <c r="B105" s="1">
        <v>45749</v>
      </c>
      <c r="C105" t="s">
        <v>35</v>
      </c>
      <c r="D105" t="s">
        <v>62</v>
      </c>
      <c r="E105" t="s">
        <v>13</v>
      </c>
      <c r="F105">
        <v>2</v>
      </c>
      <c r="G105" t="str">
        <f>VLOOKUP(D105,Товары!A:I,3,0)</f>
        <v>Тумба с раковиной  напол. Альба 600 мята 2 ящика с умыв. Океан</v>
      </c>
      <c r="H105">
        <f>VLOOKUP(D105,Товары!A:I,6,0)</f>
        <v>80</v>
      </c>
      <c r="I105" t="str">
        <f>VLOOKUP(C105,Магазины!A:C,3,0)</f>
        <v>Набережные Челны</v>
      </c>
      <c r="J105">
        <f>VLOOKUP(D105,Товары!A:I,4,0)</f>
        <v>26370</v>
      </c>
      <c r="K105">
        <f t="shared" si="1"/>
        <v>52740</v>
      </c>
    </row>
    <row r="106" spans="1:11" hidden="1" x14ac:dyDescent="0.25">
      <c r="A106">
        <v>105</v>
      </c>
      <c r="B106" s="1">
        <v>45752</v>
      </c>
      <c r="C106" t="s">
        <v>16</v>
      </c>
      <c r="D106" t="s">
        <v>97</v>
      </c>
      <c r="E106" t="s">
        <v>8</v>
      </c>
      <c r="F106">
        <v>2</v>
      </c>
      <c r="G106" t="str">
        <f>VLOOKUP(D106,Товары!A:I,3,0)</f>
        <v>Пенал напол. Кристалл 350 суфле 2 двери</v>
      </c>
      <c r="H106">
        <f>VLOOKUP(D106,Товары!A:I,6,0)</f>
        <v>190</v>
      </c>
      <c r="I106" t="str">
        <f>VLOOKUP(C106,Магазины!A:C,3,0)</f>
        <v>Оренбург</v>
      </c>
      <c r="J106">
        <f>VLOOKUP(D106,Товары!A:I,4,0)</f>
        <v>15810</v>
      </c>
      <c r="K106">
        <f t="shared" si="1"/>
        <v>31620</v>
      </c>
    </row>
    <row r="107" spans="1:11" hidden="1" x14ac:dyDescent="0.25">
      <c r="A107">
        <v>106</v>
      </c>
      <c r="B107" s="1">
        <v>45748</v>
      </c>
      <c r="C107" t="s">
        <v>20</v>
      </c>
      <c r="D107" t="s">
        <v>90</v>
      </c>
      <c r="E107" t="s">
        <v>8</v>
      </c>
      <c r="F107">
        <v>3</v>
      </c>
      <c r="G107" t="str">
        <f>VLOOKUP(D107,Товары!A:I,3,0)</f>
        <v>Пенал напол. Аква 350 белый 2 двери + 2 ящика</v>
      </c>
      <c r="H107">
        <f>VLOOKUP(D107,Товары!A:I,6,0)</f>
        <v>190</v>
      </c>
      <c r="I107" t="str">
        <f>VLOOKUP(C107,Магазины!A:C,3,0)</f>
        <v>Оренбург</v>
      </c>
      <c r="J107">
        <f>VLOOKUP(D107,Товары!A:I,4,0)</f>
        <v>10650</v>
      </c>
      <c r="K107">
        <f t="shared" si="1"/>
        <v>31950</v>
      </c>
    </row>
    <row r="108" spans="1:11" hidden="1" x14ac:dyDescent="0.25">
      <c r="A108">
        <v>107</v>
      </c>
      <c r="B108" s="1">
        <v>45753</v>
      </c>
      <c r="C108" t="s">
        <v>11</v>
      </c>
      <c r="D108" t="s">
        <v>27</v>
      </c>
      <c r="E108" t="s">
        <v>8</v>
      </c>
      <c r="F108">
        <v>3</v>
      </c>
      <c r="G108" t="str">
        <f>VLOOKUP(D108,Товары!A:I,3,0)</f>
        <v>Тумба с раковиной  навес. Виктория 800 белый 2 ящика с умыв. Слим</v>
      </c>
      <c r="H108">
        <f>VLOOKUP(D108,Товары!A:I,6,0)</f>
        <v>60</v>
      </c>
      <c r="I108" t="str">
        <f>VLOOKUP(C108,Магазины!A:C,3,0)</f>
        <v>Кемерово</v>
      </c>
      <c r="J108">
        <f>VLOOKUP(D108,Товары!A:I,4,0)</f>
        <v>25290</v>
      </c>
      <c r="K108">
        <f t="shared" si="1"/>
        <v>75870</v>
      </c>
    </row>
    <row r="109" spans="1:11" hidden="1" x14ac:dyDescent="0.25">
      <c r="A109">
        <v>108</v>
      </c>
      <c r="B109" s="1">
        <v>45756</v>
      </c>
      <c r="C109" t="s">
        <v>18</v>
      </c>
      <c r="D109" t="s">
        <v>32</v>
      </c>
      <c r="E109" t="s">
        <v>13</v>
      </c>
      <c r="F109">
        <v>2</v>
      </c>
      <c r="G109" t="str">
        <f>VLOOKUP(D109,Товары!A:I,3,0)</f>
        <v>Тумба с раковиной  напол. Леон Риф 700 солярис/белый риф 2 ящика с умыв. Слим</v>
      </c>
      <c r="H109">
        <f>VLOOKUP(D109,Товары!A:I,6,0)</f>
        <v>85</v>
      </c>
      <c r="I109" t="str">
        <f>VLOOKUP(C109,Магазины!A:C,3,0)</f>
        <v>Набережные Челны</v>
      </c>
      <c r="J109">
        <f>VLOOKUP(D109,Товары!A:I,4,0)</f>
        <v>26460</v>
      </c>
      <c r="K109">
        <f t="shared" si="1"/>
        <v>52920</v>
      </c>
    </row>
    <row r="110" spans="1:11" hidden="1" x14ac:dyDescent="0.25">
      <c r="A110">
        <v>109</v>
      </c>
      <c r="B110" s="1">
        <v>45753</v>
      </c>
      <c r="C110" t="s">
        <v>92</v>
      </c>
      <c r="D110" t="s">
        <v>73</v>
      </c>
      <c r="E110" t="s">
        <v>13</v>
      </c>
      <c r="F110">
        <v>1</v>
      </c>
      <c r="G110" t="str">
        <f>VLOOKUP(D110,Товары!A:I,3,0)</f>
        <v>Зеркальный шкаф Альба 70 со светильником правый цвет антрацит</v>
      </c>
      <c r="H110">
        <f>VLOOKUP(D110,Товары!A:I,6,0)</f>
        <v>75</v>
      </c>
      <c r="I110" t="str">
        <f>VLOOKUP(C110,Магазины!A:C,3,0)</f>
        <v>Кемерово</v>
      </c>
      <c r="J110">
        <f>VLOOKUP(D110,Товары!A:I,4,0)</f>
        <v>9615</v>
      </c>
      <c r="K110">
        <f t="shared" si="1"/>
        <v>9615</v>
      </c>
    </row>
    <row r="111" spans="1:11" hidden="1" x14ac:dyDescent="0.25">
      <c r="A111">
        <v>110</v>
      </c>
      <c r="B111" s="1">
        <v>45755</v>
      </c>
      <c r="C111" t="s">
        <v>11</v>
      </c>
      <c r="D111" t="s">
        <v>49</v>
      </c>
      <c r="E111" t="s">
        <v>8</v>
      </c>
      <c r="F111">
        <v>1</v>
      </c>
      <c r="G111" t="str">
        <f>VLOOKUP(D111,Товары!A:I,3,0)</f>
        <v>Тумба с раковиной  напол. Леон 700 оникс 2 ящика с умыв. Слим</v>
      </c>
      <c r="H111">
        <f>VLOOKUP(D111,Товары!A:I,6,0)</f>
        <v>80</v>
      </c>
      <c r="I111" t="str">
        <f>VLOOKUP(C111,Магазины!A:C,3,0)</f>
        <v>Кемерово</v>
      </c>
      <c r="J111">
        <f>VLOOKUP(D111,Товары!A:I,4,0)</f>
        <v>28380</v>
      </c>
      <c r="K111">
        <f t="shared" si="1"/>
        <v>28380</v>
      </c>
    </row>
    <row r="112" spans="1:11" hidden="1" x14ac:dyDescent="0.25">
      <c r="A112">
        <v>111</v>
      </c>
      <c r="B112" s="1">
        <v>45757</v>
      </c>
      <c r="C112" t="s">
        <v>57</v>
      </c>
      <c r="D112" t="s">
        <v>98</v>
      </c>
      <c r="E112" t="s">
        <v>8</v>
      </c>
      <c r="F112">
        <v>2</v>
      </c>
      <c r="G112" t="str">
        <f>VLOOKUP(D112,Товары!A:I,3,0)</f>
        <v>Тумба с раковиной  напол. Рица 800 cерый/керамика 2 ящика с умыв. Слим</v>
      </c>
      <c r="H112">
        <f>VLOOKUP(D112,Товары!A:I,6,0)</f>
        <v>80</v>
      </c>
      <c r="I112" t="str">
        <f>VLOOKUP(C112,Магазины!A:C,3,0)</f>
        <v>Оренбург</v>
      </c>
      <c r="J112">
        <f>VLOOKUP(D112,Товары!A:I,4,0)</f>
        <v>28980</v>
      </c>
      <c r="K112">
        <f t="shared" si="1"/>
        <v>57960</v>
      </c>
    </row>
    <row r="113" spans="1:11" hidden="1" x14ac:dyDescent="0.25">
      <c r="A113">
        <v>112</v>
      </c>
      <c r="B113" s="1">
        <v>45751</v>
      </c>
      <c r="C113" t="s">
        <v>16</v>
      </c>
      <c r="D113" t="s">
        <v>39</v>
      </c>
      <c r="E113" t="s">
        <v>13</v>
      </c>
      <c r="F113">
        <v>1</v>
      </c>
      <c r="G113" t="str">
        <f>VLOOKUP(D113,Товары!A:I,3,0)</f>
        <v>Тумба с раковиной  напол. Альба 700 мята 2 ящика с умыв. Слим</v>
      </c>
      <c r="H113">
        <f>VLOOKUP(D113,Товары!A:I,6,0)</f>
        <v>85</v>
      </c>
      <c r="I113" t="str">
        <f>VLOOKUP(C113,Магазины!A:C,3,0)</f>
        <v>Оренбург</v>
      </c>
      <c r="J113">
        <f>VLOOKUP(D113,Товары!A:I,4,0)</f>
        <v>28695</v>
      </c>
      <c r="K113">
        <f t="shared" si="1"/>
        <v>28695</v>
      </c>
    </row>
    <row r="114" spans="1:11" hidden="1" x14ac:dyDescent="0.25">
      <c r="A114">
        <v>113</v>
      </c>
      <c r="B114" s="1">
        <v>45757</v>
      </c>
      <c r="C114" t="s">
        <v>57</v>
      </c>
      <c r="D114" t="s">
        <v>99</v>
      </c>
      <c r="E114" t="s">
        <v>13</v>
      </c>
      <c r="F114">
        <v>3</v>
      </c>
      <c r="G114" t="str">
        <f>VLOOKUP(D114,Товары!A:I,3,0)</f>
        <v>Тумба с раковиной  навес. Леон 600 оникс 2 ящика с умыв. Слим</v>
      </c>
      <c r="H114">
        <f>VLOOKUP(D114,Товары!A:I,6,0)</f>
        <v>60</v>
      </c>
      <c r="I114" t="str">
        <f>VLOOKUP(C114,Магазины!A:C,3,0)</f>
        <v>Оренбург</v>
      </c>
      <c r="J114">
        <f>VLOOKUP(D114,Товары!A:I,4,0)</f>
        <v>25125</v>
      </c>
      <c r="K114">
        <f t="shared" si="1"/>
        <v>75375</v>
      </c>
    </row>
    <row r="115" spans="1:11" hidden="1" x14ac:dyDescent="0.25">
      <c r="A115">
        <v>114</v>
      </c>
      <c r="B115" s="1">
        <v>45751</v>
      </c>
      <c r="C115" t="s">
        <v>43</v>
      </c>
      <c r="D115" t="s">
        <v>50</v>
      </c>
      <c r="E115" t="s">
        <v>8</v>
      </c>
      <c r="F115">
        <v>2</v>
      </c>
      <c r="G115" t="str">
        <f>VLOOKUP(D115,Товары!A:I,3,0)</f>
        <v>Тумба с раковиной  напол. Леон 800 оникс 2 ящика с умыв. Слим</v>
      </c>
      <c r="H115">
        <f>VLOOKUP(D115,Товары!A:I,6,0)</f>
        <v>80</v>
      </c>
      <c r="I115" t="str">
        <f>VLOOKUP(C115,Магазины!A:C,3,0)</f>
        <v>Набережные Челны</v>
      </c>
      <c r="J115">
        <f>VLOOKUP(D115,Товары!A:I,4,0)</f>
        <v>29400</v>
      </c>
      <c r="K115">
        <f t="shared" si="1"/>
        <v>58800</v>
      </c>
    </row>
    <row r="116" spans="1:11" hidden="1" x14ac:dyDescent="0.25">
      <c r="A116">
        <v>115</v>
      </c>
      <c r="B116" s="1">
        <v>45753</v>
      </c>
      <c r="C116" t="s">
        <v>22</v>
      </c>
      <c r="D116" t="s">
        <v>66</v>
      </c>
      <c r="E116" t="s">
        <v>8</v>
      </c>
      <c r="F116">
        <v>3</v>
      </c>
      <c r="G116" t="str">
        <f>VLOOKUP(D116,Товары!A:I,3,0)</f>
        <v>Тумба с раковиной  навес. Альба 800 мята 2 ящика с умыв. Слим</v>
      </c>
      <c r="H116">
        <f>VLOOKUP(D116,Товары!A:I,6,0)</f>
        <v>50</v>
      </c>
      <c r="I116" t="str">
        <f>VLOOKUP(C116,Магазины!A:C,3,0)</f>
        <v>Кемерово</v>
      </c>
      <c r="J116">
        <f>VLOOKUP(D116,Товары!A:I,4,0)</f>
        <v>26070</v>
      </c>
      <c r="K116">
        <f t="shared" si="1"/>
        <v>78210</v>
      </c>
    </row>
    <row r="117" spans="1:11" hidden="1" x14ac:dyDescent="0.25">
      <c r="A117">
        <v>116</v>
      </c>
      <c r="B117" s="1">
        <v>45751</v>
      </c>
      <c r="C117" t="s">
        <v>16</v>
      </c>
      <c r="D117" t="s">
        <v>88</v>
      </c>
      <c r="E117" t="s">
        <v>13</v>
      </c>
      <c r="F117">
        <v>3</v>
      </c>
      <c r="G117" t="str">
        <f>VLOOKUP(D117,Товары!A:I,3,0)</f>
        <v>Тумба с раковиной  навес. Альба 800 антрацит 2 ящика с умыв. Слим</v>
      </c>
      <c r="H117">
        <f>VLOOKUP(D117,Товары!A:I,6,0)</f>
        <v>50</v>
      </c>
      <c r="I117" t="str">
        <f>VLOOKUP(C117,Магазины!A:C,3,0)</f>
        <v>Оренбург</v>
      </c>
      <c r="J117">
        <f>VLOOKUP(D117,Товары!A:I,4,0)</f>
        <v>26070</v>
      </c>
      <c r="K117">
        <f t="shared" si="1"/>
        <v>78210</v>
      </c>
    </row>
    <row r="118" spans="1:11" hidden="1" x14ac:dyDescent="0.25">
      <c r="A118">
        <v>117</v>
      </c>
      <c r="B118" s="1">
        <v>45751</v>
      </c>
      <c r="C118" t="s">
        <v>6</v>
      </c>
      <c r="D118" t="s">
        <v>100</v>
      </c>
      <c r="E118" t="s">
        <v>13</v>
      </c>
      <c r="F118">
        <v>1</v>
      </c>
      <c r="G118" t="str">
        <f>VLOOKUP(D118,Товары!A:I,3,0)</f>
        <v>Тумба с раковиной  навес. Альба 800 мята 1 ящик с умыв. Слим</v>
      </c>
      <c r="H118">
        <f>VLOOKUP(D118,Товары!A:I,6,0)</f>
        <v>45</v>
      </c>
      <c r="I118" t="str">
        <f>VLOOKUP(C118,Магазины!A:C,3,0)</f>
        <v>Оренбург</v>
      </c>
      <c r="J118">
        <f>VLOOKUP(D118,Товары!A:I,4,0)</f>
        <v>21630</v>
      </c>
      <c r="K118">
        <f t="shared" si="1"/>
        <v>21630</v>
      </c>
    </row>
    <row r="119" spans="1:11" hidden="1" x14ac:dyDescent="0.25">
      <c r="A119">
        <v>118</v>
      </c>
      <c r="B119" s="1">
        <v>45753</v>
      </c>
      <c r="C119" t="s">
        <v>57</v>
      </c>
      <c r="D119" t="s">
        <v>101</v>
      </c>
      <c r="E119" t="s">
        <v>13</v>
      </c>
      <c r="F119">
        <v>1</v>
      </c>
      <c r="G119" t="str">
        <f>VLOOKUP(D119,Товары!A:I,3,0)</f>
        <v>Пенал напол. Сохо 400 белый 2 двери + 1 ящик</v>
      </c>
      <c r="H119">
        <f>VLOOKUP(D119,Товары!A:I,6,0)</f>
        <v>190</v>
      </c>
      <c r="I119" t="str">
        <f>VLOOKUP(C119,Магазины!A:C,3,0)</f>
        <v>Оренбург</v>
      </c>
      <c r="J119">
        <f>VLOOKUP(D119,Товары!A:I,4,0)</f>
        <v>11040</v>
      </c>
      <c r="K119">
        <f t="shared" si="1"/>
        <v>11040</v>
      </c>
    </row>
    <row r="120" spans="1:11" hidden="1" x14ac:dyDescent="0.25">
      <c r="A120">
        <v>119</v>
      </c>
      <c r="B120" s="1">
        <v>45757</v>
      </c>
      <c r="C120" t="s">
        <v>20</v>
      </c>
      <c r="D120" t="s">
        <v>39</v>
      </c>
      <c r="E120" t="s">
        <v>8</v>
      </c>
      <c r="F120">
        <v>1</v>
      </c>
      <c r="G120" t="str">
        <f>VLOOKUP(D120,Товары!A:I,3,0)</f>
        <v>Тумба с раковиной  напол. Альба 700 мята 2 ящика с умыв. Слим</v>
      </c>
      <c r="H120">
        <f>VLOOKUP(D120,Товары!A:I,6,0)</f>
        <v>85</v>
      </c>
      <c r="I120" t="str">
        <f>VLOOKUP(C120,Магазины!A:C,3,0)</f>
        <v>Оренбург</v>
      </c>
      <c r="J120">
        <f>VLOOKUP(D120,Товары!A:I,4,0)</f>
        <v>28695</v>
      </c>
      <c r="K120">
        <f t="shared" si="1"/>
        <v>28695</v>
      </c>
    </row>
    <row r="121" spans="1:11" hidden="1" x14ac:dyDescent="0.25">
      <c r="A121">
        <v>120</v>
      </c>
      <c r="B121" s="1">
        <v>45752</v>
      </c>
      <c r="C121" t="s">
        <v>30</v>
      </c>
      <c r="D121" t="s">
        <v>102</v>
      </c>
      <c r="E121" t="s">
        <v>13</v>
      </c>
      <c r="F121">
        <v>1</v>
      </c>
      <c r="G121" t="str">
        <f>VLOOKUP(D121,Товары!A:I,3,0)</f>
        <v>Тумба с раковиной  напол. Леон Риф 1000 солярис/белый риф 2 ящика с умыв. Слим</v>
      </c>
      <c r="H121">
        <f>VLOOKUP(D121,Товары!A:I,6,0)</f>
        <v>85</v>
      </c>
      <c r="I121" t="str">
        <f>VLOOKUP(C121,Магазины!A:C,3,0)</f>
        <v>Кемерово</v>
      </c>
      <c r="J121">
        <f>VLOOKUP(D121,Товары!A:I,4,0)</f>
        <v>32085</v>
      </c>
      <c r="K121">
        <f t="shared" si="1"/>
        <v>32085</v>
      </c>
    </row>
    <row r="122" spans="1:11" hidden="1" x14ac:dyDescent="0.25">
      <c r="A122">
        <v>121</v>
      </c>
      <c r="B122" s="1">
        <v>45757</v>
      </c>
      <c r="C122" t="s">
        <v>103</v>
      </c>
      <c r="D122" t="s">
        <v>49</v>
      </c>
      <c r="E122" t="s">
        <v>8</v>
      </c>
      <c r="F122">
        <v>3</v>
      </c>
      <c r="G122" t="str">
        <f>VLOOKUP(D122,Товары!A:I,3,0)</f>
        <v>Тумба с раковиной  напол. Леон 700 оникс 2 ящика с умыв. Слим</v>
      </c>
      <c r="H122">
        <f>VLOOKUP(D122,Товары!A:I,6,0)</f>
        <v>80</v>
      </c>
      <c r="I122" t="str">
        <f>VLOOKUP(C122,Магазины!A:C,3,0)</f>
        <v>Ставрополь</v>
      </c>
      <c r="J122">
        <f>VLOOKUP(D122,Товары!A:I,4,0)</f>
        <v>28380</v>
      </c>
      <c r="K122">
        <f t="shared" si="1"/>
        <v>85140</v>
      </c>
    </row>
    <row r="123" spans="1:11" hidden="1" x14ac:dyDescent="0.25">
      <c r="A123">
        <v>122</v>
      </c>
      <c r="B123" s="1">
        <v>45752</v>
      </c>
      <c r="C123" t="s">
        <v>33</v>
      </c>
      <c r="D123" t="s">
        <v>102</v>
      </c>
      <c r="E123" t="s">
        <v>13</v>
      </c>
      <c r="F123">
        <v>3</v>
      </c>
      <c r="G123" t="str">
        <f>VLOOKUP(D123,Товары!A:I,3,0)</f>
        <v>Тумба с раковиной  напол. Леон Риф 1000 солярис/белый риф 2 ящика с умыв. Слим</v>
      </c>
      <c r="H123">
        <f>VLOOKUP(D123,Товары!A:I,6,0)</f>
        <v>85</v>
      </c>
      <c r="I123" t="str">
        <f>VLOOKUP(C123,Магазины!A:C,3,0)</f>
        <v>Набережные Челны</v>
      </c>
      <c r="J123">
        <f>VLOOKUP(D123,Товары!A:I,4,0)</f>
        <v>32085</v>
      </c>
      <c r="K123">
        <f t="shared" si="1"/>
        <v>96255</v>
      </c>
    </row>
    <row r="124" spans="1:11" hidden="1" x14ac:dyDescent="0.25">
      <c r="A124">
        <v>123</v>
      </c>
      <c r="B124" s="1">
        <v>45754</v>
      </c>
      <c r="C124" t="s">
        <v>28</v>
      </c>
      <c r="D124" t="s">
        <v>21</v>
      </c>
      <c r="E124" t="s">
        <v>8</v>
      </c>
      <c r="F124">
        <v>2</v>
      </c>
      <c r="G124" t="str">
        <f>VLOOKUP(D124,Товары!A:I,3,0)</f>
        <v>Зеркальный шкаф Рица 60 со светильником правый цвет cерый/керамика</v>
      </c>
      <c r="H124">
        <f>VLOOKUP(D124,Товары!A:I,6,0)</f>
        <v>75</v>
      </c>
      <c r="I124" t="str">
        <f>VLOOKUP(C124,Магазины!A:C,3,0)</f>
        <v>Набережные Челны</v>
      </c>
      <c r="J124">
        <f>VLOOKUP(D124,Товары!A:I,4,0)</f>
        <v>8910</v>
      </c>
      <c r="K124">
        <f t="shared" si="1"/>
        <v>17820</v>
      </c>
    </row>
    <row r="125" spans="1:11" hidden="1" x14ac:dyDescent="0.25">
      <c r="A125">
        <v>124</v>
      </c>
      <c r="B125" s="1">
        <v>45756</v>
      </c>
      <c r="C125" t="s">
        <v>28</v>
      </c>
      <c r="D125" t="s">
        <v>70</v>
      </c>
      <c r="E125" t="s">
        <v>13</v>
      </c>
      <c r="F125">
        <v>3</v>
      </c>
      <c r="G125" t="str">
        <f>VLOOKUP(D125,Товары!A:I,3,0)</f>
        <v>Тумба с раковиной  напол. Кристалл 700 шато азур 2 ящика с умыв. Слим</v>
      </c>
      <c r="H125">
        <f>VLOOKUP(D125,Товары!A:I,6,0)</f>
        <v>85</v>
      </c>
      <c r="I125" t="str">
        <f>VLOOKUP(C125,Магазины!A:C,3,0)</f>
        <v>Набережные Челны</v>
      </c>
      <c r="J125">
        <f>VLOOKUP(D125,Товары!A:I,4,0)</f>
        <v>29910</v>
      </c>
      <c r="K125">
        <f t="shared" si="1"/>
        <v>89730</v>
      </c>
    </row>
    <row r="126" spans="1:11" hidden="1" x14ac:dyDescent="0.25">
      <c r="A126">
        <v>125</v>
      </c>
      <c r="B126" s="1">
        <v>45752</v>
      </c>
      <c r="C126" t="s">
        <v>33</v>
      </c>
      <c r="D126" t="s">
        <v>104</v>
      </c>
      <c r="E126" t="s">
        <v>13</v>
      </c>
      <c r="F126">
        <v>1</v>
      </c>
      <c r="G126" t="str">
        <f>VLOOKUP(D126,Товары!A:I,3,0)</f>
        <v>Тумба под стиральную машину Куба Риф 57 подвесная 2 ящика под ст/маш, без умывальника /под Marshall 120 Белый</v>
      </c>
      <c r="H126">
        <f>VLOOKUP(D126,Товары!A:I,6,0)</f>
        <v>50</v>
      </c>
      <c r="I126" t="str">
        <f>VLOOKUP(C126,Магазины!A:C,3,0)</f>
        <v>Набережные Челны</v>
      </c>
      <c r="J126">
        <f>VLOOKUP(D126,Товары!A:I,4,0)</f>
        <v>8505</v>
      </c>
      <c r="K126">
        <f t="shared" si="1"/>
        <v>8505</v>
      </c>
    </row>
    <row r="127" spans="1:11" hidden="1" x14ac:dyDescent="0.25">
      <c r="A127">
        <v>126</v>
      </c>
      <c r="B127" s="1">
        <v>45750</v>
      </c>
      <c r="C127" t="s">
        <v>18</v>
      </c>
      <c r="D127" t="s">
        <v>101</v>
      </c>
      <c r="E127" t="s">
        <v>8</v>
      </c>
      <c r="F127">
        <v>3</v>
      </c>
      <c r="G127" t="str">
        <f>VLOOKUP(D127,Товары!A:I,3,0)</f>
        <v>Пенал напол. Сохо 400 белый 2 двери + 1 ящик</v>
      </c>
      <c r="H127">
        <f>VLOOKUP(D127,Товары!A:I,6,0)</f>
        <v>190</v>
      </c>
      <c r="I127" t="str">
        <f>VLOOKUP(C127,Магазины!A:C,3,0)</f>
        <v>Набережные Челны</v>
      </c>
      <c r="J127">
        <f>VLOOKUP(D127,Товары!A:I,4,0)</f>
        <v>11040</v>
      </c>
      <c r="K127">
        <f t="shared" si="1"/>
        <v>33120</v>
      </c>
    </row>
    <row r="128" spans="1:11" hidden="1" x14ac:dyDescent="0.25">
      <c r="A128">
        <v>127</v>
      </c>
      <c r="B128" s="1">
        <v>45749</v>
      </c>
      <c r="C128" t="s">
        <v>58</v>
      </c>
      <c r="D128" t="s">
        <v>51</v>
      </c>
      <c r="E128" t="s">
        <v>8</v>
      </c>
      <c r="F128">
        <v>3</v>
      </c>
      <c r="G128" t="str">
        <f>VLOOKUP(D128,Товары!A:I,3,0)</f>
        <v>Зеркальный шкаф Альба 80 со светильником правый цвет суфле</v>
      </c>
      <c r="H128">
        <f>VLOOKUP(D128,Товары!A:I,6,0)</f>
        <v>75</v>
      </c>
      <c r="I128" t="str">
        <f>VLOOKUP(C128,Магазины!A:C,3,0)</f>
        <v>Ставрополь</v>
      </c>
      <c r="J128">
        <f>VLOOKUP(D128,Товары!A:I,4,0)</f>
        <v>9930</v>
      </c>
      <c r="K128">
        <f t="shared" si="1"/>
        <v>29790</v>
      </c>
    </row>
    <row r="129" spans="1:11" hidden="1" x14ac:dyDescent="0.25">
      <c r="A129">
        <v>128</v>
      </c>
      <c r="B129" s="1">
        <v>45750</v>
      </c>
      <c r="C129" t="s">
        <v>92</v>
      </c>
      <c r="D129" t="s">
        <v>73</v>
      </c>
      <c r="E129" t="s">
        <v>8</v>
      </c>
      <c r="F129">
        <v>3</v>
      </c>
      <c r="G129" t="str">
        <f>VLOOKUP(D129,Товары!A:I,3,0)</f>
        <v>Зеркальный шкаф Альба 70 со светильником правый цвет антрацит</v>
      </c>
      <c r="H129">
        <f>VLOOKUP(D129,Товары!A:I,6,0)</f>
        <v>75</v>
      </c>
      <c r="I129" t="str">
        <f>VLOOKUP(C129,Магазины!A:C,3,0)</f>
        <v>Кемерово</v>
      </c>
      <c r="J129">
        <f>VLOOKUP(D129,Товары!A:I,4,0)</f>
        <v>9615</v>
      </c>
      <c r="K129">
        <f t="shared" si="1"/>
        <v>28845</v>
      </c>
    </row>
    <row r="130" spans="1:11" hidden="1" x14ac:dyDescent="0.25">
      <c r="A130">
        <v>129</v>
      </c>
      <c r="B130" s="1">
        <v>45756</v>
      </c>
      <c r="C130" t="s">
        <v>48</v>
      </c>
      <c r="D130" t="s">
        <v>100</v>
      </c>
      <c r="E130" t="s">
        <v>8</v>
      </c>
      <c r="F130">
        <v>1</v>
      </c>
      <c r="G130" t="str">
        <f>VLOOKUP(D130,Товары!A:I,3,0)</f>
        <v>Тумба с раковиной  навес. Альба 800 мята 1 ящик с умыв. Слим</v>
      </c>
      <c r="H130">
        <f>VLOOKUP(D130,Товары!A:I,6,0)</f>
        <v>45</v>
      </c>
      <c r="I130" t="str">
        <f>VLOOKUP(C130,Магазины!A:C,3,0)</f>
        <v>Ставрополь</v>
      </c>
      <c r="J130">
        <f>VLOOKUP(D130,Товары!A:I,4,0)</f>
        <v>21630</v>
      </c>
      <c r="K130">
        <f t="shared" si="1"/>
        <v>21630</v>
      </c>
    </row>
    <row r="131" spans="1:11" hidden="1" x14ac:dyDescent="0.25">
      <c r="A131">
        <v>130</v>
      </c>
      <c r="B131" s="1">
        <v>45750</v>
      </c>
      <c r="C131" t="s">
        <v>6</v>
      </c>
      <c r="D131" t="s">
        <v>105</v>
      </c>
      <c r="E131" t="s">
        <v>8</v>
      </c>
      <c r="F131">
        <v>1</v>
      </c>
      <c r="G131" t="str">
        <f>VLOOKUP(D131,Товары!A:I,3,0)</f>
        <v>Тумба с раковиной  напол. Нева 600 белый 2 двери + 1 ящик с умыв. Como</v>
      </c>
      <c r="H131">
        <f>VLOOKUP(D131,Товары!A:I,6,0)</f>
        <v>80</v>
      </c>
      <c r="I131" t="str">
        <f>VLOOKUP(C131,Магазины!A:C,3,0)</f>
        <v>Оренбург</v>
      </c>
      <c r="J131">
        <f>VLOOKUP(D131,Товары!A:I,4,0)</f>
        <v>13470</v>
      </c>
      <c r="K131">
        <f t="shared" ref="K131:K194" si="2">J131*F131</f>
        <v>13470</v>
      </c>
    </row>
    <row r="132" spans="1:11" hidden="1" x14ac:dyDescent="0.25">
      <c r="A132">
        <v>131</v>
      </c>
      <c r="B132" s="1">
        <v>45750</v>
      </c>
      <c r="C132" t="s">
        <v>16</v>
      </c>
      <c r="D132" t="s">
        <v>53</v>
      </c>
      <c r="E132" t="s">
        <v>8</v>
      </c>
      <c r="F132">
        <v>1</v>
      </c>
      <c r="G132" t="str">
        <f>VLOOKUP(D132,Товары!A:I,3,0)</f>
        <v>Тумба с раковиной  напол. Кристалл 600 шато азур 2 ящика с умыв. Океан</v>
      </c>
      <c r="H132">
        <f>VLOOKUP(D132,Товары!A:I,6,0)</f>
        <v>85</v>
      </c>
      <c r="I132" t="str">
        <f>VLOOKUP(C132,Магазины!A:C,3,0)</f>
        <v>Оренбург</v>
      </c>
      <c r="J132">
        <f>VLOOKUP(D132,Товары!A:I,4,0)</f>
        <v>27600</v>
      </c>
      <c r="K132">
        <f t="shared" si="2"/>
        <v>27600</v>
      </c>
    </row>
    <row r="133" spans="1:11" hidden="1" x14ac:dyDescent="0.25">
      <c r="A133">
        <v>132</v>
      </c>
      <c r="B133" s="1">
        <v>45750</v>
      </c>
      <c r="C133" t="s">
        <v>6</v>
      </c>
      <c r="D133" t="s">
        <v>106</v>
      </c>
      <c r="E133" t="s">
        <v>8</v>
      </c>
      <c r="F133">
        <v>3</v>
      </c>
      <c r="G133" t="str">
        <f>VLOOKUP(D133,Товары!A:I,3,0)</f>
        <v>Тумба с раковиной  навес. Кристалл 700 шато азур 2 ящика с умыв. Слим</v>
      </c>
      <c r="H133">
        <f>VLOOKUP(D133,Товары!A:I,6,0)</f>
        <v>60</v>
      </c>
      <c r="I133" t="str">
        <f>VLOOKUP(C133,Магазины!A:C,3,0)</f>
        <v>Оренбург</v>
      </c>
      <c r="J133">
        <f>VLOOKUP(D133,Товары!A:I,4,0)</f>
        <v>24150</v>
      </c>
      <c r="K133">
        <f t="shared" si="2"/>
        <v>72450</v>
      </c>
    </row>
    <row r="134" spans="1:11" hidden="1" x14ac:dyDescent="0.25">
      <c r="A134">
        <v>133</v>
      </c>
      <c r="B134" s="1">
        <v>45751</v>
      </c>
      <c r="C134" t="s">
        <v>28</v>
      </c>
      <c r="D134" t="s">
        <v>84</v>
      </c>
      <c r="E134" t="s">
        <v>13</v>
      </c>
      <c r="F134">
        <v>3</v>
      </c>
      <c r="G134" t="str">
        <f>VLOOKUP(D134,Товары!A:I,3,0)</f>
        <v>Тумба с раковиной  напол. Куба Риф 800 белый 3 двери с умыв. Слим</v>
      </c>
      <c r="H134">
        <f>VLOOKUP(D134,Товары!A:I,6,0)</f>
        <v>85</v>
      </c>
      <c r="I134" t="str">
        <f>VLOOKUP(C134,Магазины!A:C,3,0)</f>
        <v>Набережные Челны</v>
      </c>
      <c r="J134">
        <f>VLOOKUP(D134,Товары!A:I,4,0)</f>
        <v>19920</v>
      </c>
      <c r="K134">
        <f t="shared" si="2"/>
        <v>59760</v>
      </c>
    </row>
    <row r="135" spans="1:11" hidden="1" x14ac:dyDescent="0.25">
      <c r="A135">
        <v>134</v>
      </c>
      <c r="B135" s="1">
        <v>45757</v>
      </c>
      <c r="C135" t="s">
        <v>6</v>
      </c>
      <c r="D135" t="s">
        <v>34</v>
      </c>
      <c r="E135" t="s">
        <v>8</v>
      </c>
      <c r="F135">
        <v>1</v>
      </c>
      <c r="G135" t="str">
        <f>VLOOKUP(D135,Товары!A:I,3,0)</f>
        <v>Тумба с раковиной  навес. Леон 700 форест 2 ящика с умыв. Слим</v>
      </c>
      <c r="H135">
        <f>VLOOKUP(D135,Товары!A:I,6,0)</f>
        <v>60</v>
      </c>
      <c r="I135" t="str">
        <f>VLOOKUP(C135,Магазины!A:C,3,0)</f>
        <v>Оренбург</v>
      </c>
      <c r="J135">
        <f>VLOOKUP(D135,Товары!A:I,4,0)</f>
        <v>26220</v>
      </c>
      <c r="K135">
        <f t="shared" si="2"/>
        <v>26220</v>
      </c>
    </row>
    <row r="136" spans="1:11" hidden="1" x14ac:dyDescent="0.25">
      <c r="A136">
        <v>135</v>
      </c>
      <c r="B136" s="1">
        <v>45755</v>
      </c>
      <c r="C136" t="s">
        <v>28</v>
      </c>
      <c r="D136" t="s">
        <v>51</v>
      </c>
      <c r="E136" t="s">
        <v>13</v>
      </c>
      <c r="F136">
        <v>1</v>
      </c>
      <c r="G136" t="str">
        <f>VLOOKUP(D136,Товары!A:I,3,0)</f>
        <v>Зеркальный шкаф Альба 80 со светильником правый цвет суфле</v>
      </c>
      <c r="H136">
        <f>VLOOKUP(D136,Товары!A:I,6,0)</f>
        <v>75</v>
      </c>
      <c r="I136" t="str">
        <f>VLOOKUP(C136,Магазины!A:C,3,0)</f>
        <v>Набережные Челны</v>
      </c>
      <c r="J136">
        <f>VLOOKUP(D136,Товары!A:I,4,0)</f>
        <v>9930</v>
      </c>
      <c r="K136">
        <f t="shared" si="2"/>
        <v>9930</v>
      </c>
    </row>
    <row r="137" spans="1:11" hidden="1" x14ac:dyDescent="0.25">
      <c r="A137">
        <v>136</v>
      </c>
      <c r="B137" s="1">
        <v>45749</v>
      </c>
      <c r="C137" t="s">
        <v>14</v>
      </c>
      <c r="D137" t="s">
        <v>104</v>
      </c>
      <c r="E137" t="s">
        <v>8</v>
      </c>
      <c r="F137">
        <v>1</v>
      </c>
      <c r="G137" t="str">
        <f>VLOOKUP(D137,Товары!A:I,3,0)</f>
        <v>Тумба под стиральную машину Куба Риф 57 подвесная 2 ящика под ст/маш, без умывальника /под Marshall 120 Белый</v>
      </c>
      <c r="H137">
        <f>VLOOKUP(D137,Товары!A:I,6,0)</f>
        <v>50</v>
      </c>
      <c r="I137" t="str">
        <f>VLOOKUP(C137,Магазины!A:C,3,0)</f>
        <v>Оренбург</v>
      </c>
      <c r="J137">
        <f>VLOOKUP(D137,Товары!A:I,4,0)</f>
        <v>8505</v>
      </c>
      <c r="K137">
        <f t="shared" si="2"/>
        <v>8505</v>
      </c>
    </row>
    <row r="138" spans="1:11" hidden="1" x14ac:dyDescent="0.25">
      <c r="A138">
        <v>137</v>
      </c>
      <c r="B138" s="1">
        <v>45756</v>
      </c>
      <c r="C138" t="s">
        <v>57</v>
      </c>
      <c r="D138" t="s">
        <v>44</v>
      </c>
      <c r="E138" t="s">
        <v>8</v>
      </c>
      <c r="F138">
        <v>3</v>
      </c>
      <c r="G138" t="str">
        <f>VLOOKUP(D138,Товары!A:I,3,0)</f>
        <v>Тумба с раковиной  навес. Кристалл 800 шато азур 2 ящика с умыв. Комфорт</v>
      </c>
      <c r="H138">
        <f>VLOOKUP(D138,Товары!A:I,6,0)</f>
        <v>55</v>
      </c>
      <c r="I138" t="str">
        <f>VLOOKUP(C138,Магазины!A:C,3,0)</f>
        <v>Оренбург</v>
      </c>
      <c r="J138">
        <f>VLOOKUP(D138,Товары!A:I,4,0)</f>
        <v>25080</v>
      </c>
      <c r="K138">
        <f t="shared" si="2"/>
        <v>75240</v>
      </c>
    </row>
    <row r="139" spans="1:11" hidden="1" x14ac:dyDescent="0.25">
      <c r="A139">
        <v>138</v>
      </c>
      <c r="B139" s="1">
        <v>45751</v>
      </c>
      <c r="C139" t="s">
        <v>43</v>
      </c>
      <c r="D139" t="s">
        <v>107</v>
      </c>
      <c r="E139" t="s">
        <v>13</v>
      </c>
      <c r="F139">
        <v>1</v>
      </c>
      <c r="G139" t="str">
        <f>VLOOKUP(D139,Товары!A:I,3,0)</f>
        <v>Комод Аква 35 напольный 1 дверь белый правый</v>
      </c>
      <c r="H139">
        <f>VLOOKUP(D139,Товары!A:I,6,0)</f>
        <v>90</v>
      </c>
      <c r="I139" t="str">
        <f>VLOOKUP(C139,Магазины!A:C,3,0)</f>
        <v>Набережные Челны</v>
      </c>
      <c r="J139">
        <f>VLOOKUP(D139,Товары!A:I,4,0)</f>
        <v>6705</v>
      </c>
      <c r="K139">
        <f t="shared" si="2"/>
        <v>6705</v>
      </c>
    </row>
    <row r="140" spans="1:11" hidden="1" x14ac:dyDescent="0.25">
      <c r="A140">
        <v>139</v>
      </c>
      <c r="B140" s="1">
        <v>45751</v>
      </c>
      <c r="C140" t="s">
        <v>54</v>
      </c>
      <c r="D140" t="s">
        <v>70</v>
      </c>
      <c r="E140" t="s">
        <v>13</v>
      </c>
      <c r="F140">
        <v>3</v>
      </c>
      <c r="G140" t="str">
        <f>VLOOKUP(D140,Товары!A:I,3,0)</f>
        <v>Тумба с раковиной  напол. Кристалл 700 шато азур 2 ящика с умыв. Слим</v>
      </c>
      <c r="H140">
        <f>VLOOKUP(D140,Товары!A:I,6,0)</f>
        <v>85</v>
      </c>
      <c r="I140" t="str">
        <f>VLOOKUP(C140,Магазины!A:C,3,0)</f>
        <v>Ставрополь</v>
      </c>
      <c r="J140">
        <f>VLOOKUP(D140,Товары!A:I,4,0)</f>
        <v>29910</v>
      </c>
      <c r="K140">
        <f t="shared" si="2"/>
        <v>89730</v>
      </c>
    </row>
    <row r="141" spans="1:11" hidden="1" x14ac:dyDescent="0.25">
      <c r="A141">
        <v>140</v>
      </c>
      <c r="B141" s="1">
        <v>45750</v>
      </c>
      <c r="C141" t="s">
        <v>33</v>
      </c>
      <c r="D141" t="s">
        <v>64</v>
      </c>
      <c r="E141" t="s">
        <v>8</v>
      </c>
      <c r="F141">
        <v>2</v>
      </c>
      <c r="G141" t="str">
        <f>VLOOKUP(D141,Товары!A:I,3,0)</f>
        <v>Тумба с раковиной  напол. Рица 800 антрацит 2 ящика с умыв. Слим</v>
      </c>
      <c r="H141">
        <f>VLOOKUP(D141,Товары!A:I,6,0)</f>
        <v>80</v>
      </c>
      <c r="I141" t="str">
        <f>VLOOKUP(C141,Магазины!A:C,3,0)</f>
        <v>Набережные Челны</v>
      </c>
      <c r="J141">
        <f>VLOOKUP(D141,Товары!A:I,4,0)</f>
        <v>28980</v>
      </c>
      <c r="K141">
        <f t="shared" si="2"/>
        <v>57960</v>
      </c>
    </row>
    <row r="142" spans="1:11" hidden="1" x14ac:dyDescent="0.25">
      <c r="A142">
        <v>141</v>
      </c>
      <c r="B142" s="1">
        <v>45748</v>
      </c>
      <c r="C142" t="s">
        <v>18</v>
      </c>
      <c r="D142" t="s">
        <v>96</v>
      </c>
      <c r="E142" t="s">
        <v>13</v>
      </c>
      <c r="F142">
        <v>1</v>
      </c>
      <c r="G142" t="str">
        <f>VLOOKUP(D142,Товары!A:I,3,0)</f>
        <v>Тумба с раковиной  навес. Альба 600 мята 1 ящик с умыв. Океан</v>
      </c>
      <c r="H142">
        <f>VLOOKUP(D142,Товары!A:I,6,0)</f>
        <v>85</v>
      </c>
      <c r="I142" t="str">
        <f>VLOOKUP(C142,Магазины!A:C,3,0)</f>
        <v>Набережные Челны</v>
      </c>
      <c r="J142">
        <f>VLOOKUP(D142,Товары!A:I,4,0)</f>
        <v>17625</v>
      </c>
      <c r="K142">
        <f t="shared" si="2"/>
        <v>17625</v>
      </c>
    </row>
    <row r="143" spans="1:11" hidden="1" x14ac:dyDescent="0.25">
      <c r="A143">
        <v>142</v>
      </c>
      <c r="B143" s="1">
        <v>45750</v>
      </c>
      <c r="C143" t="s">
        <v>16</v>
      </c>
      <c r="D143" t="s">
        <v>29</v>
      </c>
      <c r="E143" t="s">
        <v>8</v>
      </c>
      <c r="F143">
        <v>3</v>
      </c>
      <c r="G143" t="str">
        <f>VLOOKUP(D143,Товары!A:I,3,0)</f>
        <v>Тумба с раковиной  напол. Леон Риф 600 солярис/белый риф 2 ящика с умыв. Океан</v>
      </c>
      <c r="H143">
        <f>VLOOKUP(D143,Товары!A:I,6,0)</f>
        <v>80</v>
      </c>
      <c r="I143" t="str">
        <f>VLOOKUP(C143,Магазины!A:C,3,0)</f>
        <v>Оренбург</v>
      </c>
      <c r="J143">
        <f>VLOOKUP(D143,Товары!A:I,4,0)</f>
        <v>24150</v>
      </c>
      <c r="K143">
        <f t="shared" si="2"/>
        <v>72450</v>
      </c>
    </row>
    <row r="144" spans="1:11" hidden="1" x14ac:dyDescent="0.25">
      <c r="A144">
        <v>143</v>
      </c>
      <c r="B144" s="1">
        <v>45753</v>
      </c>
      <c r="C144" t="s">
        <v>9</v>
      </c>
      <c r="D144" t="s">
        <v>80</v>
      </c>
      <c r="E144" t="s">
        <v>8</v>
      </c>
      <c r="F144">
        <v>3</v>
      </c>
      <c r="G144" t="str">
        <f>VLOOKUP(D144,Товары!A:I,3,0)</f>
        <v>Тумба с раковиной  навес. Сохо 600 белый 2 ящика с умыв. Океан</v>
      </c>
      <c r="H144">
        <f>VLOOKUP(D144,Товары!A:I,6,0)</f>
        <v>55</v>
      </c>
      <c r="I144" t="str">
        <f>VLOOKUP(C144,Магазины!A:C,3,0)</f>
        <v>Кемерово</v>
      </c>
      <c r="J144">
        <f>VLOOKUP(D144,Товары!A:I,4,0)</f>
        <v>13950</v>
      </c>
      <c r="K144">
        <f t="shared" si="2"/>
        <v>41850</v>
      </c>
    </row>
    <row r="145" spans="1:11" hidden="1" x14ac:dyDescent="0.25">
      <c r="A145">
        <v>144</v>
      </c>
      <c r="B145" s="1">
        <v>45753</v>
      </c>
      <c r="C145" t="s">
        <v>54</v>
      </c>
      <c r="D145" t="s">
        <v>104</v>
      </c>
      <c r="E145" t="s">
        <v>8</v>
      </c>
      <c r="F145">
        <v>1</v>
      </c>
      <c r="G145" t="str">
        <f>VLOOKUP(D145,Товары!A:I,3,0)</f>
        <v>Тумба под стиральную машину Куба Риф 57 подвесная 2 ящика под ст/маш, без умывальника /под Marshall 120 Белый</v>
      </c>
      <c r="H145">
        <f>VLOOKUP(D145,Товары!A:I,6,0)</f>
        <v>50</v>
      </c>
      <c r="I145" t="str">
        <f>VLOOKUP(C145,Магазины!A:C,3,0)</f>
        <v>Ставрополь</v>
      </c>
      <c r="J145">
        <f>VLOOKUP(D145,Товары!A:I,4,0)</f>
        <v>8505</v>
      </c>
      <c r="K145">
        <f t="shared" si="2"/>
        <v>8505</v>
      </c>
    </row>
    <row r="146" spans="1:11" hidden="1" x14ac:dyDescent="0.25">
      <c r="A146">
        <v>145</v>
      </c>
      <c r="B146" s="1">
        <v>45754</v>
      </c>
      <c r="C146" t="s">
        <v>22</v>
      </c>
      <c r="D146" t="s">
        <v>44</v>
      </c>
      <c r="E146" t="s">
        <v>13</v>
      </c>
      <c r="F146">
        <v>1</v>
      </c>
      <c r="G146" t="str">
        <f>VLOOKUP(D146,Товары!A:I,3,0)</f>
        <v>Тумба с раковиной  навес. Кристалл 800 шато азур 2 ящика с умыв. Комфорт</v>
      </c>
      <c r="H146">
        <f>VLOOKUP(D146,Товары!A:I,6,0)</f>
        <v>55</v>
      </c>
      <c r="I146" t="str">
        <f>VLOOKUP(C146,Магазины!A:C,3,0)</f>
        <v>Кемерово</v>
      </c>
      <c r="J146">
        <f>VLOOKUP(D146,Товары!A:I,4,0)</f>
        <v>25080</v>
      </c>
      <c r="K146">
        <f t="shared" si="2"/>
        <v>25080</v>
      </c>
    </row>
    <row r="147" spans="1:11" hidden="1" x14ac:dyDescent="0.25">
      <c r="A147">
        <v>146</v>
      </c>
      <c r="B147" s="1">
        <v>45749</v>
      </c>
      <c r="C147" t="s">
        <v>58</v>
      </c>
      <c r="D147" t="s">
        <v>102</v>
      </c>
      <c r="E147" t="s">
        <v>8</v>
      </c>
      <c r="F147">
        <v>1</v>
      </c>
      <c r="G147" t="str">
        <f>VLOOKUP(D147,Товары!A:I,3,0)</f>
        <v>Тумба с раковиной  напол. Леон Риф 1000 солярис/белый риф 2 ящика с умыв. Слим</v>
      </c>
      <c r="H147">
        <f>VLOOKUP(D147,Товары!A:I,6,0)</f>
        <v>85</v>
      </c>
      <c r="I147" t="str">
        <f>VLOOKUP(C147,Магазины!A:C,3,0)</f>
        <v>Ставрополь</v>
      </c>
      <c r="J147">
        <f>VLOOKUP(D147,Товары!A:I,4,0)</f>
        <v>32085</v>
      </c>
      <c r="K147">
        <f t="shared" si="2"/>
        <v>32085</v>
      </c>
    </row>
    <row r="148" spans="1:11" hidden="1" x14ac:dyDescent="0.25">
      <c r="A148">
        <v>147</v>
      </c>
      <c r="B148" s="1">
        <v>45753</v>
      </c>
      <c r="C148" t="s">
        <v>6</v>
      </c>
      <c r="D148" t="s">
        <v>104</v>
      </c>
      <c r="E148" t="s">
        <v>8</v>
      </c>
      <c r="F148">
        <v>2</v>
      </c>
      <c r="G148" t="str">
        <f>VLOOKUP(D148,Товары!A:I,3,0)</f>
        <v>Тумба под стиральную машину Куба Риф 57 подвесная 2 ящика под ст/маш, без умывальника /под Marshall 120 Белый</v>
      </c>
      <c r="H148">
        <f>VLOOKUP(D148,Товары!A:I,6,0)</f>
        <v>50</v>
      </c>
      <c r="I148" t="str">
        <f>VLOOKUP(C148,Магазины!A:C,3,0)</f>
        <v>Оренбург</v>
      </c>
      <c r="J148">
        <f>VLOOKUP(D148,Товары!A:I,4,0)</f>
        <v>8505</v>
      </c>
      <c r="K148">
        <f t="shared" si="2"/>
        <v>17010</v>
      </c>
    </row>
    <row r="149" spans="1:11" hidden="1" x14ac:dyDescent="0.25">
      <c r="A149">
        <v>148</v>
      </c>
      <c r="B149" s="1">
        <v>45755</v>
      </c>
      <c r="C149" t="s">
        <v>28</v>
      </c>
      <c r="D149" t="s">
        <v>65</v>
      </c>
      <c r="E149" t="s">
        <v>13</v>
      </c>
      <c r="F149">
        <v>2</v>
      </c>
      <c r="G149" t="str">
        <f>VLOOKUP(D149,Товары!A:I,3,0)</f>
        <v>Тумба с раковиной  навес. Альба 800 суфле 2 ящика с умыв. Слим</v>
      </c>
      <c r="H149">
        <f>VLOOKUP(D149,Товары!A:I,6,0)</f>
        <v>50</v>
      </c>
      <c r="I149" t="str">
        <f>VLOOKUP(C149,Магазины!A:C,3,0)</f>
        <v>Набережные Челны</v>
      </c>
      <c r="J149">
        <f>VLOOKUP(D149,Товары!A:I,4,0)</f>
        <v>26070</v>
      </c>
      <c r="K149">
        <f t="shared" si="2"/>
        <v>52140</v>
      </c>
    </row>
    <row r="150" spans="1:11" hidden="1" x14ac:dyDescent="0.25">
      <c r="A150">
        <v>149</v>
      </c>
      <c r="B150" s="1">
        <v>45757</v>
      </c>
      <c r="C150" t="s">
        <v>35</v>
      </c>
      <c r="D150" t="s">
        <v>36</v>
      </c>
      <c r="E150" t="s">
        <v>13</v>
      </c>
      <c r="F150">
        <v>1</v>
      </c>
      <c r="G150" t="str">
        <f>VLOOKUP(D150,Товары!A:I,3,0)</f>
        <v>Тумба с раковиной  напол. Альба 800 мята 2 ящика с умыв. Слим</v>
      </c>
      <c r="H150">
        <f>VLOOKUP(D150,Товары!A:I,6,0)</f>
        <v>80</v>
      </c>
      <c r="I150" t="str">
        <f>VLOOKUP(C150,Магазины!A:C,3,0)</f>
        <v>Набережные Челны</v>
      </c>
      <c r="J150">
        <f>VLOOKUP(D150,Товары!A:I,4,0)</f>
        <v>29340</v>
      </c>
      <c r="K150">
        <f t="shared" si="2"/>
        <v>29340</v>
      </c>
    </row>
    <row r="151" spans="1:11" hidden="1" x14ac:dyDescent="0.25">
      <c r="A151">
        <v>150</v>
      </c>
      <c r="B151" s="1">
        <v>45755</v>
      </c>
      <c r="C151" t="s">
        <v>9</v>
      </c>
      <c r="D151" t="s">
        <v>78</v>
      </c>
      <c r="E151" t="s">
        <v>13</v>
      </c>
      <c r="F151">
        <v>3</v>
      </c>
      <c r="G151" t="str">
        <f>VLOOKUP(D151,Товары!A:I,3,0)</f>
        <v>Зеркальный шкаф Кристалл 70 со светильником правый, ручка кнопка дуб цвет Шато Азур</v>
      </c>
      <c r="H151">
        <f>VLOOKUP(D151,Товары!A:I,6,0)</f>
        <v>75</v>
      </c>
      <c r="I151" t="str">
        <f>VLOOKUP(C151,Магазины!A:C,3,0)</f>
        <v>Кемерово</v>
      </c>
      <c r="J151">
        <f>VLOOKUP(D151,Товары!A:I,4,0)</f>
        <v>9615</v>
      </c>
      <c r="K151">
        <f t="shared" si="2"/>
        <v>28845</v>
      </c>
    </row>
    <row r="152" spans="1:11" hidden="1" x14ac:dyDescent="0.25">
      <c r="A152">
        <v>151</v>
      </c>
      <c r="B152" s="1">
        <v>45751</v>
      </c>
      <c r="C152" t="s">
        <v>28</v>
      </c>
      <c r="D152" t="s">
        <v>83</v>
      </c>
      <c r="E152" t="s">
        <v>13</v>
      </c>
      <c r="F152">
        <v>3</v>
      </c>
      <c r="G152" t="str">
        <f>VLOOKUP(D152,Товары!A:I,3,0)</f>
        <v>Зеркальный шкаф Альба 60 со светильником правый цвет суфле</v>
      </c>
      <c r="H152">
        <f>VLOOKUP(D152,Товары!A:I,6,0)</f>
        <v>75</v>
      </c>
      <c r="I152" t="str">
        <f>VLOOKUP(C152,Магазины!A:C,3,0)</f>
        <v>Набережные Челны</v>
      </c>
      <c r="J152">
        <f>VLOOKUP(D152,Товары!A:I,4,0)</f>
        <v>8910</v>
      </c>
      <c r="K152">
        <f t="shared" si="2"/>
        <v>26730</v>
      </c>
    </row>
    <row r="153" spans="1:11" hidden="1" x14ac:dyDescent="0.25">
      <c r="A153">
        <v>152</v>
      </c>
      <c r="B153" s="1">
        <v>45756</v>
      </c>
      <c r="C153" t="s">
        <v>26</v>
      </c>
      <c r="D153" t="s">
        <v>90</v>
      </c>
      <c r="E153" t="s">
        <v>13</v>
      </c>
      <c r="F153">
        <v>1</v>
      </c>
      <c r="G153" t="str">
        <f>VLOOKUP(D153,Товары!A:I,3,0)</f>
        <v>Пенал напол. Аква 350 белый 2 двери + 2 ящика</v>
      </c>
      <c r="H153">
        <f>VLOOKUP(D153,Товары!A:I,6,0)</f>
        <v>190</v>
      </c>
      <c r="I153" t="str">
        <f>VLOOKUP(C153,Магазины!A:C,3,0)</f>
        <v>Оренбург</v>
      </c>
      <c r="J153">
        <f>VLOOKUP(D153,Товары!A:I,4,0)</f>
        <v>10650</v>
      </c>
      <c r="K153">
        <f t="shared" si="2"/>
        <v>10650</v>
      </c>
    </row>
    <row r="154" spans="1:11" hidden="1" x14ac:dyDescent="0.25">
      <c r="A154">
        <v>153</v>
      </c>
      <c r="B154" s="1">
        <v>45757</v>
      </c>
      <c r="C154" t="s">
        <v>43</v>
      </c>
      <c r="D154" t="s">
        <v>100</v>
      </c>
      <c r="E154" t="s">
        <v>8</v>
      </c>
      <c r="F154">
        <v>1</v>
      </c>
      <c r="G154" t="str">
        <f>VLOOKUP(D154,Товары!A:I,3,0)</f>
        <v>Тумба с раковиной  навес. Альба 800 мята 1 ящик с умыв. Слим</v>
      </c>
      <c r="H154">
        <f>VLOOKUP(D154,Товары!A:I,6,0)</f>
        <v>45</v>
      </c>
      <c r="I154" t="str">
        <f>VLOOKUP(C154,Магазины!A:C,3,0)</f>
        <v>Набережные Челны</v>
      </c>
      <c r="J154">
        <f>VLOOKUP(D154,Товары!A:I,4,0)</f>
        <v>21630</v>
      </c>
      <c r="K154">
        <f t="shared" si="2"/>
        <v>21630</v>
      </c>
    </row>
    <row r="155" spans="1:11" hidden="1" x14ac:dyDescent="0.25">
      <c r="A155">
        <v>154</v>
      </c>
      <c r="B155" s="1">
        <v>45755</v>
      </c>
      <c r="C155" t="s">
        <v>57</v>
      </c>
      <c r="D155" t="s">
        <v>81</v>
      </c>
      <c r="E155" t="s">
        <v>8</v>
      </c>
      <c r="F155">
        <v>1</v>
      </c>
      <c r="G155" t="str">
        <f>VLOOKUP(D155,Товары!A:I,3,0)</f>
        <v>Тумба с раковиной  навес. Рица 600 cерый/керамика 1 ящик + ниша 1 с умыв. Океан</v>
      </c>
      <c r="H155">
        <f>VLOOKUP(D155,Товары!A:I,6,0)</f>
        <v>60</v>
      </c>
      <c r="I155" t="str">
        <f>VLOOKUP(C155,Магазины!A:C,3,0)</f>
        <v>Оренбург</v>
      </c>
      <c r="J155">
        <f>VLOOKUP(D155,Товары!A:I,4,0)</f>
        <v>18900</v>
      </c>
      <c r="K155">
        <f t="shared" si="2"/>
        <v>18900</v>
      </c>
    </row>
    <row r="156" spans="1:11" hidden="1" x14ac:dyDescent="0.25">
      <c r="A156">
        <v>155</v>
      </c>
      <c r="B156" s="1">
        <v>45753</v>
      </c>
      <c r="C156" t="s">
        <v>33</v>
      </c>
      <c r="D156" t="s">
        <v>39</v>
      </c>
      <c r="E156" t="s">
        <v>8</v>
      </c>
      <c r="F156">
        <v>2</v>
      </c>
      <c r="G156" t="str">
        <f>VLOOKUP(D156,Товары!A:I,3,0)</f>
        <v>Тумба с раковиной  напол. Альба 700 мята 2 ящика с умыв. Слим</v>
      </c>
      <c r="H156">
        <f>VLOOKUP(D156,Товары!A:I,6,0)</f>
        <v>85</v>
      </c>
      <c r="I156" t="str">
        <f>VLOOKUP(C156,Магазины!A:C,3,0)</f>
        <v>Набережные Челны</v>
      </c>
      <c r="J156">
        <f>VLOOKUP(D156,Товары!A:I,4,0)</f>
        <v>28695</v>
      </c>
      <c r="K156">
        <f t="shared" si="2"/>
        <v>57390</v>
      </c>
    </row>
    <row r="157" spans="1:11" hidden="1" x14ac:dyDescent="0.25">
      <c r="A157">
        <v>156</v>
      </c>
      <c r="B157" s="1">
        <v>45756</v>
      </c>
      <c r="C157" t="s">
        <v>11</v>
      </c>
      <c r="D157" t="s">
        <v>108</v>
      </c>
      <c r="E157" t="s">
        <v>8</v>
      </c>
      <c r="F157">
        <v>3</v>
      </c>
      <c r="G157" t="str">
        <f>VLOOKUP(D157,Товары!A:I,3,0)</f>
        <v>Тумба с раковиной  навес. Виктория 1000 белый 2 ящика с умыв. Слим</v>
      </c>
      <c r="H157">
        <f>VLOOKUP(D157,Товары!A:I,6,0)</f>
        <v>60</v>
      </c>
      <c r="I157" t="str">
        <f>VLOOKUP(C157,Магазины!A:C,3,0)</f>
        <v>Кемерово</v>
      </c>
      <c r="J157">
        <f>VLOOKUP(D157,Товары!A:I,4,0)</f>
        <v>29205</v>
      </c>
      <c r="K157">
        <f t="shared" si="2"/>
        <v>87615</v>
      </c>
    </row>
    <row r="158" spans="1:11" hidden="1" x14ac:dyDescent="0.25">
      <c r="A158">
        <v>157</v>
      </c>
      <c r="B158" s="1">
        <v>45754</v>
      </c>
      <c r="C158" t="s">
        <v>41</v>
      </c>
      <c r="D158" t="s">
        <v>25</v>
      </c>
      <c r="E158" t="s">
        <v>13</v>
      </c>
      <c r="F158">
        <v>3</v>
      </c>
      <c r="G158" t="str">
        <f>VLOOKUP(D158,Товары!A:I,3,0)</f>
        <v>Пенал напол. Леон 400 оникс 2 двери + 1 ящик</v>
      </c>
      <c r="H158">
        <f>VLOOKUP(D158,Товары!A:I,6,0)</f>
        <v>190</v>
      </c>
      <c r="I158" t="str">
        <f>VLOOKUP(C158,Магазины!A:C,3,0)</f>
        <v>Ставрополь</v>
      </c>
      <c r="J158">
        <f>VLOOKUP(D158,Товары!A:I,4,0)</f>
        <v>18450</v>
      </c>
      <c r="K158">
        <f t="shared" si="2"/>
        <v>55350</v>
      </c>
    </row>
    <row r="159" spans="1:11" hidden="1" x14ac:dyDescent="0.25">
      <c r="A159">
        <v>158</v>
      </c>
      <c r="B159" s="1">
        <v>45755</v>
      </c>
      <c r="C159" t="s">
        <v>20</v>
      </c>
      <c r="D159" t="s">
        <v>67</v>
      </c>
      <c r="E159" t="s">
        <v>8</v>
      </c>
      <c r="F159">
        <v>1</v>
      </c>
      <c r="G159" t="str">
        <f>VLOOKUP(D159,Товары!A:I,3,0)</f>
        <v>Пенал навес./напол. Альба 350 суфле 2 двери</v>
      </c>
      <c r="H159">
        <f>VLOOKUP(D159,Товары!A:I,6,0)</f>
        <v>150</v>
      </c>
      <c r="I159" t="str">
        <f>VLOOKUP(C159,Магазины!A:C,3,0)</f>
        <v>Оренбург</v>
      </c>
      <c r="J159">
        <f>VLOOKUP(D159,Товары!A:I,4,0)</f>
        <v>11655</v>
      </c>
      <c r="K159">
        <f t="shared" si="2"/>
        <v>11655</v>
      </c>
    </row>
    <row r="160" spans="1:11" hidden="1" x14ac:dyDescent="0.25">
      <c r="A160">
        <v>159</v>
      </c>
      <c r="B160" s="1">
        <v>45751</v>
      </c>
      <c r="C160" t="s">
        <v>30</v>
      </c>
      <c r="D160" t="s">
        <v>109</v>
      </c>
      <c r="E160" t="s">
        <v>8</v>
      </c>
      <c r="F160">
        <v>3</v>
      </c>
      <c r="G160" t="str">
        <f>VLOOKUP(D160,Товары!A:I,3,0)</f>
        <v>Тумба с раковиной  навес. Альба 600 антрацит 2 ящика с умыв. Океан</v>
      </c>
      <c r="H160">
        <f>VLOOKUP(D160,Товары!A:I,6,0)</f>
        <v>50</v>
      </c>
      <c r="I160" t="str">
        <f>VLOOKUP(C160,Магазины!A:C,3,0)</f>
        <v>Кемерово</v>
      </c>
      <c r="J160">
        <f>VLOOKUP(D160,Товары!A:I,4,0)</f>
        <v>24810</v>
      </c>
      <c r="K160">
        <f t="shared" si="2"/>
        <v>74430</v>
      </c>
    </row>
    <row r="161" spans="1:11" hidden="1" x14ac:dyDescent="0.25">
      <c r="A161">
        <v>160</v>
      </c>
      <c r="B161" s="1">
        <v>45753</v>
      </c>
      <c r="C161" t="s">
        <v>43</v>
      </c>
      <c r="D161" t="s">
        <v>50</v>
      </c>
      <c r="E161" t="s">
        <v>13</v>
      </c>
      <c r="F161">
        <v>1</v>
      </c>
      <c r="G161" t="str">
        <f>VLOOKUP(D161,Товары!A:I,3,0)</f>
        <v>Тумба с раковиной  напол. Леон 800 оникс 2 ящика с умыв. Слим</v>
      </c>
      <c r="H161">
        <f>VLOOKUP(D161,Товары!A:I,6,0)</f>
        <v>80</v>
      </c>
      <c r="I161" t="str">
        <f>VLOOKUP(C161,Магазины!A:C,3,0)</f>
        <v>Набережные Челны</v>
      </c>
      <c r="J161">
        <f>VLOOKUP(D161,Товары!A:I,4,0)</f>
        <v>29400</v>
      </c>
      <c r="K161">
        <f t="shared" si="2"/>
        <v>29400</v>
      </c>
    </row>
    <row r="162" spans="1:11" hidden="1" x14ac:dyDescent="0.25">
      <c r="A162">
        <v>161</v>
      </c>
      <c r="B162" s="1">
        <v>45752</v>
      </c>
      <c r="C162" t="s">
        <v>16</v>
      </c>
      <c r="D162" t="s">
        <v>110</v>
      </c>
      <c r="E162" t="s">
        <v>8</v>
      </c>
      <c r="F162">
        <v>3</v>
      </c>
      <c r="G162" t="str">
        <f>VLOOKUP(D162,Товары!A:I,3,0)</f>
        <v>Тумба с раковиной  напол. Альба 600 антрацит 2 ящика с умыв. Океан</v>
      </c>
      <c r="H162">
        <f>VLOOKUP(D162,Товары!A:I,6,0)</f>
        <v>80</v>
      </c>
      <c r="I162" t="str">
        <f>VLOOKUP(C162,Магазины!A:C,3,0)</f>
        <v>Оренбург</v>
      </c>
      <c r="J162">
        <f>VLOOKUP(D162,Товары!A:I,4,0)</f>
        <v>26370</v>
      </c>
      <c r="K162">
        <f t="shared" si="2"/>
        <v>79110</v>
      </c>
    </row>
    <row r="163" spans="1:11" hidden="1" x14ac:dyDescent="0.25">
      <c r="A163">
        <v>162</v>
      </c>
      <c r="B163" s="1">
        <v>45757</v>
      </c>
      <c r="C163" t="s">
        <v>35</v>
      </c>
      <c r="D163" t="s">
        <v>101</v>
      </c>
      <c r="E163" t="s">
        <v>13</v>
      </c>
      <c r="F163">
        <v>3</v>
      </c>
      <c r="G163" t="str">
        <f>VLOOKUP(D163,Товары!A:I,3,0)</f>
        <v>Пенал напол. Сохо 400 белый 2 двери + 1 ящик</v>
      </c>
      <c r="H163">
        <f>VLOOKUP(D163,Товары!A:I,6,0)</f>
        <v>190</v>
      </c>
      <c r="I163" t="str">
        <f>VLOOKUP(C163,Магазины!A:C,3,0)</f>
        <v>Набережные Челны</v>
      </c>
      <c r="J163">
        <f>VLOOKUP(D163,Товары!A:I,4,0)</f>
        <v>11040</v>
      </c>
      <c r="K163">
        <f t="shared" si="2"/>
        <v>33120</v>
      </c>
    </row>
    <row r="164" spans="1:11" hidden="1" x14ac:dyDescent="0.25">
      <c r="A164">
        <v>163</v>
      </c>
      <c r="B164" s="1">
        <v>45751</v>
      </c>
      <c r="C164" t="s">
        <v>18</v>
      </c>
      <c r="D164" t="s">
        <v>80</v>
      </c>
      <c r="E164" t="s">
        <v>13</v>
      </c>
      <c r="F164">
        <v>3</v>
      </c>
      <c r="G164" t="str">
        <f>VLOOKUP(D164,Товары!A:I,3,0)</f>
        <v>Тумба с раковиной  навес. Сохо 600 белый 2 ящика с умыв. Океан</v>
      </c>
      <c r="H164">
        <f>VLOOKUP(D164,Товары!A:I,6,0)</f>
        <v>55</v>
      </c>
      <c r="I164" t="str">
        <f>VLOOKUP(C164,Магазины!A:C,3,0)</f>
        <v>Набережные Челны</v>
      </c>
      <c r="J164">
        <f>VLOOKUP(D164,Товары!A:I,4,0)</f>
        <v>13950</v>
      </c>
      <c r="K164">
        <f t="shared" si="2"/>
        <v>41850</v>
      </c>
    </row>
    <row r="165" spans="1:11" hidden="1" x14ac:dyDescent="0.25">
      <c r="A165">
        <v>164</v>
      </c>
      <c r="B165" s="1">
        <v>45753</v>
      </c>
      <c r="C165" t="s">
        <v>14</v>
      </c>
      <c r="D165" t="s">
        <v>85</v>
      </c>
      <c r="E165" t="s">
        <v>8</v>
      </c>
      <c r="F165">
        <v>2</v>
      </c>
      <c r="G165" t="str">
        <f>VLOOKUP(D165,Товары!A:I,3,0)</f>
        <v>Пенал напол. Аква 450 белый 2 двери + 2 ящика + корзина</v>
      </c>
      <c r="H165">
        <f>VLOOKUP(D165,Товары!A:I,6,0)</f>
        <v>190</v>
      </c>
      <c r="I165" t="str">
        <f>VLOOKUP(C165,Магазины!A:C,3,0)</f>
        <v>Оренбург</v>
      </c>
      <c r="J165">
        <f>VLOOKUP(D165,Товары!A:I,4,0)</f>
        <v>13335</v>
      </c>
      <c r="K165">
        <f t="shared" si="2"/>
        <v>26670</v>
      </c>
    </row>
    <row r="166" spans="1:11" hidden="1" x14ac:dyDescent="0.25">
      <c r="A166">
        <v>165</v>
      </c>
      <c r="B166" s="1">
        <v>45756</v>
      </c>
      <c r="C166" t="s">
        <v>16</v>
      </c>
      <c r="D166" t="s">
        <v>70</v>
      </c>
      <c r="E166" t="s">
        <v>13</v>
      </c>
      <c r="F166">
        <v>3</v>
      </c>
      <c r="G166" t="str">
        <f>VLOOKUP(D166,Товары!A:I,3,0)</f>
        <v>Тумба с раковиной  напол. Кристалл 700 шато азур 2 ящика с умыв. Слим</v>
      </c>
      <c r="H166">
        <f>VLOOKUP(D166,Товары!A:I,6,0)</f>
        <v>85</v>
      </c>
      <c r="I166" t="str">
        <f>VLOOKUP(C166,Магазины!A:C,3,0)</f>
        <v>Оренбург</v>
      </c>
      <c r="J166">
        <f>VLOOKUP(D166,Товары!A:I,4,0)</f>
        <v>29910</v>
      </c>
      <c r="K166">
        <f t="shared" si="2"/>
        <v>89730</v>
      </c>
    </row>
    <row r="167" spans="1:11" hidden="1" x14ac:dyDescent="0.25">
      <c r="A167">
        <v>166</v>
      </c>
      <c r="B167" s="1">
        <v>45754</v>
      </c>
      <c r="C167" t="s">
        <v>11</v>
      </c>
      <c r="D167" t="s">
        <v>66</v>
      </c>
      <c r="E167" t="s">
        <v>13</v>
      </c>
      <c r="F167">
        <v>3</v>
      </c>
      <c r="G167" t="str">
        <f>VLOOKUP(D167,Товары!A:I,3,0)</f>
        <v>Тумба с раковиной  навес. Альба 800 мята 2 ящика с умыв. Слим</v>
      </c>
      <c r="H167">
        <f>VLOOKUP(D167,Товары!A:I,6,0)</f>
        <v>50</v>
      </c>
      <c r="I167" t="str">
        <f>VLOOKUP(C167,Магазины!A:C,3,0)</f>
        <v>Кемерово</v>
      </c>
      <c r="J167">
        <f>VLOOKUP(D167,Товары!A:I,4,0)</f>
        <v>26070</v>
      </c>
      <c r="K167">
        <f t="shared" si="2"/>
        <v>78210</v>
      </c>
    </row>
    <row r="168" spans="1:11" hidden="1" x14ac:dyDescent="0.25">
      <c r="A168">
        <v>167</v>
      </c>
      <c r="B168" s="1">
        <v>45749</v>
      </c>
      <c r="C168" t="s">
        <v>111</v>
      </c>
      <c r="D168" t="s">
        <v>52</v>
      </c>
      <c r="E168" t="s">
        <v>8</v>
      </c>
      <c r="F168">
        <v>3</v>
      </c>
      <c r="G168" t="str">
        <f>VLOOKUP(D168,Товары!A:I,3,0)</f>
        <v>Тумба с раковиной  напол. Кристалл 600 суфле 2 ящика с умыв. Океан</v>
      </c>
      <c r="H168">
        <f>VLOOKUP(D168,Товары!A:I,6,0)</f>
        <v>80</v>
      </c>
      <c r="I168" t="str">
        <f>VLOOKUP(C168,Магазины!A:C,3,0)</f>
        <v>Набережные Челны</v>
      </c>
      <c r="J168">
        <f>VLOOKUP(D168,Товары!A:I,4,0)</f>
        <v>27600</v>
      </c>
      <c r="K168">
        <f t="shared" si="2"/>
        <v>82800</v>
      </c>
    </row>
    <row r="169" spans="1:11" hidden="1" x14ac:dyDescent="0.25">
      <c r="A169">
        <v>168</v>
      </c>
      <c r="B169" s="1">
        <v>45757</v>
      </c>
      <c r="C169" t="s">
        <v>30</v>
      </c>
      <c r="D169" t="s">
        <v>21</v>
      </c>
      <c r="E169" t="s">
        <v>13</v>
      </c>
      <c r="F169">
        <v>1</v>
      </c>
      <c r="G169" t="str">
        <f>VLOOKUP(D169,Товары!A:I,3,0)</f>
        <v>Зеркальный шкаф Рица 60 со светильником правый цвет cерый/керамика</v>
      </c>
      <c r="H169">
        <f>VLOOKUP(D169,Товары!A:I,6,0)</f>
        <v>75</v>
      </c>
      <c r="I169" t="str">
        <f>VLOOKUP(C169,Магазины!A:C,3,0)</f>
        <v>Кемерово</v>
      </c>
      <c r="J169">
        <f>VLOOKUP(D169,Товары!A:I,4,0)</f>
        <v>8910</v>
      </c>
      <c r="K169">
        <f t="shared" si="2"/>
        <v>8910</v>
      </c>
    </row>
    <row r="170" spans="1:11" hidden="1" x14ac:dyDescent="0.25">
      <c r="A170">
        <v>169</v>
      </c>
      <c r="B170" s="1">
        <v>45756</v>
      </c>
      <c r="C170" t="s">
        <v>58</v>
      </c>
      <c r="D170" t="s">
        <v>25</v>
      </c>
      <c r="E170" t="s">
        <v>8</v>
      </c>
      <c r="F170">
        <v>3</v>
      </c>
      <c r="G170" t="str">
        <f>VLOOKUP(D170,Товары!A:I,3,0)</f>
        <v>Пенал напол. Леон 400 оникс 2 двери + 1 ящик</v>
      </c>
      <c r="H170">
        <f>VLOOKUP(D170,Товары!A:I,6,0)</f>
        <v>190</v>
      </c>
      <c r="I170" t="str">
        <f>VLOOKUP(C170,Магазины!A:C,3,0)</f>
        <v>Ставрополь</v>
      </c>
      <c r="J170">
        <f>VLOOKUP(D170,Товары!A:I,4,0)</f>
        <v>18450</v>
      </c>
      <c r="K170">
        <f t="shared" si="2"/>
        <v>55350</v>
      </c>
    </row>
    <row r="171" spans="1:11" hidden="1" x14ac:dyDescent="0.25">
      <c r="A171">
        <v>170</v>
      </c>
      <c r="B171" s="1">
        <v>45754</v>
      </c>
      <c r="C171" t="s">
        <v>20</v>
      </c>
      <c r="D171" t="s">
        <v>95</v>
      </c>
      <c r="E171" t="s">
        <v>13</v>
      </c>
      <c r="F171">
        <v>2</v>
      </c>
      <c r="G171" t="str">
        <f>VLOOKUP(D171,Товары!A:I,3,0)</f>
        <v>Тумба с раковиной  напол. Рица 600 антрацит 2 ящика с умыв. Океан</v>
      </c>
      <c r="H171">
        <f>VLOOKUP(D171,Товары!A:I,6,0)</f>
        <v>80</v>
      </c>
      <c r="I171" t="str">
        <f>VLOOKUP(C171,Магазины!A:C,3,0)</f>
        <v>Оренбург</v>
      </c>
      <c r="J171">
        <f>VLOOKUP(D171,Товары!A:I,4,0)</f>
        <v>25560</v>
      </c>
      <c r="K171">
        <f t="shared" si="2"/>
        <v>51120</v>
      </c>
    </row>
    <row r="172" spans="1:11" hidden="1" x14ac:dyDescent="0.25">
      <c r="A172">
        <v>171</v>
      </c>
      <c r="B172" s="1">
        <v>45749</v>
      </c>
      <c r="C172" t="s">
        <v>35</v>
      </c>
      <c r="D172" t="s">
        <v>60</v>
      </c>
      <c r="E172" t="s">
        <v>13</v>
      </c>
      <c r="F172">
        <v>2</v>
      </c>
      <c r="G172" t="str">
        <f>VLOOKUP(D172,Товары!A:I,3,0)</f>
        <v>Пенал навес. Куба Риф 350 белый 2 двери</v>
      </c>
      <c r="H172">
        <f>VLOOKUP(D172,Товары!A:I,6,0)</f>
        <v>150</v>
      </c>
      <c r="I172" t="str">
        <f>VLOOKUP(C172,Магазины!A:C,3,0)</f>
        <v>Набережные Челны</v>
      </c>
      <c r="J172">
        <f>VLOOKUP(D172,Товары!A:I,4,0)</f>
        <v>9720</v>
      </c>
      <c r="K172">
        <f t="shared" si="2"/>
        <v>19440</v>
      </c>
    </row>
    <row r="173" spans="1:11" hidden="1" x14ac:dyDescent="0.25">
      <c r="A173">
        <v>172</v>
      </c>
      <c r="B173" s="1">
        <v>45756</v>
      </c>
      <c r="C173" t="s">
        <v>57</v>
      </c>
      <c r="D173" t="s">
        <v>101</v>
      </c>
      <c r="E173" t="s">
        <v>13</v>
      </c>
      <c r="F173">
        <v>3</v>
      </c>
      <c r="G173" t="str">
        <f>VLOOKUP(D173,Товары!A:I,3,0)</f>
        <v>Пенал напол. Сохо 400 белый 2 двери + 1 ящик</v>
      </c>
      <c r="H173">
        <f>VLOOKUP(D173,Товары!A:I,6,0)</f>
        <v>190</v>
      </c>
      <c r="I173" t="str">
        <f>VLOOKUP(C173,Магазины!A:C,3,0)</f>
        <v>Оренбург</v>
      </c>
      <c r="J173">
        <f>VLOOKUP(D173,Товары!A:I,4,0)</f>
        <v>11040</v>
      </c>
      <c r="K173">
        <f t="shared" si="2"/>
        <v>33120</v>
      </c>
    </row>
    <row r="174" spans="1:11" hidden="1" x14ac:dyDescent="0.25">
      <c r="A174">
        <v>173</v>
      </c>
      <c r="B174" s="1">
        <v>45755</v>
      </c>
      <c r="C174" t="s">
        <v>9</v>
      </c>
      <c r="D174" t="s">
        <v>71</v>
      </c>
      <c r="E174" t="s">
        <v>8</v>
      </c>
      <c r="F174">
        <v>3</v>
      </c>
      <c r="G174" t="str">
        <f>VLOOKUP(D174,Товары!A:I,3,0)</f>
        <v>Тумба с раковиной  навес. Альба 600 мята 2 ящика с умыв. Океан</v>
      </c>
      <c r="H174">
        <f>VLOOKUP(D174,Товары!A:I,6,0)</f>
        <v>50</v>
      </c>
      <c r="I174" t="str">
        <f>VLOOKUP(C174,Магазины!A:C,3,0)</f>
        <v>Кемерово</v>
      </c>
      <c r="J174">
        <f>VLOOKUP(D174,Товары!A:I,4,0)</f>
        <v>24810</v>
      </c>
      <c r="K174">
        <f t="shared" si="2"/>
        <v>74430</v>
      </c>
    </row>
    <row r="175" spans="1:11" hidden="1" x14ac:dyDescent="0.25">
      <c r="A175">
        <v>174</v>
      </c>
      <c r="B175" s="1">
        <v>45757</v>
      </c>
      <c r="C175" t="s">
        <v>20</v>
      </c>
      <c r="D175" t="s">
        <v>68</v>
      </c>
      <c r="E175" t="s">
        <v>8</v>
      </c>
      <c r="F175">
        <v>2</v>
      </c>
      <c r="G175" t="str">
        <f>VLOOKUP(D175,Товары!A:I,3,0)</f>
        <v>Тумба с раковиной  навес. Альба 600 антрацит 1 ящик с умыв. Океан</v>
      </c>
      <c r="H175">
        <f>VLOOKUP(D175,Товары!A:I,6,0)</f>
        <v>85</v>
      </c>
      <c r="I175" t="str">
        <f>VLOOKUP(C175,Магазины!A:C,3,0)</f>
        <v>Оренбург</v>
      </c>
      <c r="J175">
        <f>VLOOKUP(D175,Товары!A:I,4,0)</f>
        <v>17625</v>
      </c>
      <c r="K175">
        <f t="shared" si="2"/>
        <v>35250</v>
      </c>
    </row>
    <row r="176" spans="1:11" hidden="1" x14ac:dyDescent="0.25">
      <c r="A176">
        <v>175</v>
      </c>
      <c r="B176" s="1">
        <v>45750</v>
      </c>
      <c r="C176" t="s">
        <v>9</v>
      </c>
      <c r="D176" t="s">
        <v>102</v>
      </c>
      <c r="E176" t="s">
        <v>8</v>
      </c>
      <c r="F176">
        <v>1</v>
      </c>
      <c r="G176" t="str">
        <f>VLOOKUP(D176,Товары!A:I,3,0)</f>
        <v>Тумба с раковиной  напол. Леон Риф 1000 солярис/белый риф 2 ящика с умыв. Слим</v>
      </c>
      <c r="H176">
        <f>VLOOKUP(D176,Товары!A:I,6,0)</f>
        <v>85</v>
      </c>
      <c r="I176" t="str">
        <f>VLOOKUP(C176,Магазины!A:C,3,0)</f>
        <v>Кемерово</v>
      </c>
      <c r="J176">
        <f>VLOOKUP(D176,Товары!A:I,4,0)</f>
        <v>32085</v>
      </c>
      <c r="K176">
        <f t="shared" si="2"/>
        <v>32085</v>
      </c>
    </row>
    <row r="177" spans="1:11" hidden="1" x14ac:dyDescent="0.25">
      <c r="A177">
        <v>176</v>
      </c>
      <c r="B177" s="1">
        <v>45752</v>
      </c>
      <c r="C177" t="s">
        <v>14</v>
      </c>
      <c r="D177" t="s">
        <v>25</v>
      </c>
      <c r="E177" t="s">
        <v>13</v>
      </c>
      <c r="F177">
        <v>3</v>
      </c>
      <c r="G177" t="str">
        <f>VLOOKUP(D177,Товары!A:I,3,0)</f>
        <v>Пенал напол. Леон 400 оникс 2 двери + 1 ящик</v>
      </c>
      <c r="H177">
        <f>VLOOKUP(D177,Товары!A:I,6,0)</f>
        <v>190</v>
      </c>
      <c r="I177" t="str">
        <f>VLOOKUP(C177,Магазины!A:C,3,0)</f>
        <v>Оренбург</v>
      </c>
      <c r="J177">
        <f>VLOOKUP(D177,Товары!A:I,4,0)</f>
        <v>18450</v>
      </c>
      <c r="K177">
        <f t="shared" si="2"/>
        <v>55350</v>
      </c>
    </row>
    <row r="178" spans="1:11" hidden="1" x14ac:dyDescent="0.25">
      <c r="A178">
        <v>177</v>
      </c>
      <c r="B178" s="1">
        <v>45753</v>
      </c>
      <c r="C178" t="s">
        <v>26</v>
      </c>
      <c r="D178" t="s">
        <v>106</v>
      </c>
      <c r="E178" t="s">
        <v>8</v>
      </c>
      <c r="F178">
        <v>2</v>
      </c>
      <c r="G178" t="str">
        <f>VLOOKUP(D178,Товары!A:I,3,0)</f>
        <v>Тумба с раковиной  навес. Кристалл 700 шато азур 2 ящика с умыв. Слим</v>
      </c>
      <c r="H178">
        <f>VLOOKUP(D178,Товары!A:I,6,0)</f>
        <v>60</v>
      </c>
      <c r="I178" t="str">
        <f>VLOOKUP(C178,Магазины!A:C,3,0)</f>
        <v>Оренбург</v>
      </c>
      <c r="J178">
        <f>VLOOKUP(D178,Товары!A:I,4,0)</f>
        <v>24150</v>
      </c>
      <c r="K178">
        <f t="shared" si="2"/>
        <v>48300</v>
      </c>
    </row>
    <row r="179" spans="1:11" hidden="1" x14ac:dyDescent="0.25">
      <c r="A179">
        <v>178</v>
      </c>
      <c r="B179" s="1">
        <v>45756</v>
      </c>
      <c r="C179" t="s">
        <v>57</v>
      </c>
      <c r="D179" t="s">
        <v>112</v>
      </c>
      <c r="E179" t="s">
        <v>8</v>
      </c>
      <c r="F179">
        <v>3</v>
      </c>
      <c r="G179" t="str">
        <f>VLOOKUP(D179,Товары!A:I,3,0)</f>
        <v>Тумба с раковиной  напол. Аква 560 белый 2 двери с умыв. Уют</v>
      </c>
      <c r="H179">
        <f>VLOOKUP(D179,Товары!A:I,6,0)</f>
        <v>85</v>
      </c>
      <c r="I179" t="str">
        <f>VLOOKUP(C179,Магазины!A:C,3,0)</f>
        <v>Оренбург</v>
      </c>
      <c r="J179">
        <f>VLOOKUP(D179,Товары!A:I,4,0)</f>
        <v>9330</v>
      </c>
      <c r="K179">
        <f t="shared" si="2"/>
        <v>27990</v>
      </c>
    </row>
    <row r="180" spans="1:11" hidden="1" x14ac:dyDescent="0.25">
      <c r="A180">
        <v>179</v>
      </c>
      <c r="B180" s="1">
        <v>45751</v>
      </c>
      <c r="C180" t="s">
        <v>43</v>
      </c>
      <c r="D180" t="s">
        <v>95</v>
      </c>
      <c r="E180" t="s">
        <v>8</v>
      </c>
      <c r="F180">
        <v>3</v>
      </c>
      <c r="G180" t="str">
        <f>VLOOKUP(D180,Товары!A:I,3,0)</f>
        <v>Тумба с раковиной  напол. Рица 600 антрацит 2 ящика с умыв. Океан</v>
      </c>
      <c r="H180">
        <f>VLOOKUP(D180,Товары!A:I,6,0)</f>
        <v>80</v>
      </c>
      <c r="I180" t="str">
        <f>VLOOKUP(C180,Магазины!A:C,3,0)</f>
        <v>Набережные Челны</v>
      </c>
      <c r="J180">
        <f>VLOOKUP(D180,Товары!A:I,4,0)</f>
        <v>25560</v>
      </c>
      <c r="K180">
        <f t="shared" si="2"/>
        <v>76680</v>
      </c>
    </row>
    <row r="181" spans="1:11" hidden="1" x14ac:dyDescent="0.25">
      <c r="A181">
        <v>180</v>
      </c>
      <c r="B181" s="1">
        <v>45755</v>
      </c>
      <c r="C181" t="s">
        <v>33</v>
      </c>
      <c r="D181" t="s">
        <v>12</v>
      </c>
      <c r="E181" t="s">
        <v>8</v>
      </c>
      <c r="F181">
        <v>3</v>
      </c>
      <c r="G181" t="str">
        <f>VLOOKUP(D181,Товары!A:I,3,0)</f>
        <v>Тумба с раковиной  напол. Сохо 700 белый 2 двери с умыв. Слим</v>
      </c>
      <c r="H181">
        <f>VLOOKUP(D181,Товары!A:I,6,0)</f>
        <v>85</v>
      </c>
      <c r="I181" t="str">
        <f>VLOOKUP(C181,Магазины!A:C,3,0)</f>
        <v>Набережные Челны</v>
      </c>
      <c r="J181">
        <f>VLOOKUP(D181,Товары!A:I,4,0)</f>
        <v>17160</v>
      </c>
      <c r="K181">
        <f t="shared" si="2"/>
        <v>51480</v>
      </c>
    </row>
    <row r="182" spans="1:11" hidden="1" x14ac:dyDescent="0.25">
      <c r="A182">
        <v>181</v>
      </c>
      <c r="B182" s="1">
        <v>45755</v>
      </c>
      <c r="C182" t="s">
        <v>11</v>
      </c>
      <c r="D182" t="s">
        <v>37</v>
      </c>
      <c r="E182" t="s">
        <v>8</v>
      </c>
      <c r="F182">
        <v>2</v>
      </c>
      <c r="G182" t="str">
        <f>VLOOKUP(D182,Товары!A:I,3,0)</f>
        <v>Зеркальный шкаф Сохо 70 белый со светильником правый цвет Белый глянец</v>
      </c>
      <c r="H182">
        <f>VLOOKUP(D182,Товары!A:I,6,0)</f>
        <v>75</v>
      </c>
      <c r="I182" t="str">
        <f>VLOOKUP(C182,Магазины!A:C,3,0)</f>
        <v>Кемерово</v>
      </c>
      <c r="J182">
        <f>VLOOKUP(D182,Товары!A:I,4,0)</f>
        <v>7935</v>
      </c>
      <c r="K182">
        <f t="shared" si="2"/>
        <v>15870</v>
      </c>
    </row>
    <row r="183" spans="1:11" hidden="1" x14ac:dyDescent="0.25">
      <c r="A183">
        <v>182</v>
      </c>
      <c r="B183" s="1">
        <v>45757</v>
      </c>
      <c r="C183" t="s">
        <v>57</v>
      </c>
      <c r="D183" t="s">
        <v>78</v>
      </c>
      <c r="E183" t="s">
        <v>13</v>
      </c>
      <c r="F183">
        <v>2</v>
      </c>
      <c r="G183" t="str">
        <f>VLOOKUP(D183,Товары!A:I,3,0)</f>
        <v>Зеркальный шкаф Кристалл 70 со светильником правый, ручка кнопка дуб цвет Шато Азур</v>
      </c>
      <c r="H183">
        <f>VLOOKUP(D183,Товары!A:I,6,0)</f>
        <v>75</v>
      </c>
      <c r="I183" t="str">
        <f>VLOOKUP(C183,Магазины!A:C,3,0)</f>
        <v>Оренбург</v>
      </c>
      <c r="J183">
        <f>VLOOKUP(D183,Товары!A:I,4,0)</f>
        <v>9615</v>
      </c>
      <c r="K183">
        <f t="shared" si="2"/>
        <v>19230</v>
      </c>
    </row>
    <row r="184" spans="1:11" hidden="1" x14ac:dyDescent="0.25">
      <c r="A184">
        <v>183</v>
      </c>
      <c r="B184" s="1">
        <v>45757</v>
      </c>
      <c r="C184" t="s">
        <v>20</v>
      </c>
      <c r="D184" t="s">
        <v>74</v>
      </c>
      <c r="E184" t="s">
        <v>8</v>
      </c>
      <c r="F184">
        <v>3</v>
      </c>
      <c r="G184" t="str">
        <f>VLOOKUP(D184,Товары!A:I,3,0)</f>
        <v>Тумба с раковиной  напол. Альба 800 суфле 2 ящика с умыв. Слим</v>
      </c>
      <c r="H184">
        <f>VLOOKUP(D184,Товары!A:I,6,0)</f>
        <v>80</v>
      </c>
      <c r="I184" t="str">
        <f>VLOOKUP(C184,Магазины!A:C,3,0)</f>
        <v>Оренбург</v>
      </c>
      <c r="J184">
        <f>VLOOKUP(D184,Товары!A:I,4,0)</f>
        <v>29340</v>
      </c>
      <c r="K184">
        <f t="shared" si="2"/>
        <v>88020</v>
      </c>
    </row>
    <row r="185" spans="1:11" hidden="1" x14ac:dyDescent="0.25">
      <c r="A185">
        <v>184</v>
      </c>
      <c r="B185" s="1">
        <v>45756</v>
      </c>
      <c r="C185" t="s">
        <v>43</v>
      </c>
      <c r="D185" t="s">
        <v>37</v>
      </c>
      <c r="E185" t="s">
        <v>13</v>
      </c>
      <c r="F185">
        <v>3</v>
      </c>
      <c r="G185" t="str">
        <f>VLOOKUP(D185,Товары!A:I,3,0)</f>
        <v>Зеркальный шкаф Сохо 70 белый со светильником правый цвет Белый глянец</v>
      </c>
      <c r="H185">
        <f>VLOOKUP(D185,Товары!A:I,6,0)</f>
        <v>75</v>
      </c>
      <c r="I185" t="str">
        <f>VLOOKUP(C185,Магазины!A:C,3,0)</f>
        <v>Набережные Челны</v>
      </c>
      <c r="J185">
        <f>VLOOKUP(D185,Товары!A:I,4,0)</f>
        <v>7935</v>
      </c>
      <c r="K185">
        <f t="shared" si="2"/>
        <v>23805</v>
      </c>
    </row>
    <row r="186" spans="1:11" hidden="1" x14ac:dyDescent="0.25">
      <c r="A186">
        <v>185</v>
      </c>
      <c r="B186" s="1">
        <v>45749</v>
      </c>
      <c r="C186" t="s">
        <v>30</v>
      </c>
      <c r="D186" t="s">
        <v>61</v>
      </c>
      <c r="E186" t="s">
        <v>8</v>
      </c>
      <c r="F186">
        <v>1</v>
      </c>
      <c r="G186" t="str">
        <f>VLOOKUP(D186,Товары!A:I,3,0)</f>
        <v>Тумба под стиральную машину Леон Риф 57 напольная 2 ящика под ст/маш, без умывальника /под Marshall 120 Солярис/Белый Риф</v>
      </c>
      <c r="H186">
        <f>VLOOKUP(D186,Товары!A:I,6,0)</f>
        <v>85</v>
      </c>
      <c r="I186" t="str">
        <f>VLOOKUP(C186,Магазины!A:C,3,0)</f>
        <v>Кемерово</v>
      </c>
      <c r="J186">
        <f>VLOOKUP(D186,Товары!A:I,4,0)</f>
        <v>17430</v>
      </c>
      <c r="K186">
        <f t="shared" si="2"/>
        <v>17430</v>
      </c>
    </row>
    <row r="187" spans="1:11" hidden="1" x14ac:dyDescent="0.25">
      <c r="A187">
        <v>186</v>
      </c>
      <c r="B187" s="1">
        <v>45757</v>
      </c>
      <c r="C187" t="s">
        <v>20</v>
      </c>
      <c r="D187" t="s">
        <v>47</v>
      </c>
      <c r="E187" t="s">
        <v>13</v>
      </c>
      <c r="F187">
        <v>1</v>
      </c>
      <c r="G187" t="str">
        <f>VLOOKUP(D187,Товары!A:I,3,0)</f>
        <v>Пенал напол. Кристалл 350 шато азур 2 двери</v>
      </c>
      <c r="H187">
        <f>VLOOKUP(D187,Товары!A:I,6,0)</f>
        <v>190</v>
      </c>
      <c r="I187" t="str">
        <f>VLOOKUP(C187,Магазины!A:C,3,0)</f>
        <v>Оренбург</v>
      </c>
      <c r="J187">
        <f>VLOOKUP(D187,Товары!A:I,4,0)</f>
        <v>15810</v>
      </c>
      <c r="K187">
        <f t="shared" si="2"/>
        <v>15810</v>
      </c>
    </row>
    <row r="188" spans="1:11" hidden="1" x14ac:dyDescent="0.25">
      <c r="A188">
        <v>187</v>
      </c>
      <c r="B188" s="1">
        <v>45752</v>
      </c>
      <c r="C188" t="s">
        <v>11</v>
      </c>
      <c r="D188" t="s">
        <v>113</v>
      </c>
      <c r="E188" t="s">
        <v>13</v>
      </c>
      <c r="F188">
        <v>1</v>
      </c>
      <c r="G188" t="str">
        <f>VLOOKUP(D188,Товары!A:I,3,0)</f>
        <v>Зеркальный шкаф Альба 60 со светильником правый цвет мята</v>
      </c>
      <c r="H188">
        <f>VLOOKUP(D188,Товары!A:I,6,0)</f>
        <v>75</v>
      </c>
      <c r="I188" t="str">
        <f>VLOOKUP(C188,Магазины!A:C,3,0)</f>
        <v>Кемерово</v>
      </c>
      <c r="J188">
        <f>VLOOKUP(D188,Товары!A:I,4,0)</f>
        <v>8910</v>
      </c>
      <c r="K188">
        <f t="shared" si="2"/>
        <v>8910</v>
      </c>
    </row>
    <row r="189" spans="1:11" hidden="1" x14ac:dyDescent="0.25">
      <c r="A189">
        <v>188</v>
      </c>
      <c r="B189" s="1">
        <v>45748</v>
      </c>
      <c r="C189" t="s">
        <v>28</v>
      </c>
      <c r="D189" t="s">
        <v>101</v>
      </c>
      <c r="E189" t="s">
        <v>13</v>
      </c>
      <c r="F189">
        <v>1</v>
      </c>
      <c r="G189" t="str">
        <f>VLOOKUP(D189,Товары!A:I,3,0)</f>
        <v>Пенал напол. Сохо 400 белый 2 двери + 1 ящик</v>
      </c>
      <c r="H189">
        <f>VLOOKUP(D189,Товары!A:I,6,0)</f>
        <v>190</v>
      </c>
      <c r="I189" t="str">
        <f>VLOOKUP(C189,Магазины!A:C,3,0)</f>
        <v>Набережные Челны</v>
      </c>
      <c r="J189">
        <f>VLOOKUP(D189,Товары!A:I,4,0)</f>
        <v>11040</v>
      </c>
      <c r="K189">
        <f t="shared" si="2"/>
        <v>11040</v>
      </c>
    </row>
    <row r="190" spans="1:11" hidden="1" x14ac:dyDescent="0.25">
      <c r="A190">
        <v>189</v>
      </c>
      <c r="B190" s="1">
        <v>45755</v>
      </c>
      <c r="C190" t="s">
        <v>111</v>
      </c>
      <c r="D190" t="s">
        <v>52</v>
      </c>
      <c r="E190" t="s">
        <v>8</v>
      </c>
      <c r="F190">
        <v>2</v>
      </c>
      <c r="G190" t="str">
        <f>VLOOKUP(D190,Товары!A:I,3,0)</f>
        <v>Тумба с раковиной  напол. Кристалл 600 суфле 2 ящика с умыв. Океан</v>
      </c>
      <c r="H190">
        <f>VLOOKUP(D190,Товары!A:I,6,0)</f>
        <v>80</v>
      </c>
      <c r="I190" t="str">
        <f>VLOOKUP(C190,Магазины!A:C,3,0)</f>
        <v>Набережные Челны</v>
      </c>
      <c r="J190">
        <f>VLOOKUP(D190,Товары!A:I,4,0)</f>
        <v>27600</v>
      </c>
      <c r="K190">
        <f t="shared" si="2"/>
        <v>55200</v>
      </c>
    </row>
    <row r="191" spans="1:11" hidden="1" x14ac:dyDescent="0.25">
      <c r="A191">
        <v>190</v>
      </c>
      <c r="B191" s="1">
        <v>45751</v>
      </c>
      <c r="C191" t="s">
        <v>16</v>
      </c>
      <c r="D191" t="s">
        <v>79</v>
      </c>
      <c r="E191" t="s">
        <v>8</v>
      </c>
      <c r="F191">
        <v>1</v>
      </c>
      <c r="G191" t="str">
        <f>VLOOKUP(D191,Товары!A:I,3,0)</f>
        <v>Зеркальный шкаф Альба 70 со светильником правый цвет мята</v>
      </c>
      <c r="H191">
        <f>VLOOKUP(D191,Товары!A:I,6,0)</f>
        <v>75</v>
      </c>
      <c r="I191" t="str">
        <f>VLOOKUP(C191,Магазины!A:C,3,0)</f>
        <v>Оренбург</v>
      </c>
      <c r="J191">
        <f>VLOOKUP(D191,Товары!A:I,4,0)</f>
        <v>9615</v>
      </c>
      <c r="K191">
        <f t="shared" si="2"/>
        <v>9615</v>
      </c>
    </row>
    <row r="192" spans="1:11" hidden="1" x14ac:dyDescent="0.25">
      <c r="A192">
        <v>191</v>
      </c>
      <c r="B192" s="1">
        <v>45751</v>
      </c>
      <c r="C192" t="s">
        <v>48</v>
      </c>
      <c r="D192" t="s">
        <v>12</v>
      </c>
      <c r="E192" t="s">
        <v>13</v>
      </c>
      <c r="F192">
        <v>1</v>
      </c>
      <c r="G192" t="str">
        <f>VLOOKUP(D192,Товары!A:I,3,0)</f>
        <v>Тумба с раковиной  напол. Сохо 700 белый 2 двери с умыв. Слим</v>
      </c>
      <c r="H192">
        <f>VLOOKUP(D192,Товары!A:I,6,0)</f>
        <v>85</v>
      </c>
      <c r="I192" t="str">
        <f>VLOOKUP(C192,Магазины!A:C,3,0)</f>
        <v>Ставрополь</v>
      </c>
      <c r="J192">
        <f>VLOOKUP(D192,Товары!A:I,4,0)</f>
        <v>17160</v>
      </c>
      <c r="K192">
        <f t="shared" si="2"/>
        <v>17160</v>
      </c>
    </row>
    <row r="193" spans="1:11" hidden="1" x14ac:dyDescent="0.25">
      <c r="A193">
        <v>192</v>
      </c>
      <c r="B193" s="1">
        <v>45752</v>
      </c>
      <c r="C193" t="s">
        <v>11</v>
      </c>
      <c r="D193" t="s">
        <v>107</v>
      </c>
      <c r="E193" t="s">
        <v>8</v>
      </c>
      <c r="F193">
        <v>1</v>
      </c>
      <c r="G193" t="str">
        <f>VLOOKUP(D193,Товары!A:I,3,0)</f>
        <v>Комод Аква 35 напольный 1 дверь белый правый</v>
      </c>
      <c r="H193">
        <f>VLOOKUP(D193,Товары!A:I,6,0)</f>
        <v>90</v>
      </c>
      <c r="I193" t="str">
        <f>VLOOKUP(C193,Магазины!A:C,3,0)</f>
        <v>Кемерово</v>
      </c>
      <c r="J193">
        <f>VLOOKUP(D193,Товары!A:I,4,0)</f>
        <v>6705</v>
      </c>
      <c r="K193">
        <f t="shared" si="2"/>
        <v>6705</v>
      </c>
    </row>
    <row r="194" spans="1:11" hidden="1" x14ac:dyDescent="0.25">
      <c r="A194">
        <v>193</v>
      </c>
      <c r="B194" s="1">
        <v>45753</v>
      </c>
      <c r="C194" t="s">
        <v>22</v>
      </c>
      <c r="D194" t="s">
        <v>114</v>
      </c>
      <c r="E194" t="s">
        <v>13</v>
      </c>
      <c r="F194">
        <v>2</v>
      </c>
      <c r="G194" t="str">
        <f>VLOOKUP(D194,Товары!A:I,3,0)</f>
        <v>Тумба с раковиной  навес. Альба 700 мята 2 ящика с умыв. Слим</v>
      </c>
      <c r="H194">
        <f>VLOOKUP(D194,Товары!A:I,6,0)</f>
        <v>60</v>
      </c>
      <c r="I194" t="str">
        <f>VLOOKUP(C194,Магазины!A:C,3,0)</f>
        <v>Кемерово</v>
      </c>
      <c r="J194">
        <f>VLOOKUP(D194,Товары!A:I,4,0)</f>
        <v>25095</v>
      </c>
      <c r="K194">
        <f t="shared" si="2"/>
        <v>50190</v>
      </c>
    </row>
    <row r="195" spans="1:11" hidden="1" x14ac:dyDescent="0.25">
      <c r="A195">
        <v>194</v>
      </c>
      <c r="B195" s="1">
        <v>45757</v>
      </c>
      <c r="C195" t="s">
        <v>6</v>
      </c>
      <c r="D195" t="s">
        <v>115</v>
      </c>
      <c r="E195" t="s">
        <v>8</v>
      </c>
      <c r="F195">
        <v>3</v>
      </c>
      <c r="G195" t="str">
        <f>VLOOKUP(D195,Товары!A:I,3,0)</f>
        <v>Тумба под стиральную машину Куба Риф 57 напольная 2 ящика под ст/маш, без умывальника /под Marshall 120 Белый</v>
      </c>
      <c r="H195">
        <f>VLOOKUP(D195,Товары!A:I,6,0)</f>
        <v>85</v>
      </c>
      <c r="I195" t="str">
        <f>VLOOKUP(C195,Магазины!A:C,3,0)</f>
        <v>Оренбург</v>
      </c>
      <c r="J195">
        <f>VLOOKUP(D195,Товары!A:I,4,0)</f>
        <v>10530</v>
      </c>
      <c r="K195">
        <f t="shared" ref="K195:K258" si="3">J195*F195</f>
        <v>31590</v>
      </c>
    </row>
    <row r="196" spans="1:11" hidden="1" x14ac:dyDescent="0.25">
      <c r="A196">
        <v>195</v>
      </c>
      <c r="B196" s="1">
        <v>45752</v>
      </c>
      <c r="C196" t="s">
        <v>57</v>
      </c>
      <c r="D196" t="s">
        <v>94</v>
      </c>
      <c r="E196" t="s">
        <v>13</v>
      </c>
      <c r="F196">
        <v>1</v>
      </c>
      <c r="G196" t="str">
        <f>VLOOKUP(D196,Товары!A:I,3,0)</f>
        <v>Зеркальный шкаф Альба 80 со светильником правый цвет антрацит</v>
      </c>
      <c r="H196">
        <f>VLOOKUP(D196,Товары!A:I,6,0)</f>
        <v>75</v>
      </c>
      <c r="I196" t="str">
        <f>VLOOKUP(C196,Магазины!A:C,3,0)</f>
        <v>Оренбург</v>
      </c>
      <c r="J196">
        <f>VLOOKUP(D196,Товары!A:I,4,0)</f>
        <v>9930</v>
      </c>
      <c r="K196">
        <f t="shared" si="3"/>
        <v>9930</v>
      </c>
    </row>
    <row r="197" spans="1:11" hidden="1" x14ac:dyDescent="0.25">
      <c r="A197">
        <v>196</v>
      </c>
      <c r="B197" s="1">
        <v>45750</v>
      </c>
      <c r="C197" t="s">
        <v>35</v>
      </c>
      <c r="D197" t="s">
        <v>36</v>
      </c>
      <c r="E197" t="s">
        <v>13</v>
      </c>
      <c r="F197">
        <v>1</v>
      </c>
      <c r="G197" t="str">
        <f>VLOOKUP(D197,Товары!A:I,3,0)</f>
        <v>Тумба с раковиной  напол. Альба 800 мята 2 ящика с умыв. Слим</v>
      </c>
      <c r="H197">
        <f>VLOOKUP(D197,Товары!A:I,6,0)</f>
        <v>80</v>
      </c>
      <c r="I197" t="str">
        <f>VLOOKUP(C197,Магазины!A:C,3,0)</f>
        <v>Набережные Челны</v>
      </c>
      <c r="J197">
        <f>VLOOKUP(D197,Товары!A:I,4,0)</f>
        <v>29340</v>
      </c>
      <c r="K197">
        <f t="shared" si="3"/>
        <v>29340</v>
      </c>
    </row>
    <row r="198" spans="1:11" hidden="1" x14ac:dyDescent="0.25">
      <c r="A198">
        <v>197</v>
      </c>
      <c r="B198" s="1">
        <v>45755</v>
      </c>
      <c r="C198" t="s">
        <v>41</v>
      </c>
      <c r="D198" t="s">
        <v>112</v>
      </c>
      <c r="E198" t="s">
        <v>13</v>
      </c>
      <c r="F198">
        <v>1</v>
      </c>
      <c r="G198" t="str">
        <f>VLOOKUP(D198,Товары!A:I,3,0)</f>
        <v>Тумба с раковиной  напол. Аква 560 белый 2 двери с умыв. Уют</v>
      </c>
      <c r="H198">
        <f>VLOOKUP(D198,Товары!A:I,6,0)</f>
        <v>85</v>
      </c>
      <c r="I198" t="str">
        <f>VLOOKUP(C198,Магазины!A:C,3,0)</f>
        <v>Ставрополь</v>
      </c>
      <c r="J198">
        <f>VLOOKUP(D198,Товары!A:I,4,0)</f>
        <v>9330</v>
      </c>
      <c r="K198">
        <f t="shared" si="3"/>
        <v>9330</v>
      </c>
    </row>
    <row r="199" spans="1:11" hidden="1" x14ac:dyDescent="0.25">
      <c r="A199">
        <v>198</v>
      </c>
      <c r="B199" s="1">
        <v>45748</v>
      </c>
      <c r="C199" t="s">
        <v>48</v>
      </c>
      <c r="D199" t="s">
        <v>37</v>
      </c>
      <c r="E199" t="s">
        <v>13</v>
      </c>
      <c r="F199">
        <v>1</v>
      </c>
      <c r="G199" t="str">
        <f>VLOOKUP(D199,Товары!A:I,3,0)</f>
        <v>Зеркальный шкаф Сохо 70 белый со светильником правый цвет Белый глянец</v>
      </c>
      <c r="H199">
        <f>VLOOKUP(D199,Товары!A:I,6,0)</f>
        <v>75</v>
      </c>
      <c r="I199" t="str">
        <f>VLOOKUP(C199,Магазины!A:C,3,0)</f>
        <v>Ставрополь</v>
      </c>
      <c r="J199">
        <f>VLOOKUP(D199,Товары!A:I,4,0)</f>
        <v>7935</v>
      </c>
      <c r="K199">
        <f t="shared" si="3"/>
        <v>7935</v>
      </c>
    </row>
    <row r="200" spans="1:11" hidden="1" x14ac:dyDescent="0.25">
      <c r="A200">
        <v>199</v>
      </c>
      <c r="B200" s="1">
        <v>45748</v>
      </c>
      <c r="C200" t="s">
        <v>41</v>
      </c>
      <c r="D200" t="s">
        <v>83</v>
      </c>
      <c r="E200" t="s">
        <v>13</v>
      </c>
      <c r="F200">
        <v>2</v>
      </c>
      <c r="G200" t="str">
        <f>VLOOKUP(D200,Товары!A:I,3,0)</f>
        <v>Зеркальный шкаф Альба 60 со светильником правый цвет суфле</v>
      </c>
      <c r="H200">
        <f>VLOOKUP(D200,Товары!A:I,6,0)</f>
        <v>75</v>
      </c>
      <c r="I200" t="str">
        <f>VLOOKUP(C200,Магазины!A:C,3,0)</f>
        <v>Ставрополь</v>
      </c>
      <c r="J200">
        <f>VLOOKUP(D200,Товары!A:I,4,0)</f>
        <v>8910</v>
      </c>
      <c r="K200">
        <f t="shared" si="3"/>
        <v>17820</v>
      </c>
    </row>
    <row r="201" spans="1:11" hidden="1" x14ac:dyDescent="0.25">
      <c r="A201">
        <v>200</v>
      </c>
      <c r="B201" s="1">
        <v>45750</v>
      </c>
      <c r="C201" t="s">
        <v>18</v>
      </c>
      <c r="D201" t="s">
        <v>12</v>
      </c>
      <c r="E201" t="s">
        <v>8</v>
      </c>
      <c r="F201">
        <v>3</v>
      </c>
      <c r="G201" t="str">
        <f>VLOOKUP(D201,Товары!A:I,3,0)</f>
        <v>Тумба с раковиной  напол. Сохо 700 белый 2 двери с умыв. Слим</v>
      </c>
      <c r="H201">
        <f>VLOOKUP(D201,Товары!A:I,6,0)</f>
        <v>85</v>
      </c>
      <c r="I201" t="str">
        <f>VLOOKUP(C201,Магазины!A:C,3,0)</f>
        <v>Набережные Челны</v>
      </c>
      <c r="J201">
        <f>VLOOKUP(D201,Товары!A:I,4,0)</f>
        <v>17160</v>
      </c>
      <c r="K201">
        <f t="shared" si="3"/>
        <v>51480</v>
      </c>
    </row>
    <row r="202" spans="1:11" hidden="1" x14ac:dyDescent="0.25">
      <c r="A202">
        <v>201</v>
      </c>
      <c r="B202" s="1">
        <v>45756</v>
      </c>
      <c r="C202" t="s">
        <v>26</v>
      </c>
      <c r="D202" t="s">
        <v>24</v>
      </c>
      <c r="E202" t="s">
        <v>13</v>
      </c>
      <c r="F202">
        <v>3</v>
      </c>
      <c r="G202" t="str">
        <f>VLOOKUP(D202,Товары!A:I,3,0)</f>
        <v>Тумба с раковиной  напол. Леон 600 форест 2 ящика с умыв. Слим</v>
      </c>
      <c r="H202">
        <f>VLOOKUP(D202,Товары!A:I,6,0)</f>
        <v>80</v>
      </c>
      <c r="I202" t="str">
        <f>VLOOKUP(C202,Магазины!A:C,3,0)</f>
        <v>Оренбург</v>
      </c>
      <c r="J202">
        <f>VLOOKUP(D202,Товары!A:I,4,0)</f>
        <v>27150</v>
      </c>
      <c r="K202">
        <f t="shared" si="3"/>
        <v>81450</v>
      </c>
    </row>
    <row r="203" spans="1:11" hidden="1" x14ac:dyDescent="0.25">
      <c r="A203">
        <v>202</v>
      </c>
      <c r="B203" s="1">
        <v>45753</v>
      </c>
      <c r="C203" t="s">
        <v>57</v>
      </c>
      <c r="D203" t="s">
        <v>70</v>
      </c>
      <c r="E203" t="s">
        <v>13</v>
      </c>
      <c r="F203">
        <v>3</v>
      </c>
      <c r="G203" t="str">
        <f>VLOOKUP(D203,Товары!A:I,3,0)</f>
        <v>Тумба с раковиной  напол. Кристалл 700 шато азур 2 ящика с умыв. Слим</v>
      </c>
      <c r="H203">
        <f>VLOOKUP(D203,Товары!A:I,6,0)</f>
        <v>85</v>
      </c>
      <c r="I203" t="str">
        <f>VLOOKUP(C203,Магазины!A:C,3,0)</f>
        <v>Оренбург</v>
      </c>
      <c r="J203">
        <f>VLOOKUP(D203,Товары!A:I,4,0)</f>
        <v>29910</v>
      </c>
      <c r="K203">
        <f t="shared" si="3"/>
        <v>89730</v>
      </c>
    </row>
    <row r="204" spans="1:11" hidden="1" x14ac:dyDescent="0.25">
      <c r="A204">
        <v>203</v>
      </c>
      <c r="B204" s="1">
        <v>45752</v>
      </c>
      <c r="C204" t="s">
        <v>14</v>
      </c>
      <c r="D204" t="s">
        <v>46</v>
      </c>
      <c r="E204" t="s">
        <v>13</v>
      </c>
      <c r="F204">
        <v>3</v>
      </c>
      <c r="G204" t="str">
        <f>VLOOKUP(D204,Товары!A:I,3,0)</f>
        <v>Тумба с раковиной  напол. Сохо 700 белый 2 ящика с умыв. Слим</v>
      </c>
      <c r="H204">
        <f>VLOOKUP(D204,Товары!A:I,6,0)</f>
        <v>85</v>
      </c>
      <c r="I204" t="str">
        <f>VLOOKUP(C204,Магазины!A:C,3,0)</f>
        <v>Оренбург</v>
      </c>
      <c r="J204">
        <f>VLOOKUP(D204,Товары!A:I,4,0)</f>
        <v>18405</v>
      </c>
      <c r="K204">
        <f t="shared" si="3"/>
        <v>55215</v>
      </c>
    </row>
    <row r="205" spans="1:11" hidden="1" x14ac:dyDescent="0.25">
      <c r="A205">
        <v>204</v>
      </c>
      <c r="B205" s="1">
        <v>45749</v>
      </c>
      <c r="C205" t="s">
        <v>58</v>
      </c>
      <c r="D205" t="s">
        <v>56</v>
      </c>
      <c r="E205" t="s">
        <v>13</v>
      </c>
      <c r="F205">
        <v>2</v>
      </c>
      <c r="G205" t="str">
        <f>VLOOKUP(D205,Товары!A:I,3,0)</f>
        <v>Зеркальный шкаф Альба 80 со светильником правый цвет мята</v>
      </c>
      <c r="H205">
        <f>VLOOKUP(D205,Товары!A:I,6,0)</f>
        <v>75</v>
      </c>
      <c r="I205" t="str">
        <f>VLOOKUP(C205,Магазины!A:C,3,0)</f>
        <v>Ставрополь</v>
      </c>
      <c r="J205">
        <f>VLOOKUP(D205,Товары!A:I,4,0)</f>
        <v>9930</v>
      </c>
      <c r="K205">
        <f t="shared" si="3"/>
        <v>19860</v>
      </c>
    </row>
    <row r="206" spans="1:11" hidden="1" x14ac:dyDescent="0.25">
      <c r="A206">
        <v>205</v>
      </c>
      <c r="B206" s="1">
        <v>45749</v>
      </c>
      <c r="C206" t="s">
        <v>57</v>
      </c>
      <c r="D206" t="s">
        <v>74</v>
      </c>
      <c r="E206" t="s">
        <v>8</v>
      </c>
      <c r="F206">
        <v>3</v>
      </c>
      <c r="G206" t="str">
        <f>VLOOKUP(D206,Товары!A:I,3,0)</f>
        <v>Тумба с раковиной  напол. Альба 800 суфле 2 ящика с умыв. Слим</v>
      </c>
      <c r="H206">
        <f>VLOOKUP(D206,Товары!A:I,6,0)</f>
        <v>80</v>
      </c>
      <c r="I206" t="str">
        <f>VLOOKUP(C206,Магазины!A:C,3,0)</f>
        <v>Оренбург</v>
      </c>
      <c r="J206">
        <f>VLOOKUP(D206,Товары!A:I,4,0)</f>
        <v>29340</v>
      </c>
      <c r="K206">
        <f t="shared" si="3"/>
        <v>88020</v>
      </c>
    </row>
    <row r="207" spans="1:11" hidden="1" x14ac:dyDescent="0.25">
      <c r="A207">
        <v>206</v>
      </c>
      <c r="B207" s="1">
        <v>45755</v>
      </c>
      <c r="C207" t="s">
        <v>28</v>
      </c>
      <c r="D207" t="s">
        <v>116</v>
      </c>
      <c r="E207" t="s">
        <v>13</v>
      </c>
      <c r="F207">
        <v>2</v>
      </c>
      <c r="G207" t="str">
        <f>VLOOKUP(D207,Товары!A:I,3,0)</f>
        <v>Зеркало Нева 60 дуб/белый со светильником</v>
      </c>
      <c r="H207">
        <f>VLOOKUP(D207,Товары!A:I,6,0)</f>
        <v>80</v>
      </c>
      <c r="I207" t="str">
        <f>VLOOKUP(C207,Магазины!A:C,3,0)</f>
        <v>Набережные Челны</v>
      </c>
      <c r="J207">
        <f>VLOOKUP(D207,Товары!A:I,4,0)</f>
        <v>5100</v>
      </c>
      <c r="K207">
        <f t="shared" si="3"/>
        <v>10200</v>
      </c>
    </row>
    <row r="208" spans="1:11" hidden="1" x14ac:dyDescent="0.25">
      <c r="A208">
        <v>207</v>
      </c>
      <c r="B208" s="1">
        <v>45749</v>
      </c>
      <c r="C208" t="s">
        <v>35</v>
      </c>
      <c r="D208" t="s">
        <v>24</v>
      </c>
      <c r="E208" t="s">
        <v>13</v>
      </c>
      <c r="F208">
        <v>3</v>
      </c>
      <c r="G208" t="str">
        <f>VLOOKUP(D208,Товары!A:I,3,0)</f>
        <v>Тумба с раковиной  напол. Леон 600 форест 2 ящика с умыв. Слим</v>
      </c>
      <c r="H208">
        <f>VLOOKUP(D208,Товары!A:I,6,0)</f>
        <v>80</v>
      </c>
      <c r="I208" t="str">
        <f>VLOOKUP(C208,Магазины!A:C,3,0)</f>
        <v>Набережные Челны</v>
      </c>
      <c r="J208">
        <f>VLOOKUP(D208,Товары!A:I,4,0)</f>
        <v>27150</v>
      </c>
      <c r="K208">
        <f t="shared" si="3"/>
        <v>81450</v>
      </c>
    </row>
    <row r="209" spans="1:11" hidden="1" x14ac:dyDescent="0.25">
      <c r="A209">
        <v>208</v>
      </c>
      <c r="B209" s="1">
        <v>45753</v>
      </c>
      <c r="C209" t="s">
        <v>41</v>
      </c>
      <c r="D209" t="s">
        <v>96</v>
      </c>
      <c r="E209" t="s">
        <v>13</v>
      </c>
      <c r="F209">
        <v>3</v>
      </c>
      <c r="G209" t="str">
        <f>VLOOKUP(D209,Товары!A:I,3,0)</f>
        <v>Тумба с раковиной  навес. Альба 600 мята 1 ящик с умыв. Океан</v>
      </c>
      <c r="H209">
        <f>VLOOKUP(D209,Товары!A:I,6,0)</f>
        <v>85</v>
      </c>
      <c r="I209" t="str">
        <f>VLOOKUP(C209,Магазины!A:C,3,0)</f>
        <v>Ставрополь</v>
      </c>
      <c r="J209">
        <f>VLOOKUP(D209,Товары!A:I,4,0)</f>
        <v>17625</v>
      </c>
      <c r="K209">
        <f t="shared" si="3"/>
        <v>52875</v>
      </c>
    </row>
    <row r="210" spans="1:11" hidden="1" x14ac:dyDescent="0.25">
      <c r="A210">
        <v>209</v>
      </c>
      <c r="B210" s="1">
        <v>45754</v>
      </c>
      <c r="C210" t="s">
        <v>58</v>
      </c>
      <c r="D210" t="s">
        <v>94</v>
      </c>
      <c r="E210" t="s">
        <v>8</v>
      </c>
      <c r="F210">
        <v>3</v>
      </c>
      <c r="G210" t="str">
        <f>VLOOKUP(D210,Товары!A:I,3,0)</f>
        <v>Зеркальный шкаф Альба 80 со светильником правый цвет антрацит</v>
      </c>
      <c r="H210">
        <f>VLOOKUP(D210,Товары!A:I,6,0)</f>
        <v>75</v>
      </c>
      <c r="I210" t="str">
        <f>VLOOKUP(C210,Магазины!A:C,3,0)</f>
        <v>Ставрополь</v>
      </c>
      <c r="J210">
        <f>VLOOKUP(D210,Товары!A:I,4,0)</f>
        <v>9930</v>
      </c>
      <c r="K210">
        <f t="shared" si="3"/>
        <v>29790</v>
      </c>
    </row>
    <row r="211" spans="1:11" hidden="1" x14ac:dyDescent="0.25">
      <c r="A211">
        <v>210</v>
      </c>
      <c r="B211" s="1">
        <v>45748</v>
      </c>
      <c r="C211" t="s">
        <v>20</v>
      </c>
      <c r="D211" t="s">
        <v>107</v>
      </c>
      <c r="E211" t="s">
        <v>8</v>
      </c>
      <c r="F211">
        <v>1</v>
      </c>
      <c r="G211" t="str">
        <f>VLOOKUP(D211,Товары!A:I,3,0)</f>
        <v>Комод Аква 35 напольный 1 дверь белый правый</v>
      </c>
      <c r="H211">
        <f>VLOOKUP(D211,Товары!A:I,6,0)</f>
        <v>90</v>
      </c>
      <c r="I211" t="str">
        <f>VLOOKUP(C211,Магазины!A:C,3,0)</f>
        <v>Оренбург</v>
      </c>
      <c r="J211">
        <f>VLOOKUP(D211,Товары!A:I,4,0)</f>
        <v>6705</v>
      </c>
      <c r="K211">
        <f t="shared" si="3"/>
        <v>6705</v>
      </c>
    </row>
    <row r="212" spans="1:11" hidden="1" x14ac:dyDescent="0.25">
      <c r="A212">
        <v>211</v>
      </c>
      <c r="B212" s="1">
        <v>45751</v>
      </c>
      <c r="C212" t="s">
        <v>35</v>
      </c>
      <c r="D212" t="s">
        <v>10</v>
      </c>
      <c r="E212" t="s">
        <v>8</v>
      </c>
      <c r="F212">
        <v>3</v>
      </c>
      <c r="G212" t="str">
        <f>VLOOKUP(D212,Товары!A:I,3,0)</f>
        <v>Тумба с раковиной  навес. Альба 700 антрацит 1 ящик с умыв. Слим</v>
      </c>
      <c r="H212">
        <f>VLOOKUP(D212,Товары!A:I,6,0)</f>
        <v>45</v>
      </c>
      <c r="I212" t="str">
        <f>VLOOKUP(C212,Магазины!A:C,3,0)</f>
        <v>Набережные Челны</v>
      </c>
      <c r="J212">
        <f>VLOOKUP(D212,Товары!A:I,4,0)</f>
        <v>20130</v>
      </c>
      <c r="K212">
        <f t="shared" si="3"/>
        <v>60390</v>
      </c>
    </row>
    <row r="213" spans="1:11" hidden="1" x14ac:dyDescent="0.25">
      <c r="A213">
        <v>212</v>
      </c>
      <c r="B213" s="1">
        <v>45749</v>
      </c>
      <c r="C213" t="s">
        <v>43</v>
      </c>
      <c r="D213" t="s">
        <v>47</v>
      </c>
      <c r="E213" t="s">
        <v>13</v>
      </c>
      <c r="F213">
        <v>1</v>
      </c>
      <c r="G213" t="str">
        <f>VLOOKUP(D213,Товары!A:I,3,0)</f>
        <v>Пенал напол. Кристалл 350 шато азур 2 двери</v>
      </c>
      <c r="H213">
        <f>VLOOKUP(D213,Товары!A:I,6,0)</f>
        <v>190</v>
      </c>
      <c r="I213" t="str">
        <f>VLOOKUP(C213,Магазины!A:C,3,0)</f>
        <v>Набережные Челны</v>
      </c>
      <c r="J213">
        <f>VLOOKUP(D213,Товары!A:I,4,0)</f>
        <v>15810</v>
      </c>
      <c r="K213">
        <f t="shared" si="3"/>
        <v>15810</v>
      </c>
    </row>
    <row r="214" spans="1:11" hidden="1" x14ac:dyDescent="0.25">
      <c r="A214">
        <v>213</v>
      </c>
      <c r="B214" s="1">
        <v>45751</v>
      </c>
      <c r="C214" t="s">
        <v>30</v>
      </c>
      <c r="D214" t="s">
        <v>115</v>
      </c>
      <c r="E214" t="s">
        <v>13</v>
      </c>
      <c r="F214">
        <v>1</v>
      </c>
      <c r="G214" t="str">
        <f>VLOOKUP(D214,Товары!A:I,3,0)</f>
        <v>Тумба под стиральную машину Куба Риф 57 напольная 2 ящика под ст/маш, без умывальника /под Marshall 120 Белый</v>
      </c>
      <c r="H214">
        <f>VLOOKUP(D214,Товары!A:I,6,0)</f>
        <v>85</v>
      </c>
      <c r="I214" t="str">
        <f>VLOOKUP(C214,Магазины!A:C,3,0)</f>
        <v>Кемерово</v>
      </c>
      <c r="J214">
        <f>VLOOKUP(D214,Товары!A:I,4,0)</f>
        <v>10530</v>
      </c>
      <c r="K214">
        <f t="shared" si="3"/>
        <v>10530</v>
      </c>
    </row>
    <row r="215" spans="1:11" hidden="1" x14ac:dyDescent="0.25">
      <c r="A215">
        <v>214</v>
      </c>
      <c r="B215" s="1">
        <v>45750</v>
      </c>
      <c r="C215" t="s">
        <v>14</v>
      </c>
      <c r="D215" t="s">
        <v>117</v>
      </c>
      <c r="E215" t="s">
        <v>13</v>
      </c>
      <c r="F215">
        <v>3</v>
      </c>
      <c r="G215" t="str">
        <f>VLOOKUP(D215,Товары!A:I,3,0)</f>
        <v>Тумба с раковиной  навес. Альба 700 антрацит 2 ящика с умыв. Слим</v>
      </c>
      <c r="H215">
        <f>VLOOKUP(D215,Товары!A:I,6,0)</f>
        <v>60</v>
      </c>
      <c r="I215" t="str">
        <f>VLOOKUP(C215,Магазины!A:C,3,0)</f>
        <v>Оренбург</v>
      </c>
      <c r="J215">
        <f>VLOOKUP(D215,Товары!A:I,4,0)</f>
        <v>25095</v>
      </c>
      <c r="K215">
        <f t="shared" si="3"/>
        <v>75285</v>
      </c>
    </row>
    <row r="216" spans="1:11" hidden="1" x14ac:dyDescent="0.25">
      <c r="A216">
        <v>215</v>
      </c>
      <c r="B216" s="1">
        <v>45756</v>
      </c>
      <c r="C216" t="s">
        <v>57</v>
      </c>
      <c r="D216" t="s">
        <v>86</v>
      </c>
      <c r="E216" t="s">
        <v>8</v>
      </c>
      <c r="F216">
        <v>3</v>
      </c>
      <c r="G216" t="str">
        <f>VLOOKUP(D216,Товары!A:I,3,0)</f>
        <v>Комод Аква 50 напольный 1 ящик 2 двери белый</v>
      </c>
      <c r="H216">
        <f>VLOOKUP(D216,Товары!A:I,6,0)</f>
        <v>90</v>
      </c>
      <c r="I216" t="str">
        <f>VLOOKUP(C216,Магазины!A:C,3,0)</f>
        <v>Оренбург</v>
      </c>
      <c r="J216">
        <f>VLOOKUP(D216,Товары!A:I,4,0)</f>
        <v>7260</v>
      </c>
      <c r="K216">
        <f t="shared" si="3"/>
        <v>21780</v>
      </c>
    </row>
    <row r="217" spans="1:11" hidden="1" x14ac:dyDescent="0.25">
      <c r="A217">
        <v>216</v>
      </c>
      <c r="B217" s="1">
        <v>45753</v>
      </c>
      <c r="C217" t="s">
        <v>63</v>
      </c>
      <c r="D217" t="s">
        <v>105</v>
      </c>
      <c r="E217" t="s">
        <v>13</v>
      </c>
      <c r="F217">
        <v>1</v>
      </c>
      <c r="G217" t="str">
        <f>VLOOKUP(D217,Товары!A:I,3,0)</f>
        <v>Тумба с раковиной  напол. Нева 600 белый 2 двери + 1 ящик с умыв. Como</v>
      </c>
      <c r="H217">
        <f>VLOOKUP(D217,Товары!A:I,6,0)</f>
        <v>80</v>
      </c>
      <c r="I217" t="str">
        <f>VLOOKUP(C217,Магазины!A:C,3,0)</f>
        <v>Ставрополь</v>
      </c>
      <c r="J217">
        <f>VLOOKUP(D217,Товары!A:I,4,0)</f>
        <v>13470</v>
      </c>
      <c r="K217">
        <f t="shared" si="3"/>
        <v>13470</v>
      </c>
    </row>
    <row r="218" spans="1:11" hidden="1" x14ac:dyDescent="0.25">
      <c r="A218">
        <v>217</v>
      </c>
      <c r="B218" s="1">
        <v>45749</v>
      </c>
      <c r="C218" t="s">
        <v>11</v>
      </c>
      <c r="D218" t="s">
        <v>106</v>
      </c>
      <c r="E218" t="s">
        <v>13</v>
      </c>
      <c r="F218">
        <v>1</v>
      </c>
      <c r="G218" t="str">
        <f>VLOOKUP(D218,Товары!A:I,3,0)</f>
        <v>Тумба с раковиной  навес. Кристалл 700 шато азур 2 ящика с умыв. Слим</v>
      </c>
      <c r="H218">
        <f>VLOOKUP(D218,Товары!A:I,6,0)</f>
        <v>60</v>
      </c>
      <c r="I218" t="str">
        <f>VLOOKUP(C218,Магазины!A:C,3,0)</f>
        <v>Кемерово</v>
      </c>
      <c r="J218">
        <f>VLOOKUP(D218,Товары!A:I,4,0)</f>
        <v>24150</v>
      </c>
      <c r="K218">
        <f t="shared" si="3"/>
        <v>24150</v>
      </c>
    </row>
    <row r="219" spans="1:11" hidden="1" x14ac:dyDescent="0.25">
      <c r="A219">
        <v>218</v>
      </c>
      <c r="B219" s="1">
        <v>45751</v>
      </c>
      <c r="C219" t="s">
        <v>30</v>
      </c>
      <c r="D219" t="s">
        <v>77</v>
      </c>
      <c r="E219" t="s">
        <v>8</v>
      </c>
      <c r="F219">
        <v>3</v>
      </c>
      <c r="G219" t="str">
        <f>VLOOKUP(D219,Товары!A:I,3,0)</f>
        <v>Тумба с раковиной  напол. Куба Риф 600 белый 2 ящика с умыв. Como</v>
      </c>
      <c r="H219">
        <f>VLOOKUP(D219,Товары!A:I,6,0)</f>
        <v>85</v>
      </c>
      <c r="I219" t="str">
        <f>VLOOKUP(C219,Магазины!A:C,3,0)</f>
        <v>Кемерово</v>
      </c>
      <c r="J219">
        <f>VLOOKUP(D219,Товары!A:I,4,0)</f>
        <v>15660</v>
      </c>
      <c r="K219">
        <f t="shared" si="3"/>
        <v>46980</v>
      </c>
    </row>
    <row r="220" spans="1:11" hidden="1" x14ac:dyDescent="0.25">
      <c r="A220">
        <v>219</v>
      </c>
      <c r="B220" s="1">
        <v>45754</v>
      </c>
      <c r="C220" t="s">
        <v>9</v>
      </c>
      <c r="D220" t="s">
        <v>105</v>
      </c>
      <c r="E220" t="s">
        <v>13</v>
      </c>
      <c r="F220">
        <v>3</v>
      </c>
      <c r="G220" t="str">
        <f>VLOOKUP(D220,Товары!A:I,3,0)</f>
        <v>Тумба с раковиной  напол. Нева 600 белый 2 двери + 1 ящик с умыв. Como</v>
      </c>
      <c r="H220">
        <f>VLOOKUP(D220,Товары!A:I,6,0)</f>
        <v>80</v>
      </c>
      <c r="I220" t="str">
        <f>VLOOKUP(C220,Магазины!A:C,3,0)</f>
        <v>Кемерово</v>
      </c>
      <c r="J220">
        <f>VLOOKUP(D220,Товары!A:I,4,0)</f>
        <v>13470</v>
      </c>
      <c r="K220">
        <f t="shared" si="3"/>
        <v>40410</v>
      </c>
    </row>
    <row r="221" spans="1:11" hidden="1" x14ac:dyDescent="0.25">
      <c r="A221">
        <v>220</v>
      </c>
      <c r="B221" s="1">
        <v>45757</v>
      </c>
      <c r="C221" t="s">
        <v>28</v>
      </c>
      <c r="D221" t="s">
        <v>29</v>
      </c>
      <c r="E221" t="s">
        <v>8</v>
      </c>
      <c r="F221">
        <v>3</v>
      </c>
      <c r="G221" t="str">
        <f>VLOOKUP(D221,Товары!A:I,3,0)</f>
        <v>Тумба с раковиной  напол. Леон Риф 600 солярис/белый риф 2 ящика с умыв. Океан</v>
      </c>
      <c r="H221">
        <f>VLOOKUP(D221,Товары!A:I,6,0)</f>
        <v>80</v>
      </c>
      <c r="I221" t="str">
        <f>VLOOKUP(C221,Магазины!A:C,3,0)</f>
        <v>Набережные Челны</v>
      </c>
      <c r="J221">
        <f>VLOOKUP(D221,Товары!A:I,4,0)</f>
        <v>24150</v>
      </c>
      <c r="K221">
        <f t="shared" si="3"/>
        <v>72450</v>
      </c>
    </row>
    <row r="222" spans="1:11" hidden="1" x14ac:dyDescent="0.25">
      <c r="A222">
        <v>221</v>
      </c>
      <c r="B222" s="1">
        <v>45751</v>
      </c>
      <c r="C222" t="s">
        <v>18</v>
      </c>
      <c r="D222" t="s">
        <v>89</v>
      </c>
      <c r="E222" t="s">
        <v>8</v>
      </c>
      <c r="F222">
        <v>2</v>
      </c>
      <c r="G222" t="str">
        <f>VLOOKUP(D222,Товары!A:I,3,0)</f>
        <v>Тумба с раковиной  напол. Сохо 600 белый 2 двери с умыв. Океан</v>
      </c>
      <c r="H222">
        <f>VLOOKUP(D222,Товары!A:I,6,0)</f>
        <v>85</v>
      </c>
      <c r="I222" t="str">
        <f>VLOOKUP(C222,Магазины!A:C,3,0)</f>
        <v>Набережные Челны</v>
      </c>
      <c r="J222">
        <f>VLOOKUP(D222,Товары!A:I,4,0)</f>
        <v>14880</v>
      </c>
      <c r="K222">
        <f t="shared" si="3"/>
        <v>29760</v>
      </c>
    </row>
    <row r="223" spans="1:11" hidden="1" x14ac:dyDescent="0.25">
      <c r="A223">
        <v>222</v>
      </c>
      <c r="B223" s="1">
        <v>45750</v>
      </c>
      <c r="C223" t="s">
        <v>43</v>
      </c>
      <c r="D223" t="s">
        <v>56</v>
      </c>
      <c r="E223" t="s">
        <v>13</v>
      </c>
      <c r="F223">
        <v>1</v>
      </c>
      <c r="G223" t="str">
        <f>VLOOKUP(D223,Товары!A:I,3,0)</f>
        <v>Зеркальный шкаф Альба 80 со светильником правый цвет мята</v>
      </c>
      <c r="H223">
        <f>VLOOKUP(D223,Товары!A:I,6,0)</f>
        <v>75</v>
      </c>
      <c r="I223" t="str">
        <f>VLOOKUP(C223,Магазины!A:C,3,0)</f>
        <v>Набережные Челны</v>
      </c>
      <c r="J223">
        <f>VLOOKUP(D223,Товары!A:I,4,0)</f>
        <v>9930</v>
      </c>
      <c r="K223">
        <f t="shared" si="3"/>
        <v>9930</v>
      </c>
    </row>
    <row r="224" spans="1:11" hidden="1" x14ac:dyDescent="0.25">
      <c r="A224">
        <v>223</v>
      </c>
      <c r="B224" s="1">
        <v>45755</v>
      </c>
      <c r="C224" t="s">
        <v>9</v>
      </c>
      <c r="D224" t="s">
        <v>60</v>
      </c>
      <c r="E224" t="s">
        <v>13</v>
      </c>
      <c r="F224">
        <v>3</v>
      </c>
      <c r="G224" t="str">
        <f>VLOOKUP(D224,Товары!A:I,3,0)</f>
        <v>Пенал навес. Куба Риф 350 белый 2 двери</v>
      </c>
      <c r="H224">
        <f>VLOOKUP(D224,Товары!A:I,6,0)</f>
        <v>150</v>
      </c>
      <c r="I224" t="str">
        <f>VLOOKUP(C224,Магазины!A:C,3,0)</f>
        <v>Кемерово</v>
      </c>
      <c r="J224">
        <f>VLOOKUP(D224,Товары!A:I,4,0)</f>
        <v>9720</v>
      </c>
      <c r="K224">
        <f t="shared" si="3"/>
        <v>29160</v>
      </c>
    </row>
    <row r="225" spans="1:11" hidden="1" x14ac:dyDescent="0.25">
      <c r="A225">
        <v>224</v>
      </c>
      <c r="B225" s="1">
        <v>45756</v>
      </c>
      <c r="C225" t="s">
        <v>63</v>
      </c>
      <c r="D225" t="s">
        <v>118</v>
      </c>
      <c r="E225" t="s">
        <v>8</v>
      </c>
      <c r="F225">
        <v>3</v>
      </c>
      <c r="G225" t="str">
        <f>VLOOKUP(D225,Товары!A:I,3,0)</f>
        <v>Тумба с раковиной  напол. Сохо 800 белый 2 ящика с умыв. Слим</v>
      </c>
      <c r="H225">
        <f>VLOOKUP(D225,Товары!A:I,6,0)</f>
        <v>85</v>
      </c>
      <c r="I225" t="str">
        <f>VLOOKUP(C225,Магазины!A:C,3,0)</f>
        <v>Ставрополь</v>
      </c>
      <c r="J225">
        <f>VLOOKUP(D225,Товары!A:I,4,0)</f>
        <v>19575</v>
      </c>
      <c r="K225">
        <f t="shared" si="3"/>
        <v>58725</v>
      </c>
    </row>
    <row r="226" spans="1:11" hidden="1" x14ac:dyDescent="0.25">
      <c r="A226">
        <v>225</v>
      </c>
      <c r="B226" s="1">
        <v>45755</v>
      </c>
      <c r="C226" t="s">
        <v>22</v>
      </c>
      <c r="D226" t="s">
        <v>47</v>
      </c>
      <c r="E226" t="s">
        <v>13</v>
      </c>
      <c r="F226">
        <v>1</v>
      </c>
      <c r="G226" t="str">
        <f>VLOOKUP(D226,Товары!A:I,3,0)</f>
        <v>Пенал напол. Кристалл 350 шато азур 2 двери</v>
      </c>
      <c r="H226">
        <f>VLOOKUP(D226,Товары!A:I,6,0)</f>
        <v>190</v>
      </c>
      <c r="I226" t="str">
        <f>VLOOKUP(C226,Магазины!A:C,3,0)</f>
        <v>Кемерово</v>
      </c>
      <c r="J226">
        <f>VLOOKUP(D226,Товары!A:I,4,0)</f>
        <v>15810</v>
      </c>
      <c r="K226">
        <f t="shared" si="3"/>
        <v>15810</v>
      </c>
    </row>
    <row r="227" spans="1:11" hidden="1" x14ac:dyDescent="0.25">
      <c r="A227">
        <v>226</v>
      </c>
      <c r="B227" s="1">
        <v>45748</v>
      </c>
      <c r="C227" t="s">
        <v>33</v>
      </c>
      <c r="D227" t="s">
        <v>85</v>
      </c>
      <c r="E227" t="s">
        <v>8</v>
      </c>
      <c r="F227">
        <v>2</v>
      </c>
      <c r="G227" t="str">
        <f>VLOOKUP(D227,Товары!A:I,3,0)</f>
        <v>Пенал напол. Аква 450 белый 2 двери + 2 ящика + корзина</v>
      </c>
      <c r="H227">
        <f>VLOOKUP(D227,Товары!A:I,6,0)</f>
        <v>190</v>
      </c>
      <c r="I227" t="str">
        <f>VLOOKUP(C227,Магазины!A:C,3,0)</f>
        <v>Набережные Челны</v>
      </c>
      <c r="J227">
        <f>VLOOKUP(D227,Товары!A:I,4,0)</f>
        <v>13335</v>
      </c>
      <c r="K227">
        <f t="shared" si="3"/>
        <v>26670</v>
      </c>
    </row>
    <row r="228" spans="1:11" hidden="1" x14ac:dyDescent="0.25">
      <c r="A228">
        <v>227</v>
      </c>
      <c r="B228" s="1">
        <v>45750</v>
      </c>
      <c r="C228" t="s">
        <v>111</v>
      </c>
      <c r="D228" t="s">
        <v>101</v>
      </c>
      <c r="E228" t="s">
        <v>13</v>
      </c>
      <c r="F228">
        <v>3</v>
      </c>
      <c r="G228" t="str">
        <f>VLOOKUP(D228,Товары!A:I,3,0)</f>
        <v>Пенал напол. Сохо 400 белый 2 двери + 1 ящик</v>
      </c>
      <c r="H228">
        <f>VLOOKUP(D228,Товары!A:I,6,0)</f>
        <v>190</v>
      </c>
      <c r="I228" t="str">
        <f>VLOOKUP(C228,Магазины!A:C,3,0)</f>
        <v>Набережные Челны</v>
      </c>
      <c r="J228">
        <f>VLOOKUP(D228,Товары!A:I,4,0)</f>
        <v>11040</v>
      </c>
      <c r="K228">
        <f t="shared" si="3"/>
        <v>33120</v>
      </c>
    </row>
    <row r="229" spans="1:11" hidden="1" x14ac:dyDescent="0.25">
      <c r="A229">
        <v>228</v>
      </c>
      <c r="B229" s="1">
        <v>45751</v>
      </c>
      <c r="C229" t="s">
        <v>103</v>
      </c>
      <c r="D229" t="s">
        <v>53</v>
      </c>
      <c r="E229" t="s">
        <v>8</v>
      </c>
      <c r="F229">
        <v>1</v>
      </c>
      <c r="G229" t="str">
        <f>VLOOKUP(D229,Товары!A:I,3,0)</f>
        <v>Тумба с раковиной  напол. Кристалл 600 шато азур 2 ящика с умыв. Океан</v>
      </c>
      <c r="H229">
        <f>VLOOKUP(D229,Товары!A:I,6,0)</f>
        <v>85</v>
      </c>
      <c r="I229" t="str">
        <f>VLOOKUP(C229,Магазины!A:C,3,0)</f>
        <v>Ставрополь</v>
      </c>
      <c r="J229">
        <f>VLOOKUP(D229,Товары!A:I,4,0)</f>
        <v>27600</v>
      </c>
      <c r="K229">
        <f t="shared" si="3"/>
        <v>27600</v>
      </c>
    </row>
    <row r="230" spans="1:11" hidden="1" x14ac:dyDescent="0.25">
      <c r="A230">
        <v>229</v>
      </c>
      <c r="B230" s="1">
        <v>45757</v>
      </c>
      <c r="C230" t="s">
        <v>26</v>
      </c>
      <c r="D230" t="s">
        <v>29</v>
      </c>
      <c r="E230" t="s">
        <v>13</v>
      </c>
      <c r="F230">
        <v>1</v>
      </c>
      <c r="G230" t="str">
        <f>VLOOKUP(D230,Товары!A:I,3,0)</f>
        <v>Тумба с раковиной  напол. Леон Риф 600 солярис/белый риф 2 ящика с умыв. Океан</v>
      </c>
      <c r="H230">
        <f>VLOOKUP(D230,Товары!A:I,6,0)</f>
        <v>80</v>
      </c>
      <c r="I230" t="str">
        <f>VLOOKUP(C230,Магазины!A:C,3,0)</f>
        <v>Оренбург</v>
      </c>
      <c r="J230">
        <f>VLOOKUP(D230,Товары!A:I,4,0)</f>
        <v>24150</v>
      </c>
      <c r="K230">
        <f t="shared" si="3"/>
        <v>24150</v>
      </c>
    </row>
    <row r="231" spans="1:11" hidden="1" x14ac:dyDescent="0.25">
      <c r="A231">
        <v>230</v>
      </c>
      <c r="B231" s="1">
        <v>45748</v>
      </c>
      <c r="C231" t="s">
        <v>6</v>
      </c>
      <c r="D231" t="s">
        <v>62</v>
      </c>
      <c r="E231" t="s">
        <v>8</v>
      </c>
      <c r="F231">
        <v>1</v>
      </c>
      <c r="G231" t="str">
        <f>VLOOKUP(D231,Товары!A:I,3,0)</f>
        <v>Тумба с раковиной  напол. Альба 600 мята 2 ящика с умыв. Океан</v>
      </c>
      <c r="H231">
        <f>VLOOKUP(D231,Товары!A:I,6,0)</f>
        <v>80</v>
      </c>
      <c r="I231" t="str">
        <f>VLOOKUP(C231,Магазины!A:C,3,0)</f>
        <v>Оренбург</v>
      </c>
      <c r="J231">
        <f>VLOOKUP(D231,Товары!A:I,4,0)</f>
        <v>26370</v>
      </c>
      <c r="K231">
        <f t="shared" si="3"/>
        <v>26370</v>
      </c>
    </row>
    <row r="232" spans="1:11" hidden="1" x14ac:dyDescent="0.25">
      <c r="A232">
        <v>231</v>
      </c>
      <c r="B232" s="1">
        <v>45753</v>
      </c>
      <c r="C232" t="s">
        <v>20</v>
      </c>
      <c r="D232" t="s">
        <v>36</v>
      </c>
      <c r="E232" t="s">
        <v>13</v>
      </c>
      <c r="F232">
        <v>1</v>
      </c>
      <c r="G232" t="str">
        <f>VLOOKUP(D232,Товары!A:I,3,0)</f>
        <v>Тумба с раковиной  напол. Альба 800 мята 2 ящика с умыв. Слим</v>
      </c>
      <c r="H232">
        <f>VLOOKUP(D232,Товары!A:I,6,0)</f>
        <v>80</v>
      </c>
      <c r="I232" t="str">
        <f>VLOOKUP(C232,Магазины!A:C,3,0)</f>
        <v>Оренбург</v>
      </c>
      <c r="J232">
        <f>VLOOKUP(D232,Товары!A:I,4,0)</f>
        <v>29340</v>
      </c>
      <c r="K232">
        <f t="shared" si="3"/>
        <v>29340</v>
      </c>
    </row>
    <row r="233" spans="1:11" hidden="1" x14ac:dyDescent="0.25">
      <c r="A233">
        <v>232</v>
      </c>
      <c r="B233" s="1">
        <v>45752</v>
      </c>
      <c r="C233" t="s">
        <v>48</v>
      </c>
      <c r="D233" t="s">
        <v>25</v>
      </c>
      <c r="E233" t="s">
        <v>8</v>
      </c>
      <c r="F233">
        <v>2</v>
      </c>
      <c r="G233" t="str">
        <f>VLOOKUP(D233,Товары!A:I,3,0)</f>
        <v>Пенал напол. Леон 400 оникс 2 двери + 1 ящик</v>
      </c>
      <c r="H233">
        <f>VLOOKUP(D233,Товары!A:I,6,0)</f>
        <v>190</v>
      </c>
      <c r="I233" t="str">
        <f>VLOOKUP(C233,Магазины!A:C,3,0)</f>
        <v>Ставрополь</v>
      </c>
      <c r="J233">
        <f>VLOOKUP(D233,Товары!A:I,4,0)</f>
        <v>18450</v>
      </c>
      <c r="K233">
        <f t="shared" si="3"/>
        <v>36900</v>
      </c>
    </row>
    <row r="234" spans="1:11" hidden="1" x14ac:dyDescent="0.25">
      <c r="A234">
        <v>233</v>
      </c>
      <c r="B234" s="1">
        <v>45753</v>
      </c>
      <c r="C234" t="s">
        <v>26</v>
      </c>
      <c r="D234" t="s">
        <v>40</v>
      </c>
      <c r="E234" t="s">
        <v>8</v>
      </c>
      <c r="F234">
        <v>3</v>
      </c>
      <c r="G234" t="str">
        <f>VLOOKUP(D234,Товары!A:I,3,0)</f>
        <v>Тумба с раковиной  навес. Рица 800 cерый/керамика 1 ящик + ниша 1 с умыв. Слим</v>
      </c>
      <c r="H234">
        <f>VLOOKUP(D234,Товары!A:I,6,0)</f>
        <v>60</v>
      </c>
      <c r="I234" t="str">
        <f>VLOOKUP(C234,Магазины!A:C,3,0)</f>
        <v>Оренбург</v>
      </c>
      <c r="J234">
        <f>VLOOKUP(D234,Товары!A:I,4,0)</f>
        <v>22425</v>
      </c>
      <c r="K234">
        <f t="shared" si="3"/>
        <v>67275</v>
      </c>
    </row>
    <row r="235" spans="1:11" hidden="1" x14ac:dyDescent="0.25">
      <c r="A235">
        <v>234</v>
      </c>
      <c r="B235" s="1">
        <v>45752</v>
      </c>
      <c r="C235" t="s">
        <v>16</v>
      </c>
      <c r="D235" t="s">
        <v>119</v>
      </c>
      <c r="E235" t="s">
        <v>13</v>
      </c>
      <c r="F235">
        <v>2</v>
      </c>
      <c r="G235" t="str">
        <f>VLOOKUP(D235,Товары!A:I,3,0)</f>
        <v>Пенал навес./напол. Рица 350 cерый/керамика 2 двери</v>
      </c>
      <c r="H235">
        <f>VLOOKUP(D235,Товары!A:I,6,0)</f>
        <v>160</v>
      </c>
      <c r="I235" t="str">
        <f>VLOOKUP(C235,Магазины!A:C,3,0)</f>
        <v>Оренбург</v>
      </c>
      <c r="J235">
        <f>VLOOKUP(D235,Товары!A:I,4,0)</f>
        <v>11250</v>
      </c>
      <c r="K235">
        <f t="shared" si="3"/>
        <v>22500</v>
      </c>
    </row>
    <row r="236" spans="1:11" hidden="1" x14ac:dyDescent="0.25">
      <c r="A236">
        <v>235</v>
      </c>
      <c r="B236" s="1">
        <v>45751</v>
      </c>
      <c r="C236" t="s">
        <v>111</v>
      </c>
      <c r="D236" t="s">
        <v>31</v>
      </c>
      <c r="E236" t="s">
        <v>8</v>
      </c>
      <c r="F236">
        <v>3</v>
      </c>
      <c r="G236" t="str">
        <f>VLOOKUP(D236,Товары!A:I,3,0)</f>
        <v>Пенал напол. Виктория 350 белый 2 двери</v>
      </c>
      <c r="H236">
        <f>VLOOKUP(D236,Товары!A:I,6,0)</f>
        <v>190</v>
      </c>
      <c r="I236" t="str">
        <f>VLOOKUP(C236,Магазины!A:C,3,0)</f>
        <v>Набережные Челны</v>
      </c>
      <c r="J236">
        <f>VLOOKUP(D236,Товары!A:I,4,0)</f>
        <v>14085</v>
      </c>
      <c r="K236">
        <f t="shared" si="3"/>
        <v>42255</v>
      </c>
    </row>
    <row r="237" spans="1:11" hidden="1" x14ac:dyDescent="0.25">
      <c r="A237">
        <v>236</v>
      </c>
      <c r="B237" s="1">
        <v>45755</v>
      </c>
      <c r="C237" t="s">
        <v>11</v>
      </c>
      <c r="D237" t="s">
        <v>119</v>
      </c>
      <c r="E237" t="s">
        <v>13</v>
      </c>
      <c r="F237">
        <v>1</v>
      </c>
      <c r="G237" t="str">
        <f>VLOOKUP(D237,Товары!A:I,3,0)</f>
        <v>Пенал навес./напол. Рица 350 cерый/керамика 2 двери</v>
      </c>
      <c r="H237">
        <f>VLOOKUP(D237,Товары!A:I,6,0)</f>
        <v>160</v>
      </c>
      <c r="I237" t="str">
        <f>VLOOKUP(C237,Магазины!A:C,3,0)</f>
        <v>Кемерово</v>
      </c>
      <c r="J237">
        <f>VLOOKUP(D237,Товары!A:I,4,0)</f>
        <v>11250</v>
      </c>
      <c r="K237">
        <f t="shared" si="3"/>
        <v>11250</v>
      </c>
    </row>
    <row r="238" spans="1:11" hidden="1" x14ac:dyDescent="0.25">
      <c r="A238">
        <v>237</v>
      </c>
      <c r="B238" s="1">
        <v>45749</v>
      </c>
      <c r="C238" t="s">
        <v>16</v>
      </c>
      <c r="D238" t="s">
        <v>106</v>
      </c>
      <c r="E238" t="s">
        <v>13</v>
      </c>
      <c r="F238">
        <v>2</v>
      </c>
      <c r="G238" t="str">
        <f>VLOOKUP(D238,Товары!A:I,3,0)</f>
        <v>Тумба с раковиной  навес. Кристалл 700 шато азур 2 ящика с умыв. Слим</v>
      </c>
      <c r="H238">
        <f>VLOOKUP(D238,Товары!A:I,6,0)</f>
        <v>60</v>
      </c>
      <c r="I238" t="str">
        <f>VLOOKUP(C238,Магазины!A:C,3,0)</f>
        <v>Оренбург</v>
      </c>
      <c r="J238">
        <f>VLOOKUP(D238,Товары!A:I,4,0)</f>
        <v>24150</v>
      </c>
      <c r="K238">
        <f t="shared" si="3"/>
        <v>48300</v>
      </c>
    </row>
    <row r="239" spans="1:11" hidden="1" x14ac:dyDescent="0.25">
      <c r="A239">
        <v>238</v>
      </c>
      <c r="B239" s="1">
        <v>45756</v>
      </c>
      <c r="C239" t="s">
        <v>22</v>
      </c>
      <c r="D239" t="s">
        <v>62</v>
      </c>
      <c r="E239" t="s">
        <v>13</v>
      </c>
      <c r="F239">
        <v>3</v>
      </c>
      <c r="G239" t="str">
        <f>VLOOKUP(D239,Товары!A:I,3,0)</f>
        <v>Тумба с раковиной  напол. Альба 600 мята 2 ящика с умыв. Океан</v>
      </c>
      <c r="H239">
        <f>VLOOKUP(D239,Товары!A:I,6,0)</f>
        <v>80</v>
      </c>
      <c r="I239" t="str">
        <f>VLOOKUP(C239,Магазины!A:C,3,0)</f>
        <v>Кемерово</v>
      </c>
      <c r="J239">
        <f>VLOOKUP(D239,Товары!A:I,4,0)</f>
        <v>26370</v>
      </c>
      <c r="K239">
        <f t="shared" si="3"/>
        <v>79110</v>
      </c>
    </row>
    <row r="240" spans="1:11" hidden="1" x14ac:dyDescent="0.25">
      <c r="A240">
        <v>239</v>
      </c>
      <c r="B240" s="1">
        <v>45749</v>
      </c>
      <c r="C240" t="s">
        <v>30</v>
      </c>
      <c r="D240" t="s">
        <v>34</v>
      </c>
      <c r="E240" t="s">
        <v>8</v>
      </c>
      <c r="F240">
        <v>3</v>
      </c>
      <c r="G240" t="str">
        <f>VLOOKUP(D240,Товары!A:I,3,0)</f>
        <v>Тумба с раковиной  навес. Леон 700 форест 2 ящика с умыв. Слим</v>
      </c>
      <c r="H240">
        <f>VLOOKUP(D240,Товары!A:I,6,0)</f>
        <v>60</v>
      </c>
      <c r="I240" t="str">
        <f>VLOOKUP(C240,Магазины!A:C,3,0)</f>
        <v>Кемерово</v>
      </c>
      <c r="J240">
        <f>VLOOKUP(D240,Товары!A:I,4,0)</f>
        <v>26220</v>
      </c>
      <c r="K240">
        <f t="shared" si="3"/>
        <v>78660</v>
      </c>
    </row>
    <row r="241" spans="1:11" hidden="1" x14ac:dyDescent="0.25">
      <c r="A241">
        <v>240</v>
      </c>
      <c r="B241" s="1">
        <v>45752</v>
      </c>
      <c r="C241" t="s">
        <v>103</v>
      </c>
      <c r="D241" t="s">
        <v>90</v>
      </c>
      <c r="E241" t="s">
        <v>8</v>
      </c>
      <c r="F241">
        <v>2</v>
      </c>
      <c r="G241" t="str">
        <f>VLOOKUP(D241,Товары!A:I,3,0)</f>
        <v>Пенал напол. Аква 350 белый 2 двери + 2 ящика</v>
      </c>
      <c r="H241">
        <f>VLOOKUP(D241,Товары!A:I,6,0)</f>
        <v>190</v>
      </c>
      <c r="I241" t="str">
        <f>VLOOKUP(C241,Магазины!A:C,3,0)</f>
        <v>Ставрополь</v>
      </c>
      <c r="J241">
        <f>VLOOKUP(D241,Товары!A:I,4,0)</f>
        <v>10650</v>
      </c>
      <c r="K241">
        <f t="shared" si="3"/>
        <v>21300</v>
      </c>
    </row>
    <row r="242" spans="1:11" hidden="1" x14ac:dyDescent="0.25">
      <c r="A242">
        <v>241</v>
      </c>
      <c r="B242" s="1">
        <v>45751</v>
      </c>
      <c r="C242" t="s">
        <v>54</v>
      </c>
      <c r="D242" t="s">
        <v>62</v>
      </c>
      <c r="E242" t="s">
        <v>8</v>
      </c>
      <c r="F242">
        <v>1</v>
      </c>
      <c r="G242" t="str">
        <f>VLOOKUP(D242,Товары!A:I,3,0)</f>
        <v>Тумба с раковиной  напол. Альба 600 мята 2 ящика с умыв. Океан</v>
      </c>
      <c r="H242">
        <f>VLOOKUP(D242,Товары!A:I,6,0)</f>
        <v>80</v>
      </c>
      <c r="I242" t="str">
        <f>VLOOKUP(C242,Магазины!A:C,3,0)</f>
        <v>Ставрополь</v>
      </c>
      <c r="J242">
        <f>VLOOKUP(D242,Товары!A:I,4,0)</f>
        <v>26370</v>
      </c>
      <c r="K242">
        <f t="shared" si="3"/>
        <v>26370</v>
      </c>
    </row>
    <row r="243" spans="1:11" hidden="1" x14ac:dyDescent="0.25">
      <c r="A243">
        <v>242</v>
      </c>
      <c r="B243" s="1">
        <v>45751</v>
      </c>
      <c r="C243" t="s">
        <v>48</v>
      </c>
      <c r="D243" t="s">
        <v>32</v>
      </c>
      <c r="E243" t="s">
        <v>8</v>
      </c>
      <c r="F243">
        <v>2</v>
      </c>
      <c r="G243" t="str">
        <f>VLOOKUP(D243,Товары!A:I,3,0)</f>
        <v>Тумба с раковиной  напол. Леон Риф 700 солярис/белый риф 2 ящика с умыв. Слим</v>
      </c>
      <c r="H243">
        <f>VLOOKUP(D243,Товары!A:I,6,0)</f>
        <v>85</v>
      </c>
      <c r="I243" t="str">
        <f>VLOOKUP(C243,Магазины!A:C,3,0)</f>
        <v>Ставрополь</v>
      </c>
      <c r="J243">
        <f>VLOOKUP(D243,Товары!A:I,4,0)</f>
        <v>26460</v>
      </c>
      <c r="K243">
        <f t="shared" si="3"/>
        <v>52920</v>
      </c>
    </row>
    <row r="244" spans="1:11" hidden="1" x14ac:dyDescent="0.25">
      <c r="A244">
        <v>243</v>
      </c>
      <c r="B244" s="1">
        <v>45753</v>
      </c>
      <c r="C244" t="s">
        <v>48</v>
      </c>
      <c r="D244" t="s">
        <v>24</v>
      </c>
      <c r="E244" t="s">
        <v>8</v>
      </c>
      <c r="F244">
        <v>2</v>
      </c>
      <c r="G244" t="str">
        <f>VLOOKUP(D244,Товары!A:I,3,0)</f>
        <v>Тумба с раковиной  напол. Леон 600 форест 2 ящика с умыв. Слим</v>
      </c>
      <c r="H244">
        <f>VLOOKUP(D244,Товары!A:I,6,0)</f>
        <v>80</v>
      </c>
      <c r="I244" t="str">
        <f>VLOOKUP(C244,Магазины!A:C,3,0)</f>
        <v>Ставрополь</v>
      </c>
      <c r="J244">
        <f>VLOOKUP(D244,Товары!A:I,4,0)</f>
        <v>27150</v>
      </c>
      <c r="K244">
        <f t="shared" si="3"/>
        <v>54300</v>
      </c>
    </row>
    <row r="245" spans="1:11" hidden="1" x14ac:dyDescent="0.25">
      <c r="A245">
        <v>244</v>
      </c>
      <c r="B245" s="1">
        <v>45757</v>
      </c>
      <c r="C245" t="s">
        <v>6</v>
      </c>
      <c r="D245" t="s">
        <v>120</v>
      </c>
      <c r="E245" t="s">
        <v>13</v>
      </c>
      <c r="F245">
        <v>1</v>
      </c>
      <c r="G245" t="str">
        <f>VLOOKUP(D245,Товары!A:I,3,0)</f>
        <v>Зеркальный шкаф Альба 60 со светильником правый цвет антрацит</v>
      </c>
      <c r="H245">
        <f>VLOOKUP(D245,Товары!A:I,6,0)</f>
        <v>75</v>
      </c>
      <c r="I245" t="str">
        <f>VLOOKUP(C245,Магазины!A:C,3,0)</f>
        <v>Оренбург</v>
      </c>
      <c r="J245">
        <f>VLOOKUP(D245,Товары!A:I,4,0)</f>
        <v>8910</v>
      </c>
      <c r="K245">
        <f t="shared" si="3"/>
        <v>8910</v>
      </c>
    </row>
    <row r="246" spans="1:11" hidden="1" x14ac:dyDescent="0.25">
      <c r="A246">
        <v>245</v>
      </c>
      <c r="B246" s="1">
        <v>45755</v>
      </c>
      <c r="C246" t="s">
        <v>28</v>
      </c>
      <c r="D246" t="s">
        <v>40</v>
      </c>
      <c r="E246" t="s">
        <v>8</v>
      </c>
      <c r="F246">
        <v>1</v>
      </c>
      <c r="G246" t="str">
        <f>VLOOKUP(D246,Товары!A:I,3,0)</f>
        <v>Тумба с раковиной  навес. Рица 800 cерый/керамика 1 ящик + ниша 1 с умыв. Слим</v>
      </c>
      <c r="H246">
        <f>VLOOKUP(D246,Товары!A:I,6,0)</f>
        <v>60</v>
      </c>
      <c r="I246" t="str">
        <f>VLOOKUP(C246,Магазины!A:C,3,0)</f>
        <v>Набережные Челны</v>
      </c>
      <c r="J246">
        <f>VLOOKUP(D246,Товары!A:I,4,0)</f>
        <v>22425</v>
      </c>
      <c r="K246">
        <f t="shared" si="3"/>
        <v>22425</v>
      </c>
    </row>
    <row r="247" spans="1:11" hidden="1" x14ac:dyDescent="0.25">
      <c r="A247">
        <v>246</v>
      </c>
      <c r="B247" s="1">
        <v>45748</v>
      </c>
      <c r="C247" t="s">
        <v>103</v>
      </c>
      <c r="D247" t="s">
        <v>40</v>
      </c>
      <c r="E247" t="s">
        <v>13</v>
      </c>
      <c r="F247">
        <v>1</v>
      </c>
      <c r="G247" t="str">
        <f>VLOOKUP(D247,Товары!A:I,3,0)</f>
        <v>Тумба с раковиной  навес. Рица 800 cерый/керамика 1 ящик + ниша 1 с умыв. Слим</v>
      </c>
      <c r="H247">
        <f>VLOOKUP(D247,Товары!A:I,6,0)</f>
        <v>60</v>
      </c>
      <c r="I247" t="str">
        <f>VLOOKUP(C247,Магазины!A:C,3,0)</f>
        <v>Ставрополь</v>
      </c>
      <c r="J247">
        <f>VLOOKUP(D247,Товары!A:I,4,0)</f>
        <v>22425</v>
      </c>
      <c r="K247">
        <f t="shared" si="3"/>
        <v>22425</v>
      </c>
    </row>
    <row r="248" spans="1:11" hidden="1" x14ac:dyDescent="0.25">
      <c r="A248">
        <v>247</v>
      </c>
      <c r="B248" s="1">
        <v>45753</v>
      </c>
      <c r="C248" t="s">
        <v>33</v>
      </c>
      <c r="D248" t="s">
        <v>112</v>
      </c>
      <c r="E248" t="s">
        <v>13</v>
      </c>
      <c r="F248">
        <v>3</v>
      </c>
      <c r="G248" t="str">
        <f>VLOOKUP(D248,Товары!A:I,3,0)</f>
        <v>Тумба с раковиной  напол. Аква 560 белый 2 двери с умыв. Уют</v>
      </c>
      <c r="H248">
        <f>VLOOKUP(D248,Товары!A:I,6,0)</f>
        <v>85</v>
      </c>
      <c r="I248" t="str">
        <f>VLOOKUP(C248,Магазины!A:C,3,0)</f>
        <v>Набережные Челны</v>
      </c>
      <c r="J248">
        <f>VLOOKUP(D248,Товары!A:I,4,0)</f>
        <v>9330</v>
      </c>
      <c r="K248">
        <f t="shared" si="3"/>
        <v>27990</v>
      </c>
    </row>
    <row r="249" spans="1:11" hidden="1" x14ac:dyDescent="0.25">
      <c r="A249">
        <v>248</v>
      </c>
      <c r="B249" s="1">
        <v>45754</v>
      </c>
      <c r="C249" t="s">
        <v>58</v>
      </c>
      <c r="D249" t="s">
        <v>44</v>
      </c>
      <c r="E249" t="s">
        <v>13</v>
      </c>
      <c r="F249">
        <v>1</v>
      </c>
      <c r="G249" t="str">
        <f>VLOOKUP(D249,Товары!A:I,3,0)</f>
        <v>Тумба с раковиной  навес. Кристалл 800 шато азур 2 ящика с умыв. Комфорт</v>
      </c>
      <c r="H249">
        <f>VLOOKUP(D249,Товары!A:I,6,0)</f>
        <v>55</v>
      </c>
      <c r="I249" t="str">
        <f>VLOOKUP(C249,Магазины!A:C,3,0)</f>
        <v>Ставрополь</v>
      </c>
      <c r="J249">
        <f>VLOOKUP(D249,Товары!A:I,4,0)</f>
        <v>25080</v>
      </c>
      <c r="K249">
        <f t="shared" si="3"/>
        <v>25080</v>
      </c>
    </row>
    <row r="250" spans="1:11" hidden="1" x14ac:dyDescent="0.25">
      <c r="A250">
        <v>249</v>
      </c>
      <c r="B250" s="1">
        <v>45756</v>
      </c>
      <c r="C250" t="s">
        <v>11</v>
      </c>
      <c r="D250" t="s">
        <v>64</v>
      </c>
      <c r="E250" t="s">
        <v>8</v>
      </c>
      <c r="F250">
        <v>2</v>
      </c>
      <c r="G250" t="str">
        <f>VLOOKUP(D250,Товары!A:I,3,0)</f>
        <v>Тумба с раковиной  напол. Рица 800 антрацит 2 ящика с умыв. Слим</v>
      </c>
      <c r="H250">
        <f>VLOOKUP(D250,Товары!A:I,6,0)</f>
        <v>80</v>
      </c>
      <c r="I250" t="str">
        <f>VLOOKUP(C250,Магазины!A:C,3,0)</f>
        <v>Кемерово</v>
      </c>
      <c r="J250">
        <f>VLOOKUP(D250,Товары!A:I,4,0)</f>
        <v>28980</v>
      </c>
      <c r="K250">
        <f t="shared" si="3"/>
        <v>57960</v>
      </c>
    </row>
    <row r="251" spans="1:11" hidden="1" x14ac:dyDescent="0.25">
      <c r="A251">
        <v>250</v>
      </c>
      <c r="B251" s="1">
        <v>45756</v>
      </c>
      <c r="C251" t="s">
        <v>35</v>
      </c>
      <c r="D251" t="s">
        <v>83</v>
      </c>
      <c r="E251" t="s">
        <v>13</v>
      </c>
      <c r="F251">
        <v>1</v>
      </c>
      <c r="G251" t="str">
        <f>VLOOKUP(D251,Товары!A:I,3,0)</f>
        <v>Зеркальный шкаф Альба 60 со светильником правый цвет суфле</v>
      </c>
      <c r="H251">
        <f>VLOOKUP(D251,Товары!A:I,6,0)</f>
        <v>75</v>
      </c>
      <c r="I251" t="str">
        <f>VLOOKUP(C251,Магазины!A:C,3,0)</f>
        <v>Набережные Челны</v>
      </c>
      <c r="J251">
        <f>VLOOKUP(D251,Товары!A:I,4,0)</f>
        <v>8910</v>
      </c>
      <c r="K251">
        <f t="shared" si="3"/>
        <v>8910</v>
      </c>
    </row>
    <row r="252" spans="1:11" hidden="1" x14ac:dyDescent="0.25">
      <c r="A252">
        <v>251</v>
      </c>
      <c r="B252" s="1">
        <v>45748</v>
      </c>
      <c r="C252" t="s">
        <v>103</v>
      </c>
      <c r="D252" t="s">
        <v>52</v>
      </c>
      <c r="E252" t="s">
        <v>13</v>
      </c>
      <c r="F252">
        <v>1</v>
      </c>
      <c r="G252" t="str">
        <f>VLOOKUP(D252,Товары!A:I,3,0)</f>
        <v>Тумба с раковиной  напол. Кристалл 600 суфле 2 ящика с умыв. Океан</v>
      </c>
      <c r="H252">
        <f>VLOOKUP(D252,Товары!A:I,6,0)</f>
        <v>80</v>
      </c>
      <c r="I252" t="str">
        <f>VLOOKUP(C252,Магазины!A:C,3,0)</f>
        <v>Ставрополь</v>
      </c>
      <c r="J252">
        <f>VLOOKUP(D252,Товары!A:I,4,0)</f>
        <v>27600</v>
      </c>
      <c r="K252">
        <f t="shared" si="3"/>
        <v>27600</v>
      </c>
    </row>
    <row r="253" spans="1:11" hidden="1" x14ac:dyDescent="0.25">
      <c r="A253">
        <v>252</v>
      </c>
      <c r="B253" s="1">
        <v>45755</v>
      </c>
      <c r="C253" t="s">
        <v>20</v>
      </c>
      <c r="D253" t="s">
        <v>23</v>
      </c>
      <c r="E253" t="s">
        <v>8</v>
      </c>
      <c r="F253">
        <v>2</v>
      </c>
      <c r="G253" t="str">
        <f>VLOOKUP(D253,Товары!A:I,3,0)</f>
        <v>Тумба с раковиной  напол. Альба 800 антрацит 2 ящика с умыв. Слим</v>
      </c>
      <c r="H253">
        <f>VLOOKUP(D253,Товары!A:I,6,0)</f>
        <v>80</v>
      </c>
      <c r="I253" t="str">
        <f>VLOOKUP(C253,Магазины!A:C,3,0)</f>
        <v>Оренбург</v>
      </c>
      <c r="J253">
        <f>VLOOKUP(D253,Товары!A:I,4,0)</f>
        <v>29340</v>
      </c>
      <c r="K253">
        <f t="shared" si="3"/>
        <v>58680</v>
      </c>
    </row>
    <row r="254" spans="1:11" hidden="1" x14ac:dyDescent="0.25">
      <c r="A254">
        <v>253</v>
      </c>
      <c r="B254" s="1">
        <v>45752</v>
      </c>
      <c r="C254" t="s">
        <v>57</v>
      </c>
      <c r="D254" t="s">
        <v>34</v>
      </c>
      <c r="E254" t="s">
        <v>13</v>
      </c>
      <c r="F254">
        <v>1</v>
      </c>
      <c r="G254" t="str">
        <f>VLOOKUP(D254,Товары!A:I,3,0)</f>
        <v>Тумба с раковиной  навес. Леон 700 форест 2 ящика с умыв. Слим</v>
      </c>
      <c r="H254">
        <f>VLOOKUP(D254,Товары!A:I,6,0)</f>
        <v>60</v>
      </c>
      <c r="I254" t="str">
        <f>VLOOKUP(C254,Магазины!A:C,3,0)</f>
        <v>Оренбург</v>
      </c>
      <c r="J254">
        <f>VLOOKUP(D254,Товары!A:I,4,0)</f>
        <v>26220</v>
      </c>
      <c r="K254">
        <f t="shared" si="3"/>
        <v>26220</v>
      </c>
    </row>
    <row r="255" spans="1:11" hidden="1" x14ac:dyDescent="0.25">
      <c r="A255">
        <v>254</v>
      </c>
      <c r="B255" s="1">
        <v>45752</v>
      </c>
      <c r="C255" t="s">
        <v>6</v>
      </c>
      <c r="D255" t="s">
        <v>49</v>
      </c>
      <c r="E255" t="s">
        <v>13</v>
      </c>
      <c r="F255">
        <v>3</v>
      </c>
      <c r="G255" t="str">
        <f>VLOOKUP(D255,Товары!A:I,3,0)</f>
        <v>Тумба с раковиной  напол. Леон 700 оникс 2 ящика с умыв. Слим</v>
      </c>
      <c r="H255">
        <f>VLOOKUP(D255,Товары!A:I,6,0)</f>
        <v>80</v>
      </c>
      <c r="I255" t="str">
        <f>VLOOKUP(C255,Магазины!A:C,3,0)</f>
        <v>Оренбург</v>
      </c>
      <c r="J255">
        <f>VLOOKUP(D255,Товары!A:I,4,0)</f>
        <v>28380</v>
      </c>
      <c r="K255">
        <f t="shared" si="3"/>
        <v>85140</v>
      </c>
    </row>
    <row r="256" spans="1:11" hidden="1" x14ac:dyDescent="0.25">
      <c r="A256">
        <v>255</v>
      </c>
      <c r="B256" s="1">
        <v>45756</v>
      </c>
      <c r="C256" t="s">
        <v>92</v>
      </c>
      <c r="D256" t="s">
        <v>120</v>
      </c>
      <c r="E256" t="s">
        <v>8</v>
      </c>
      <c r="F256">
        <v>1</v>
      </c>
      <c r="G256" t="str">
        <f>VLOOKUP(D256,Товары!A:I,3,0)</f>
        <v>Зеркальный шкаф Альба 60 со светильником правый цвет антрацит</v>
      </c>
      <c r="H256">
        <f>VLOOKUP(D256,Товары!A:I,6,0)</f>
        <v>75</v>
      </c>
      <c r="I256" t="str">
        <f>VLOOKUP(C256,Магазины!A:C,3,0)</f>
        <v>Кемерово</v>
      </c>
      <c r="J256">
        <f>VLOOKUP(D256,Товары!A:I,4,0)</f>
        <v>8910</v>
      </c>
      <c r="K256">
        <f t="shared" si="3"/>
        <v>8910</v>
      </c>
    </row>
    <row r="257" spans="1:11" hidden="1" x14ac:dyDescent="0.25">
      <c r="A257">
        <v>256</v>
      </c>
      <c r="B257" s="1">
        <v>45752</v>
      </c>
      <c r="C257" t="s">
        <v>58</v>
      </c>
      <c r="D257" t="s">
        <v>88</v>
      </c>
      <c r="E257" t="s">
        <v>13</v>
      </c>
      <c r="F257">
        <v>3</v>
      </c>
      <c r="G257" t="str">
        <f>VLOOKUP(D257,Товары!A:I,3,0)</f>
        <v>Тумба с раковиной  навес. Альба 800 антрацит 2 ящика с умыв. Слим</v>
      </c>
      <c r="H257">
        <f>VLOOKUP(D257,Товары!A:I,6,0)</f>
        <v>50</v>
      </c>
      <c r="I257" t="str">
        <f>VLOOKUP(C257,Магазины!A:C,3,0)</f>
        <v>Ставрополь</v>
      </c>
      <c r="J257">
        <f>VLOOKUP(D257,Товары!A:I,4,0)</f>
        <v>26070</v>
      </c>
      <c r="K257">
        <f t="shared" si="3"/>
        <v>78210</v>
      </c>
    </row>
    <row r="258" spans="1:11" hidden="1" x14ac:dyDescent="0.25">
      <c r="A258">
        <v>257</v>
      </c>
      <c r="B258" s="1">
        <v>45756</v>
      </c>
      <c r="C258" t="s">
        <v>11</v>
      </c>
      <c r="D258" t="s">
        <v>100</v>
      </c>
      <c r="E258" t="s">
        <v>8</v>
      </c>
      <c r="F258">
        <v>1</v>
      </c>
      <c r="G258" t="str">
        <f>VLOOKUP(D258,Товары!A:I,3,0)</f>
        <v>Тумба с раковиной  навес. Альба 800 мята 1 ящик с умыв. Слим</v>
      </c>
      <c r="H258">
        <f>VLOOKUP(D258,Товары!A:I,6,0)</f>
        <v>45</v>
      </c>
      <c r="I258" t="str">
        <f>VLOOKUP(C258,Магазины!A:C,3,0)</f>
        <v>Кемерово</v>
      </c>
      <c r="J258">
        <f>VLOOKUP(D258,Товары!A:I,4,0)</f>
        <v>21630</v>
      </c>
      <c r="K258">
        <f t="shared" si="3"/>
        <v>21630</v>
      </c>
    </row>
    <row r="259" spans="1:11" hidden="1" x14ac:dyDescent="0.25">
      <c r="A259">
        <v>258</v>
      </c>
      <c r="B259" s="1">
        <v>45755</v>
      </c>
      <c r="C259" t="s">
        <v>63</v>
      </c>
      <c r="D259" t="s">
        <v>10</v>
      </c>
      <c r="E259" t="s">
        <v>13</v>
      </c>
      <c r="F259">
        <v>3</v>
      </c>
      <c r="G259" t="str">
        <f>VLOOKUP(D259,Товары!A:I,3,0)</f>
        <v>Тумба с раковиной  навес. Альба 700 антрацит 1 ящик с умыв. Слим</v>
      </c>
      <c r="H259">
        <f>VLOOKUP(D259,Товары!A:I,6,0)</f>
        <v>45</v>
      </c>
      <c r="I259" t="str">
        <f>VLOOKUP(C259,Магазины!A:C,3,0)</f>
        <v>Ставрополь</v>
      </c>
      <c r="J259">
        <f>VLOOKUP(D259,Товары!A:I,4,0)</f>
        <v>20130</v>
      </c>
      <c r="K259">
        <f t="shared" ref="K259:K322" si="4">J259*F259</f>
        <v>60390</v>
      </c>
    </row>
    <row r="260" spans="1:11" hidden="1" x14ac:dyDescent="0.25">
      <c r="A260">
        <v>259</v>
      </c>
      <c r="B260" s="1">
        <v>45751</v>
      </c>
      <c r="C260" t="s">
        <v>35</v>
      </c>
      <c r="D260" t="s">
        <v>121</v>
      </c>
      <c r="E260" t="s">
        <v>8</v>
      </c>
      <c r="F260">
        <v>2</v>
      </c>
      <c r="G260" t="str">
        <f>VLOOKUP(D260,Товары!A:I,3,0)</f>
        <v>Тумба с раковиной  напол. Куба Риф 600 белый 2 двери с умыв. Como</v>
      </c>
      <c r="H260">
        <f>VLOOKUP(D260,Товары!A:I,6,0)</f>
        <v>85</v>
      </c>
      <c r="I260" t="str">
        <f>VLOOKUP(C260,Магазины!A:C,3,0)</f>
        <v>Набережные Челны</v>
      </c>
      <c r="J260">
        <f>VLOOKUP(D260,Товары!A:I,4,0)</f>
        <v>13695</v>
      </c>
      <c r="K260">
        <f t="shared" si="4"/>
        <v>27390</v>
      </c>
    </row>
    <row r="261" spans="1:11" hidden="1" x14ac:dyDescent="0.25">
      <c r="A261">
        <v>260</v>
      </c>
      <c r="B261" s="1">
        <v>45751</v>
      </c>
      <c r="C261" t="s">
        <v>16</v>
      </c>
      <c r="D261" t="s">
        <v>94</v>
      </c>
      <c r="E261" t="s">
        <v>8</v>
      </c>
      <c r="F261">
        <v>2</v>
      </c>
      <c r="G261" t="str">
        <f>VLOOKUP(D261,Товары!A:I,3,0)</f>
        <v>Зеркальный шкаф Альба 80 со светильником правый цвет антрацит</v>
      </c>
      <c r="H261">
        <f>VLOOKUP(D261,Товары!A:I,6,0)</f>
        <v>75</v>
      </c>
      <c r="I261" t="str">
        <f>VLOOKUP(C261,Магазины!A:C,3,0)</f>
        <v>Оренбург</v>
      </c>
      <c r="J261">
        <f>VLOOKUP(D261,Товары!A:I,4,0)</f>
        <v>9930</v>
      </c>
      <c r="K261">
        <f t="shared" si="4"/>
        <v>19860</v>
      </c>
    </row>
    <row r="262" spans="1:11" hidden="1" x14ac:dyDescent="0.25">
      <c r="A262">
        <v>261</v>
      </c>
      <c r="B262" s="1">
        <v>45755</v>
      </c>
      <c r="C262" t="s">
        <v>41</v>
      </c>
      <c r="D262" t="s">
        <v>112</v>
      </c>
      <c r="E262" t="s">
        <v>13</v>
      </c>
      <c r="F262">
        <v>2</v>
      </c>
      <c r="G262" t="str">
        <f>VLOOKUP(D262,Товары!A:I,3,0)</f>
        <v>Тумба с раковиной  напол. Аква 560 белый 2 двери с умыв. Уют</v>
      </c>
      <c r="H262">
        <f>VLOOKUP(D262,Товары!A:I,6,0)</f>
        <v>85</v>
      </c>
      <c r="I262" t="str">
        <f>VLOOKUP(C262,Магазины!A:C,3,0)</f>
        <v>Ставрополь</v>
      </c>
      <c r="J262">
        <f>VLOOKUP(D262,Товары!A:I,4,0)</f>
        <v>9330</v>
      </c>
      <c r="K262">
        <f t="shared" si="4"/>
        <v>18660</v>
      </c>
    </row>
    <row r="263" spans="1:11" hidden="1" x14ac:dyDescent="0.25">
      <c r="A263">
        <v>262</v>
      </c>
      <c r="B263" s="1">
        <v>45748</v>
      </c>
      <c r="C263" t="s">
        <v>18</v>
      </c>
      <c r="D263" t="s">
        <v>56</v>
      </c>
      <c r="E263" t="s">
        <v>8</v>
      </c>
      <c r="F263">
        <v>3</v>
      </c>
      <c r="G263" t="str">
        <f>VLOOKUP(D263,Товары!A:I,3,0)</f>
        <v>Зеркальный шкаф Альба 80 со светильником правый цвет мята</v>
      </c>
      <c r="H263">
        <f>VLOOKUP(D263,Товары!A:I,6,0)</f>
        <v>75</v>
      </c>
      <c r="I263" t="str">
        <f>VLOOKUP(C263,Магазины!A:C,3,0)</f>
        <v>Набережные Челны</v>
      </c>
      <c r="J263">
        <f>VLOOKUP(D263,Товары!A:I,4,0)</f>
        <v>9930</v>
      </c>
      <c r="K263">
        <f t="shared" si="4"/>
        <v>29790</v>
      </c>
    </row>
    <row r="264" spans="1:11" hidden="1" x14ac:dyDescent="0.25">
      <c r="A264">
        <v>263</v>
      </c>
      <c r="B264" s="1">
        <v>45756</v>
      </c>
      <c r="C264" t="s">
        <v>6</v>
      </c>
      <c r="D264" t="s">
        <v>61</v>
      </c>
      <c r="E264" t="s">
        <v>13</v>
      </c>
      <c r="F264">
        <v>1</v>
      </c>
      <c r="G264" t="str">
        <f>VLOOKUP(D264,Товары!A:I,3,0)</f>
        <v>Тумба под стиральную машину Леон Риф 57 напольная 2 ящика под ст/маш, без умывальника /под Marshall 120 Солярис/Белый Риф</v>
      </c>
      <c r="H264">
        <f>VLOOKUP(D264,Товары!A:I,6,0)</f>
        <v>85</v>
      </c>
      <c r="I264" t="str">
        <f>VLOOKUP(C264,Магазины!A:C,3,0)</f>
        <v>Оренбург</v>
      </c>
      <c r="J264">
        <f>VLOOKUP(D264,Товары!A:I,4,0)</f>
        <v>17430</v>
      </c>
      <c r="K264">
        <f t="shared" si="4"/>
        <v>17430</v>
      </c>
    </row>
    <row r="265" spans="1:11" hidden="1" x14ac:dyDescent="0.25">
      <c r="A265">
        <v>264</v>
      </c>
      <c r="B265" s="1">
        <v>45751</v>
      </c>
      <c r="C265" t="s">
        <v>103</v>
      </c>
      <c r="D265" t="s">
        <v>84</v>
      </c>
      <c r="E265" t="s">
        <v>8</v>
      </c>
      <c r="F265">
        <v>3</v>
      </c>
      <c r="G265" t="str">
        <f>VLOOKUP(D265,Товары!A:I,3,0)</f>
        <v>Тумба с раковиной  напол. Куба Риф 800 белый 3 двери с умыв. Слим</v>
      </c>
      <c r="H265">
        <f>VLOOKUP(D265,Товары!A:I,6,0)</f>
        <v>85</v>
      </c>
      <c r="I265" t="str">
        <f>VLOOKUP(C265,Магазины!A:C,3,0)</f>
        <v>Ставрополь</v>
      </c>
      <c r="J265">
        <f>VLOOKUP(D265,Товары!A:I,4,0)</f>
        <v>19920</v>
      </c>
      <c r="K265">
        <f t="shared" si="4"/>
        <v>59760</v>
      </c>
    </row>
    <row r="266" spans="1:11" hidden="1" x14ac:dyDescent="0.25">
      <c r="A266">
        <v>265</v>
      </c>
      <c r="B266" s="1">
        <v>45751</v>
      </c>
      <c r="C266" t="s">
        <v>30</v>
      </c>
      <c r="D266" t="s">
        <v>88</v>
      </c>
      <c r="E266" t="s">
        <v>8</v>
      </c>
      <c r="F266">
        <v>1</v>
      </c>
      <c r="G266" t="str">
        <f>VLOOKUP(D266,Товары!A:I,3,0)</f>
        <v>Тумба с раковиной  навес. Альба 800 антрацит 2 ящика с умыв. Слим</v>
      </c>
      <c r="H266">
        <f>VLOOKUP(D266,Товары!A:I,6,0)</f>
        <v>50</v>
      </c>
      <c r="I266" t="str">
        <f>VLOOKUP(C266,Магазины!A:C,3,0)</f>
        <v>Кемерово</v>
      </c>
      <c r="J266">
        <f>VLOOKUP(D266,Товары!A:I,4,0)</f>
        <v>26070</v>
      </c>
      <c r="K266">
        <f t="shared" si="4"/>
        <v>26070</v>
      </c>
    </row>
    <row r="267" spans="1:11" hidden="1" x14ac:dyDescent="0.25">
      <c r="A267">
        <v>266</v>
      </c>
      <c r="B267" s="1">
        <v>45754</v>
      </c>
      <c r="C267" t="s">
        <v>14</v>
      </c>
      <c r="D267" t="s">
        <v>72</v>
      </c>
      <c r="E267" t="s">
        <v>8</v>
      </c>
      <c r="F267">
        <v>3</v>
      </c>
      <c r="G267" t="str">
        <f>VLOOKUP(D267,Товары!A:I,3,0)</f>
        <v>Тумба с раковиной  напол. Сохо 600 белый 2 ящика с умыв. Океан</v>
      </c>
      <c r="H267">
        <f>VLOOKUP(D267,Товары!A:I,6,0)</f>
        <v>85</v>
      </c>
      <c r="I267" t="str">
        <f>VLOOKUP(C267,Магазины!A:C,3,0)</f>
        <v>Оренбург</v>
      </c>
      <c r="J267">
        <f>VLOOKUP(D267,Товары!A:I,4,0)</f>
        <v>16140</v>
      </c>
      <c r="K267">
        <f t="shared" si="4"/>
        <v>48420</v>
      </c>
    </row>
    <row r="268" spans="1:11" hidden="1" x14ac:dyDescent="0.25">
      <c r="A268">
        <v>267</v>
      </c>
      <c r="B268" s="1">
        <v>45756</v>
      </c>
      <c r="C268" t="s">
        <v>18</v>
      </c>
      <c r="D268" t="s">
        <v>15</v>
      </c>
      <c r="E268" t="s">
        <v>8</v>
      </c>
      <c r="F268">
        <v>3</v>
      </c>
      <c r="G268" t="str">
        <f>VLOOKUP(D268,Товары!A:I,3,0)</f>
        <v>Зеркальный шкаф Кристалл 60 со светильником правый, ручка кнопка дуб цвет Шато Азур</v>
      </c>
      <c r="H268">
        <f>VLOOKUP(D268,Товары!A:I,6,0)</f>
        <v>75</v>
      </c>
      <c r="I268" t="str">
        <f>VLOOKUP(C268,Магазины!A:C,3,0)</f>
        <v>Набережные Челны</v>
      </c>
      <c r="J268">
        <f>VLOOKUP(D268,Товары!A:I,4,0)</f>
        <v>9195</v>
      </c>
      <c r="K268">
        <f t="shared" si="4"/>
        <v>27585</v>
      </c>
    </row>
    <row r="269" spans="1:11" hidden="1" x14ac:dyDescent="0.25">
      <c r="A269">
        <v>268</v>
      </c>
      <c r="B269" s="1">
        <v>45748</v>
      </c>
      <c r="C269" t="s">
        <v>35</v>
      </c>
      <c r="D269" t="s">
        <v>40</v>
      </c>
      <c r="E269" t="s">
        <v>13</v>
      </c>
      <c r="F269">
        <v>2</v>
      </c>
      <c r="G269" t="str">
        <f>VLOOKUP(D269,Товары!A:I,3,0)</f>
        <v>Тумба с раковиной  навес. Рица 800 cерый/керамика 1 ящик + ниша 1 с умыв. Слим</v>
      </c>
      <c r="H269">
        <f>VLOOKUP(D269,Товары!A:I,6,0)</f>
        <v>60</v>
      </c>
      <c r="I269" t="str">
        <f>VLOOKUP(C269,Магазины!A:C,3,0)</f>
        <v>Набережные Челны</v>
      </c>
      <c r="J269">
        <f>VLOOKUP(D269,Товары!A:I,4,0)</f>
        <v>22425</v>
      </c>
      <c r="K269">
        <f t="shared" si="4"/>
        <v>44850</v>
      </c>
    </row>
    <row r="270" spans="1:11" hidden="1" x14ac:dyDescent="0.25">
      <c r="A270">
        <v>269</v>
      </c>
      <c r="B270" s="1">
        <v>45756</v>
      </c>
      <c r="C270" t="s">
        <v>57</v>
      </c>
      <c r="D270" t="s">
        <v>45</v>
      </c>
      <c r="E270" t="s">
        <v>8</v>
      </c>
      <c r="F270">
        <v>3</v>
      </c>
      <c r="G270" t="str">
        <f>VLOOKUP(D270,Товары!A:I,3,0)</f>
        <v>Зеркальный шкаф Рица 80 со светильником правый цвет cерый/керамика</v>
      </c>
      <c r="H270">
        <f>VLOOKUP(D270,Товары!A:I,6,0)</f>
        <v>75</v>
      </c>
      <c r="I270" t="str">
        <f>VLOOKUP(C270,Магазины!A:C,3,0)</f>
        <v>Оренбург</v>
      </c>
      <c r="J270">
        <f>VLOOKUP(D270,Товары!A:I,4,0)</f>
        <v>9930</v>
      </c>
      <c r="K270">
        <f t="shared" si="4"/>
        <v>29790</v>
      </c>
    </row>
    <row r="271" spans="1:11" hidden="1" x14ac:dyDescent="0.25">
      <c r="A271">
        <v>270</v>
      </c>
      <c r="B271" s="1">
        <v>45748</v>
      </c>
      <c r="C271" t="s">
        <v>28</v>
      </c>
      <c r="D271" t="s">
        <v>44</v>
      </c>
      <c r="E271" t="s">
        <v>13</v>
      </c>
      <c r="F271">
        <v>1</v>
      </c>
      <c r="G271" t="str">
        <f>VLOOKUP(D271,Товары!A:I,3,0)</f>
        <v>Тумба с раковиной  навес. Кристалл 800 шато азур 2 ящика с умыв. Комфорт</v>
      </c>
      <c r="H271">
        <f>VLOOKUP(D271,Товары!A:I,6,0)</f>
        <v>55</v>
      </c>
      <c r="I271" t="str">
        <f>VLOOKUP(C271,Магазины!A:C,3,0)</f>
        <v>Набережные Челны</v>
      </c>
      <c r="J271">
        <f>VLOOKUP(D271,Товары!A:I,4,0)</f>
        <v>25080</v>
      </c>
      <c r="K271">
        <f t="shared" si="4"/>
        <v>25080</v>
      </c>
    </row>
    <row r="272" spans="1:11" hidden="1" x14ac:dyDescent="0.25">
      <c r="A272">
        <v>271</v>
      </c>
      <c r="B272" s="1">
        <v>45748</v>
      </c>
      <c r="C272" t="s">
        <v>54</v>
      </c>
      <c r="D272" t="s">
        <v>96</v>
      </c>
      <c r="E272" t="s">
        <v>13</v>
      </c>
      <c r="F272">
        <v>3</v>
      </c>
      <c r="G272" t="str">
        <f>VLOOKUP(D272,Товары!A:I,3,0)</f>
        <v>Тумба с раковиной  навес. Альба 600 мята 1 ящик с умыв. Океан</v>
      </c>
      <c r="H272">
        <f>VLOOKUP(D272,Товары!A:I,6,0)</f>
        <v>85</v>
      </c>
      <c r="I272" t="str">
        <f>VLOOKUP(C272,Магазины!A:C,3,0)</f>
        <v>Ставрополь</v>
      </c>
      <c r="J272">
        <f>VLOOKUP(D272,Товары!A:I,4,0)</f>
        <v>17625</v>
      </c>
      <c r="K272">
        <f t="shared" si="4"/>
        <v>52875</v>
      </c>
    </row>
    <row r="273" spans="1:11" hidden="1" x14ac:dyDescent="0.25">
      <c r="A273">
        <v>272</v>
      </c>
      <c r="B273" s="1">
        <v>45753</v>
      </c>
      <c r="C273" t="s">
        <v>14</v>
      </c>
      <c r="D273" t="s">
        <v>19</v>
      </c>
      <c r="E273" t="s">
        <v>13</v>
      </c>
      <c r="F273">
        <v>1</v>
      </c>
      <c r="G273" t="str">
        <f>VLOOKUP(D273,Товары!A:I,3,0)</f>
        <v>Тумба с раковиной  навес. Леон 800 оникс 2 ящика с умыв. Слим</v>
      </c>
      <c r="H273">
        <f>VLOOKUP(D273,Товары!A:I,6,0)</f>
        <v>60</v>
      </c>
      <c r="I273" t="str">
        <f>VLOOKUP(C273,Магазины!A:C,3,0)</f>
        <v>Оренбург</v>
      </c>
      <c r="J273">
        <f>VLOOKUP(D273,Товары!A:I,4,0)</f>
        <v>27930</v>
      </c>
      <c r="K273">
        <f t="shared" si="4"/>
        <v>27930</v>
      </c>
    </row>
    <row r="274" spans="1:11" hidden="1" x14ac:dyDescent="0.25">
      <c r="A274">
        <v>273</v>
      </c>
      <c r="B274" s="1">
        <v>45749</v>
      </c>
      <c r="C274" t="s">
        <v>30</v>
      </c>
      <c r="D274" t="s">
        <v>76</v>
      </c>
      <c r="E274" t="s">
        <v>13</v>
      </c>
      <c r="F274">
        <v>2</v>
      </c>
      <c r="G274" t="str">
        <f>VLOOKUP(D274,Товары!A:I,3,0)</f>
        <v>Тумба с раковиной  напол. Леон 600 оникс 2 ящика с умыв. Слим</v>
      </c>
      <c r="H274">
        <f>VLOOKUP(D274,Товары!A:I,6,0)</f>
        <v>80</v>
      </c>
      <c r="I274" t="str">
        <f>VLOOKUP(C274,Магазины!A:C,3,0)</f>
        <v>Кемерово</v>
      </c>
      <c r="J274">
        <f>VLOOKUP(D274,Товары!A:I,4,0)</f>
        <v>25860</v>
      </c>
      <c r="K274">
        <f t="shared" si="4"/>
        <v>51720</v>
      </c>
    </row>
    <row r="275" spans="1:11" hidden="1" x14ac:dyDescent="0.25">
      <c r="A275">
        <v>274</v>
      </c>
      <c r="B275" s="1">
        <v>45755</v>
      </c>
      <c r="C275" t="s">
        <v>26</v>
      </c>
      <c r="D275" t="s">
        <v>32</v>
      </c>
      <c r="E275" t="s">
        <v>8</v>
      </c>
      <c r="F275">
        <v>1</v>
      </c>
      <c r="G275" t="str">
        <f>VLOOKUP(D275,Товары!A:I,3,0)</f>
        <v>Тумба с раковиной  напол. Леон Риф 700 солярис/белый риф 2 ящика с умыв. Слим</v>
      </c>
      <c r="H275">
        <f>VLOOKUP(D275,Товары!A:I,6,0)</f>
        <v>85</v>
      </c>
      <c r="I275" t="str">
        <f>VLOOKUP(C275,Магазины!A:C,3,0)</f>
        <v>Оренбург</v>
      </c>
      <c r="J275">
        <f>VLOOKUP(D275,Товары!A:I,4,0)</f>
        <v>26460</v>
      </c>
      <c r="K275">
        <f t="shared" si="4"/>
        <v>26460</v>
      </c>
    </row>
    <row r="276" spans="1:11" hidden="1" x14ac:dyDescent="0.25">
      <c r="A276">
        <v>275</v>
      </c>
      <c r="B276" s="1">
        <v>45755</v>
      </c>
      <c r="C276" t="s">
        <v>35</v>
      </c>
      <c r="D276" t="s">
        <v>34</v>
      </c>
      <c r="E276" t="s">
        <v>13</v>
      </c>
      <c r="F276">
        <v>2</v>
      </c>
      <c r="G276" t="str">
        <f>VLOOKUP(D276,Товары!A:I,3,0)</f>
        <v>Тумба с раковиной  навес. Леон 700 форест 2 ящика с умыв. Слим</v>
      </c>
      <c r="H276">
        <f>VLOOKUP(D276,Товары!A:I,6,0)</f>
        <v>60</v>
      </c>
      <c r="I276" t="str">
        <f>VLOOKUP(C276,Магазины!A:C,3,0)</f>
        <v>Набережные Челны</v>
      </c>
      <c r="J276">
        <f>VLOOKUP(D276,Товары!A:I,4,0)</f>
        <v>26220</v>
      </c>
      <c r="K276">
        <f t="shared" si="4"/>
        <v>52440</v>
      </c>
    </row>
    <row r="277" spans="1:11" hidden="1" x14ac:dyDescent="0.25">
      <c r="A277">
        <v>276</v>
      </c>
      <c r="B277" s="1">
        <v>45755</v>
      </c>
      <c r="C277" t="s">
        <v>92</v>
      </c>
      <c r="D277" t="s">
        <v>121</v>
      </c>
      <c r="E277" t="s">
        <v>8</v>
      </c>
      <c r="F277">
        <v>2</v>
      </c>
      <c r="G277" t="str">
        <f>VLOOKUP(D277,Товары!A:I,3,0)</f>
        <v>Тумба с раковиной  напол. Куба Риф 600 белый 2 двери с умыв. Como</v>
      </c>
      <c r="H277">
        <f>VLOOKUP(D277,Товары!A:I,6,0)</f>
        <v>85</v>
      </c>
      <c r="I277" t="str">
        <f>VLOOKUP(C277,Магазины!A:C,3,0)</f>
        <v>Кемерово</v>
      </c>
      <c r="J277">
        <f>VLOOKUP(D277,Товары!A:I,4,0)</f>
        <v>13695</v>
      </c>
      <c r="K277">
        <f t="shared" si="4"/>
        <v>27390</v>
      </c>
    </row>
    <row r="278" spans="1:11" hidden="1" x14ac:dyDescent="0.25">
      <c r="A278">
        <v>277</v>
      </c>
      <c r="B278" s="1">
        <v>45750</v>
      </c>
      <c r="C278" t="s">
        <v>16</v>
      </c>
      <c r="D278" t="s">
        <v>29</v>
      </c>
      <c r="E278" t="s">
        <v>8</v>
      </c>
      <c r="F278">
        <v>2</v>
      </c>
      <c r="G278" t="str">
        <f>VLOOKUP(D278,Товары!A:I,3,0)</f>
        <v>Тумба с раковиной  напол. Леон Риф 600 солярис/белый риф 2 ящика с умыв. Океан</v>
      </c>
      <c r="H278">
        <f>VLOOKUP(D278,Товары!A:I,6,0)</f>
        <v>80</v>
      </c>
      <c r="I278" t="str">
        <f>VLOOKUP(C278,Магазины!A:C,3,0)</f>
        <v>Оренбург</v>
      </c>
      <c r="J278">
        <f>VLOOKUP(D278,Товары!A:I,4,0)</f>
        <v>24150</v>
      </c>
      <c r="K278">
        <f t="shared" si="4"/>
        <v>48300</v>
      </c>
    </row>
    <row r="279" spans="1:11" hidden="1" x14ac:dyDescent="0.25">
      <c r="A279">
        <v>278</v>
      </c>
      <c r="B279" s="1">
        <v>45748</v>
      </c>
      <c r="C279" t="s">
        <v>18</v>
      </c>
      <c r="D279" t="s">
        <v>119</v>
      </c>
      <c r="E279" t="s">
        <v>13</v>
      </c>
      <c r="F279">
        <v>2</v>
      </c>
      <c r="G279" t="str">
        <f>VLOOKUP(D279,Товары!A:I,3,0)</f>
        <v>Пенал навес./напол. Рица 350 cерый/керамика 2 двери</v>
      </c>
      <c r="H279">
        <f>VLOOKUP(D279,Товары!A:I,6,0)</f>
        <v>160</v>
      </c>
      <c r="I279" t="str">
        <f>VLOOKUP(C279,Магазины!A:C,3,0)</f>
        <v>Набережные Челны</v>
      </c>
      <c r="J279">
        <f>VLOOKUP(D279,Товары!A:I,4,0)</f>
        <v>11250</v>
      </c>
      <c r="K279">
        <f t="shared" si="4"/>
        <v>22500</v>
      </c>
    </row>
    <row r="280" spans="1:11" hidden="1" x14ac:dyDescent="0.25">
      <c r="A280">
        <v>279</v>
      </c>
      <c r="B280" s="1">
        <v>45756</v>
      </c>
      <c r="C280" t="s">
        <v>111</v>
      </c>
      <c r="D280" t="s">
        <v>17</v>
      </c>
      <c r="E280" t="s">
        <v>8</v>
      </c>
      <c r="F280">
        <v>3</v>
      </c>
      <c r="G280" t="str">
        <f>VLOOKUP(D280,Товары!A:I,3,0)</f>
        <v>Тумба с раковиной  навес. Альба 800 антрацит 1 ящик с умыв. Слим</v>
      </c>
      <c r="H280">
        <f>VLOOKUP(D280,Товары!A:I,6,0)</f>
        <v>45</v>
      </c>
      <c r="I280" t="str">
        <f>VLOOKUP(C280,Магазины!A:C,3,0)</f>
        <v>Набережные Челны</v>
      </c>
      <c r="J280">
        <f>VLOOKUP(D280,Товары!A:I,4,0)</f>
        <v>21630</v>
      </c>
      <c r="K280">
        <f t="shared" si="4"/>
        <v>64890</v>
      </c>
    </row>
    <row r="281" spans="1:11" hidden="1" x14ac:dyDescent="0.25">
      <c r="A281">
        <v>280</v>
      </c>
      <c r="B281" s="1">
        <v>45756</v>
      </c>
      <c r="C281" t="s">
        <v>92</v>
      </c>
      <c r="D281" t="s">
        <v>39</v>
      </c>
      <c r="E281" t="s">
        <v>13</v>
      </c>
      <c r="F281">
        <v>1</v>
      </c>
      <c r="G281" t="str">
        <f>VLOOKUP(D281,Товары!A:I,3,0)</f>
        <v>Тумба с раковиной  напол. Альба 700 мята 2 ящика с умыв. Слим</v>
      </c>
      <c r="H281">
        <f>VLOOKUP(D281,Товары!A:I,6,0)</f>
        <v>85</v>
      </c>
      <c r="I281" t="str">
        <f>VLOOKUP(C281,Магазины!A:C,3,0)</f>
        <v>Кемерово</v>
      </c>
      <c r="J281">
        <f>VLOOKUP(D281,Товары!A:I,4,0)</f>
        <v>28695</v>
      </c>
      <c r="K281">
        <f t="shared" si="4"/>
        <v>28695</v>
      </c>
    </row>
    <row r="282" spans="1:11" hidden="1" x14ac:dyDescent="0.25">
      <c r="A282">
        <v>281</v>
      </c>
      <c r="B282" s="1">
        <v>45756</v>
      </c>
      <c r="C282" t="s">
        <v>43</v>
      </c>
      <c r="D282" t="s">
        <v>55</v>
      </c>
      <c r="E282" t="s">
        <v>13</v>
      </c>
      <c r="F282">
        <v>3</v>
      </c>
      <c r="G282" t="str">
        <f>VLOOKUP(D282,Товары!A:I,3,0)</f>
        <v>Тумба с раковиной  напол. Рица 600 cерый/керамика 2 ящика с умыв. Океан</v>
      </c>
      <c r="H282">
        <f>VLOOKUP(D282,Товары!A:I,6,0)</f>
        <v>80</v>
      </c>
      <c r="I282" t="str">
        <f>VLOOKUP(C282,Магазины!A:C,3,0)</f>
        <v>Набережные Челны</v>
      </c>
      <c r="J282">
        <f>VLOOKUP(D282,Товары!A:I,4,0)</f>
        <v>25560</v>
      </c>
      <c r="K282">
        <f t="shared" si="4"/>
        <v>76680</v>
      </c>
    </row>
    <row r="283" spans="1:11" hidden="1" x14ac:dyDescent="0.25">
      <c r="A283">
        <v>282</v>
      </c>
      <c r="B283" s="1">
        <v>45749</v>
      </c>
      <c r="C283" t="s">
        <v>92</v>
      </c>
      <c r="D283" t="s">
        <v>120</v>
      </c>
      <c r="E283" t="s">
        <v>8</v>
      </c>
      <c r="F283">
        <v>1</v>
      </c>
      <c r="G283" t="str">
        <f>VLOOKUP(D283,Товары!A:I,3,0)</f>
        <v>Зеркальный шкаф Альба 60 со светильником правый цвет антрацит</v>
      </c>
      <c r="H283">
        <f>VLOOKUP(D283,Товары!A:I,6,0)</f>
        <v>75</v>
      </c>
      <c r="I283" t="str">
        <f>VLOOKUP(C283,Магазины!A:C,3,0)</f>
        <v>Кемерово</v>
      </c>
      <c r="J283">
        <f>VLOOKUP(D283,Товары!A:I,4,0)</f>
        <v>8910</v>
      </c>
      <c r="K283">
        <f t="shared" si="4"/>
        <v>8910</v>
      </c>
    </row>
    <row r="284" spans="1:11" hidden="1" x14ac:dyDescent="0.25">
      <c r="A284">
        <v>283</v>
      </c>
      <c r="B284" s="1">
        <v>45756</v>
      </c>
      <c r="C284" t="s">
        <v>6</v>
      </c>
      <c r="D284" t="s">
        <v>42</v>
      </c>
      <c r="E284" t="s">
        <v>8</v>
      </c>
      <c r="F284">
        <v>1</v>
      </c>
      <c r="G284" t="str">
        <f>VLOOKUP(D284,Товары!A:I,3,0)</f>
        <v>Тумба под стиральную машину Леон Риф 57 подвесная 2 ящика под ст/маш, без умывальника /под Marshall 120 Солярис/Белый Риф</v>
      </c>
      <c r="H284">
        <f>VLOOKUP(D284,Товары!A:I,6,0)</f>
        <v>60</v>
      </c>
      <c r="I284" t="str">
        <f>VLOOKUP(C284,Магазины!A:C,3,0)</f>
        <v>Оренбург</v>
      </c>
      <c r="J284">
        <f>VLOOKUP(D284,Товары!A:I,4,0)</f>
        <v>15495</v>
      </c>
      <c r="K284">
        <f t="shared" si="4"/>
        <v>15495</v>
      </c>
    </row>
    <row r="285" spans="1:11" hidden="1" x14ac:dyDescent="0.25">
      <c r="A285">
        <v>284</v>
      </c>
      <c r="B285" s="1">
        <v>45751</v>
      </c>
      <c r="C285" t="s">
        <v>22</v>
      </c>
      <c r="D285" t="s">
        <v>82</v>
      </c>
      <c r="E285" t="s">
        <v>8</v>
      </c>
      <c r="F285">
        <v>3</v>
      </c>
      <c r="G285" t="str">
        <f>VLOOKUP(D285,Товары!A:I,3,0)</f>
        <v>Тумба с раковиной  навес. Леон 800 форест 2 ящика с умыв. Слим</v>
      </c>
      <c r="H285">
        <f>VLOOKUP(D285,Товары!A:I,6,0)</f>
        <v>60</v>
      </c>
      <c r="I285" t="str">
        <f>VLOOKUP(C285,Магазины!A:C,3,0)</f>
        <v>Кемерово</v>
      </c>
      <c r="J285">
        <f>VLOOKUP(D285,Товары!A:I,4,0)</f>
        <v>27930</v>
      </c>
      <c r="K285">
        <f t="shared" si="4"/>
        <v>83790</v>
      </c>
    </row>
    <row r="286" spans="1:11" hidden="1" x14ac:dyDescent="0.25">
      <c r="A286">
        <v>285</v>
      </c>
      <c r="B286" s="1">
        <v>45757</v>
      </c>
      <c r="C286" t="s">
        <v>57</v>
      </c>
      <c r="D286" t="s">
        <v>27</v>
      </c>
      <c r="E286" t="s">
        <v>8</v>
      </c>
      <c r="F286">
        <v>1</v>
      </c>
      <c r="G286" t="str">
        <f>VLOOKUP(D286,Товары!A:I,3,0)</f>
        <v>Тумба с раковиной  навес. Виктория 800 белый 2 ящика с умыв. Слим</v>
      </c>
      <c r="H286">
        <f>VLOOKUP(D286,Товары!A:I,6,0)</f>
        <v>60</v>
      </c>
      <c r="I286" t="str">
        <f>VLOOKUP(C286,Магазины!A:C,3,0)</f>
        <v>Оренбург</v>
      </c>
      <c r="J286">
        <f>VLOOKUP(D286,Товары!A:I,4,0)</f>
        <v>25290</v>
      </c>
      <c r="K286">
        <f t="shared" si="4"/>
        <v>25290</v>
      </c>
    </row>
    <row r="287" spans="1:11" hidden="1" x14ac:dyDescent="0.25">
      <c r="A287">
        <v>286</v>
      </c>
      <c r="B287" s="1">
        <v>45748</v>
      </c>
      <c r="C287" t="s">
        <v>16</v>
      </c>
      <c r="D287" t="s">
        <v>117</v>
      </c>
      <c r="E287" t="s">
        <v>13</v>
      </c>
      <c r="F287">
        <v>1</v>
      </c>
      <c r="G287" t="str">
        <f>VLOOKUP(D287,Товары!A:I,3,0)</f>
        <v>Тумба с раковиной  навес. Альба 700 антрацит 2 ящика с умыв. Слим</v>
      </c>
      <c r="H287">
        <f>VLOOKUP(D287,Товары!A:I,6,0)</f>
        <v>60</v>
      </c>
      <c r="I287" t="str">
        <f>VLOOKUP(C287,Магазины!A:C,3,0)</f>
        <v>Оренбург</v>
      </c>
      <c r="J287">
        <f>VLOOKUP(D287,Товары!A:I,4,0)</f>
        <v>25095</v>
      </c>
      <c r="K287">
        <f t="shared" si="4"/>
        <v>25095</v>
      </c>
    </row>
    <row r="288" spans="1:11" hidden="1" x14ac:dyDescent="0.25">
      <c r="A288">
        <v>287</v>
      </c>
      <c r="B288" s="1">
        <v>45752</v>
      </c>
      <c r="C288" t="s">
        <v>103</v>
      </c>
      <c r="D288" t="s">
        <v>105</v>
      </c>
      <c r="E288" t="s">
        <v>8</v>
      </c>
      <c r="F288">
        <v>1</v>
      </c>
      <c r="G288" t="str">
        <f>VLOOKUP(D288,Товары!A:I,3,0)</f>
        <v>Тумба с раковиной  напол. Нева 600 белый 2 двери + 1 ящик с умыв. Como</v>
      </c>
      <c r="H288">
        <f>VLOOKUP(D288,Товары!A:I,6,0)</f>
        <v>80</v>
      </c>
      <c r="I288" t="str">
        <f>VLOOKUP(C288,Магазины!A:C,3,0)</f>
        <v>Ставрополь</v>
      </c>
      <c r="J288">
        <f>VLOOKUP(D288,Товары!A:I,4,0)</f>
        <v>13470</v>
      </c>
      <c r="K288">
        <f t="shared" si="4"/>
        <v>13470</v>
      </c>
    </row>
    <row r="289" spans="1:11" hidden="1" x14ac:dyDescent="0.25">
      <c r="A289">
        <v>288</v>
      </c>
      <c r="B289" s="1">
        <v>45750</v>
      </c>
      <c r="C289" t="s">
        <v>57</v>
      </c>
      <c r="D289" t="s">
        <v>122</v>
      </c>
      <c r="E289" t="s">
        <v>13</v>
      </c>
      <c r="F289">
        <v>3</v>
      </c>
      <c r="G289" t="str">
        <f>VLOOKUP(D289,Товары!A:I,3,0)</f>
        <v>Тумба с раковиной  навес. Кристалл 600 шато азур 2 ящика с умыв. Океан</v>
      </c>
      <c r="H289">
        <f>VLOOKUP(D289,Товары!A:I,6,0)</f>
        <v>55</v>
      </c>
      <c r="I289" t="str">
        <f>VLOOKUP(C289,Магазины!A:C,3,0)</f>
        <v>Оренбург</v>
      </c>
      <c r="J289">
        <f>VLOOKUP(D289,Товары!A:I,4,0)</f>
        <v>21960</v>
      </c>
      <c r="K289">
        <f t="shared" si="4"/>
        <v>65880</v>
      </c>
    </row>
    <row r="290" spans="1:11" hidden="1" x14ac:dyDescent="0.25">
      <c r="A290">
        <v>289</v>
      </c>
      <c r="B290" s="1">
        <v>45757</v>
      </c>
      <c r="C290" t="s">
        <v>11</v>
      </c>
      <c r="D290" t="s">
        <v>102</v>
      </c>
      <c r="E290" t="s">
        <v>8</v>
      </c>
      <c r="F290">
        <v>1</v>
      </c>
      <c r="G290" t="str">
        <f>VLOOKUP(D290,Товары!A:I,3,0)</f>
        <v>Тумба с раковиной  напол. Леон Риф 1000 солярис/белый риф 2 ящика с умыв. Слим</v>
      </c>
      <c r="H290">
        <f>VLOOKUP(D290,Товары!A:I,6,0)</f>
        <v>85</v>
      </c>
      <c r="I290" t="str">
        <f>VLOOKUP(C290,Магазины!A:C,3,0)</f>
        <v>Кемерово</v>
      </c>
      <c r="J290">
        <f>VLOOKUP(D290,Товары!A:I,4,0)</f>
        <v>32085</v>
      </c>
      <c r="K290">
        <f t="shared" si="4"/>
        <v>32085</v>
      </c>
    </row>
    <row r="291" spans="1:11" hidden="1" x14ac:dyDescent="0.25">
      <c r="A291">
        <v>290</v>
      </c>
      <c r="B291" s="1">
        <v>45752</v>
      </c>
      <c r="C291" t="s">
        <v>6</v>
      </c>
      <c r="D291" t="s">
        <v>91</v>
      </c>
      <c r="E291" t="s">
        <v>8</v>
      </c>
      <c r="F291">
        <v>3</v>
      </c>
      <c r="G291" t="str">
        <f>VLOOKUP(D291,Товары!A:I,3,0)</f>
        <v>Пенал навес./напол. Альба 350 мята 2 двери</v>
      </c>
      <c r="H291">
        <f>VLOOKUP(D291,Товары!A:I,6,0)</f>
        <v>150</v>
      </c>
      <c r="I291" t="str">
        <f>VLOOKUP(C291,Магазины!A:C,3,0)</f>
        <v>Оренбург</v>
      </c>
      <c r="J291">
        <f>VLOOKUP(D291,Товары!A:I,4,0)</f>
        <v>11655</v>
      </c>
      <c r="K291">
        <f t="shared" si="4"/>
        <v>34965</v>
      </c>
    </row>
    <row r="292" spans="1:11" hidden="1" x14ac:dyDescent="0.25">
      <c r="A292">
        <v>291</v>
      </c>
      <c r="B292" s="1">
        <v>45756</v>
      </c>
      <c r="C292" t="s">
        <v>48</v>
      </c>
      <c r="D292" t="s">
        <v>68</v>
      </c>
      <c r="E292" t="s">
        <v>8</v>
      </c>
      <c r="F292">
        <v>2</v>
      </c>
      <c r="G292" t="str">
        <f>VLOOKUP(D292,Товары!A:I,3,0)</f>
        <v>Тумба с раковиной  навес. Альба 600 антрацит 1 ящик с умыв. Океан</v>
      </c>
      <c r="H292">
        <f>VLOOKUP(D292,Товары!A:I,6,0)</f>
        <v>85</v>
      </c>
      <c r="I292" t="str">
        <f>VLOOKUP(C292,Магазины!A:C,3,0)</f>
        <v>Ставрополь</v>
      </c>
      <c r="J292">
        <f>VLOOKUP(D292,Товары!A:I,4,0)</f>
        <v>17625</v>
      </c>
      <c r="K292">
        <f t="shared" si="4"/>
        <v>35250</v>
      </c>
    </row>
    <row r="293" spans="1:11" hidden="1" x14ac:dyDescent="0.25">
      <c r="A293">
        <v>292</v>
      </c>
      <c r="B293" s="1">
        <v>45752</v>
      </c>
      <c r="C293" t="s">
        <v>18</v>
      </c>
      <c r="D293" t="s">
        <v>123</v>
      </c>
      <c r="E293" t="s">
        <v>13</v>
      </c>
      <c r="F293">
        <v>2</v>
      </c>
      <c r="G293" t="str">
        <f>VLOOKUP(D293,Товары!A:I,3,0)</f>
        <v>Тумба с раковиной  напол. Кристалл 800 суфле 2 ящика с умыв. Слим</v>
      </c>
      <c r="H293">
        <f>VLOOKUP(D293,Товары!A:I,6,0)</f>
        <v>80</v>
      </c>
      <c r="I293" t="str">
        <f>VLOOKUP(C293,Магазины!A:C,3,0)</f>
        <v>Набережные Челны</v>
      </c>
      <c r="J293">
        <f>VLOOKUP(D293,Товары!A:I,4,0)</f>
        <v>31125</v>
      </c>
      <c r="K293">
        <f t="shared" si="4"/>
        <v>62250</v>
      </c>
    </row>
    <row r="294" spans="1:11" hidden="1" x14ac:dyDescent="0.25">
      <c r="A294">
        <v>293</v>
      </c>
      <c r="B294" s="1">
        <v>45751</v>
      </c>
      <c r="C294" t="s">
        <v>16</v>
      </c>
      <c r="D294" t="s">
        <v>10</v>
      </c>
      <c r="E294" t="s">
        <v>13</v>
      </c>
      <c r="F294">
        <v>2</v>
      </c>
      <c r="G294" t="str">
        <f>VLOOKUP(D294,Товары!A:I,3,0)</f>
        <v>Тумба с раковиной  навес. Альба 700 антрацит 1 ящик с умыв. Слим</v>
      </c>
      <c r="H294">
        <f>VLOOKUP(D294,Товары!A:I,6,0)</f>
        <v>45</v>
      </c>
      <c r="I294" t="str">
        <f>VLOOKUP(C294,Магазины!A:C,3,0)</f>
        <v>Оренбург</v>
      </c>
      <c r="J294">
        <f>VLOOKUP(D294,Товары!A:I,4,0)</f>
        <v>20130</v>
      </c>
      <c r="K294">
        <f t="shared" si="4"/>
        <v>40260</v>
      </c>
    </row>
    <row r="295" spans="1:11" hidden="1" x14ac:dyDescent="0.25">
      <c r="A295">
        <v>294</v>
      </c>
      <c r="B295" s="1">
        <v>45755</v>
      </c>
      <c r="C295" t="s">
        <v>41</v>
      </c>
      <c r="D295" t="s">
        <v>114</v>
      </c>
      <c r="E295" t="s">
        <v>8</v>
      </c>
      <c r="F295">
        <v>2</v>
      </c>
      <c r="G295" t="str">
        <f>VLOOKUP(D295,Товары!A:I,3,0)</f>
        <v>Тумба с раковиной  навес. Альба 700 мята 2 ящика с умыв. Слим</v>
      </c>
      <c r="H295">
        <f>VLOOKUP(D295,Товары!A:I,6,0)</f>
        <v>60</v>
      </c>
      <c r="I295" t="str">
        <f>VLOOKUP(C295,Магазины!A:C,3,0)</f>
        <v>Ставрополь</v>
      </c>
      <c r="J295">
        <f>VLOOKUP(D295,Товары!A:I,4,0)</f>
        <v>25095</v>
      </c>
      <c r="K295">
        <f t="shared" si="4"/>
        <v>50190</v>
      </c>
    </row>
    <row r="296" spans="1:11" hidden="1" x14ac:dyDescent="0.25">
      <c r="A296">
        <v>295</v>
      </c>
      <c r="B296" s="1">
        <v>45753</v>
      </c>
      <c r="C296" t="s">
        <v>35</v>
      </c>
      <c r="D296" t="s">
        <v>112</v>
      </c>
      <c r="E296" t="s">
        <v>8</v>
      </c>
      <c r="F296">
        <v>1</v>
      </c>
      <c r="G296" t="str">
        <f>VLOOKUP(D296,Товары!A:I,3,0)</f>
        <v>Тумба с раковиной  напол. Аква 560 белый 2 двери с умыв. Уют</v>
      </c>
      <c r="H296">
        <f>VLOOKUP(D296,Товары!A:I,6,0)</f>
        <v>85</v>
      </c>
      <c r="I296" t="str">
        <f>VLOOKUP(C296,Магазины!A:C,3,0)</f>
        <v>Набережные Челны</v>
      </c>
      <c r="J296">
        <f>VLOOKUP(D296,Товары!A:I,4,0)</f>
        <v>9330</v>
      </c>
      <c r="K296">
        <f t="shared" si="4"/>
        <v>9330</v>
      </c>
    </row>
    <row r="297" spans="1:11" hidden="1" x14ac:dyDescent="0.25">
      <c r="A297">
        <v>296</v>
      </c>
      <c r="B297" s="1">
        <v>45756</v>
      </c>
      <c r="C297" t="s">
        <v>14</v>
      </c>
      <c r="D297" t="s">
        <v>51</v>
      </c>
      <c r="E297" t="s">
        <v>13</v>
      </c>
      <c r="F297">
        <v>2</v>
      </c>
      <c r="G297" t="str">
        <f>VLOOKUP(D297,Товары!A:I,3,0)</f>
        <v>Зеркальный шкаф Альба 80 со светильником правый цвет суфле</v>
      </c>
      <c r="H297">
        <f>VLOOKUP(D297,Товары!A:I,6,0)</f>
        <v>75</v>
      </c>
      <c r="I297" t="str">
        <f>VLOOKUP(C297,Магазины!A:C,3,0)</f>
        <v>Оренбург</v>
      </c>
      <c r="J297">
        <f>VLOOKUP(D297,Товары!A:I,4,0)</f>
        <v>9930</v>
      </c>
      <c r="K297">
        <f t="shared" si="4"/>
        <v>19860</v>
      </c>
    </row>
    <row r="298" spans="1:11" hidden="1" x14ac:dyDescent="0.25">
      <c r="A298">
        <v>297</v>
      </c>
      <c r="B298" s="1">
        <v>45755</v>
      </c>
      <c r="C298" t="s">
        <v>16</v>
      </c>
      <c r="D298" t="s">
        <v>47</v>
      </c>
      <c r="E298" t="s">
        <v>8</v>
      </c>
      <c r="F298">
        <v>1</v>
      </c>
      <c r="G298" t="str">
        <f>VLOOKUP(D298,Товары!A:I,3,0)</f>
        <v>Пенал напол. Кристалл 350 шато азур 2 двери</v>
      </c>
      <c r="H298">
        <f>VLOOKUP(D298,Товары!A:I,6,0)</f>
        <v>190</v>
      </c>
      <c r="I298" t="str">
        <f>VLOOKUP(C298,Магазины!A:C,3,0)</f>
        <v>Оренбург</v>
      </c>
      <c r="J298">
        <f>VLOOKUP(D298,Товары!A:I,4,0)</f>
        <v>15810</v>
      </c>
      <c r="K298">
        <f t="shared" si="4"/>
        <v>15810</v>
      </c>
    </row>
    <row r="299" spans="1:11" hidden="1" x14ac:dyDescent="0.25">
      <c r="A299">
        <v>298</v>
      </c>
      <c r="B299" s="1">
        <v>45754</v>
      </c>
      <c r="C299" t="s">
        <v>35</v>
      </c>
      <c r="D299" t="s">
        <v>79</v>
      </c>
      <c r="E299" t="s">
        <v>8</v>
      </c>
      <c r="F299">
        <v>1</v>
      </c>
      <c r="G299" t="str">
        <f>VLOOKUP(D299,Товары!A:I,3,0)</f>
        <v>Зеркальный шкаф Альба 70 со светильником правый цвет мята</v>
      </c>
      <c r="H299">
        <f>VLOOKUP(D299,Товары!A:I,6,0)</f>
        <v>75</v>
      </c>
      <c r="I299" t="str">
        <f>VLOOKUP(C299,Магазины!A:C,3,0)</f>
        <v>Набережные Челны</v>
      </c>
      <c r="J299">
        <f>VLOOKUP(D299,Товары!A:I,4,0)</f>
        <v>9615</v>
      </c>
      <c r="K299">
        <f t="shared" si="4"/>
        <v>9615</v>
      </c>
    </row>
    <row r="300" spans="1:11" hidden="1" x14ac:dyDescent="0.25">
      <c r="A300">
        <v>299</v>
      </c>
      <c r="B300" s="1">
        <v>45754</v>
      </c>
      <c r="C300" t="s">
        <v>48</v>
      </c>
      <c r="D300" t="s">
        <v>52</v>
      </c>
      <c r="E300" t="s">
        <v>8</v>
      </c>
      <c r="F300">
        <v>2</v>
      </c>
      <c r="G300" t="str">
        <f>VLOOKUP(D300,Товары!A:I,3,0)</f>
        <v>Тумба с раковиной  напол. Кристалл 600 суфле 2 ящика с умыв. Океан</v>
      </c>
      <c r="H300">
        <f>VLOOKUP(D300,Товары!A:I,6,0)</f>
        <v>80</v>
      </c>
      <c r="I300" t="str">
        <f>VLOOKUP(C300,Магазины!A:C,3,0)</f>
        <v>Ставрополь</v>
      </c>
      <c r="J300">
        <f>VLOOKUP(D300,Товары!A:I,4,0)</f>
        <v>27600</v>
      </c>
      <c r="K300">
        <f t="shared" si="4"/>
        <v>55200</v>
      </c>
    </row>
    <row r="301" spans="1:11" hidden="1" x14ac:dyDescent="0.25">
      <c r="A301">
        <v>300</v>
      </c>
      <c r="B301" s="1">
        <v>45754</v>
      </c>
      <c r="C301" t="s">
        <v>14</v>
      </c>
      <c r="D301" t="s">
        <v>62</v>
      </c>
      <c r="E301" t="s">
        <v>13</v>
      </c>
      <c r="F301">
        <v>3</v>
      </c>
      <c r="G301" t="str">
        <f>VLOOKUP(D301,Товары!A:I,3,0)</f>
        <v>Тумба с раковиной  напол. Альба 600 мята 2 ящика с умыв. Океан</v>
      </c>
      <c r="H301">
        <f>VLOOKUP(D301,Товары!A:I,6,0)</f>
        <v>80</v>
      </c>
      <c r="I301" t="str">
        <f>VLOOKUP(C301,Магазины!A:C,3,0)</f>
        <v>Оренбург</v>
      </c>
      <c r="J301">
        <f>VLOOKUP(D301,Товары!A:I,4,0)</f>
        <v>26370</v>
      </c>
      <c r="K301">
        <f t="shared" si="4"/>
        <v>79110</v>
      </c>
    </row>
    <row r="302" spans="1:11" hidden="1" x14ac:dyDescent="0.25">
      <c r="A302">
        <v>301</v>
      </c>
      <c r="B302" s="1">
        <v>45749</v>
      </c>
      <c r="C302" t="s">
        <v>41</v>
      </c>
      <c r="D302" t="s">
        <v>46</v>
      </c>
      <c r="E302" t="s">
        <v>13</v>
      </c>
      <c r="F302">
        <v>2</v>
      </c>
      <c r="G302" t="str">
        <f>VLOOKUP(D302,Товары!A:I,3,0)</f>
        <v>Тумба с раковиной  напол. Сохо 700 белый 2 ящика с умыв. Слим</v>
      </c>
      <c r="H302">
        <f>VLOOKUP(D302,Товары!A:I,6,0)</f>
        <v>85</v>
      </c>
      <c r="I302" t="str">
        <f>VLOOKUP(C302,Магазины!A:C,3,0)</f>
        <v>Ставрополь</v>
      </c>
      <c r="J302">
        <f>VLOOKUP(D302,Товары!A:I,4,0)</f>
        <v>18405</v>
      </c>
      <c r="K302">
        <f t="shared" si="4"/>
        <v>36810</v>
      </c>
    </row>
    <row r="303" spans="1:11" hidden="1" x14ac:dyDescent="0.25">
      <c r="A303">
        <v>302</v>
      </c>
      <c r="B303" s="1">
        <v>45753</v>
      </c>
      <c r="C303" t="s">
        <v>18</v>
      </c>
      <c r="D303" t="s">
        <v>73</v>
      </c>
      <c r="E303" t="s">
        <v>8</v>
      </c>
      <c r="F303">
        <v>3</v>
      </c>
      <c r="G303" t="str">
        <f>VLOOKUP(D303,Товары!A:I,3,0)</f>
        <v>Зеркальный шкаф Альба 70 со светильником правый цвет антрацит</v>
      </c>
      <c r="H303">
        <f>VLOOKUP(D303,Товары!A:I,6,0)</f>
        <v>75</v>
      </c>
      <c r="I303" t="str">
        <f>VLOOKUP(C303,Магазины!A:C,3,0)</f>
        <v>Набережные Челны</v>
      </c>
      <c r="J303">
        <f>VLOOKUP(D303,Товары!A:I,4,0)</f>
        <v>9615</v>
      </c>
      <c r="K303">
        <f t="shared" si="4"/>
        <v>28845</v>
      </c>
    </row>
    <row r="304" spans="1:11" hidden="1" x14ac:dyDescent="0.25">
      <c r="A304">
        <v>303</v>
      </c>
      <c r="B304" s="1">
        <v>45748</v>
      </c>
      <c r="C304" t="s">
        <v>20</v>
      </c>
      <c r="D304" t="s">
        <v>110</v>
      </c>
      <c r="E304" t="s">
        <v>13</v>
      </c>
      <c r="F304">
        <v>1</v>
      </c>
      <c r="G304" t="str">
        <f>VLOOKUP(D304,Товары!A:I,3,0)</f>
        <v>Тумба с раковиной  напол. Альба 600 антрацит 2 ящика с умыв. Океан</v>
      </c>
      <c r="H304">
        <f>VLOOKUP(D304,Товары!A:I,6,0)</f>
        <v>80</v>
      </c>
      <c r="I304" t="str">
        <f>VLOOKUP(C304,Магазины!A:C,3,0)</f>
        <v>Оренбург</v>
      </c>
      <c r="J304">
        <f>VLOOKUP(D304,Товары!A:I,4,0)</f>
        <v>26370</v>
      </c>
      <c r="K304">
        <f t="shared" si="4"/>
        <v>26370</v>
      </c>
    </row>
    <row r="305" spans="1:11" hidden="1" x14ac:dyDescent="0.25">
      <c r="A305">
        <v>304</v>
      </c>
      <c r="B305" s="1">
        <v>45750</v>
      </c>
      <c r="C305" t="s">
        <v>20</v>
      </c>
      <c r="D305" t="s">
        <v>81</v>
      </c>
      <c r="E305" t="s">
        <v>8</v>
      </c>
      <c r="F305">
        <v>1</v>
      </c>
      <c r="G305" t="str">
        <f>VLOOKUP(D305,Товары!A:I,3,0)</f>
        <v>Тумба с раковиной  навес. Рица 600 cерый/керамика 1 ящик + ниша 1 с умыв. Океан</v>
      </c>
      <c r="H305">
        <f>VLOOKUP(D305,Товары!A:I,6,0)</f>
        <v>60</v>
      </c>
      <c r="I305" t="str">
        <f>VLOOKUP(C305,Магазины!A:C,3,0)</f>
        <v>Оренбург</v>
      </c>
      <c r="J305">
        <f>VLOOKUP(D305,Товары!A:I,4,0)</f>
        <v>18900</v>
      </c>
      <c r="K305">
        <f t="shared" si="4"/>
        <v>18900</v>
      </c>
    </row>
    <row r="306" spans="1:11" hidden="1" x14ac:dyDescent="0.25">
      <c r="A306">
        <v>305</v>
      </c>
      <c r="B306" s="1">
        <v>45748</v>
      </c>
      <c r="C306" t="s">
        <v>14</v>
      </c>
      <c r="D306" t="s">
        <v>24</v>
      </c>
      <c r="E306" t="s">
        <v>13</v>
      </c>
      <c r="F306">
        <v>3</v>
      </c>
      <c r="G306" t="str">
        <f>VLOOKUP(D306,Товары!A:I,3,0)</f>
        <v>Тумба с раковиной  напол. Леон 600 форест 2 ящика с умыв. Слим</v>
      </c>
      <c r="H306">
        <f>VLOOKUP(D306,Товары!A:I,6,0)</f>
        <v>80</v>
      </c>
      <c r="I306" t="str">
        <f>VLOOKUP(C306,Магазины!A:C,3,0)</f>
        <v>Оренбург</v>
      </c>
      <c r="J306">
        <f>VLOOKUP(D306,Товары!A:I,4,0)</f>
        <v>27150</v>
      </c>
      <c r="K306">
        <f t="shared" si="4"/>
        <v>81450</v>
      </c>
    </row>
    <row r="307" spans="1:11" hidden="1" x14ac:dyDescent="0.25">
      <c r="A307">
        <v>306</v>
      </c>
      <c r="B307" s="1">
        <v>45749</v>
      </c>
      <c r="C307" t="s">
        <v>22</v>
      </c>
      <c r="D307" t="s">
        <v>71</v>
      </c>
      <c r="E307" t="s">
        <v>13</v>
      </c>
      <c r="F307">
        <v>3</v>
      </c>
      <c r="G307" t="str">
        <f>VLOOKUP(D307,Товары!A:I,3,0)</f>
        <v>Тумба с раковиной  навес. Альба 600 мята 2 ящика с умыв. Океан</v>
      </c>
      <c r="H307">
        <f>VLOOKUP(D307,Товары!A:I,6,0)</f>
        <v>50</v>
      </c>
      <c r="I307" t="str">
        <f>VLOOKUP(C307,Магазины!A:C,3,0)</f>
        <v>Кемерово</v>
      </c>
      <c r="J307">
        <f>VLOOKUP(D307,Товары!A:I,4,0)</f>
        <v>24810</v>
      </c>
      <c r="K307">
        <f t="shared" si="4"/>
        <v>74430</v>
      </c>
    </row>
    <row r="308" spans="1:11" hidden="1" x14ac:dyDescent="0.25">
      <c r="A308">
        <v>307</v>
      </c>
      <c r="B308" s="1">
        <v>45753</v>
      </c>
      <c r="C308" t="s">
        <v>63</v>
      </c>
      <c r="D308" t="s">
        <v>106</v>
      </c>
      <c r="E308" t="s">
        <v>8</v>
      </c>
      <c r="F308">
        <v>3</v>
      </c>
      <c r="G308" t="str">
        <f>VLOOKUP(D308,Товары!A:I,3,0)</f>
        <v>Тумба с раковиной  навес. Кристалл 700 шато азур 2 ящика с умыв. Слим</v>
      </c>
      <c r="H308">
        <f>VLOOKUP(D308,Товары!A:I,6,0)</f>
        <v>60</v>
      </c>
      <c r="I308" t="str">
        <f>VLOOKUP(C308,Магазины!A:C,3,0)</f>
        <v>Ставрополь</v>
      </c>
      <c r="J308">
        <f>VLOOKUP(D308,Товары!A:I,4,0)</f>
        <v>24150</v>
      </c>
      <c r="K308">
        <f t="shared" si="4"/>
        <v>72450</v>
      </c>
    </row>
    <row r="309" spans="1:11" hidden="1" x14ac:dyDescent="0.25">
      <c r="A309">
        <v>308</v>
      </c>
      <c r="B309" s="1">
        <v>45748</v>
      </c>
      <c r="C309" t="s">
        <v>58</v>
      </c>
      <c r="D309" t="s">
        <v>96</v>
      </c>
      <c r="E309" t="s">
        <v>8</v>
      </c>
      <c r="F309">
        <v>1</v>
      </c>
      <c r="G309" t="str">
        <f>VLOOKUP(D309,Товары!A:I,3,0)</f>
        <v>Тумба с раковиной  навес. Альба 600 мята 1 ящик с умыв. Океан</v>
      </c>
      <c r="H309">
        <f>VLOOKUP(D309,Товары!A:I,6,0)</f>
        <v>85</v>
      </c>
      <c r="I309" t="str">
        <f>VLOOKUP(C309,Магазины!A:C,3,0)</f>
        <v>Ставрополь</v>
      </c>
      <c r="J309">
        <f>VLOOKUP(D309,Товары!A:I,4,0)</f>
        <v>17625</v>
      </c>
      <c r="K309">
        <f t="shared" si="4"/>
        <v>17625</v>
      </c>
    </row>
    <row r="310" spans="1:11" hidden="1" x14ac:dyDescent="0.25">
      <c r="A310">
        <v>309</v>
      </c>
      <c r="B310" s="1">
        <v>45755</v>
      </c>
      <c r="C310" t="s">
        <v>58</v>
      </c>
      <c r="D310" t="s">
        <v>66</v>
      </c>
      <c r="E310" t="s">
        <v>13</v>
      </c>
      <c r="F310">
        <v>3</v>
      </c>
      <c r="G310" t="str">
        <f>VLOOKUP(D310,Товары!A:I,3,0)</f>
        <v>Тумба с раковиной  навес. Альба 800 мята 2 ящика с умыв. Слим</v>
      </c>
      <c r="H310">
        <f>VLOOKUP(D310,Товары!A:I,6,0)</f>
        <v>50</v>
      </c>
      <c r="I310" t="str">
        <f>VLOOKUP(C310,Магазины!A:C,3,0)</f>
        <v>Ставрополь</v>
      </c>
      <c r="J310">
        <f>VLOOKUP(D310,Товары!A:I,4,0)</f>
        <v>26070</v>
      </c>
      <c r="K310">
        <f t="shared" si="4"/>
        <v>78210</v>
      </c>
    </row>
    <row r="311" spans="1:11" hidden="1" x14ac:dyDescent="0.25">
      <c r="A311">
        <v>310</v>
      </c>
      <c r="B311" s="1">
        <v>45749</v>
      </c>
      <c r="C311" t="s">
        <v>111</v>
      </c>
      <c r="D311" t="s">
        <v>78</v>
      </c>
      <c r="E311" t="s">
        <v>13</v>
      </c>
      <c r="F311">
        <v>2</v>
      </c>
      <c r="G311" t="str">
        <f>VLOOKUP(D311,Товары!A:I,3,0)</f>
        <v>Зеркальный шкаф Кристалл 70 со светильником правый, ручка кнопка дуб цвет Шато Азур</v>
      </c>
      <c r="H311">
        <f>VLOOKUP(D311,Товары!A:I,6,0)</f>
        <v>75</v>
      </c>
      <c r="I311" t="str">
        <f>VLOOKUP(C311,Магазины!A:C,3,0)</f>
        <v>Набережные Челны</v>
      </c>
      <c r="J311">
        <f>VLOOKUP(D311,Товары!A:I,4,0)</f>
        <v>9615</v>
      </c>
      <c r="K311">
        <f t="shared" si="4"/>
        <v>19230</v>
      </c>
    </row>
    <row r="312" spans="1:11" hidden="1" x14ac:dyDescent="0.25">
      <c r="A312">
        <v>311</v>
      </c>
      <c r="B312" s="1">
        <v>45752</v>
      </c>
      <c r="C312" t="s">
        <v>14</v>
      </c>
      <c r="D312" t="s">
        <v>53</v>
      </c>
      <c r="E312" t="s">
        <v>13</v>
      </c>
      <c r="F312">
        <v>3</v>
      </c>
      <c r="G312" t="str">
        <f>VLOOKUP(D312,Товары!A:I,3,0)</f>
        <v>Тумба с раковиной  напол. Кристалл 600 шато азур 2 ящика с умыв. Океан</v>
      </c>
      <c r="H312">
        <f>VLOOKUP(D312,Товары!A:I,6,0)</f>
        <v>85</v>
      </c>
      <c r="I312" t="str">
        <f>VLOOKUP(C312,Магазины!A:C,3,0)</f>
        <v>Оренбург</v>
      </c>
      <c r="J312">
        <f>VLOOKUP(D312,Товары!A:I,4,0)</f>
        <v>27600</v>
      </c>
      <c r="K312">
        <f t="shared" si="4"/>
        <v>82800</v>
      </c>
    </row>
    <row r="313" spans="1:11" hidden="1" x14ac:dyDescent="0.25">
      <c r="A313">
        <v>312</v>
      </c>
      <c r="B313" s="1">
        <v>45750</v>
      </c>
      <c r="C313" t="s">
        <v>58</v>
      </c>
      <c r="D313" t="s">
        <v>62</v>
      </c>
      <c r="E313" t="s">
        <v>8</v>
      </c>
      <c r="F313">
        <v>1</v>
      </c>
      <c r="G313" t="str">
        <f>VLOOKUP(D313,Товары!A:I,3,0)</f>
        <v>Тумба с раковиной  напол. Альба 600 мята 2 ящика с умыв. Океан</v>
      </c>
      <c r="H313">
        <f>VLOOKUP(D313,Товары!A:I,6,0)</f>
        <v>80</v>
      </c>
      <c r="I313" t="str">
        <f>VLOOKUP(C313,Магазины!A:C,3,0)</f>
        <v>Ставрополь</v>
      </c>
      <c r="J313">
        <f>VLOOKUP(D313,Товары!A:I,4,0)</f>
        <v>26370</v>
      </c>
      <c r="K313">
        <f t="shared" si="4"/>
        <v>26370</v>
      </c>
    </row>
    <row r="314" spans="1:11" hidden="1" x14ac:dyDescent="0.25">
      <c r="A314">
        <v>313</v>
      </c>
      <c r="B314" s="1">
        <v>45753</v>
      </c>
      <c r="C314" t="s">
        <v>58</v>
      </c>
      <c r="D314" t="s">
        <v>61</v>
      </c>
      <c r="E314" t="s">
        <v>8</v>
      </c>
      <c r="F314">
        <v>2</v>
      </c>
      <c r="G314" t="str">
        <f>VLOOKUP(D314,Товары!A:I,3,0)</f>
        <v>Тумба под стиральную машину Леон Риф 57 напольная 2 ящика под ст/маш, без умывальника /под Marshall 120 Солярис/Белый Риф</v>
      </c>
      <c r="H314">
        <f>VLOOKUP(D314,Товары!A:I,6,0)</f>
        <v>85</v>
      </c>
      <c r="I314" t="str">
        <f>VLOOKUP(C314,Магазины!A:C,3,0)</f>
        <v>Ставрополь</v>
      </c>
      <c r="J314">
        <f>VLOOKUP(D314,Товары!A:I,4,0)</f>
        <v>17430</v>
      </c>
      <c r="K314">
        <f t="shared" si="4"/>
        <v>34860</v>
      </c>
    </row>
    <row r="315" spans="1:11" hidden="1" x14ac:dyDescent="0.25">
      <c r="A315">
        <v>314</v>
      </c>
      <c r="B315" s="1">
        <v>45752</v>
      </c>
      <c r="C315" t="s">
        <v>92</v>
      </c>
      <c r="D315" t="s">
        <v>74</v>
      </c>
      <c r="E315" t="s">
        <v>8</v>
      </c>
      <c r="F315">
        <v>2</v>
      </c>
      <c r="G315" t="str">
        <f>VLOOKUP(D315,Товары!A:I,3,0)</f>
        <v>Тумба с раковиной  напол. Альба 800 суфле 2 ящика с умыв. Слим</v>
      </c>
      <c r="H315">
        <f>VLOOKUP(D315,Товары!A:I,6,0)</f>
        <v>80</v>
      </c>
      <c r="I315" t="str">
        <f>VLOOKUP(C315,Магазины!A:C,3,0)</f>
        <v>Кемерово</v>
      </c>
      <c r="J315">
        <f>VLOOKUP(D315,Товары!A:I,4,0)</f>
        <v>29340</v>
      </c>
      <c r="K315">
        <f t="shared" si="4"/>
        <v>58680</v>
      </c>
    </row>
    <row r="316" spans="1:11" hidden="1" x14ac:dyDescent="0.25">
      <c r="A316">
        <v>315</v>
      </c>
      <c r="B316" s="1">
        <v>45752</v>
      </c>
      <c r="C316" t="s">
        <v>26</v>
      </c>
      <c r="D316" t="s">
        <v>31</v>
      </c>
      <c r="E316" t="s">
        <v>8</v>
      </c>
      <c r="F316">
        <v>2</v>
      </c>
      <c r="G316" t="str">
        <f>VLOOKUP(D316,Товары!A:I,3,0)</f>
        <v>Пенал напол. Виктория 350 белый 2 двери</v>
      </c>
      <c r="H316">
        <f>VLOOKUP(D316,Товары!A:I,6,0)</f>
        <v>190</v>
      </c>
      <c r="I316" t="str">
        <f>VLOOKUP(C316,Магазины!A:C,3,0)</f>
        <v>Оренбург</v>
      </c>
      <c r="J316">
        <f>VLOOKUP(D316,Товары!A:I,4,0)</f>
        <v>14085</v>
      </c>
      <c r="K316">
        <f t="shared" si="4"/>
        <v>28170</v>
      </c>
    </row>
    <row r="317" spans="1:11" hidden="1" x14ac:dyDescent="0.25">
      <c r="A317">
        <v>316</v>
      </c>
      <c r="B317" s="1">
        <v>45756</v>
      </c>
      <c r="C317" t="s">
        <v>14</v>
      </c>
      <c r="D317" t="s">
        <v>60</v>
      </c>
      <c r="E317" t="s">
        <v>13</v>
      </c>
      <c r="F317">
        <v>3</v>
      </c>
      <c r="G317" t="str">
        <f>VLOOKUP(D317,Товары!A:I,3,0)</f>
        <v>Пенал навес. Куба Риф 350 белый 2 двери</v>
      </c>
      <c r="H317">
        <f>VLOOKUP(D317,Товары!A:I,6,0)</f>
        <v>150</v>
      </c>
      <c r="I317" t="str">
        <f>VLOOKUP(C317,Магазины!A:C,3,0)</f>
        <v>Оренбург</v>
      </c>
      <c r="J317">
        <f>VLOOKUP(D317,Товары!A:I,4,0)</f>
        <v>9720</v>
      </c>
      <c r="K317">
        <f t="shared" si="4"/>
        <v>29160</v>
      </c>
    </row>
    <row r="318" spans="1:11" hidden="1" x14ac:dyDescent="0.25">
      <c r="A318">
        <v>317</v>
      </c>
      <c r="B318" s="1">
        <v>45754</v>
      </c>
      <c r="C318" t="s">
        <v>41</v>
      </c>
      <c r="D318" t="s">
        <v>93</v>
      </c>
      <c r="E318" t="s">
        <v>13</v>
      </c>
      <c r="F318">
        <v>3</v>
      </c>
      <c r="G318" t="str">
        <f>VLOOKUP(D318,Товары!A:I,3,0)</f>
        <v>Тумба с раковиной  напол. Леон Риф 800 солярис/белый риф 2 ящика с умыв. Слим</v>
      </c>
      <c r="H318">
        <f>VLOOKUP(D318,Товары!A:I,6,0)</f>
        <v>80</v>
      </c>
      <c r="I318" t="str">
        <f>VLOOKUP(C318,Магазины!A:C,3,0)</f>
        <v>Ставрополь</v>
      </c>
      <c r="J318">
        <f>VLOOKUP(D318,Товары!A:I,4,0)</f>
        <v>29340</v>
      </c>
      <c r="K318">
        <f t="shared" si="4"/>
        <v>88020</v>
      </c>
    </row>
    <row r="319" spans="1:11" hidden="1" x14ac:dyDescent="0.25">
      <c r="A319">
        <v>318</v>
      </c>
      <c r="B319" s="1">
        <v>45755</v>
      </c>
      <c r="C319" t="s">
        <v>26</v>
      </c>
      <c r="D319" t="s">
        <v>124</v>
      </c>
      <c r="E319" t="s">
        <v>13</v>
      </c>
      <c r="F319">
        <v>1</v>
      </c>
      <c r="G319" t="str">
        <f>VLOOKUP(D319,Товары!A:I,3,0)</f>
        <v>Тумба с раковиной  напол. Леон 600 оникс 2 ящика с умыв. Океан</v>
      </c>
      <c r="H319">
        <f>VLOOKUP(D319,Товары!A:I,6,0)</f>
        <v>80</v>
      </c>
      <c r="I319" t="str">
        <f>VLOOKUP(C319,Магазины!A:C,3,0)</f>
        <v>Оренбург</v>
      </c>
      <c r="J319">
        <f>VLOOKUP(D319,Товары!A:I,4,0)</f>
        <v>25860</v>
      </c>
      <c r="K319">
        <f t="shared" si="4"/>
        <v>25860</v>
      </c>
    </row>
    <row r="320" spans="1:11" hidden="1" x14ac:dyDescent="0.25">
      <c r="A320">
        <v>319</v>
      </c>
      <c r="B320" s="1">
        <v>45757</v>
      </c>
      <c r="C320" t="s">
        <v>103</v>
      </c>
      <c r="D320" t="s">
        <v>81</v>
      </c>
      <c r="E320" t="s">
        <v>8</v>
      </c>
      <c r="F320">
        <v>1</v>
      </c>
      <c r="G320" t="str">
        <f>VLOOKUP(D320,Товары!A:I,3,0)</f>
        <v>Тумба с раковиной  навес. Рица 600 cерый/керамика 1 ящик + ниша 1 с умыв. Океан</v>
      </c>
      <c r="H320">
        <f>VLOOKUP(D320,Товары!A:I,6,0)</f>
        <v>60</v>
      </c>
      <c r="I320" t="str">
        <f>VLOOKUP(C320,Магазины!A:C,3,0)</f>
        <v>Ставрополь</v>
      </c>
      <c r="J320">
        <f>VLOOKUP(D320,Товары!A:I,4,0)</f>
        <v>18900</v>
      </c>
      <c r="K320">
        <f t="shared" si="4"/>
        <v>18900</v>
      </c>
    </row>
    <row r="321" spans="1:11" hidden="1" x14ac:dyDescent="0.25">
      <c r="A321">
        <v>320</v>
      </c>
      <c r="B321" s="1">
        <v>45753</v>
      </c>
      <c r="C321" t="s">
        <v>28</v>
      </c>
      <c r="D321" t="s">
        <v>84</v>
      </c>
      <c r="E321" t="s">
        <v>13</v>
      </c>
      <c r="F321">
        <v>3</v>
      </c>
      <c r="G321" t="str">
        <f>VLOOKUP(D321,Товары!A:I,3,0)</f>
        <v>Тумба с раковиной  напол. Куба Риф 800 белый 3 двери с умыв. Слим</v>
      </c>
      <c r="H321">
        <f>VLOOKUP(D321,Товары!A:I,6,0)</f>
        <v>85</v>
      </c>
      <c r="I321" t="str">
        <f>VLOOKUP(C321,Магазины!A:C,3,0)</f>
        <v>Набережные Челны</v>
      </c>
      <c r="J321">
        <f>VLOOKUP(D321,Товары!A:I,4,0)</f>
        <v>19920</v>
      </c>
      <c r="K321">
        <f t="shared" si="4"/>
        <v>59760</v>
      </c>
    </row>
    <row r="322" spans="1:11" hidden="1" x14ac:dyDescent="0.25">
      <c r="A322">
        <v>321</v>
      </c>
      <c r="B322" s="1">
        <v>45754</v>
      </c>
      <c r="C322" t="s">
        <v>11</v>
      </c>
      <c r="D322" t="s">
        <v>75</v>
      </c>
      <c r="E322" t="s">
        <v>13</v>
      </c>
      <c r="F322">
        <v>2</v>
      </c>
      <c r="G322" t="str">
        <f>VLOOKUP(D322,Товары!A:I,3,0)</f>
        <v>Тумба с раковиной  напол. Альба 600 суфле 2 ящика с умыв. Океан</v>
      </c>
      <c r="H322">
        <f>VLOOKUP(D322,Товары!A:I,6,0)</f>
        <v>80</v>
      </c>
      <c r="I322" t="str">
        <f>VLOOKUP(C322,Магазины!A:C,3,0)</f>
        <v>Кемерово</v>
      </c>
      <c r="J322">
        <f>VLOOKUP(D322,Товары!A:I,4,0)</f>
        <v>26370</v>
      </c>
      <c r="K322">
        <f t="shared" si="4"/>
        <v>52740</v>
      </c>
    </row>
    <row r="323" spans="1:11" hidden="1" x14ac:dyDescent="0.25">
      <c r="A323">
        <v>322</v>
      </c>
      <c r="B323" s="1">
        <v>45755</v>
      </c>
      <c r="C323" t="s">
        <v>11</v>
      </c>
      <c r="D323" t="s">
        <v>60</v>
      </c>
      <c r="E323" t="s">
        <v>8</v>
      </c>
      <c r="F323">
        <v>3</v>
      </c>
      <c r="G323" t="str">
        <f>VLOOKUP(D323,Товары!A:I,3,0)</f>
        <v>Пенал навес. Куба Риф 350 белый 2 двери</v>
      </c>
      <c r="H323">
        <f>VLOOKUP(D323,Товары!A:I,6,0)</f>
        <v>150</v>
      </c>
      <c r="I323" t="str">
        <f>VLOOKUP(C323,Магазины!A:C,3,0)</f>
        <v>Кемерово</v>
      </c>
      <c r="J323">
        <f>VLOOKUP(D323,Товары!A:I,4,0)</f>
        <v>9720</v>
      </c>
      <c r="K323">
        <f t="shared" ref="K323:K386" si="5">J323*F323</f>
        <v>29160</v>
      </c>
    </row>
    <row r="324" spans="1:11" hidden="1" x14ac:dyDescent="0.25">
      <c r="A324">
        <v>323</v>
      </c>
      <c r="B324" s="1">
        <v>45752</v>
      </c>
      <c r="C324" t="s">
        <v>57</v>
      </c>
      <c r="D324" t="s">
        <v>119</v>
      </c>
      <c r="E324" t="s">
        <v>13</v>
      </c>
      <c r="F324">
        <v>3</v>
      </c>
      <c r="G324" t="str">
        <f>VLOOKUP(D324,Товары!A:I,3,0)</f>
        <v>Пенал навес./напол. Рица 350 cерый/керамика 2 двери</v>
      </c>
      <c r="H324">
        <f>VLOOKUP(D324,Товары!A:I,6,0)</f>
        <v>160</v>
      </c>
      <c r="I324" t="str">
        <f>VLOOKUP(C324,Магазины!A:C,3,0)</f>
        <v>Оренбург</v>
      </c>
      <c r="J324">
        <f>VLOOKUP(D324,Товары!A:I,4,0)</f>
        <v>11250</v>
      </c>
      <c r="K324">
        <f t="shared" si="5"/>
        <v>33750</v>
      </c>
    </row>
    <row r="325" spans="1:11" hidden="1" x14ac:dyDescent="0.25">
      <c r="A325">
        <v>324</v>
      </c>
      <c r="B325" s="1">
        <v>45751</v>
      </c>
      <c r="C325" t="s">
        <v>18</v>
      </c>
      <c r="D325" t="s">
        <v>116</v>
      </c>
      <c r="E325" t="s">
        <v>8</v>
      </c>
      <c r="F325">
        <v>3</v>
      </c>
      <c r="G325" t="str">
        <f>VLOOKUP(D325,Товары!A:I,3,0)</f>
        <v>Зеркало Нева 60 дуб/белый со светильником</v>
      </c>
      <c r="H325">
        <f>VLOOKUP(D325,Товары!A:I,6,0)</f>
        <v>80</v>
      </c>
      <c r="I325" t="str">
        <f>VLOOKUP(C325,Магазины!A:C,3,0)</f>
        <v>Набережные Челны</v>
      </c>
      <c r="J325">
        <f>VLOOKUP(D325,Товары!A:I,4,0)</f>
        <v>5100</v>
      </c>
      <c r="K325">
        <f t="shared" si="5"/>
        <v>15300</v>
      </c>
    </row>
    <row r="326" spans="1:11" hidden="1" x14ac:dyDescent="0.25">
      <c r="A326">
        <v>325</v>
      </c>
      <c r="B326" s="1">
        <v>45757</v>
      </c>
      <c r="C326" t="s">
        <v>58</v>
      </c>
      <c r="D326" t="s">
        <v>86</v>
      </c>
      <c r="E326" t="s">
        <v>8</v>
      </c>
      <c r="F326">
        <v>2</v>
      </c>
      <c r="G326" t="str">
        <f>VLOOKUP(D326,Товары!A:I,3,0)</f>
        <v>Комод Аква 50 напольный 1 ящик 2 двери белый</v>
      </c>
      <c r="H326">
        <f>VLOOKUP(D326,Товары!A:I,6,0)</f>
        <v>90</v>
      </c>
      <c r="I326" t="str">
        <f>VLOOKUP(C326,Магазины!A:C,3,0)</f>
        <v>Ставрополь</v>
      </c>
      <c r="J326">
        <f>VLOOKUP(D326,Товары!A:I,4,0)</f>
        <v>7260</v>
      </c>
      <c r="K326">
        <f t="shared" si="5"/>
        <v>14520</v>
      </c>
    </row>
    <row r="327" spans="1:11" hidden="1" x14ac:dyDescent="0.25">
      <c r="A327">
        <v>326</v>
      </c>
      <c r="B327" s="1">
        <v>45757</v>
      </c>
      <c r="C327" t="s">
        <v>30</v>
      </c>
      <c r="D327" t="s">
        <v>124</v>
      </c>
      <c r="E327" t="s">
        <v>13</v>
      </c>
      <c r="F327">
        <v>1</v>
      </c>
      <c r="G327" t="str">
        <f>VLOOKUP(D327,Товары!A:I,3,0)</f>
        <v>Тумба с раковиной  напол. Леон 600 оникс 2 ящика с умыв. Океан</v>
      </c>
      <c r="H327">
        <f>VLOOKUP(D327,Товары!A:I,6,0)</f>
        <v>80</v>
      </c>
      <c r="I327" t="str">
        <f>VLOOKUP(C327,Магазины!A:C,3,0)</f>
        <v>Кемерово</v>
      </c>
      <c r="J327">
        <f>VLOOKUP(D327,Товары!A:I,4,0)</f>
        <v>25860</v>
      </c>
      <c r="K327">
        <f t="shared" si="5"/>
        <v>25860</v>
      </c>
    </row>
    <row r="328" spans="1:11" hidden="1" x14ac:dyDescent="0.25">
      <c r="A328">
        <v>327</v>
      </c>
      <c r="B328" s="1">
        <v>45750</v>
      </c>
      <c r="C328" t="s">
        <v>14</v>
      </c>
      <c r="D328" t="s">
        <v>125</v>
      </c>
      <c r="E328" t="s">
        <v>13</v>
      </c>
      <c r="F328">
        <v>3</v>
      </c>
      <c r="G328" t="str">
        <f>VLOOKUP(D328,Товары!A:I,3,0)</f>
        <v>Зеркальный шкаф Сохо 60 белый со светильником правый цвет Белый глянец</v>
      </c>
      <c r="H328">
        <f>VLOOKUP(D328,Товары!A:I,6,0)</f>
        <v>75</v>
      </c>
      <c r="I328" t="str">
        <f>VLOOKUP(C328,Магазины!A:C,3,0)</f>
        <v>Оренбург</v>
      </c>
      <c r="J328">
        <f>VLOOKUP(D328,Товары!A:I,4,0)</f>
        <v>7395</v>
      </c>
      <c r="K328">
        <f t="shared" si="5"/>
        <v>22185</v>
      </c>
    </row>
    <row r="329" spans="1:11" hidden="1" x14ac:dyDescent="0.25">
      <c r="A329">
        <v>328</v>
      </c>
      <c r="B329" s="1">
        <v>45749</v>
      </c>
      <c r="C329" t="s">
        <v>33</v>
      </c>
      <c r="D329" t="s">
        <v>98</v>
      </c>
      <c r="E329" t="s">
        <v>13</v>
      </c>
      <c r="F329">
        <v>2</v>
      </c>
      <c r="G329" t="str">
        <f>VLOOKUP(D329,Товары!A:I,3,0)</f>
        <v>Тумба с раковиной  напол. Рица 800 cерый/керамика 2 ящика с умыв. Слим</v>
      </c>
      <c r="H329">
        <f>VLOOKUP(D329,Товары!A:I,6,0)</f>
        <v>80</v>
      </c>
      <c r="I329" t="str">
        <f>VLOOKUP(C329,Магазины!A:C,3,0)</f>
        <v>Набережные Челны</v>
      </c>
      <c r="J329">
        <f>VLOOKUP(D329,Товары!A:I,4,0)</f>
        <v>28980</v>
      </c>
      <c r="K329">
        <f t="shared" si="5"/>
        <v>57960</v>
      </c>
    </row>
    <row r="330" spans="1:11" hidden="1" x14ac:dyDescent="0.25">
      <c r="A330">
        <v>329</v>
      </c>
      <c r="B330" s="1">
        <v>45751</v>
      </c>
      <c r="C330" t="s">
        <v>6</v>
      </c>
      <c r="D330" t="s">
        <v>69</v>
      </c>
      <c r="E330" t="s">
        <v>13</v>
      </c>
      <c r="F330">
        <v>2</v>
      </c>
      <c r="G330" t="str">
        <f>VLOOKUP(D330,Товары!A:I,3,0)</f>
        <v>Пенал навес./напол. Альба 350 антрацит 2 двери</v>
      </c>
      <c r="H330">
        <f>VLOOKUP(D330,Товары!A:I,6,0)</f>
        <v>150</v>
      </c>
      <c r="I330" t="str">
        <f>VLOOKUP(C330,Магазины!A:C,3,0)</f>
        <v>Оренбург</v>
      </c>
      <c r="J330">
        <f>VLOOKUP(D330,Товары!A:I,4,0)</f>
        <v>11655</v>
      </c>
      <c r="K330">
        <f t="shared" si="5"/>
        <v>23310</v>
      </c>
    </row>
    <row r="331" spans="1:11" hidden="1" x14ac:dyDescent="0.25">
      <c r="A331">
        <v>330</v>
      </c>
      <c r="B331" s="1">
        <v>45748</v>
      </c>
      <c r="C331" t="s">
        <v>14</v>
      </c>
      <c r="D331" t="s">
        <v>65</v>
      </c>
      <c r="E331" t="s">
        <v>8</v>
      </c>
      <c r="F331">
        <v>1</v>
      </c>
      <c r="G331" t="str">
        <f>VLOOKUP(D331,Товары!A:I,3,0)</f>
        <v>Тумба с раковиной  навес. Альба 800 суфле 2 ящика с умыв. Слим</v>
      </c>
      <c r="H331">
        <f>VLOOKUP(D331,Товары!A:I,6,0)</f>
        <v>50</v>
      </c>
      <c r="I331" t="str">
        <f>VLOOKUP(C331,Магазины!A:C,3,0)</f>
        <v>Оренбург</v>
      </c>
      <c r="J331">
        <f>VLOOKUP(D331,Товары!A:I,4,0)</f>
        <v>26070</v>
      </c>
      <c r="K331">
        <f t="shared" si="5"/>
        <v>26070</v>
      </c>
    </row>
    <row r="332" spans="1:11" hidden="1" x14ac:dyDescent="0.25">
      <c r="A332">
        <v>331</v>
      </c>
      <c r="B332" s="1">
        <v>45750</v>
      </c>
      <c r="C332" t="s">
        <v>48</v>
      </c>
      <c r="D332" t="s">
        <v>52</v>
      </c>
      <c r="E332" t="s">
        <v>8</v>
      </c>
      <c r="F332">
        <v>2</v>
      </c>
      <c r="G332" t="str">
        <f>VLOOKUP(D332,Товары!A:I,3,0)</f>
        <v>Тумба с раковиной  напол. Кристалл 600 суфле 2 ящика с умыв. Океан</v>
      </c>
      <c r="H332">
        <f>VLOOKUP(D332,Товары!A:I,6,0)</f>
        <v>80</v>
      </c>
      <c r="I332" t="str">
        <f>VLOOKUP(C332,Магазины!A:C,3,0)</f>
        <v>Ставрополь</v>
      </c>
      <c r="J332">
        <f>VLOOKUP(D332,Товары!A:I,4,0)</f>
        <v>27600</v>
      </c>
      <c r="K332">
        <f t="shared" si="5"/>
        <v>55200</v>
      </c>
    </row>
    <row r="333" spans="1:11" hidden="1" x14ac:dyDescent="0.25">
      <c r="A333">
        <v>332</v>
      </c>
      <c r="B333" s="1">
        <v>45752</v>
      </c>
      <c r="C333" t="s">
        <v>63</v>
      </c>
      <c r="D333" t="s">
        <v>51</v>
      </c>
      <c r="E333" t="s">
        <v>8</v>
      </c>
      <c r="F333">
        <v>2</v>
      </c>
      <c r="G333" t="str">
        <f>VLOOKUP(D333,Товары!A:I,3,0)</f>
        <v>Зеркальный шкаф Альба 80 со светильником правый цвет суфле</v>
      </c>
      <c r="H333">
        <f>VLOOKUP(D333,Товары!A:I,6,0)</f>
        <v>75</v>
      </c>
      <c r="I333" t="str">
        <f>VLOOKUP(C333,Магазины!A:C,3,0)</f>
        <v>Ставрополь</v>
      </c>
      <c r="J333">
        <f>VLOOKUP(D333,Товары!A:I,4,0)</f>
        <v>9930</v>
      </c>
      <c r="K333">
        <f t="shared" si="5"/>
        <v>19860</v>
      </c>
    </row>
    <row r="334" spans="1:11" hidden="1" x14ac:dyDescent="0.25">
      <c r="A334">
        <v>333</v>
      </c>
      <c r="B334" s="1">
        <v>45751</v>
      </c>
      <c r="C334" t="s">
        <v>92</v>
      </c>
      <c r="D334" t="s">
        <v>97</v>
      </c>
      <c r="E334" t="s">
        <v>8</v>
      </c>
      <c r="F334">
        <v>2</v>
      </c>
      <c r="G334" t="str">
        <f>VLOOKUP(D334,Товары!A:I,3,0)</f>
        <v>Пенал напол. Кристалл 350 суфле 2 двери</v>
      </c>
      <c r="H334">
        <f>VLOOKUP(D334,Товары!A:I,6,0)</f>
        <v>190</v>
      </c>
      <c r="I334" t="str">
        <f>VLOOKUP(C334,Магазины!A:C,3,0)</f>
        <v>Кемерово</v>
      </c>
      <c r="J334">
        <f>VLOOKUP(D334,Товары!A:I,4,0)</f>
        <v>15810</v>
      </c>
      <c r="K334">
        <f t="shared" si="5"/>
        <v>31620</v>
      </c>
    </row>
    <row r="335" spans="1:11" hidden="1" x14ac:dyDescent="0.25">
      <c r="A335">
        <v>334</v>
      </c>
      <c r="B335" s="1">
        <v>45751</v>
      </c>
      <c r="C335" t="s">
        <v>92</v>
      </c>
      <c r="D335" t="s">
        <v>112</v>
      </c>
      <c r="E335" t="s">
        <v>13</v>
      </c>
      <c r="F335">
        <v>2</v>
      </c>
      <c r="G335" t="str">
        <f>VLOOKUP(D335,Товары!A:I,3,0)</f>
        <v>Тумба с раковиной  напол. Аква 560 белый 2 двери с умыв. Уют</v>
      </c>
      <c r="H335">
        <f>VLOOKUP(D335,Товары!A:I,6,0)</f>
        <v>85</v>
      </c>
      <c r="I335" t="str">
        <f>VLOOKUP(C335,Магазины!A:C,3,0)</f>
        <v>Кемерово</v>
      </c>
      <c r="J335">
        <f>VLOOKUP(D335,Товары!A:I,4,0)</f>
        <v>9330</v>
      </c>
      <c r="K335">
        <f t="shared" si="5"/>
        <v>18660</v>
      </c>
    </row>
    <row r="336" spans="1:11" hidden="1" x14ac:dyDescent="0.25">
      <c r="A336">
        <v>335</v>
      </c>
      <c r="B336" s="1">
        <v>45748</v>
      </c>
      <c r="C336" t="s">
        <v>57</v>
      </c>
      <c r="D336" t="s">
        <v>82</v>
      </c>
      <c r="E336" t="s">
        <v>13</v>
      </c>
      <c r="F336">
        <v>2</v>
      </c>
      <c r="G336" t="str">
        <f>VLOOKUP(D336,Товары!A:I,3,0)</f>
        <v>Тумба с раковиной  навес. Леон 800 форест 2 ящика с умыв. Слим</v>
      </c>
      <c r="H336">
        <f>VLOOKUP(D336,Товары!A:I,6,0)</f>
        <v>60</v>
      </c>
      <c r="I336" t="str">
        <f>VLOOKUP(C336,Магазины!A:C,3,0)</f>
        <v>Оренбург</v>
      </c>
      <c r="J336">
        <f>VLOOKUP(D336,Товары!A:I,4,0)</f>
        <v>27930</v>
      </c>
      <c r="K336">
        <f t="shared" si="5"/>
        <v>55860</v>
      </c>
    </row>
    <row r="337" spans="1:11" hidden="1" x14ac:dyDescent="0.25">
      <c r="A337">
        <v>336</v>
      </c>
      <c r="B337" s="1">
        <v>45756</v>
      </c>
      <c r="C337" t="s">
        <v>20</v>
      </c>
      <c r="D337" t="s">
        <v>7</v>
      </c>
      <c r="E337" t="s">
        <v>8</v>
      </c>
      <c r="F337">
        <v>3</v>
      </c>
      <c r="G337" t="str">
        <f>VLOOKUP(D337,Товары!A:I,3,0)</f>
        <v>Пенал напол. Леон Риф 400 солярис/белый риф 2 двери + 1 ящик</v>
      </c>
      <c r="H337">
        <f>VLOOKUP(D337,Товары!A:I,6,0)</f>
        <v>190</v>
      </c>
      <c r="I337" t="str">
        <f>VLOOKUP(C337,Магазины!A:C,3,0)</f>
        <v>Оренбург</v>
      </c>
      <c r="J337">
        <f>VLOOKUP(D337,Товары!A:I,4,0)</f>
        <v>14490</v>
      </c>
      <c r="K337">
        <f t="shared" si="5"/>
        <v>43470</v>
      </c>
    </row>
    <row r="338" spans="1:11" hidden="1" x14ac:dyDescent="0.25">
      <c r="A338">
        <v>337</v>
      </c>
      <c r="B338" s="1">
        <v>45753</v>
      </c>
      <c r="C338" t="s">
        <v>14</v>
      </c>
      <c r="D338" t="s">
        <v>86</v>
      </c>
      <c r="E338" t="s">
        <v>13</v>
      </c>
      <c r="F338">
        <v>2</v>
      </c>
      <c r="G338" t="str">
        <f>VLOOKUP(D338,Товары!A:I,3,0)</f>
        <v>Комод Аква 50 напольный 1 ящик 2 двери белый</v>
      </c>
      <c r="H338">
        <f>VLOOKUP(D338,Товары!A:I,6,0)</f>
        <v>90</v>
      </c>
      <c r="I338" t="str">
        <f>VLOOKUP(C338,Магазины!A:C,3,0)</f>
        <v>Оренбург</v>
      </c>
      <c r="J338">
        <f>VLOOKUP(D338,Товары!A:I,4,0)</f>
        <v>7260</v>
      </c>
      <c r="K338">
        <f t="shared" si="5"/>
        <v>14520</v>
      </c>
    </row>
    <row r="339" spans="1:11" hidden="1" x14ac:dyDescent="0.25">
      <c r="A339">
        <v>338</v>
      </c>
      <c r="B339" s="1">
        <v>45750</v>
      </c>
      <c r="C339" t="s">
        <v>58</v>
      </c>
      <c r="D339" t="s">
        <v>125</v>
      </c>
      <c r="E339" t="s">
        <v>8</v>
      </c>
      <c r="F339">
        <v>3</v>
      </c>
      <c r="G339" t="str">
        <f>VLOOKUP(D339,Товары!A:I,3,0)</f>
        <v>Зеркальный шкаф Сохо 60 белый со светильником правый цвет Белый глянец</v>
      </c>
      <c r="H339">
        <f>VLOOKUP(D339,Товары!A:I,6,0)</f>
        <v>75</v>
      </c>
      <c r="I339" t="str">
        <f>VLOOKUP(C339,Магазины!A:C,3,0)</f>
        <v>Ставрополь</v>
      </c>
      <c r="J339">
        <f>VLOOKUP(D339,Товары!A:I,4,0)</f>
        <v>7395</v>
      </c>
      <c r="K339">
        <f t="shared" si="5"/>
        <v>22185</v>
      </c>
    </row>
    <row r="340" spans="1:11" hidden="1" x14ac:dyDescent="0.25">
      <c r="A340">
        <v>339</v>
      </c>
      <c r="B340" s="1">
        <v>45754</v>
      </c>
      <c r="C340" t="s">
        <v>54</v>
      </c>
      <c r="D340" t="s">
        <v>106</v>
      </c>
      <c r="E340" t="s">
        <v>13</v>
      </c>
      <c r="F340">
        <v>1</v>
      </c>
      <c r="G340" t="str">
        <f>VLOOKUP(D340,Товары!A:I,3,0)</f>
        <v>Тумба с раковиной  навес. Кристалл 700 шато азур 2 ящика с умыв. Слим</v>
      </c>
      <c r="H340">
        <f>VLOOKUP(D340,Товары!A:I,6,0)</f>
        <v>60</v>
      </c>
      <c r="I340" t="str">
        <f>VLOOKUP(C340,Магазины!A:C,3,0)</f>
        <v>Ставрополь</v>
      </c>
      <c r="J340">
        <f>VLOOKUP(D340,Товары!A:I,4,0)</f>
        <v>24150</v>
      </c>
      <c r="K340">
        <f t="shared" si="5"/>
        <v>24150</v>
      </c>
    </row>
    <row r="341" spans="1:11" hidden="1" x14ac:dyDescent="0.25">
      <c r="A341">
        <v>340</v>
      </c>
      <c r="B341" s="1">
        <v>45755</v>
      </c>
      <c r="C341" t="s">
        <v>57</v>
      </c>
      <c r="D341" t="s">
        <v>126</v>
      </c>
      <c r="E341" t="s">
        <v>8</v>
      </c>
      <c r="F341">
        <v>3</v>
      </c>
      <c r="G341" t="str">
        <f>VLOOKUP(D341,Товары!A:I,3,0)</f>
        <v>Тумба с раковиной  напол. Кристалл 800 шато азур 2 ящика с умыв. Комфорт</v>
      </c>
      <c r="H341">
        <f>VLOOKUP(D341,Товары!A:I,6,0)</f>
        <v>85</v>
      </c>
      <c r="I341" t="str">
        <f>VLOOKUP(C341,Магазины!A:C,3,0)</f>
        <v>Оренбург</v>
      </c>
      <c r="J341">
        <f>VLOOKUP(D341,Товары!A:I,4,0)</f>
        <v>31125</v>
      </c>
      <c r="K341">
        <f t="shared" si="5"/>
        <v>93375</v>
      </c>
    </row>
    <row r="342" spans="1:11" hidden="1" x14ac:dyDescent="0.25">
      <c r="A342">
        <v>341</v>
      </c>
      <c r="B342" s="1">
        <v>45753</v>
      </c>
      <c r="C342" t="s">
        <v>92</v>
      </c>
      <c r="D342" t="s">
        <v>120</v>
      </c>
      <c r="E342" t="s">
        <v>8</v>
      </c>
      <c r="F342">
        <v>1</v>
      </c>
      <c r="G342" t="str">
        <f>VLOOKUP(D342,Товары!A:I,3,0)</f>
        <v>Зеркальный шкаф Альба 60 со светильником правый цвет антрацит</v>
      </c>
      <c r="H342">
        <f>VLOOKUP(D342,Товары!A:I,6,0)</f>
        <v>75</v>
      </c>
      <c r="I342" t="str">
        <f>VLOOKUP(C342,Магазины!A:C,3,0)</f>
        <v>Кемерово</v>
      </c>
      <c r="J342">
        <f>VLOOKUP(D342,Товары!A:I,4,0)</f>
        <v>8910</v>
      </c>
      <c r="K342">
        <f t="shared" si="5"/>
        <v>8910</v>
      </c>
    </row>
    <row r="343" spans="1:11" hidden="1" x14ac:dyDescent="0.25">
      <c r="A343">
        <v>342</v>
      </c>
      <c r="B343" s="1">
        <v>45755</v>
      </c>
      <c r="C343" t="s">
        <v>6</v>
      </c>
      <c r="D343" t="s">
        <v>98</v>
      </c>
      <c r="E343" t="s">
        <v>8</v>
      </c>
      <c r="F343">
        <v>2</v>
      </c>
      <c r="G343" t="str">
        <f>VLOOKUP(D343,Товары!A:I,3,0)</f>
        <v>Тумба с раковиной  напол. Рица 800 cерый/керамика 2 ящика с умыв. Слим</v>
      </c>
      <c r="H343">
        <f>VLOOKUP(D343,Товары!A:I,6,0)</f>
        <v>80</v>
      </c>
      <c r="I343" t="str">
        <f>VLOOKUP(C343,Магазины!A:C,3,0)</f>
        <v>Оренбург</v>
      </c>
      <c r="J343">
        <f>VLOOKUP(D343,Товары!A:I,4,0)</f>
        <v>28980</v>
      </c>
      <c r="K343">
        <f t="shared" si="5"/>
        <v>57960</v>
      </c>
    </row>
    <row r="344" spans="1:11" hidden="1" x14ac:dyDescent="0.25">
      <c r="A344">
        <v>343</v>
      </c>
      <c r="B344" s="1">
        <v>45756</v>
      </c>
      <c r="C344" t="s">
        <v>33</v>
      </c>
      <c r="D344" t="s">
        <v>84</v>
      </c>
      <c r="E344" t="s">
        <v>13</v>
      </c>
      <c r="F344">
        <v>1</v>
      </c>
      <c r="G344" t="str">
        <f>VLOOKUP(D344,Товары!A:I,3,0)</f>
        <v>Тумба с раковиной  напол. Куба Риф 800 белый 3 двери с умыв. Слим</v>
      </c>
      <c r="H344">
        <f>VLOOKUP(D344,Товары!A:I,6,0)</f>
        <v>85</v>
      </c>
      <c r="I344" t="str">
        <f>VLOOKUP(C344,Магазины!A:C,3,0)</f>
        <v>Набережные Челны</v>
      </c>
      <c r="J344">
        <f>VLOOKUP(D344,Товары!A:I,4,0)</f>
        <v>19920</v>
      </c>
      <c r="K344">
        <f t="shared" si="5"/>
        <v>19920</v>
      </c>
    </row>
    <row r="345" spans="1:11" hidden="1" x14ac:dyDescent="0.25">
      <c r="A345">
        <v>344</v>
      </c>
      <c r="B345" s="1">
        <v>45753</v>
      </c>
      <c r="C345" t="s">
        <v>26</v>
      </c>
      <c r="D345" t="s">
        <v>53</v>
      </c>
      <c r="E345" t="s">
        <v>8</v>
      </c>
      <c r="F345">
        <v>3</v>
      </c>
      <c r="G345" t="str">
        <f>VLOOKUP(D345,Товары!A:I,3,0)</f>
        <v>Тумба с раковиной  напол. Кристалл 600 шато азур 2 ящика с умыв. Океан</v>
      </c>
      <c r="H345">
        <f>VLOOKUP(D345,Товары!A:I,6,0)</f>
        <v>85</v>
      </c>
      <c r="I345" t="str">
        <f>VLOOKUP(C345,Магазины!A:C,3,0)</f>
        <v>Оренбург</v>
      </c>
      <c r="J345">
        <f>VLOOKUP(D345,Товары!A:I,4,0)</f>
        <v>27600</v>
      </c>
      <c r="K345">
        <f t="shared" si="5"/>
        <v>82800</v>
      </c>
    </row>
    <row r="346" spans="1:11" hidden="1" x14ac:dyDescent="0.25">
      <c r="A346">
        <v>345</v>
      </c>
      <c r="B346" s="1">
        <v>45752</v>
      </c>
      <c r="C346" t="s">
        <v>58</v>
      </c>
      <c r="D346" t="s">
        <v>83</v>
      </c>
      <c r="E346" t="s">
        <v>8</v>
      </c>
      <c r="F346">
        <v>2</v>
      </c>
      <c r="G346" t="str">
        <f>VLOOKUP(D346,Товары!A:I,3,0)</f>
        <v>Зеркальный шкаф Альба 60 со светильником правый цвет суфле</v>
      </c>
      <c r="H346">
        <f>VLOOKUP(D346,Товары!A:I,6,0)</f>
        <v>75</v>
      </c>
      <c r="I346" t="str">
        <f>VLOOKUP(C346,Магазины!A:C,3,0)</f>
        <v>Ставрополь</v>
      </c>
      <c r="J346">
        <f>VLOOKUP(D346,Товары!A:I,4,0)</f>
        <v>8910</v>
      </c>
      <c r="K346">
        <f t="shared" si="5"/>
        <v>17820</v>
      </c>
    </row>
    <row r="347" spans="1:11" hidden="1" x14ac:dyDescent="0.25">
      <c r="A347">
        <v>346</v>
      </c>
      <c r="B347" s="1">
        <v>45754</v>
      </c>
      <c r="C347" t="s">
        <v>14</v>
      </c>
      <c r="D347" t="s">
        <v>65</v>
      </c>
      <c r="E347" t="s">
        <v>13</v>
      </c>
      <c r="F347">
        <v>3</v>
      </c>
      <c r="G347" t="str">
        <f>VLOOKUP(D347,Товары!A:I,3,0)</f>
        <v>Тумба с раковиной  навес. Альба 800 суфле 2 ящика с умыв. Слим</v>
      </c>
      <c r="H347">
        <f>VLOOKUP(D347,Товары!A:I,6,0)</f>
        <v>50</v>
      </c>
      <c r="I347" t="str">
        <f>VLOOKUP(C347,Магазины!A:C,3,0)</f>
        <v>Оренбург</v>
      </c>
      <c r="J347">
        <f>VLOOKUP(D347,Товары!A:I,4,0)</f>
        <v>26070</v>
      </c>
      <c r="K347">
        <f t="shared" si="5"/>
        <v>78210</v>
      </c>
    </row>
    <row r="348" spans="1:11" hidden="1" x14ac:dyDescent="0.25">
      <c r="A348">
        <v>347</v>
      </c>
      <c r="B348" s="1">
        <v>45751</v>
      </c>
      <c r="C348" t="s">
        <v>18</v>
      </c>
      <c r="D348" t="s">
        <v>44</v>
      </c>
      <c r="E348" t="s">
        <v>8</v>
      </c>
      <c r="F348">
        <v>1</v>
      </c>
      <c r="G348" t="str">
        <f>VLOOKUP(D348,Товары!A:I,3,0)</f>
        <v>Тумба с раковиной  навес. Кристалл 800 шато азур 2 ящика с умыв. Комфорт</v>
      </c>
      <c r="H348">
        <f>VLOOKUP(D348,Товары!A:I,6,0)</f>
        <v>55</v>
      </c>
      <c r="I348" t="str">
        <f>VLOOKUP(C348,Магазины!A:C,3,0)</f>
        <v>Набережные Челны</v>
      </c>
      <c r="J348">
        <f>VLOOKUP(D348,Товары!A:I,4,0)</f>
        <v>25080</v>
      </c>
      <c r="K348">
        <f t="shared" si="5"/>
        <v>25080</v>
      </c>
    </row>
    <row r="349" spans="1:11" hidden="1" x14ac:dyDescent="0.25">
      <c r="A349">
        <v>348</v>
      </c>
      <c r="B349" s="1">
        <v>45751</v>
      </c>
      <c r="C349" t="s">
        <v>22</v>
      </c>
      <c r="D349" t="s">
        <v>127</v>
      </c>
      <c r="E349" t="s">
        <v>8</v>
      </c>
      <c r="F349">
        <v>1</v>
      </c>
      <c r="G349" t="str">
        <f>VLOOKUP(D349,Товары!A:I,3,0)</f>
        <v>Тумба с раковиной  навес. Альба 700 мята 1 ящик с умыв. Слим</v>
      </c>
      <c r="H349">
        <f>VLOOKUP(D349,Товары!A:I,6,0)</f>
        <v>45</v>
      </c>
      <c r="I349" t="str">
        <f>VLOOKUP(C349,Магазины!A:C,3,0)</f>
        <v>Кемерово</v>
      </c>
      <c r="J349">
        <f>VLOOKUP(D349,Товары!A:I,4,0)</f>
        <v>20130</v>
      </c>
      <c r="K349">
        <f t="shared" si="5"/>
        <v>20130</v>
      </c>
    </row>
    <row r="350" spans="1:11" hidden="1" x14ac:dyDescent="0.25">
      <c r="A350">
        <v>349</v>
      </c>
      <c r="B350" s="1">
        <v>45752</v>
      </c>
      <c r="C350" t="s">
        <v>58</v>
      </c>
      <c r="D350" t="s">
        <v>101</v>
      </c>
      <c r="E350" t="s">
        <v>13</v>
      </c>
      <c r="F350">
        <v>2</v>
      </c>
      <c r="G350" t="str">
        <f>VLOOKUP(D350,Товары!A:I,3,0)</f>
        <v>Пенал напол. Сохо 400 белый 2 двери + 1 ящик</v>
      </c>
      <c r="H350">
        <f>VLOOKUP(D350,Товары!A:I,6,0)</f>
        <v>190</v>
      </c>
      <c r="I350" t="str">
        <f>VLOOKUP(C350,Магазины!A:C,3,0)</f>
        <v>Ставрополь</v>
      </c>
      <c r="J350">
        <f>VLOOKUP(D350,Товары!A:I,4,0)</f>
        <v>11040</v>
      </c>
      <c r="K350">
        <f t="shared" si="5"/>
        <v>22080</v>
      </c>
    </row>
    <row r="351" spans="1:11" hidden="1" x14ac:dyDescent="0.25">
      <c r="A351">
        <v>350</v>
      </c>
      <c r="B351" s="1">
        <v>45748</v>
      </c>
      <c r="C351" t="s">
        <v>35</v>
      </c>
      <c r="D351" t="s">
        <v>104</v>
      </c>
      <c r="E351" t="s">
        <v>8</v>
      </c>
      <c r="F351">
        <v>2</v>
      </c>
      <c r="G351" t="str">
        <f>VLOOKUP(D351,Товары!A:I,3,0)</f>
        <v>Тумба под стиральную машину Куба Риф 57 подвесная 2 ящика под ст/маш, без умывальника /под Marshall 120 Белый</v>
      </c>
      <c r="H351">
        <f>VLOOKUP(D351,Товары!A:I,6,0)</f>
        <v>50</v>
      </c>
      <c r="I351" t="str">
        <f>VLOOKUP(C351,Магазины!A:C,3,0)</f>
        <v>Набережные Челны</v>
      </c>
      <c r="J351">
        <f>VLOOKUP(D351,Товары!A:I,4,0)</f>
        <v>8505</v>
      </c>
      <c r="K351">
        <f t="shared" si="5"/>
        <v>17010</v>
      </c>
    </row>
    <row r="352" spans="1:11" hidden="1" x14ac:dyDescent="0.25">
      <c r="A352">
        <v>351</v>
      </c>
      <c r="B352" s="1">
        <v>45751</v>
      </c>
      <c r="C352" t="s">
        <v>20</v>
      </c>
      <c r="D352" t="s">
        <v>76</v>
      </c>
      <c r="E352" t="s">
        <v>8</v>
      </c>
      <c r="F352">
        <v>3</v>
      </c>
      <c r="G352" t="str">
        <f>VLOOKUP(D352,Товары!A:I,3,0)</f>
        <v>Тумба с раковиной  напол. Леон 600 оникс 2 ящика с умыв. Слим</v>
      </c>
      <c r="H352">
        <f>VLOOKUP(D352,Товары!A:I,6,0)</f>
        <v>80</v>
      </c>
      <c r="I352" t="str">
        <f>VLOOKUP(C352,Магазины!A:C,3,0)</f>
        <v>Оренбург</v>
      </c>
      <c r="J352">
        <f>VLOOKUP(D352,Товары!A:I,4,0)</f>
        <v>25860</v>
      </c>
      <c r="K352">
        <f t="shared" si="5"/>
        <v>77580</v>
      </c>
    </row>
    <row r="353" spans="1:11" hidden="1" x14ac:dyDescent="0.25">
      <c r="A353">
        <v>352</v>
      </c>
      <c r="B353" s="1">
        <v>45755</v>
      </c>
      <c r="C353" t="s">
        <v>54</v>
      </c>
      <c r="D353" t="s">
        <v>70</v>
      </c>
      <c r="E353" t="s">
        <v>8</v>
      </c>
      <c r="F353">
        <v>3</v>
      </c>
      <c r="G353" t="str">
        <f>VLOOKUP(D353,Товары!A:I,3,0)</f>
        <v>Тумба с раковиной  напол. Кристалл 700 шато азур 2 ящика с умыв. Слим</v>
      </c>
      <c r="H353">
        <f>VLOOKUP(D353,Товары!A:I,6,0)</f>
        <v>85</v>
      </c>
      <c r="I353" t="str">
        <f>VLOOKUP(C353,Магазины!A:C,3,0)</f>
        <v>Ставрополь</v>
      </c>
      <c r="J353">
        <f>VLOOKUP(D353,Товары!A:I,4,0)</f>
        <v>29910</v>
      </c>
      <c r="K353">
        <f t="shared" si="5"/>
        <v>89730</v>
      </c>
    </row>
    <row r="354" spans="1:11" hidden="1" x14ac:dyDescent="0.25">
      <c r="A354">
        <v>353</v>
      </c>
      <c r="B354" s="1">
        <v>45756</v>
      </c>
      <c r="C354" t="s">
        <v>33</v>
      </c>
      <c r="D354" t="s">
        <v>100</v>
      </c>
      <c r="E354" t="s">
        <v>13</v>
      </c>
      <c r="F354">
        <v>1</v>
      </c>
      <c r="G354" t="str">
        <f>VLOOKUP(D354,Товары!A:I,3,0)</f>
        <v>Тумба с раковиной  навес. Альба 800 мята 1 ящик с умыв. Слим</v>
      </c>
      <c r="H354">
        <f>VLOOKUP(D354,Товары!A:I,6,0)</f>
        <v>45</v>
      </c>
      <c r="I354" t="str">
        <f>VLOOKUP(C354,Магазины!A:C,3,0)</f>
        <v>Набережные Челны</v>
      </c>
      <c r="J354">
        <f>VLOOKUP(D354,Товары!A:I,4,0)</f>
        <v>21630</v>
      </c>
      <c r="K354">
        <f t="shared" si="5"/>
        <v>21630</v>
      </c>
    </row>
    <row r="355" spans="1:11" hidden="1" x14ac:dyDescent="0.25">
      <c r="A355">
        <v>354</v>
      </c>
      <c r="B355" s="1">
        <v>45757</v>
      </c>
      <c r="C355" t="s">
        <v>63</v>
      </c>
      <c r="D355" t="s">
        <v>98</v>
      </c>
      <c r="E355" t="s">
        <v>8</v>
      </c>
      <c r="F355">
        <v>1</v>
      </c>
      <c r="G355" t="str">
        <f>VLOOKUP(D355,Товары!A:I,3,0)</f>
        <v>Тумба с раковиной  напол. Рица 800 cерый/керамика 2 ящика с умыв. Слим</v>
      </c>
      <c r="H355">
        <f>VLOOKUP(D355,Товары!A:I,6,0)</f>
        <v>80</v>
      </c>
      <c r="I355" t="str">
        <f>VLOOKUP(C355,Магазины!A:C,3,0)</f>
        <v>Ставрополь</v>
      </c>
      <c r="J355">
        <f>VLOOKUP(D355,Товары!A:I,4,0)</f>
        <v>28980</v>
      </c>
      <c r="K355">
        <f t="shared" si="5"/>
        <v>28980</v>
      </c>
    </row>
    <row r="356" spans="1:11" hidden="1" x14ac:dyDescent="0.25">
      <c r="A356">
        <v>355</v>
      </c>
      <c r="B356" s="1">
        <v>45754</v>
      </c>
      <c r="C356" t="s">
        <v>9</v>
      </c>
      <c r="D356" t="s">
        <v>47</v>
      </c>
      <c r="E356" t="s">
        <v>13</v>
      </c>
      <c r="F356">
        <v>2</v>
      </c>
      <c r="G356" t="str">
        <f>VLOOKUP(D356,Товары!A:I,3,0)</f>
        <v>Пенал напол. Кристалл 350 шато азур 2 двери</v>
      </c>
      <c r="H356">
        <f>VLOOKUP(D356,Товары!A:I,6,0)</f>
        <v>190</v>
      </c>
      <c r="I356" t="str">
        <f>VLOOKUP(C356,Магазины!A:C,3,0)</f>
        <v>Кемерово</v>
      </c>
      <c r="J356">
        <f>VLOOKUP(D356,Товары!A:I,4,0)</f>
        <v>15810</v>
      </c>
      <c r="K356">
        <f t="shared" si="5"/>
        <v>31620</v>
      </c>
    </row>
    <row r="357" spans="1:11" hidden="1" x14ac:dyDescent="0.25">
      <c r="A357">
        <v>356</v>
      </c>
      <c r="B357" s="1">
        <v>45755</v>
      </c>
      <c r="C357" t="s">
        <v>103</v>
      </c>
      <c r="D357" t="s">
        <v>115</v>
      </c>
      <c r="E357" t="s">
        <v>8</v>
      </c>
      <c r="F357">
        <v>2</v>
      </c>
      <c r="G357" t="str">
        <f>VLOOKUP(D357,Товары!A:I,3,0)</f>
        <v>Тумба под стиральную машину Куба Риф 57 напольная 2 ящика под ст/маш, без умывальника /под Marshall 120 Белый</v>
      </c>
      <c r="H357">
        <f>VLOOKUP(D357,Товары!A:I,6,0)</f>
        <v>85</v>
      </c>
      <c r="I357" t="str">
        <f>VLOOKUP(C357,Магазины!A:C,3,0)</f>
        <v>Ставрополь</v>
      </c>
      <c r="J357">
        <f>VLOOKUP(D357,Товары!A:I,4,0)</f>
        <v>10530</v>
      </c>
      <c r="K357">
        <f t="shared" si="5"/>
        <v>21060</v>
      </c>
    </row>
    <row r="358" spans="1:11" hidden="1" x14ac:dyDescent="0.25">
      <c r="A358">
        <v>357</v>
      </c>
      <c r="B358" s="1">
        <v>45756</v>
      </c>
      <c r="C358" t="s">
        <v>28</v>
      </c>
      <c r="D358" t="s">
        <v>40</v>
      </c>
      <c r="E358" t="s">
        <v>8</v>
      </c>
      <c r="F358">
        <v>2</v>
      </c>
      <c r="G358" t="str">
        <f>VLOOKUP(D358,Товары!A:I,3,0)</f>
        <v>Тумба с раковиной  навес. Рица 800 cерый/керамика 1 ящик + ниша 1 с умыв. Слим</v>
      </c>
      <c r="H358">
        <f>VLOOKUP(D358,Товары!A:I,6,0)</f>
        <v>60</v>
      </c>
      <c r="I358" t="str">
        <f>VLOOKUP(C358,Магазины!A:C,3,0)</f>
        <v>Набережные Челны</v>
      </c>
      <c r="J358">
        <f>VLOOKUP(D358,Товары!A:I,4,0)</f>
        <v>22425</v>
      </c>
      <c r="K358">
        <f t="shared" si="5"/>
        <v>44850</v>
      </c>
    </row>
    <row r="359" spans="1:11" hidden="1" x14ac:dyDescent="0.25">
      <c r="A359">
        <v>358</v>
      </c>
      <c r="B359" s="1">
        <v>45756</v>
      </c>
      <c r="C359" t="s">
        <v>58</v>
      </c>
      <c r="D359" t="s">
        <v>109</v>
      </c>
      <c r="E359" t="s">
        <v>8</v>
      </c>
      <c r="F359">
        <v>1</v>
      </c>
      <c r="G359" t="str">
        <f>VLOOKUP(D359,Товары!A:I,3,0)</f>
        <v>Тумба с раковиной  навес. Альба 600 антрацит 2 ящика с умыв. Океан</v>
      </c>
      <c r="H359">
        <f>VLOOKUP(D359,Товары!A:I,6,0)</f>
        <v>50</v>
      </c>
      <c r="I359" t="str">
        <f>VLOOKUP(C359,Магазины!A:C,3,0)</f>
        <v>Ставрополь</v>
      </c>
      <c r="J359">
        <f>VLOOKUP(D359,Товары!A:I,4,0)</f>
        <v>24810</v>
      </c>
      <c r="K359">
        <f t="shared" si="5"/>
        <v>24810</v>
      </c>
    </row>
    <row r="360" spans="1:11" hidden="1" x14ac:dyDescent="0.25">
      <c r="A360">
        <v>359</v>
      </c>
      <c r="B360" s="1">
        <v>45757</v>
      </c>
      <c r="C360" t="s">
        <v>48</v>
      </c>
      <c r="D360" t="s">
        <v>61</v>
      </c>
      <c r="E360" t="s">
        <v>8</v>
      </c>
      <c r="F360">
        <v>2</v>
      </c>
      <c r="G360" t="str">
        <f>VLOOKUP(D360,Товары!A:I,3,0)</f>
        <v>Тумба под стиральную машину Леон Риф 57 напольная 2 ящика под ст/маш, без умывальника /под Marshall 120 Солярис/Белый Риф</v>
      </c>
      <c r="H360">
        <f>VLOOKUP(D360,Товары!A:I,6,0)</f>
        <v>85</v>
      </c>
      <c r="I360" t="str">
        <f>VLOOKUP(C360,Магазины!A:C,3,0)</f>
        <v>Ставрополь</v>
      </c>
      <c r="J360">
        <f>VLOOKUP(D360,Товары!A:I,4,0)</f>
        <v>17430</v>
      </c>
      <c r="K360">
        <f t="shared" si="5"/>
        <v>34860</v>
      </c>
    </row>
    <row r="361" spans="1:11" hidden="1" x14ac:dyDescent="0.25">
      <c r="A361">
        <v>360</v>
      </c>
      <c r="B361" s="1">
        <v>45751</v>
      </c>
      <c r="C361" t="s">
        <v>63</v>
      </c>
      <c r="D361" t="s">
        <v>71</v>
      </c>
      <c r="E361" t="s">
        <v>8</v>
      </c>
      <c r="F361">
        <v>3</v>
      </c>
      <c r="G361" t="str">
        <f>VLOOKUP(D361,Товары!A:I,3,0)</f>
        <v>Тумба с раковиной  навес. Альба 600 мята 2 ящика с умыв. Океан</v>
      </c>
      <c r="H361">
        <f>VLOOKUP(D361,Товары!A:I,6,0)</f>
        <v>50</v>
      </c>
      <c r="I361" t="str">
        <f>VLOOKUP(C361,Магазины!A:C,3,0)</f>
        <v>Ставрополь</v>
      </c>
      <c r="J361">
        <f>VLOOKUP(D361,Товары!A:I,4,0)</f>
        <v>24810</v>
      </c>
      <c r="K361">
        <f t="shared" si="5"/>
        <v>74430</v>
      </c>
    </row>
    <row r="362" spans="1:11" hidden="1" x14ac:dyDescent="0.25">
      <c r="A362">
        <v>361</v>
      </c>
      <c r="B362" s="1">
        <v>45751</v>
      </c>
      <c r="C362" t="s">
        <v>28</v>
      </c>
      <c r="D362" t="s">
        <v>128</v>
      </c>
      <c r="E362" t="s">
        <v>13</v>
      </c>
      <c r="F362">
        <v>3</v>
      </c>
      <c r="G362" t="str">
        <f>VLOOKUP(D362,Товары!A:I,3,0)</f>
        <v>Тумба с раковиной  напол. Куба Риф 1000 белый 2 ящика с умыв. Слим</v>
      </c>
      <c r="H362">
        <f>VLOOKUP(D362,Товары!A:I,6,0)</f>
        <v>85</v>
      </c>
      <c r="I362" t="str">
        <f>VLOOKUP(C362,Магазины!A:C,3,0)</f>
        <v>Набережные Челны</v>
      </c>
      <c r="J362">
        <f>VLOOKUP(D362,Товары!A:I,4,0)</f>
        <v>22905</v>
      </c>
      <c r="K362">
        <f t="shared" si="5"/>
        <v>68715</v>
      </c>
    </row>
    <row r="363" spans="1:11" hidden="1" x14ac:dyDescent="0.25">
      <c r="A363">
        <v>362</v>
      </c>
      <c r="B363" s="1">
        <v>45755</v>
      </c>
      <c r="C363" t="s">
        <v>26</v>
      </c>
      <c r="D363" t="s">
        <v>129</v>
      </c>
      <c r="E363" t="s">
        <v>13</v>
      </c>
      <c r="F363">
        <v>2</v>
      </c>
      <c r="G363" t="str">
        <f>VLOOKUP(D363,Товары!A:I,3,0)</f>
        <v>Тумба с раковиной  напол. Альба 700 антрацит 2 ящика с умыв. Слим</v>
      </c>
      <c r="H363">
        <f>VLOOKUP(D363,Товары!A:I,6,0)</f>
        <v>85</v>
      </c>
      <c r="I363" t="str">
        <f>VLOOKUP(C363,Магазины!A:C,3,0)</f>
        <v>Оренбург</v>
      </c>
      <c r="J363">
        <f>VLOOKUP(D363,Товары!A:I,4,0)</f>
        <v>28695</v>
      </c>
      <c r="K363">
        <f t="shared" si="5"/>
        <v>57390</v>
      </c>
    </row>
    <row r="364" spans="1:11" hidden="1" x14ac:dyDescent="0.25">
      <c r="A364">
        <v>363</v>
      </c>
      <c r="B364" s="1">
        <v>45754</v>
      </c>
      <c r="C364" t="s">
        <v>63</v>
      </c>
      <c r="D364" t="s">
        <v>67</v>
      </c>
      <c r="E364" t="s">
        <v>8</v>
      </c>
      <c r="F364">
        <v>1</v>
      </c>
      <c r="G364" t="str">
        <f>VLOOKUP(D364,Товары!A:I,3,0)</f>
        <v>Пенал навес./напол. Альба 350 суфле 2 двери</v>
      </c>
      <c r="H364">
        <f>VLOOKUP(D364,Товары!A:I,6,0)</f>
        <v>150</v>
      </c>
      <c r="I364" t="str">
        <f>VLOOKUP(C364,Магазины!A:C,3,0)</f>
        <v>Ставрополь</v>
      </c>
      <c r="J364">
        <f>VLOOKUP(D364,Товары!A:I,4,0)</f>
        <v>11655</v>
      </c>
      <c r="K364">
        <f t="shared" si="5"/>
        <v>11655</v>
      </c>
    </row>
    <row r="365" spans="1:11" hidden="1" x14ac:dyDescent="0.25">
      <c r="A365">
        <v>364</v>
      </c>
      <c r="B365" s="1">
        <v>45756</v>
      </c>
      <c r="C365" t="s">
        <v>92</v>
      </c>
      <c r="D365" t="s">
        <v>79</v>
      </c>
      <c r="E365" t="s">
        <v>8</v>
      </c>
      <c r="F365">
        <v>3</v>
      </c>
      <c r="G365" t="str">
        <f>VLOOKUP(D365,Товары!A:I,3,0)</f>
        <v>Зеркальный шкаф Альба 70 со светильником правый цвет мята</v>
      </c>
      <c r="H365">
        <f>VLOOKUP(D365,Товары!A:I,6,0)</f>
        <v>75</v>
      </c>
      <c r="I365" t="str">
        <f>VLOOKUP(C365,Магазины!A:C,3,0)</f>
        <v>Кемерово</v>
      </c>
      <c r="J365">
        <f>VLOOKUP(D365,Товары!A:I,4,0)</f>
        <v>9615</v>
      </c>
      <c r="K365">
        <f t="shared" si="5"/>
        <v>28845</v>
      </c>
    </row>
    <row r="366" spans="1:11" hidden="1" x14ac:dyDescent="0.25">
      <c r="A366">
        <v>365</v>
      </c>
      <c r="B366" s="1">
        <v>45756</v>
      </c>
      <c r="C366" t="s">
        <v>33</v>
      </c>
      <c r="D366" t="s">
        <v>93</v>
      </c>
      <c r="E366" t="s">
        <v>13</v>
      </c>
      <c r="F366">
        <v>1</v>
      </c>
      <c r="G366" t="str">
        <f>VLOOKUP(D366,Товары!A:I,3,0)</f>
        <v>Тумба с раковиной  напол. Леон Риф 800 солярис/белый риф 2 ящика с умыв. Слим</v>
      </c>
      <c r="H366">
        <f>VLOOKUP(D366,Товары!A:I,6,0)</f>
        <v>80</v>
      </c>
      <c r="I366" t="str">
        <f>VLOOKUP(C366,Магазины!A:C,3,0)</f>
        <v>Набережные Челны</v>
      </c>
      <c r="J366">
        <f>VLOOKUP(D366,Товары!A:I,4,0)</f>
        <v>29340</v>
      </c>
      <c r="K366">
        <f t="shared" si="5"/>
        <v>29340</v>
      </c>
    </row>
    <row r="367" spans="1:11" hidden="1" x14ac:dyDescent="0.25">
      <c r="A367">
        <v>366</v>
      </c>
      <c r="B367" s="1">
        <v>45756</v>
      </c>
      <c r="C367" t="s">
        <v>11</v>
      </c>
      <c r="D367" t="s">
        <v>114</v>
      </c>
      <c r="E367" t="s">
        <v>13</v>
      </c>
      <c r="F367">
        <v>1</v>
      </c>
      <c r="G367" t="str">
        <f>VLOOKUP(D367,Товары!A:I,3,0)</f>
        <v>Тумба с раковиной  навес. Альба 700 мята 2 ящика с умыв. Слим</v>
      </c>
      <c r="H367">
        <f>VLOOKUP(D367,Товары!A:I,6,0)</f>
        <v>60</v>
      </c>
      <c r="I367" t="str">
        <f>VLOOKUP(C367,Магазины!A:C,3,0)</f>
        <v>Кемерово</v>
      </c>
      <c r="J367">
        <f>VLOOKUP(D367,Товары!A:I,4,0)</f>
        <v>25095</v>
      </c>
      <c r="K367">
        <f t="shared" si="5"/>
        <v>25095</v>
      </c>
    </row>
    <row r="368" spans="1:11" hidden="1" x14ac:dyDescent="0.25">
      <c r="A368">
        <v>367</v>
      </c>
      <c r="B368" s="1">
        <v>45751</v>
      </c>
      <c r="C368" t="s">
        <v>30</v>
      </c>
      <c r="D368" t="s">
        <v>100</v>
      </c>
      <c r="E368" t="s">
        <v>13</v>
      </c>
      <c r="F368">
        <v>1</v>
      </c>
      <c r="G368" t="str">
        <f>VLOOKUP(D368,Товары!A:I,3,0)</f>
        <v>Тумба с раковиной  навес. Альба 800 мята 1 ящик с умыв. Слим</v>
      </c>
      <c r="H368">
        <f>VLOOKUP(D368,Товары!A:I,6,0)</f>
        <v>45</v>
      </c>
      <c r="I368" t="str">
        <f>VLOOKUP(C368,Магазины!A:C,3,0)</f>
        <v>Кемерово</v>
      </c>
      <c r="J368">
        <f>VLOOKUP(D368,Товары!A:I,4,0)</f>
        <v>21630</v>
      </c>
      <c r="K368">
        <f t="shared" si="5"/>
        <v>21630</v>
      </c>
    </row>
    <row r="369" spans="1:11" hidden="1" x14ac:dyDescent="0.25">
      <c r="A369">
        <v>368</v>
      </c>
      <c r="B369" s="1">
        <v>45752</v>
      </c>
      <c r="C369" t="s">
        <v>18</v>
      </c>
      <c r="D369" t="s">
        <v>68</v>
      </c>
      <c r="E369" t="s">
        <v>8</v>
      </c>
      <c r="F369">
        <v>3</v>
      </c>
      <c r="G369" t="str">
        <f>VLOOKUP(D369,Товары!A:I,3,0)</f>
        <v>Тумба с раковиной  навес. Альба 600 антрацит 1 ящик с умыв. Океан</v>
      </c>
      <c r="H369">
        <f>VLOOKUP(D369,Товары!A:I,6,0)</f>
        <v>85</v>
      </c>
      <c r="I369" t="str">
        <f>VLOOKUP(C369,Магазины!A:C,3,0)</f>
        <v>Набережные Челны</v>
      </c>
      <c r="J369">
        <f>VLOOKUP(D369,Товары!A:I,4,0)</f>
        <v>17625</v>
      </c>
      <c r="K369">
        <f t="shared" si="5"/>
        <v>52875</v>
      </c>
    </row>
    <row r="370" spans="1:11" hidden="1" x14ac:dyDescent="0.25">
      <c r="A370">
        <v>369</v>
      </c>
      <c r="B370" s="1">
        <v>45751</v>
      </c>
      <c r="C370" t="s">
        <v>92</v>
      </c>
      <c r="D370" t="s">
        <v>88</v>
      </c>
      <c r="E370" t="s">
        <v>8</v>
      </c>
      <c r="F370">
        <v>2</v>
      </c>
      <c r="G370" t="str">
        <f>VLOOKUP(D370,Товары!A:I,3,0)</f>
        <v>Тумба с раковиной  навес. Альба 800 антрацит 2 ящика с умыв. Слим</v>
      </c>
      <c r="H370">
        <f>VLOOKUP(D370,Товары!A:I,6,0)</f>
        <v>50</v>
      </c>
      <c r="I370" t="str">
        <f>VLOOKUP(C370,Магазины!A:C,3,0)</f>
        <v>Кемерово</v>
      </c>
      <c r="J370">
        <f>VLOOKUP(D370,Товары!A:I,4,0)</f>
        <v>26070</v>
      </c>
      <c r="K370">
        <f t="shared" si="5"/>
        <v>52140</v>
      </c>
    </row>
    <row r="371" spans="1:11" hidden="1" x14ac:dyDescent="0.25">
      <c r="A371">
        <v>370</v>
      </c>
      <c r="B371" s="1">
        <v>45754</v>
      </c>
      <c r="C371" t="s">
        <v>22</v>
      </c>
      <c r="D371" t="s">
        <v>52</v>
      </c>
      <c r="E371" t="s">
        <v>13</v>
      </c>
      <c r="F371">
        <v>2</v>
      </c>
      <c r="G371" t="str">
        <f>VLOOKUP(D371,Товары!A:I,3,0)</f>
        <v>Тумба с раковиной  напол. Кристалл 600 суфле 2 ящика с умыв. Океан</v>
      </c>
      <c r="H371">
        <f>VLOOKUP(D371,Товары!A:I,6,0)</f>
        <v>80</v>
      </c>
      <c r="I371" t="str">
        <f>VLOOKUP(C371,Магазины!A:C,3,0)</f>
        <v>Кемерово</v>
      </c>
      <c r="J371">
        <f>VLOOKUP(D371,Товары!A:I,4,0)</f>
        <v>27600</v>
      </c>
      <c r="K371">
        <f t="shared" si="5"/>
        <v>55200</v>
      </c>
    </row>
    <row r="372" spans="1:11" hidden="1" x14ac:dyDescent="0.25">
      <c r="A372">
        <v>371</v>
      </c>
      <c r="B372" s="1">
        <v>45755</v>
      </c>
      <c r="C372" t="s">
        <v>57</v>
      </c>
      <c r="D372" t="s">
        <v>113</v>
      </c>
      <c r="E372" t="s">
        <v>13</v>
      </c>
      <c r="F372">
        <v>3</v>
      </c>
      <c r="G372" t="str">
        <f>VLOOKUP(D372,Товары!A:I,3,0)</f>
        <v>Зеркальный шкаф Альба 60 со светильником правый цвет мята</v>
      </c>
      <c r="H372">
        <f>VLOOKUP(D372,Товары!A:I,6,0)</f>
        <v>75</v>
      </c>
      <c r="I372" t="str">
        <f>VLOOKUP(C372,Магазины!A:C,3,0)</f>
        <v>Оренбург</v>
      </c>
      <c r="J372">
        <f>VLOOKUP(D372,Товары!A:I,4,0)</f>
        <v>8910</v>
      </c>
      <c r="K372">
        <f t="shared" si="5"/>
        <v>26730</v>
      </c>
    </row>
    <row r="373" spans="1:11" hidden="1" x14ac:dyDescent="0.25">
      <c r="A373">
        <v>372</v>
      </c>
      <c r="B373" s="1">
        <v>45748</v>
      </c>
      <c r="C373" t="s">
        <v>22</v>
      </c>
      <c r="D373" t="s">
        <v>82</v>
      </c>
      <c r="E373" t="s">
        <v>13</v>
      </c>
      <c r="F373">
        <v>3</v>
      </c>
      <c r="G373" t="str">
        <f>VLOOKUP(D373,Товары!A:I,3,0)</f>
        <v>Тумба с раковиной  навес. Леон 800 форест 2 ящика с умыв. Слим</v>
      </c>
      <c r="H373">
        <f>VLOOKUP(D373,Товары!A:I,6,0)</f>
        <v>60</v>
      </c>
      <c r="I373" t="str">
        <f>VLOOKUP(C373,Магазины!A:C,3,0)</f>
        <v>Кемерово</v>
      </c>
      <c r="J373">
        <f>VLOOKUP(D373,Товары!A:I,4,0)</f>
        <v>27930</v>
      </c>
      <c r="K373">
        <f t="shared" si="5"/>
        <v>83790</v>
      </c>
    </row>
    <row r="374" spans="1:11" hidden="1" x14ac:dyDescent="0.25">
      <c r="A374">
        <v>373</v>
      </c>
      <c r="B374" s="1">
        <v>45754</v>
      </c>
      <c r="C374" t="s">
        <v>63</v>
      </c>
      <c r="D374" t="s">
        <v>46</v>
      </c>
      <c r="E374" t="s">
        <v>13</v>
      </c>
      <c r="F374">
        <v>3</v>
      </c>
      <c r="G374" t="str">
        <f>VLOOKUP(D374,Товары!A:I,3,0)</f>
        <v>Тумба с раковиной  напол. Сохо 700 белый 2 ящика с умыв. Слим</v>
      </c>
      <c r="H374">
        <f>VLOOKUP(D374,Товары!A:I,6,0)</f>
        <v>85</v>
      </c>
      <c r="I374" t="str">
        <f>VLOOKUP(C374,Магазины!A:C,3,0)</f>
        <v>Ставрополь</v>
      </c>
      <c r="J374">
        <f>VLOOKUP(D374,Товары!A:I,4,0)</f>
        <v>18405</v>
      </c>
      <c r="K374">
        <f t="shared" si="5"/>
        <v>55215</v>
      </c>
    </row>
    <row r="375" spans="1:11" hidden="1" x14ac:dyDescent="0.25">
      <c r="A375">
        <v>374</v>
      </c>
      <c r="B375" s="1">
        <v>45754</v>
      </c>
      <c r="C375" t="s">
        <v>30</v>
      </c>
      <c r="D375" t="s">
        <v>62</v>
      </c>
      <c r="E375" t="s">
        <v>8</v>
      </c>
      <c r="F375">
        <v>1</v>
      </c>
      <c r="G375" t="str">
        <f>VLOOKUP(D375,Товары!A:I,3,0)</f>
        <v>Тумба с раковиной  напол. Альба 600 мята 2 ящика с умыв. Океан</v>
      </c>
      <c r="H375">
        <f>VLOOKUP(D375,Товары!A:I,6,0)</f>
        <v>80</v>
      </c>
      <c r="I375" t="str">
        <f>VLOOKUP(C375,Магазины!A:C,3,0)</f>
        <v>Кемерово</v>
      </c>
      <c r="J375">
        <f>VLOOKUP(D375,Товары!A:I,4,0)</f>
        <v>26370</v>
      </c>
      <c r="K375">
        <f t="shared" si="5"/>
        <v>26370</v>
      </c>
    </row>
    <row r="376" spans="1:11" hidden="1" x14ac:dyDescent="0.25">
      <c r="A376">
        <v>375</v>
      </c>
      <c r="B376" s="1">
        <v>45750</v>
      </c>
      <c r="C376" t="s">
        <v>30</v>
      </c>
      <c r="D376" t="s">
        <v>91</v>
      </c>
      <c r="E376" t="s">
        <v>8</v>
      </c>
      <c r="F376">
        <v>2</v>
      </c>
      <c r="G376" t="str">
        <f>VLOOKUP(D376,Товары!A:I,3,0)</f>
        <v>Пенал навес./напол. Альба 350 мята 2 двери</v>
      </c>
      <c r="H376">
        <f>VLOOKUP(D376,Товары!A:I,6,0)</f>
        <v>150</v>
      </c>
      <c r="I376" t="str">
        <f>VLOOKUP(C376,Магазины!A:C,3,0)</f>
        <v>Кемерово</v>
      </c>
      <c r="J376">
        <f>VLOOKUP(D376,Товары!A:I,4,0)</f>
        <v>11655</v>
      </c>
      <c r="K376">
        <f t="shared" si="5"/>
        <v>23310</v>
      </c>
    </row>
    <row r="377" spans="1:11" hidden="1" x14ac:dyDescent="0.25">
      <c r="A377">
        <v>376</v>
      </c>
      <c r="B377" s="1">
        <v>45756</v>
      </c>
      <c r="C377" t="s">
        <v>28</v>
      </c>
      <c r="D377" t="s">
        <v>69</v>
      </c>
      <c r="E377" t="s">
        <v>8</v>
      </c>
      <c r="F377">
        <v>3</v>
      </c>
      <c r="G377" t="str">
        <f>VLOOKUP(D377,Товары!A:I,3,0)</f>
        <v>Пенал навес./напол. Альба 350 антрацит 2 двери</v>
      </c>
      <c r="H377">
        <f>VLOOKUP(D377,Товары!A:I,6,0)</f>
        <v>150</v>
      </c>
      <c r="I377" t="str">
        <f>VLOOKUP(C377,Магазины!A:C,3,0)</f>
        <v>Набережные Челны</v>
      </c>
      <c r="J377">
        <f>VLOOKUP(D377,Товары!A:I,4,0)</f>
        <v>11655</v>
      </c>
      <c r="K377">
        <f t="shared" si="5"/>
        <v>34965</v>
      </c>
    </row>
    <row r="378" spans="1:11" hidden="1" x14ac:dyDescent="0.25">
      <c r="A378">
        <v>377</v>
      </c>
      <c r="B378" s="1">
        <v>45753</v>
      </c>
      <c r="C378" t="s">
        <v>54</v>
      </c>
      <c r="D378" t="s">
        <v>113</v>
      </c>
      <c r="E378" t="s">
        <v>8</v>
      </c>
      <c r="F378">
        <v>2</v>
      </c>
      <c r="G378" t="str">
        <f>VLOOKUP(D378,Товары!A:I,3,0)</f>
        <v>Зеркальный шкаф Альба 60 со светильником правый цвет мята</v>
      </c>
      <c r="H378">
        <f>VLOOKUP(D378,Товары!A:I,6,0)</f>
        <v>75</v>
      </c>
      <c r="I378" t="str">
        <f>VLOOKUP(C378,Магазины!A:C,3,0)</f>
        <v>Ставрополь</v>
      </c>
      <c r="J378">
        <f>VLOOKUP(D378,Товары!A:I,4,0)</f>
        <v>8910</v>
      </c>
      <c r="K378">
        <f t="shared" si="5"/>
        <v>17820</v>
      </c>
    </row>
    <row r="379" spans="1:11" hidden="1" x14ac:dyDescent="0.25">
      <c r="A379">
        <v>378</v>
      </c>
      <c r="B379" s="1">
        <v>45752</v>
      </c>
      <c r="C379" t="s">
        <v>41</v>
      </c>
      <c r="D379" t="s">
        <v>10</v>
      </c>
      <c r="E379" t="s">
        <v>8</v>
      </c>
      <c r="F379">
        <v>3</v>
      </c>
      <c r="G379" t="str">
        <f>VLOOKUP(D379,Товары!A:I,3,0)</f>
        <v>Тумба с раковиной  навес. Альба 700 антрацит 1 ящик с умыв. Слим</v>
      </c>
      <c r="H379">
        <f>VLOOKUP(D379,Товары!A:I,6,0)</f>
        <v>45</v>
      </c>
      <c r="I379" t="str">
        <f>VLOOKUP(C379,Магазины!A:C,3,0)</f>
        <v>Ставрополь</v>
      </c>
      <c r="J379">
        <f>VLOOKUP(D379,Товары!A:I,4,0)</f>
        <v>20130</v>
      </c>
      <c r="K379">
        <f t="shared" si="5"/>
        <v>60390</v>
      </c>
    </row>
    <row r="380" spans="1:11" hidden="1" x14ac:dyDescent="0.25">
      <c r="A380">
        <v>379</v>
      </c>
      <c r="B380" s="1">
        <v>45752</v>
      </c>
      <c r="C380" t="s">
        <v>22</v>
      </c>
      <c r="D380" t="s">
        <v>51</v>
      </c>
      <c r="E380" t="s">
        <v>13</v>
      </c>
      <c r="F380">
        <v>1</v>
      </c>
      <c r="G380" t="str">
        <f>VLOOKUP(D380,Товары!A:I,3,0)</f>
        <v>Зеркальный шкаф Альба 80 со светильником правый цвет суфле</v>
      </c>
      <c r="H380">
        <f>VLOOKUP(D380,Товары!A:I,6,0)</f>
        <v>75</v>
      </c>
      <c r="I380" t="str">
        <f>VLOOKUP(C380,Магазины!A:C,3,0)</f>
        <v>Кемерово</v>
      </c>
      <c r="J380">
        <f>VLOOKUP(D380,Товары!A:I,4,0)</f>
        <v>9930</v>
      </c>
      <c r="K380">
        <f t="shared" si="5"/>
        <v>9930</v>
      </c>
    </row>
    <row r="381" spans="1:11" hidden="1" x14ac:dyDescent="0.25">
      <c r="A381">
        <v>380</v>
      </c>
      <c r="B381" s="1">
        <v>45754</v>
      </c>
      <c r="C381" t="s">
        <v>6</v>
      </c>
      <c r="D381" t="s">
        <v>10</v>
      </c>
      <c r="E381" t="s">
        <v>13</v>
      </c>
      <c r="F381">
        <v>1</v>
      </c>
      <c r="G381" t="str">
        <f>VLOOKUP(D381,Товары!A:I,3,0)</f>
        <v>Тумба с раковиной  навес. Альба 700 антрацит 1 ящик с умыв. Слим</v>
      </c>
      <c r="H381">
        <f>VLOOKUP(D381,Товары!A:I,6,0)</f>
        <v>45</v>
      </c>
      <c r="I381" t="str">
        <f>VLOOKUP(C381,Магазины!A:C,3,0)</f>
        <v>Оренбург</v>
      </c>
      <c r="J381">
        <f>VLOOKUP(D381,Товары!A:I,4,0)</f>
        <v>20130</v>
      </c>
      <c r="K381">
        <f t="shared" si="5"/>
        <v>20130</v>
      </c>
    </row>
    <row r="382" spans="1:11" hidden="1" x14ac:dyDescent="0.25">
      <c r="A382">
        <v>381</v>
      </c>
      <c r="B382" s="1">
        <v>45755</v>
      </c>
      <c r="C382" t="s">
        <v>28</v>
      </c>
      <c r="D382" t="s">
        <v>32</v>
      </c>
      <c r="E382" t="s">
        <v>13</v>
      </c>
      <c r="F382">
        <v>3</v>
      </c>
      <c r="G382" t="str">
        <f>VLOOKUP(D382,Товары!A:I,3,0)</f>
        <v>Тумба с раковиной  напол. Леон Риф 700 солярис/белый риф 2 ящика с умыв. Слим</v>
      </c>
      <c r="H382">
        <f>VLOOKUP(D382,Товары!A:I,6,0)</f>
        <v>85</v>
      </c>
      <c r="I382" t="str">
        <f>VLOOKUP(C382,Магазины!A:C,3,0)</f>
        <v>Набережные Челны</v>
      </c>
      <c r="J382">
        <f>VLOOKUP(D382,Товары!A:I,4,0)</f>
        <v>26460</v>
      </c>
      <c r="K382">
        <f t="shared" si="5"/>
        <v>79380</v>
      </c>
    </row>
    <row r="383" spans="1:11" hidden="1" x14ac:dyDescent="0.25">
      <c r="A383">
        <v>382</v>
      </c>
      <c r="B383" s="1">
        <v>45753</v>
      </c>
      <c r="C383" t="s">
        <v>92</v>
      </c>
      <c r="D383" t="s">
        <v>46</v>
      </c>
      <c r="E383" t="s">
        <v>8</v>
      </c>
      <c r="F383">
        <v>3</v>
      </c>
      <c r="G383" t="str">
        <f>VLOOKUP(D383,Товары!A:I,3,0)</f>
        <v>Тумба с раковиной  напол. Сохо 700 белый 2 ящика с умыв. Слим</v>
      </c>
      <c r="H383">
        <f>VLOOKUP(D383,Товары!A:I,6,0)</f>
        <v>85</v>
      </c>
      <c r="I383" t="str">
        <f>VLOOKUP(C383,Магазины!A:C,3,0)</f>
        <v>Кемерово</v>
      </c>
      <c r="J383">
        <f>VLOOKUP(D383,Товары!A:I,4,0)</f>
        <v>18405</v>
      </c>
      <c r="K383">
        <f t="shared" si="5"/>
        <v>55215</v>
      </c>
    </row>
    <row r="384" spans="1:11" hidden="1" x14ac:dyDescent="0.25">
      <c r="A384">
        <v>383</v>
      </c>
      <c r="B384" s="1">
        <v>45754</v>
      </c>
      <c r="C384" t="s">
        <v>28</v>
      </c>
      <c r="D384" t="s">
        <v>96</v>
      </c>
      <c r="E384" t="s">
        <v>13</v>
      </c>
      <c r="F384">
        <v>1</v>
      </c>
      <c r="G384" t="str">
        <f>VLOOKUP(D384,Товары!A:I,3,0)</f>
        <v>Тумба с раковиной  навес. Альба 600 мята 1 ящик с умыв. Океан</v>
      </c>
      <c r="H384">
        <f>VLOOKUP(D384,Товары!A:I,6,0)</f>
        <v>85</v>
      </c>
      <c r="I384" t="str">
        <f>VLOOKUP(C384,Магазины!A:C,3,0)</f>
        <v>Набережные Челны</v>
      </c>
      <c r="J384">
        <f>VLOOKUP(D384,Товары!A:I,4,0)</f>
        <v>17625</v>
      </c>
      <c r="K384">
        <f t="shared" si="5"/>
        <v>17625</v>
      </c>
    </row>
    <row r="385" spans="1:11" hidden="1" x14ac:dyDescent="0.25">
      <c r="A385">
        <v>384</v>
      </c>
      <c r="B385" s="1">
        <v>45748</v>
      </c>
      <c r="C385" t="s">
        <v>58</v>
      </c>
      <c r="D385" t="s">
        <v>62</v>
      </c>
      <c r="E385" t="s">
        <v>8</v>
      </c>
      <c r="F385">
        <v>2</v>
      </c>
      <c r="G385" t="str">
        <f>VLOOKUP(D385,Товары!A:I,3,0)</f>
        <v>Тумба с раковиной  напол. Альба 600 мята 2 ящика с умыв. Океан</v>
      </c>
      <c r="H385">
        <f>VLOOKUP(D385,Товары!A:I,6,0)</f>
        <v>80</v>
      </c>
      <c r="I385" t="str">
        <f>VLOOKUP(C385,Магазины!A:C,3,0)</f>
        <v>Ставрополь</v>
      </c>
      <c r="J385">
        <f>VLOOKUP(D385,Товары!A:I,4,0)</f>
        <v>26370</v>
      </c>
      <c r="K385">
        <f t="shared" si="5"/>
        <v>52740</v>
      </c>
    </row>
    <row r="386" spans="1:11" hidden="1" x14ac:dyDescent="0.25">
      <c r="A386">
        <v>385</v>
      </c>
      <c r="B386" s="1">
        <v>45752</v>
      </c>
      <c r="C386" t="s">
        <v>9</v>
      </c>
      <c r="D386" t="s">
        <v>72</v>
      </c>
      <c r="E386" t="s">
        <v>8</v>
      </c>
      <c r="F386">
        <v>3</v>
      </c>
      <c r="G386" t="str">
        <f>VLOOKUP(D386,Товары!A:I,3,0)</f>
        <v>Тумба с раковиной  напол. Сохо 600 белый 2 ящика с умыв. Океан</v>
      </c>
      <c r="H386">
        <f>VLOOKUP(D386,Товары!A:I,6,0)</f>
        <v>85</v>
      </c>
      <c r="I386" t="str">
        <f>VLOOKUP(C386,Магазины!A:C,3,0)</f>
        <v>Кемерово</v>
      </c>
      <c r="J386">
        <f>VLOOKUP(D386,Товары!A:I,4,0)</f>
        <v>16140</v>
      </c>
      <c r="K386">
        <f t="shared" si="5"/>
        <v>48420</v>
      </c>
    </row>
    <row r="387" spans="1:11" hidden="1" x14ac:dyDescent="0.25">
      <c r="A387">
        <v>386</v>
      </c>
      <c r="B387" s="1">
        <v>45753</v>
      </c>
      <c r="C387" t="s">
        <v>20</v>
      </c>
      <c r="D387" t="s">
        <v>75</v>
      </c>
      <c r="E387" t="s">
        <v>8</v>
      </c>
      <c r="F387">
        <v>2</v>
      </c>
      <c r="G387" t="str">
        <f>VLOOKUP(D387,Товары!A:I,3,0)</f>
        <v>Тумба с раковиной  напол. Альба 600 суфле 2 ящика с умыв. Океан</v>
      </c>
      <c r="H387">
        <f>VLOOKUP(D387,Товары!A:I,6,0)</f>
        <v>80</v>
      </c>
      <c r="I387" t="str">
        <f>VLOOKUP(C387,Магазины!A:C,3,0)</f>
        <v>Оренбург</v>
      </c>
      <c r="J387">
        <f>VLOOKUP(D387,Товары!A:I,4,0)</f>
        <v>26370</v>
      </c>
      <c r="K387">
        <f t="shared" ref="K387:K450" si="6">J387*F387</f>
        <v>52740</v>
      </c>
    </row>
    <row r="388" spans="1:11" hidden="1" x14ac:dyDescent="0.25">
      <c r="A388">
        <v>387</v>
      </c>
      <c r="B388" s="1">
        <v>45756</v>
      </c>
      <c r="C388" t="s">
        <v>16</v>
      </c>
      <c r="D388" t="s">
        <v>38</v>
      </c>
      <c r="E388" t="s">
        <v>13</v>
      </c>
      <c r="F388">
        <v>2</v>
      </c>
      <c r="G388" t="str">
        <f>VLOOKUP(D388,Товары!A:I,3,0)</f>
        <v>Тумба с раковиной  навес. Куба Риф 600 белый 2 ящика с умыв. Como</v>
      </c>
      <c r="H388">
        <f>VLOOKUP(D388,Товары!A:I,6,0)</f>
        <v>55</v>
      </c>
      <c r="I388" t="str">
        <f>VLOOKUP(C388,Магазины!A:C,3,0)</f>
        <v>Оренбург</v>
      </c>
      <c r="J388">
        <f>VLOOKUP(D388,Товары!A:I,4,0)</f>
        <v>14265</v>
      </c>
      <c r="K388">
        <f t="shared" si="6"/>
        <v>28530</v>
      </c>
    </row>
    <row r="389" spans="1:11" hidden="1" x14ac:dyDescent="0.25">
      <c r="A389">
        <v>388</v>
      </c>
      <c r="B389" s="1">
        <v>45753</v>
      </c>
      <c r="C389" t="s">
        <v>11</v>
      </c>
      <c r="D389" t="s">
        <v>99</v>
      </c>
      <c r="E389" t="s">
        <v>13</v>
      </c>
      <c r="F389">
        <v>1</v>
      </c>
      <c r="G389" t="str">
        <f>VLOOKUP(D389,Товары!A:I,3,0)</f>
        <v>Тумба с раковиной  навес. Леон 600 оникс 2 ящика с умыв. Слим</v>
      </c>
      <c r="H389">
        <f>VLOOKUP(D389,Товары!A:I,6,0)</f>
        <v>60</v>
      </c>
      <c r="I389" t="str">
        <f>VLOOKUP(C389,Магазины!A:C,3,0)</f>
        <v>Кемерово</v>
      </c>
      <c r="J389">
        <f>VLOOKUP(D389,Товары!A:I,4,0)</f>
        <v>25125</v>
      </c>
      <c r="K389">
        <f t="shared" si="6"/>
        <v>25125</v>
      </c>
    </row>
    <row r="390" spans="1:11" hidden="1" x14ac:dyDescent="0.25">
      <c r="A390">
        <v>389</v>
      </c>
      <c r="B390" s="1">
        <v>45757</v>
      </c>
      <c r="C390" t="s">
        <v>22</v>
      </c>
      <c r="D390" t="s">
        <v>34</v>
      </c>
      <c r="E390" t="s">
        <v>13</v>
      </c>
      <c r="F390">
        <v>1</v>
      </c>
      <c r="G390" t="str">
        <f>VLOOKUP(D390,Товары!A:I,3,0)</f>
        <v>Тумба с раковиной  навес. Леон 700 форест 2 ящика с умыв. Слим</v>
      </c>
      <c r="H390">
        <f>VLOOKUP(D390,Товары!A:I,6,0)</f>
        <v>60</v>
      </c>
      <c r="I390" t="str">
        <f>VLOOKUP(C390,Магазины!A:C,3,0)</f>
        <v>Кемерово</v>
      </c>
      <c r="J390">
        <f>VLOOKUP(D390,Товары!A:I,4,0)</f>
        <v>26220</v>
      </c>
      <c r="K390">
        <f t="shared" si="6"/>
        <v>26220</v>
      </c>
    </row>
    <row r="391" spans="1:11" hidden="1" x14ac:dyDescent="0.25">
      <c r="A391">
        <v>390</v>
      </c>
      <c r="B391" s="1">
        <v>45752</v>
      </c>
      <c r="C391" t="s">
        <v>92</v>
      </c>
      <c r="D391" t="s">
        <v>91</v>
      </c>
      <c r="E391" t="s">
        <v>8</v>
      </c>
      <c r="F391">
        <v>1</v>
      </c>
      <c r="G391" t="str">
        <f>VLOOKUP(D391,Товары!A:I,3,0)</f>
        <v>Пенал навес./напол. Альба 350 мята 2 двери</v>
      </c>
      <c r="H391">
        <f>VLOOKUP(D391,Товары!A:I,6,0)</f>
        <v>150</v>
      </c>
      <c r="I391" t="str">
        <f>VLOOKUP(C391,Магазины!A:C,3,0)</f>
        <v>Кемерово</v>
      </c>
      <c r="J391">
        <f>VLOOKUP(D391,Товары!A:I,4,0)</f>
        <v>11655</v>
      </c>
      <c r="K391">
        <f t="shared" si="6"/>
        <v>11655</v>
      </c>
    </row>
    <row r="392" spans="1:11" hidden="1" x14ac:dyDescent="0.25">
      <c r="A392">
        <v>391</v>
      </c>
      <c r="B392" s="1">
        <v>45755</v>
      </c>
      <c r="C392" t="s">
        <v>14</v>
      </c>
      <c r="D392" t="s">
        <v>12</v>
      </c>
      <c r="E392" t="s">
        <v>8</v>
      </c>
      <c r="F392">
        <v>2</v>
      </c>
      <c r="G392" t="str">
        <f>VLOOKUP(D392,Товары!A:I,3,0)</f>
        <v>Тумба с раковиной  напол. Сохо 700 белый 2 двери с умыв. Слим</v>
      </c>
      <c r="H392">
        <f>VLOOKUP(D392,Товары!A:I,6,0)</f>
        <v>85</v>
      </c>
      <c r="I392" t="str">
        <f>VLOOKUP(C392,Магазины!A:C,3,0)</f>
        <v>Оренбург</v>
      </c>
      <c r="J392">
        <f>VLOOKUP(D392,Товары!A:I,4,0)</f>
        <v>17160</v>
      </c>
      <c r="K392">
        <f t="shared" si="6"/>
        <v>34320</v>
      </c>
    </row>
    <row r="393" spans="1:11" hidden="1" x14ac:dyDescent="0.25">
      <c r="A393">
        <v>392</v>
      </c>
      <c r="B393" s="1">
        <v>45757</v>
      </c>
      <c r="C393" t="s">
        <v>22</v>
      </c>
      <c r="D393" t="s">
        <v>15</v>
      </c>
      <c r="E393" t="s">
        <v>8</v>
      </c>
      <c r="F393">
        <v>1</v>
      </c>
      <c r="G393" t="str">
        <f>VLOOKUP(D393,Товары!A:I,3,0)</f>
        <v>Зеркальный шкаф Кристалл 60 со светильником правый, ручка кнопка дуб цвет Шато Азур</v>
      </c>
      <c r="H393">
        <f>VLOOKUP(D393,Товары!A:I,6,0)</f>
        <v>75</v>
      </c>
      <c r="I393" t="str">
        <f>VLOOKUP(C393,Магазины!A:C,3,0)</f>
        <v>Кемерово</v>
      </c>
      <c r="J393">
        <f>VLOOKUP(D393,Товары!A:I,4,0)</f>
        <v>9195</v>
      </c>
      <c r="K393">
        <f t="shared" si="6"/>
        <v>9195</v>
      </c>
    </row>
    <row r="394" spans="1:11" hidden="1" x14ac:dyDescent="0.25">
      <c r="A394">
        <v>393</v>
      </c>
      <c r="B394" s="1">
        <v>45754</v>
      </c>
      <c r="C394" t="s">
        <v>58</v>
      </c>
      <c r="D394" t="s">
        <v>130</v>
      </c>
      <c r="E394" t="s">
        <v>8</v>
      </c>
      <c r="F394">
        <v>2</v>
      </c>
      <c r="G394" t="str">
        <f>VLOOKUP(D394,Товары!A:I,3,0)</f>
        <v>Пенал напол. Леон 400 форест 2 двери + 1 ящик</v>
      </c>
      <c r="H394">
        <f>VLOOKUP(D394,Товары!A:I,6,0)</f>
        <v>190</v>
      </c>
      <c r="I394" t="str">
        <f>VLOOKUP(C394,Магазины!A:C,3,0)</f>
        <v>Ставрополь</v>
      </c>
      <c r="J394">
        <f>VLOOKUP(D394,Товары!A:I,4,0)</f>
        <v>18450</v>
      </c>
      <c r="K394">
        <f t="shared" si="6"/>
        <v>36900</v>
      </c>
    </row>
    <row r="395" spans="1:11" hidden="1" x14ac:dyDescent="0.25">
      <c r="A395">
        <v>394</v>
      </c>
      <c r="B395" s="1">
        <v>45756</v>
      </c>
      <c r="C395" t="s">
        <v>9</v>
      </c>
      <c r="D395" t="s">
        <v>66</v>
      </c>
      <c r="E395" t="s">
        <v>13</v>
      </c>
      <c r="F395">
        <v>3</v>
      </c>
      <c r="G395" t="str">
        <f>VLOOKUP(D395,Товары!A:I,3,0)</f>
        <v>Тумба с раковиной  навес. Альба 800 мята 2 ящика с умыв. Слим</v>
      </c>
      <c r="H395">
        <f>VLOOKUP(D395,Товары!A:I,6,0)</f>
        <v>50</v>
      </c>
      <c r="I395" t="str">
        <f>VLOOKUP(C395,Магазины!A:C,3,0)</f>
        <v>Кемерово</v>
      </c>
      <c r="J395">
        <f>VLOOKUP(D395,Товары!A:I,4,0)</f>
        <v>26070</v>
      </c>
      <c r="K395">
        <f t="shared" si="6"/>
        <v>78210</v>
      </c>
    </row>
    <row r="396" spans="1:11" hidden="1" x14ac:dyDescent="0.25">
      <c r="A396">
        <v>395</v>
      </c>
      <c r="B396" s="1">
        <v>45757</v>
      </c>
      <c r="C396" t="s">
        <v>18</v>
      </c>
      <c r="D396" t="s">
        <v>116</v>
      </c>
      <c r="E396" t="s">
        <v>13</v>
      </c>
      <c r="F396">
        <v>1</v>
      </c>
      <c r="G396" t="str">
        <f>VLOOKUP(D396,Товары!A:I,3,0)</f>
        <v>Зеркало Нева 60 дуб/белый со светильником</v>
      </c>
      <c r="H396">
        <f>VLOOKUP(D396,Товары!A:I,6,0)</f>
        <v>80</v>
      </c>
      <c r="I396" t="str">
        <f>VLOOKUP(C396,Магазины!A:C,3,0)</f>
        <v>Набережные Челны</v>
      </c>
      <c r="J396">
        <f>VLOOKUP(D396,Товары!A:I,4,0)</f>
        <v>5100</v>
      </c>
      <c r="K396">
        <f t="shared" si="6"/>
        <v>5100</v>
      </c>
    </row>
    <row r="397" spans="1:11" hidden="1" x14ac:dyDescent="0.25">
      <c r="A397">
        <v>396</v>
      </c>
      <c r="B397" s="1">
        <v>45757</v>
      </c>
      <c r="C397" t="s">
        <v>6</v>
      </c>
      <c r="D397" t="s">
        <v>53</v>
      </c>
      <c r="E397" t="s">
        <v>13</v>
      </c>
      <c r="F397">
        <v>1</v>
      </c>
      <c r="G397" t="str">
        <f>VLOOKUP(D397,Товары!A:I,3,0)</f>
        <v>Тумба с раковиной  напол. Кристалл 600 шато азур 2 ящика с умыв. Океан</v>
      </c>
      <c r="H397">
        <f>VLOOKUP(D397,Товары!A:I,6,0)</f>
        <v>85</v>
      </c>
      <c r="I397" t="str">
        <f>VLOOKUP(C397,Магазины!A:C,3,0)</f>
        <v>Оренбург</v>
      </c>
      <c r="J397">
        <f>VLOOKUP(D397,Товары!A:I,4,0)</f>
        <v>27600</v>
      </c>
      <c r="K397">
        <f t="shared" si="6"/>
        <v>27600</v>
      </c>
    </row>
    <row r="398" spans="1:11" hidden="1" x14ac:dyDescent="0.25">
      <c r="A398">
        <v>397</v>
      </c>
      <c r="B398" s="1">
        <v>45751</v>
      </c>
      <c r="C398" t="s">
        <v>57</v>
      </c>
      <c r="D398" t="s">
        <v>68</v>
      </c>
      <c r="E398" t="s">
        <v>13</v>
      </c>
      <c r="F398">
        <v>1</v>
      </c>
      <c r="G398" t="str">
        <f>VLOOKUP(D398,Товары!A:I,3,0)</f>
        <v>Тумба с раковиной  навес. Альба 600 антрацит 1 ящик с умыв. Океан</v>
      </c>
      <c r="H398">
        <f>VLOOKUP(D398,Товары!A:I,6,0)</f>
        <v>85</v>
      </c>
      <c r="I398" t="str">
        <f>VLOOKUP(C398,Магазины!A:C,3,0)</f>
        <v>Оренбург</v>
      </c>
      <c r="J398">
        <f>VLOOKUP(D398,Товары!A:I,4,0)</f>
        <v>17625</v>
      </c>
      <c r="K398">
        <f t="shared" si="6"/>
        <v>17625</v>
      </c>
    </row>
    <row r="399" spans="1:11" hidden="1" x14ac:dyDescent="0.25">
      <c r="A399">
        <v>398</v>
      </c>
      <c r="B399" s="1">
        <v>45751</v>
      </c>
      <c r="C399" t="s">
        <v>9</v>
      </c>
      <c r="D399" t="s">
        <v>108</v>
      </c>
      <c r="E399" t="s">
        <v>13</v>
      </c>
      <c r="F399">
        <v>3</v>
      </c>
      <c r="G399" t="str">
        <f>VLOOKUP(D399,Товары!A:I,3,0)</f>
        <v>Тумба с раковиной  навес. Виктория 1000 белый 2 ящика с умыв. Слим</v>
      </c>
      <c r="H399">
        <f>VLOOKUP(D399,Товары!A:I,6,0)</f>
        <v>60</v>
      </c>
      <c r="I399" t="str">
        <f>VLOOKUP(C399,Магазины!A:C,3,0)</f>
        <v>Кемерово</v>
      </c>
      <c r="J399">
        <f>VLOOKUP(D399,Товары!A:I,4,0)</f>
        <v>29205</v>
      </c>
      <c r="K399">
        <f t="shared" si="6"/>
        <v>87615</v>
      </c>
    </row>
    <row r="400" spans="1:11" hidden="1" x14ac:dyDescent="0.25">
      <c r="A400">
        <v>399</v>
      </c>
      <c r="B400" s="1">
        <v>45748</v>
      </c>
      <c r="C400" t="s">
        <v>57</v>
      </c>
      <c r="D400" t="s">
        <v>105</v>
      </c>
      <c r="E400" t="s">
        <v>8</v>
      </c>
      <c r="F400">
        <v>3</v>
      </c>
      <c r="G400" t="str">
        <f>VLOOKUP(D400,Товары!A:I,3,0)</f>
        <v>Тумба с раковиной  напол. Нева 600 белый 2 двери + 1 ящик с умыв. Como</v>
      </c>
      <c r="H400">
        <f>VLOOKUP(D400,Товары!A:I,6,0)</f>
        <v>80</v>
      </c>
      <c r="I400" t="str">
        <f>VLOOKUP(C400,Магазины!A:C,3,0)</f>
        <v>Оренбург</v>
      </c>
      <c r="J400">
        <f>VLOOKUP(D400,Товары!A:I,4,0)</f>
        <v>13470</v>
      </c>
      <c r="K400">
        <f t="shared" si="6"/>
        <v>40410</v>
      </c>
    </row>
    <row r="401" spans="1:11" hidden="1" x14ac:dyDescent="0.25">
      <c r="A401">
        <v>400</v>
      </c>
      <c r="B401" s="1">
        <v>45757</v>
      </c>
      <c r="C401" t="s">
        <v>92</v>
      </c>
      <c r="D401" t="s">
        <v>119</v>
      </c>
      <c r="E401" t="s">
        <v>13</v>
      </c>
      <c r="F401">
        <v>1</v>
      </c>
      <c r="G401" t="str">
        <f>VLOOKUP(D401,Товары!A:I,3,0)</f>
        <v>Пенал навес./напол. Рица 350 cерый/керамика 2 двери</v>
      </c>
      <c r="H401">
        <f>VLOOKUP(D401,Товары!A:I,6,0)</f>
        <v>160</v>
      </c>
      <c r="I401" t="str">
        <f>VLOOKUP(C401,Магазины!A:C,3,0)</f>
        <v>Кемерово</v>
      </c>
      <c r="J401">
        <f>VLOOKUP(D401,Товары!A:I,4,0)</f>
        <v>11250</v>
      </c>
      <c r="K401">
        <f t="shared" si="6"/>
        <v>11250</v>
      </c>
    </row>
    <row r="402" spans="1:11" hidden="1" x14ac:dyDescent="0.25">
      <c r="A402">
        <v>401</v>
      </c>
      <c r="B402" s="1">
        <v>45751</v>
      </c>
      <c r="C402" t="s">
        <v>16</v>
      </c>
      <c r="D402" t="s">
        <v>62</v>
      </c>
      <c r="E402" t="s">
        <v>8</v>
      </c>
      <c r="F402">
        <v>1</v>
      </c>
      <c r="G402" t="str">
        <f>VLOOKUP(D402,Товары!A:I,3,0)</f>
        <v>Тумба с раковиной  напол. Альба 600 мята 2 ящика с умыв. Океан</v>
      </c>
      <c r="H402">
        <f>VLOOKUP(D402,Товары!A:I,6,0)</f>
        <v>80</v>
      </c>
      <c r="I402" t="str">
        <f>VLOOKUP(C402,Магазины!A:C,3,0)</f>
        <v>Оренбург</v>
      </c>
      <c r="J402">
        <f>VLOOKUP(D402,Товары!A:I,4,0)</f>
        <v>26370</v>
      </c>
      <c r="K402">
        <f t="shared" si="6"/>
        <v>26370</v>
      </c>
    </row>
    <row r="403" spans="1:11" hidden="1" x14ac:dyDescent="0.25">
      <c r="A403">
        <v>402</v>
      </c>
      <c r="B403" s="1">
        <v>45753</v>
      </c>
      <c r="C403" t="s">
        <v>20</v>
      </c>
      <c r="D403" t="s">
        <v>29</v>
      </c>
      <c r="E403" t="s">
        <v>13</v>
      </c>
      <c r="F403">
        <v>2</v>
      </c>
      <c r="G403" t="str">
        <f>VLOOKUP(D403,Товары!A:I,3,0)</f>
        <v>Тумба с раковиной  напол. Леон Риф 600 солярис/белый риф 2 ящика с умыв. Океан</v>
      </c>
      <c r="H403">
        <f>VLOOKUP(D403,Товары!A:I,6,0)</f>
        <v>80</v>
      </c>
      <c r="I403" t="str">
        <f>VLOOKUP(C403,Магазины!A:C,3,0)</f>
        <v>Оренбург</v>
      </c>
      <c r="J403">
        <f>VLOOKUP(D403,Товары!A:I,4,0)</f>
        <v>24150</v>
      </c>
      <c r="K403">
        <f t="shared" si="6"/>
        <v>48300</v>
      </c>
    </row>
    <row r="404" spans="1:11" hidden="1" x14ac:dyDescent="0.25">
      <c r="A404">
        <v>403</v>
      </c>
      <c r="B404" s="1">
        <v>45757</v>
      </c>
      <c r="C404" t="s">
        <v>16</v>
      </c>
      <c r="D404" t="s">
        <v>23</v>
      </c>
      <c r="E404" t="s">
        <v>8</v>
      </c>
      <c r="F404">
        <v>2</v>
      </c>
      <c r="G404" t="str">
        <f>VLOOKUP(D404,Товары!A:I,3,0)</f>
        <v>Тумба с раковиной  напол. Альба 800 антрацит 2 ящика с умыв. Слим</v>
      </c>
      <c r="H404">
        <f>VLOOKUP(D404,Товары!A:I,6,0)</f>
        <v>80</v>
      </c>
      <c r="I404" t="str">
        <f>VLOOKUP(C404,Магазины!A:C,3,0)</f>
        <v>Оренбург</v>
      </c>
      <c r="J404">
        <f>VLOOKUP(D404,Товары!A:I,4,0)</f>
        <v>29340</v>
      </c>
      <c r="K404">
        <f t="shared" si="6"/>
        <v>58680</v>
      </c>
    </row>
    <row r="405" spans="1:11" hidden="1" x14ac:dyDescent="0.25">
      <c r="A405">
        <v>404</v>
      </c>
      <c r="B405" s="1">
        <v>45748</v>
      </c>
      <c r="C405" t="s">
        <v>92</v>
      </c>
      <c r="D405" t="s">
        <v>98</v>
      </c>
      <c r="E405" t="s">
        <v>8</v>
      </c>
      <c r="F405">
        <v>3</v>
      </c>
      <c r="G405" t="str">
        <f>VLOOKUP(D405,Товары!A:I,3,0)</f>
        <v>Тумба с раковиной  напол. Рица 800 cерый/керамика 2 ящика с умыв. Слим</v>
      </c>
      <c r="H405">
        <f>VLOOKUP(D405,Товары!A:I,6,0)</f>
        <v>80</v>
      </c>
      <c r="I405" t="str">
        <f>VLOOKUP(C405,Магазины!A:C,3,0)</f>
        <v>Кемерово</v>
      </c>
      <c r="J405">
        <f>VLOOKUP(D405,Товары!A:I,4,0)</f>
        <v>28980</v>
      </c>
      <c r="K405">
        <f t="shared" si="6"/>
        <v>86940</v>
      </c>
    </row>
    <row r="406" spans="1:11" hidden="1" x14ac:dyDescent="0.25">
      <c r="A406">
        <v>405</v>
      </c>
      <c r="B406" s="1">
        <v>45755</v>
      </c>
      <c r="C406" t="s">
        <v>20</v>
      </c>
      <c r="D406" t="s">
        <v>114</v>
      </c>
      <c r="E406" t="s">
        <v>8</v>
      </c>
      <c r="F406">
        <v>1</v>
      </c>
      <c r="G406" t="str">
        <f>VLOOKUP(D406,Товары!A:I,3,0)</f>
        <v>Тумба с раковиной  навес. Альба 700 мята 2 ящика с умыв. Слим</v>
      </c>
      <c r="H406">
        <f>VLOOKUP(D406,Товары!A:I,6,0)</f>
        <v>60</v>
      </c>
      <c r="I406" t="str">
        <f>VLOOKUP(C406,Магазины!A:C,3,0)</f>
        <v>Оренбург</v>
      </c>
      <c r="J406">
        <f>VLOOKUP(D406,Товары!A:I,4,0)</f>
        <v>25095</v>
      </c>
      <c r="K406">
        <f t="shared" si="6"/>
        <v>25095</v>
      </c>
    </row>
    <row r="407" spans="1:11" hidden="1" x14ac:dyDescent="0.25">
      <c r="A407">
        <v>406</v>
      </c>
      <c r="B407" s="1">
        <v>45751</v>
      </c>
      <c r="C407" t="s">
        <v>16</v>
      </c>
      <c r="D407" t="s">
        <v>29</v>
      </c>
      <c r="E407" t="s">
        <v>13</v>
      </c>
      <c r="F407">
        <v>1</v>
      </c>
      <c r="G407" t="str">
        <f>VLOOKUP(D407,Товары!A:I,3,0)</f>
        <v>Тумба с раковиной  напол. Леон Риф 600 солярис/белый риф 2 ящика с умыв. Океан</v>
      </c>
      <c r="H407">
        <f>VLOOKUP(D407,Товары!A:I,6,0)</f>
        <v>80</v>
      </c>
      <c r="I407" t="str">
        <f>VLOOKUP(C407,Магазины!A:C,3,0)</f>
        <v>Оренбург</v>
      </c>
      <c r="J407">
        <f>VLOOKUP(D407,Товары!A:I,4,0)</f>
        <v>24150</v>
      </c>
      <c r="K407">
        <f t="shared" si="6"/>
        <v>24150</v>
      </c>
    </row>
    <row r="408" spans="1:11" hidden="1" x14ac:dyDescent="0.25">
      <c r="A408">
        <v>407</v>
      </c>
      <c r="B408" s="1">
        <v>45756</v>
      </c>
      <c r="C408" t="s">
        <v>30</v>
      </c>
      <c r="D408" t="s">
        <v>115</v>
      </c>
      <c r="E408" t="s">
        <v>13</v>
      </c>
      <c r="F408">
        <v>1</v>
      </c>
      <c r="G408" t="str">
        <f>VLOOKUP(D408,Товары!A:I,3,0)</f>
        <v>Тумба под стиральную машину Куба Риф 57 напольная 2 ящика под ст/маш, без умывальника /под Marshall 120 Белый</v>
      </c>
      <c r="H408">
        <f>VLOOKUP(D408,Товары!A:I,6,0)</f>
        <v>85</v>
      </c>
      <c r="I408" t="str">
        <f>VLOOKUP(C408,Магазины!A:C,3,0)</f>
        <v>Кемерово</v>
      </c>
      <c r="J408">
        <f>VLOOKUP(D408,Товары!A:I,4,0)</f>
        <v>10530</v>
      </c>
      <c r="K408">
        <f t="shared" si="6"/>
        <v>10530</v>
      </c>
    </row>
    <row r="409" spans="1:11" hidden="1" x14ac:dyDescent="0.25">
      <c r="A409">
        <v>408</v>
      </c>
      <c r="B409" s="1">
        <v>45753</v>
      </c>
      <c r="C409" t="s">
        <v>54</v>
      </c>
      <c r="D409" t="s">
        <v>52</v>
      </c>
      <c r="E409" t="s">
        <v>8</v>
      </c>
      <c r="F409">
        <v>3</v>
      </c>
      <c r="G409" t="str">
        <f>VLOOKUP(D409,Товары!A:I,3,0)</f>
        <v>Тумба с раковиной  напол. Кристалл 600 суфле 2 ящика с умыв. Океан</v>
      </c>
      <c r="H409">
        <f>VLOOKUP(D409,Товары!A:I,6,0)</f>
        <v>80</v>
      </c>
      <c r="I409" t="str">
        <f>VLOOKUP(C409,Магазины!A:C,3,0)</f>
        <v>Ставрополь</v>
      </c>
      <c r="J409">
        <f>VLOOKUP(D409,Товары!A:I,4,0)</f>
        <v>27600</v>
      </c>
      <c r="K409">
        <f t="shared" si="6"/>
        <v>82800</v>
      </c>
    </row>
    <row r="410" spans="1:11" hidden="1" x14ac:dyDescent="0.25">
      <c r="A410">
        <v>409</v>
      </c>
      <c r="B410" s="1">
        <v>45752</v>
      </c>
      <c r="C410" t="s">
        <v>30</v>
      </c>
      <c r="D410" t="s">
        <v>80</v>
      </c>
      <c r="E410" t="s">
        <v>8</v>
      </c>
      <c r="F410">
        <v>2</v>
      </c>
      <c r="G410" t="str">
        <f>VLOOKUP(D410,Товары!A:I,3,0)</f>
        <v>Тумба с раковиной  навес. Сохо 600 белый 2 ящика с умыв. Океан</v>
      </c>
      <c r="H410">
        <f>VLOOKUP(D410,Товары!A:I,6,0)</f>
        <v>55</v>
      </c>
      <c r="I410" t="str">
        <f>VLOOKUP(C410,Магазины!A:C,3,0)</f>
        <v>Кемерово</v>
      </c>
      <c r="J410">
        <f>VLOOKUP(D410,Товары!A:I,4,0)</f>
        <v>13950</v>
      </c>
      <c r="K410">
        <f t="shared" si="6"/>
        <v>27900</v>
      </c>
    </row>
    <row r="411" spans="1:11" hidden="1" x14ac:dyDescent="0.25">
      <c r="A411">
        <v>410</v>
      </c>
      <c r="B411" s="1">
        <v>45756</v>
      </c>
      <c r="C411" t="s">
        <v>6</v>
      </c>
      <c r="D411" t="s">
        <v>83</v>
      </c>
      <c r="E411" t="s">
        <v>8</v>
      </c>
      <c r="F411">
        <v>1</v>
      </c>
      <c r="G411" t="str">
        <f>VLOOKUP(D411,Товары!A:I,3,0)</f>
        <v>Зеркальный шкаф Альба 60 со светильником правый цвет суфле</v>
      </c>
      <c r="H411">
        <f>VLOOKUP(D411,Товары!A:I,6,0)</f>
        <v>75</v>
      </c>
      <c r="I411" t="str">
        <f>VLOOKUP(C411,Магазины!A:C,3,0)</f>
        <v>Оренбург</v>
      </c>
      <c r="J411">
        <f>VLOOKUP(D411,Товары!A:I,4,0)</f>
        <v>8910</v>
      </c>
      <c r="K411">
        <f t="shared" si="6"/>
        <v>8910</v>
      </c>
    </row>
    <row r="412" spans="1:11" hidden="1" x14ac:dyDescent="0.25">
      <c r="A412">
        <v>411</v>
      </c>
      <c r="B412" s="1">
        <v>45749</v>
      </c>
      <c r="C412" t="s">
        <v>54</v>
      </c>
      <c r="D412" t="s">
        <v>31</v>
      </c>
      <c r="E412" t="s">
        <v>13</v>
      </c>
      <c r="F412">
        <v>3</v>
      </c>
      <c r="G412" t="str">
        <f>VLOOKUP(D412,Товары!A:I,3,0)</f>
        <v>Пенал напол. Виктория 350 белый 2 двери</v>
      </c>
      <c r="H412">
        <f>VLOOKUP(D412,Товары!A:I,6,0)</f>
        <v>190</v>
      </c>
      <c r="I412" t="str">
        <f>VLOOKUP(C412,Магазины!A:C,3,0)</f>
        <v>Ставрополь</v>
      </c>
      <c r="J412">
        <f>VLOOKUP(D412,Товары!A:I,4,0)</f>
        <v>14085</v>
      </c>
      <c r="K412">
        <f t="shared" si="6"/>
        <v>42255</v>
      </c>
    </row>
    <row r="413" spans="1:11" hidden="1" x14ac:dyDescent="0.25">
      <c r="A413">
        <v>412</v>
      </c>
      <c r="B413" s="1">
        <v>45754</v>
      </c>
      <c r="C413" t="s">
        <v>14</v>
      </c>
      <c r="D413" t="s">
        <v>53</v>
      </c>
      <c r="E413" t="s">
        <v>13</v>
      </c>
      <c r="F413">
        <v>1</v>
      </c>
      <c r="G413" t="str">
        <f>VLOOKUP(D413,Товары!A:I,3,0)</f>
        <v>Тумба с раковиной  напол. Кристалл 600 шато азур 2 ящика с умыв. Океан</v>
      </c>
      <c r="H413">
        <f>VLOOKUP(D413,Товары!A:I,6,0)</f>
        <v>85</v>
      </c>
      <c r="I413" t="str">
        <f>VLOOKUP(C413,Магазины!A:C,3,0)</f>
        <v>Оренбург</v>
      </c>
      <c r="J413">
        <f>VLOOKUP(D413,Товары!A:I,4,0)</f>
        <v>27600</v>
      </c>
      <c r="K413">
        <f t="shared" si="6"/>
        <v>27600</v>
      </c>
    </row>
    <row r="414" spans="1:11" hidden="1" x14ac:dyDescent="0.25">
      <c r="A414">
        <v>413</v>
      </c>
      <c r="B414" s="1">
        <v>45755</v>
      </c>
      <c r="C414" t="s">
        <v>57</v>
      </c>
      <c r="D414" t="s">
        <v>118</v>
      </c>
      <c r="E414" t="s">
        <v>8</v>
      </c>
      <c r="F414">
        <v>3</v>
      </c>
      <c r="G414" t="str">
        <f>VLOOKUP(D414,Товары!A:I,3,0)</f>
        <v>Тумба с раковиной  напол. Сохо 800 белый 2 ящика с умыв. Слим</v>
      </c>
      <c r="H414">
        <f>VLOOKUP(D414,Товары!A:I,6,0)</f>
        <v>85</v>
      </c>
      <c r="I414" t="str">
        <f>VLOOKUP(C414,Магазины!A:C,3,0)</f>
        <v>Оренбург</v>
      </c>
      <c r="J414">
        <f>VLOOKUP(D414,Товары!A:I,4,0)</f>
        <v>19575</v>
      </c>
      <c r="K414">
        <f t="shared" si="6"/>
        <v>58725</v>
      </c>
    </row>
    <row r="415" spans="1:11" hidden="1" x14ac:dyDescent="0.25">
      <c r="A415">
        <v>414</v>
      </c>
      <c r="B415" s="1">
        <v>45748</v>
      </c>
      <c r="C415" t="s">
        <v>18</v>
      </c>
      <c r="D415" t="s">
        <v>50</v>
      </c>
      <c r="E415" t="s">
        <v>8</v>
      </c>
      <c r="F415">
        <v>2</v>
      </c>
      <c r="G415" t="str">
        <f>VLOOKUP(D415,Товары!A:I,3,0)</f>
        <v>Тумба с раковиной  напол. Леон 800 оникс 2 ящика с умыв. Слим</v>
      </c>
      <c r="H415">
        <f>VLOOKUP(D415,Товары!A:I,6,0)</f>
        <v>80</v>
      </c>
      <c r="I415" t="str">
        <f>VLOOKUP(C415,Магазины!A:C,3,0)</f>
        <v>Набережные Челны</v>
      </c>
      <c r="J415">
        <f>VLOOKUP(D415,Товары!A:I,4,0)</f>
        <v>29400</v>
      </c>
      <c r="K415">
        <f t="shared" si="6"/>
        <v>58800</v>
      </c>
    </row>
    <row r="416" spans="1:11" hidden="1" x14ac:dyDescent="0.25">
      <c r="A416">
        <v>415</v>
      </c>
      <c r="B416" s="1">
        <v>45753</v>
      </c>
      <c r="C416" t="s">
        <v>57</v>
      </c>
      <c r="D416" t="s">
        <v>17</v>
      </c>
      <c r="E416" t="s">
        <v>8</v>
      </c>
      <c r="F416">
        <v>1</v>
      </c>
      <c r="G416" t="str">
        <f>VLOOKUP(D416,Товары!A:I,3,0)</f>
        <v>Тумба с раковиной  навес. Альба 800 антрацит 1 ящик с умыв. Слим</v>
      </c>
      <c r="H416">
        <f>VLOOKUP(D416,Товары!A:I,6,0)</f>
        <v>45</v>
      </c>
      <c r="I416" t="str">
        <f>VLOOKUP(C416,Магазины!A:C,3,0)</f>
        <v>Оренбург</v>
      </c>
      <c r="J416">
        <f>VLOOKUP(D416,Товары!A:I,4,0)</f>
        <v>21630</v>
      </c>
      <c r="K416">
        <f t="shared" si="6"/>
        <v>21630</v>
      </c>
    </row>
    <row r="417" spans="1:11" hidden="1" x14ac:dyDescent="0.25">
      <c r="A417">
        <v>416</v>
      </c>
      <c r="B417" s="1">
        <v>45749</v>
      </c>
      <c r="C417" t="s">
        <v>103</v>
      </c>
      <c r="D417" t="s">
        <v>130</v>
      </c>
      <c r="E417" t="s">
        <v>8</v>
      </c>
      <c r="F417">
        <v>2</v>
      </c>
      <c r="G417" t="str">
        <f>VLOOKUP(D417,Товары!A:I,3,0)</f>
        <v>Пенал напол. Леон 400 форест 2 двери + 1 ящик</v>
      </c>
      <c r="H417">
        <f>VLOOKUP(D417,Товары!A:I,6,0)</f>
        <v>190</v>
      </c>
      <c r="I417" t="str">
        <f>VLOOKUP(C417,Магазины!A:C,3,0)</f>
        <v>Ставрополь</v>
      </c>
      <c r="J417">
        <f>VLOOKUP(D417,Товары!A:I,4,0)</f>
        <v>18450</v>
      </c>
      <c r="K417">
        <f t="shared" si="6"/>
        <v>36900</v>
      </c>
    </row>
    <row r="418" spans="1:11" hidden="1" x14ac:dyDescent="0.25">
      <c r="A418">
        <v>417</v>
      </c>
      <c r="B418" s="1">
        <v>45752</v>
      </c>
      <c r="C418" t="s">
        <v>28</v>
      </c>
      <c r="D418" t="s">
        <v>131</v>
      </c>
      <c r="E418" t="s">
        <v>8</v>
      </c>
      <c r="F418">
        <v>1</v>
      </c>
      <c r="G418" t="str">
        <f>VLOOKUP(D418,Товары!A:I,3,0)</f>
        <v>Тумба с раковиной  напол. Леон 800 форест 2 ящика с умыв. Слим</v>
      </c>
      <c r="H418">
        <f>VLOOKUP(D418,Товары!A:I,6,0)</f>
        <v>80</v>
      </c>
      <c r="I418" t="str">
        <f>VLOOKUP(C418,Магазины!A:C,3,0)</f>
        <v>Набережные Челны</v>
      </c>
      <c r="J418">
        <f>VLOOKUP(D418,Товары!A:I,4,0)</f>
        <v>29400</v>
      </c>
      <c r="K418">
        <f t="shared" si="6"/>
        <v>29400</v>
      </c>
    </row>
    <row r="419" spans="1:11" hidden="1" x14ac:dyDescent="0.25">
      <c r="A419">
        <v>418</v>
      </c>
      <c r="B419" s="1">
        <v>45756</v>
      </c>
      <c r="C419" t="s">
        <v>63</v>
      </c>
      <c r="D419" t="s">
        <v>96</v>
      </c>
      <c r="E419" t="s">
        <v>13</v>
      </c>
      <c r="F419">
        <v>1</v>
      </c>
      <c r="G419" t="str">
        <f>VLOOKUP(D419,Товары!A:I,3,0)</f>
        <v>Тумба с раковиной  навес. Альба 600 мята 1 ящик с умыв. Океан</v>
      </c>
      <c r="H419">
        <f>VLOOKUP(D419,Товары!A:I,6,0)</f>
        <v>85</v>
      </c>
      <c r="I419" t="str">
        <f>VLOOKUP(C419,Магазины!A:C,3,0)</f>
        <v>Ставрополь</v>
      </c>
      <c r="J419">
        <f>VLOOKUP(D419,Товары!A:I,4,0)</f>
        <v>17625</v>
      </c>
      <c r="K419">
        <f t="shared" si="6"/>
        <v>17625</v>
      </c>
    </row>
    <row r="420" spans="1:11" hidden="1" x14ac:dyDescent="0.25">
      <c r="A420">
        <v>419</v>
      </c>
      <c r="B420" s="1">
        <v>45749</v>
      </c>
      <c r="C420" t="s">
        <v>33</v>
      </c>
      <c r="D420" t="s">
        <v>118</v>
      </c>
      <c r="E420" t="s">
        <v>8</v>
      </c>
      <c r="F420">
        <v>3</v>
      </c>
      <c r="G420" t="str">
        <f>VLOOKUP(D420,Товары!A:I,3,0)</f>
        <v>Тумба с раковиной  напол. Сохо 800 белый 2 ящика с умыв. Слим</v>
      </c>
      <c r="H420">
        <f>VLOOKUP(D420,Товары!A:I,6,0)</f>
        <v>85</v>
      </c>
      <c r="I420" t="str">
        <f>VLOOKUP(C420,Магазины!A:C,3,0)</f>
        <v>Набережные Челны</v>
      </c>
      <c r="J420">
        <f>VLOOKUP(D420,Товары!A:I,4,0)</f>
        <v>19575</v>
      </c>
      <c r="K420">
        <f t="shared" si="6"/>
        <v>58725</v>
      </c>
    </row>
    <row r="421" spans="1:11" hidden="1" x14ac:dyDescent="0.25">
      <c r="A421">
        <v>420</v>
      </c>
      <c r="B421" s="1">
        <v>45753</v>
      </c>
      <c r="C421" t="s">
        <v>48</v>
      </c>
      <c r="D421" t="s">
        <v>61</v>
      </c>
      <c r="E421" t="s">
        <v>8</v>
      </c>
      <c r="F421">
        <v>3</v>
      </c>
      <c r="G421" t="str">
        <f>VLOOKUP(D421,Товары!A:I,3,0)</f>
        <v>Тумба под стиральную машину Леон Риф 57 напольная 2 ящика под ст/маш, без умывальника /под Marshall 120 Солярис/Белый Риф</v>
      </c>
      <c r="H421">
        <f>VLOOKUP(D421,Товары!A:I,6,0)</f>
        <v>85</v>
      </c>
      <c r="I421" t="str">
        <f>VLOOKUP(C421,Магазины!A:C,3,0)</f>
        <v>Ставрополь</v>
      </c>
      <c r="J421">
        <f>VLOOKUP(D421,Товары!A:I,4,0)</f>
        <v>17430</v>
      </c>
      <c r="K421">
        <f t="shared" si="6"/>
        <v>52290</v>
      </c>
    </row>
    <row r="422" spans="1:11" hidden="1" x14ac:dyDescent="0.25">
      <c r="A422">
        <v>421</v>
      </c>
      <c r="B422" s="1">
        <v>45750</v>
      </c>
      <c r="C422" t="s">
        <v>11</v>
      </c>
      <c r="D422" t="s">
        <v>93</v>
      </c>
      <c r="E422" t="s">
        <v>8</v>
      </c>
      <c r="F422">
        <v>2</v>
      </c>
      <c r="G422" t="str">
        <f>VLOOKUP(D422,Товары!A:I,3,0)</f>
        <v>Тумба с раковиной  напол. Леон Риф 800 солярис/белый риф 2 ящика с умыв. Слим</v>
      </c>
      <c r="H422">
        <f>VLOOKUP(D422,Товары!A:I,6,0)</f>
        <v>80</v>
      </c>
      <c r="I422" t="str">
        <f>VLOOKUP(C422,Магазины!A:C,3,0)</f>
        <v>Кемерово</v>
      </c>
      <c r="J422">
        <f>VLOOKUP(D422,Товары!A:I,4,0)</f>
        <v>29340</v>
      </c>
      <c r="K422">
        <f t="shared" si="6"/>
        <v>58680</v>
      </c>
    </row>
    <row r="423" spans="1:11" hidden="1" x14ac:dyDescent="0.25">
      <c r="A423">
        <v>422</v>
      </c>
      <c r="B423" s="1">
        <v>45754</v>
      </c>
      <c r="C423" t="s">
        <v>43</v>
      </c>
      <c r="D423" t="s">
        <v>37</v>
      </c>
      <c r="E423" t="s">
        <v>8</v>
      </c>
      <c r="F423">
        <v>3</v>
      </c>
      <c r="G423" t="str">
        <f>VLOOKUP(D423,Товары!A:I,3,0)</f>
        <v>Зеркальный шкаф Сохо 70 белый со светильником правый цвет Белый глянец</v>
      </c>
      <c r="H423">
        <f>VLOOKUP(D423,Товары!A:I,6,0)</f>
        <v>75</v>
      </c>
      <c r="I423" t="str">
        <f>VLOOKUP(C423,Магазины!A:C,3,0)</f>
        <v>Набережные Челны</v>
      </c>
      <c r="J423">
        <f>VLOOKUP(D423,Товары!A:I,4,0)</f>
        <v>7935</v>
      </c>
      <c r="K423">
        <f t="shared" si="6"/>
        <v>23805</v>
      </c>
    </row>
    <row r="424" spans="1:11" hidden="1" x14ac:dyDescent="0.25">
      <c r="A424">
        <v>423</v>
      </c>
      <c r="B424" s="1">
        <v>45753</v>
      </c>
      <c r="C424" t="s">
        <v>9</v>
      </c>
      <c r="D424" t="s">
        <v>126</v>
      </c>
      <c r="E424" t="s">
        <v>13</v>
      </c>
      <c r="F424">
        <v>2</v>
      </c>
      <c r="G424" t="str">
        <f>VLOOKUP(D424,Товары!A:I,3,0)</f>
        <v>Тумба с раковиной  напол. Кристалл 800 шато азур 2 ящика с умыв. Комфорт</v>
      </c>
      <c r="H424">
        <f>VLOOKUP(D424,Товары!A:I,6,0)</f>
        <v>85</v>
      </c>
      <c r="I424" t="str">
        <f>VLOOKUP(C424,Магазины!A:C,3,0)</f>
        <v>Кемерово</v>
      </c>
      <c r="J424">
        <f>VLOOKUP(D424,Товары!A:I,4,0)</f>
        <v>31125</v>
      </c>
      <c r="K424">
        <f t="shared" si="6"/>
        <v>62250</v>
      </c>
    </row>
    <row r="425" spans="1:11" hidden="1" x14ac:dyDescent="0.25">
      <c r="A425">
        <v>424</v>
      </c>
      <c r="B425" s="1">
        <v>45755</v>
      </c>
      <c r="C425" t="s">
        <v>57</v>
      </c>
      <c r="D425" t="s">
        <v>64</v>
      </c>
      <c r="E425" t="s">
        <v>8</v>
      </c>
      <c r="F425">
        <v>2</v>
      </c>
      <c r="G425" t="str">
        <f>VLOOKUP(D425,Товары!A:I,3,0)</f>
        <v>Тумба с раковиной  напол. Рица 800 антрацит 2 ящика с умыв. Слим</v>
      </c>
      <c r="H425">
        <f>VLOOKUP(D425,Товары!A:I,6,0)</f>
        <v>80</v>
      </c>
      <c r="I425" t="str">
        <f>VLOOKUP(C425,Магазины!A:C,3,0)</f>
        <v>Оренбург</v>
      </c>
      <c r="J425">
        <f>VLOOKUP(D425,Товары!A:I,4,0)</f>
        <v>28980</v>
      </c>
      <c r="K425">
        <f t="shared" si="6"/>
        <v>57960</v>
      </c>
    </row>
    <row r="426" spans="1:11" hidden="1" x14ac:dyDescent="0.25">
      <c r="A426">
        <v>425</v>
      </c>
      <c r="B426" s="1">
        <v>45757</v>
      </c>
      <c r="C426" t="s">
        <v>57</v>
      </c>
      <c r="D426" t="s">
        <v>37</v>
      </c>
      <c r="E426" t="s">
        <v>8</v>
      </c>
      <c r="F426">
        <v>1</v>
      </c>
      <c r="G426" t="str">
        <f>VLOOKUP(D426,Товары!A:I,3,0)</f>
        <v>Зеркальный шкаф Сохо 70 белый со светильником правый цвет Белый глянец</v>
      </c>
      <c r="H426">
        <f>VLOOKUP(D426,Товары!A:I,6,0)</f>
        <v>75</v>
      </c>
      <c r="I426" t="str">
        <f>VLOOKUP(C426,Магазины!A:C,3,0)</f>
        <v>Оренбург</v>
      </c>
      <c r="J426">
        <f>VLOOKUP(D426,Товары!A:I,4,0)</f>
        <v>7935</v>
      </c>
      <c r="K426">
        <f t="shared" si="6"/>
        <v>7935</v>
      </c>
    </row>
    <row r="427" spans="1:11" hidden="1" x14ac:dyDescent="0.25">
      <c r="A427">
        <v>426</v>
      </c>
      <c r="B427" s="1">
        <v>45752</v>
      </c>
      <c r="C427" t="s">
        <v>103</v>
      </c>
      <c r="D427" t="s">
        <v>32</v>
      </c>
      <c r="E427" t="s">
        <v>8</v>
      </c>
      <c r="F427">
        <v>3</v>
      </c>
      <c r="G427" t="str">
        <f>VLOOKUP(D427,Товары!A:I,3,0)</f>
        <v>Тумба с раковиной  напол. Леон Риф 700 солярис/белый риф 2 ящика с умыв. Слим</v>
      </c>
      <c r="H427">
        <f>VLOOKUP(D427,Товары!A:I,6,0)</f>
        <v>85</v>
      </c>
      <c r="I427" t="str">
        <f>VLOOKUP(C427,Магазины!A:C,3,0)</f>
        <v>Ставрополь</v>
      </c>
      <c r="J427">
        <f>VLOOKUP(D427,Товары!A:I,4,0)</f>
        <v>26460</v>
      </c>
      <c r="K427">
        <f t="shared" si="6"/>
        <v>79380</v>
      </c>
    </row>
    <row r="428" spans="1:11" hidden="1" x14ac:dyDescent="0.25">
      <c r="A428">
        <v>427</v>
      </c>
      <c r="B428" s="1">
        <v>45757</v>
      </c>
      <c r="C428" t="s">
        <v>14</v>
      </c>
      <c r="D428" t="s">
        <v>124</v>
      </c>
      <c r="E428" t="s">
        <v>8</v>
      </c>
      <c r="F428">
        <v>3</v>
      </c>
      <c r="G428" t="str">
        <f>VLOOKUP(D428,Товары!A:I,3,0)</f>
        <v>Тумба с раковиной  напол. Леон 600 оникс 2 ящика с умыв. Океан</v>
      </c>
      <c r="H428">
        <f>VLOOKUP(D428,Товары!A:I,6,0)</f>
        <v>80</v>
      </c>
      <c r="I428" t="str">
        <f>VLOOKUP(C428,Магазины!A:C,3,0)</f>
        <v>Оренбург</v>
      </c>
      <c r="J428">
        <f>VLOOKUP(D428,Товары!A:I,4,0)</f>
        <v>25860</v>
      </c>
      <c r="K428">
        <f t="shared" si="6"/>
        <v>77580</v>
      </c>
    </row>
    <row r="429" spans="1:11" hidden="1" x14ac:dyDescent="0.25">
      <c r="A429">
        <v>428</v>
      </c>
      <c r="B429" s="1">
        <v>45750</v>
      </c>
      <c r="C429" t="s">
        <v>58</v>
      </c>
      <c r="D429" t="s">
        <v>85</v>
      </c>
      <c r="E429" t="s">
        <v>8</v>
      </c>
      <c r="F429">
        <v>3</v>
      </c>
      <c r="G429" t="str">
        <f>VLOOKUP(D429,Товары!A:I,3,0)</f>
        <v>Пенал напол. Аква 450 белый 2 двери + 2 ящика + корзина</v>
      </c>
      <c r="H429">
        <f>VLOOKUP(D429,Товары!A:I,6,0)</f>
        <v>190</v>
      </c>
      <c r="I429" t="str">
        <f>VLOOKUP(C429,Магазины!A:C,3,0)</f>
        <v>Ставрополь</v>
      </c>
      <c r="J429">
        <f>VLOOKUP(D429,Товары!A:I,4,0)</f>
        <v>13335</v>
      </c>
      <c r="K429">
        <f t="shared" si="6"/>
        <v>40005</v>
      </c>
    </row>
    <row r="430" spans="1:11" hidden="1" x14ac:dyDescent="0.25">
      <c r="A430">
        <v>429</v>
      </c>
      <c r="B430" s="1">
        <v>45756</v>
      </c>
      <c r="C430" t="s">
        <v>111</v>
      </c>
      <c r="D430" t="s">
        <v>79</v>
      </c>
      <c r="E430" t="s">
        <v>8</v>
      </c>
      <c r="F430">
        <v>2</v>
      </c>
      <c r="G430" t="str">
        <f>VLOOKUP(D430,Товары!A:I,3,0)</f>
        <v>Зеркальный шкаф Альба 70 со светильником правый цвет мята</v>
      </c>
      <c r="H430">
        <f>VLOOKUP(D430,Товары!A:I,6,0)</f>
        <v>75</v>
      </c>
      <c r="I430" t="str">
        <f>VLOOKUP(C430,Магазины!A:C,3,0)</f>
        <v>Набережные Челны</v>
      </c>
      <c r="J430">
        <f>VLOOKUP(D430,Товары!A:I,4,0)</f>
        <v>9615</v>
      </c>
      <c r="K430">
        <f t="shared" si="6"/>
        <v>19230</v>
      </c>
    </row>
    <row r="431" spans="1:11" hidden="1" x14ac:dyDescent="0.25">
      <c r="A431">
        <v>430</v>
      </c>
      <c r="B431" s="1">
        <v>45752</v>
      </c>
      <c r="C431" t="s">
        <v>6</v>
      </c>
      <c r="D431" t="s">
        <v>73</v>
      </c>
      <c r="E431" t="s">
        <v>13</v>
      </c>
      <c r="F431">
        <v>1</v>
      </c>
      <c r="G431" t="str">
        <f>VLOOKUP(D431,Товары!A:I,3,0)</f>
        <v>Зеркальный шкаф Альба 70 со светильником правый цвет антрацит</v>
      </c>
      <c r="H431">
        <f>VLOOKUP(D431,Товары!A:I,6,0)</f>
        <v>75</v>
      </c>
      <c r="I431" t="str">
        <f>VLOOKUP(C431,Магазины!A:C,3,0)</f>
        <v>Оренбург</v>
      </c>
      <c r="J431">
        <f>VLOOKUP(D431,Товары!A:I,4,0)</f>
        <v>9615</v>
      </c>
      <c r="K431">
        <f t="shared" si="6"/>
        <v>9615</v>
      </c>
    </row>
    <row r="432" spans="1:11" hidden="1" x14ac:dyDescent="0.25">
      <c r="A432">
        <v>431</v>
      </c>
      <c r="B432" s="1">
        <v>45757</v>
      </c>
      <c r="C432" t="s">
        <v>41</v>
      </c>
      <c r="D432" t="s">
        <v>69</v>
      </c>
      <c r="E432" t="s">
        <v>8</v>
      </c>
      <c r="F432">
        <v>2</v>
      </c>
      <c r="G432" t="str">
        <f>VLOOKUP(D432,Товары!A:I,3,0)</f>
        <v>Пенал навес./напол. Альба 350 антрацит 2 двери</v>
      </c>
      <c r="H432">
        <f>VLOOKUP(D432,Товары!A:I,6,0)</f>
        <v>150</v>
      </c>
      <c r="I432" t="str">
        <f>VLOOKUP(C432,Магазины!A:C,3,0)</f>
        <v>Ставрополь</v>
      </c>
      <c r="J432">
        <f>VLOOKUP(D432,Товары!A:I,4,0)</f>
        <v>11655</v>
      </c>
      <c r="K432">
        <f t="shared" si="6"/>
        <v>23310</v>
      </c>
    </row>
    <row r="433" spans="1:11" hidden="1" x14ac:dyDescent="0.25">
      <c r="A433">
        <v>432</v>
      </c>
      <c r="B433" s="1">
        <v>45749</v>
      </c>
      <c r="C433" t="s">
        <v>111</v>
      </c>
      <c r="D433" t="s">
        <v>100</v>
      </c>
      <c r="E433" t="s">
        <v>8</v>
      </c>
      <c r="F433">
        <v>2</v>
      </c>
      <c r="G433" t="str">
        <f>VLOOKUP(D433,Товары!A:I,3,0)</f>
        <v>Тумба с раковиной  навес. Альба 800 мята 1 ящик с умыв. Слим</v>
      </c>
      <c r="H433">
        <f>VLOOKUP(D433,Товары!A:I,6,0)</f>
        <v>45</v>
      </c>
      <c r="I433" t="str">
        <f>VLOOKUP(C433,Магазины!A:C,3,0)</f>
        <v>Набережные Челны</v>
      </c>
      <c r="J433">
        <f>VLOOKUP(D433,Товары!A:I,4,0)</f>
        <v>21630</v>
      </c>
      <c r="K433">
        <f t="shared" si="6"/>
        <v>43260</v>
      </c>
    </row>
    <row r="434" spans="1:11" hidden="1" x14ac:dyDescent="0.25">
      <c r="A434">
        <v>433</v>
      </c>
      <c r="B434" s="1">
        <v>45752</v>
      </c>
      <c r="C434" t="s">
        <v>26</v>
      </c>
      <c r="D434" t="s">
        <v>29</v>
      </c>
      <c r="E434" t="s">
        <v>13</v>
      </c>
      <c r="F434">
        <v>1</v>
      </c>
      <c r="G434" t="str">
        <f>VLOOKUP(D434,Товары!A:I,3,0)</f>
        <v>Тумба с раковиной  напол. Леон Риф 600 солярис/белый риф 2 ящика с умыв. Океан</v>
      </c>
      <c r="H434">
        <f>VLOOKUP(D434,Товары!A:I,6,0)</f>
        <v>80</v>
      </c>
      <c r="I434" t="str">
        <f>VLOOKUP(C434,Магазины!A:C,3,0)</f>
        <v>Оренбург</v>
      </c>
      <c r="J434">
        <f>VLOOKUP(D434,Товары!A:I,4,0)</f>
        <v>24150</v>
      </c>
      <c r="K434">
        <f t="shared" si="6"/>
        <v>24150</v>
      </c>
    </row>
    <row r="435" spans="1:11" hidden="1" x14ac:dyDescent="0.25">
      <c r="A435">
        <v>434</v>
      </c>
      <c r="B435" s="1">
        <v>45749</v>
      </c>
      <c r="C435" t="s">
        <v>16</v>
      </c>
      <c r="D435" t="s">
        <v>62</v>
      </c>
      <c r="E435" t="s">
        <v>13</v>
      </c>
      <c r="F435">
        <v>1</v>
      </c>
      <c r="G435" t="str">
        <f>VLOOKUP(D435,Товары!A:I,3,0)</f>
        <v>Тумба с раковиной  напол. Альба 600 мята 2 ящика с умыв. Океан</v>
      </c>
      <c r="H435">
        <f>VLOOKUP(D435,Товары!A:I,6,0)</f>
        <v>80</v>
      </c>
      <c r="I435" t="str">
        <f>VLOOKUP(C435,Магазины!A:C,3,0)</f>
        <v>Оренбург</v>
      </c>
      <c r="J435">
        <f>VLOOKUP(D435,Товары!A:I,4,0)</f>
        <v>26370</v>
      </c>
      <c r="K435">
        <f t="shared" si="6"/>
        <v>26370</v>
      </c>
    </row>
    <row r="436" spans="1:11" hidden="1" x14ac:dyDescent="0.25">
      <c r="A436">
        <v>435</v>
      </c>
      <c r="B436" s="1">
        <v>45756</v>
      </c>
      <c r="C436" t="s">
        <v>26</v>
      </c>
      <c r="D436" t="s">
        <v>122</v>
      </c>
      <c r="E436" t="s">
        <v>8</v>
      </c>
      <c r="F436">
        <v>3</v>
      </c>
      <c r="G436" t="str">
        <f>VLOOKUP(D436,Товары!A:I,3,0)</f>
        <v>Тумба с раковиной  навес. Кристалл 600 шато азур 2 ящика с умыв. Океан</v>
      </c>
      <c r="H436">
        <f>VLOOKUP(D436,Товары!A:I,6,0)</f>
        <v>55</v>
      </c>
      <c r="I436" t="str">
        <f>VLOOKUP(C436,Магазины!A:C,3,0)</f>
        <v>Оренбург</v>
      </c>
      <c r="J436">
        <f>VLOOKUP(D436,Товары!A:I,4,0)</f>
        <v>21960</v>
      </c>
      <c r="K436">
        <f t="shared" si="6"/>
        <v>65880</v>
      </c>
    </row>
    <row r="437" spans="1:11" hidden="1" x14ac:dyDescent="0.25">
      <c r="A437">
        <v>436</v>
      </c>
      <c r="B437" s="1">
        <v>45751</v>
      </c>
      <c r="C437" t="s">
        <v>22</v>
      </c>
      <c r="D437" t="s">
        <v>53</v>
      </c>
      <c r="E437" t="s">
        <v>8</v>
      </c>
      <c r="F437">
        <v>2</v>
      </c>
      <c r="G437" t="str">
        <f>VLOOKUP(D437,Товары!A:I,3,0)</f>
        <v>Тумба с раковиной  напол. Кристалл 600 шато азур 2 ящика с умыв. Океан</v>
      </c>
      <c r="H437">
        <f>VLOOKUP(D437,Товары!A:I,6,0)</f>
        <v>85</v>
      </c>
      <c r="I437" t="str">
        <f>VLOOKUP(C437,Магазины!A:C,3,0)</f>
        <v>Кемерово</v>
      </c>
      <c r="J437">
        <f>VLOOKUP(D437,Товары!A:I,4,0)</f>
        <v>27600</v>
      </c>
      <c r="K437">
        <f t="shared" si="6"/>
        <v>55200</v>
      </c>
    </row>
    <row r="438" spans="1:11" hidden="1" x14ac:dyDescent="0.25">
      <c r="A438">
        <v>437</v>
      </c>
      <c r="B438" s="1">
        <v>45756</v>
      </c>
      <c r="C438" t="s">
        <v>111</v>
      </c>
      <c r="D438" t="s">
        <v>70</v>
      </c>
      <c r="E438" t="s">
        <v>8</v>
      </c>
      <c r="F438">
        <v>2</v>
      </c>
      <c r="G438" t="str">
        <f>VLOOKUP(D438,Товары!A:I,3,0)</f>
        <v>Тумба с раковиной  напол. Кристалл 700 шато азур 2 ящика с умыв. Слим</v>
      </c>
      <c r="H438">
        <f>VLOOKUP(D438,Товары!A:I,6,0)</f>
        <v>85</v>
      </c>
      <c r="I438" t="str">
        <f>VLOOKUP(C438,Магазины!A:C,3,0)</f>
        <v>Набережные Челны</v>
      </c>
      <c r="J438">
        <f>VLOOKUP(D438,Товары!A:I,4,0)</f>
        <v>29910</v>
      </c>
      <c r="K438">
        <f t="shared" si="6"/>
        <v>59820</v>
      </c>
    </row>
    <row r="439" spans="1:11" hidden="1" x14ac:dyDescent="0.25">
      <c r="A439">
        <v>438</v>
      </c>
      <c r="B439" s="1">
        <v>45749</v>
      </c>
      <c r="C439" t="s">
        <v>28</v>
      </c>
      <c r="D439" t="s">
        <v>122</v>
      </c>
      <c r="E439" t="s">
        <v>13</v>
      </c>
      <c r="F439">
        <v>2</v>
      </c>
      <c r="G439" t="str">
        <f>VLOOKUP(D439,Товары!A:I,3,0)</f>
        <v>Тумба с раковиной  навес. Кристалл 600 шато азур 2 ящика с умыв. Океан</v>
      </c>
      <c r="H439">
        <f>VLOOKUP(D439,Товары!A:I,6,0)</f>
        <v>55</v>
      </c>
      <c r="I439" t="str">
        <f>VLOOKUP(C439,Магазины!A:C,3,0)</f>
        <v>Набережные Челны</v>
      </c>
      <c r="J439">
        <f>VLOOKUP(D439,Товары!A:I,4,0)</f>
        <v>21960</v>
      </c>
      <c r="K439">
        <f t="shared" si="6"/>
        <v>43920</v>
      </c>
    </row>
    <row r="440" spans="1:11" hidden="1" x14ac:dyDescent="0.25">
      <c r="A440">
        <v>439</v>
      </c>
      <c r="B440" s="1">
        <v>45753</v>
      </c>
      <c r="C440" t="s">
        <v>26</v>
      </c>
      <c r="D440" t="s">
        <v>29</v>
      </c>
      <c r="E440" t="s">
        <v>13</v>
      </c>
      <c r="F440">
        <v>3</v>
      </c>
      <c r="G440" t="str">
        <f>VLOOKUP(D440,Товары!A:I,3,0)</f>
        <v>Тумба с раковиной  напол. Леон Риф 600 солярис/белый риф 2 ящика с умыв. Океан</v>
      </c>
      <c r="H440">
        <f>VLOOKUP(D440,Товары!A:I,6,0)</f>
        <v>80</v>
      </c>
      <c r="I440" t="str">
        <f>VLOOKUP(C440,Магазины!A:C,3,0)</f>
        <v>Оренбург</v>
      </c>
      <c r="J440">
        <f>VLOOKUP(D440,Товары!A:I,4,0)</f>
        <v>24150</v>
      </c>
      <c r="K440">
        <f t="shared" si="6"/>
        <v>72450</v>
      </c>
    </row>
    <row r="441" spans="1:11" hidden="1" x14ac:dyDescent="0.25">
      <c r="A441">
        <v>440</v>
      </c>
      <c r="B441" s="1">
        <v>45755</v>
      </c>
      <c r="C441" t="s">
        <v>35</v>
      </c>
      <c r="D441" t="s">
        <v>27</v>
      </c>
      <c r="E441" t="s">
        <v>13</v>
      </c>
      <c r="F441">
        <v>3</v>
      </c>
      <c r="G441" t="str">
        <f>VLOOKUP(D441,Товары!A:I,3,0)</f>
        <v>Тумба с раковиной  навес. Виктория 800 белый 2 ящика с умыв. Слим</v>
      </c>
      <c r="H441">
        <f>VLOOKUP(D441,Товары!A:I,6,0)</f>
        <v>60</v>
      </c>
      <c r="I441" t="str">
        <f>VLOOKUP(C441,Магазины!A:C,3,0)</f>
        <v>Набережные Челны</v>
      </c>
      <c r="J441">
        <f>VLOOKUP(D441,Товары!A:I,4,0)</f>
        <v>25290</v>
      </c>
      <c r="K441">
        <f t="shared" si="6"/>
        <v>75870</v>
      </c>
    </row>
    <row r="442" spans="1:11" hidden="1" x14ac:dyDescent="0.25">
      <c r="A442">
        <v>441</v>
      </c>
      <c r="B442" s="1">
        <v>45756</v>
      </c>
      <c r="C442" t="s">
        <v>11</v>
      </c>
      <c r="D442" t="s">
        <v>15</v>
      </c>
      <c r="E442" t="s">
        <v>8</v>
      </c>
      <c r="F442">
        <v>1</v>
      </c>
      <c r="G442" t="str">
        <f>VLOOKUP(D442,Товары!A:I,3,0)</f>
        <v>Зеркальный шкаф Кристалл 60 со светильником правый, ручка кнопка дуб цвет Шато Азур</v>
      </c>
      <c r="H442">
        <f>VLOOKUP(D442,Товары!A:I,6,0)</f>
        <v>75</v>
      </c>
      <c r="I442" t="str">
        <f>VLOOKUP(C442,Магазины!A:C,3,0)</f>
        <v>Кемерово</v>
      </c>
      <c r="J442">
        <f>VLOOKUP(D442,Товары!A:I,4,0)</f>
        <v>9195</v>
      </c>
      <c r="K442">
        <f t="shared" si="6"/>
        <v>9195</v>
      </c>
    </row>
    <row r="443" spans="1:11" hidden="1" x14ac:dyDescent="0.25">
      <c r="A443">
        <v>442</v>
      </c>
      <c r="B443" s="1">
        <v>45754</v>
      </c>
      <c r="C443" t="s">
        <v>26</v>
      </c>
      <c r="D443" t="s">
        <v>110</v>
      </c>
      <c r="E443" t="s">
        <v>8</v>
      </c>
      <c r="F443">
        <v>3</v>
      </c>
      <c r="G443" t="str">
        <f>VLOOKUP(D443,Товары!A:I,3,0)</f>
        <v>Тумба с раковиной  напол. Альба 600 антрацит 2 ящика с умыв. Океан</v>
      </c>
      <c r="H443">
        <f>VLOOKUP(D443,Товары!A:I,6,0)</f>
        <v>80</v>
      </c>
      <c r="I443" t="str">
        <f>VLOOKUP(C443,Магазины!A:C,3,0)</f>
        <v>Оренбург</v>
      </c>
      <c r="J443">
        <f>VLOOKUP(D443,Товары!A:I,4,0)</f>
        <v>26370</v>
      </c>
      <c r="K443">
        <f t="shared" si="6"/>
        <v>79110</v>
      </c>
    </row>
    <row r="444" spans="1:11" hidden="1" x14ac:dyDescent="0.25">
      <c r="A444">
        <v>443</v>
      </c>
      <c r="B444" s="1">
        <v>45750</v>
      </c>
      <c r="C444" t="s">
        <v>22</v>
      </c>
      <c r="D444" t="s">
        <v>79</v>
      </c>
      <c r="E444" t="s">
        <v>13</v>
      </c>
      <c r="F444">
        <v>1</v>
      </c>
      <c r="G444" t="str">
        <f>VLOOKUP(D444,Товары!A:I,3,0)</f>
        <v>Зеркальный шкаф Альба 70 со светильником правый цвет мята</v>
      </c>
      <c r="H444">
        <f>VLOOKUP(D444,Товары!A:I,6,0)</f>
        <v>75</v>
      </c>
      <c r="I444" t="str">
        <f>VLOOKUP(C444,Магазины!A:C,3,0)</f>
        <v>Кемерово</v>
      </c>
      <c r="J444">
        <f>VLOOKUP(D444,Товары!A:I,4,0)</f>
        <v>9615</v>
      </c>
      <c r="K444">
        <f t="shared" si="6"/>
        <v>9615</v>
      </c>
    </row>
    <row r="445" spans="1:11" hidden="1" x14ac:dyDescent="0.25">
      <c r="A445">
        <v>444</v>
      </c>
      <c r="B445" s="1">
        <v>45750</v>
      </c>
      <c r="C445" t="s">
        <v>28</v>
      </c>
      <c r="D445" t="s">
        <v>125</v>
      </c>
      <c r="E445" t="s">
        <v>8</v>
      </c>
      <c r="F445">
        <v>1</v>
      </c>
      <c r="G445" t="str">
        <f>VLOOKUP(D445,Товары!A:I,3,0)</f>
        <v>Зеркальный шкаф Сохо 60 белый со светильником правый цвет Белый глянец</v>
      </c>
      <c r="H445">
        <f>VLOOKUP(D445,Товары!A:I,6,0)</f>
        <v>75</v>
      </c>
      <c r="I445" t="str">
        <f>VLOOKUP(C445,Магазины!A:C,3,0)</f>
        <v>Набережные Челны</v>
      </c>
      <c r="J445">
        <f>VLOOKUP(D445,Товары!A:I,4,0)</f>
        <v>7395</v>
      </c>
      <c r="K445">
        <f t="shared" si="6"/>
        <v>7395</v>
      </c>
    </row>
    <row r="446" spans="1:11" hidden="1" x14ac:dyDescent="0.25">
      <c r="A446">
        <v>445</v>
      </c>
      <c r="B446" s="1">
        <v>45752</v>
      </c>
      <c r="C446" t="s">
        <v>63</v>
      </c>
      <c r="D446" t="s">
        <v>98</v>
      </c>
      <c r="E446" t="s">
        <v>8</v>
      </c>
      <c r="F446">
        <v>1</v>
      </c>
      <c r="G446" t="str">
        <f>VLOOKUP(D446,Товары!A:I,3,0)</f>
        <v>Тумба с раковиной  напол. Рица 800 cерый/керамика 2 ящика с умыв. Слим</v>
      </c>
      <c r="H446">
        <f>VLOOKUP(D446,Товары!A:I,6,0)</f>
        <v>80</v>
      </c>
      <c r="I446" t="str">
        <f>VLOOKUP(C446,Магазины!A:C,3,0)</f>
        <v>Ставрополь</v>
      </c>
      <c r="J446">
        <f>VLOOKUP(D446,Товары!A:I,4,0)</f>
        <v>28980</v>
      </c>
      <c r="K446">
        <f t="shared" si="6"/>
        <v>28980</v>
      </c>
    </row>
    <row r="447" spans="1:11" hidden="1" x14ac:dyDescent="0.25">
      <c r="A447">
        <v>446</v>
      </c>
      <c r="B447" s="1">
        <v>45755</v>
      </c>
      <c r="C447" t="s">
        <v>63</v>
      </c>
      <c r="D447" t="s">
        <v>39</v>
      </c>
      <c r="E447" t="s">
        <v>8</v>
      </c>
      <c r="F447">
        <v>1</v>
      </c>
      <c r="G447" t="str">
        <f>VLOOKUP(D447,Товары!A:I,3,0)</f>
        <v>Тумба с раковиной  напол. Альба 700 мята 2 ящика с умыв. Слим</v>
      </c>
      <c r="H447">
        <f>VLOOKUP(D447,Товары!A:I,6,0)</f>
        <v>85</v>
      </c>
      <c r="I447" t="str">
        <f>VLOOKUP(C447,Магазины!A:C,3,0)</f>
        <v>Ставрополь</v>
      </c>
      <c r="J447">
        <f>VLOOKUP(D447,Товары!A:I,4,0)</f>
        <v>28695</v>
      </c>
      <c r="K447">
        <f t="shared" si="6"/>
        <v>28695</v>
      </c>
    </row>
    <row r="448" spans="1:11" hidden="1" x14ac:dyDescent="0.25">
      <c r="A448">
        <v>447</v>
      </c>
      <c r="B448" s="1">
        <v>45749</v>
      </c>
      <c r="C448" t="s">
        <v>35</v>
      </c>
      <c r="D448" t="s">
        <v>97</v>
      </c>
      <c r="E448" t="s">
        <v>13</v>
      </c>
      <c r="F448">
        <v>2</v>
      </c>
      <c r="G448" t="str">
        <f>VLOOKUP(D448,Товары!A:I,3,0)</f>
        <v>Пенал напол. Кристалл 350 суфле 2 двери</v>
      </c>
      <c r="H448">
        <f>VLOOKUP(D448,Товары!A:I,6,0)</f>
        <v>190</v>
      </c>
      <c r="I448" t="str">
        <f>VLOOKUP(C448,Магазины!A:C,3,0)</f>
        <v>Набережные Челны</v>
      </c>
      <c r="J448">
        <f>VLOOKUP(D448,Товары!A:I,4,0)</f>
        <v>15810</v>
      </c>
      <c r="K448">
        <f t="shared" si="6"/>
        <v>31620</v>
      </c>
    </row>
    <row r="449" spans="1:11" hidden="1" x14ac:dyDescent="0.25">
      <c r="A449">
        <v>448</v>
      </c>
      <c r="B449" s="1">
        <v>45752</v>
      </c>
      <c r="C449" t="s">
        <v>33</v>
      </c>
      <c r="D449" t="s">
        <v>29</v>
      </c>
      <c r="E449" t="s">
        <v>13</v>
      </c>
      <c r="F449">
        <v>3</v>
      </c>
      <c r="G449" t="str">
        <f>VLOOKUP(D449,Товары!A:I,3,0)</f>
        <v>Тумба с раковиной  напол. Леон Риф 600 солярис/белый риф 2 ящика с умыв. Океан</v>
      </c>
      <c r="H449">
        <f>VLOOKUP(D449,Товары!A:I,6,0)</f>
        <v>80</v>
      </c>
      <c r="I449" t="str">
        <f>VLOOKUP(C449,Магазины!A:C,3,0)</f>
        <v>Набережные Челны</v>
      </c>
      <c r="J449">
        <f>VLOOKUP(D449,Товары!A:I,4,0)</f>
        <v>24150</v>
      </c>
      <c r="K449">
        <f t="shared" si="6"/>
        <v>72450</v>
      </c>
    </row>
    <row r="450" spans="1:11" hidden="1" x14ac:dyDescent="0.25">
      <c r="A450">
        <v>449</v>
      </c>
      <c r="B450" s="1">
        <v>45750</v>
      </c>
      <c r="C450" t="s">
        <v>103</v>
      </c>
      <c r="D450" t="s">
        <v>127</v>
      </c>
      <c r="E450" t="s">
        <v>8</v>
      </c>
      <c r="F450">
        <v>3</v>
      </c>
      <c r="G450" t="str">
        <f>VLOOKUP(D450,Товары!A:I,3,0)</f>
        <v>Тумба с раковиной  навес. Альба 700 мята 1 ящик с умыв. Слим</v>
      </c>
      <c r="H450">
        <f>VLOOKUP(D450,Товары!A:I,6,0)</f>
        <v>45</v>
      </c>
      <c r="I450" t="str">
        <f>VLOOKUP(C450,Магазины!A:C,3,0)</f>
        <v>Ставрополь</v>
      </c>
      <c r="J450">
        <f>VLOOKUP(D450,Товары!A:I,4,0)</f>
        <v>20130</v>
      </c>
      <c r="K450">
        <f t="shared" si="6"/>
        <v>60390</v>
      </c>
    </row>
    <row r="451" spans="1:11" hidden="1" x14ac:dyDescent="0.25">
      <c r="A451">
        <v>450</v>
      </c>
      <c r="B451" s="1">
        <v>45752</v>
      </c>
      <c r="C451" t="s">
        <v>41</v>
      </c>
      <c r="D451" t="s">
        <v>31</v>
      </c>
      <c r="E451" t="s">
        <v>8</v>
      </c>
      <c r="F451">
        <v>2</v>
      </c>
      <c r="G451" t="str">
        <f>VLOOKUP(D451,Товары!A:I,3,0)</f>
        <v>Пенал напол. Виктория 350 белый 2 двери</v>
      </c>
      <c r="H451">
        <f>VLOOKUP(D451,Товары!A:I,6,0)</f>
        <v>190</v>
      </c>
      <c r="I451" t="str">
        <f>VLOOKUP(C451,Магазины!A:C,3,0)</f>
        <v>Ставрополь</v>
      </c>
      <c r="J451">
        <f>VLOOKUP(D451,Товары!A:I,4,0)</f>
        <v>14085</v>
      </c>
      <c r="K451">
        <f t="shared" ref="K451:K514" si="7">J451*F451</f>
        <v>28170</v>
      </c>
    </row>
    <row r="452" spans="1:11" hidden="1" x14ac:dyDescent="0.25">
      <c r="A452">
        <v>451</v>
      </c>
      <c r="B452" s="1">
        <v>45755</v>
      </c>
      <c r="C452" t="s">
        <v>54</v>
      </c>
      <c r="D452" t="s">
        <v>84</v>
      </c>
      <c r="E452" t="s">
        <v>13</v>
      </c>
      <c r="F452">
        <v>1</v>
      </c>
      <c r="G452" t="str">
        <f>VLOOKUP(D452,Товары!A:I,3,0)</f>
        <v>Тумба с раковиной  напол. Куба Риф 800 белый 3 двери с умыв. Слим</v>
      </c>
      <c r="H452">
        <f>VLOOKUP(D452,Товары!A:I,6,0)</f>
        <v>85</v>
      </c>
      <c r="I452" t="str">
        <f>VLOOKUP(C452,Магазины!A:C,3,0)</f>
        <v>Ставрополь</v>
      </c>
      <c r="J452">
        <f>VLOOKUP(D452,Товары!A:I,4,0)</f>
        <v>19920</v>
      </c>
      <c r="K452">
        <f t="shared" si="7"/>
        <v>19920</v>
      </c>
    </row>
    <row r="453" spans="1:11" hidden="1" x14ac:dyDescent="0.25">
      <c r="A453">
        <v>452</v>
      </c>
      <c r="B453" s="1">
        <v>45754</v>
      </c>
      <c r="C453" t="s">
        <v>28</v>
      </c>
      <c r="D453" t="s">
        <v>60</v>
      </c>
      <c r="E453" t="s">
        <v>8</v>
      </c>
      <c r="F453">
        <v>3</v>
      </c>
      <c r="G453" t="str">
        <f>VLOOKUP(D453,Товары!A:I,3,0)</f>
        <v>Пенал навес. Куба Риф 350 белый 2 двери</v>
      </c>
      <c r="H453">
        <f>VLOOKUP(D453,Товары!A:I,6,0)</f>
        <v>150</v>
      </c>
      <c r="I453" t="str">
        <f>VLOOKUP(C453,Магазины!A:C,3,0)</f>
        <v>Набережные Челны</v>
      </c>
      <c r="J453">
        <f>VLOOKUP(D453,Товары!A:I,4,0)</f>
        <v>9720</v>
      </c>
      <c r="K453">
        <f t="shared" si="7"/>
        <v>29160</v>
      </c>
    </row>
    <row r="454" spans="1:11" hidden="1" x14ac:dyDescent="0.25">
      <c r="A454">
        <v>453</v>
      </c>
      <c r="B454" s="1">
        <v>45754</v>
      </c>
      <c r="C454" t="s">
        <v>43</v>
      </c>
      <c r="D454" t="s">
        <v>56</v>
      </c>
      <c r="E454" t="s">
        <v>8</v>
      </c>
      <c r="F454">
        <v>1</v>
      </c>
      <c r="G454" t="str">
        <f>VLOOKUP(D454,Товары!A:I,3,0)</f>
        <v>Зеркальный шкаф Альба 80 со светильником правый цвет мята</v>
      </c>
      <c r="H454">
        <f>VLOOKUP(D454,Товары!A:I,6,0)</f>
        <v>75</v>
      </c>
      <c r="I454" t="str">
        <f>VLOOKUP(C454,Магазины!A:C,3,0)</f>
        <v>Набережные Челны</v>
      </c>
      <c r="J454">
        <f>VLOOKUP(D454,Товары!A:I,4,0)</f>
        <v>9930</v>
      </c>
      <c r="K454">
        <f t="shared" si="7"/>
        <v>9930</v>
      </c>
    </row>
    <row r="455" spans="1:11" hidden="1" x14ac:dyDescent="0.25">
      <c r="A455">
        <v>454</v>
      </c>
      <c r="B455" s="1">
        <v>45754</v>
      </c>
      <c r="C455" t="s">
        <v>111</v>
      </c>
      <c r="D455" t="s">
        <v>88</v>
      </c>
      <c r="E455" t="s">
        <v>13</v>
      </c>
      <c r="F455">
        <v>1</v>
      </c>
      <c r="G455" t="str">
        <f>VLOOKUP(D455,Товары!A:I,3,0)</f>
        <v>Тумба с раковиной  навес. Альба 800 антрацит 2 ящика с умыв. Слим</v>
      </c>
      <c r="H455">
        <f>VLOOKUP(D455,Товары!A:I,6,0)</f>
        <v>50</v>
      </c>
      <c r="I455" t="str">
        <f>VLOOKUP(C455,Магазины!A:C,3,0)</f>
        <v>Набережные Челны</v>
      </c>
      <c r="J455">
        <f>VLOOKUP(D455,Товары!A:I,4,0)</f>
        <v>26070</v>
      </c>
      <c r="K455">
        <f t="shared" si="7"/>
        <v>26070</v>
      </c>
    </row>
    <row r="456" spans="1:11" hidden="1" x14ac:dyDescent="0.25">
      <c r="A456">
        <v>455</v>
      </c>
      <c r="B456" s="1">
        <v>45748</v>
      </c>
      <c r="C456" t="s">
        <v>9</v>
      </c>
      <c r="D456" t="s">
        <v>91</v>
      </c>
      <c r="E456" t="s">
        <v>8</v>
      </c>
      <c r="F456">
        <v>1</v>
      </c>
      <c r="G456" t="str">
        <f>VLOOKUP(D456,Товары!A:I,3,0)</f>
        <v>Пенал навес./напол. Альба 350 мята 2 двери</v>
      </c>
      <c r="H456">
        <f>VLOOKUP(D456,Товары!A:I,6,0)</f>
        <v>150</v>
      </c>
      <c r="I456" t="str">
        <f>VLOOKUP(C456,Магазины!A:C,3,0)</f>
        <v>Кемерово</v>
      </c>
      <c r="J456">
        <f>VLOOKUP(D456,Товары!A:I,4,0)</f>
        <v>11655</v>
      </c>
      <c r="K456">
        <f t="shared" si="7"/>
        <v>11655</v>
      </c>
    </row>
    <row r="457" spans="1:11" hidden="1" x14ac:dyDescent="0.25">
      <c r="A457">
        <v>456</v>
      </c>
      <c r="B457" s="1">
        <v>45755</v>
      </c>
      <c r="C457" t="s">
        <v>30</v>
      </c>
      <c r="D457" t="s">
        <v>83</v>
      </c>
      <c r="E457" t="s">
        <v>8</v>
      </c>
      <c r="F457">
        <v>3</v>
      </c>
      <c r="G457" t="str">
        <f>VLOOKUP(D457,Товары!A:I,3,0)</f>
        <v>Зеркальный шкаф Альба 60 со светильником правый цвет суфле</v>
      </c>
      <c r="H457">
        <f>VLOOKUP(D457,Товары!A:I,6,0)</f>
        <v>75</v>
      </c>
      <c r="I457" t="str">
        <f>VLOOKUP(C457,Магазины!A:C,3,0)</f>
        <v>Кемерово</v>
      </c>
      <c r="J457">
        <f>VLOOKUP(D457,Товары!A:I,4,0)</f>
        <v>8910</v>
      </c>
      <c r="K457">
        <f t="shared" si="7"/>
        <v>26730</v>
      </c>
    </row>
    <row r="458" spans="1:11" hidden="1" x14ac:dyDescent="0.25">
      <c r="A458">
        <v>457</v>
      </c>
      <c r="B458" s="1">
        <v>45757</v>
      </c>
      <c r="C458" t="s">
        <v>54</v>
      </c>
      <c r="D458" t="s">
        <v>84</v>
      </c>
      <c r="E458" t="s">
        <v>13</v>
      </c>
      <c r="F458">
        <v>3</v>
      </c>
      <c r="G458" t="str">
        <f>VLOOKUP(D458,Товары!A:I,3,0)</f>
        <v>Тумба с раковиной  напол. Куба Риф 800 белый 3 двери с умыв. Слим</v>
      </c>
      <c r="H458">
        <f>VLOOKUP(D458,Товары!A:I,6,0)</f>
        <v>85</v>
      </c>
      <c r="I458" t="str">
        <f>VLOOKUP(C458,Магазины!A:C,3,0)</f>
        <v>Ставрополь</v>
      </c>
      <c r="J458">
        <f>VLOOKUP(D458,Товары!A:I,4,0)</f>
        <v>19920</v>
      </c>
      <c r="K458">
        <f t="shared" si="7"/>
        <v>59760</v>
      </c>
    </row>
    <row r="459" spans="1:11" hidden="1" x14ac:dyDescent="0.25">
      <c r="A459">
        <v>458</v>
      </c>
      <c r="B459" s="1">
        <v>45755</v>
      </c>
      <c r="C459" t="s">
        <v>9</v>
      </c>
      <c r="D459" t="s">
        <v>56</v>
      </c>
      <c r="E459" t="s">
        <v>13</v>
      </c>
      <c r="F459">
        <v>3</v>
      </c>
      <c r="G459" t="str">
        <f>VLOOKUP(D459,Товары!A:I,3,0)</f>
        <v>Зеркальный шкаф Альба 80 со светильником правый цвет мята</v>
      </c>
      <c r="H459">
        <f>VLOOKUP(D459,Товары!A:I,6,0)</f>
        <v>75</v>
      </c>
      <c r="I459" t="str">
        <f>VLOOKUP(C459,Магазины!A:C,3,0)</f>
        <v>Кемерово</v>
      </c>
      <c r="J459">
        <f>VLOOKUP(D459,Товары!A:I,4,0)</f>
        <v>9930</v>
      </c>
      <c r="K459">
        <f t="shared" si="7"/>
        <v>29790</v>
      </c>
    </row>
    <row r="460" spans="1:11" hidden="1" x14ac:dyDescent="0.25">
      <c r="A460">
        <v>459</v>
      </c>
      <c r="B460" s="1">
        <v>45754</v>
      </c>
      <c r="C460" t="s">
        <v>6</v>
      </c>
      <c r="D460" t="s">
        <v>127</v>
      </c>
      <c r="E460" t="s">
        <v>13</v>
      </c>
      <c r="F460">
        <v>3</v>
      </c>
      <c r="G460" t="str">
        <f>VLOOKUP(D460,Товары!A:I,3,0)</f>
        <v>Тумба с раковиной  навес. Альба 700 мята 1 ящик с умыв. Слим</v>
      </c>
      <c r="H460">
        <f>VLOOKUP(D460,Товары!A:I,6,0)</f>
        <v>45</v>
      </c>
      <c r="I460" t="str">
        <f>VLOOKUP(C460,Магазины!A:C,3,0)</f>
        <v>Оренбург</v>
      </c>
      <c r="J460">
        <f>VLOOKUP(D460,Товары!A:I,4,0)</f>
        <v>20130</v>
      </c>
      <c r="K460">
        <f t="shared" si="7"/>
        <v>60390</v>
      </c>
    </row>
    <row r="461" spans="1:11" hidden="1" x14ac:dyDescent="0.25">
      <c r="A461">
        <v>460</v>
      </c>
      <c r="B461" s="1">
        <v>45749</v>
      </c>
      <c r="C461" t="s">
        <v>6</v>
      </c>
      <c r="D461" t="s">
        <v>55</v>
      </c>
      <c r="E461" t="s">
        <v>8</v>
      </c>
      <c r="F461">
        <v>2</v>
      </c>
      <c r="G461" t="str">
        <f>VLOOKUP(D461,Товары!A:I,3,0)</f>
        <v>Тумба с раковиной  напол. Рица 600 cерый/керамика 2 ящика с умыв. Океан</v>
      </c>
      <c r="H461">
        <f>VLOOKUP(D461,Товары!A:I,6,0)</f>
        <v>80</v>
      </c>
      <c r="I461" t="str">
        <f>VLOOKUP(C461,Магазины!A:C,3,0)</f>
        <v>Оренбург</v>
      </c>
      <c r="J461">
        <f>VLOOKUP(D461,Товары!A:I,4,0)</f>
        <v>25560</v>
      </c>
      <c r="K461">
        <f t="shared" si="7"/>
        <v>51120</v>
      </c>
    </row>
    <row r="462" spans="1:11" hidden="1" x14ac:dyDescent="0.25">
      <c r="A462">
        <v>461</v>
      </c>
      <c r="B462" s="1">
        <v>45748</v>
      </c>
      <c r="C462" t="s">
        <v>63</v>
      </c>
      <c r="D462" t="s">
        <v>102</v>
      </c>
      <c r="E462" t="s">
        <v>8</v>
      </c>
      <c r="F462">
        <v>2</v>
      </c>
      <c r="G462" t="str">
        <f>VLOOKUP(D462,Товары!A:I,3,0)</f>
        <v>Тумба с раковиной  напол. Леон Риф 1000 солярис/белый риф 2 ящика с умыв. Слим</v>
      </c>
      <c r="H462">
        <f>VLOOKUP(D462,Товары!A:I,6,0)</f>
        <v>85</v>
      </c>
      <c r="I462" t="str">
        <f>VLOOKUP(C462,Магазины!A:C,3,0)</f>
        <v>Ставрополь</v>
      </c>
      <c r="J462">
        <f>VLOOKUP(D462,Товары!A:I,4,0)</f>
        <v>32085</v>
      </c>
      <c r="K462">
        <f t="shared" si="7"/>
        <v>64170</v>
      </c>
    </row>
    <row r="463" spans="1:11" hidden="1" x14ac:dyDescent="0.25">
      <c r="A463">
        <v>462</v>
      </c>
      <c r="B463" s="1">
        <v>45750</v>
      </c>
      <c r="C463" t="s">
        <v>33</v>
      </c>
      <c r="D463" t="s">
        <v>50</v>
      </c>
      <c r="E463" t="s">
        <v>8</v>
      </c>
      <c r="F463">
        <v>3</v>
      </c>
      <c r="G463" t="str">
        <f>VLOOKUP(D463,Товары!A:I,3,0)</f>
        <v>Тумба с раковиной  напол. Леон 800 оникс 2 ящика с умыв. Слим</v>
      </c>
      <c r="H463">
        <f>VLOOKUP(D463,Товары!A:I,6,0)</f>
        <v>80</v>
      </c>
      <c r="I463" t="str">
        <f>VLOOKUP(C463,Магазины!A:C,3,0)</f>
        <v>Набережные Челны</v>
      </c>
      <c r="J463">
        <f>VLOOKUP(D463,Товары!A:I,4,0)</f>
        <v>29400</v>
      </c>
      <c r="K463">
        <f t="shared" si="7"/>
        <v>88200</v>
      </c>
    </row>
    <row r="464" spans="1:11" hidden="1" x14ac:dyDescent="0.25">
      <c r="A464">
        <v>463</v>
      </c>
      <c r="B464" s="1">
        <v>45753</v>
      </c>
      <c r="C464" t="s">
        <v>111</v>
      </c>
      <c r="D464" t="s">
        <v>125</v>
      </c>
      <c r="E464" t="s">
        <v>13</v>
      </c>
      <c r="F464">
        <v>2</v>
      </c>
      <c r="G464" t="str">
        <f>VLOOKUP(D464,Товары!A:I,3,0)</f>
        <v>Зеркальный шкаф Сохо 60 белый со светильником правый цвет Белый глянец</v>
      </c>
      <c r="H464">
        <f>VLOOKUP(D464,Товары!A:I,6,0)</f>
        <v>75</v>
      </c>
      <c r="I464" t="str">
        <f>VLOOKUP(C464,Магазины!A:C,3,0)</f>
        <v>Набережные Челны</v>
      </c>
      <c r="J464">
        <f>VLOOKUP(D464,Товары!A:I,4,0)</f>
        <v>7395</v>
      </c>
      <c r="K464">
        <f t="shared" si="7"/>
        <v>14790</v>
      </c>
    </row>
    <row r="465" spans="1:11" hidden="1" x14ac:dyDescent="0.25">
      <c r="A465">
        <v>464</v>
      </c>
      <c r="B465" s="1">
        <v>45751</v>
      </c>
      <c r="C465" t="s">
        <v>6</v>
      </c>
      <c r="D465" t="s">
        <v>122</v>
      </c>
      <c r="E465" t="s">
        <v>8</v>
      </c>
      <c r="F465">
        <v>1</v>
      </c>
      <c r="G465" t="str">
        <f>VLOOKUP(D465,Товары!A:I,3,0)</f>
        <v>Тумба с раковиной  навес. Кристалл 600 шато азур 2 ящика с умыв. Океан</v>
      </c>
      <c r="H465">
        <f>VLOOKUP(D465,Товары!A:I,6,0)</f>
        <v>55</v>
      </c>
      <c r="I465" t="str">
        <f>VLOOKUP(C465,Магазины!A:C,3,0)</f>
        <v>Оренбург</v>
      </c>
      <c r="J465">
        <f>VLOOKUP(D465,Товары!A:I,4,0)</f>
        <v>21960</v>
      </c>
      <c r="K465">
        <f t="shared" si="7"/>
        <v>21960</v>
      </c>
    </row>
    <row r="466" spans="1:11" hidden="1" x14ac:dyDescent="0.25">
      <c r="A466">
        <v>465</v>
      </c>
      <c r="B466" s="1">
        <v>45752</v>
      </c>
      <c r="C466" t="s">
        <v>20</v>
      </c>
      <c r="D466" t="s">
        <v>65</v>
      </c>
      <c r="E466" t="s">
        <v>13</v>
      </c>
      <c r="F466">
        <v>1</v>
      </c>
      <c r="G466" t="str">
        <f>VLOOKUP(D466,Товары!A:I,3,0)</f>
        <v>Тумба с раковиной  навес. Альба 800 суфле 2 ящика с умыв. Слим</v>
      </c>
      <c r="H466">
        <f>VLOOKUP(D466,Товары!A:I,6,0)</f>
        <v>50</v>
      </c>
      <c r="I466" t="str">
        <f>VLOOKUP(C466,Магазины!A:C,3,0)</f>
        <v>Оренбург</v>
      </c>
      <c r="J466">
        <f>VLOOKUP(D466,Товары!A:I,4,0)</f>
        <v>26070</v>
      </c>
      <c r="K466">
        <f t="shared" si="7"/>
        <v>26070</v>
      </c>
    </row>
    <row r="467" spans="1:11" hidden="1" x14ac:dyDescent="0.25">
      <c r="A467">
        <v>466</v>
      </c>
      <c r="B467" s="1">
        <v>45757</v>
      </c>
      <c r="C467" t="s">
        <v>9</v>
      </c>
      <c r="D467" t="s">
        <v>106</v>
      </c>
      <c r="E467" t="s">
        <v>8</v>
      </c>
      <c r="F467">
        <v>3</v>
      </c>
      <c r="G467" t="str">
        <f>VLOOKUP(D467,Товары!A:I,3,0)</f>
        <v>Тумба с раковиной  навес. Кристалл 700 шато азур 2 ящика с умыв. Слим</v>
      </c>
      <c r="H467">
        <f>VLOOKUP(D467,Товары!A:I,6,0)</f>
        <v>60</v>
      </c>
      <c r="I467" t="str">
        <f>VLOOKUP(C467,Магазины!A:C,3,0)</f>
        <v>Кемерово</v>
      </c>
      <c r="J467">
        <f>VLOOKUP(D467,Товары!A:I,4,0)</f>
        <v>24150</v>
      </c>
      <c r="K467">
        <f t="shared" si="7"/>
        <v>72450</v>
      </c>
    </row>
    <row r="468" spans="1:11" hidden="1" x14ac:dyDescent="0.25">
      <c r="A468">
        <v>467</v>
      </c>
      <c r="B468" s="1">
        <v>45755</v>
      </c>
      <c r="C468" t="s">
        <v>22</v>
      </c>
      <c r="D468" t="s">
        <v>46</v>
      </c>
      <c r="E468" t="s">
        <v>13</v>
      </c>
      <c r="F468">
        <v>3</v>
      </c>
      <c r="G468" t="str">
        <f>VLOOKUP(D468,Товары!A:I,3,0)</f>
        <v>Тумба с раковиной  напол. Сохо 700 белый 2 ящика с умыв. Слим</v>
      </c>
      <c r="H468">
        <f>VLOOKUP(D468,Товары!A:I,6,0)</f>
        <v>85</v>
      </c>
      <c r="I468" t="str">
        <f>VLOOKUP(C468,Магазины!A:C,3,0)</f>
        <v>Кемерово</v>
      </c>
      <c r="J468">
        <f>VLOOKUP(D468,Товары!A:I,4,0)</f>
        <v>18405</v>
      </c>
      <c r="K468">
        <f t="shared" si="7"/>
        <v>55215</v>
      </c>
    </row>
    <row r="469" spans="1:11" hidden="1" x14ac:dyDescent="0.25">
      <c r="A469">
        <v>468</v>
      </c>
      <c r="B469" s="1">
        <v>45755</v>
      </c>
      <c r="C469" t="s">
        <v>16</v>
      </c>
      <c r="D469" t="s">
        <v>118</v>
      </c>
      <c r="E469" t="s">
        <v>13</v>
      </c>
      <c r="F469">
        <v>2</v>
      </c>
      <c r="G469" t="str">
        <f>VLOOKUP(D469,Товары!A:I,3,0)</f>
        <v>Тумба с раковиной  напол. Сохо 800 белый 2 ящика с умыв. Слим</v>
      </c>
      <c r="H469">
        <f>VLOOKUP(D469,Товары!A:I,6,0)</f>
        <v>85</v>
      </c>
      <c r="I469" t="str">
        <f>VLOOKUP(C469,Магазины!A:C,3,0)</f>
        <v>Оренбург</v>
      </c>
      <c r="J469">
        <f>VLOOKUP(D469,Товары!A:I,4,0)</f>
        <v>19575</v>
      </c>
      <c r="K469">
        <f t="shared" si="7"/>
        <v>39150</v>
      </c>
    </row>
    <row r="470" spans="1:11" hidden="1" x14ac:dyDescent="0.25">
      <c r="A470">
        <v>469</v>
      </c>
      <c r="B470" s="1">
        <v>45749</v>
      </c>
      <c r="C470" t="s">
        <v>111</v>
      </c>
      <c r="D470" t="s">
        <v>39</v>
      </c>
      <c r="E470" t="s">
        <v>13</v>
      </c>
      <c r="F470">
        <v>2</v>
      </c>
      <c r="G470" t="str">
        <f>VLOOKUP(D470,Товары!A:I,3,0)</f>
        <v>Тумба с раковиной  напол. Альба 700 мята 2 ящика с умыв. Слим</v>
      </c>
      <c r="H470">
        <f>VLOOKUP(D470,Товары!A:I,6,0)</f>
        <v>85</v>
      </c>
      <c r="I470" t="str">
        <f>VLOOKUP(C470,Магазины!A:C,3,0)</f>
        <v>Набережные Челны</v>
      </c>
      <c r="J470">
        <f>VLOOKUP(D470,Товары!A:I,4,0)</f>
        <v>28695</v>
      </c>
      <c r="K470">
        <f t="shared" si="7"/>
        <v>57390</v>
      </c>
    </row>
    <row r="471" spans="1:11" hidden="1" x14ac:dyDescent="0.25">
      <c r="A471">
        <v>470</v>
      </c>
      <c r="B471" s="1">
        <v>45749</v>
      </c>
      <c r="C471" t="s">
        <v>26</v>
      </c>
      <c r="D471" t="s">
        <v>36</v>
      </c>
      <c r="E471" t="s">
        <v>8</v>
      </c>
      <c r="F471">
        <v>2</v>
      </c>
      <c r="G471" t="str">
        <f>VLOOKUP(D471,Товары!A:I,3,0)</f>
        <v>Тумба с раковиной  напол. Альба 800 мята 2 ящика с умыв. Слим</v>
      </c>
      <c r="H471">
        <f>VLOOKUP(D471,Товары!A:I,6,0)</f>
        <v>80</v>
      </c>
      <c r="I471" t="str">
        <f>VLOOKUP(C471,Магазины!A:C,3,0)</f>
        <v>Оренбург</v>
      </c>
      <c r="J471">
        <f>VLOOKUP(D471,Товары!A:I,4,0)</f>
        <v>29340</v>
      </c>
      <c r="K471">
        <f t="shared" si="7"/>
        <v>58680</v>
      </c>
    </row>
    <row r="472" spans="1:11" hidden="1" x14ac:dyDescent="0.25">
      <c r="A472">
        <v>471</v>
      </c>
      <c r="B472" s="1">
        <v>45752</v>
      </c>
      <c r="C472" t="s">
        <v>57</v>
      </c>
      <c r="D472" t="s">
        <v>37</v>
      </c>
      <c r="E472" t="s">
        <v>13</v>
      </c>
      <c r="F472">
        <v>2</v>
      </c>
      <c r="G472" t="str">
        <f>VLOOKUP(D472,Товары!A:I,3,0)</f>
        <v>Зеркальный шкаф Сохо 70 белый со светильником правый цвет Белый глянец</v>
      </c>
      <c r="H472">
        <f>VLOOKUP(D472,Товары!A:I,6,0)</f>
        <v>75</v>
      </c>
      <c r="I472" t="str">
        <f>VLOOKUP(C472,Магазины!A:C,3,0)</f>
        <v>Оренбург</v>
      </c>
      <c r="J472">
        <f>VLOOKUP(D472,Товары!A:I,4,0)</f>
        <v>7935</v>
      </c>
      <c r="K472">
        <f t="shared" si="7"/>
        <v>15870</v>
      </c>
    </row>
    <row r="473" spans="1:11" hidden="1" x14ac:dyDescent="0.25">
      <c r="A473">
        <v>472</v>
      </c>
      <c r="B473" s="1">
        <v>45756</v>
      </c>
      <c r="C473" t="s">
        <v>63</v>
      </c>
      <c r="D473" t="s">
        <v>80</v>
      </c>
      <c r="E473" t="s">
        <v>8</v>
      </c>
      <c r="F473">
        <v>3</v>
      </c>
      <c r="G473" t="str">
        <f>VLOOKUP(D473,Товары!A:I,3,0)</f>
        <v>Тумба с раковиной  навес. Сохо 600 белый 2 ящика с умыв. Океан</v>
      </c>
      <c r="H473">
        <f>VLOOKUP(D473,Товары!A:I,6,0)</f>
        <v>55</v>
      </c>
      <c r="I473" t="str">
        <f>VLOOKUP(C473,Магазины!A:C,3,0)</f>
        <v>Ставрополь</v>
      </c>
      <c r="J473">
        <f>VLOOKUP(D473,Товары!A:I,4,0)</f>
        <v>13950</v>
      </c>
      <c r="K473">
        <f t="shared" si="7"/>
        <v>41850</v>
      </c>
    </row>
    <row r="474" spans="1:11" hidden="1" x14ac:dyDescent="0.25">
      <c r="A474">
        <v>473</v>
      </c>
      <c r="B474" s="1">
        <v>45750</v>
      </c>
      <c r="C474" t="s">
        <v>43</v>
      </c>
      <c r="D474" t="s">
        <v>122</v>
      </c>
      <c r="E474" t="s">
        <v>13</v>
      </c>
      <c r="F474">
        <v>3</v>
      </c>
      <c r="G474" t="str">
        <f>VLOOKUP(D474,Товары!A:I,3,0)</f>
        <v>Тумба с раковиной  навес. Кристалл 600 шато азур 2 ящика с умыв. Океан</v>
      </c>
      <c r="H474">
        <f>VLOOKUP(D474,Товары!A:I,6,0)</f>
        <v>55</v>
      </c>
      <c r="I474" t="str">
        <f>VLOOKUP(C474,Магазины!A:C,3,0)</f>
        <v>Набережные Челны</v>
      </c>
      <c r="J474">
        <f>VLOOKUP(D474,Товары!A:I,4,0)</f>
        <v>21960</v>
      </c>
      <c r="K474">
        <f t="shared" si="7"/>
        <v>65880</v>
      </c>
    </row>
    <row r="475" spans="1:11" hidden="1" x14ac:dyDescent="0.25">
      <c r="A475">
        <v>474</v>
      </c>
      <c r="B475" s="1">
        <v>45757</v>
      </c>
      <c r="C475" t="s">
        <v>28</v>
      </c>
      <c r="D475" t="s">
        <v>105</v>
      </c>
      <c r="E475" t="s">
        <v>8</v>
      </c>
      <c r="F475">
        <v>2</v>
      </c>
      <c r="G475" t="str">
        <f>VLOOKUP(D475,Товары!A:I,3,0)</f>
        <v>Тумба с раковиной  напол. Нева 600 белый 2 двери + 1 ящик с умыв. Como</v>
      </c>
      <c r="H475">
        <f>VLOOKUP(D475,Товары!A:I,6,0)</f>
        <v>80</v>
      </c>
      <c r="I475" t="str">
        <f>VLOOKUP(C475,Магазины!A:C,3,0)</f>
        <v>Набережные Челны</v>
      </c>
      <c r="J475">
        <f>VLOOKUP(D475,Товары!A:I,4,0)</f>
        <v>13470</v>
      </c>
      <c r="K475">
        <f t="shared" si="7"/>
        <v>26940</v>
      </c>
    </row>
    <row r="476" spans="1:11" hidden="1" x14ac:dyDescent="0.25">
      <c r="A476">
        <v>475</v>
      </c>
      <c r="B476" s="1">
        <v>45755</v>
      </c>
      <c r="C476" t="s">
        <v>33</v>
      </c>
      <c r="D476" t="s">
        <v>73</v>
      </c>
      <c r="E476" t="s">
        <v>8</v>
      </c>
      <c r="F476">
        <v>2</v>
      </c>
      <c r="G476" t="str">
        <f>VLOOKUP(D476,Товары!A:I,3,0)</f>
        <v>Зеркальный шкаф Альба 70 со светильником правый цвет антрацит</v>
      </c>
      <c r="H476">
        <f>VLOOKUP(D476,Товары!A:I,6,0)</f>
        <v>75</v>
      </c>
      <c r="I476" t="str">
        <f>VLOOKUP(C476,Магазины!A:C,3,0)</f>
        <v>Набережные Челны</v>
      </c>
      <c r="J476">
        <f>VLOOKUP(D476,Товары!A:I,4,0)</f>
        <v>9615</v>
      </c>
      <c r="K476">
        <f t="shared" si="7"/>
        <v>19230</v>
      </c>
    </row>
    <row r="477" spans="1:11" hidden="1" x14ac:dyDescent="0.25">
      <c r="A477">
        <v>476</v>
      </c>
      <c r="B477" s="1">
        <v>45755</v>
      </c>
      <c r="C477" t="s">
        <v>22</v>
      </c>
      <c r="D477" t="s">
        <v>110</v>
      </c>
      <c r="E477" t="s">
        <v>13</v>
      </c>
      <c r="F477">
        <v>2</v>
      </c>
      <c r="G477" t="str">
        <f>VLOOKUP(D477,Товары!A:I,3,0)</f>
        <v>Тумба с раковиной  напол. Альба 600 антрацит 2 ящика с умыв. Океан</v>
      </c>
      <c r="H477">
        <f>VLOOKUP(D477,Товары!A:I,6,0)</f>
        <v>80</v>
      </c>
      <c r="I477" t="str">
        <f>VLOOKUP(C477,Магазины!A:C,3,0)</f>
        <v>Кемерово</v>
      </c>
      <c r="J477">
        <f>VLOOKUP(D477,Товары!A:I,4,0)</f>
        <v>26370</v>
      </c>
      <c r="K477">
        <f t="shared" si="7"/>
        <v>52740</v>
      </c>
    </row>
    <row r="478" spans="1:11" hidden="1" x14ac:dyDescent="0.25">
      <c r="A478">
        <v>477</v>
      </c>
      <c r="B478" s="1">
        <v>45751</v>
      </c>
      <c r="C478" t="s">
        <v>63</v>
      </c>
      <c r="D478" t="s">
        <v>128</v>
      </c>
      <c r="E478" t="s">
        <v>13</v>
      </c>
      <c r="F478">
        <v>3</v>
      </c>
      <c r="G478" t="str">
        <f>VLOOKUP(D478,Товары!A:I,3,0)</f>
        <v>Тумба с раковиной  напол. Куба Риф 1000 белый 2 ящика с умыв. Слим</v>
      </c>
      <c r="H478">
        <f>VLOOKUP(D478,Товары!A:I,6,0)</f>
        <v>85</v>
      </c>
      <c r="I478" t="str">
        <f>VLOOKUP(C478,Магазины!A:C,3,0)</f>
        <v>Ставрополь</v>
      </c>
      <c r="J478">
        <f>VLOOKUP(D478,Товары!A:I,4,0)</f>
        <v>22905</v>
      </c>
      <c r="K478">
        <f t="shared" si="7"/>
        <v>68715</v>
      </c>
    </row>
    <row r="479" spans="1:11" hidden="1" x14ac:dyDescent="0.25">
      <c r="A479">
        <v>478</v>
      </c>
      <c r="B479" s="1">
        <v>45748</v>
      </c>
      <c r="C479" t="s">
        <v>41</v>
      </c>
      <c r="D479" t="s">
        <v>45</v>
      </c>
      <c r="E479" t="s">
        <v>8</v>
      </c>
      <c r="F479">
        <v>3</v>
      </c>
      <c r="G479" t="str">
        <f>VLOOKUP(D479,Товары!A:I,3,0)</f>
        <v>Зеркальный шкаф Рица 80 со светильником правый цвет cерый/керамика</v>
      </c>
      <c r="H479">
        <f>VLOOKUP(D479,Товары!A:I,6,0)</f>
        <v>75</v>
      </c>
      <c r="I479" t="str">
        <f>VLOOKUP(C479,Магазины!A:C,3,0)</f>
        <v>Ставрополь</v>
      </c>
      <c r="J479">
        <f>VLOOKUP(D479,Товары!A:I,4,0)</f>
        <v>9930</v>
      </c>
      <c r="K479">
        <f t="shared" si="7"/>
        <v>29790</v>
      </c>
    </row>
    <row r="480" spans="1:11" hidden="1" x14ac:dyDescent="0.25">
      <c r="A480">
        <v>479</v>
      </c>
      <c r="B480" s="1">
        <v>45751</v>
      </c>
      <c r="C480" t="s">
        <v>57</v>
      </c>
      <c r="D480" t="s">
        <v>69</v>
      </c>
      <c r="E480" t="s">
        <v>8</v>
      </c>
      <c r="F480">
        <v>2</v>
      </c>
      <c r="G480" t="str">
        <f>VLOOKUP(D480,Товары!A:I,3,0)</f>
        <v>Пенал навес./напол. Альба 350 антрацит 2 двери</v>
      </c>
      <c r="H480">
        <f>VLOOKUP(D480,Товары!A:I,6,0)</f>
        <v>150</v>
      </c>
      <c r="I480" t="str">
        <f>VLOOKUP(C480,Магазины!A:C,3,0)</f>
        <v>Оренбург</v>
      </c>
      <c r="J480">
        <f>VLOOKUP(D480,Товары!A:I,4,0)</f>
        <v>11655</v>
      </c>
      <c r="K480">
        <f t="shared" si="7"/>
        <v>23310</v>
      </c>
    </row>
    <row r="481" spans="1:11" hidden="1" x14ac:dyDescent="0.25">
      <c r="A481">
        <v>480</v>
      </c>
      <c r="B481" s="1">
        <v>45751</v>
      </c>
      <c r="C481" t="s">
        <v>92</v>
      </c>
      <c r="D481" t="s">
        <v>10</v>
      </c>
      <c r="E481" t="s">
        <v>13</v>
      </c>
      <c r="F481">
        <v>1</v>
      </c>
      <c r="G481" t="str">
        <f>VLOOKUP(D481,Товары!A:I,3,0)</f>
        <v>Тумба с раковиной  навес. Альба 700 антрацит 1 ящик с умыв. Слим</v>
      </c>
      <c r="H481">
        <f>VLOOKUP(D481,Товары!A:I,6,0)</f>
        <v>45</v>
      </c>
      <c r="I481" t="str">
        <f>VLOOKUP(C481,Магазины!A:C,3,0)</f>
        <v>Кемерово</v>
      </c>
      <c r="J481">
        <f>VLOOKUP(D481,Товары!A:I,4,0)</f>
        <v>20130</v>
      </c>
      <c r="K481">
        <f t="shared" si="7"/>
        <v>20130</v>
      </c>
    </row>
    <row r="482" spans="1:11" hidden="1" x14ac:dyDescent="0.25">
      <c r="A482">
        <v>481</v>
      </c>
      <c r="B482" s="1">
        <v>45748</v>
      </c>
      <c r="C482" t="s">
        <v>14</v>
      </c>
      <c r="D482" t="s">
        <v>104</v>
      </c>
      <c r="E482" t="s">
        <v>13</v>
      </c>
      <c r="F482">
        <v>3</v>
      </c>
      <c r="G482" t="str">
        <f>VLOOKUP(D482,Товары!A:I,3,0)</f>
        <v>Тумба под стиральную машину Куба Риф 57 подвесная 2 ящика под ст/маш, без умывальника /под Marshall 120 Белый</v>
      </c>
      <c r="H482">
        <f>VLOOKUP(D482,Товары!A:I,6,0)</f>
        <v>50</v>
      </c>
      <c r="I482" t="str">
        <f>VLOOKUP(C482,Магазины!A:C,3,0)</f>
        <v>Оренбург</v>
      </c>
      <c r="J482">
        <f>VLOOKUP(D482,Товары!A:I,4,0)</f>
        <v>8505</v>
      </c>
      <c r="K482">
        <f t="shared" si="7"/>
        <v>25515</v>
      </c>
    </row>
    <row r="483" spans="1:11" hidden="1" x14ac:dyDescent="0.25">
      <c r="A483">
        <v>482</v>
      </c>
      <c r="B483" s="1">
        <v>45756</v>
      </c>
      <c r="C483" t="s">
        <v>14</v>
      </c>
      <c r="D483" t="s">
        <v>87</v>
      </c>
      <c r="E483" t="s">
        <v>8</v>
      </c>
      <c r="F483">
        <v>2</v>
      </c>
      <c r="G483" t="str">
        <f>VLOOKUP(D483,Товары!A:I,3,0)</f>
        <v>Тумба с раковиной  напол. Леон 700 форест 2 ящика с умыв. Слим</v>
      </c>
      <c r="H483">
        <f>VLOOKUP(D483,Товары!A:I,6,0)</f>
        <v>80</v>
      </c>
      <c r="I483" t="str">
        <f>VLOOKUP(C483,Магазины!A:C,3,0)</f>
        <v>Оренбург</v>
      </c>
      <c r="J483">
        <f>VLOOKUP(D483,Товары!A:I,4,0)</f>
        <v>28380</v>
      </c>
      <c r="K483">
        <f t="shared" si="7"/>
        <v>56760</v>
      </c>
    </row>
    <row r="484" spans="1:11" hidden="1" x14ac:dyDescent="0.25">
      <c r="A484">
        <v>483</v>
      </c>
      <c r="B484" s="1">
        <v>45753</v>
      </c>
      <c r="C484" t="s">
        <v>63</v>
      </c>
      <c r="D484" t="s">
        <v>74</v>
      </c>
      <c r="E484" t="s">
        <v>13</v>
      </c>
      <c r="F484">
        <v>2</v>
      </c>
      <c r="G484" t="str">
        <f>VLOOKUP(D484,Товары!A:I,3,0)</f>
        <v>Тумба с раковиной  напол. Альба 800 суфле 2 ящика с умыв. Слим</v>
      </c>
      <c r="H484">
        <f>VLOOKUP(D484,Товары!A:I,6,0)</f>
        <v>80</v>
      </c>
      <c r="I484" t="str">
        <f>VLOOKUP(C484,Магазины!A:C,3,0)</f>
        <v>Ставрополь</v>
      </c>
      <c r="J484">
        <f>VLOOKUP(D484,Товары!A:I,4,0)</f>
        <v>29340</v>
      </c>
      <c r="K484">
        <f t="shared" si="7"/>
        <v>58680</v>
      </c>
    </row>
    <row r="485" spans="1:11" hidden="1" x14ac:dyDescent="0.25">
      <c r="A485">
        <v>484</v>
      </c>
      <c r="B485" s="1">
        <v>45756</v>
      </c>
      <c r="C485" t="s">
        <v>28</v>
      </c>
      <c r="D485" t="s">
        <v>36</v>
      </c>
      <c r="E485" t="s">
        <v>13</v>
      </c>
      <c r="F485">
        <v>2</v>
      </c>
      <c r="G485" t="str">
        <f>VLOOKUP(D485,Товары!A:I,3,0)</f>
        <v>Тумба с раковиной  напол. Альба 800 мята 2 ящика с умыв. Слим</v>
      </c>
      <c r="H485">
        <f>VLOOKUP(D485,Товары!A:I,6,0)</f>
        <v>80</v>
      </c>
      <c r="I485" t="str">
        <f>VLOOKUP(C485,Магазины!A:C,3,0)</f>
        <v>Набережные Челны</v>
      </c>
      <c r="J485">
        <f>VLOOKUP(D485,Товары!A:I,4,0)</f>
        <v>29340</v>
      </c>
      <c r="K485">
        <f t="shared" si="7"/>
        <v>58680</v>
      </c>
    </row>
    <row r="486" spans="1:11" hidden="1" x14ac:dyDescent="0.25">
      <c r="A486">
        <v>485</v>
      </c>
      <c r="B486" s="1">
        <v>45750</v>
      </c>
      <c r="C486" t="s">
        <v>63</v>
      </c>
      <c r="D486" t="s">
        <v>102</v>
      </c>
      <c r="E486" t="s">
        <v>8</v>
      </c>
      <c r="F486">
        <v>1</v>
      </c>
      <c r="G486" t="str">
        <f>VLOOKUP(D486,Товары!A:I,3,0)</f>
        <v>Тумба с раковиной  напол. Леон Риф 1000 солярис/белый риф 2 ящика с умыв. Слим</v>
      </c>
      <c r="H486">
        <f>VLOOKUP(D486,Товары!A:I,6,0)</f>
        <v>85</v>
      </c>
      <c r="I486" t="str">
        <f>VLOOKUP(C486,Магазины!A:C,3,0)</f>
        <v>Ставрополь</v>
      </c>
      <c r="J486">
        <f>VLOOKUP(D486,Товары!A:I,4,0)</f>
        <v>32085</v>
      </c>
      <c r="K486">
        <f t="shared" si="7"/>
        <v>32085</v>
      </c>
    </row>
    <row r="487" spans="1:11" hidden="1" x14ac:dyDescent="0.25">
      <c r="A487">
        <v>486</v>
      </c>
      <c r="B487" s="1">
        <v>45757</v>
      </c>
      <c r="C487" t="s">
        <v>33</v>
      </c>
      <c r="D487" t="s">
        <v>118</v>
      </c>
      <c r="E487" t="s">
        <v>13</v>
      </c>
      <c r="F487">
        <v>1</v>
      </c>
      <c r="G487" t="str">
        <f>VLOOKUP(D487,Товары!A:I,3,0)</f>
        <v>Тумба с раковиной  напол. Сохо 800 белый 2 ящика с умыв. Слим</v>
      </c>
      <c r="H487">
        <f>VLOOKUP(D487,Товары!A:I,6,0)</f>
        <v>85</v>
      </c>
      <c r="I487" t="str">
        <f>VLOOKUP(C487,Магазины!A:C,3,0)</f>
        <v>Набережные Челны</v>
      </c>
      <c r="J487">
        <f>VLOOKUP(D487,Товары!A:I,4,0)</f>
        <v>19575</v>
      </c>
      <c r="K487">
        <f t="shared" si="7"/>
        <v>19575</v>
      </c>
    </row>
    <row r="488" spans="1:11" hidden="1" x14ac:dyDescent="0.25">
      <c r="A488">
        <v>487</v>
      </c>
      <c r="B488" s="1">
        <v>45757</v>
      </c>
      <c r="C488" t="s">
        <v>9</v>
      </c>
      <c r="D488" t="s">
        <v>81</v>
      </c>
      <c r="E488" t="s">
        <v>8</v>
      </c>
      <c r="F488">
        <v>2</v>
      </c>
      <c r="G488" t="str">
        <f>VLOOKUP(D488,Товары!A:I,3,0)</f>
        <v>Тумба с раковиной  навес. Рица 600 cерый/керамика 1 ящик + ниша 1 с умыв. Океан</v>
      </c>
      <c r="H488">
        <f>VLOOKUP(D488,Товары!A:I,6,0)</f>
        <v>60</v>
      </c>
      <c r="I488" t="str">
        <f>VLOOKUP(C488,Магазины!A:C,3,0)</f>
        <v>Кемерово</v>
      </c>
      <c r="J488">
        <f>VLOOKUP(D488,Товары!A:I,4,0)</f>
        <v>18900</v>
      </c>
      <c r="K488">
        <f t="shared" si="7"/>
        <v>37800</v>
      </c>
    </row>
    <row r="489" spans="1:11" hidden="1" x14ac:dyDescent="0.25">
      <c r="A489">
        <v>488</v>
      </c>
      <c r="B489" s="1">
        <v>45749</v>
      </c>
      <c r="C489" t="s">
        <v>11</v>
      </c>
      <c r="D489" t="s">
        <v>112</v>
      </c>
      <c r="E489" t="s">
        <v>13</v>
      </c>
      <c r="F489">
        <v>2</v>
      </c>
      <c r="G489" t="str">
        <f>VLOOKUP(D489,Товары!A:I,3,0)</f>
        <v>Тумба с раковиной  напол. Аква 560 белый 2 двери с умыв. Уют</v>
      </c>
      <c r="H489">
        <f>VLOOKUP(D489,Товары!A:I,6,0)</f>
        <v>85</v>
      </c>
      <c r="I489" t="str">
        <f>VLOOKUP(C489,Магазины!A:C,3,0)</f>
        <v>Кемерово</v>
      </c>
      <c r="J489">
        <f>VLOOKUP(D489,Товары!A:I,4,0)</f>
        <v>9330</v>
      </c>
      <c r="K489">
        <f t="shared" si="7"/>
        <v>18660</v>
      </c>
    </row>
    <row r="490" spans="1:11" hidden="1" x14ac:dyDescent="0.25">
      <c r="A490">
        <v>489</v>
      </c>
      <c r="B490" s="1">
        <v>45755</v>
      </c>
      <c r="C490" t="s">
        <v>26</v>
      </c>
      <c r="D490" t="s">
        <v>117</v>
      </c>
      <c r="E490" t="s">
        <v>8</v>
      </c>
      <c r="F490">
        <v>3</v>
      </c>
      <c r="G490" t="str">
        <f>VLOOKUP(D490,Товары!A:I,3,0)</f>
        <v>Тумба с раковиной  навес. Альба 700 антрацит 2 ящика с умыв. Слим</v>
      </c>
      <c r="H490">
        <f>VLOOKUP(D490,Товары!A:I,6,0)</f>
        <v>60</v>
      </c>
      <c r="I490" t="str">
        <f>VLOOKUP(C490,Магазины!A:C,3,0)</f>
        <v>Оренбург</v>
      </c>
      <c r="J490">
        <f>VLOOKUP(D490,Товары!A:I,4,0)</f>
        <v>25095</v>
      </c>
      <c r="K490">
        <f t="shared" si="7"/>
        <v>75285</v>
      </c>
    </row>
    <row r="491" spans="1:11" hidden="1" x14ac:dyDescent="0.25">
      <c r="A491">
        <v>490</v>
      </c>
      <c r="B491" s="1">
        <v>45748</v>
      </c>
      <c r="C491" t="s">
        <v>18</v>
      </c>
      <c r="D491" t="s">
        <v>74</v>
      </c>
      <c r="E491" t="s">
        <v>13</v>
      </c>
      <c r="F491">
        <v>2</v>
      </c>
      <c r="G491" t="str">
        <f>VLOOKUP(D491,Товары!A:I,3,0)</f>
        <v>Тумба с раковиной  напол. Альба 800 суфле 2 ящика с умыв. Слим</v>
      </c>
      <c r="H491">
        <f>VLOOKUP(D491,Товары!A:I,6,0)</f>
        <v>80</v>
      </c>
      <c r="I491" t="str">
        <f>VLOOKUP(C491,Магазины!A:C,3,0)</f>
        <v>Набережные Челны</v>
      </c>
      <c r="J491">
        <f>VLOOKUP(D491,Товары!A:I,4,0)</f>
        <v>29340</v>
      </c>
      <c r="K491">
        <f t="shared" si="7"/>
        <v>58680</v>
      </c>
    </row>
    <row r="492" spans="1:11" hidden="1" x14ac:dyDescent="0.25">
      <c r="A492">
        <v>491</v>
      </c>
      <c r="B492" s="1">
        <v>45755</v>
      </c>
      <c r="C492" t="s">
        <v>63</v>
      </c>
      <c r="D492" t="s">
        <v>129</v>
      </c>
      <c r="E492" t="s">
        <v>13</v>
      </c>
      <c r="F492">
        <v>3</v>
      </c>
      <c r="G492" t="str">
        <f>VLOOKUP(D492,Товары!A:I,3,0)</f>
        <v>Тумба с раковиной  напол. Альба 700 антрацит 2 ящика с умыв. Слим</v>
      </c>
      <c r="H492">
        <f>VLOOKUP(D492,Товары!A:I,6,0)</f>
        <v>85</v>
      </c>
      <c r="I492" t="str">
        <f>VLOOKUP(C492,Магазины!A:C,3,0)</f>
        <v>Ставрополь</v>
      </c>
      <c r="J492">
        <f>VLOOKUP(D492,Товары!A:I,4,0)</f>
        <v>28695</v>
      </c>
      <c r="K492">
        <f t="shared" si="7"/>
        <v>86085</v>
      </c>
    </row>
    <row r="493" spans="1:11" hidden="1" x14ac:dyDescent="0.25">
      <c r="A493">
        <v>492</v>
      </c>
      <c r="B493" s="1">
        <v>45750</v>
      </c>
      <c r="C493" t="s">
        <v>57</v>
      </c>
      <c r="D493" t="s">
        <v>121</v>
      </c>
      <c r="E493" t="s">
        <v>13</v>
      </c>
      <c r="F493">
        <v>2</v>
      </c>
      <c r="G493" t="str">
        <f>VLOOKUP(D493,Товары!A:I,3,0)</f>
        <v>Тумба с раковиной  напол. Куба Риф 600 белый 2 двери с умыв. Como</v>
      </c>
      <c r="H493">
        <f>VLOOKUP(D493,Товары!A:I,6,0)</f>
        <v>85</v>
      </c>
      <c r="I493" t="str">
        <f>VLOOKUP(C493,Магазины!A:C,3,0)</f>
        <v>Оренбург</v>
      </c>
      <c r="J493">
        <f>VLOOKUP(D493,Товары!A:I,4,0)</f>
        <v>13695</v>
      </c>
      <c r="K493">
        <f t="shared" si="7"/>
        <v>27390</v>
      </c>
    </row>
    <row r="494" spans="1:11" hidden="1" x14ac:dyDescent="0.25">
      <c r="A494">
        <v>493</v>
      </c>
      <c r="B494" s="1">
        <v>45754</v>
      </c>
      <c r="C494" t="s">
        <v>103</v>
      </c>
      <c r="D494" t="s">
        <v>122</v>
      </c>
      <c r="E494" t="s">
        <v>13</v>
      </c>
      <c r="F494">
        <v>3</v>
      </c>
      <c r="G494" t="str">
        <f>VLOOKUP(D494,Товары!A:I,3,0)</f>
        <v>Тумба с раковиной  навес. Кристалл 600 шато азур 2 ящика с умыв. Океан</v>
      </c>
      <c r="H494">
        <f>VLOOKUP(D494,Товары!A:I,6,0)</f>
        <v>55</v>
      </c>
      <c r="I494" t="str">
        <f>VLOOKUP(C494,Магазины!A:C,3,0)</f>
        <v>Ставрополь</v>
      </c>
      <c r="J494">
        <f>VLOOKUP(D494,Товары!A:I,4,0)</f>
        <v>21960</v>
      </c>
      <c r="K494">
        <f t="shared" si="7"/>
        <v>65880</v>
      </c>
    </row>
    <row r="495" spans="1:11" hidden="1" x14ac:dyDescent="0.25">
      <c r="A495">
        <v>494</v>
      </c>
      <c r="B495" s="1">
        <v>45755</v>
      </c>
      <c r="C495" t="s">
        <v>33</v>
      </c>
      <c r="D495" t="s">
        <v>101</v>
      </c>
      <c r="E495" t="s">
        <v>13</v>
      </c>
      <c r="F495">
        <v>2</v>
      </c>
      <c r="G495" t="str">
        <f>VLOOKUP(D495,Товары!A:I,3,0)</f>
        <v>Пенал напол. Сохо 400 белый 2 двери + 1 ящик</v>
      </c>
      <c r="H495">
        <f>VLOOKUP(D495,Товары!A:I,6,0)</f>
        <v>190</v>
      </c>
      <c r="I495" t="str">
        <f>VLOOKUP(C495,Магазины!A:C,3,0)</f>
        <v>Набережные Челны</v>
      </c>
      <c r="J495">
        <f>VLOOKUP(D495,Товары!A:I,4,0)</f>
        <v>11040</v>
      </c>
      <c r="K495">
        <f t="shared" si="7"/>
        <v>22080</v>
      </c>
    </row>
    <row r="496" spans="1:11" hidden="1" x14ac:dyDescent="0.25">
      <c r="A496">
        <v>495</v>
      </c>
      <c r="B496" s="1">
        <v>45753</v>
      </c>
      <c r="C496" t="s">
        <v>103</v>
      </c>
      <c r="D496" t="s">
        <v>130</v>
      </c>
      <c r="E496" t="s">
        <v>13</v>
      </c>
      <c r="F496">
        <v>2</v>
      </c>
      <c r="G496" t="str">
        <f>VLOOKUP(D496,Товары!A:I,3,0)</f>
        <v>Пенал напол. Леон 400 форест 2 двери + 1 ящик</v>
      </c>
      <c r="H496">
        <f>VLOOKUP(D496,Товары!A:I,6,0)</f>
        <v>190</v>
      </c>
      <c r="I496" t="str">
        <f>VLOOKUP(C496,Магазины!A:C,3,0)</f>
        <v>Ставрополь</v>
      </c>
      <c r="J496">
        <f>VLOOKUP(D496,Товары!A:I,4,0)</f>
        <v>18450</v>
      </c>
      <c r="K496">
        <f t="shared" si="7"/>
        <v>36900</v>
      </c>
    </row>
    <row r="497" spans="1:11" hidden="1" x14ac:dyDescent="0.25">
      <c r="A497">
        <v>496</v>
      </c>
      <c r="B497" s="1">
        <v>45750</v>
      </c>
      <c r="C497" t="s">
        <v>16</v>
      </c>
      <c r="D497" t="s">
        <v>27</v>
      </c>
      <c r="E497" t="s">
        <v>13</v>
      </c>
      <c r="F497">
        <v>2</v>
      </c>
      <c r="G497" t="str">
        <f>VLOOKUP(D497,Товары!A:I,3,0)</f>
        <v>Тумба с раковиной  навес. Виктория 800 белый 2 ящика с умыв. Слим</v>
      </c>
      <c r="H497">
        <f>VLOOKUP(D497,Товары!A:I,6,0)</f>
        <v>60</v>
      </c>
      <c r="I497" t="str">
        <f>VLOOKUP(C497,Магазины!A:C,3,0)</f>
        <v>Оренбург</v>
      </c>
      <c r="J497">
        <f>VLOOKUP(D497,Товары!A:I,4,0)</f>
        <v>25290</v>
      </c>
      <c r="K497">
        <f t="shared" si="7"/>
        <v>50580</v>
      </c>
    </row>
    <row r="498" spans="1:11" hidden="1" x14ac:dyDescent="0.25">
      <c r="A498">
        <v>497</v>
      </c>
      <c r="B498" s="1">
        <v>45755</v>
      </c>
      <c r="C498" t="s">
        <v>20</v>
      </c>
      <c r="D498" t="s">
        <v>104</v>
      </c>
      <c r="E498" t="s">
        <v>8</v>
      </c>
      <c r="F498">
        <v>1</v>
      </c>
      <c r="G498" t="str">
        <f>VLOOKUP(D498,Товары!A:I,3,0)</f>
        <v>Тумба под стиральную машину Куба Риф 57 подвесная 2 ящика под ст/маш, без умывальника /под Marshall 120 Белый</v>
      </c>
      <c r="H498">
        <f>VLOOKUP(D498,Товары!A:I,6,0)</f>
        <v>50</v>
      </c>
      <c r="I498" t="str">
        <f>VLOOKUP(C498,Магазины!A:C,3,0)</f>
        <v>Оренбург</v>
      </c>
      <c r="J498">
        <f>VLOOKUP(D498,Товары!A:I,4,0)</f>
        <v>8505</v>
      </c>
      <c r="K498">
        <f t="shared" si="7"/>
        <v>8505</v>
      </c>
    </row>
    <row r="499" spans="1:11" hidden="1" x14ac:dyDescent="0.25">
      <c r="A499">
        <v>498</v>
      </c>
      <c r="B499" s="1">
        <v>45752</v>
      </c>
      <c r="C499" t="s">
        <v>14</v>
      </c>
      <c r="D499" t="s">
        <v>128</v>
      </c>
      <c r="E499" t="s">
        <v>8</v>
      </c>
      <c r="F499">
        <v>3</v>
      </c>
      <c r="G499" t="str">
        <f>VLOOKUP(D499,Товары!A:I,3,0)</f>
        <v>Тумба с раковиной  напол. Куба Риф 1000 белый 2 ящика с умыв. Слим</v>
      </c>
      <c r="H499">
        <f>VLOOKUP(D499,Товары!A:I,6,0)</f>
        <v>85</v>
      </c>
      <c r="I499" t="str">
        <f>VLOOKUP(C499,Магазины!A:C,3,0)</f>
        <v>Оренбург</v>
      </c>
      <c r="J499">
        <f>VLOOKUP(D499,Товары!A:I,4,0)</f>
        <v>22905</v>
      </c>
      <c r="K499">
        <f t="shared" si="7"/>
        <v>68715</v>
      </c>
    </row>
    <row r="500" spans="1:11" hidden="1" x14ac:dyDescent="0.25">
      <c r="A500">
        <v>499</v>
      </c>
      <c r="B500" s="1">
        <v>45751</v>
      </c>
      <c r="C500" t="s">
        <v>20</v>
      </c>
      <c r="D500" t="s">
        <v>99</v>
      </c>
      <c r="E500" t="s">
        <v>8</v>
      </c>
      <c r="F500">
        <v>2</v>
      </c>
      <c r="G500" t="str">
        <f>VLOOKUP(D500,Товары!A:I,3,0)</f>
        <v>Тумба с раковиной  навес. Леон 600 оникс 2 ящика с умыв. Слим</v>
      </c>
      <c r="H500">
        <f>VLOOKUP(D500,Товары!A:I,6,0)</f>
        <v>60</v>
      </c>
      <c r="I500" t="str">
        <f>VLOOKUP(C500,Магазины!A:C,3,0)</f>
        <v>Оренбург</v>
      </c>
      <c r="J500">
        <f>VLOOKUP(D500,Товары!A:I,4,0)</f>
        <v>25125</v>
      </c>
      <c r="K500">
        <f t="shared" si="7"/>
        <v>50250</v>
      </c>
    </row>
    <row r="501" spans="1:11" hidden="1" x14ac:dyDescent="0.25">
      <c r="A501">
        <v>500</v>
      </c>
      <c r="B501" s="1">
        <v>45755</v>
      </c>
      <c r="C501" t="s">
        <v>43</v>
      </c>
      <c r="D501" t="s">
        <v>131</v>
      </c>
      <c r="E501" t="s">
        <v>13</v>
      </c>
      <c r="F501">
        <v>1</v>
      </c>
      <c r="G501" t="str">
        <f>VLOOKUP(D501,Товары!A:I,3,0)</f>
        <v>Тумба с раковиной  напол. Леон 800 форест 2 ящика с умыв. Слим</v>
      </c>
      <c r="H501">
        <f>VLOOKUP(D501,Товары!A:I,6,0)</f>
        <v>80</v>
      </c>
      <c r="I501" t="str">
        <f>VLOOKUP(C501,Магазины!A:C,3,0)</f>
        <v>Набережные Челны</v>
      </c>
      <c r="J501">
        <f>VLOOKUP(D501,Товары!A:I,4,0)</f>
        <v>29400</v>
      </c>
      <c r="K501">
        <f t="shared" si="7"/>
        <v>29400</v>
      </c>
    </row>
    <row r="502" spans="1:11" hidden="1" x14ac:dyDescent="0.25">
      <c r="A502">
        <v>501</v>
      </c>
      <c r="B502" s="1">
        <v>45753</v>
      </c>
      <c r="C502" t="s">
        <v>103</v>
      </c>
      <c r="D502" t="s">
        <v>68</v>
      </c>
      <c r="E502" t="s">
        <v>8</v>
      </c>
      <c r="F502">
        <v>3</v>
      </c>
      <c r="G502" t="str">
        <f>VLOOKUP(D502,Товары!A:I,3,0)</f>
        <v>Тумба с раковиной  навес. Альба 600 антрацит 1 ящик с умыв. Океан</v>
      </c>
      <c r="H502">
        <f>VLOOKUP(D502,Товары!A:I,6,0)</f>
        <v>85</v>
      </c>
      <c r="I502" t="str">
        <f>VLOOKUP(C502,Магазины!A:C,3,0)</f>
        <v>Ставрополь</v>
      </c>
      <c r="J502">
        <f>VLOOKUP(D502,Товары!A:I,4,0)</f>
        <v>17625</v>
      </c>
      <c r="K502">
        <f t="shared" si="7"/>
        <v>52875</v>
      </c>
    </row>
    <row r="503" spans="1:11" hidden="1" x14ac:dyDescent="0.25">
      <c r="A503">
        <v>502</v>
      </c>
      <c r="B503" s="1">
        <v>45754</v>
      </c>
      <c r="C503" t="s">
        <v>58</v>
      </c>
      <c r="D503" t="s">
        <v>64</v>
      </c>
      <c r="E503" t="s">
        <v>8</v>
      </c>
      <c r="F503">
        <v>3</v>
      </c>
      <c r="G503" t="str">
        <f>VLOOKUP(D503,Товары!A:I,3,0)</f>
        <v>Тумба с раковиной  напол. Рица 800 антрацит 2 ящика с умыв. Слим</v>
      </c>
      <c r="H503">
        <f>VLOOKUP(D503,Товары!A:I,6,0)</f>
        <v>80</v>
      </c>
      <c r="I503" t="str">
        <f>VLOOKUP(C503,Магазины!A:C,3,0)</f>
        <v>Ставрополь</v>
      </c>
      <c r="J503">
        <f>VLOOKUP(D503,Товары!A:I,4,0)</f>
        <v>28980</v>
      </c>
      <c r="K503">
        <f t="shared" si="7"/>
        <v>86940</v>
      </c>
    </row>
    <row r="504" spans="1:11" hidden="1" x14ac:dyDescent="0.25">
      <c r="A504">
        <v>503</v>
      </c>
      <c r="B504" s="1">
        <v>45754</v>
      </c>
      <c r="C504" t="s">
        <v>33</v>
      </c>
      <c r="D504" t="s">
        <v>76</v>
      </c>
      <c r="E504" t="s">
        <v>13</v>
      </c>
      <c r="F504">
        <v>2</v>
      </c>
      <c r="G504" t="str">
        <f>VLOOKUP(D504,Товары!A:I,3,0)</f>
        <v>Тумба с раковиной  напол. Леон 600 оникс 2 ящика с умыв. Слим</v>
      </c>
      <c r="H504">
        <f>VLOOKUP(D504,Товары!A:I,6,0)</f>
        <v>80</v>
      </c>
      <c r="I504" t="str">
        <f>VLOOKUP(C504,Магазины!A:C,3,0)</f>
        <v>Набережные Челны</v>
      </c>
      <c r="J504">
        <f>VLOOKUP(D504,Товары!A:I,4,0)</f>
        <v>25860</v>
      </c>
      <c r="K504">
        <f t="shared" si="7"/>
        <v>51720</v>
      </c>
    </row>
    <row r="505" spans="1:11" hidden="1" x14ac:dyDescent="0.25">
      <c r="A505">
        <v>504</v>
      </c>
      <c r="B505" s="1">
        <v>45751</v>
      </c>
      <c r="C505" t="s">
        <v>58</v>
      </c>
      <c r="D505" t="s">
        <v>118</v>
      </c>
      <c r="E505" t="s">
        <v>8</v>
      </c>
      <c r="F505">
        <v>2</v>
      </c>
      <c r="G505" t="str">
        <f>VLOOKUP(D505,Товары!A:I,3,0)</f>
        <v>Тумба с раковиной  напол. Сохо 800 белый 2 ящика с умыв. Слим</v>
      </c>
      <c r="H505">
        <f>VLOOKUP(D505,Товары!A:I,6,0)</f>
        <v>85</v>
      </c>
      <c r="I505" t="str">
        <f>VLOOKUP(C505,Магазины!A:C,3,0)</f>
        <v>Ставрополь</v>
      </c>
      <c r="J505">
        <f>VLOOKUP(D505,Товары!A:I,4,0)</f>
        <v>19575</v>
      </c>
      <c r="K505">
        <f t="shared" si="7"/>
        <v>39150</v>
      </c>
    </row>
    <row r="506" spans="1:11" hidden="1" x14ac:dyDescent="0.25">
      <c r="A506">
        <v>505</v>
      </c>
      <c r="B506" s="1">
        <v>45757</v>
      </c>
      <c r="C506" t="s">
        <v>20</v>
      </c>
      <c r="D506" t="s">
        <v>101</v>
      </c>
      <c r="E506" t="s">
        <v>8</v>
      </c>
      <c r="F506">
        <v>1</v>
      </c>
      <c r="G506" t="str">
        <f>VLOOKUP(D506,Товары!A:I,3,0)</f>
        <v>Пенал напол. Сохо 400 белый 2 двери + 1 ящик</v>
      </c>
      <c r="H506">
        <f>VLOOKUP(D506,Товары!A:I,6,0)</f>
        <v>190</v>
      </c>
      <c r="I506" t="str">
        <f>VLOOKUP(C506,Магазины!A:C,3,0)</f>
        <v>Оренбург</v>
      </c>
      <c r="J506">
        <f>VLOOKUP(D506,Товары!A:I,4,0)</f>
        <v>11040</v>
      </c>
      <c r="K506">
        <f t="shared" si="7"/>
        <v>11040</v>
      </c>
    </row>
    <row r="507" spans="1:11" hidden="1" x14ac:dyDescent="0.25">
      <c r="A507">
        <v>506</v>
      </c>
      <c r="B507" s="1">
        <v>45757</v>
      </c>
      <c r="C507" t="s">
        <v>16</v>
      </c>
      <c r="D507" t="s">
        <v>66</v>
      </c>
      <c r="E507" t="s">
        <v>13</v>
      </c>
      <c r="F507">
        <v>3</v>
      </c>
      <c r="G507" t="str">
        <f>VLOOKUP(D507,Товары!A:I,3,0)</f>
        <v>Тумба с раковиной  навес. Альба 800 мята 2 ящика с умыв. Слим</v>
      </c>
      <c r="H507">
        <f>VLOOKUP(D507,Товары!A:I,6,0)</f>
        <v>50</v>
      </c>
      <c r="I507" t="str">
        <f>VLOOKUP(C507,Магазины!A:C,3,0)</f>
        <v>Оренбург</v>
      </c>
      <c r="J507">
        <f>VLOOKUP(D507,Товары!A:I,4,0)</f>
        <v>26070</v>
      </c>
      <c r="K507">
        <f t="shared" si="7"/>
        <v>78210</v>
      </c>
    </row>
    <row r="508" spans="1:11" hidden="1" x14ac:dyDescent="0.25">
      <c r="A508">
        <v>507</v>
      </c>
      <c r="B508" s="1">
        <v>45754</v>
      </c>
      <c r="C508" t="s">
        <v>92</v>
      </c>
      <c r="D508" t="s">
        <v>67</v>
      </c>
      <c r="E508" t="s">
        <v>13</v>
      </c>
      <c r="F508">
        <v>3</v>
      </c>
      <c r="G508" t="str">
        <f>VLOOKUP(D508,Товары!A:I,3,0)</f>
        <v>Пенал навес./напол. Альба 350 суфле 2 двери</v>
      </c>
      <c r="H508">
        <f>VLOOKUP(D508,Товары!A:I,6,0)</f>
        <v>150</v>
      </c>
      <c r="I508" t="str">
        <f>VLOOKUP(C508,Магазины!A:C,3,0)</f>
        <v>Кемерово</v>
      </c>
      <c r="J508">
        <f>VLOOKUP(D508,Товары!A:I,4,0)</f>
        <v>11655</v>
      </c>
      <c r="K508">
        <f t="shared" si="7"/>
        <v>34965</v>
      </c>
    </row>
    <row r="509" spans="1:11" hidden="1" x14ac:dyDescent="0.25">
      <c r="A509">
        <v>508</v>
      </c>
      <c r="B509" s="1">
        <v>45754</v>
      </c>
      <c r="C509" t="s">
        <v>57</v>
      </c>
      <c r="D509" t="s">
        <v>104</v>
      </c>
      <c r="E509" t="s">
        <v>8</v>
      </c>
      <c r="F509">
        <v>3</v>
      </c>
      <c r="G509" t="str">
        <f>VLOOKUP(D509,Товары!A:I,3,0)</f>
        <v>Тумба под стиральную машину Куба Риф 57 подвесная 2 ящика под ст/маш, без умывальника /под Marshall 120 Белый</v>
      </c>
      <c r="H509">
        <f>VLOOKUP(D509,Товары!A:I,6,0)</f>
        <v>50</v>
      </c>
      <c r="I509" t="str">
        <f>VLOOKUP(C509,Магазины!A:C,3,0)</f>
        <v>Оренбург</v>
      </c>
      <c r="J509">
        <f>VLOOKUP(D509,Товары!A:I,4,0)</f>
        <v>8505</v>
      </c>
      <c r="K509">
        <f t="shared" si="7"/>
        <v>25515</v>
      </c>
    </row>
    <row r="510" spans="1:11" hidden="1" x14ac:dyDescent="0.25">
      <c r="A510">
        <v>509</v>
      </c>
      <c r="B510" s="1">
        <v>45755</v>
      </c>
      <c r="C510" t="s">
        <v>16</v>
      </c>
      <c r="D510" t="s">
        <v>72</v>
      </c>
      <c r="E510" t="s">
        <v>13</v>
      </c>
      <c r="F510">
        <v>1</v>
      </c>
      <c r="G510" t="str">
        <f>VLOOKUP(D510,Товары!A:I,3,0)</f>
        <v>Тумба с раковиной  напол. Сохо 600 белый 2 ящика с умыв. Океан</v>
      </c>
      <c r="H510">
        <f>VLOOKUP(D510,Товары!A:I,6,0)</f>
        <v>85</v>
      </c>
      <c r="I510" t="str">
        <f>VLOOKUP(C510,Магазины!A:C,3,0)</f>
        <v>Оренбург</v>
      </c>
      <c r="J510">
        <f>VLOOKUP(D510,Товары!A:I,4,0)</f>
        <v>16140</v>
      </c>
      <c r="K510">
        <f t="shared" si="7"/>
        <v>16140</v>
      </c>
    </row>
    <row r="511" spans="1:11" hidden="1" x14ac:dyDescent="0.25">
      <c r="A511">
        <v>510</v>
      </c>
      <c r="B511" s="1">
        <v>45750</v>
      </c>
      <c r="C511" t="s">
        <v>58</v>
      </c>
      <c r="D511" t="s">
        <v>17</v>
      </c>
      <c r="E511" t="s">
        <v>13</v>
      </c>
      <c r="F511">
        <v>2</v>
      </c>
      <c r="G511" t="str">
        <f>VLOOKUP(D511,Товары!A:I,3,0)</f>
        <v>Тумба с раковиной  навес. Альба 800 антрацит 1 ящик с умыв. Слим</v>
      </c>
      <c r="H511">
        <f>VLOOKUP(D511,Товары!A:I,6,0)</f>
        <v>45</v>
      </c>
      <c r="I511" t="str">
        <f>VLOOKUP(C511,Магазины!A:C,3,0)</f>
        <v>Ставрополь</v>
      </c>
      <c r="J511">
        <f>VLOOKUP(D511,Товары!A:I,4,0)</f>
        <v>21630</v>
      </c>
      <c r="K511">
        <f t="shared" si="7"/>
        <v>43260</v>
      </c>
    </row>
    <row r="512" spans="1:11" hidden="1" x14ac:dyDescent="0.25">
      <c r="A512">
        <v>511</v>
      </c>
      <c r="B512" s="1">
        <v>45756</v>
      </c>
      <c r="C512" t="s">
        <v>54</v>
      </c>
      <c r="D512" t="s">
        <v>112</v>
      </c>
      <c r="E512" t="s">
        <v>8</v>
      </c>
      <c r="F512">
        <v>3</v>
      </c>
      <c r="G512" t="str">
        <f>VLOOKUP(D512,Товары!A:I,3,0)</f>
        <v>Тумба с раковиной  напол. Аква 560 белый 2 двери с умыв. Уют</v>
      </c>
      <c r="H512">
        <f>VLOOKUP(D512,Товары!A:I,6,0)</f>
        <v>85</v>
      </c>
      <c r="I512" t="str">
        <f>VLOOKUP(C512,Магазины!A:C,3,0)</f>
        <v>Ставрополь</v>
      </c>
      <c r="J512">
        <f>VLOOKUP(D512,Товары!A:I,4,0)</f>
        <v>9330</v>
      </c>
      <c r="K512">
        <f t="shared" si="7"/>
        <v>27990</v>
      </c>
    </row>
    <row r="513" spans="1:11" hidden="1" x14ac:dyDescent="0.25">
      <c r="A513">
        <v>512</v>
      </c>
      <c r="B513" s="1">
        <v>45749</v>
      </c>
      <c r="C513" t="s">
        <v>41</v>
      </c>
      <c r="D513" t="s">
        <v>99</v>
      </c>
      <c r="E513" t="s">
        <v>13</v>
      </c>
      <c r="F513">
        <v>3</v>
      </c>
      <c r="G513" t="str">
        <f>VLOOKUP(D513,Товары!A:I,3,0)</f>
        <v>Тумба с раковиной  навес. Леон 600 оникс 2 ящика с умыв. Слим</v>
      </c>
      <c r="H513">
        <f>VLOOKUP(D513,Товары!A:I,6,0)</f>
        <v>60</v>
      </c>
      <c r="I513" t="str">
        <f>VLOOKUP(C513,Магазины!A:C,3,0)</f>
        <v>Ставрополь</v>
      </c>
      <c r="J513">
        <f>VLOOKUP(D513,Товары!A:I,4,0)</f>
        <v>25125</v>
      </c>
      <c r="K513">
        <f t="shared" si="7"/>
        <v>75375</v>
      </c>
    </row>
    <row r="514" spans="1:11" hidden="1" x14ac:dyDescent="0.25">
      <c r="A514">
        <v>513</v>
      </c>
      <c r="B514" s="1">
        <v>45750</v>
      </c>
      <c r="C514" t="s">
        <v>9</v>
      </c>
      <c r="D514" t="s">
        <v>51</v>
      </c>
      <c r="E514" t="s">
        <v>8</v>
      </c>
      <c r="F514">
        <v>3</v>
      </c>
      <c r="G514" t="str">
        <f>VLOOKUP(D514,Товары!A:I,3,0)</f>
        <v>Зеркальный шкаф Альба 80 со светильником правый цвет суфле</v>
      </c>
      <c r="H514">
        <f>VLOOKUP(D514,Товары!A:I,6,0)</f>
        <v>75</v>
      </c>
      <c r="I514" t="str">
        <f>VLOOKUP(C514,Магазины!A:C,3,0)</f>
        <v>Кемерово</v>
      </c>
      <c r="J514">
        <f>VLOOKUP(D514,Товары!A:I,4,0)</f>
        <v>9930</v>
      </c>
      <c r="K514">
        <f t="shared" si="7"/>
        <v>29790</v>
      </c>
    </row>
    <row r="515" spans="1:11" hidden="1" x14ac:dyDescent="0.25">
      <c r="A515">
        <v>514</v>
      </c>
      <c r="B515" s="1">
        <v>45756</v>
      </c>
      <c r="C515" t="s">
        <v>43</v>
      </c>
      <c r="D515" t="s">
        <v>70</v>
      </c>
      <c r="E515" t="s">
        <v>8</v>
      </c>
      <c r="F515">
        <v>2</v>
      </c>
      <c r="G515" t="str">
        <f>VLOOKUP(D515,Товары!A:I,3,0)</f>
        <v>Тумба с раковиной  напол. Кристалл 700 шато азур 2 ящика с умыв. Слим</v>
      </c>
      <c r="H515">
        <f>VLOOKUP(D515,Товары!A:I,6,0)</f>
        <v>85</v>
      </c>
      <c r="I515" t="str">
        <f>VLOOKUP(C515,Магазины!A:C,3,0)</f>
        <v>Набережные Челны</v>
      </c>
      <c r="J515">
        <f>VLOOKUP(D515,Товары!A:I,4,0)</f>
        <v>29910</v>
      </c>
      <c r="K515">
        <f t="shared" ref="K515:K578" si="8">J515*F515</f>
        <v>59820</v>
      </c>
    </row>
    <row r="516" spans="1:11" hidden="1" x14ac:dyDescent="0.25">
      <c r="A516">
        <v>515</v>
      </c>
      <c r="B516" s="1">
        <v>45748</v>
      </c>
      <c r="C516" t="s">
        <v>20</v>
      </c>
      <c r="D516" t="s">
        <v>89</v>
      </c>
      <c r="E516" t="s">
        <v>8</v>
      </c>
      <c r="F516">
        <v>2</v>
      </c>
      <c r="G516" t="str">
        <f>VLOOKUP(D516,Товары!A:I,3,0)</f>
        <v>Тумба с раковиной  напол. Сохо 600 белый 2 двери с умыв. Океан</v>
      </c>
      <c r="H516">
        <f>VLOOKUP(D516,Товары!A:I,6,0)</f>
        <v>85</v>
      </c>
      <c r="I516" t="str">
        <f>VLOOKUP(C516,Магазины!A:C,3,0)</f>
        <v>Оренбург</v>
      </c>
      <c r="J516">
        <f>VLOOKUP(D516,Товары!A:I,4,0)</f>
        <v>14880</v>
      </c>
      <c r="K516">
        <f t="shared" si="8"/>
        <v>29760</v>
      </c>
    </row>
    <row r="517" spans="1:11" hidden="1" x14ac:dyDescent="0.25">
      <c r="A517">
        <v>516</v>
      </c>
      <c r="B517" s="1">
        <v>45753</v>
      </c>
      <c r="C517" t="s">
        <v>111</v>
      </c>
      <c r="D517" t="s">
        <v>34</v>
      </c>
      <c r="E517" t="s">
        <v>8</v>
      </c>
      <c r="F517">
        <v>1</v>
      </c>
      <c r="G517" t="str">
        <f>VLOOKUP(D517,Товары!A:I,3,0)</f>
        <v>Тумба с раковиной  навес. Леон 700 форест 2 ящика с умыв. Слим</v>
      </c>
      <c r="H517">
        <f>VLOOKUP(D517,Товары!A:I,6,0)</f>
        <v>60</v>
      </c>
      <c r="I517" t="str">
        <f>VLOOKUP(C517,Магазины!A:C,3,0)</f>
        <v>Набережные Челны</v>
      </c>
      <c r="J517">
        <f>VLOOKUP(D517,Товары!A:I,4,0)</f>
        <v>26220</v>
      </c>
      <c r="K517">
        <f t="shared" si="8"/>
        <v>26220</v>
      </c>
    </row>
    <row r="518" spans="1:11" hidden="1" x14ac:dyDescent="0.25">
      <c r="A518">
        <v>517</v>
      </c>
      <c r="B518" s="1">
        <v>45756</v>
      </c>
      <c r="C518" t="s">
        <v>57</v>
      </c>
      <c r="D518" t="s">
        <v>90</v>
      </c>
      <c r="E518" t="s">
        <v>13</v>
      </c>
      <c r="F518">
        <v>1</v>
      </c>
      <c r="G518" t="str">
        <f>VLOOKUP(D518,Товары!A:I,3,0)</f>
        <v>Пенал напол. Аква 350 белый 2 двери + 2 ящика</v>
      </c>
      <c r="H518">
        <f>VLOOKUP(D518,Товары!A:I,6,0)</f>
        <v>190</v>
      </c>
      <c r="I518" t="str">
        <f>VLOOKUP(C518,Магазины!A:C,3,0)</f>
        <v>Оренбург</v>
      </c>
      <c r="J518">
        <f>VLOOKUP(D518,Товары!A:I,4,0)</f>
        <v>10650</v>
      </c>
      <c r="K518">
        <f t="shared" si="8"/>
        <v>10650</v>
      </c>
    </row>
    <row r="519" spans="1:11" hidden="1" x14ac:dyDescent="0.25">
      <c r="A519">
        <v>518</v>
      </c>
      <c r="B519" s="1">
        <v>45756</v>
      </c>
      <c r="C519" t="s">
        <v>35</v>
      </c>
      <c r="D519" t="s">
        <v>131</v>
      </c>
      <c r="E519" t="s">
        <v>8</v>
      </c>
      <c r="F519">
        <v>2</v>
      </c>
      <c r="G519" t="str">
        <f>VLOOKUP(D519,Товары!A:I,3,0)</f>
        <v>Тумба с раковиной  напол. Леон 800 форест 2 ящика с умыв. Слим</v>
      </c>
      <c r="H519">
        <f>VLOOKUP(D519,Товары!A:I,6,0)</f>
        <v>80</v>
      </c>
      <c r="I519" t="str">
        <f>VLOOKUP(C519,Магазины!A:C,3,0)</f>
        <v>Набережные Челны</v>
      </c>
      <c r="J519">
        <f>VLOOKUP(D519,Товары!A:I,4,0)</f>
        <v>29400</v>
      </c>
      <c r="K519">
        <f t="shared" si="8"/>
        <v>58800</v>
      </c>
    </row>
    <row r="520" spans="1:11" hidden="1" x14ac:dyDescent="0.25">
      <c r="A520">
        <v>519</v>
      </c>
      <c r="B520" s="1">
        <v>45754</v>
      </c>
      <c r="C520" t="s">
        <v>20</v>
      </c>
      <c r="D520" t="s">
        <v>10</v>
      </c>
      <c r="E520" t="s">
        <v>13</v>
      </c>
      <c r="F520">
        <v>3</v>
      </c>
      <c r="G520" t="str">
        <f>VLOOKUP(D520,Товары!A:I,3,0)</f>
        <v>Тумба с раковиной  навес. Альба 700 антрацит 1 ящик с умыв. Слим</v>
      </c>
      <c r="H520">
        <f>VLOOKUP(D520,Товары!A:I,6,0)</f>
        <v>45</v>
      </c>
      <c r="I520" t="str">
        <f>VLOOKUP(C520,Магазины!A:C,3,0)</f>
        <v>Оренбург</v>
      </c>
      <c r="J520">
        <f>VLOOKUP(D520,Товары!A:I,4,0)</f>
        <v>20130</v>
      </c>
      <c r="K520">
        <f t="shared" si="8"/>
        <v>60390</v>
      </c>
    </row>
    <row r="521" spans="1:11" hidden="1" x14ac:dyDescent="0.25">
      <c r="A521">
        <v>520</v>
      </c>
      <c r="B521" s="1">
        <v>45748</v>
      </c>
      <c r="C521" t="s">
        <v>103</v>
      </c>
      <c r="D521" t="s">
        <v>91</v>
      </c>
      <c r="E521" t="s">
        <v>8</v>
      </c>
      <c r="F521">
        <v>3</v>
      </c>
      <c r="G521" t="str">
        <f>VLOOKUP(D521,Товары!A:I,3,0)</f>
        <v>Пенал навес./напол. Альба 350 мята 2 двери</v>
      </c>
      <c r="H521">
        <f>VLOOKUP(D521,Товары!A:I,6,0)</f>
        <v>150</v>
      </c>
      <c r="I521" t="str">
        <f>VLOOKUP(C521,Магазины!A:C,3,0)</f>
        <v>Ставрополь</v>
      </c>
      <c r="J521">
        <f>VLOOKUP(D521,Товары!A:I,4,0)</f>
        <v>11655</v>
      </c>
      <c r="K521">
        <f t="shared" si="8"/>
        <v>34965</v>
      </c>
    </row>
    <row r="522" spans="1:11" hidden="1" x14ac:dyDescent="0.25">
      <c r="A522">
        <v>521</v>
      </c>
      <c r="B522" s="1">
        <v>45753</v>
      </c>
      <c r="C522" t="s">
        <v>28</v>
      </c>
      <c r="D522" t="s">
        <v>42</v>
      </c>
      <c r="E522" t="s">
        <v>8</v>
      </c>
      <c r="F522">
        <v>3</v>
      </c>
      <c r="G522" t="str">
        <f>VLOOKUP(D522,Товары!A:I,3,0)</f>
        <v>Тумба под стиральную машину Леон Риф 57 подвесная 2 ящика под ст/маш, без умывальника /под Marshall 120 Солярис/Белый Риф</v>
      </c>
      <c r="H522">
        <f>VLOOKUP(D522,Товары!A:I,6,0)</f>
        <v>60</v>
      </c>
      <c r="I522" t="str">
        <f>VLOOKUP(C522,Магазины!A:C,3,0)</f>
        <v>Набережные Челны</v>
      </c>
      <c r="J522">
        <f>VLOOKUP(D522,Товары!A:I,4,0)</f>
        <v>15495</v>
      </c>
      <c r="K522">
        <f t="shared" si="8"/>
        <v>46485</v>
      </c>
    </row>
    <row r="523" spans="1:11" hidden="1" x14ac:dyDescent="0.25">
      <c r="A523">
        <v>522</v>
      </c>
      <c r="B523" s="1">
        <v>45750</v>
      </c>
      <c r="C523" t="s">
        <v>6</v>
      </c>
      <c r="D523" t="s">
        <v>121</v>
      </c>
      <c r="E523" t="s">
        <v>8</v>
      </c>
      <c r="F523">
        <v>2</v>
      </c>
      <c r="G523" t="str">
        <f>VLOOKUP(D523,Товары!A:I,3,0)</f>
        <v>Тумба с раковиной  напол. Куба Риф 600 белый 2 двери с умыв. Como</v>
      </c>
      <c r="H523">
        <f>VLOOKUP(D523,Товары!A:I,6,0)</f>
        <v>85</v>
      </c>
      <c r="I523" t="str">
        <f>VLOOKUP(C523,Магазины!A:C,3,0)</f>
        <v>Оренбург</v>
      </c>
      <c r="J523">
        <f>VLOOKUP(D523,Товары!A:I,4,0)</f>
        <v>13695</v>
      </c>
      <c r="K523">
        <f t="shared" si="8"/>
        <v>27390</v>
      </c>
    </row>
    <row r="524" spans="1:11" hidden="1" x14ac:dyDescent="0.25">
      <c r="A524">
        <v>523</v>
      </c>
      <c r="B524" s="1">
        <v>45752</v>
      </c>
      <c r="C524" t="s">
        <v>48</v>
      </c>
      <c r="D524" t="s">
        <v>50</v>
      </c>
      <c r="E524" t="s">
        <v>8</v>
      </c>
      <c r="F524">
        <v>1</v>
      </c>
      <c r="G524" t="str">
        <f>VLOOKUP(D524,Товары!A:I,3,0)</f>
        <v>Тумба с раковиной  напол. Леон 800 оникс 2 ящика с умыв. Слим</v>
      </c>
      <c r="H524">
        <f>VLOOKUP(D524,Товары!A:I,6,0)</f>
        <v>80</v>
      </c>
      <c r="I524" t="str">
        <f>VLOOKUP(C524,Магазины!A:C,3,0)</f>
        <v>Ставрополь</v>
      </c>
      <c r="J524">
        <f>VLOOKUP(D524,Товары!A:I,4,0)</f>
        <v>29400</v>
      </c>
      <c r="K524">
        <f t="shared" si="8"/>
        <v>29400</v>
      </c>
    </row>
    <row r="525" spans="1:11" hidden="1" x14ac:dyDescent="0.25">
      <c r="A525">
        <v>524</v>
      </c>
      <c r="B525" s="1">
        <v>45753</v>
      </c>
      <c r="C525" t="s">
        <v>103</v>
      </c>
      <c r="D525" t="s">
        <v>97</v>
      </c>
      <c r="E525" t="s">
        <v>13</v>
      </c>
      <c r="F525">
        <v>2</v>
      </c>
      <c r="G525" t="str">
        <f>VLOOKUP(D525,Товары!A:I,3,0)</f>
        <v>Пенал напол. Кристалл 350 суфле 2 двери</v>
      </c>
      <c r="H525">
        <f>VLOOKUP(D525,Товары!A:I,6,0)</f>
        <v>190</v>
      </c>
      <c r="I525" t="str">
        <f>VLOOKUP(C525,Магазины!A:C,3,0)</f>
        <v>Ставрополь</v>
      </c>
      <c r="J525">
        <f>VLOOKUP(D525,Товары!A:I,4,0)</f>
        <v>15810</v>
      </c>
      <c r="K525">
        <f t="shared" si="8"/>
        <v>31620</v>
      </c>
    </row>
    <row r="526" spans="1:11" hidden="1" x14ac:dyDescent="0.25">
      <c r="A526">
        <v>525</v>
      </c>
      <c r="B526" s="1">
        <v>45748</v>
      </c>
      <c r="C526" t="s">
        <v>63</v>
      </c>
      <c r="D526" t="s">
        <v>106</v>
      </c>
      <c r="E526" t="s">
        <v>13</v>
      </c>
      <c r="F526">
        <v>2</v>
      </c>
      <c r="G526" t="str">
        <f>VLOOKUP(D526,Товары!A:I,3,0)</f>
        <v>Тумба с раковиной  навес. Кристалл 700 шато азур 2 ящика с умыв. Слим</v>
      </c>
      <c r="H526">
        <f>VLOOKUP(D526,Товары!A:I,6,0)</f>
        <v>60</v>
      </c>
      <c r="I526" t="str">
        <f>VLOOKUP(C526,Магазины!A:C,3,0)</f>
        <v>Ставрополь</v>
      </c>
      <c r="J526">
        <f>VLOOKUP(D526,Товары!A:I,4,0)</f>
        <v>24150</v>
      </c>
      <c r="K526">
        <f t="shared" si="8"/>
        <v>48300</v>
      </c>
    </row>
    <row r="527" spans="1:11" hidden="1" x14ac:dyDescent="0.25">
      <c r="A527">
        <v>526</v>
      </c>
      <c r="B527" s="1">
        <v>45752</v>
      </c>
      <c r="C527" t="s">
        <v>57</v>
      </c>
      <c r="D527" t="s">
        <v>120</v>
      </c>
      <c r="E527" t="s">
        <v>8</v>
      </c>
      <c r="F527">
        <v>2</v>
      </c>
      <c r="G527" t="str">
        <f>VLOOKUP(D527,Товары!A:I,3,0)</f>
        <v>Зеркальный шкаф Альба 60 со светильником правый цвет антрацит</v>
      </c>
      <c r="H527">
        <f>VLOOKUP(D527,Товары!A:I,6,0)</f>
        <v>75</v>
      </c>
      <c r="I527" t="str">
        <f>VLOOKUP(C527,Магазины!A:C,3,0)</f>
        <v>Оренбург</v>
      </c>
      <c r="J527">
        <f>VLOOKUP(D527,Товары!A:I,4,0)</f>
        <v>8910</v>
      </c>
      <c r="K527">
        <f t="shared" si="8"/>
        <v>17820</v>
      </c>
    </row>
    <row r="528" spans="1:11" hidden="1" x14ac:dyDescent="0.25">
      <c r="A528">
        <v>527</v>
      </c>
      <c r="B528" s="1">
        <v>45753</v>
      </c>
      <c r="C528" t="s">
        <v>18</v>
      </c>
      <c r="D528" t="s">
        <v>93</v>
      </c>
      <c r="E528" t="s">
        <v>13</v>
      </c>
      <c r="F528">
        <v>2</v>
      </c>
      <c r="G528" t="str">
        <f>VLOOKUP(D528,Товары!A:I,3,0)</f>
        <v>Тумба с раковиной  напол. Леон Риф 800 солярис/белый риф 2 ящика с умыв. Слим</v>
      </c>
      <c r="H528">
        <f>VLOOKUP(D528,Товары!A:I,6,0)</f>
        <v>80</v>
      </c>
      <c r="I528" t="str">
        <f>VLOOKUP(C528,Магазины!A:C,3,0)</f>
        <v>Набережные Челны</v>
      </c>
      <c r="J528">
        <f>VLOOKUP(D528,Товары!A:I,4,0)</f>
        <v>29340</v>
      </c>
      <c r="K528">
        <f t="shared" si="8"/>
        <v>58680</v>
      </c>
    </row>
    <row r="529" spans="1:11" hidden="1" x14ac:dyDescent="0.25">
      <c r="A529">
        <v>528</v>
      </c>
      <c r="B529" s="1">
        <v>45751</v>
      </c>
      <c r="C529" t="s">
        <v>9</v>
      </c>
      <c r="D529" t="s">
        <v>108</v>
      </c>
      <c r="E529" t="s">
        <v>8</v>
      </c>
      <c r="F529">
        <v>2</v>
      </c>
      <c r="G529" t="str">
        <f>VLOOKUP(D529,Товары!A:I,3,0)</f>
        <v>Тумба с раковиной  навес. Виктория 1000 белый 2 ящика с умыв. Слим</v>
      </c>
      <c r="H529">
        <f>VLOOKUP(D529,Товары!A:I,6,0)</f>
        <v>60</v>
      </c>
      <c r="I529" t="str">
        <f>VLOOKUP(C529,Магазины!A:C,3,0)</f>
        <v>Кемерово</v>
      </c>
      <c r="J529">
        <f>VLOOKUP(D529,Товары!A:I,4,0)</f>
        <v>29205</v>
      </c>
      <c r="K529">
        <f t="shared" si="8"/>
        <v>58410</v>
      </c>
    </row>
    <row r="530" spans="1:11" hidden="1" x14ac:dyDescent="0.25">
      <c r="A530">
        <v>529</v>
      </c>
      <c r="B530" s="1">
        <v>45755</v>
      </c>
      <c r="C530" t="s">
        <v>92</v>
      </c>
      <c r="D530" t="s">
        <v>87</v>
      </c>
      <c r="E530" t="s">
        <v>13</v>
      </c>
      <c r="F530">
        <v>3</v>
      </c>
      <c r="G530" t="str">
        <f>VLOOKUP(D530,Товары!A:I,3,0)</f>
        <v>Тумба с раковиной  напол. Леон 700 форест 2 ящика с умыв. Слим</v>
      </c>
      <c r="H530">
        <f>VLOOKUP(D530,Товары!A:I,6,0)</f>
        <v>80</v>
      </c>
      <c r="I530" t="str">
        <f>VLOOKUP(C530,Магазины!A:C,3,0)</f>
        <v>Кемерово</v>
      </c>
      <c r="J530">
        <f>VLOOKUP(D530,Товары!A:I,4,0)</f>
        <v>28380</v>
      </c>
      <c r="K530">
        <f t="shared" si="8"/>
        <v>85140</v>
      </c>
    </row>
    <row r="531" spans="1:11" hidden="1" x14ac:dyDescent="0.25">
      <c r="A531">
        <v>530</v>
      </c>
      <c r="B531" s="1">
        <v>45753</v>
      </c>
      <c r="C531" t="s">
        <v>14</v>
      </c>
      <c r="D531" t="s">
        <v>112</v>
      </c>
      <c r="E531" t="s">
        <v>13</v>
      </c>
      <c r="F531">
        <v>2</v>
      </c>
      <c r="G531" t="str">
        <f>VLOOKUP(D531,Товары!A:I,3,0)</f>
        <v>Тумба с раковиной  напол. Аква 560 белый 2 двери с умыв. Уют</v>
      </c>
      <c r="H531">
        <f>VLOOKUP(D531,Товары!A:I,6,0)</f>
        <v>85</v>
      </c>
      <c r="I531" t="str">
        <f>VLOOKUP(C531,Магазины!A:C,3,0)</f>
        <v>Оренбург</v>
      </c>
      <c r="J531">
        <f>VLOOKUP(D531,Товары!A:I,4,0)</f>
        <v>9330</v>
      </c>
      <c r="K531">
        <f t="shared" si="8"/>
        <v>18660</v>
      </c>
    </row>
    <row r="532" spans="1:11" hidden="1" x14ac:dyDescent="0.25">
      <c r="A532">
        <v>531</v>
      </c>
      <c r="B532" s="1">
        <v>45750</v>
      </c>
      <c r="C532" t="s">
        <v>16</v>
      </c>
      <c r="D532" t="s">
        <v>106</v>
      </c>
      <c r="E532" t="s">
        <v>8</v>
      </c>
      <c r="F532">
        <v>1</v>
      </c>
      <c r="G532" t="str">
        <f>VLOOKUP(D532,Товары!A:I,3,0)</f>
        <v>Тумба с раковиной  навес. Кристалл 700 шато азур 2 ящика с умыв. Слим</v>
      </c>
      <c r="H532">
        <f>VLOOKUP(D532,Товары!A:I,6,0)</f>
        <v>60</v>
      </c>
      <c r="I532" t="str">
        <f>VLOOKUP(C532,Магазины!A:C,3,0)</f>
        <v>Оренбург</v>
      </c>
      <c r="J532">
        <f>VLOOKUP(D532,Товары!A:I,4,0)</f>
        <v>24150</v>
      </c>
      <c r="K532">
        <f t="shared" si="8"/>
        <v>24150</v>
      </c>
    </row>
    <row r="533" spans="1:11" hidden="1" x14ac:dyDescent="0.25">
      <c r="A533">
        <v>532</v>
      </c>
      <c r="B533" s="1">
        <v>45753</v>
      </c>
      <c r="C533" t="s">
        <v>9</v>
      </c>
      <c r="D533" t="s">
        <v>93</v>
      </c>
      <c r="E533" t="s">
        <v>8</v>
      </c>
      <c r="F533">
        <v>2</v>
      </c>
      <c r="G533" t="str">
        <f>VLOOKUP(D533,Товары!A:I,3,0)</f>
        <v>Тумба с раковиной  напол. Леон Риф 800 солярис/белый риф 2 ящика с умыв. Слим</v>
      </c>
      <c r="H533">
        <f>VLOOKUP(D533,Товары!A:I,6,0)</f>
        <v>80</v>
      </c>
      <c r="I533" t="str">
        <f>VLOOKUP(C533,Магазины!A:C,3,0)</f>
        <v>Кемерово</v>
      </c>
      <c r="J533">
        <f>VLOOKUP(D533,Товары!A:I,4,0)</f>
        <v>29340</v>
      </c>
      <c r="K533">
        <f t="shared" si="8"/>
        <v>58680</v>
      </c>
    </row>
    <row r="534" spans="1:11" hidden="1" x14ac:dyDescent="0.25">
      <c r="A534">
        <v>533</v>
      </c>
      <c r="B534" s="1">
        <v>45751</v>
      </c>
      <c r="C534" t="s">
        <v>54</v>
      </c>
      <c r="D534" t="s">
        <v>56</v>
      </c>
      <c r="E534" t="s">
        <v>8</v>
      </c>
      <c r="F534">
        <v>2</v>
      </c>
      <c r="G534" t="str">
        <f>VLOOKUP(D534,Товары!A:I,3,0)</f>
        <v>Зеркальный шкаф Альба 80 со светильником правый цвет мята</v>
      </c>
      <c r="H534">
        <f>VLOOKUP(D534,Товары!A:I,6,0)</f>
        <v>75</v>
      </c>
      <c r="I534" t="str">
        <f>VLOOKUP(C534,Магазины!A:C,3,0)</f>
        <v>Ставрополь</v>
      </c>
      <c r="J534">
        <f>VLOOKUP(D534,Товары!A:I,4,0)</f>
        <v>9930</v>
      </c>
      <c r="K534">
        <f t="shared" si="8"/>
        <v>19860</v>
      </c>
    </row>
    <row r="535" spans="1:11" hidden="1" x14ac:dyDescent="0.25">
      <c r="A535">
        <v>534</v>
      </c>
      <c r="B535" s="1">
        <v>45752</v>
      </c>
      <c r="C535" t="s">
        <v>11</v>
      </c>
      <c r="D535" t="s">
        <v>101</v>
      </c>
      <c r="E535" t="s">
        <v>8</v>
      </c>
      <c r="F535">
        <v>1</v>
      </c>
      <c r="G535" t="str">
        <f>VLOOKUP(D535,Товары!A:I,3,0)</f>
        <v>Пенал напол. Сохо 400 белый 2 двери + 1 ящик</v>
      </c>
      <c r="H535">
        <f>VLOOKUP(D535,Товары!A:I,6,0)</f>
        <v>190</v>
      </c>
      <c r="I535" t="str">
        <f>VLOOKUP(C535,Магазины!A:C,3,0)</f>
        <v>Кемерово</v>
      </c>
      <c r="J535">
        <f>VLOOKUP(D535,Товары!A:I,4,0)</f>
        <v>11040</v>
      </c>
      <c r="K535">
        <f t="shared" si="8"/>
        <v>11040</v>
      </c>
    </row>
    <row r="536" spans="1:11" hidden="1" x14ac:dyDescent="0.25">
      <c r="A536">
        <v>535</v>
      </c>
      <c r="B536" s="1">
        <v>45749</v>
      </c>
      <c r="C536" t="s">
        <v>20</v>
      </c>
      <c r="D536" t="s">
        <v>38</v>
      </c>
      <c r="E536" t="s">
        <v>13</v>
      </c>
      <c r="F536">
        <v>1</v>
      </c>
      <c r="G536" t="str">
        <f>VLOOKUP(D536,Товары!A:I,3,0)</f>
        <v>Тумба с раковиной  навес. Куба Риф 600 белый 2 ящика с умыв. Como</v>
      </c>
      <c r="H536">
        <f>VLOOKUP(D536,Товары!A:I,6,0)</f>
        <v>55</v>
      </c>
      <c r="I536" t="str">
        <f>VLOOKUP(C536,Магазины!A:C,3,0)</f>
        <v>Оренбург</v>
      </c>
      <c r="J536">
        <f>VLOOKUP(D536,Товары!A:I,4,0)</f>
        <v>14265</v>
      </c>
      <c r="K536">
        <f t="shared" si="8"/>
        <v>14265</v>
      </c>
    </row>
    <row r="537" spans="1:11" hidden="1" x14ac:dyDescent="0.25">
      <c r="A537">
        <v>536</v>
      </c>
      <c r="B537" s="1">
        <v>45752</v>
      </c>
      <c r="C537" t="s">
        <v>111</v>
      </c>
      <c r="D537" t="s">
        <v>126</v>
      </c>
      <c r="E537" t="s">
        <v>8</v>
      </c>
      <c r="F537">
        <v>2</v>
      </c>
      <c r="G537" t="str">
        <f>VLOOKUP(D537,Товары!A:I,3,0)</f>
        <v>Тумба с раковиной  напол. Кристалл 800 шато азур 2 ящика с умыв. Комфорт</v>
      </c>
      <c r="H537">
        <f>VLOOKUP(D537,Товары!A:I,6,0)</f>
        <v>85</v>
      </c>
      <c r="I537" t="str">
        <f>VLOOKUP(C537,Магазины!A:C,3,0)</f>
        <v>Набережные Челны</v>
      </c>
      <c r="J537">
        <f>VLOOKUP(D537,Товары!A:I,4,0)</f>
        <v>31125</v>
      </c>
      <c r="K537">
        <f t="shared" si="8"/>
        <v>62250</v>
      </c>
    </row>
    <row r="538" spans="1:11" hidden="1" x14ac:dyDescent="0.25">
      <c r="A538">
        <v>537</v>
      </c>
      <c r="B538" s="1">
        <v>45755</v>
      </c>
      <c r="C538" t="s">
        <v>9</v>
      </c>
      <c r="D538" t="s">
        <v>86</v>
      </c>
      <c r="E538" t="s">
        <v>8</v>
      </c>
      <c r="F538">
        <v>3</v>
      </c>
      <c r="G538" t="str">
        <f>VLOOKUP(D538,Товары!A:I,3,0)</f>
        <v>Комод Аква 50 напольный 1 ящик 2 двери белый</v>
      </c>
      <c r="H538">
        <f>VLOOKUP(D538,Товары!A:I,6,0)</f>
        <v>90</v>
      </c>
      <c r="I538" t="str">
        <f>VLOOKUP(C538,Магазины!A:C,3,0)</f>
        <v>Кемерово</v>
      </c>
      <c r="J538">
        <f>VLOOKUP(D538,Товары!A:I,4,0)</f>
        <v>7260</v>
      </c>
      <c r="K538">
        <f t="shared" si="8"/>
        <v>21780</v>
      </c>
    </row>
    <row r="539" spans="1:11" hidden="1" x14ac:dyDescent="0.25">
      <c r="A539">
        <v>538</v>
      </c>
      <c r="B539" s="1">
        <v>45750</v>
      </c>
      <c r="C539" t="s">
        <v>14</v>
      </c>
      <c r="D539" t="s">
        <v>27</v>
      </c>
      <c r="E539" t="s">
        <v>13</v>
      </c>
      <c r="F539">
        <v>3</v>
      </c>
      <c r="G539" t="str">
        <f>VLOOKUP(D539,Товары!A:I,3,0)</f>
        <v>Тумба с раковиной  навес. Виктория 800 белый 2 ящика с умыв. Слим</v>
      </c>
      <c r="H539">
        <f>VLOOKUP(D539,Товары!A:I,6,0)</f>
        <v>60</v>
      </c>
      <c r="I539" t="str">
        <f>VLOOKUP(C539,Магазины!A:C,3,0)</f>
        <v>Оренбург</v>
      </c>
      <c r="J539">
        <f>VLOOKUP(D539,Товары!A:I,4,0)</f>
        <v>25290</v>
      </c>
      <c r="K539">
        <f t="shared" si="8"/>
        <v>75870</v>
      </c>
    </row>
    <row r="540" spans="1:11" hidden="1" x14ac:dyDescent="0.25">
      <c r="A540">
        <v>539</v>
      </c>
      <c r="B540" s="1">
        <v>45757</v>
      </c>
      <c r="C540" t="s">
        <v>18</v>
      </c>
      <c r="D540" t="s">
        <v>31</v>
      </c>
      <c r="E540" t="s">
        <v>8</v>
      </c>
      <c r="F540">
        <v>1</v>
      </c>
      <c r="G540" t="str">
        <f>VLOOKUP(D540,Товары!A:I,3,0)</f>
        <v>Пенал напол. Виктория 350 белый 2 двери</v>
      </c>
      <c r="H540">
        <f>VLOOKUP(D540,Товары!A:I,6,0)</f>
        <v>190</v>
      </c>
      <c r="I540" t="str">
        <f>VLOOKUP(C540,Магазины!A:C,3,0)</f>
        <v>Набережные Челны</v>
      </c>
      <c r="J540">
        <f>VLOOKUP(D540,Товары!A:I,4,0)</f>
        <v>14085</v>
      </c>
      <c r="K540">
        <f t="shared" si="8"/>
        <v>14085</v>
      </c>
    </row>
    <row r="541" spans="1:11" hidden="1" x14ac:dyDescent="0.25">
      <c r="A541">
        <v>540</v>
      </c>
      <c r="B541" s="1">
        <v>45750</v>
      </c>
      <c r="C541" t="s">
        <v>14</v>
      </c>
      <c r="D541" t="s">
        <v>101</v>
      </c>
      <c r="E541" t="s">
        <v>13</v>
      </c>
      <c r="F541">
        <v>1</v>
      </c>
      <c r="G541" t="str">
        <f>VLOOKUP(D541,Товары!A:I,3,0)</f>
        <v>Пенал напол. Сохо 400 белый 2 двери + 1 ящик</v>
      </c>
      <c r="H541">
        <f>VLOOKUP(D541,Товары!A:I,6,0)</f>
        <v>190</v>
      </c>
      <c r="I541" t="str">
        <f>VLOOKUP(C541,Магазины!A:C,3,0)</f>
        <v>Оренбург</v>
      </c>
      <c r="J541">
        <f>VLOOKUP(D541,Товары!A:I,4,0)</f>
        <v>11040</v>
      </c>
      <c r="K541">
        <f t="shared" si="8"/>
        <v>11040</v>
      </c>
    </row>
    <row r="542" spans="1:11" hidden="1" x14ac:dyDescent="0.25">
      <c r="A542">
        <v>541</v>
      </c>
      <c r="B542" s="1">
        <v>45750</v>
      </c>
      <c r="C542" t="s">
        <v>111</v>
      </c>
      <c r="D542" t="s">
        <v>29</v>
      </c>
      <c r="E542" t="s">
        <v>8</v>
      </c>
      <c r="F542">
        <v>1</v>
      </c>
      <c r="G542" t="str">
        <f>VLOOKUP(D542,Товары!A:I,3,0)</f>
        <v>Тумба с раковиной  напол. Леон Риф 600 солярис/белый риф 2 ящика с умыв. Океан</v>
      </c>
      <c r="H542">
        <f>VLOOKUP(D542,Товары!A:I,6,0)</f>
        <v>80</v>
      </c>
      <c r="I542" t="str">
        <f>VLOOKUP(C542,Магазины!A:C,3,0)</f>
        <v>Набережные Челны</v>
      </c>
      <c r="J542">
        <f>VLOOKUP(D542,Товары!A:I,4,0)</f>
        <v>24150</v>
      </c>
      <c r="K542">
        <f t="shared" si="8"/>
        <v>24150</v>
      </c>
    </row>
    <row r="543" spans="1:11" hidden="1" x14ac:dyDescent="0.25">
      <c r="A543">
        <v>542</v>
      </c>
      <c r="B543" s="1">
        <v>45750</v>
      </c>
      <c r="C543" t="s">
        <v>43</v>
      </c>
      <c r="D543" t="s">
        <v>70</v>
      </c>
      <c r="E543" t="s">
        <v>13</v>
      </c>
      <c r="F543">
        <v>1</v>
      </c>
      <c r="G543" t="str">
        <f>VLOOKUP(D543,Товары!A:I,3,0)</f>
        <v>Тумба с раковиной  напол. Кристалл 700 шато азур 2 ящика с умыв. Слим</v>
      </c>
      <c r="H543">
        <f>VLOOKUP(D543,Товары!A:I,6,0)</f>
        <v>85</v>
      </c>
      <c r="I543" t="str">
        <f>VLOOKUP(C543,Магазины!A:C,3,0)</f>
        <v>Набережные Челны</v>
      </c>
      <c r="J543">
        <f>VLOOKUP(D543,Товары!A:I,4,0)</f>
        <v>29910</v>
      </c>
      <c r="K543">
        <f t="shared" si="8"/>
        <v>29910</v>
      </c>
    </row>
    <row r="544" spans="1:11" hidden="1" x14ac:dyDescent="0.25">
      <c r="A544">
        <v>543</v>
      </c>
      <c r="B544" s="1">
        <v>45757</v>
      </c>
      <c r="C544" t="s">
        <v>41</v>
      </c>
      <c r="D544" t="s">
        <v>105</v>
      </c>
      <c r="E544" t="s">
        <v>8</v>
      </c>
      <c r="F544">
        <v>1</v>
      </c>
      <c r="G544" t="str">
        <f>VLOOKUP(D544,Товары!A:I,3,0)</f>
        <v>Тумба с раковиной  напол. Нева 600 белый 2 двери + 1 ящик с умыв. Como</v>
      </c>
      <c r="H544">
        <f>VLOOKUP(D544,Товары!A:I,6,0)</f>
        <v>80</v>
      </c>
      <c r="I544" t="str">
        <f>VLOOKUP(C544,Магазины!A:C,3,0)</f>
        <v>Ставрополь</v>
      </c>
      <c r="J544">
        <f>VLOOKUP(D544,Товары!A:I,4,0)</f>
        <v>13470</v>
      </c>
      <c r="K544">
        <f t="shared" si="8"/>
        <v>13470</v>
      </c>
    </row>
    <row r="545" spans="1:11" hidden="1" x14ac:dyDescent="0.25">
      <c r="A545">
        <v>544</v>
      </c>
      <c r="B545" s="1">
        <v>45748</v>
      </c>
      <c r="C545" t="s">
        <v>103</v>
      </c>
      <c r="D545" t="s">
        <v>112</v>
      </c>
      <c r="E545" t="s">
        <v>8</v>
      </c>
      <c r="F545">
        <v>1</v>
      </c>
      <c r="G545" t="str">
        <f>VLOOKUP(D545,Товары!A:I,3,0)</f>
        <v>Тумба с раковиной  напол. Аква 560 белый 2 двери с умыв. Уют</v>
      </c>
      <c r="H545">
        <f>VLOOKUP(D545,Товары!A:I,6,0)</f>
        <v>85</v>
      </c>
      <c r="I545" t="str">
        <f>VLOOKUP(C545,Магазины!A:C,3,0)</f>
        <v>Ставрополь</v>
      </c>
      <c r="J545">
        <f>VLOOKUP(D545,Товары!A:I,4,0)</f>
        <v>9330</v>
      </c>
      <c r="K545">
        <f t="shared" si="8"/>
        <v>9330</v>
      </c>
    </row>
    <row r="546" spans="1:11" hidden="1" x14ac:dyDescent="0.25">
      <c r="A546">
        <v>545</v>
      </c>
      <c r="B546" s="1">
        <v>45748</v>
      </c>
      <c r="C546" t="s">
        <v>11</v>
      </c>
      <c r="D546" t="s">
        <v>56</v>
      </c>
      <c r="E546" t="s">
        <v>8</v>
      </c>
      <c r="F546">
        <v>3</v>
      </c>
      <c r="G546" t="str">
        <f>VLOOKUP(D546,Товары!A:I,3,0)</f>
        <v>Зеркальный шкаф Альба 80 со светильником правый цвет мята</v>
      </c>
      <c r="H546">
        <f>VLOOKUP(D546,Товары!A:I,6,0)</f>
        <v>75</v>
      </c>
      <c r="I546" t="str">
        <f>VLOOKUP(C546,Магазины!A:C,3,0)</f>
        <v>Кемерово</v>
      </c>
      <c r="J546">
        <f>VLOOKUP(D546,Товары!A:I,4,0)</f>
        <v>9930</v>
      </c>
      <c r="K546">
        <f t="shared" si="8"/>
        <v>29790</v>
      </c>
    </row>
    <row r="547" spans="1:11" hidden="1" x14ac:dyDescent="0.25">
      <c r="A547">
        <v>546</v>
      </c>
      <c r="B547" s="1">
        <v>45749</v>
      </c>
      <c r="C547" t="s">
        <v>54</v>
      </c>
      <c r="D547" t="s">
        <v>62</v>
      </c>
      <c r="E547" t="s">
        <v>13</v>
      </c>
      <c r="F547">
        <v>2</v>
      </c>
      <c r="G547" t="str">
        <f>VLOOKUP(D547,Товары!A:I,3,0)</f>
        <v>Тумба с раковиной  напол. Альба 600 мята 2 ящика с умыв. Океан</v>
      </c>
      <c r="H547">
        <f>VLOOKUP(D547,Товары!A:I,6,0)</f>
        <v>80</v>
      </c>
      <c r="I547" t="str">
        <f>VLOOKUP(C547,Магазины!A:C,3,0)</f>
        <v>Ставрополь</v>
      </c>
      <c r="J547">
        <f>VLOOKUP(D547,Товары!A:I,4,0)</f>
        <v>26370</v>
      </c>
      <c r="K547">
        <f t="shared" si="8"/>
        <v>52740</v>
      </c>
    </row>
    <row r="548" spans="1:11" hidden="1" x14ac:dyDescent="0.25">
      <c r="A548">
        <v>547</v>
      </c>
      <c r="B548" s="1">
        <v>45755</v>
      </c>
      <c r="C548" t="s">
        <v>63</v>
      </c>
      <c r="D548" t="s">
        <v>44</v>
      </c>
      <c r="E548" t="s">
        <v>8</v>
      </c>
      <c r="F548">
        <v>2</v>
      </c>
      <c r="G548" t="str">
        <f>VLOOKUP(D548,Товары!A:I,3,0)</f>
        <v>Тумба с раковиной  навес. Кристалл 800 шато азур 2 ящика с умыв. Комфорт</v>
      </c>
      <c r="H548">
        <f>VLOOKUP(D548,Товары!A:I,6,0)</f>
        <v>55</v>
      </c>
      <c r="I548" t="str">
        <f>VLOOKUP(C548,Магазины!A:C,3,0)</f>
        <v>Ставрополь</v>
      </c>
      <c r="J548">
        <f>VLOOKUP(D548,Товары!A:I,4,0)</f>
        <v>25080</v>
      </c>
      <c r="K548">
        <f t="shared" si="8"/>
        <v>50160</v>
      </c>
    </row>
    <row r="549" spans="1:11" hidden="1" x14ac:dyDescent="0.25">
      <c r="A549">
        <v>548</v>
      </c>
      <c r="B549" s="1">
        <v>45757</v>
      </c>
      <c r="C549" t="s">
        <v>35</v>
      </c>
      <c r="D549" t="s">
        <v>84</v>
      </c>
      <c r="E549" t="s">
        <v>13</v>
      </c>
      <c r="F549">
        <v>1</v>
      </c>
      <c r="G549" t="str">
        <f>VLOOKUP(D549,Товары!A:I,3,0)</f>
        <v>Тумба с раковиной  напол. Куба Риф 800 белый 3 двери с умыв. Слим</v>
      </c>
      <c r="H549">
        <f>VLOOKUP(D549,Товары!A:I,6,0)</f>
        <v>85</v>
      </c>
      <c r="I549" t="str">
        <f>VLOOKUP(C549,Магазины!A:C,3,0)</f>
        <v>Набережные Челны</v>
      </c>
      <c r="J549">
        <f>VLOOKUP(D549,Товары!A:I,4,0)</f>
        <v>19920</v>
      </c>
      <c r="K549">
        <f t="shared" si="8"/>
        <v>19920</v>
      </c>
    </row>
    <row r="550" spans="1:11" hidden="1" x14ac:dyDescent="0.25">
      <c r="A550">
        <v>549</v>
      </c>
      <c r="B550" s="1">
        <v>45751</v>
      </c>
      <c r="C550" t="s">
        <v>63</v>
      </c>
      <c r="D550" t="s">
        <v>15</v>
      </c>
      <c r="E550" t="s">
        <v>8</v>
      </c>
      <c r="F550">
        <v>1</v>
      </c>
      <c r="G550" t="str">
        <f>VLOOKUP(D550,Товары!A:I,3,0)</f>
        <v>Зеркальный шкаф Кристалл 60 со светильником правый, ручка кнопка дуб цвет Шато Азур</v>
      </c>
      <c r="H550">
        <f>VLOOKUP(D550,Товары!A:I,6,0)</f>
        <v>75</v>
      </c>
      <c r="I550" t="str">
        <f>VLOOKUP(C550,Магазины!A:C,3,0)</f>
        <v>Ставрополь</v>
      </c>
      <c r="J550">
        <f>VLOOKUP(D550,Товары!A:I,4,0)</f>
        <v>9195</v>
      </c>
      <c r="K550">
        <f t="shared" si="8"/>
        <v>9195</v>
      </c>
    </row>
    <row r="551" spans="1:11" hidden="1" x14ac:dyDescent="0.25">
      <c r="A551">
        <v>550</v>
      </c>
      <c r="B551" s="1">
        <v>45755</v>
      </c>
      <c r="C551" t="s">
        <v>35</v>
      </c>
      <c r="D551" t="s">
        <v>109</v>
      </c>
      <c r="E551" t="s">
        <v>8</v>
      </c>
      <c r="F551">
        <v>3</v>
      </c>
      <c r="G551" t="str">
        <f>VLOOKUP(D551,Товары!A:I,3,0)</f>
        <v>Тумба с раковиной  навес. Альба 600 антрацит 2 ящика с умыв. Океан</v>
      </c>
      <c r="H551">
        <f>VLOOKUP(D551,Товары!A:I,6,0)</f>
        <v>50</v>
      </c>
      <c r="I551" t="str">
        <f>VLOOKUP(C551,Магазины!A:C,3,0)</f>
        <v>Набережные Челны</v>
      </c>
      <c r="J551">
        <f>VLOOKUP(D551,Товары!A:I,4,0)</f>
        <v>24810</v>
      </c>
      <c r="K551">
        <f t="shared" si="8"/>
        <v>74430</v>
      </c>
    </row>
    <row r="552" spans="1:11" hidden="1" x14ac:dyDescent="0.25">
      <c r="A552">
        <v>551</v>
      </c>
      <c r="B552" s="1">
        <v>45748</v>
      </c>
      <c r="C552" t="s">
        <v>111</v>
      </c>
      <c r="D552" t="s">
        <v>88</v>
      </c>
      <c r="E552" t="s">
        <v>8</v>
      </c>
      <c r="F552">
        <v>3</v>
      </c>
      <c r="G552" t="str">
        <f>VLOOKUP(D552,Товары!A:I,3,0)</f>
        <v>Тумба с раковиной  навес. Альба 800 антрацит 2 ящика с умыв. Слим</v>
      </c>
      <c r="H552">
        <f>VLOOKUP(D552,Товары!A:I,6,0)</f>
        <v>50</v>
      </c>
      <c r="I552" t="str">
        <f>VLOOKUP(C552,Магазины!A:C,3,0)</f>
        <v>Набережные Челны</v>
      </c>
      <c r="J552">
        <f>VLOOKUP(D552,Товары!A:I,4,0)</f>
        <v>26070</v>
      </c>
      <c r="K552">
        <f t="shared" si="8"/>
        <v>78210</v>
      </c>
    </row>
    <row r="553" spans="1:11" hidden="1" x14ac:dyDescent="0.25">
      <c r="A553">
        <v>552</v>
      </c>
      <c r="B553" s="1">
        <v>45756</v>
      </c>
      <c r="C553" t="s">
        <v>16</v>
      </c>
      <c r="D553" t="s">
        <v>102</v>
      </c>
      <c r="E553" t="s">
        <v>8</v>
      </c>
      <c r="F553">
        <v>2</v>
      </c>
      <c r="G553" t="str">
        <f>VLOOKUP(D553,Товары!A:I,3,0)</f>
        <v>Тумба с раковиной  напол. Леон Риф 1000 солярис/белый риф 2 ящика с умыв. Слим</v>
      </c>
      <c r="H553">
        <f>VLOOKUP(D553,Товары!A:I,6,0)</f>
        <v>85</v>
      </c>
      <c r="I553" t="str">
        <f>VLOOKUP(C553,Магазины!A:C,3,0)</f>
        <v>Оренбург</v>
      </c>
      <c r="J553">
        <f>VLOOKUP(D553,Товары!A:I,4,0)</f>
        <v>32085</v>
      </c>
      <c r="K553">
        <f t="shared" si="8"/>
        <v>64170</v>
      </c>
    </row>
    <row r="554" spans="1:11" hidden="1" x14ac:dyDescent="0.25">
      <c r="A554">
        <v>553</v>
      </c>
      <c r="B554" s="1">
        <v>45754</v>
      </c>
      <c r="C554" t="s">
        <v>11</v>
      </c>
      <c r="D554" t="s">
        <v>97</v>
      </c>
      <c r="E554" t="s">
        <v>8</v>
      </c>
      <c r="F554">
        <v>2</v>
      </c>
      <c r="G554" t="str">
        <f>VLOOKUP(D554,Товары!A:I,3,0)</f>
        <v>Пенал напол. Кристалл 350 суфле 2 двери</v>
      </c>
      <c r="H554">
        <f>VLOOKUP(D554,Товары!A:I,6,0)</f>
        <v>190</v>
      </c>
      <c r="I554" t="str">
        <f>VLOOKUP(C554,Магазины!A:C,3,0)</f>
        <v>Кемерово</v>
      </c>
      <c r="J554">
        <f>VLOOKUP(D554,Товары!A:I,4,0)</f>
        <v>15810</v>
      </c>
      <c r="K554">
        <f t="shared" si="8"/>
        <v>31620</v>
      </c>
    </row>
    <row r="555" spans="1:11" hidden="1" x14ac:dyDescent="0.25">
      <c r="A555">
        <v>554</v>
      </c>
      <c r="B555" s="1">
        <v>45757</v>
      </c>
      <c r="C555" t="s">
        <v>33</v>
      </c>
      <c r="D555" t="s">
        <v>128</v>
      </c>
      <c r="E555" t="s">
        <v>13</v>
      </c>
      <c r="F555">
        <v>1</v>
      </c>
      <c r="G555" t="str">
        <f>VLOOKUP(D555,Товары!A:I,3,0)</f>
        <v>Тумба с раковиной  напол. Куба Риф 1000 белый 2 ящика с умыв. Слим</v>
      </c>
      <c r="H555">
        <f>VLOOKUP(D555,Товары!A:I,6,0)</f>
        <v>85</v>
      </c>
      <c r="I555" t="str">
        <f>VLOOKUP(C555,Магазины!A:C,3,0)</f>
        <v>Набережные Челны</v>
      </c>
      <c r="J555">
        <f>VLOOKUP(D555,Товары!A:I,4,0)</f>
        <v>22905</v>
      </c>
      <c r="K555">
        <f t="shared" si="8"/>
        <v>22905</v>
      </c>
    </row>
    <row r="556" spans="1:11" hidden="1" x14ac:dyDescent="0.25">
      <c r="A556">
        <v>555</v>
      </c>
      <c r="B556" s="1">
        <v>45753</v>
      </c>
      <c r="C556" t="s">
        <v>26</v>
      </c>
      <c r="D556" t="s">
        <v>45</v>
      </c>
      <c r="E556" t="s">
        <v>13</v>
      </c>
      <c r="F556">
        <v>2</v>
      </c>
      <c r="G556" t="str">
        <f>VLOOKUP(D556,Товары!A:I,3,0)</f>
        <v>Зеркальный шкаф Рица 80 со светильником правый цвет cерый/керамика</v>
      </c>
      <c r="H556">
        <f>VLOOKUP(D556,Товары!A:I,6,0)</f>
        <v>75</v>
      </c>
      <c r="I556" t="str">
        <f>VLOOKUP(C556,Магазины!A:C,3,0)</f>
        <v>Оренбург</v>
      </c>
      <c r="J556">
        <f>VLOOKUP(D556,Товары!A:I,4,0)</f>
        <v>9930</v>
      </c>
      <c r="K556">
        <f t="shared" si="8"/>
        <v>19860</v>
      </c>
    </row>
    <row r="557" spans="1:11" hidden="1" x14ac:dyDescent="0.25">
      <c r="A557">
        <v>556</v>
      </c>
      <c r="B557" s="1">
        <v>45749</v>
      </c>
      <c r="C557" t="s">
        <v>63</v>
      </c>
      <c r="D557" t="s">
        <v>68</v>
      </c>
      <c r="E557" t="s">
        <v>13</v>
      </c>
      <c r="F557">
        <v>1</v>
      </c>
      <c r="G557" t="str">
        <f>VLOOKUP(D557,Товары!A:I,3,0)</f>
        <v>Тумба с раковиной  навес. Альба 600 антрацит 1 ящик с умыв. Океан</v>
      </c>
      <c r="H557">
        <f>VLOOKUP(D557,Товары!A:I,6,0)</f>
        <v>85</v>
      </c>
      <c r="I557" t="str">
        <f>VLOOKUP(C557,Магазины!A:C,3,0)</f>
        <v>Ставрополь</v>
      </c>
      <c r="J557">
        <f>VLOOKUP(D557,Товары!A:I,4,0)</f>
        <v>17625</v>
      </c>
      <c r="K557">
        <f t="shared" si="8"/>
        <v>17625</v>
      </c>
    </row>
    <row r="558" spans="1:11" hidden="1" x14ac:dyDescent="0.25">
      <c r="A558">
        <v>557</v>
      </c>
      <c r="B558" s="1">
        <v>45755</v>
      </c>
      <c r="C558" t="s">
        <v>48</v>
      </c>
      <c r="D558" t="s">
        <v>38</v>
      </c>
      <c r="E558" t="s">
        <v>8</v>
      </c>
      <c r="F558">
        <v>1</v>
      </c>
      <c r="G558" t="str">
        <f>VLOOKUP(D558,Товары!A:I,3,0)</f>
        <v>Тумба с раковиной  навес. Куба Риф 600 белый 2 ящика с умыв. Como</v>
      </c>
      <c r="H558">
        <f>VLOOKUP(D558,Товары!A:I,6,0)</f>
        <v>55</v>
      </c>
      <c r="I558" t="str">
        <f>VLOOKUP(C558,Магазины!A:C,3,0)</f>
        <v>Ставрополь</v>
      </c>
      <c r="J558">
        <f>VLOOKUP(D558,Товары!A:I,4,0)</f>
        <v>14265</v>
      </c>
      <c r="K558">
        <f t="shared" si="8"/>
        <v>14265</v>
      </c>
    </row>
    <row r="559" spans="1:11" hidden="1" x14ac:dyDescent="0.25">
      <c r="A559">
        <v>558</v>
      </c>
      <c r="B559" s="1">
        <v>45748</v>
      </c>
      <c r="C559" t="s">
        <v>48</v>
      </c>
      <c r="D559" t="s">
        <v>96</v>
      </c>
      <c r="E559" t="s">
        <v>8</v>
      </c>
      <c r="F559">
        <v>2</v>
      </c>
      <c r="G559" t="str">
        <f>VLOOKUP(D559,Товары!A:I,3,0)</f>
        <v>Тумба с раковиной  навес. Альба 600 мята 1 ящик с умыв. Океан</v>
      </c>
      <c r="H559">
        <f>VLOOKUP(D559,Товары!A:I,6,0)</f>
        <v>85</v>
      </c>
      <c r="I559" t="str">
        <f>VLOOKUP(C559,Магазины!A:C,3,0)</f>
        <v>Ставрополь</v>
      </c>
      <c r="J559">
        <f>VLOOKUP(D559,Товары!A:I,4,0)</f>
        <v>17625</v>
      </c>
      <c r="K559">
        <f t="shared" si="8"/>
        <v>35250</v>
      </c>
    </row>
    <row r="560" spans="1:11" hidden="1" x14ac:dyDescent="0.25">
      <c r="A560">
        <v>559</v>
      </c>
      <c r="B560" s="1">
        <v>45753</v>
      </c>
      <c r="C560" t="s">
        <v>20</v>
      </c>
      <c r="D560" t="s">
        <v>42</v>
      </c>
      <c r="E560" t="s">
        <v>13</v>
      </c>
      <c r="F560">
        <v>3</v>
      </c>
      <c r="G560" t="str">
        <f>VLOOKUP(D560,Товары!A:I,3,0)</f>
        <v>Тумба под стиральную машину Леон Риф 57 подвесная 2 ящика под ст/маш, без умывальника /под Marshall 120 Солярис/Белый Риф</v>
      </c>
      <c r="H560">
        <f>VLOOKUP(D560,Товары!A:I,6,0)</f>
        <v>60</v>
      </c>
      <c r="I560" t="str">
        <f>VLOOKUP(C560,Магазины!A:C,3,0)</f>
        <v>Оренбург</v>
      </c>
      <c r="J560">
        <f>VLOOKUP(D560,Товары!A:I,4,0)</f>
        <v>15495</v>
      </c>
      <c r="K560">
        <f t="shared" si="8"/>
        <v>46485</v>
      </c>
    </row>
    <row r="561" spans="1:11" hidden="1" x14ac:dyDescent="0.25">
      <c r="A561">
        <v>560</v>
      </c>
      <c r="B561" s="1">
        <v>45749</v>
      </c>
      <c r="C561" t="s">
        <v>48</v>
      </c>
      <c r="D561" t="s">
        <v>38</v>
      </c>
      <c r="E561" t="s">
        <v>8</v>
      </c>
      <c r="F561">
        <v>2</v>
      </c>
      <c r="G561" t="str">
        <f>VLOOKUP(D561,Товары!A:I,3,0)</f>
        <v>Тумба с раковиной  навес. Куба Риф 600 белый 2 ящика с умыв. Como</v>
      </c>
      <c r="H561">
        <f>VLOOKUP(D561,Товары!A:I,6,0)</f>
        <v>55</v>
      </c>
      <c r="I561" t="str">
        <f>VLOOKUP(C561,Магазины!A:C,3,0)</f>
        <v>Ставрополь</v>
      </c>
      <c r="J561">
        <f>VLOOKUP(D561,Товары!A:I,4,0)</f>
        <v>14265</v>
      </c>
      <c r="K561">
        <f t="shared" si="8"/>
        <v>28530</v>
      </c>
    </row>
    <row r="562" spans="1:11" hidden="1" x14ac:dyDescent="0.25">
      <c r="A562">
        <v>561</v>
      </c>
      <c r="B562" s="1">
        <v>45751</v>
      </c>
      <c r="C562" t="s">
        <v>9</v>
      </c>
      <c r="D562" t="s">
        <v>119</v>
      </c>
      <c r="E562" t="s">
        <v>8</v>
      </c>
      <c r="F562">
        <v>1</v>
      </c>
      <c r="G562" t="str">
        <f>VLOOKUP(D562,Товары!A:I,3,0)</f>
        <v>Пенал навес./напол. Рица 350 cерый/керамика 2 двери</v>
      </c>
      <c r="H562">
        <f>VLOOKUP(D562,Товары!A:I,6,0)</f>
        <v>160</v>
      </c>
      <c r="I562" t="str">
        <f>VLOOKUP(C562,Магазины!A:C,3,0)</f>
        <v>Кемерово</v>
      </c>
      <c r="J562">
        <f>VLOOKUP(D562,Товары!A:I,4,0)</f>
        <v>11250</v>
      </c>
      <c r="K562">
        <f t="shared" si="8"/>
        <v>11250</v>
      </c>
    </row>
    <row r="563" spans="1:11" hidden="1" x14ac:dyDescent="0.25">
      <c r="A563">
        <v>562</v>
      </c>
      <c r="B563" s="1">
        <v>45749</v>
      </c>
      <c r="C563" t="s">
        <v>26</v>
      </c>
      <c r="D563" t="s">
        <v>55</v>
      </c>
      <c r="E563" t="s">
        <v>8</v>
      </c>
      <c r="F563">
        <v>1</v>
      </c>
      <c r="G563" t="str">
        <f>VLOOKUP(D563,Товары!A:I,3,0)</f>
        <v>Тумба с раковиной  напол. Рица 600 cерый/керамика 2 ящика с умыв. Океан</v>
      </c>
      <c r="H563">
        <f>VLOOKUP(D563,Товары!A:I,6,0)</f>
        <v>80</v>
      </c>
      <c r="I563" t="str">
        <f>VLOOKUP(C563,Магазины!A:C,3,0)</f>
        <v>Оренбург</v>
      </c>
      <c r="J563">
        <f>VLOOKUP(D563,Товары!A:I,4,0)</f>
        <v>25560</v>
      </c>
      <c r="K563">
        <f t="shared" si="8"/>
        <v>25560</v>
      </c>
    </row>
    <row r="564" spans="1:11" hidden="1" x14ac:dyDescent="0.25">
      <c r="A564">
        <v>563</v>
      </c>
      <c r="B564" s="1">
        <v>45757</v>
      </c>
      <c r="C564" t="s">
        <v>28</v>
      </c>
      <c r="D564" t="s">
        <v>95</v>
      </c>
      <c r="E564" t="s">
        <v>8</v>
      </c>
      <c r="F564">
        <v>3</v>
      </c>
      <c r="G564" t="str">
        <f>VLOOKUP(D564,Товары!A:I,3,0)</f>
        <v>Тумба с раковиной  напол. Рица 600 антрацит 2 ящика с умыв. Океан</v>
      </c>
      <c r="H564">
        <f>VLOOKUP(D564,Товары!A:I,6,0)</f>
        <v>80</v>
      </c>
      <c r="I564" t="str">
        <f>VLOOKUP(C564,Магазины!A:C,3,0)</f>
        <v>Набережные Челны</v>
      </c>
      <c r="J564">
        <f>VLOOKUP(D564,Товары!A:I,4,0)</f>
        <v>25560</v>
      </c>
      <c r="K564">
        <f t="shared" si="8"/>
        <v>76680</v>
      </c>
    </row>
    <row r="565" spans="1:11" hidden="1" x14ac:dyDescent="0.25">
      <c r="A565">
        <v>564</v>
      </c>
      <c r="B565" s="1">
        <v>45753</v>
      </c>
      <c r="C565" t="s">
        <v>22</v>
      </c>
      <c r="D565" t="s">
        <v>19</v>
      </c>
      <c r="E565" t="s">
        <v>8</v>
      </c>
      <c r="F565">
        <v>2</v>
      </c>
      <c r="G565" t="str">
        <f>VLOOKUP(D565,Товары!A:I,3,0)</f>
        <v>Тумба с раковиной  навес. Леон 800 оникс 2 ящика с умыв. Слим</v>
      </c>
      <c r="H565">
        <f>VLOOKUP(D565,Товары!A:I,6,0)</f>
        <v>60</v>
      </c>
      <c r="I565" t="str">
        <f>VLOOKUP(C565,Магазины!A:C,3,0)</f>
        <v>Кемерово</v>
      </c>
      <c r="J565">
        <f>VLOOKUP(D565,Товары!A:I,4,0)</f>
        <v>27930</v>
      </c>
      <c r="K565">
        <f t="shared" si="8"/>
        <v>55860</v>
      </c>
    </row>
    <row r="566" spans="1:11" hidden="1" x14ac:dyDescent="0.25">
      <c r="A566">
        <v>565</v>
      </c>
      <c r="B566" s="1">
        <v>45754</v>
      </c>
      <c r="C566" t="s">
        <v>103</v>
      </c>
      <c r="D566" t="s">
        <v>116</v>
      </c>
      <c r="E566" t="s">
        <v>13</v>
      </c>
      <c r="F566">
        <v>3</v>
      </c>
      <c r="G566" t="str">
        <f>VLOOKUP(D566,Товары!A:I,3,0)</f>
        <v>Зеркало Нева 60 дуб/белый со светильником</v>
      </c>
      <c r="H566">
        <f>VLOOKUP(D566,Товары!A:I,6,0)</f>
        <v>80</v>
      </c>
      <c r="I566" t="str">
        <f>VLOOKUP(C566,Магазины!A:C,3,0)</f>
        <v>Ставрополь</v>
      </c>
      <c r="J566">
        <f>VLOOKUP(D566,Товары!A:I,4,0)</f>
        <v>5100</v>
      </c>
      <c r="K566">
        <f t="shared" si="8"/>
        <v>15300</v>
      </c>
    </row>
    <row r="567" spans="1:11" hidden="1" x14ac:dyDescent="0.25">
      <c r="A567">
        <v>566</v>
      </c>
      <c r="B567" s="1">
        <v>45750</v>
      </c>
      <c r="C567" t="s">
        <v>41</v>
      </c>
      <c r="D567" t="s">
        <v>80</v>
      </c>
      <c r="E567" t="s">
        <v>8</v>
      </c>
      <c r="F567">
        <v>2</v>
      </c>
      <c r="G567" t="str">
        <f>VLOOKUP(D567,Товары!A:I,3,0)</f>
        <v>Тумба с раковиной  навес. Сохо 600 белый 2 ящика с умыв. Океан</v>
      </c>
      <c r="H567">
        <f>VLOOKUP(D567,Товары!A:I,6,0)</f>
        <v>55</v>
      </c>
      <c r="I567" t="str">
        <f>VLOOKUP(C567,Магазины!A:C,3,0)</f>
        <v>Ставрополь</v>
      </c>
      <c r="J567">
        <f>VLOOKUP(D567,Товары!A:I,4,0)</f>
        <v>13950</v>
      </c>
      <c r="K567">
        <f t="shared" si="8"/>
        <v>27900</v>
      </c>
    </row>
    <row r="568" spans="1:11" hidden="1" x14ac:dyDescent="0.25">
      <c r="A568">
        <v>567</v>
      </c>
      <c r="B568" s="1">
        <v>45751</v>
      </c>
      <c r="C568" t="s">
        <v>57</v>
      </c>
      <c r="D568" t="s">
        <v>129</v>
      </c>
      <c r="E568" t="s">
        <v>13</v>
      </c>
      <c r="F568">
        <v>2</v>
      </c>
      <c r="G568" t="str">
        <f>VLOOKUP(D568,Товары!A:I,3,0)</f>
        <v>Тумба с раковиной  напол. Альба 700 антрацит 2 ящика с умыв. Слим</v>
      </c>
      <c r="H568">
        <f>VLOOKUP(D568,Товары!A:I,6,0)</f>
        <v>85</v>
      </c>
      <c r="I568" t="str">
        <f>VLOOKUP(C568,Магазины!A:C,3,0)</f>
        <v>Оренбург</v>
      </c>
      <c r="J568">
        <f>VLOOKUP(D568,Товары!A:I,4,0)</f>
        <v>28695</v>
      </c>
      <c r="K568">
        <f t="shared" si="8"/>
        <v>57390</v>
      </c>
    </row>
    <row r="569" spans="1:11" hidden="1" x14ac:dyDescent="0.25">
      <c r="A569">
        <v>568</v>
      </c>
      <c r="B569" s="1">
        <v>45755</v>
      </c>
      <c r="C569" t="s">
        <v>54</v>
      </c>
      <c r="D569" t="s">
        <v>119</v>
      </c>
      <c r="E569" t="s">
        <v>13</v>
      </c>
      <c r="F569">
        <v>3</v>
      </c>
      <c r="G569" t="str">
        <f>VLOOKUP(D569,Товары!A:I,3,0)</f>
        <v>Пенал навес./напол. Рица 350 cерый/керамика 2 двери</v>
      </c>
      <c r="H569">
        <f>VLOOKUP(D569,Товары!A:I,6,0)</f>
        <v>160</v>
      </c>
      <c r="I569" t="str">
        <f>VLOOKUP(C569,Магазины!A:C,3,0)</f>
        <v>Ставрополь</v>
      </c>
      <c r="J569">
        <f>VLOOKUP(D569,Товары!A:I,4,0)</f>
        <v>11250</v>
      </c>
      <c r="K569">
        <f t="shared" si="8"/>
        <v>33750</v>
      </c>
    </row>
    <row r="570" spans="1:11" hidden="1" x14ac:dyDescent="0.25">
      <c r="A570">
        <v>569</v>
      </c>
      <c r="B570" s="1">
        <v>45755</v>
      </c>
      <c r="C570" t="s">
        <v>9</v>
      </c>
      <c r="D570" t="s">
        <v>19</v>
      </c>
      <c r="E570" t="s">
        <v>8</v>
      </c>
      <c r="F570">
        <v>3</v>
      </c>
      <c r="G570" t="str">
        <f>VLOOKUP(D570,Товары!A:I,3,0)</f>
        <v>Тумба с раковиной  навес. Леон 800 оникс 2 ящика с умыв. Слим</v>
      </c>
      <c r="H570">
        <f>VLOOKUP(D570,Товары!A:I,6,0)</f>
        <v>60</v>
      </c>
      <c r="I570" t="str">
        <f>VLOOKUP(C570,Магазины!A:C,3,0)</f>
        <v>Кемерово</v>
      </c>
      <c r="J570">
        <f>VLOOKUP(D570,Товары!A:I,4,0)</f>
        <v>27930</v>
      </c>
      <c r="K570">
        <f t="shared" si="8"/>
        <v>83790</v>
      </c>
    </row>
    <row r="571" spans="1:11" hidden="1" x14ac:dyDescent="0.25">
      <c r="A571">
        <v>570</v>
      </c>
      <c r="B571" s="1">
        <v>45752</v>
      </c>
      <c r="C571" t="s">
        <v>16</v>
      </c>
      <c r="D571" t="s">
        <v>69</v>
      </c>
      <c r="E571" t="s">
        <v>13</v>
      </c>
      <c r="F571">
        <v>1</v>
      </c>
      <c r="G571" t="str">
        <f>VLOOKUP(D571,Товары!A:I,3,0)</f>
        <v>Пенал навес./напол. Альба 350 антрацит 2 двери</v>
      </c>
      <c r="H571">
        <f>VLOOKUP(D571,Товары!A:I,6,0)</f>
        <v>150</v>
      </c>
      <c r="I571" t="str">
        <f>VLOOKUP(C571,Магазины!A:C,3,0)</f>
        <v>Оренбург</v>
      </c>
      <c r="J571">
        <f>VLOOKUP(D571,Товары!A:I,4,0)</f>
        <v>11655</v>
      </c>
      <c r="K571">
        <f t="shared" si="8"/>
        <v>11655</v>
      </c>
    </row>
    <row r="572" spans="1:11" hidden="1" x14ac:dyDescent="0.25">
      <c r="A572">
        <v>571</v>
      </c>
      <c r="B572" s="1">
        <v>45753</v>
      </c>
      <c r="C572" t="s">
        <v>54</v>
      </c>
      <c r="D572" t="s">
        <v>50</v>
      </c>
      <c r="E572" t="s">
        <v>13</v>
      </c>
      <c r="F572">
        <v>2</v>
      </c>
      <c r="G572" t="str">
        <f>VLOOKUP(D572,Товары!A:I,3,0)</f>
        <v>Тумба с раковиной  напол. Леон 800 оникс 2 ящика с умыв. Слим</v>
      </c>
      <c r="H572">
        <f>VLOOKUP(D572,Товары!A:I,6,0)</f>
        <v>80</v>
      </c>
      <c r="I572" t="str">
        <f>VLOOKUP(C572,Магазины!A:C,3,0)</f>
        <v>Ставрополь</v>
      </c>
      <c r="J572">
        <f>VLOOKUP(D572,Товары!A:I,4,0)</f>
        <v>29400</v>
      </c>
      <c r="K572">
        <f t="shared" si="8"/>
        <v>58800</v>
      </c>
    </row>
    <row r="573" spans="1:11" hidden="1" x14ac:dyDescent="0.25">
      <c r="A573">
        <v>572</v>
      </c>
      <c r="B573" s="1">
        <v>45748</v>
      </c>
      <c r="C573" t="s">
        <v>26</v>
      </c>
      <c r="D573" t="s">
        <v>131</v>
      </c>
      <c r="E573" t="s">
        <v>8</v>
      </c>
      <c r="F573">
        <v>1</v>
      </c>
      <c r="G573" t="str">
        <f>VLOOKUP(D573,Товары!A:I,3,0)</f>
        <v>Тумба с раковиной  напол. Леон 800 форест 2 ящика с умыв. Слим</v>
      </c>
      <c r="H573">
        <f>VLOOKUP(D573,Товары!A:I,6,0)</f>
        <v>80</v>
      </c>
      <c r="I573" t="str">
        <f>VLOOKUP(C573,Магазины!A:C,3,0)</f>
        <v>Оренбург</v>
      </c>
      <c r="J573">
        <f>VLOOKUP(D573,Товары!A:I,4,0)</f>
        <v>29400</v>
      </c>
      <c r="K573">
        <f t="shared" si="8"/>
        <v>29400</v>
      </c>
    </row>
    <row r="574" spans="1:11" hidden="1" x14ac:dyDescent="0.25">
      <c r="A574">
        <v>573</v>
      </c>
      <c r="B574" s="1">
        <v>45750</v>
      </c>
      <c r="C574" t="s">
        <v>16</v>
      </c>
      <c r="D574" t="s">
        <v>86</v>
      </c>
      <c r="E574" t="s">
        <v>13</v>
      </c>
      <c r="F574">
        <v>3</v>
      </c>
      <c r="G574" t="str">
        <f>VLOOKUP(D574,Товары!A:I,3,0)</f>
        <v>Комод Аква 50 напольный 1 ящик 2 двери белый</v>
      </c>
      <c r="H574">
        <f>VLOOKUP(D574,Товары!A:I,6,0)</f>
        <v>90</v>
      </c>
      <c r="I574" t="str">
        <f>VLOOKUP(C574,Магазины!A:C,3,0)</f>
        <v>Оренбург</v>
      </c>
      <c r="J574">
        <f>VLOOKUP(D574,Товары!A:I,4,0)</f>
        <v>7260</v>
      </c>
      <c r="K574">
        <f t="shared" si="8"/>
        <v>21780</v>
      </c>
    </row>
    <row r="575" spans="1:11" hidden="1" x14ac:dyDescent="0.25">
      <c r="A575">
        <v>574</v>
      </c>
      <c r="B575" s="1">
        <v>45757</v>
      </c>
      <c r="C575" t="s">
        <v>57</v>
      </c>
      <c r="D575" t="s">
        <v>88</v>
      </c>
      <c r="E575" t="s">
        <v>8</v>
      </c>
      <c r="F575">
        <v>2</v>
      </c>
      <c r="G575" t="str">
        <f>VLOOKUP(D575,Товары!A:I,3,0)</f>
        <v>Тумба с раковиной  навес. Альба 800 антрацит 2 ящика с умыв. Слим</v>
      </c>
      <c r="H575">
        <f>VLOOKUP(D575,Товары!A:I,6,0)</f>
        <v>50</v>
      </c>
      <c r="I575" t="str">
        <f>VLOOKUP(C575,Магазины!A:C,3,0)</f>
        <v>Оренбург</v>
      </c>
      <c r="J575">
        <f>VLOOKUP(D575,Товары!A:I,4,0)</f>
        <v>26070</v>
      </c>
      <c r="K575">
        <f t="shared" si="8"/>
        <v>52140</v>
      </c>
    </row>
    <row r="576" spans="1:11" hidden="1" x14ac:dyDescent="0.25">
      <c r="A576">
        <v>575</v>
      </c>
      <c r="B576" s="1">
        <v>45754</v>
      </c>
      <c r="C576" t="s">
        <v>26</v>
      </c>
      <c r="D576" t="s">
        <v>78</v>
      </c>
      <c r="E576" t="s">
        <v>8</v>
      </c>
      <c r="F576">
        <v>1</v>
      </c>
      <c r="G576" t="str">
        <f>VLOOKUP(D576,Товары!A:I,3,0)</f>
        <v>Зеркальный шкаф Кристалл 70 со светильником правый, ручка кнопка дуб цвет Шато Азур</v>
      </c>
      <c r="H576">
        <f>VLOOKUP(D576,Товары!A:I,6,0)</f>
        <v>75</v>
      </c>
      <c r="I576" t="str">
        <f>VLOOKUP(C576,Магазины!A:C,3,0)</f>
        <v>Оренбург</v>
      </c>
      <c r="J576">
        <f>VLOOKUP(D576,Товары!A:I,4,0)</f>
        <v>9615</v>
      </c>
      <c r="K576">
        <f t="shared" si="8"/>
        <v>9615</v>
      </c>
    </row>
    <row r="577" spans="1:11" hidden="1" x14ac:dyDescent="0.25">
      <c r="A577">
        <v>576</v>
      </c>
      <c r="B577" s="1">
        <v>45752</v>
      </c>
      <c r="C577" t="s">
        <v>35</v>
      </c>
      <c r="D577" t="s">
        <v>116</v>
      </c>
      <c r="E577" t="s">
        <v>8</v>
      </c>
      <c r="F577">
        <v>3</v>
      </c>
      <c r="G577" t="str">
        <f>VLOOKUP(D577,Товары!A:I,3,0)</f>
        <v>Зеркало Нева 60 дуб/белый со светильником</v>
      </c>
      <c r="H577">
        <f>VLOOKUP(D577,Товары!A:I,6,0)</f>
        <v>80</v>
      </c>
      <c r="I577" t="str">
        <f>VLOOKUP(C577,Магазины!A:C,3,0)</f>
        <v>Набережные Челны</v>
      </c>
      <c r="J577">
        <f>VLOOKUP(D577,Товары!A:I,4,0)</f>
        <v>5100</v>
      </c>
      <c r="K577">
        <f t="shared" si="8"/>
        <v>15300</v>
      </c>
    </row>
    <row r="578" spans="1:11" hidden="1" x14ac:dyDescent="0.25">
      <c r="A578">
        <v>577</v>
      </c>
      <c r="B578" s="1">
        <v>45755</v>
      </c>
      <c r="C578" t="s">
        <v>20</v>
      </c>
      <c r="D578" t="s">
        <v>64</v>
      </c>
      <c r="E578" t="s">
        <v>13</v>
      </c>
      <c r="F578">
        <v>1</v>
      </c>
      <c r="G578" t="str">
        <f>VLOOKUP(D578,Товары!A:I,3,0)</f>
        <v>Тумба с раковиной  напол. Рица 800 антрацит 2 ящика с умыв. Слим</v>
      </c>
      <c r="H578">
        <f>VLOOKUP(D578,Товары!A:I,6,0)</f>
        <v>80</v>
      </c>
      <c r="I578" t="str">
        <f>VLOOKUP(C578,Магазины!A:C,3,0)</f>
        <v>Оренбург</v>
      </c>
      <c r="J578">
        <f>VLOOKUP(D578,Товары!A:I,4,0)</f>
        <v>28980</v>
      </c>
      <c r="K578">
        <f t="shared" si="8"/>
        <v>28980</v>
      </c>
    </row>
    <row r="579" spans="1:11" hidden="1" x14ac:dyDescent="0.25">
      <c r="A579">
        <v>578</v>
      </c>
      <c r="B579" s="1">
        <v>45756</v>
      </c>
      <c r="C579" t="s">
        <v>20</v>
      </c>
      <c r="D579" t="s">
        <v>89</v>
      </c>
      <c r="E579" t="s">
        <v>13</v>
      </c>
      <c r="F579">
        <v>2</v>
      </c>
      <c r="G579" t="str">
        <f>VLOOKUP(D579,Товары!A:I,3,0)</f>
        <v>Тумба с раковиной  напол. Сохо 600 белый 2 двери с умыв. Океан</v>
      </c>
      <c r="H579">
        <f>VLOOKUP(D579,Товары!A:I,6,0)</f>
        <v>85</v>
      </c>
      <c r="I579" t="str">
        <f>VLOOKUP(C579,Магазины!A:C,3,0)</f>
        <v>Оренбург</v>
      </c>
      <c r="J579">
        <f>VLOOKUP(D579,Товары!A:I,4,0)</f>
        <v>14880</v>
      </c>
      <c r="K579">
        <f t="shared" ref="K579:K642" si="9">J579*F579</f>
        <v>29760</v>
      </c>
    </row>
    <row r="580" spans="1:11" hidden="1" x14ac:dyDescent="0.25">
      <c r="A580">
        <v>579</v>
      </c>
      <c r="B580" s="1">
        <v>45748</v>
      </c>
      <c r="C580" t="s">
        <v>92</v>
      </c>
      <c r="D580" t="s">
        <v>90</v>
      </c>
      <c r="E580" t="s">
        <v>8</v>
      </c>
      <c r="F580">
        <v>2</v>
      </c>
      <c r="G580" t="str">
        <f>VLOOKUP(D580,Товары!A:I,3,0)</f>
        <v>Пенал напол. Аква 350 белый 2 двери + 2 ящика</v>
      </c>
      <c r="H580">
        <f>VLOOKUP(D580,Товары!A:I,6,0)</f>
        <v>190</v>
      </c>
      <c r="I580" t="str">
        <f>VLOOKUP(C580,Магазины!A:C,3,0)</f>
        <v>Кемерово</v>
      </c>
      <c r="J580">
        <f>VLOOKUP(D580,Товары!A:I,4,0)</f>
        <v>10650</v>
      </c>
      <c r="K580">
        <f t="shared" si="9"/>
        <v>21300</v>
      </c>
    </row>
    <row r="581" spans="1:11" hidden="1" x14ac:dyDescent="0.25">
      <c r="A581">
        <v>580</v>
      </c>
      <c r="B581" s="1">
        <v>45752</v>
      </c>
      <c r="C581" t="s">
        <v>92</v>
      </c>
      <c r="D581" t="s">
        <v>117</v>
      </c>
      <c r="E581" t="s">
        <v>13</v>
      </c>
      <c r="F581">
        <v>1</v>
      </c>
      <c r="G581" t="str">
        <f>VLOOKUP(D581,Товары!A:I,3,0)</f>
        <v>Тумба с раковиной  навес. Альба 700 антрацит 2 ящика с умыв. Слим</v>
      </c>
      <c r="H581">
        <f>VLOOKUP(D581,Товары!A:I,6,0)</f>
        <v>60</v>
      </c>
      <c r="I581" t="str">
        <f>VLOOKUP(C581,Магазины!A:C,3,0)</f>
        <v>Кемерово</v>
      </c>
      <c r="J581">
        <f>VLOOKUP(D581,Товары!A:I,4,0)</f>
        <v>25095</v>
      </c>
      <c r="K581">
        <f t="shared" si="9"/>
        <v>25095</v>
      </c>
    </row>
    <row r="582" spans="1:11" hidden="1" x14ac:dyDescent="0.25">
      <c r="A582">
        <v>581</v>
      </c>
      <c r="B582" s="1">
        <v>45756</v>
      </c>
      <c r="C582" t="s">
        <v>103</v>
      </c>
      <c r="D582" t="s">
        <v>112</v>
      </c>
      <c r="E582" t="s">
        <v>8</v>
      </c>
      <c r="F582">
        <v>2</v>
      </c>
      <c r="G582" t="str">
        <f>VLOOKUP(D582,Товары!A:I,3,0)</f>
        <v>Тумба с раковиной  напол. Аква 560 белый 2 двери с умыв. Уют</v>
      </c>
      <c r="H582">
        <f>VLOOKUP(D582,Товары!A:I,6,0)</f>
        <v>85</v>
      </c>
      <c r="I582" t="str">
        <f>VLOOKUP(C582,Магазины!A:C,3,0)</f>
        <v>Ставрополь</v>
      </c>
      <c r="J582">
        <f>VLOOKUP(D582,Товары!A:I,4,0)</f>
        <v>9330</v>
      </c>
      <c r="K582">
        <f t="shared" si="9"/>
        <v>18660</v>
      </c>
    </row>
    <row r="583" spans="1:11" hidden="1" x14ac:dyDescent="0.25">
      <c r="A583">
        <v>582</v>
      </c>
      <c r="B583" s="1">
        <v>45754</v>
      </c>
      <c r="C583" t="s">
        <v>11</v>
      </c>
      <c r="D583" t="s">
        <v>17</v>
      </c>
      <c r="E583" t="s">
        <v>8</v>
      </c>
      <c r="F583">
        <v>3</v>
      </c>
      <c r="G583" t="str">
        <f>VLOOKUP(D583,Товары!A:I,3,0)</f>
        <v>Тумба с раковиной  навес. Альба 800 антрацит 1 ящик с умыв. Слим</v>
      </c>
      <c r="H583">
        <f>VLOOKUP(D583,Товары!A:I,6,0)</f>
        <v>45</v>
      </c>
      <c r="I583" t="str">
        <f>VLOOKUP(C583,Магазины!A:C,3,0)</f>
        <v>Кемерово</v>
      </c>
      <c r="J583">
        <f>VLOOKUP(D583,Товары!A:I,4,0)</f>
        <v>21630</v>
      </c>
      <c r="K583">
        <f t="shared" si="9"/>
        <v>64890</v>
      </c>
    </row>
    <row r="584" spans="1:11" hidden="1" x14ac:dyDescent="0.25">
      <c r="A584">
        <v>583</v>
      </c>
      <c r="B584" s="1">
        <v>45754</v>
      </c>
      <c r="C584" t="s">
        <v>54</v>
      </c>
      <c r="D584" t="s">
        <v>56</v>
      </c>
      <c r="E584" t="s">
        <v>13</v>
      </c>
      <c r="F584">
        <v>2</v>
      </c>
      <c r="G584" t="str">
        <f>VLOOKUP(D584,Товары!A:I,3,0)</f>
        <v>Зеркальный шкаф Альба 80 со светильником правый цвет мята</v>
      </c>
      <c r="H584">
        <f>VLOOKUP(D584,Товары!A:I,6,0)</f>
        <v>75</v>
      </c>
      <c r="I584" t="str">
        <f>VLOOKUP(C584,Магазины!A:C,3,0)</f>
        <v>Ставрополь</v>
      </c>
      <c r="J584">
        <f>VLOOKUP(D584,Товары!A:I,4,0)</f>
        <v>9930</v>
      </c>
      <c r="K584">
        <f t="shared" si="9"/>
        <v>19860</v>
      </c>
    </row>
    <row r="585" spans="1:11" hidden="1" x14ac:dyDescent="0.25">
      <c r="A585">
        <v>584</v>
      </c>
      <c r="B585" s="1">
        <v>45754</v>
      </c>
      <c r="C585" t="s">
        <v>103</v>
      </c>
      <c r="D585" t="s">
        <v>118</v>
      </c>
      <c r="E585" t="s">
        <v>8</v>
      </c>
      <c r="F585">
        <v>3</v>
      </c>
      <c r="G585" t="str">
        <f>VLOOKUP(D585,Товары!A:I,3,0)</f>
        <v>Тумба с раковиной  напол. Сохо 800 белый 2 ящика с умыв. Слим</v>
      </c>
      <c r="H585">
        <f>VLOOKUP(D585,Товары!A:I,6,0)</f>
        <v>85</v>
      </c>
      <c r="I585" t="str">
        <f>VLOOKUP(C585,Магазины!A:C,3,0)</f>
        <v>Ставрополь</v>
      </c>
      <c r="J585">
        <f>VLOOKUP(D585,Товары!A:I,4,0)</f>
        <v>19575</v>
      </c>
      <c r="K585">
        <f t="shared" si="9"/>
        <v>58725</v>
      </c>
    </row>
    <row r="586" spans="1:11" hidden="1" x14ac:dyDescent="0.25">
      <c r="A586">
        <v>585</v>
      </c>
      <c r="B586" s="1">
        <v>45749</v>
      </c>
      <c r="C586" t="s">
        <v>26</v>
      </c>
      <c r="D586" t="s">
        <v>79</v>
      </c>
      <c r="E586" t="s">
        <v>8</v>
      </c>
      <c r="F586">
        <v>2</v>
      </c>
      <c r="G586" t="str">
        <f>VLOOKUP(D586,Товары!A:I,3,0)</f>
        <v>Зеркальный шкаф Альба 70 со светильником правый цвет мята</v>
      </c>
      <c r="H586">
        <f>VLOOKUP(D586,Товары!A:I,6,0)</f>
        <v>75</v>
      </c>
      <c r="I586" t="str">
        <f>VLOOKUP(C586,Магазины!A:C,3,0)</f>
        <v>Оренбург</v>
      </c>
      <c r="J586">
        <f>VLOOKUP(D586,Товары!A:I,4,0)</f>
        <v>9615</v>
      </c>
      <c r="K586">
        <f t="shared" si="9"/>
        <v>19230</v>
      </c>
    </row>
    <row r="587" spans="1:11" hidden="1" x14ac:dyDescent="0.25">
      <c r="A587">
        <v>586</v>
      </c>
      <c r="B587" s="1">
        <v>45749</v>
      </c>
      <c r="C587" t="s">
        <v>92</v>
      </c>
      <c r="D587" t="s">
        <v>88</v>
      </c>
      <c r="E587" t="s">
        <v>8</v>
      </c>
      <c r="F587">
        <v>1</v>
      </c>
      <c r="G587" t="str">
        <f>VLOOKUP(D587,Товары!A:I,3,0)</f>
        <v>Тумба с раковиной  навес. Альба 800 антрацит 2 ящика с умыв. Слим</v>
      </c>
      <c r="H587">
        <f>VLOOKUP(D587,Товары!A:I,6,0)</f>
        <v>50</v>
      </c>
      <c r="I587" t="str">
        <f>VLOOKUP(C587,Магазины!A:C,3,0)</f>
        <v>Кемерово</v>
      </c>
      <c r="J587">
        <f>VLOOKUP(D587,Товары!A:I,4,0)</f>
        <v>26070</v>
      </c>
      <c r="K587">
        <f t="shared" si="9"/>
        <v>26070</v>
      </c>
    </row>
    <row r="588" spans="1:11" hidden="1" x14ac:dyDescent="0.25">
      <c r="A588">
        <v>587</v>
      </c>
      <c r="B588" s="1">
        <v>45751</v>
      </c>
      <c r="C588" t="s">
        <v>57</v>
      </c>
      <c r="D588" t="s">
        <v>34</v>
      </c>
      <c r="E588" t="s">
        <v>8</v>
      </c>
      <c r="F588">
        <v>1</v>
      </c>
      <c r="G588" t="str">
        <f>VLOOKUP(D588,Товары!A:I,3,0)</f>
        <v>Тумба с раковиной  навес. Леон 700 форест 2 ящика с умыв. Слим</v>
      </c>
      <c r="H588">
        <f>VLOOKUP(D588,Товары!A:I,6,0)</f>
        <v>60</v>
      </c>
      <c r="I588" t="str">
        <f>VLOOKUP(C588,Магазины!A:C,3,0)</f>
        <v>Оренбург</v>
      </c>
      <c r="J588">
        <f>VLOOKUP(D588,Товары!A:I,4,0)</f>
        <v>26220</v>
      </c>
      <c r="K588">
        <f t="shared" si="9"/>
        <v>26220</v>
      </c>
    </row>
    <row r="589" spans="1:11" hidden="1" x14ac:dyDescent="0.25">
      <c r="A589">
        <v>588</v>
      </c>
      <c r="B589" s="1">
        <v>45755</v>
      </c>
      <c r="C589" t="s">
        <v>9</v>
      </c>
      <c r="D589" t="s">
        <v>19</v>
      </c>
      <c r="E589" t="s">
        <v>8</v>
      </c>
      <c r="F589">
        <v>1</v>
      </c>
      <c r="G589" t="str">
        <f>VLOOKUP(D589,Товары!A:I,3,0)</f>
        <v>Тумба с раковиной  навес. Леон 800 оникс 2 ящика с умыв. Слим</v>
      </c>
      <c r="H589">
        <f>VLOOKUP(D589,Товары!A:I,6,0)</f>
        <v>60</v>
      </c>
      <c r="I589" t="str">
        <f>VLOOKUP(C589,Магазины!A:C,3,0)</f>
        <v>Кемерово</v>
      </c>
      <c r="J589">
        <f>VLOOKUP(D589,Товары!A:I,4,0)</f>
        <v>27930</v>
      </c>
      <c r="K589">
        <f t="shared" si="9"/>
        <v>27930</v>
      </c>
    </row>
    <row r="590" spans="1:11" hidden="1" x14ac:dyDescent="0.25">
      <c r="A590">
        <v>589</v>
      </c>
      <c r="B590" s="1">
        <v>45753</v>
      </c>
      <c r="C590" t="s">
        <v>18</v>
      </c>
      <c r="D590" t="s">
        <v>84</v>
      </c>
      <c r="E590" t="s">
        <v>8</v>
      </c>
      <c r="F590">
        <v>2</v>
      </c>
      <c r="G590" t="str">
        <f>VLOOKUP(D590,Товары!A:I,3,0)</f>
        <v>Тумба с раковиной  напол. Куба Риф 800 белый 3 двери с умыв. Слим</v>
      </c>
      <c r="H590">
        <f>VLOOKUP(D590,Товары!A:I,6,0)</f>
        <v>85</v>
      </c>
      <c r="I590" t="str">
        <f>VLOOKUP(C590,Магазины!A:C,3,0)</f>
        <v>Набережные Челны</v>
      </c>
      <c r="J590">
        <f>VLOOKUP(D590,Товары!A:I,4,0)</f>
        <v>19920</v>
      </c>
      <c r="K590">
        <f t="shared" si="9"/>
        <v>39840</v>
      </c>
    </row>
    <row r="591" spans="1:11" hidden="1" x14ac:dyDescent="0.25">
      <c r="A591">
        <v>590</v>
      </c>
      <c r="B591" s="1">
        <v>45749</v>
      </c>
      <c r="C591" t="s">
        <v>14</v>
      </c>
      <c r="D591" t="s">
        <v>50</v>
      </c>
      <c r="E591" t="s">
        <v>13</v>
      </c>
      <c r="F591">
        <v>3</v>
      </c>
      <c r="G591" t="str">
        <f>VLOOKUP(D591,Товары!A:I,3,0)</f>
        <v>Тумба с раковиной  напол. Леон 800 оникс 2 ящика с умыв. Слим</v>
      </c>
      <c r="H591">
        <f>VLOOKUP(D591,Товары!A:I,6,0)</f>
        <v>80</v>
      </c>
      <c r="I591" t="str">
        <f>VLOOKUP(C591,Магазины!A:C,3,0)</f>
        <v>Оренбург</v>
      </c>
      <c r="J591">
        <f>VLOOKUP(D591,Товары!A:I,4,0)</f>
        <v>29400</v>
      </c>
      <c r="K591">
        <f t="shared" si="9"/>
        <v>88200</v>
      </c>
    </row>
    <row r="592" spans="1:11" hidden="1" x14ac:dyDescent="0.25">
      <c r="A592">
        <v>591</v>
      </c>
      <c r="B592" s="1">
        <v>45752</v>
      </c>
      <c r="C592" t="s">
        <v>111</v>
      </c>
      <c r="D592" t="s">
        <v>85</v>
      </c>
      <c r="E592" t="s">
        <v>8</v>
      </c>
      <c r="F592">
        <v>3</v>
      </c>
      <c r="G592" t="str">
        <f>VLOOKUP(D592,Товары!A:I,3,0)</f>
        <v>Пенал напол. Аква 450 белый 2 двери + 2 ящика + корзина</v>
      </c>
      <c r="H592">
        <f>VLOOKUP(D592,Товары!A:I,6,0)</f>
        <v>190</v>
      </c>
      <c r="I592" t="str">
        <f>VLOOKUP(C592,Магазины!A:C,3,0)</f>
        <v>Набережные Челны</v>
      </c>
      <c r="J592">
        <f>VLOOKUP(D592,Товары!A:I,4,0)</f>
        <v>13335</v>
      </c>
      <c r="K592">
        <f t="shared" si="9"/>
        <v>40005</v>
      </c>
    </row>
    <row r="593" spans="1:11" hidden="1" x14ac:dyDescent="0.25">
      <c r="A593">
        <v>592</v>
      </c>
      <c r="B593" s="1">
        <v>45748</v>
      </c>
      <c r="C593" t="s">
        <v>9</v>
      </c>
      <c r="D593" t="s">
        <v>24</v>
      </c>
      <c r="E593" t="s">
        <v>13</v>
      </c>
      <c r="F593">
        <v>2</v>
      </c>
      <c r="G593" t="str">
        <f>VLOOKUP(D593,Товары!A:I,3,0)</f>
        <v>Тумба с раковиной  напол. Леон 600 форест 2 ящика с умыв. Слим</v>
      </c>
      <c r="H593">
        <f>VLOOKUP(D593,Товары!A:I,6,0)</f>
        <v>80</v>
      </c>
      <c r="I593" t="str">
        <f>VLOOKUP(C593,Магазины!A:C,3,0)</f>
        <v>Кемерово</v>
      </c>
      <c r="J593">
        <f>VLOOKUP(D593,Товары!A:I,4,0)</f>
        <v>27150</v>
      </c>
      <c r="K593">
        <f t="shared" si="9"/>
        <v>54300</v>
      </c>
    </row>
    <row r="594" spans="1:11" hidden="1" x14ac:dyDescent="0.25">
      <c r="A594">
        <v>593</v>
      </c>
      <c r="B594" s="1">
        <v>45752</v>
      </c>
      <c r="C594" t="s">
        <v>54</v>
      </c>
      <c r="D594" t="s">
        <v>19</v>
      </c>
      <c r="E594" t="s">
        <v>13</v>
      </c>
      <c r="F594">
        <v>1</v>
      </c>
      <c r="G594" t="str">
        <f>VLOOKUP(D594,Товары!A:I,3,0)</f>
        <v>Тумба с раковиной  навес. Леон 800 оникс 2 ящика с умыв. Слим</v>
      </c>
      <c r="H594">
        <f>VLOOKUP(D594,Товары!A:I,6,0)</f>
        <v>60</v>
      </c>
      <c r="I594" t="str">
        <f>VLOOKUP(C594,Магазины!A:C,3,0)</f>
        <v>Ставрополь</v>
      </c>
      <c r="J594">
        <f>VLOOKUP(D594,Товары!A:I,4,0)</f>
        <v>27930</v>
      </c>
      <c r="K594">
        <f t="shared" si="9"/>
        <v>27930</v>
      </c>
    </row>
    <row r="595" spans="1:11" hidden="1" x14ac:dyDescent="0.25">
      <c r="A595">
        <v>594</v>
      </c>
      <c r="B595" s="1">
        <v>45753</v>
      </c>
      <c r="C595" t="s">
        <v>18</v>
      </c>
      <c r="D595" t="s">
        <v>72</v>
      </c>
      <c r="E595" t="s">
        <v>13</v>
      </c>
      <c r="F595">
        <v>3</v>
      </c>
      <c r="G595" t="str">
        <f>VLOOKUP(D595,Товары!A:I,3,0)</f>
        <v>Тумба с раковиной  напол. Сохо 600 белый 2 ящика с умыв. Океан</v>
      </c>
      <c r="H595">
        <f>VLOOKUP(D595,Товары!A:I,6,0)</f>
        <v>85</v>
      </c>
      <c r="I595" t="str">
        <f>VLOOKUP(C595,Магазины!A:C,3,0)</f>
        <v>Набережные Челны</v>
      </c>
      <c r="J595">
        <f>VLOOKUP(D595,Товары!A:I,4,0)</f>
        <v>16140</v>
      </c>
      <c r="K595">
        <f t="shared" si="9"/>
        <v>48420</v>
      </c>
    </row>
    <row r="596" spans="1:11" hidden="1" x14ac:dyDescent="0.25">
      <c r="A596">
        <v>595</v>
      </c>
      <c r="B596" s="1">
        <v>45756</v>
      </c>
      <c r="C596" t="s">
        <v>6</v>
      </c>
      <c r="D596" t="s">
        <v>114</v>
      </c>
      <c r="E596" t="s">
        <v>13</v>
      </c>
      <c r="F596">
        <v>3</v>
      </c>
      <c r="G596" t="str">
        <f>VLOOKUP(D596,Товары!A:I,3,0)</f>
        <v>Тумба с раковиной  навес. Альба 700 мята 2 ящика с умыв. Слим</v>
      </c>
      <c r="H596">
        <f>VLOOKUP(D596,Товары!A:I,6,0)</f>
        <v>60</v>
      </c>
      <c r="I596" t="str">
        <f>VLOOKUP(C596,Магазины!A:C,3,0)</f>
        <v>Оренбург</v>
      </c>
      <c r="J596">
        <f>VLOOKUP(D596,Товары!A:I,4,0)</f>
        <v>25095</v>
      </c>
      <c r="K596">
        <f t="shared" si="9"/>
        <v>75285</v>
      </c>
    </row>
    <row r="597" spans="1:11" hidden="1" x14ac:dyDescent="0.25">
      <c r="A597">
        <v>596</v>
      </c>
      <c r="B597" s="1">
        <v>45755</v>
      </c>
      <c r="C597" t="s">
        <v>14</v>
      </c>
      <c r="D597" t="s">
        <v>69</v>
      </c>
      <c r="E597" t="s">
        <v>8</v>
      </c>
      <c r="F597">
        <v>1</v>
      </c>
      <c r="G597" t="str">
        <f>VLOOKUP(D597,Товары!A:I,3,0)</f>
        <v>Пенал навес./напол. Альба 350 антрацит 2 двери</v>
      </c>
      <c r="H597">
        <f>VLOOKUP(D597,Товары!A:I,6,0)</f>
        <v>150</v>
      </c>
      <c r="I597" t="str">
        <f>VLOOKUP(C597,Магазины!A:C,3,0)</f>
        <v>Оренбург</v>
      </c>
      <c r="J597">
        <f>VLOOKUP(D597,Товары!A:I,4,0)</f>
        <v>11655</v>
      </c>
      <c r="K597">
        <f t="shared" si="9"/>
        <v>11655</v>
      </c>
    </row>
    <row r="598" spans="1:11" hidden="1" x14ac:dyDescent="0.25">
      <c r="A598">
        <v>597</v>
      </c>
      <c r="B598" s="1">
        <v>45754</v>
      </c>
      <c r="C598" t="s">
        <v>9</v>
      </c>
      <c r="D598" t="s">
        <v>10</v>
      </c>
      <c r="E598" t="s">
        <v>8</v>
      </c>
      <c r="F598">
        <v>3</v>
      </c>
      <c r="G598" t="str">
        <f>VLOOKUP(D598,Товары!A:I,3,0)</f>
        <v>Тумба с раковиной  навес. Альба 700 антрацит 1 ящик с умыв. Слим</v>
      </c>
      <c r="H598">
        <f>VLOOKUP(D598,Товары!A:I,6,0)</f>
        <v>45</v>
      </c>
      <c r="I598" t="str">
        <f>VLOOKUP(C598,Магазины!A:C,3,0)</f>
        <v>Кемерово</v>
      </c>
      <c r="J598">
        <f>VLOOKUP(D598,Товары!A:I,4,0)</f>
        <v>20130</v>
      </c>
      <c r="K598">
        <f t="shared" si="9"/>
        <v>60390</v>
      </c>
    </row>
    <row r="599" spans="1:11" hidden="1" x14ac:dyDescent="0.25">
      <c r="A599">
        <v>598</v>
      </c>
      <c r="B599" s="1">
        <v>45750</v>
      </c>
      <c r="C599" t="s">
        <v>28</v>
      </c>
      <c r="D599" t="s">
        <v>55</v>
      </c>
      <c r="E599" t="s">
        <v>13</v>
      </c>
      <c r="F599">
        <v>3</v>
      </c>
      <c r="G599" t="str">
        <f>VLOOKUP(D599,Товары!A:I,3,0)</f>
        <v>Тумба с раковиной  напол. Рица 600 cерый/керамика 2 ящика с умыв. Океан</v>
      </c>
      <c r="H599">
        <f>VLOOKUP(D599,Товары!A:I,6,0)</f>
        <v>80</v>
      </c>
      <c r="I599" t="str">
        <f>VLOOKUP(C599,Магазины!A:C,3,0)</f>
        <v>Набережные Челны</v>
      </c>
      <c r="J599">
        <f>VLOOKUP(D599,Товары!A:I,4,0)</f>
        <v>25560</v>
      </c>
      <c r="K599">
        <f t="shared" si="9"/>
        <v>76680</v>
      </c>
    </row>
    <row r="600" spans="1:11" hidden="1" x14ac:dyDescent="0.25">
      <c r="A600">
        <v>599</v>
      </c>
      <c r="B600" s="1">
        <v>45748</v>
      </c>
      <c r="C600" t="s">
        <v>11</v>
      </c>
      <c r="D600" t="s">
        <v>118</v>
      </c>
      <c r="E600" t="s">
        <v>13</v>
      </c>
      <c r="F600">
        <v>2</v>
      </c>
      <c r="G600" t="str">
        <f>VLOOKUP(D600,Товары!A:I,3,0)</f>
        <v>Тумба с раковиной  напол. Сохо 800 белый 2 ящика с умыв. Слим</v>
      </c>
      <c r="H600">
        <f>VLOOKUP(D600,Товары!A:I,6,0)</f>
        <v>85</v>
      </c>
      <c r="I600" t="str">
        <f>VLOOKUP(C600,Магазины!A:C,3,0)</f>
        <v>Кемерово</v>
      </c>
      <c r="J600">
        <f>VLOOKUP(D600,Товары!A:I,4,0)</f>
        <v>19575</v>
      </c>
      <c r="K600">
        <f t="shared" si="9"/>
        <v>39150</v>
      </c>
    </row>
    <row r="601" spans="1:11" hidden="1" x14ac:dyDescent="0.25">
      <c r="A601">
        <v>600</v>
      </c>
      <c r="B601" s="1">
        <v>45750</v>
      </c>
      <c r="C601" t="s">
        <v>11</v>
      </c>
      <c r="D601" t="s">
        <v>114</v>
      </c>
      <c r="E601" t="s">
        <v>13</v>
      </c>
      <c r="F601">
        <v>2</v>
      </c>
      <c r="G601" t="str">
        <f>VLOOKUP(D601,Товары!A:I,3,0)</f>
        <v>Тумба с раковиной  навес. Альба 700 мята 2 ящика с умыв. Слим</v>
      </c>
      <c r="H601">
        <f>VLOOKUP(D601,Товары!A:I,6,0)</f>
        <v>60</v>
      </c>
      <c r="I601" t="str">
        <f>VLOOKUP(C601,Магазины!A:C,3,0)</f>
        <v>Кемерово</v>
      </c>
      <c r="J601">
        <f>VLOOKUP(D601,Товары!A:I,4,0)</f>
        <v>25095</v>
      </c>
      <c r="K601">
        <f t="shared" si="9"/>
        <v>50190</v>
      </c>
    </row>
    <row r="602" spans="1:11" hidden="1" x14ac:dyDescent="0.25">
      <c r="A602">
        <v>601</v>
      </c>
      <c r="B602" s="1">
        <v>45749</v>
      </c>
      <c r="C602" t="s">
        <v>28</v>
      </c>
      <c r="D602" t="s">
        <v>85</v>
      </c>
      <c r="E602" t="s">
        <v>8</v>
      </c>
      <c r="F602">
        <v>2</v>
      </c>
      <c r="G602" t="str">
        <f>VLOOKUP(D602,Товары!A:I,3,0)</f>
        <v>Пенал напол. Аква 450 белый 2 двери + 2 ящика + корзина</v>
      </c>
      <c r="H602">
        <f>VLOOKUP(D602,Товары!A:I,6,0)</f>
        <v>190</v>
      </c>
      <c r="I602" t="str">
        <f>VLOOKUP(C602,Магазины!A:C,3,0)</f>
        <v>Набережные Челны</v>
      </c>
      <c r="J602">
        <f>VLOOKUP(D602,Товары!A:I,4,0)</f>
        <v>13335</v>
      </c>
      <c r="K602">
        <f t="shared" si="9"/>
        <v>26670</v>
      </c>
    </row>
    <row r="603" spans="1:11" hidden="1" x14ac:dyDescent="0.25">
      <c r="A603">
        <v>602</v>
      </c>
      <c r="B603" s="1">
        <v>45753</v>
      </c>
      <c r="C603" t="s">
        <v>16</v>
      </c>
      <c r="D603" t="s">
        <v>70</v>
      </c>
      <c r="E603" t="s">
        <v>13</v>
      </c>
      <c r="F603">
        <v>2</v>
      </c>
      <c r="G603" t="str">
        <f>VLOOKUP(D603,Товары!A:I,3,0)</f>
        <v>Тумба с раковиной  напол. Кристалл 700 шато азур 2 ящика с умыв. Слим</v>
      </c>
      <c r="H603">
        <f>VLOOKUP(D603,Товары!A:I,6,0)</f>
        <v>85</v>
      </c>
      <c r="I603" t="str">
        <f>VLOOKUP(C603,Магазины!A:C,3,0)</f>
        <v>Оренбург</v>
      </c>
      <c r="J603">
        <f>VLOOKUP(D603,Товары!A:I,4,0)</f>
        <v>29910</v>
      </c>
      <c r="K603">
        <f t="shared" si="9"/>
        <v>59820</v>
      </c>
    </row>
    <row r="604" spans="1:11" hidden="1" x14ac:dyDescent="0.25">
      <c r="A604">
        <v>603</v>
      </c>
      <c r="B604" s="1">
        <v>45756</v>
      </c>
      <c r="C604" t="s">
        <v>57</v>
      </c>
      <c r="D604" t="s">
        <v>24</v>
      </c>
      <c r="E604" t="s">
        <v>13</v>
      </c>
      <c r="F604">
        <v>2</v>
      </c>
      <c r="G604" t="str">
        <f>VLOOKUP(D604,Товары!A:I,3,0)</f>
        <v>Тумба с раковиной  напол. Леон 600 форест 2 ящика с умыв. Слим</v>
      </c>
      <c r="H604">
        <f>VLOOKUP(D604,Товары!A:I,6,0)</f>
        <v>80</v>
      </c>
      <c r="I604" t="str">
        <f>VLOOKUP(C604,Магазины!A:C,3,0)</f>
        <v>Оренбург</v>
      </c>
      <c r="J604">
        <f>VLOOKUP(D604,Товары!A:I,4,0)</f>
        <v>27150</v>
      </c>
      <c r="K604">
        <f t="shared" si="9"/>
        <v>54300</v>
      </c>
    </row>
    <row r="605" spans="1:11" hidden="1" x14ac:dyDescent="0.25">
      <c r="A605">
        <v>604</v>
      </c>
      <c r="B605" s="1">
        <v>45751</v>
      </c>
      <c r="C605" t="s">
        <v>22</v>
      </c>
      <c r="D605" t="s">
        <v>104</v>
      </c>
      <c r="E605" t="s">
        <v>8</v>
      </c>
      <c r="F605">
        <v>2</v>
      </c>
      <c r="G605" t="str">
        <f>VLOOKUP(D605,Товары!A:I,3,0)</f>
        <v>Тумба под стиральную машину Куба Риф 57 подвесная 2 ящика под ст/маш, без умывальника /под Marshall 120 Белый</v>
      </c>
      <c r="H605">
        <f>VLOOKUP(D605,Товары!A:I,6,0)</f>
        <v>50</v>
      </c>
      <c r="I605" t="str">
        <f>VLOOKUP(C605,Магазины!A:C,3,0)</f>
        <v>Кемерово</v>
      </c>
      <c r="J605">
        <f>VLOOKUP(D605,Товары!A:I,4,0)</f>
        <v>8505</v>
      </c>
      <c r="K605">
        <f t="shared" si="9"/>
        <v>17010</v>
      </c>
    </row>
    <row r="606" spans="1:11" hidden="1" x14ac:dyDescent="0.25">
      <c r="A606">
        <v>605</v>
      </c>
      <c r="B606" s="1">
        <v>45751</v>
      </c>
      <c r="C606" t="s">
        <v>63</v>
      </c>
      <c r="D606" t="s">
        <v>51</v>
      </c>
      <c r="E606" t="s">
        <v>8</v>
      </c>
      <c r="F606">
        <v>1</v>
      </c>
      <c r="G606" t="str">
        <f>VLOOKUP(D606,Товары!A:I,3,0)</f>
        <v>Зеркальный шкаф Альба 80 со светильником правый цвет суфле</v>
      </c>
      <c r="H606">
        <f>VLOOKUP(D606,Товары!A:I,6,0)</f>
        <v>75</v>
      </c>
      <c r="I606" t="str">
        <f>VLOOKUP(C606,Магазины!A:C,3,0)</f>
        <v>Ставрополь</v>
      </c>
      <c r="J606">
        <f>VLOOKUP(D606,Товары!A:I,4,0)</f>
        <v>9930</v>
      </c>
      <c r="K606">
        <f t="shared" si="9"/>
        <v>9930</v>
      </c>
    </row>
    <row r="607" spans="1:11" hidden="1" x14ac:dyDescent="0.25">
      <c r="A607">
        <v>606</v>
      </c>
      <c r="B607" s="1">
        <v>45755</v>
      </c>
      <c r="C607" t="s">
        <v>103</v>
      </c>
      <c r="D607" t="s">
        <v>81</v>
      </c>
      <c r="E607" t="s">
        <v>13</v>
      </c>
      <c r="F607">
        <v>3</v>
      </c>
      <c r="G607" t="str">
        <f>VLOOKUP(D607,Товары!A:I,3,0)</f>
        <v>Тумба с раковиной  навес. Рица 600 cерый/керамика 1 ящик + ниша 1 с умыв. Океан</v>
      </c>
      <c r="H607">
        <f>VLOOKUP(D607,Товары!A:I,6,0)</f>
        <v>60</v>
      </c>
      <c r="I607" t="str">
        <f>VLOOKUP(C607,Магазины!A:C,3,0)</f>
        <v>Ставрополь</v>
      </c>
      <c r="J607">
        <f>VLOOKUP(D607,Товары!A:I,4,0)</f>
        <v>18900</v>
      </c>
      <c r="K607">
        <f t="shared" si="9"/>
        <v>56700</v>
      </c>
    </row>
    <row r="608" spans="1:11" hidden="1" x14ac:dyDescent="0.25">
      <c r="A608">
        <v>607</v>
      </c>
      <c r="B608" s="1">
        <v>45753</v>
      </c>
      <c r="C608" t="s">
        <v>30</v>
      </c>
      <c r="D608" t="s">
        <v>121</v>
      </c>
      <c r="E608" t="s">
        <v>13</v>
      </c>
      <c r="F608">
        <v>2</v>
      </c>
      <c r="G608" t="str">
        <f>VLOOKUP(D608,Товары!A:I,3,0)</f>
        <v>Тумба с раковиной  напол. Куба Риф 600 белый 2 двери с умыв. Como</v>
      </c>
      <c r="H608">
        <f>VLOOKUP(D608,Товары!A:I,6,0)</f>
        <v>85</v>
      </c>
      <c r="I608" t="str">
        <f>VLOOKUP(C608,Магазины!A:C,3,0)</f>
        <v>Кемерово</v>
      </c>
      <c r="J608">
        <f>VLOOKUP(D608,Товары!A:I,4,0)</f>
        <v>13695</v>
      </c>
      <c r="K608">
        <f t="shared" si="9"/>
        <v>27390</v>
      </c>
    </row>
    <row r="609" spans="1:11" hidden="1" x14ac:dyDescent="0.25">
      <c r="A609">
        <v>608</v>
      </c>
      <c r="B609" s="1">
        <v>45753</v>
      </c>
      <c r="C609" t="s">
        <v>57</v>
      </c>
      <c r="D609" t="s">
        <v>119</v>
      </c>
      <c r="E609" t="s">
        <v>13</v>
      </c>
      <c r="F609">
        <v>2</v>
      </c>
      <c r="G609" t="str">
        <f>VLOOKUP(D609,Товары!A:I,3,0)</f>
        <v>Пенал навес./напол. Рица 350 cерый/керамика 2 двери</v>
      </c>
      <c r="H609">
        <f>VLOOKUP(D609,Товары!A:I,6,0)</f>
        <v>160</v>
      </c>
      <c r="I609" t="str">
        <f>VLOOKUP(C609,Магазины!A:C,3,0)</f>
        <v>Оренбург</v>
      </c>
      <c r="J609">
        <f>VLOOKUP(D609,Товары!A:I,4,0)</f>
        <v>11250</v>
      </c>
      <c r="K609">
        <f t="shared" si="9"/>
        <v>22500</v>
      </c>
    </row>
    <row r="610" spans="1:11" hidden="1" x14ac:dyDescent="0.25">
      <c r="A610">
        <v>609</v>
      </c>
      <c r="B610" s="1">
        <v>45751</v>
      </c>
      <c r="C610" t="s">
        <v>57</v>
      </c>
      <c r="D610" t="s">
        <v>47</v>
      </c>
      <c r="E610" t="s">
        <v>13</v>
      </c>
      <c r="F610">
        <v>1</v>
      </c>
      <c r="G610" t="str">
        <f>VLOOKUP(D610,Товары!A:I,3,0)</f>
        <v>Пенал напол. Кристалл 350 шато азур 2 двери</v>
      </c>
      <c r="H610">
        <f>VLOOKUP(D610,Товары!A:I,6,0)</f>
        <v>190</v>
      </c>
      <c r="I610" t="str">
        <f>VLOOKUP(C610,Магазины!A:C,3,0)</f>
        <v>Оренбург</v>
      </c>
      <c r="J610">
        <f>VLOOKUP(D610,Товары!A:I,4,0)</f>
        <v>15810</v>
      </c>
      <c r="K610">
        <f t="shared" si="9"/>
        <v>15810</v>
      </c>
    </row>
    <row r="611" spans="1:11" hidden="1" x14ac:dyDescent="0.25">
      <c r="A611">
        <v>610</v>
      </c>
      <c r="B611" s="1">
        <v>45755</v>
      </c>
      <c r="C611" t="s">
        <v>111</v>
      </c>
      <c r="D611" t="s">
        <v>37</v>
      </c>
      <c r="E611" t="s">
        <v>13</v>
      </c>
      <c r="F611">
        <v>2</v>
      </c>
      <c r="G611" t="str">
        <f>VLOOKUP(D611,Товары!A:I,3,0)</f>
        <v>Зеркальный шкаф Сохо 70 белый со светильником правый цвет Белый глянец</v>
      </c>
      <c r="H611">
        <f>VLOOKUP(D611,Товары!A:I,6,0)</f>
        <v>75</v>
      </c>
      <c r="I611" t="str">
        <f>VLOOKUP(C611,Магазины!A:C,3,0)</f>
        <v>Набережные Челны</v>
      </c>
      <c r="J611">
        <f>VLOOKUP(D611,Товары!A:I,4,0)</f>
        <v>7935</v>
      </c>
      <c r="K611">
        <f t="shared" si="9"/>
        <v>15870</v>
      </c>
    </row>
    <row r="612" spans="1:11" hidden="1" x14ac:dyDescent="0.25">
      <c r="A612">
        <v>611</v>
      </c>
      <c r="B612" s="1">
        <v>45754</v>
      </c>
      <c r="C612" t="s">
        <v>30</v>
      </c>
      <c r="D612" t="s">
        <v>121</v>
      </c>
      <c r="E612" t="s">
        <v>13</v>
      </c>
      <c r="F612">
        <v>2</v>
      </c>
      <c r="G612" t="str">
        <f>VLOOKUP(D612,Товары!A:I,3,0)</f>
        <v>Тумба с раковиной  напол. Куба Риф 600 белый 2 двери с умыв. Como</v>
      </c>
      <c r="H612">
        <f>VLOOKUP(D612,Товары!A:I,6,0)</f>
        <v>85</v>
      </c>
      <c r="I612" t="str">
        <f>VLOOKUP(C612,Магазины!A:C,3,0)</f>
        <v>Кемерово</v>
      </c>
      <c r="J612">
        <f>VLOOKUP(D612,Товары!A:I,4,0)</f>
        <v>13695</v>
      </c>
      <c r="K612">
        <f t="shared" si="9"/>
        <v>27390</v>
      </c>
    </row>
    <row r="613" spans="1:11" hidden="1" x14ac:dyDescent="0.25">
      <c r="A613">
        <v>612</v>
      </c>
      <c r="B613" s="1">
        <v>45751</v>
      </c>
      <c r="C613" t="s">
        <v>92</v>
      </c>
      <c r="D613" t="s">
        <v>49</v>
      </c>
      <c r="E613" t="s">
        <v>13</v>
      </c>
      <c r="F613">
        <v>2</v>
      </c>
      <c r="G613" t="str">
        <f>VLOOKUP(D613,Товары!A:I,3,0)</f>
        <v>Тумба с раковиной  напол. Леон 700 оникс 2 ящика с умыв. Слим</v>
      </c>
      <c r="H613">
        <f>VLOOKUP(D613,Товары!A:I,6,0)</f>
        <v>80</v>
      </c>
      <c r="I613" t="str">
        <f>VLOOKUP(C613,Магазины!A:C,3,0)</f>
        <v>Кемерово</v>
      </c>
      <c r="J613">
        <f>VLOOKUP(D613,Товары!A:I,4,0)</f>
        <v>28380</v>
      </c>
      <c r="K613">
        <f t="shared" si="9"/>
        <v>56760</v>
      </c>
    </row>
    <row r="614" spans="1:11" hidden="1" x14ac:dyDescent="0.25">
      <c r="A614">
        <v>613</v>
      </c>
      <c r="B614" s="1">
        <v>45754</v>
      </c>
      <c r="C614" t="s">
        <v>18</v>
      </c>
      <c r="D614" t="s">
        <v>117</v>
      </c>
      <c r="E614" t="s">
        <v>13</v>
      </c>
      <c r="F614">
        <v>1</v>
      </c>
      <c r="G614" t="str">
        <f>VLOOKUP(D614,Товары!A:I,3,0)</f>
        <v>Тумба с раковиной  навес. Альба 700 антрацит 2 ящика с умыв. Слим</v>
      </c>
      <c r="H614">
        <f>VLOOKUP(D614,Товары!A:I,6,0)</f>
        <v>60</v>
      </c>
      <c r="I614" t="str">
        <f>VLOOKUP(C614,Магазины!A:C,3,0)</f>
        <v>Набережные Челны</v>
      </c>
      <c r="J614">
        <f>VLOOKUP(D614,Товары!A:I,4,0)</f>
        <v>25095</v>
      </c>
      <c r="K614">
        <f t="shared" si="9"/>
        <v>25095</v>
      </c>
    </row>
    <row r="615" spans="1:11" hidden="1" x14ac:dyDescent="0.25">
      <c r="A615">
        <v>614</v>
      </c>
      <c r="B615" s="1">
        <v>45749</v>
      </c>
      <c r="C615" t="s">
        <v>43</v>
      </c>
      <c r="D615" t="s">
        <v>77</v>
      </c>
      <c r="E615" t="s">
        <v>13</v>
      </c>
      <c r="F615">
        <v>3</v>
      </c>
      <c r="G615" t="str">
        <f>VLOOKUP(D615,Товары!A:I,3,0)</f>
        <v>Тумба с раковиной  напол. Куба Риф 600 белый 2 ящика с умыв. Como</v>
      </c>
      <c r="H615">
        <f>VLOOKUP(D615,Товары!A:I,6,0)</f>
        <v>85</v>
      </c>
      <c r="I615" t="str">
        <f>VLOOKUP(C615,Магазины!A:C,3,0)</f>
        <v>Набережные Челны</v>
      </c>
      <c r="J615">
        <f>VLOOKUP(D615,Товары!A:I,4,0)</f>
        <v>15660</v>
      </c>
      <c r="K615">
        <f t="shared" si="9"/>
        <v>46980</v>
      </c>
    </row>
    <row r="616" spans="1:11" hidden="1" x14ac:dyDescent="0.25">
      <c r="A616">
        <v>615</v>
      </c>
      <c r="B616" s="1">
        <v>45751</v>
      </c>
      <c r="C616" t="s">
        <v>92</v>
      </c>
      <c r="D616" t="s">
        <v>62</v>
      </c>
      <c r="E616" t="s">
        <v>8</v>
      </c>
      <c r="F616">
        <v>1</v>
      </c>
      <c r="G616" t="str">
        <f>VLOOKUP(D616,Товары!A:I,3,0)</f>
        <v>Тумба с раковиной  напол. Альба 600 мята 2 ящика с умыв. Океан</v>
      </c>
      <c r="H616">
        <f>VLOOKUP(D616,Товары!A:I,6,0)</f>
        <v>80</v>
      </c>
      <c r="I616" t="str">
        <f>VLOOKUP(C616,Магазины!A:C,3,0)</f>
        <v>Кемерово</v>
      </c>
      <c r="J616">
        <f>VLOOKUP(D616,Товары!A:I,4,0)</f>
        <v>26370</v>
      </c>
      <c r="K616">
        <f t="shared" si="9"/>
        <v>26370</v>
      </c>
    </row>
    <row r="617" spans="1:11" hidden="1" x14ac:dyDescent="0.25">
      <c r="A617">
        <v>616</v>
      </c>
      <c r="B617" s="1">
        <v>45749</v>
      </c>
      <c r="C617" t="s">
        <v>48</v>
      </c>
      <c r="D617" t="s">
        <v>82</v>
      </c>
      <c r="E617" t="s">
        <v>8</v>
      </c>
      <c r="F617">
        <v>2</v>
      </c>
      <c r="G617" t="str">
        <f>VLOOKUP(D617,Товары!A:I,3,0)</f>
        <v>Тумба с раковиной  навес. Леон 800 форест 2 ящика с умыв. Слим</v>
      </c>
      <c r="H617">
        <f>VLOOKUP(D617,Товары!A:I,6,0)</f>
        <v>60</v>
      </c>
      <c r="I617" t="str">
        <f>VLOOKUP(C617,Магазины!A:C,3,0)</f>
        <v>Ставрополь</v>
      </c>
      <c r="J617">
        <f>VLOOKUP(D617,Товары!A:I,4,0)</f>
        <v>27930</v>
      </c>
      <c r="K617">
        <f t="shared" si="9"/>
        <v>55860</v>
      </c>
    </row>
    <row r="618" spans="1:11" hidden="1" x14ac:dyDescent="0.25">
      <c r="A618">
        <v>617</v>
      </c>
      <c r="B618" s="1">
        <v>45754</v>
      </c>
      <c r="C618" t="s">
        <v>111</v>
      </c>
      <c r="D618" t="s">
        <v>126</v>
      </c>
      <c r="E618" t="s">
        <v>13</v>
      </c>
      <c r="F618">
        <v>2</v>
      </c>
      <c r="G618" t="str">
        <f>VLOOKUP(D618,Товары!A:I,3,0)</f>
        <v>Тумба с раковиной  напол. Кристалл 800 шато азур 2 ящика с умыв. Комфорт</v>
      </c>
      <c r="H618">
        <f>VLOOKUP(D618,Товары!A:I,6,0)</f>
        <v>85</v>
      </c>
      <c r="I618" t="str">
        <f>VLOOKUP(C618,Магазины!A:C,3,0)</f>
        <v>Набережные Челны</v>
      </c>
      <c r="J618">
        <f>VLOOKUP(D618,Товары!A:I,4,0)</f>
        <v>31125</v>
      </c>
      <c r="K618">
        <f t="shared" si="9"/>
        <v>62250</v>
      </c>
    </row>
    <row r="619" spans="1:11" hidden="1" x14ac:dyDescent="0.25">
      <c r="A619">
        <v>618</v>
      </c>
      <c r="B619" s="1">
        <v>45748</v>
      </c>
      <c r="C619" t="s">
        <v>111</v>
      </c>
      <c r="D619" t="s">
        <v>39</v>
      </c>
      <c r="E619" t="s">
        <v>8</v>
      </c>
      <c r="F619">
        <v>1</v>
      </c>
      <c r="G619" t="str">
        <f>VLOOKUP(D619,Товары!A:I,3,0)</f>
        <v>Тумба с раковиной  напол. Альба 700 мята 2 ящика с умыв. Слим</v>
      </c>
      <c r="H619">
        <f>VLOOKUP(D619,Товары!A:I,6,0)</f>
        <v>85</v>
      </c>
      <c r="I619" t="str">
        <f>VLOOKUP(C619,Магазины!A:C,3,0)</f>
        <v>Набережные Челны</v>
      </c>
      <c r="J619">
        <f>VLOOKUP(D619,Товары!A:I,4,0)</f>
        <v>28695</v>
      </c>
      <c r="K619">
        <f t="shared" si="9"/>
        <v>28695</v>
      </c>
    </row>
    <row r="620" spans="1:11" hidden="1" x14ac:dyDescent="0.25">
      <c r="A620">
        <v>619</v>
      </c>
      <c r="B620" s="1">
        <v>45751</v>
      </c>
      <c r="C620" t="s">
        <v>54</v>
      </c>
      <c r="D620" t="s">
        <v>36</v>
      </c>
      <c r="E620" t="s">
        <v>8</v>
      </c>
      <c r="F620">
        <v>2</v>
      </c>
      <c r="G620" t="str">
        <f>VLOOKUP(D620,Товары!A:I,3,0)</f>
        <v>Тумба с раковиной  напол. Альба 800 мята 2 ящика с умыв. Слим</v>
      </c>
      <c r="H620">
        <f>VLOOKUP(D620,Товары!A:I,6,0)</f>
        <v>80</v>
      </c>
      <c r="I620" t="str">
        <f>VLOOKUP(C620,Магазины!A:C,3,0)</f>
        <v>Ставрополь</v>
      </c>
      <c r="J620">
        <f>VLOOKUP(D620,Товары!A:I,4,0)</f>
        <v>29340</v>
      </c>
      <c r="K620">
        <f t="shared" si="9"/>
        <v>58680</v>
      </c>
    </row>
    <row r="621" spans="1:11" hidden="1" x14ac:dyDescent="0.25">
      <c r="A621">
        <v>620</v>
      </c>
      <c r="B621" s="1">
        <v>45748</v>
      </c>
      <c r="C621" t="s">
        <v>14</v>
      </c>
      <c r="D621" t="s">
        <v>98</v>
      </c>
      <c r="E621" t="s">
        <v>13</v>
      </c>
      <c r="F621">
        <v>2</v>
      </c>
      <c r="G621" t="str">
        <f>VLOOKUP(D621,Товары!A:I,3,0)</f>
        <v>Тумба с раковиной  напол. Рица 800 cерый/керамика 2 ящика с умыв. Слим</v>
      </c>
      <c r="H621">
        <f>VLOOKUP(D621,Товары!A:I,6,0)</f>
        <v>80</v>
      </c>
      <c r="I621" t="str">
        <f>VLOOKUP(C621,Магазины!A:C,3,0)</f>
        <v>Оренбург</v>
      </c>
      <c r="J621">
        <f>VLOOKUP(D621,Товары!A:I,4,0)</f>
        <v>28980</v>
      </c>
      <c r="K621">
        <f t="shared" si="9"/>
        <v>57960</v>
      </c>
    </row>
    <row r="622" spans="1:11" hidden="1" x14ac:dyDescent="0.25">
      <c r="A622">
        <v>621</v>
      </c>
      <c r="B622" s="1">
        <v>45748</v>
      </c>
      <c r="C622" t="s">
        <v>57</v>
      </c>
      <c r="D622" t="s">
        <v>10</v>
      </c>
      <c r="E622" t="s">
        <v>13</v>
      </c>
      <c r="F622">
        <v>1</v>
      </c>
      <c r="G622" t="str">
        <f>VLOOKUP(D622,Товары!A:I,3,0)</f>
        <v>Тумба с раковиной  навес. Альба 700 антрацит 1 ящик с умыв. Слим</v>
      </c>
      <c r="H622">
        <f>VLOOKUP(D622,Товары!A:I,6,0)</f>
        <v>45</v>
      </c>
      <c r="I622" t="str">
        <f>VLOOKUP(C622,Магазины!A:C,3,0)</f>
        <v>Оренбург</v>
      </c>
      <c r="J622">
        <f>VLOOKUP(D622,Товары!A:I,4,0)</f>
        <v>20130</v>
      </c>
      <c r="K622">
        <f t="shared" si="9"/>
        <v>20130</v>
      </c>
    </row>
    <row r="623" spans="1:11" hidden="1" x14ac:dyDescent="0.25">
      <c r="A623">
        <v>622</v>
      </c>
      <c r="B623" s="1">
        <v>45749</v>
      </c>
      <c r="C623" t="s">
        <v>9</v>
      </c>
      <c r="D623" t="s">
        <v>96</v>
      </c>
      <c r="E623" t="s">
        <v>13</v>
      </c>
      <c r="F623">
        <v>1</v>
      </c>
      <c r="G623" t="str">
        <f>VLOOKUP(D623,Товары!A:I,3,0)</f>
        <v>Тумба с раковиной  навес. Альба 600 мята 1 ящик с умыв. Океан</v>
      </c>
      <c r="H623">
        <f>VLOOKUP(D623,Товары!A:I,6,0)</f>
        <v>85</v>
      </c>
      <c r="I623" t="str">
        <f>VLOOKUP(C623,Магазины!A:C,3,0)</f>
        <v>Кемерово</v>
      </c>
      <c r="J623">
        <f>VLOOKUP(D623,Товары!A:I,4,0)</f>
        <v>17625</v>
      </c>
      <c r="K623">
        <f t="shared" si="9"/>
        <v>17625</v>
      </c>
    </row>
    <row r="624" spans="1:11" hidden="1" x14ac:dyDescent="0.25">
      <c r="A624">
        <v>623</v>
      </c>
      <c r="B624" s="1">
        <v>45756</v>
      </c>
      <c r="C624" t="s">
        <v>28</v>
      </c>
      <c r="D624" t="s">
        <v>98</v>
      </c>
      <c r="E624" t="s">
        <v>13</v>
      </c>
      <c r="F624">
        <v>3</v>
      </c>
      <c r="G624" t="str">
        <f>VLOOKUP(D624,Товары!A:I,3,0)</f>
        <v>Тумба с раковиной  напол. Рица 800 cерый/керамика 2 ящика с умыв. Слим</v>
      </c>
      <c r="H624">
        <f>VLOOKUP(D624,Товары!A:I,6,0)</f>
        <v>80</v>
      </c>
      <c r="I624" t="str">
        <f>VLOOKUP(C624,Магазины!A:C,3,0)</f>
        <v>Набережные Челны</v>
      </c>
      <c r="J624">
        <f>VLOOKUP(D624,Товары!A:I,4,0)</f>
        <v>28980</v>
      </c>
      <c r="K624">
        <f t="shared" si="9"/>
        <v>86940</v>
      </c>
    </row>
    <row r="625" spans="1:11" hidden="1" x14ac:dyDescent="0.25">
      <c r="A625">
        <v>624</v>
      </c>
      <c r="B625" s="1">
        <v>45756</v>
      </c>
      <c r="C625" t="s">
        <v>103</v>
      </c>
      <c r="D625" t="s">
        <v>123</v>
      </c>
      <c r="E625" t="s">
        <v>13</v>
      </c>
      <c r="F625">
        <v>1</v>
      </c>
      <c r="G625" t="str">
        <f>VLOOKUP(D625,Товары!A:I,3,0)</f>
        <v>Тумба с раковиной  напол. Кристалл 800 суфле 2 ящика с умыв. Слим</v>
      </c>
      <c r="H625">
        <f>VLOOKUP(D625,Товары!A:I,6,0)</f>
        <v>80</v>
      </c>
      <c r="I625" t="str">
        <f>VLOOKUP(C625,Магазины!A:C,3,0)</f>
        <v>Ставрополь</v>
      </c>
      <c r="J625">
        <f>VLOOKUP(D625,Товары!A:I,4,0)</f>
        <v>31125</v>
      </c>
      <c r="K625">
        <f t="shared" si="9"/>
        <v>31125</v>
      </c>
    </row>
    <row r="626" spans="1:11" hidden="1" x14ac:dyDescent="0.25">
      <c r="A626">
        <v>625</v>
      </c>
      <c r="B626" s="1">
        <v>45748</v>
      </c>
      <c r="C626" t="s">
        <v>35</v>
      </c>
      <c r="D626" t="s">
        <v>115</v>
      </c>
      <c r="E626" t="s">
        <v>8</v>
      </c>
      <c r="F626">
        <v>3</v>
      </c>
      <c r="G626" t="str">
        <f>VLOOKUP(D626,Товары!A:I,3,0)</f>
        <v>Тумба под стиральную машину Куба Риф 57 напольная 2 ящика под ст/маш, без умывальника /под Marshall 120 Белый</v>
      </c>
      <c r="H626">
        <f>VLOOKUP(D626,Товары!A:I,6,0)</f>
        <v>85</v>
      </c>
      <c r="I626" t="str">
        <f>VLOOKUP(C626,Магазины!A:C,3,0)</f>
        <v>Набережные Челны</v>
      </c>
      <c r="J626">
        <f>VLOOKUP(D626,Товары!A:I,4,0)</f>
        <v>10530</v>
      </c>
      <c r="K626">
        <f t="shared" si="9"/>
        <v>31590</v>
      </c>
    </row>
    <row r="627" spans="1:11" hidden="1" x14ac:dyDescent="0.25">
      <c r="A627">
        <v>626</v>
      </c>
      <c r="B627" s="1">
        <v>45755</v>
      </c>
      <c r="C627" t="s">
        <v>30</v>
      </c>
      <c r="D627" t="s">
        <v>93</v>
      </c>
      <c r="E627" t="s">
        <v>8</v>
      </c>
      <c r="F627">
        <v>2</v>
      </c>
      <c r="G627" t="str">
        <f>VLOOKUP(D627,Товары!A:I,3,0)</f>
        <v>Тумба с раковиной  напол. Леон Риф 800 солярис/белый риф 2 ящика с умыв. Слим</v>
      </c>
      <c r="H627">
        <f>VLOOKUP(D627,Товары!A:I,6,0)</f>
        <v>80</v>
      </c>
      <c r="I627" t="str">
        <f>VLOOKUP(C627,Магазины!A:C,3,0)</f>
        <v>Кемерово</v>
      </c>
      <c r="J627">
        <f>VLOOKUP(D627,Товары!A:I,4,0)</f>
        <v>29340</v>
      </c>
      <c r="K627">
        <f t="shared" si="9"/>
        <v>58680</v>
      </c>
    </row>
    <row r="628" spans="1:11" hidden="1" x14ac:dyDescent="0.25">
      <c r="A628">
        <v>627</v>
      </c>
      <c r="B628" s="1">
        <v>45748</v>
      </c>
      <c r="C628" t="s">
        <v>35</v>
      </c>
      <c r="D628" t="s">
        <v>76</v>
      </c>
      <c r="E628" t="s">
        <v>8</v>
      </c>
      <c r="F628">
        <v>1</v>
      </c>
      <c r="G628" t="str">
        <f>VLOOKUP(D628,Товары!A:I,3,0)</f>
        <v>Тумба с раковиной  напол. Леон 600 оникс 2 ящика с умыв. Слим</v>
      </c>
      <c r="H628">
        <f>VLOOKUP(D628,Товары!A:I,6,0)</f>
        <v>80</v>
      </c>
      <c r="I628" t="str">
        <f>VLOOKUP(C628,Магазины!A:C,3,0)</f>
        <v>Набережные Челны</v>
      </c>
      <c r="J628">
        <f>VLOOKUP(D628,Товары!A:I,4,0)</f>
        <v>25860</v>
      </c>
      <c r="K628">
        <f t="shared" si="9"/>
        <v>25860</v>
      </c>
    </row>
    <row r="629" spans="1:11" hidden="1" x14ac:dyDescent="0.25">
      <c r="A629">
        <v>628</v>
      </c>
      <c r="B629" s="1">
        <v>45748</v>
      </c>
      <c r="C629" t="s">
        <v>43</v>
      </c>
      <c r="D629" t="s">
        <v>113</v>
      </c>
      <c r="E629" t="s">
        <v>13</v>
      </c>
      <c r="F629">
        <v>3</v>
      </c>
      <c r="G629" t="str">
        <f>VLOOKUP(D629,Товары!A:I,3,0)</f>
        <v>Зеркальный шкаф Альба 60 со светильником правый цвет мята</v>
      </c>
      <c r="H629">
        <f>VLOOKUP(D629,Товары!A:I,6,0)</f>
        <v>75</v>
      </c>
      <c r="I629" t="str">
        <f>VLOOKUP(C629,Магазины!A:C,3,0)</f>
        <v>Набережные Челны</v>
      </c>
      <c r="J629">
        <f>VLOOKUP(D629,Товары!A:I,4,0)</f>
        <v>8910</v>
      </c>
      <c r="K629">
        <f t="shared" si="9"/>
        <v>26730</v>
      </c>
    </row>
    <row r="630" spans="1:11" hidden="1" x14ac:dyDescent="0.25">
      <c r="A630">
        <v>629</v>
      </c>
      <c r="B630" s="1">
        <v>45754</v>
      </c>
      <c r="C630" t="s">
        <v>6</v>
      </c>
      <c r="D630" t="s">
        <v>62</v>
      </c>
      <c r="E630" t="s">
        <v>8</v>
      </c>
      <c r="F630">
        <v>3</v>
      </c>
      <c r="G630" t="str">
        <f>VLOOKUP(D630,Товары!A:I,3,0)</f>
        <v>Тумба с раковиной  напол. Альба 600 мята 2 ящика с умыв. Океан</v>
      </c>
      <c r="H630">
        <f>VLOOKUP(D630,Товары!A:I,6,0)</f>
        <v>80</v>
      </c>
      <c r="I630" t="str">
        <f>VLOOKUP(C630,Магазины!A:C,3,0)</f>
        <v>Оренбург</v>
      </c>
      <c r="J630">
        <f>VLOOKUP(D630,Товары!A:I,4,0)</f>
        <v>26370</v>
      </c>
      <c r="K630">
        <f t="shared" si="9"/>
        <v>79110</v>
      </c>
    </row>
    <row r="631" spans="1:11" hidden="1" x14ac:dyDescent="0.25">
      <c r="A631">
        <v>630</v>
      </c>
      <c r="B631" s="1">
        <v>45748</v>
      </c>
      <c r="C631" t="s">
        <v>28</v>
      </c>
      <c r="D631" t="s">
        <v>93</v>
      </c>
      <c r="E631" t="s">
        <v>8</v>
      </c>
      <c r="F631">
        <v>2</v>
      </c>
      <c r="G631" t="str">
        <f>VLOOKUP(D631,Товары!A:I,3,0)</f>
        <v>Тумба с раковиной  напол. Леон Риф 800 солярис/белый риф 2 ящика с умыв. Слим</v>
      </c>
      <c r="H631">
        <f>VLOOKUP(D631,Товары!A:I,6,0)</f>
        <v>80</v>
      </c>
      <c r="I631" t="str">
        <f>VLOOKUP(C631,Магазины!A:C,3,0)</f>
        <v>Набережные Челны</v>
      </c>
      <c r="J631">
        <f>VLOOKUP(D631,Товары!A:I,4,0)</f>
        <v>29340</v>
      </c>
      <c r="K631">
        <f t="shared" si="9"/>
        <v>58680</v>
      </c>
    </row>
    <row r="632" spans="1:11" hidden="1" x14ac:dyDescent="0.25">
      <c r="A632">
        <v>631</v>
      </c>
      <c r="B632" s="1">
        <v>45756</v>
      </c>
      <c r="C632" t="s">
        <v>26</v>
      </c>
      <c r="D632" t="s">
        <v>121</v>
      </c>
      <c r="E632" t="s">
        <v>8</v>
      </c>
      <c r="F632">
        <v>3</v>
      </c>
      <c r="G632" t="str">
        <f>VLOOKUP(D632,Товары!A:I,3,0)</f>
        <v>Тумба с раковиной  напол. Куба Риф 600 белый 2 двери с умыв. Como</v>
      </c>
      <c r="H632">
        <f>VLOOKUP(D632,Товары!A:I,6,0)</f>
        <v>85</v>
      </c>
      <c r="I632" t="str">
        <f>VLOOKUP(C632,Магазины!A:C,3,0)</f>
        <v>Оренбург</v>
      </c>
      <c r="J632">
        <f>VLOOKUP(D632,Товары!A:I,4,0)</f>
        <v>13695</v>
      </c>
      <c r="K632">
        <f t="shared" si="9"/>
        <v>41085</v>
      </c>
    </row>
    <row r="633" spans="1:11" hidden="1" x14ac:dyDescent="0.25">
      <c r="A633">
        <v>632</v>
      </c>
      <c r="B633" s="1">
        <v>45755</v>
      </c>
      <c r="C633" t="s">
        <v>111</v>
      </c>
      <c r="D633" t="s">
        <v>67</v>
      </c>
      <c r="E633" t="s">
        <v>8</v>
      </c>
      <c r="F633">
        <v>3</v>
      </c>
      <c r="G633" t="str">
        <f>VLOOKUP(D633,Товары!A:I,3,0)</f>
        <v>Пенал навес./напол. Альба 350 суфле 2 двери</v>
      </c>
      <c r="H633">
        <f>VLOOKUP(D633,Товары!A:I,6,0)</f>
        <v>150</v>
      </c>
      <c r="I633" t="str">
        <f>VLOOKUP(C633,Магазины!A:C,3,0)</f>
        <v>Набережные Челны</v>
      </c>
      <c r="J633">
        <f>VLOOKUP(D633,Товары!A:I,4,0)</f>
        <v>11655</v>
      </c>
      <c r="K633">
        <f t="shared" si="9"/>
        <v>34965</v>
      </c>
    </row>
    <row r="634" spans="1:11" hidden="1" x14ac:dyDescent="0.25">
      <c r="A634">
        <v>633</v>
      </c>
      <c r="B634" s="1">
        <v>45749</v>
      </c>
      <c r="C634" t="s">
        <v>103</v>
      </c>
      <c r="D634" t="s">
        <v>21</v>
      </c>
      <c r="E634" t="s">
        <v>13</v>
      </c>
      <c r="F634">
        <v>1</v>
      </c>
      <c r="G634" t="str">
        <f>VLOOKUP(D634,Товары!A:I,3,0)</f>
        <v>Зеркальный шкаф Рица 60 со светильником правый цвет cерый/керамика</v>
      </c>
      <c r="H634">
        <f>VLOOKUP(D634,Товары!A:I,6,0)</f>
        <v>75</v>
      </c>
      <c r="I634" t="str">
        <f>VLOOKUP(C634,Магазины!A:C,3,0)</f>
        <v>Ставрополь</v>
      </c>
      <c r="J634">
        <f>VLOOKUP(D634,Товары!A:I,4,0)</f>
        <v>8910</v>
      </c>
      <c r="K634">
        <f t="shared" si="9"/>
        <v>8910</v>
      </c>
    </row>
    <row r="635" spans="1:11" hidden="1" x14ac:dyDescent="0.25">
      <c r="A635">
        <v>634</v>
      </c>
      <c r="B635" s="1">
        <v>45756</v>
      </c>
      <c r="C635" t="s">
        <v>41</v>
      </c>
      <c r="D635" t="s">
        <v>107</v>
      </c>
      <c r="E635" t="s">
        <v>13</v>
      </c>
      <c r="F635">
        <v>1</v>
      </c>
      <c r="G635" t="str">
        <f>VLOOKUP(D635,Товары!A:I,3,0)</f>
        <v>Комод Аква 35 напольный 1 дверь белый правый</v>
      </c>
      <c r="H635">
        <f>VLOOKUP(D635,Товары!A:I,6,0)</f>
        <v>90</v>
      </c>
      <c r="I635" t="str">
        <f>VLOOKUP(C635,Магазины!A:C,3,0)</f>
        <v>Ставрополь</v>
      </c>
      <c r="J635">
        <f>VLOOKUP(D635,Товары!A:I,4,0)</f>
        <v>6705</v>
      </c>
      <c r="K635">
        <f t="shared" si="9"/>
        <v>6705</v>
      </c>
    </row>
    <row r="636" spans="1:11" hidden="1" x14ac:dyDescent="0.25">
      <c r="A636">
        <v>635</v>
      </c>
      <c r="B636" s="1">
        <v>45757</v>
      </c>
      <c r="C636" t="s">
        <v>9</v>
      </c>
      <c r="D636" t="s">
        <v>46</v>
      </c>
      <c r="E636" t="s">
        <v>8</v>
      </c>
      <c r="F636">
        <v>2</v>
      </c>
      <c r="G636" t="str">
        <f>VLOOKUP(D636,Товары!A:I,3,0)</f>
        <v>Тумба с раковиной  напол. Сохо 700 белый 2 ящика с умыв. Слим</v>
      </c>
      <c r="H636">
        <f>VLOOKUP(D636,Товары!A:I,6,0)</f>
        <v>85</v>
      </c>
      <c r="I636" t="str">
        <f>VLOOKUP(C636,Магазины!A:C,3,0)</f>
        <v>Кемерово</v>
      </c>
      <c r="J636">
        <f>VLOOKUP(D636,Товары!A:I,4,0)</f>
        <v>18405</v>
      </c>
      <c r="K636">
        <f t="shared" si="9"/>
        <v>36810</v>
      </c>
    </row>
    <row r="637" spans="1:11" hidden="1" x14ac:dyDescent="0.25">
      <c r="A637">
        <v>636</v>
      </c>
      <c r="B637" s="1">
        <v>45753</v>
      </c>
      <c r="C637" t="s">
        <v>63</v>
      </c>
      <c r="D637" t="s">
        <v>112</v>
      </c>
      <c r="E637" t="s">
        <v>13</v>
      </c>
      <c r="F637">
        <v>3</v>
      </c>
      <c r="G637" t="str">
        <f>VLOOKUP(D637,Товары!A:I,3,0)</f>
        <v>Тумба с раковиной  напол. Аква 560 белый 2 двери с умыв. Уют</v>
      </c>
      <c r="H637">
        <f>VLOOKUP(D637,Товары!A:I,6,0)</f>
        <v>85</v>
      </c>
      <c r="I637" t="str">
        <f>VLOOKUP(C637,Магазины!A:C,3,0)</f>
        <v>Ставрополь</v>
      </c>
      <c r="J637">
        <f>VLOOKUP(D637,Товары!A:I,4,0)</f>
        <v>9330</v>
      </c>
      <c r="K637">
        <f t="shared" si="9"/>
        <v>27990</v>
      </c>
    </row>
    <row r="638" spans="1:11" hidden="1" x14ac:dyDescent="0.25">
      <c r="A638">
        <v>637</v>
      </c>
      <c r="B638" s="1">
        <v>45757</v>
      </c>
      <c r="C638" t="s">
        <v>48</v>
      </c>
      <c r="D638" t="s">
        <v>131</v>
      </c>
      <c r="E638" t="s">
        <v>13</v>
      </c>
      <c r="F638">
        <v>3</v>
      </c>
      <c r="G638" t="str">
        <f>VLOOKUP(D638,Товары!A:I,3,0)</f>
        <v>Тумба с раковиной  напол. Леон 800 форест 2 ящика с умыв. Слим</v>
      </c>
      <c r="H638">
        <f>VLOOKUP(D638,Товары!A:I,6,0)</f>
        <v>80</v>
      </c>
      <c r="I638" t="str">
        <f>VLOOKUP(C638,Магазины!A:C,3,0)</f>
        <v>Ставрополь</v>
      </c>
      <c r="J638">
        <f>VLOOKUP(D638,Товары!A:I,4,0)</f>
        <v>29400</v>
      </c>
      <c r="K638">
        <f t="shared" si="9"/>
        <v>88200</v>
      </c>
    </row>
    <row r="639" spans="1:11" hidden="1" x14ac:dyDescent="0.25">
      <c r="A639">
        <v>638</v>
      </c>
      <c r="B639" s="1">
        <v>45749</v>
      </c>
      <c r="C639" t="s">
        <v>22</v>
      </c>
      <c r="D639" t="s">
        <v>82</v>
      </c>
      <c r="E639" t="s">
        <v>8</v>
      </c>
      <c r="F639">
        <v>3</v>
      </c>
      <c r="G639" t="str">
        <f>VLOOKUP(D639,Товары!A:I,3,0)</f>
        <v>Тумба с раковиной  навес. Леон 800 форест 2 ящика с умыв. Слим</v>
      </c>
      <c r="H639">
        <f>VLOOKUP(D639,Товары!A:I,6,0)</f>
        <v>60</v>
      </c>
      <c r="I639" t="str">
        <f>VLOOKUP(C639,Магазины!A:C,3,0)</f>
        <v>Кемерово</v>
      </c>
      <c r="J639">
        <f>VLOOKUP(D639,Товары!A:I,4,0)</f>
        <v>27930</v>
      </c>
      <c r="K639">
        <f t="shared" si="9"/>
        <v>83790</v>
      </c>
    </row>
    <row r="640" spans="1:11" hidden="1" x14ac:dyDescent="0.25">
      <c r="A640">
        <v>639</v>
      </c>
      <c r="B640" s="1">
        <v>45755</v>
      </c>
      <c r="C640" t="s">
        <v>20</v>
      </c>
      <c r="D640" t="s">
        <v>108</v>
      </c>
      <c r="E640" t="s">
        <v>8</v>
      </c>
      <c r="F640">
        <v>2</v>
      </c>
      <c r="G640" t="str">
        <f>VLOOKUP(D640,Товары!A:I,3,0)</f>
        <v>Тумба с раковиной  навес. Виктория 1000 белый 2 ящика с умыв. Слим</v>
      </c>
      <c r="H640">
        <f>VLOOKUP(D640,Товары!A:I,6,0)</f>
        <v>60</v>
      </c>
      <c r="I640" t="str">
        <f>VLOOKUP(C640,Магазины!A:C,3,0)</f>
        <v>Оренбург</v>
      </c>
      <c r="J640">
        <f>VLOOKUP(D640,Товары!A:I,4,0)</f>
        <v>29205</v>
      </c>
      <c r="K640">
        <f t="shared" si="9"/>
        <v>58410</v>
      </c>
    </row>
    <row r="641" spans="1:11" hidden="1" x14ac:dyDescent="0.25">
      <c r="A641">
        <v>640</v>
      </c>
      <c r="B641" s="1">
        <v>45755</v>
      </c>
      <c r="C641" t="s">
        <v>33</v>
      </c>
      <c r="D641" t="s">
        <v>121</v>
      </c>
      <c r="E641" t="s">
        <v>8</v>
      </c>
      <c r="F641">
        <v>2</v>
      </c>
      <c r="G641" t="str">
        <f>VLOOKUP(D641,Товары!A:I,3,0)</f>
        <v>Тумба с раковиной  напол. Куба Риф 600 белый 2 двери с умыв. Como</v>
      </c>
      <c r="H641">
        <f>VLOOKUP(D641,Товары!A:I,6,0)</f>
        <v>85</v>
      </c>
      <c r="I641" t="str">
        <f>VLOOKUP(C641,Магазины!A:C,3,0)</f>
        <v>Набережные Челны</v>
      </c>
      <c r="J641">
        <f>VLOOKUP(D641,Товары!A:I,4,0)</f>
        <v>13695</v>
      </c>
      <c r="K641">
        <f t="shared" si="9"/>
        <v>27390</v>
      </c>
    </row>
    <row r="642" spans="1:11" hidden="1" x14ac:dyDescent="0.25">
      <c r="A642">
        <v>641</v>
      </c>
      <c r="B642" s="1">
        <v>45748</v>
      </c>
      <c r="C642" t="s">
        <v>103</v>
      </c>
      <c r="D642" t="s">
        <v>19</v>
      </c>
      <c r="E642" t="s">
        <v>13</v>
      </c>
      <c r="F642">
        <v>1</v>
      </c>
      <c r="G642" t="str">
        <f>VLOOKUP(D642,Товары!A:I,3,0)</f>
        <v>Тумба с раковиной  навес. Леон 800 оникс 2 ящика с умыв. Слим</v>
      </c>
      <c r="H642">
        <f>VLOOKUP(D642,Товары!A:I,6,0)</f>
        <v>60</v>
      </c>
      <c r="I642" t="str">
        <f>VLOOKUP(C642,Магазины!A:C,3,0)</f>
        <v>Ставрополь</v>
      </c>
      <c r="J642">
        <f>VLOOKUP(D642,Товары!A:I,4,0)</f>
        <v>27930</v>
      </c>
      <c r="K642">
        <f t="shared" si="9"/>
        <v>27930</v>
      </c>
    </row>
    <row r="643" spans="1:11" hidden="1" x14ac:dyDescent="0.25">
      <c r="A643">
        <v>642</v>
      </c>
      <c r="B643" s="1">
        <v>45753</v>
      </c>
      <c r="C643" t="s">
        <v>11</v>
      </c>
      <c r="D643" t="s">
        <v>75</v>
      </c>
      <c r="E643" t="s">
        <v>8</v>
      </c>
      <c r="F643">
        <v>2</v>
      </c>
      <c r="G643" t="str">
        <f>VLOOKUP(D643,Товары!A:I,3,0)</f>
        <v>Тумба с раковиной  напол. Альба 600 суфле 2 ящика с умыв. Океан</v>
      </c>
      <c r="H643">
        <f>VLOOKUP(D643,Товары!A:I,6,0)</f>
        <v>80</v>
      </c>
      <c r="I643" t="str">
        <f>VLOOKUP(C643,Магазины!A:C,3,0)</f>
        <v>Кемерово</v>
      </c>
      <c r="J643">
        <f>VLOOKUP(D643,Товары!A:I,4,0)</f>
        <v>26370</v>
      </c>
      <c r="K643">
        <f t="shared" ref="K643:K706" si="10">J643*F643</f>
        <v>52740</v>
      </c>
    </row>
    <row r="644" spans="1:11" hidden="1" x14ac:dyDescent="0.25">
      <c r="A644">
        <v>643</v>
      </c>
      <c r="B644" s="1">
        <v>45752</v>
      </c>
      <c r="C644" t="s">
        <v>54</v>
      </c>
      <c r="D644" t="s">
        <v>130</v>
      </c>
      <c r="E644" t="s">
        <v>8</v>
      </c>
      <c r="F644">
        <v>3</v>
      </c>
      <c r="G644" t="str">
        <f>VLOOKUP(D644,Товары!A:I,3,0)</f>
        <v>Пенал напол. Леон 400 форест 2 двери + 1 ящик</v>
      </c>
      <c r="H644">
        <f>VLOOKUP(D644,Товары!A:I,6,0)</f>
        <v>190</v>
      </c>
      <c r="I644" t="str">
        <f>VLOOKUP(C644,Магазины!A:C,3,0)</f>
        <v>Ставрополь</v>
      </c>
      <c r="J644">
        <f>VLOOKUP(D644,Товары!A:I,4,0)</f>
        <v>18450</v>
      </c>
      <c r="K644">
        <f t="shared" si="10"/>
        <v>55350</v>
      </c>
    </row>
    <row r="645" spans="1:11" hidden="1" x14ac:dyDescent="0.25">
      <c r="A645">
        <v>644</v>
      </c>
      <c r="B645" s="1">
        <v>45757</v>
      </c>
      <c r="C645" t="s">
        <v>33</v>
      </c>
      <c r="D645" t="s">
        <v>46</v>
      </c>
      <c r="E645" t="s">
        <v>13</v>
      </c>
      <c r="F645">
        <v>1</v>
      </c>
      <c r="G645" t="str">
        <f>VLOOKUP(D645,Товары!A:I,3,0)</f>
        <v>Тумба с раковиной  напол. Сохо 700 белый 2 ящика с умыв. Слим</v>
      </c>
      <c r="H645">
        <f>VLOOKUP(D645,Товары!A:I,6,0)</f>
        <v>85</v>
      </c>
      <c r="I645" t="str">
        <f>VLOOKUP(C645,Магазины!A:C,3,0)</f>
        <v>Набережные Челны</v>
      </c>
      <c r="J645">
        <f>VLOOKUP(D645,Товары!A:I,4,0)</f>
        <v>18405</v>
      </c>
      <c r="K645">
        <f t="shared" si="10"/>
        <v>18405</v>
      </c>
    </row>
    <row r="646" spans="1:11" hidden="1" x14ac:dyDescent="0.25">
      <c r="A646">
        <v>645</v>
      </c>
      <c r="B646" s="1">
        <v>45750</v>
      </c>
      <c r="C646" t="s">
        <v>30</v>
      </c>
      <c r="D646" t="s">
        <v>46</v>
      </c>
      <c r="E646" t="s">
        <v>8</v>
      </c>
      <c r="F646">
        <v>3</v>
      </c>
      <c r="G646" t="str">
        <f>VLOOKUP(D646,Товары!A:I,3,0)</f>
        <v>Тумба с раковиной  напол. Сохо 700 белый 2 ящика с умыв. Слим</v>
      </c>
      <c r="H646">
        <f>VLOOKUP(D646,Товары!A:I,6,0)</f>
        <v>85</v>
      </c>
      <c r="I646" t="str">
        <f>VLOOKUP(C646,Магазины!A:C,3,0)</f>
        <v>Кемерово</v>
      </c>
      <c r="J646">
        <f>VLOOKUP(D646,Товары!A:I,4,0)</f>
        <v>18405</v>
      </c>
      <c r="K646">
        <f t="shared" si="10"/>
        <v>55215</v>
      </c>
    </row>
    <row r="647" spans="1:11" hidden="1" x14ac:dyDescent="0.25">
      <c r="A647">
        <v>646</v>
      </c>
      <c r="B647" s="1">
        <v>45754</v>
      </c>
      <c r="C647" t="s">
        <v>20</v>
      </c>
      <c r="D647" t="s">
        <v>83</v>
      </c>
      <c r="E647" t="s">
        <v>13</v>
      </c>
      <c r="F647">
        <v>1</v>
      </c>
      <c r="G647" t="str">
        <f>VLOOKUP(D647,Товары!A:I,3,0)</f>
        <v>Зеркальный шкаф Альба 60 со светильником правый цвет суфле</v>
      </c>
      <c r="H647">
        <f>VLOOKUP(D647,Товары!A:I,6,0)</f>
        <v>75</v>
      </c>
      <c r="I647" t="str">
        <f>VLOOKUP(C647,Магазины!A:C,3,0)</f>
        <v>Оренбург</v>
      </c>
      <c r="J647">
        <f>VLOOKUP(D647,Товары!A:I,4,0)</f>
        <v>8910</v>
      </c>
      <c r="K647">
        <f t="shared" si="10"/>
        <v>8910</v>
      </c>
    </row>
    <row r="648" spans="1:11" hidden="1" x14ac:dyDescent="0.25">
      <c r="A648">
        <v>647</v>
      </c>
      <c r="B648" s="1">
        <v>45757</v>
      </c>
      <c r="C648" t="s">
        <v>48</v>
      </c>
      <c r="D648" t="s">
        <v>74</v>
      </c>
      <c r="E648" t="s">
        <v>13</v>
      </c>
      <c r="F648">
        <v>3</v>
      </c>
      <c r="G648" t="str">
        <f>VLOOKUP(D648,Товары!A:I,3,0)</f>
        <v>Тумба с раковиной  напол. Альба 800 суфле 2 ящика с умыв. Слим</v>
      </c>
      <c r="H648">
        <f>VLOOKUP(D648,Товары!A:I,6,0)</f>
        <v>80</v>
      </c>
      <c r="I648" t="str">
        <f>VLOOKUP(C648,Магазины!A:C,3,0)</f>
        <v>Ставрополь</v>
      </c>
      <c r="J648">
        <f>VLOOKUP(D648,Товары!A:I,4,0)</f>
        <v>29340</v>
      </c>
      <c r="K648">
        <f t="shared" si="10"/>
        <v>88020</v>
      </c>
    </row>
    <row r="649" spans="1:11" hidden="1" x14ac:dyDescent="0.25">
      <c r="A649">
        <v>648</v>
      </c>
      <c r="B649" s="1">
        <v>45753</v>
      </c>
      <c r="C649" t="s">
        <v>6</v>
      </c>
      <c r="D649" t="s">
        <v>76</v>
      </c>
      <c r="E649" t="s">
        <v>13</v>
      </c>
      <c r="F649">
        <v>2</v>
      </c>
      <c r="G649" t="str">
        <f>VLOOKUP(D649,Товары!A:I,3,0)</f>
        <v>Тумба с раковиной  напол. Леон 600 оникс 2 ящика с умыв. Слим</v>
      </c>
      <c r="H649">
        <f>VLOOKUP(D649,Товары!A:I,6,0)</f>
        <v>80</v>
      </c>
      <c r="I649" t="str">
        <f>VLOOKUP(C649,Магазины!A:C,3,0)</f>
        <v>Оренбург</v>
      </c>
      <c r="J649">
        <f>VLOOKUP(D649,Товары!A:I,4,0)</f>
        <v>25860</v>
      </c>
      <c r="K649">
        <f t="shared" si="10"/>
        <v>51720</v>
      </c>
    </row>
    <row r="650" spans="1:11" hidden="1" x14ac:dyDescent="0.25">
      <c r="A650">
        <v>649</v>
      </c>
      <c r="B650" s="1">
        <v>45748</v>
      </c>
      <c r="C650" t="s">
        <v>16</v>
      </c>
      <c r="D650" t="s">
        <v>12</v>
      </c>
      <c r="E650" t="s">
        <v>8</v>
      </c>
      <c r="F650">
        <v>3</v>
      </c>
      <c r="G650" t="str">
        <f>VLOOKUP(D650,Товары!A:I,3,0)</f>
        <v>Тумба с раковиной  напол. Сохо 700 белый 2 двери с умыв. Слим</v>
      </c>
      <c r="H650">
        <f>VLOOKUP(D650,Товары!A:I,6,0)</f>
        <v>85</v>
      </c>
      <c r="I650" t="str">
        <f>VLOOKUP(C650,Магазины!A:C,3,0)</f>
        <v>Оренбург</v>
      </c>
      <c r="J650">
        <f>VLOOKUP(D650,Товары!A:I,4,0)</f>
        <v>17160</v>
      </c>
      <c r="K650">
        <f t="shared" si="10"/>
        <v>51480</v>
      </c>
    </row>
    <row r="651" spans="1:11" hidden="1" x14ac:dyDescent="0.25">
      <c r="A651">
        <v>650</v>
      </c>
      <c r="B651" s="1">
        <v>45753</v>
      </c>
      <c r="C651" t="s">
        <v>6</v>
      </c>
      <c r="D651" t="s">
        <v>75</v>
      </c>
      <c r="E651" t="s">
        <v>13</v>
      </c>
      <c r="F651">
        <v>1</v>
      </c>
      <c r="G651" t="str">
        <f>VLOOKUP(D651,Товары!A:I,3,0)</f>
        <v>Тумба с раковиной  напол. Альба 600 суфле 2 ящика с умыв. Океан</v>
      </c>
      <c r="H651">
        <f>VLOOKUP(D651,Товары!A:I,6,0)</f>
        <v>80</v>
      </c>
      <c r="I651" t="str">
        <f>VLOOKUP(C651,Магазины!A:C,3,0)</f>
        <v>Оренбург</v>
      </c>
      <c r="J651">
        <f>VLOOKUP(D651,Товары!A:I,4,0)</f>
        <v>26370</v>
      </c>
      <c r="K651">
        <f t="shared" si="10"/>
        <v>26370</v>
      </c>
    </row>
    <row r="652" spans="1:11" hidden="1" x14ac:dyDescent="0.25">
      <c r="A652">
        <v>651</v>
      </c>
      <c r="B652" s="1">
        <v>45753</v>
      </c>
      <c r="C652" t="s">
        <v>63</v>
      </c>
      <c r="D652" t="s">
        <v>96</v>
      </c>
      <c r="E652" t="s">
        <v>8</v>
      </c>
      <c r="F652">
        <v>2</v>
      </c>
      <c r="G652" t="str">
        <f>VLOOKUP(D652,Товары!A:I,3,0)</f>
        <v>Тумба с раковиной  навес. Альба 600 мята 1 ящик с умыв. Океан</v>
      </c>
      <c r="H652">
        <f>VLOOKUP(D652,Товары!A:I,6,0)</f>
        <v>85</v>
      </c>
      <c r="I652" t="str">
        <f>VLOOKUP(C652,Магазины!A:C,3,0)</f>
        <v>Ставрополь</v>
      </c>
      <c r="J652">
        <f>VLOOKUP(D652,Товары!A:I,4,0)</f>
        <v>17625</v>
      </c>
      <c r="K652">
        <f t="shared" si="10"/>
        <v>35250</v>
      </c>
    </row>
    <row r="653" spans="1:11" hidden="1" x14ac:dyDescent="0.25">
      <c r="A653">
        <v>652</v>
      </c>
      <c r="B653" s="1">
        <v>45757</v>
      </c>
      <c r="C653" t="s">
        <v>63</v>
      </c>
      <c r="D653" t="s">
        <v>99</v>
      </c>
      <c r="E653" t="s">
        <v>8</v>
      </c>
      <c r="F653">
        <v>1</v>
      </c>
      <c r="G653" t="str">
        <f>VLOOKUP(D653,Товары!A:I,3,0)</f>
        <v>Тумба с раковиной  навес. Леон 600 оникс 2 ящика с умыв. Слим</v>
      </c>
      <c r="H653">
        <f>VLOOKUP(D653,Товары!A:I,6,0)</f>
        <v>60</v>
      </c>
      <c r="I653" t="str">
        <f>VLOOKUP(C653,Магазины!A:C,3,0)</f>
        <v>Ставрополь</v>
      </c>
      <c r="J653">
        <f>VLOOKUP(D653,Товары!A:I,4,0)</f>
        <v>25125</v>
      </c>
      <c r="K653">
        <f t="shared" si="10"/>
        <v>25125</v>
      </c>
    </row>
    <row r="654" spans="1:11" hidden="1" x14ac:dyDescent="0.25">
      <c r="A654">
        <v>653</v>
      </c>
      <c r="B654" s="1">
        <v>45750</v>
      </c>
      <c r="C654" t="s">
        <v>16</v>
      </c>
      <c r="D654" t="s">
        <v>106</v>
      </c>
      <c r="E654" t="s">
        <v>8</v>
      </c>
      <c r="F654">
        <v>2</v>
      </c>
      <c r="G654" t="str">
        <f>VLOOKUP(D654,Товары!A:I,3,0)</f>
        <v>Тумба с раковиной  навес. Кристалл 700 шато азур 2 ящика с умыв. Слим</v>
      </c>
      <c r="H654">
        <f>VLOOKUP(D654,Товары!A:I,6,0)</f>
        <v>60</v>
      </c>
      <c r="I654" t="str">
        <f>VLOOKUP(C654,Магазины!A:C,3,0)</f>
        <v>Оренбург</v>
      </c>
      <c r="J654">
        <f>VLOOKUP(D654,Товары!A:I,4,0)</f>
        <v>24150</v>
      </c>
      <c r="K654">
        <f t="shared" si="10"/>
        <v>48300</v>
      </c>
    </row>
    <row r="655" spans="1:11" hidden="1" x14ac:dyDescent="0.25">
      <c r="A655">
        <v>654</v>
      </c>
      <c r="B655" s="1">
        <v>45749</v>
      </c>
      <c r="C655" t="s">
        <v>111</v>
      </c>
      <c r="D655" t="s">
        <v>126</v>
      </c>
      <c r="E655" t="s">
        <v>8</v>
      </c>
      <c r="F655">
        <v>3</v>
      </c>
      <c r="G655" t="str">
        <f>VLOOKUP(D655,Товары!A:I,3,0)</f>
        <v>Тумба с раковиной  напол. Кристалл 800 шато азур 2 ящика с умыв. Комфорт</v>
      </c>
      <c r="H655">
        <f>VLOOKUP(D655,Товары!A:I,6,0)</f>
        <v>85</v>
      </c>
      <c r="I655" t="str">
        <f>VLOOKUP(C655,Магазины!A:C,3,0)</f>
        <v>Набережные Челны</v>
      </c>
      <c r="J655">
        <f>VLOOKUP(D655,Товары!A:I,4,0)</f>
        <v>31125</v>
      </c>
      <c r="K655">
        <f t="shared" si="10"/>
        <v>93375</v>
      </c>
    </row>
    <row r="656" spans="1:11" hidden="1" x14ac:dyDescent="0.25">
      <c r="A656">
        <v>655</v>
      </c>
      <c r="B656" s="1">
        <v>45750</v>
      </c>
      <c r="C656" t="s">
        <v>9</v>
      </c>
      <c r="D656" t="s">
        <v>124</v>
      </c>
      <c r="E656" t="s">
        <v>13</v>
      </c>
      <c r="F656">
        <v>1</v>
      </c>
      <c r="G656" t="str">
        <f>VLOOKUP(D656,Товары!A:I,3,0)</f>
        <v>Тумба с раковиной  напол. Леон 600 оникс 2 ящика с умыв. Океан</v>
      </c>
      <c r="H656">
        <f>VLOOKUP(D656,Товары!A:I,6,0)</f>
        <v>80</v>
      </c>
      <c r="I656" t="str">
        <f>VLOOKUP(C656,Магазины!A:C,3,0)</f>
        <v>Кемерово</v>
      </c>
      <c r="J656">
        <f>VLOOKUP(D656,Товары!A:I,4,0)</f>
        <v>25860</v>
      </c>
      <c r="K656">
        <f t="shared" si="10"/>
        <v>25860</v>
      </c>
    </row>
    <row r="657" spans="1:11" hidden="1" x14ac:dyDescent="0.25">
      <c r="A657">
        <v>656</v>
      </c>
      <c r="B657" s="1">
        <v>45749</v>
      </c>
      <c r="C657" t="s">
        <v>6</v>
      </c>
      <c r="D657" t="s">
        <v>127</v>
      </c>
      <c r="E657" t="s">
        <v>13</v>
      </c>
      <c r="F657">
        <v>1</v>
      </c>
      <c r="G657" t="str">
        <f>VLOOKUP(D657,Товары!A:I,3,0)</f>
        <v>Тумба с раковиной  навес. Альба 700 мята 1 ящик с умыв. Слим</v>
      </c>
      <c r="H657">
        <f>VLOOKUP(D657,Товары!A:I,6,0)</f>
        <v>45</v>
      </c>
      <c r="I657" t="str">
        <f>VLOOKUP(C657,Магазины!A:C,3,0)</f>
        <v>Оренбург</v>
      </c>
      <c r="J657">
        <f>VLOOKUP(D657,Товары!A:I,4,0)</f>
        <v>20130</v>
      </c>
      <c r="K657">
        <f t="shared" si="10"/>
        <v>20130</v>
      </c>
    </row>
    <row r="658" spans="1:11" hidden="1" x14ac:dyDescent="0.25">
      <c r="A658">
        <v>657</v>
      </c>
      <c r="B658" s="1">
        <v>45753</v>
      </c>
      <c r="C658" t="s">
        <v>30</v>
      </c>
      <c r="D658" t="s">
        <v>128</v>
      </c>
      <c r="E658" t="s">
        <v>13</v>
      </c>
      <c r="F658">
        <v>2</v>
      </c>
      <c r="G658" t="str">
        <f>VLOOKUP(D658,Товары!A:I,3,0)</f>
        <v>Тумба с раковиной  напол. Куба Риф 1000 белый 2 ящика с умыв. Слим</v>
      </c>
      <c r="H658">
        <f>VLOOKUP(D658,Товары!A:I,6,0)</f>
        <v>85</v>
      </c>
      <c r="I658" t="str">
        <f>VLOOKUP(C658,Магазины!A:C,3,0)</f>
        <v>Кемерово</v>
      </c>
      <c r="J658">
        <f>VLOOKUP(D658,Товары!A:I,4,0)</f>
        <v>22905</v>
      </c>
      <c r="K658">
        <f t="shared" si="10"/>
        <v>45810</v>
      </c>
    </row>
    <row r="659" spans="1:11" hidden="1" x14ac:dyDescent="0.25">
      <c r="A659">
        <v>658</v>
      </c>
      <c r="B659" s="1">
        <v>45753</v>
      </c>
      <c r="C659" t="s">
        <v>35</v>
      </c>
      <c r="D659" t="s">
        <v>105</v>
      </c>
      <c r="E659" t="s">
        <v>8</v>
      </c>
      <c r="F659">
        <v>3</v>
      </c>
      <c r="G659" t="str">
        <f>VLOOKUP(D659,Товары!A:I,3,0)</f>
        <v>Тумба с раковиной  напол. Нева 600 белый 2 двери + 1 ящик с умыв. Como</v>
      </c>
      <c r="H659">
        <f>VLOOKUP(D659,Товары!A:I,6,0)</f>
        <v>80</v>
      </c>
      <c r="I659" t="str">
        <f>VLOOKUP(C659,Магазины!A:C,3,0)</f>
        <v>Набережные Челны</v>
      </c>
      <c r="J659">
        <f>VLOOKUP(D659,Товары!A:I,4,0)</f>
        <v>13470</v>
      </c>
      <c r="K659">
        <f t="shared" si="10"/>
        <v>40410</v>
      </c>
    </row>
    <row r="660" spans="1:11" hidden="1" x14ac:dyDescent="0.25">
      <c r="A660">
        <v>659</v>
      </c>
      <c r="B660" s="1">
        <v>45756</v>
      </c>
      <c r="C660" t="s">
        <v>111</v>
      </c>
      <c r="D660" t="s">
        <v>116</v>
      </c>
      <c r="E660" t="s">
        <v>8</v>
      </c>
      <c r="F660">
        <v>3</v>
      </c>
      <c r="G660" t="str">
        <f>VLOOKUP(D660,Товары!A:I,3,0)</f>
        <v>Зеркало Нева 60 дуб/белый со светильником</v>
      </c>
      <c r="H660">
        <f>VLOOKUP(D660,Товары!A:I,6,0)</f>
        <v>80</v>
      </c>
      <c r="I660" t="str">
        <f>VLOOKUP(C660,Магазины!A:C,3,0)</f>
        <v>Набережные Челны</v>
      </c>
      <c r="J660">
        <f>VLOOKUP(D660,Товары!A:I,4,0)</f>
        <v>5100</v>
      </c>
      <c r="K660">
        <f t="shared" si="10"/>
        <v>15300</v>
      </c>
    </row>
    <row r="661" spans="1:11" hidden="1" x14ac:dyDescent="0.25">
      <c r="A661">
        <v>660</v>
      </c>
      <c r="B661" s="1">
        <v>45752</v>
      </c>
      <c r="C661" t="s">
        <v>14</v>
      </c>
      <c r="D661" t="s">
        <v>116</v>
      </c>
      <c r="E661" t="s">
        <v>13</v>
      </c>
      <c r="F661">
        <v>1</v>
      </c>
      <c r="G661" t="str">
        <f>VLOOKUP(D661,Товары!A:I,3,0)</f>
        <v>Зеркало Нева 60 дуб/белый со светильником</v>
      </c>
      <c r="H661">
        <f>VLOOKUP(D661,Товары!A:I,6,0)</f>
        <v>80</v>
      </c>
      <c r="I661" t="str">
        <f>VLOOKUP(C661,Магазины!A:C,3,0)</f>
        <v>Оренбург</v>
      </c>
      <c r="J661">
        <f>VLOOKUP(D661,Товары!A:I,4,0)</f>
        <v>5100</v>
      </c>
      <c r="K661">
        <f t="shared" si="10"/>
        <v>5100</v>
      </c>
    </row>
    <row r="662" spans="1:11" hidden="1" x14ac:dyDescent="0.25">
      <c r="A662">
        <v>661</v>
      </c>
      <c r="B662" s="1">
        <v>45752</v>
      </c>
      <c r="C662" t="s">
        <v>6</v>
      </c>
      <c r="D662" t="s">
        <v>94</v>
      </c>
      <c r="E662" t="s">
        <v>13</v>
      </c>
      <c r="F662">
        <v>1</v>
      </c>
      <c r="G662" t="str">
        <f>VLOOKUP(D662,Товары!A:I,3,0)</f>
        <v>Зеркальный шкаф Альба 80 со светильником правый цвет антрацит</v>
      </c>
      <c r="H662">
        <f>VLOOKUP(D662,Товары!A:I,6,0)</f>
        <v>75</v>
      </c>
      <c r="I662" t="str">
        <f>VLOOKUP(C662,Магазины!A:C,3,0)</f>
        <v>Оренбург</v>
      </c>
      <c r="J662">
        <f>VLOOKUP(D662,Товары!A:I,4,0)</f>
        <v>9930</v>
      </c>
      <c r="K662">
        <f t="shared" si="10"/>
        <v>9930</v>
      </c>
    </row>
    <row r="663" spans="1:11" hidden="1" x14ac:dyDescent="0.25">
      <c r="A663">
        <v>662</v>
      </c>
      <c r="B663" s="1">
        <v>45751</v>
      </c>
      <c r="C663" t="s">
        <v>26</v>
      </c>
      <c r="D663" t="s">
        <v>39</v>
      </c>
      <c r="E663" t="s">
        <v>8</v>
      </c>
      <c r="F663">
        <v>2</v>
      </c>
      <c r="G663" t="str">
        <f>VLOOKUP(D663,Товары!A:I,3,0)</f>
        <v>Тумба с раковиной  напол. Альба 700 мята 2 ящика с умыв. Слим</v>
      </c>
      <c r="H663">
        <f>VLOOKUP(D663,Товары!A:I,6,0)</f>
        <v>85</v>
      </c>
      <c r="I663" t="str">
        <f>VLOOKUP(C663,Магазины!A:C,3,0)</f>
        <v>Оренбург</v>
      </c>
      <c r="J663">
        <f>VLOOKUP(D663,Товары!A:I,4,0)</f>
        <v>28695</v>
      </c>
      <c r="K663">
        <f t="shared" si="10"/>
        <v>57390</v>
      </c>
    </row>
    <row r="664" spans="1:11" hidden="1" x14ac:dyDescent="0.25">
      <c r="A664">
        <v>663</v>
      </c>
      <c r="B664" s="1">
        <v>45748</v>
      </c>
      <c r="C664" t="s">
        <v>16</v>
      </c>
      <c r="D664" t="s">
        <v>77</v>
      </c>
      <c r="E664" t="s">
        <v>8</v>
      </c>
      <c r="F664">
        <v>2</v>
      </c>
      <c r="G664" t="str">
        <f>VLOOKUP(D664,Товары!A:I,3,0)</f>
        <v>Тумба с раковиной  напол. Куба Риф 600 белый 2 ящика с умыв. Como</v>
      </c>
      <c r="H664">
        <f>VLOOKUP(D664,Товары!A:I,6,0)</f>
        <v>85</v>
      </c>
      <c r="I664" t="str">
        <f>VLOOKUP(C664,Магазины!A:C,3,0)</f>
        <v>Оренбург</v>
      </c>
      <c r="J664">
        <f>VLOOKUP(D664,Товары!A:I,4,0)</f>
        <v>15660</v>
      </c>
      <c r="K664">
        <f t="shared" si="10"/>
        <v>31320</v>
      </c>
    </row>
    <row r="665" spans="1:11" hidden="1" x14ac:dyDescent="0.25">
      <c r="A665">
        <v>664</v>
      </c>
      <c r="B665" s="1">
        <v>45748</v>
      </c>
      <c r="C665" t="s">
        <v>18</v>
      </c>
      <c r="D665" t="s">
        <v>77</v>
      </c>
      <c r="E665" t="s">
        <v>13</v>
      </c>
      <c r="F665">
        <v>3</v>
      </c>
      <c r="G665" t="str">
        <f>VLOOKUP(D665,Товары!A:I,3,0)</f>
        <v>Тумба с раковиной  напол. Куба Риф 600 белый 2 ящика с умыв. Como</v>
      </c>
      <c r="H665">
        <f>VLOOKUP(D665,Товары!A:I,6,0)</f>
        <v>85</v>
      </c>
      <c r="I665" t="str">
        <f>VLOOKUP(C665,Магазины!A:C,3,0)</f>
        <v>Набережные Челны</v>
      </c>
      <c r="J665">
        <f>VLOOKUP(D665,Товары!A:I,4,0)</f>
        <v>15660</v>
      </c>
      <c r="K665">
        <f t="shared" si="10"/>
        <v>46980</v>
      </c>
    </row>
    <row r="666" spans="1:11" hidden="1" x14ac:dyDescent="0.25">
      <c r="A666">
        <v>665</v>
      </c>
      <c r="B666" s="1">
        <v>45751</v>
      </c>
      <c r="C666" t="s">
        <v>20</v>
      </c>
      <c r="D666" t="s">
        <v>42</v>
      </c>
      <c r="E666" t="s">
        <v>8</v>
      </c>
      <c r="F666">
        <v>1</v>
      </c>
      <c r="G666" t="str">
        <f>VLOOKUP(D666,Товары!A:I,3,0)</f>
        <v>Тумба под стиральную машину Леон Риф 57 подвесная 2 ящика под ст/маш, без умывальника /под Marshall 120 Солярис/Белый Риф</v>
      </c>
      <c r="H666">
        <f>VLOOKUP(D666,Товары!A:I,6,0)</f>
        <v>60</v>
      </c>
      <c r="I666" t="str">
        <f>VLOOKUP(C666,Магазины!A:C,3,0)</f>
        <v>Оренбург</v>
      </c>
      <c r="J666">
        <f>VLOOKUP(D666,Товары!A:I,4,0)</f>
        <v>15495</v>
      </c>
      <c r="K666">
        <f t="shared" si="10"/>
        <v>15495</v>
      </c>
    </row>
    <row r="667" spans="1:11" hidden="1" x14ac:dyDescent="0.25">
      <c r="A667">
        <v>666</v>
      </c>
      <c r="B667" s="1">
        <v>45755</v>
      </c>
      <c r="C667" t="s">
        <v>54</v>
      </c>
      <c r="D667" t="s">
        <v>42</v>
      </c>
      <c r="E667" t="s">
        <v>13</v>
      </c>
      <c r="F667">
        <v>1</v>
      </c>
      <c r="G667" t="str">
        <f>VLOOKUP(D667,Товары!A:I,3,0)</f>
        <v>Тумба под стиральную машину Леон Риф 57 подвесная 2 ящика под ст/маш, без умывальника /под Marshall 120 Солярис/Белый Риф</v>
      </c>
      <c r="H667">
        <f>VLOOKUP(D667,Товары!A:I,6,0)</f>
        <v>60</v>
      </c>
      <c r="I667" t="str">
        <f>VLOOKUP(C667,Магазины!A:C,3,0)</f>
        <v>Ставрополь</v>
      </c>
      <c r="J667">
        <f>VLOOKUP(D667,Товары!A:I,4,0)</f>
        <v>15495</v>
      </c>
      <c r="K667">
        <f t="shared" si="10"/>
        <v>15495</v>
      </c>
    </row>
    <row r="668" spans="1:11" hidden="1" x14ac:dyDescent="0.25">
      <c r="A668">
        <v>667</v>
      </c>
      <c r="B668" s="1">
        <v>45756</v>
      </c>
      <c r="C668" t="s">
        <v>18</v>
      </c>
      <c r="D668" t="s">
        <v>79</v>
      </c>
      <c r="E668" t="s">
        <v>13</v>
      </c>
      <c r="F668">
        <v>2</v>
      </c>
      <c r="G668" t="str">
        <f>VLOOKUP(D668,Товары!A:I,3,0)</f>
        <v>Зеркальный шкаф Альба 70 со светильником правый цвет мята</v>
      </c>
      <c r="H668">
        <f>VLOOKUP(D668,Товары!A:I,6,0)</f>
        <v>75</v>
      </c>
      <c r="I668" t="str">
        <f>VLOOKUP(C668,Магазины!A:C,3,0)</f>
        <v>Набережные Челны</v>
      </c>
      <c r="J668">
        <f>VLOOKUP(D668,Товары!A:I,4,0)</f>
        <v>9615</v>
      </c>
      <c r="K668">
        <f t="shared" si="10"/>
        <v>19230</v>
      </c>
    </row>
    <row r="669" spans="1:11" hidden="1" x14ac:dyDescent="0.25">
      <c r="A669">
        <v>668</v>
      </c>
      <c r="B669" s="1">
        <v>45753</v>
      </c>
      <c r="C669" t="s">
        <v>11</v>
      </c>
      <c r="D669" t="s">
        <v>67</v>
      </c>
      <c r="E669" t="s">
        <v>8</v>
      </c>
      <c r="F669">
        <v>3</v>
      </c>
      <c r="G669" t="str">
        <f>VLOOKUP(D669,Товары!A:I,3,0)</f>
        <v>Пенал навес./напол. Альба 350 суфле 2 двери</v>
      </c>
      <c r="H669">
        <f>VLOOKUP(D669,Товары!A:I,6,0)</f>
        <v>150</v>
      </c>
      <c r="I669" t="str">
        <f>VLOOKUP(C669,Магазины!A:C,3,0)</f>
        <v>Кемерово</v>
      </c>
      <c r="J669">
        <f>VLOOKUP(D669,Товары!A:I,4,0)</f>
        <v>11655</v>
      </c>
      <c r="K669">
        <f t="shared" si="10"/>
        <v>34965</v>
      </c>
    </row>
    <row r="670" spans="1:11" hidden="1" x14ac:dyDescent="0.25">
      <c r="A670">
        <v>669</v>
      </c>
      <c r="B670" s="1">
        <v>45756</v>
      </c>
      <c r="C670" t="s">
        <v>58</v>
      </c>
      <c r="D670" t="s">
        <v>100</v>
      </c>
      <c r="E670" t="s">
        <v>8</v>
      </c>
      <c r="F670">
        <v>1</v>
      </c>
      <c r="G670" t="str">
        <f>VLOOKUP(D670,Товары!A:I,3,0)</f>
        <v>Тумба с раковиной  навес. Альба 800 мята 1 ящик с умыв. Слим</v>
      </c>
      <c r="H670">
        <f>VLOOKUP(D670,Товары!A:I,6,0)</f>
        <v>45</v>
      </c>
      <c r="I670" t="str">
        <f>VLOOKUP(C670,Магазины!A:C,3,0)</f>
        <v>Ставрополь</v>
      </c>
      <c r="J670">
        <f>VLOOKUP(D670,Товары!A:I,4,0)</f>
        <v>21630</v>
      </c>
      <c r="K670">
        <f t="shared" si="10"/>
        <v>21630</v>
      </c>
    </row>
    <row r="671" spans="1:11" hidden="1" x14ac:dyDescent="0.25">
      <c r="A671">
        <v>670</v>
      </c>
      <c r="B671" s="1">
        <v>45750</v>
      </c>
      <c r="C671" t="s">
        <v>28</v>
      </c>
      <c r="D671" t="s">
        <v>89</v>
      </c>
      <c r="E671" t="s">
        <v>8</v>
      </c>
      <c r="F671">
        <v>1</v>
      </c>
      <c r="G671" t="str">
        <f>VLOOKUP(D671,Товары!A:I,3,0)</f>
        <v>Тумба с раковиной  напол. Сохо 600 белый 2 двери с умыв. Океан</v>
      </c>
      <c r="H671">
        <f>VLOOKUP(D671,Товары!A:I,6,0)</f>
        <v>85</v>
      </c>
      <c r="I671" t="str">
        <f>VLOOKUP(C671,Магазины!A:C,3,0)</f>
        <v>Набережные Челны</v>
      </c>
      <c r="J671">
        <f>VLOOKUP(D671,Товары!A:I,4,0)</f>
        <v>14880</v>
      </c>
      <c r="K671">
        <f t="shared" si="10"/>
        <v>14880</v>
      </c>
    </row>
    <row r="672" spans="1:11" hidden="1" x14ac:dyDescent="0.25">
      <c r="A672">
        <v>671</v>
      </c>
      <c r="B672" s="1">
        <v>45750</v>
      </c>
      <c r="C672" t="s">
        <v>28</v>
      </c>
      <c r="D672" t="s">
        <v>59</v>
      </c>
      <c r="E672" t="s">
        <v>13</v>
      </c>
      <c r="F672">
        <v>3</v>
      </c>
      <c r="G672" t="str">
        <f>VLOOKUP(D672,Товары!A:I,3,0)</f>
        <v>Тумба с раковиной  навес. Куба Риф 600 белый 2 ящика с умыв. Океан</v>
      </c>
      <c r="H672">
        <f>VLOOKUP(D672,Товары!A:I,6,0)</f>
        <v>55</v>
      </c>
      <c r="I672" t="str">
        <f>VLOOKUP(C672,Магазины!A:C,3,0)</f>
        <v>Набережные Челны</v>
      </c>
      <c r="J672">
        <f>VLOOKUP(D672,Товары!A:I,4,0)</f>
        <v>15765</v>
      </c>
      <c r="K672">
        <f t="shared" si="10"/>
        <v>47295</v>
      </c>
    </row>
    <row r="673" spans="1:11" hidden="1" x14ac:dyDescent="0.25">
      <c r="A673">
        <v>672</v>
      </c>
      <c r="B673" s="1">
        <v>45749</v>
      </c>
      <c r="C673" t="s">
        <v>92</v>
      </c>
      <c r="D673" t="s">
        <v>46</v>
      </c>
      <c r="E673" t="s">
        <v>8</v>
      </c>
      <c r="F673">
        <v>1</v>
      </c>
      <c r="G673" t="str">
        <f>VLOOKUP(D673,Товары!A:I,3,0)</f>
        <v>Тумба с раковиной  напол. Сохо 700 белый 2 ящика с умыв. Слим</v>
      </c>
      <c r="H673">
        <f>VLOOKUP(D673,Товары!A:I,6,0)</f>
        <v>85</v>
      </c>
      <c r="I673" t="str">
        <f>VLOOKUP(C673,Магазины!A:C,3,0)</f>
        <v>Кемерово</v>
      </c>
      <c r="J673">
        <f>VLOOKUP(D673,Товары!A:I,4,0)</f>
        <v>18405</v>
      </c>
      <c r="K673">
        <f t="shared" si="10"/>
        <v>18405</v>
      </c>
    </row>
    <row r="674" spans="1:11" hidden="1" x14ac:dyDescent="0.25">
      <c r="A674">
        <v>673</v>
      </c>
      <c r="B674" s="1">
        <v>45751</v>
      </c>
      <c r="C674" t="s">
        <v>48</v>
      </c>
      <c r="D674" t="s">
        <v>15</v>
      </c>
      <c r="E674" t="s">
        <v>8</v>
      </c>
      <c r="F674">
        <v>1</v>
      </c>
      <c r="G674" t="str">
        <f>VLOOKUP(D674,Товары!A:I,3,0)</f>
        <v>Зеркальный шкаф Кристалл 60 со светильником правый, ручка кнопка дуб цвет Шато Азур</v>
      </c>
      <c r="H674">
        <f>VLOOKUP(D674,Товары!A:I,6,0)</f>
        <v>75</v>
      </c>
      <c r="I674" t="str">
        <f>VLOOKUP(C674,Магазины!A:C,3,0)</f>
        <v>Ставрополь</v>
      </c>
      <c r="J674">
        <f>VLOOKUP(D674,Товары!A:I,4,0)</f>
        <v>9195</v>
      </c>
      <c r="K674">
        <f t="shared" si="10"/>
        <v>9195</v>
      </c>
    </row>
    <row r="675" spans="1:11" hidden="1" x14ac:dyDescent="0.25">
      <c r="A675">
        <v>674</v>
      </c>
      <c r="B675" s="1">
        <v>45757</v>
      </c>
      <c r="C675" t="s">
        <v>28</v>
      </c>
      <c r="D675" t="s">
        <v>83</v>
      </c>
      <c r="E675" t="s">
        <v>13</v>
      </c>
      <c r="F675">
        <v>2</v>
      </c>
      <c r="G675" t="str">
        <f>VLOOKUP(D675,Товары!A:I,3,0)</f>
        <v>Зеркальный шкаф Альба 60 со светильником правый цвет суфле</v>
      </c>
      <c r="H675">
        <f>VLOOKUP(D675,Товары!A:I,6,0)</f>
        <v>75</v>
      </c>
      <c r="I675" t="str">
        <f>VLOOKUP(C675,Магазины!A:C,3,0)</f>
        <v>Набережные Челны</v>
      </c>
      <c r="J675">
        <f>VLOOKUP(D675,Товары!A:I,4,0)</f>
        <v>8910</v>
      </c>
      <c r="K675">
        <f t="shared" si="10"/>
        <v>17820</v>
      </c>
    </row>
    <row r="676" spans="1:11" hidden="1" x14ac:dyDescent="0.25">
      <c r="A676">
        <v>675</v>
      </c>
      <c r="B676" s="1">
        <v>45757</v>
      </c>
      <c r="C676" t="s">
        <v>28</v>
      </c>
      <c r="D676" t="s">
        <v>19</v>
      </c>
      <c r="E676" t="s">
        <v>13</v>
      </c>
      <c r="F676">
        <v>2</v>
      </c>
      <c r="G676" t="str">
        <f>VLOOKUP(D676,Товары!A:I,3,0)</f>
        <v>Тумба с раковиной  навес. Леон 800 оникс 2 ящика с умыв. Слим</v>
      </c>
      <c r="H676">
        <f>VLOOKUP(D676,Товары!A:I,6,0)</f>
        <v>60</v>
      </c>
      <c r="I676" t="str">
        <f>VLOOKUP(C676,Магазины!A:C,3,0)</f>
        <v>Набережные Челны</v>
      </c>
      <c r="J676">
        <f>VLOOKUP(D676,Товары!A:I,4,0)</f>
        <v>27930</v>
      </c>
      <c r="K676">
        <f t="shared" si="10"/>
        <v>55860</v>
      </c>
    </row>
    <row r="677" spans="1:11" hidden="1" x14ac:dyDescent="0.25">
      <c r="A677">
        <v>676</v>
      </c>
      <c r="B677" s="1">
        <v>45751</v>
      </c>
      <c r="C677" t="s">
        <v>22</v>
      </c>
      <c r="D677" t="s">
        <v>110</v>
      </c>
      <c r="E677" t="s">
        <v>13</v>
      </c>
      <c r="F677">
        <v>3</v>
      </c>
      <c r="G677" t="str">
        <f>VLOOKUP(D677,Товары!A:I,3,0)</f>
        <v>Тумба с раковиной  напол. Альба 600 антрацит 2 ящика с умыв. Океан</v>
      </c>
      <c r="H677">
        <f>VLOOKUP(D677,Товары!A:I,6,0)</f>
        <v>80</v>
      </c>
      <c r="I677" t="str">
        <f>VLOOKUP(C677,Магазины!A:C,3,0)</f>
        <v>Кемерово</v>
      </c>
      <c r="J677">
        <f>VLOOKUP(D677,Товары!A:I,4,0)</f>
        <v>26370</v>
      </c>
      <c r="K677">
        <f t="shared" si="10"/>
        <v>79110</v>
      </c>
    </row>
    <row r="678" spans="1:11" hidden="1" x14ac:dyDescent="0.25">
      <c r="A678">
        <v>677</v>
      </c>
      <c r="B678" s="1">
        <v>45749</v>
      </c>
      <c r="C678" t="s">
        <v>6</v>
      </c>
      <c r="D678" t="s">
        <v>25</v>
      </c>
      <c r="E678" t="s">
        <v>8</v>
      </c>
      <c r="F678">
        <v>2</v>
      </c>
      <c r="G678" t="str">
        <f>VLOOKUP(D678,Товары!A:I,3,0)</f>
        <v>Пенал напол. Леон 400 оникс 2 двери + 1 ящик</v>
      </c>
      <c r="H678">
        <f>VLOOKUP(D678,Товары!A:I,6,0)</f>
        <v>190</v>
      </c>
      <c r="I678" t="str">
        <f>VLOOKUP(C678,Магазины!A:C,3,0)</f>
        <v>Оренбург</v>
      </c>
      <c r="J678">
        <f>VLOOKUP(D678,Товары!A:I,4,0)</f>
        <v>18450</v>
      </c>
      <c r="K678">
        <f t="shared" si="10"/>
        <v>36900</v>
      </c>
    </row>
    <row r="679" spans="1:11" hidden="1" x14ac:dyDescent="0.25">
      <c r="A679">
        <v>678</v>
      </c>
      <c r="B679" s="1">
        <v>45755</v>
      </c>
      <c r="C679" t="s">
        <v>20</v>
      </c>
      <c r="D679" t="s">
        <v>99</v>
      </c>
      <c r="E679" t="s">
        <v>13</v>
      </c>
      <c r="F679">
        <v>3</v>
      </c>
      <c r="G679" t="str">
        <f>VLOOKUP(D679,Товары!A:I,3,0)</f>
        <v>Тумба с раковиной  навес. Леон 600 оникс 2 ящика с умыв. Слим</v>
      </c>
      <c r="H679">
        <f>VLOOKUP(D679,Товары!A:I,6,0)</f>
        <v>60</v>
      </c>
      <c r="I679" t="str">
        <f>VLOOKUP(C679,Магазины!A:C,3,0)</f>
        <v>Оренбург</v>
      </c>
      <c r="J679">
        <f>VLOOKUP(D679,Товары!A:I,4,0)</f>
        <v>25125</v>
      </c>
      <c r="K679">
        <f t="shared" si="10"/>
        <v>75375</v>
      </c>
    </row>
    <row r="680" spans="1:11" hidden="1" x14ac:dyDescent="0.25">
      <c r="A680">
        <v>679</v>
      </c>
      <c r="B680" s="1">
        <v>45755</v>
      </c>
      <c r="C680" t="s">
        <v>11</v>
      </c>
      <c r="D680" t="s">
        <v>70</v>
      </c>
      <c r="E680" t="s">
        <v>13</v>
      </c>
      <c r="F680">
        <v>1</v>
      </c>
      <c r="G680" t="str">
        <f>VLOOKUP(D680,Товары!A:I,3,0)</f>
        <v>Тумба с раковиной  напол. Кристалл 700 шато азур 2 ящика с умыв. Слим</v>
      </c>
      <c r="H680">
        <f>VLOOKUP(D680,Товары!A:I,6,0)</f>
        <v>85</v>
      </c>
      <c r="I680" t="str">
        <f>VLOOKUP(C680,Магазины!A:C,3,0)</f>
        <v>Кемерово</v>
      </c>
      <c r="J680">
        <f>VLOOKUP(D680,Товары!A:I,4,0)</f>
        <v>29910</v>
      </c>
      <c r="K680">
        <f t="shared" si="10"/>
        <v>29910</v>
      </c>
    </row>
    <row r="681" spans="1:11" hidden="1" x14ac:dyDescent="0.25">
      <c r="A681">
        <v>680</v>
      </c>
      <c r="B681" s="1">
        <v>45754</v>
      </c>
      <c r="C681" t="s">
        <v>41</v>
      </c>
      <c r="D681" t="s">
        <v>37</v>
      </c>
      <c r="E681" t="s">
        <v>8</v>
      </c>
      <c r="F681">
        <v>1</v>
      </c>
      <c r="G681" t="str">
        <f>VLOOKUP(D681,Товары!A:I,3,0)</f>
        <v>Зеркальный шкаф Сохо 70 белый со светильником правый цвет Белый глянец</v>
      </c>
      <c r="H681">
        <f>VLOOKUP(D681,Товары!A:I,6,0)</f>
        <v>75</v>
      </c>
      <c r="I681" t="str">
        <f>VLOOKUP(C681,Магазины!A:C,3,0)</f>
        <v>Ставрополь</v>
      </c>
      <c r="J681">
        <f>VLOOKUP(D681,Товары!A:I,4,0)</f>
        <v>7935</v>
      </c>
      <c r="K681">
        <f t="shared" si="10"/>
        <v>7935</v>
      </c>
    </row>
    <row r="682" spans="1:11" hidden="1" x14ac:dyDescent="0.25">
      <c r="A682">
        <v>681</v>
      </c>
      <c r="B682" s="1">
        <v>45755</v>
      </c>
      <c r="C682" t="s">
        <v>20</v>
      </c>
      <c r="D682" t="s">
        <v>71</v>
      </c>
      <c r="E682" t="s">
        <v>13</v>
      </c>
      <c r="F682">
        <v>1</v>
      </c>
      <c r="G682" t="str">
        <f>VLOOKUP(D682,Товары!A:I,3,0)</f>
        <v>Тумба с раковиной  навес. Альба 600 мята 2 ящика с умыв. Океан</v>
      </c>
      <c r="H682">
        <f>VLOOKUP(D682,Товары!A:I,6,0)</f>
        <v>50</v>
      </c>
      <c r="I682" t="str">
        <f>VLOOKUP(C682,Магазины!A:C,3,0)</f>
        <v>Оренбург</v>
      </c>
      <c r="J682">
        <f>VLOOKUP(D682,Товары!A:I,4,0)</f>
        <v>24810</v>
      </c>
      <c r="K682">
        <f t="shared" si="10"/>
        <v>24810</v>
      </c>
    </row>
    <row r="683" spans="1:11" hidden="1" x14ac:dyDescent="0.25">
      <c r="A683">
        <v>682</v>
      </c>
      <c r="B683" s="1">
        <v>45749</v>
      </c>
      <c r="C683" t="s">
        <v>43</v>
      </c>
      <c r="D683" t="s">
        <v>82</v>
      </c>
      <c r="E683" t="s">
        <v>8</v>
      </c>
      <c r="F683">
        <v>1</v>
      </c>
      <c r="G683" t="str">
        <f>VLOOKUP(D683,Товары!A:I,3,0)</f>
        <v>Тумба с раковиной  навес. Леон 800 форест 2 ящика с умыв. Слим</v>
      </c>
      <c r="H683">
        <f>VLOOKUP(D683,Товары!A:I,6,0)</f>
        <v>60</v>
      </c>
      <c r="I683" t="str">
        <f>VLOOKUP(C683,Магазины!A:C,3,0)</f>
        <v>Набережные Челны</v>
      </c>
      <c r="J683">
        <f>VLOOKUP(D683,Товары!A:I,4,0)</f>
        <v>27930</v>
      </c>
      <c r="K683">
        <f t="shared" si="10"/>
        <v>27930</v>
      </c>
    </row>
    <row r="684" spans="1:11" hidden="1" x14ac:dyDescent="0.25">
      <c r="A684">
        <v>683</v>
      </c>
      <c r="B684" s="1">
        <v>45752</v>
      </c>
      <c r="C684" t="s">
        <v>18</v>
      </c>
      <c r="D684" t="s">
        <v>107</v>
      </c>
      <c r="E684" t="s">
        <v>8</v>
      </c>
      <c r="F684">
        <v>2</v>
      </c>
      <c r="G684" t="str">
        <f>VLOOKUP(D684,Товары!A:I,3,0)</f>
        <v>Комод Аква 35 напольный 1 дверь белый правый</v>
      </c>
      <c r="H684">
        <f>VLOOKUP(D684,Товары!A:I,6,0)</f>
        <v>90</v>
      </c>
      <c r="I684" t="str">
        <f>VLOOKUP(C684,Магазины!A:C,3,0)</f>
        <v>Набережные Челны</v>
      </c>
      <c r="J684">
        <f>VLOOKUP(D684,Товары!A:I,4,0)</f>
        <v>6705</v>
      </c>
      <c r="K684">
        <f t="shared" si="10"/>
        <v>13410</v>
      </c>
    </row>
    <row r="685" spans="1:11" hidden="1" x14ac:dyDescent="0.25">
      <c r="A685">
        <v>684</v>
      </c>
      <c r="B685" s="1">
        <v>45755</v>
      </c>
      <c r="C685" t="s">
        <v>22</v>
      </c>
      <c r="D685" t="s">
        <v>105</v>
      </c>
      <c r="E685" t="s">
        <v>8</v>
      </c>
      <c r="F685">
        <v>2</v>
      </c>
      <c r="G685" t="str">
        <f>VLOOKUP(D685,Товары!A:I,3,0)</f>
        <v>Тумба с раковиной  напол. Нева 600 белый 2 двери + 1 ящик с умыв. Como</v>
      </c>
      <c r="H685">
        <f>VLOOKUP(D685,Товары!A:I,6,0)</f>
        <v>80</v>
      </c>
      <c r="I685" t="str">
        <f>VLOOKUP(C685,Магазины!A:C,3,0)</f>
        <v>Кемерово</v>
      </c>
      <c r="J685">
        <f>VLOOKUP(D685,Товары!A:I,4,0)</f>
        <v>13470</v>
      </c>
      <c r="K685">
        <f t="shared" si="10"/>
        <v>26940</v>
      </c>
    </row>
    <row r="686" spans="1:11" hidden="1" x14ac:dyDescent="0.25">
      <c r="A686">
        <v>685</v>
      </c>
      <c r="B686" s="1">
        <v>45749</v>
      </c>
      <c r="C686" t="s">
        <v>35</v>
      </c>
      <c r="D686" t="s">
        <v>107</v>
      </c>
      <c r="E686" t="s">
        <v>8</v>
      </c>
      <c r="F686">
        <v>2</v>
      </c>
      <c r="G686" t="str">
        <f>VLOOKUP(D686,Товары!A:I,3,0)</f>
        <v>Комод Аква 35 напольный 1 дверь белый правый</v>
      </c>
      <c r="H686">
        <f>VLOOKUP(D686,Товары!A:I,6,0)</f>
        <v>90</v>
      </c>
      <c r="I686" t="str">
        <f>VLOOKUP(C686,Магазины!A:C,3,0)</f>
        <v>Набережные Челны</v>
      </c>
      <c r="J686">
        <f>VLOOKUP(D686,Товары!A:I,4,0)</f>
        <v>6705</v>
      </c>
      <c r="K686">
        <f t="shared" si="10"/>
        <v>13410</v>
      </c>
    </row>
    <row r="687" spans="1:11" hidden="1" x14ac:dyDescent="0.25">
      <c r="A687">
        <v>686</v>
      </c>
      <c r="B687" s="1">
        <v>45748</v>
      </c>
      <c r="C687" t="s">
        <v>48</v>
      </c>
      <c r="D687" t="s">
        <v>109</v>
      </c>
      <c r="E687" t="s">
        <v>8</v>
      </c>
      <c r="F687">
        <v>2</v>
      </c>
      <c r="G687" t="str">
        <f>VLOOKUP(D687,Товары!A:I,3,0)</f>
        <v>Тумба с раковиной  навес. Альба 600 антрацит 2 ящика с умыв. Океан</v>
      </c>
      <c r="H687">
        <f>VLOOKUP(D687,Товары!A:I,6,0)</f>
        <v>50</v>
      </c>
      <c r="I687" t="str">
        <f>VLOOKUP(C687,Магазины!A:C,3,0)</f>
        <v>Ставрополь</v>
      </c>
      <c r="J687">
        <f>VLOOKUP(D687,Товары!A:I,4,0)</f>
        <v>24810</v>
      </c>
      <c r="K687">
        <f t="shared" si="10"/>
        <v>49620</v>
      </c>
    </row>
    <row r="688" spans="1:11" hidden="1" x14ac:dyDescent="0.25">
      <c r="A688">
        <v>687</v>
      </c>
      <c r="B688" s="1">
        <v>45752</v>
      </c>
      <c r="C688" t="s">
        <v>11</v>
      </c>
      <c r="D688" t="s">
        <v>99</v>
      </c>
      <c r="E688" t="s">
        <v>13</v>
      </c>
      <c r="F688">
        <v>3</v>
      </c>
      <c r="G688" t="str">
        <f>VLOOKUP(D688,Товары!A:I,3,0)</f>
        <v>Тумба с раковиной  навес. Леон 600 оникс 2 ящика с умыв. Слим</v>
      </c>
      <c r="H688">
        <f>VLOOKUP(D688,Товары!A:I,6,0)</f>
        <v>60</v>
      </c>
      <c r="I688" t="str">
        <f>VLOOKUP(C688,Магазины!A:C,3,0)</f>
        <v>Кемерово</v>
      </c>
      <c r="J688">
        <f>VLOOKUP(D688,Товары!A:I,4,0)</f>
        <v>25125</v>
      </c>
      <c r="K688">
        <f t="shared" si="10"/>
        <v>75375</v>
      </c>
    </row>
    <row r="689" spans="1:11" hidden="1" x14ac:dyDescent="0.25">
      <c r="A689">
        <v>688</v>
      </c>
      <c r="B689" s="1">
        <v>45750</v>
      </c>
      <c r="C689" t="s">
        <v>48</v>
      </c>
      <c r="D689" t="s">
        <v>50</v>
      </c>
      <c r="E689" t="s">
        <v>13</v>
      </c>
      <c r="F689">
        <v>3</v>
      </c>
      <c r="G689" t="str">
        <f>VLOOKUP(D689,Товары!A:I,3,0)</f>
        <v>Тумба с раковиной  напол. Леон 800 оникс 2 ящика с умыв. Слим</v>
      </c>
      <c r="H689">
        <f>VLOOKUP(D689,Товары!A:I,6,0)</f>
        <v>80</v>
      </c>
      <c r="I689" t="str">
        <f>VLOOKUP(C689,Магазины!A:C,3,0)</f>
        <v>Ставрополь</v>
      </c>
      <c r="J689">
        <f>VLOOKUP(D689,Товары!A:I,4,0)</f>
        <v>29400</v>
      </c>
      <c r="K689">
        <f t="shared" si="10"/>
        <v>88200</v>
      </c>
    </row>
    <row r="690" spans="1:11" hidden="1" x14ac:dyDescent="0.25">
      <c r="A690">
        <v>689</v>
      </c>
      <c r="B690" s="1">
        <v>45752</v>
      </c>
      <c r="C690" t="s">
        <v>103</v>
      </c>
      <c r="D690" t="s">
        <v>109</v>
      </c>
      <c r="E690" t="s">
        <v>13</v>
      </c>
      <c r="F690">
        <v>2</v>
      </c>
      <c r="G690" t="str">
        <f>VLOOKUP(D690,Товары!A:I,3,0)</f>
        <v>Тумба с раковиной  навес. Альба 600 антрацит 2 ящика с умыв. Океан</v>
      </c>
      <c r="H690">
        <f>VLOOKUP(D690,Товары!A:I,6,0)</f>
        <v>50</v>
      </c>
      <c r="I690" t="str">
        <f>VLOOKUP(C690,Магазины!A:C,3,0)</f>
        <v>Ставрополь</v>
      </c>
      <c r="J690">
        <f>VLOOKUP(D690,Товары!A:I,4,0)</f>
        <v>24810</v>
      </c>
      <c r="K690">
        <f t="shared" si="10"/>
        <v>49620</v>
      </c>
    </row>
    <row r="691" spans="1:11" hidden="1" x14ac:dyDescent="0.25">
      <c r="A691">
        <v>690</v>
      </c>
      <c r="B691" s="1">
        <v>45750</v>
      </c>
      <c r="C691" t="s">
        <v>28</v>
      </c>
      <c r="D691" t="s">
        <v>113</v>
      </c>
      <c r="E691" t="s">
        <v>8</v>
      </c>
      <c r="F691">
        <v>1</v>
      </c>
      <c r="G691" t="str">
        <f>VLOOKUP(D691,Товары!A:I,3,0)</f>
        <v>Зеркальный шкаф Альба 60 со светильником правый цвет мята</v>
      </c>
      <c r="H691">
        <f>VLOOKUP(D691,Товары!A:I,6,0)</f>
        <v>75</v>
      </c>
      <c r="I691" t="str">
        <f>VLOOKUP(C691,Магазины!A:C,3,0)</f>
        <v>Набережные Челны</v>
      </c>
      <c r="J691">
        <f>VLOOKUP(D691,Товары!A:I,4,0)</f>
        <v>8910</v>
      </c>
      <c r="K691">
        <f t="shared" si="10"/>
        <v>8910</v>
      </c>
    </row>
    <row r="692" spans="1:11" hidden="1" x14ac:dyDescent="0.25">
      <c r="A692">
        <v>691</v>
      </c>
      <c r="B692" s="1">
        <v>45753</v>
      </c>
      <c r="C692" t="s">
        <v>26</v>
      </c>
      <c r="D692" t="s">
        <v>51</v>
      </c>
      <c r="E692" t="s">
        <v>8</v>
      </c>
      <c r="F692">
        <v>1</v>
      </c>
      <c r="G692" t="str">
        <f>VLOOKUP(D692,Товары!A:I,3,0)</f>
        <v>Зеркальный шкаф Альба 80 со светильником правый цвет суфле</v>
      </c>
      <c r="H692">
        <f>VLOOKUP(D692,Товары!A:I,6,0)</f>
        <v>75</v>
      </c>
      <c r="I692" t="str">
        <f>VLOOKUP(C692,Магазины!A:C,3,0)</f>
        <v>Оренбург</v>
      </c>
      <c r="J692">
        <f>VLOOKUP(D692,Товары!A:I,4,0)</f>
        <v>9930</v>
      </c>
      <c r="K692">
        <f t="shared" si="10"/>
        <v>9930</v>
      </c>
    </row>
    <row r="693" spans="1:11" hidden="1" x14ac:dyDescent="0.25">
      <c r="A693">
        <v>692</v>
      </c>
      <c r="B693" s="1">
        <v>45755</v>
      </c>
      <c r="C693" t="s">
        <v>26</v>
      </c>
      <c r="D693" t="s">
        <v>94</v>
      </c>
      <c r="E693" t="s">
        <v>13</v>
      </c>
      <c r="F693">
        <v>1</v>
      </c>
      <c r="G693" t="str">
        <f>VLOOKUP(D693,Товары!A:I,3,0)</f>
        <v>Зеркальный шкаф Альба 80 со светильником правый цвет антрацит</v>
      </c>
      <c r="H693">
        <f>VLOOKUP(D693,Товары!A:I,6,0)</f>
        <v>75</v>
      </c>
      <c r="I693" t="str">
        <f>VLOOKUP(C693,Магазины!A:C,3,0)</f>
        <v>Оренбург</v>
      </c>
      <c r="J693">
        <f>VLOOKUP(D693,Товары!A:I,4,0)</f>
        <v>9930</v>
      </c>
      <c r="K693">
        <f t="shared" si="10"/>
        <v>9930</v>
      </c>
    </row>
    <row r="694" spans="1:11" hidden="1" x14ac:dyDescent="0.25">
      <c r="A694">
        <v>693</v>
      </c>
      <c r="B694" s="1">
        <v>45749</v>
      </c>
      <c r="C694" t="s">
        <v>20</v>
      </c>
      <c r="D694" t="s">
        <v>38</v>
      </c>
      <c r="E694" t="s">
        <v>13</v>
      </c>
      <c r="F694">
        <v>3</v>
      </c>
      <c r="G694" t="str">
        <f>VLOOKUP(D694,Товары!A:I,3,0)</f>
        <v>Тумба с раковиной  навес. Куба Риф 600 белый 2 ящика с умыв. Como</v>
      </c>
      <c r="H694">
        <f>VLOOKUP(D694,Товары!A:I,6,0)</f>
        <v>55</v>
      </c>
      <c r="I694" t="str">
        <f>VLOOKUP(C694,Магазины!A:C,3,0)</f>
        <v>Оренбург</v>
      </c>
      <c r="J694">
        <f>VLOOKUP(D694,Товары!A:I,4,0)</f>
        <v>14265</v>
      </c>
      <c r="K694">
        <f t="shared" si="10"/>
        <v>42795</v>
      </c>
    </row>
    <row r="695" spans="1:11" hidden="1" x14ac:dyDescent="0.25">
      <c r="A695">
        <v>694</v>
      </c>
      <c r="B695" s="1">
        <v>45751</v>
      </c>
      <c r="C695" t="s">
        <v>57</v>
      </c>
      <c r="D695" t="s">
        <v>29</v>
      </c>
      <c r="E695" t="s">
        <v>13</v>
      </c>
      <c r="F695">
        <v>2</v>
      </c>
      <c r="G695" t="str">
        <f>VLOOKUP(D695,Товары!A:I,3,0)</f>
        <v>Тумба с раковиной  напол. Леон Риф 600 солярис/белый риф 2 ящика с умыв. Океан</v>
      </c>
      <c r="H695">
        <f>VLOOKUP(D695,Товары!A:I,6,0)</f>
        <v>80</v>
      </c>
      <c r="I695" t="str">
        <f>VLOOKUP(C695,Магазины!A:C,3,0)</f>
        <v>Оренбург</v>
      </c>
      <c r="J695">
        <f>VLOOKUP(D695,Товары!A:I,4,0)</f>
        <v>24150</v>
      </c>
      <c r="K695">
        <f t="shared" si="10"/>
        <v>48300</v>
      </c>
    </row>
    <row r="696" spans="1:11" hidden="1" x14ac:dyDescent="0.25">
      <c r="A696">
        <v>695</v>
      </c>
      <c r="B696" s="1">
        <v>45750</v>
      </c>
      <c r="C696" t="s">
        <v>58</v>
      </c>
      <c r="D696" t="s">
        <v>45</v>
      </c>
      <c r="E696" t="s">
        <v>13</v>
      </c>
      <c r="F696">
        <v>2</v>
      </c>
      <c r="G696" t="str">
        <f>VLOOKUP(D696,Товары!A:I,3,0)</f>
        <v>Зеркальный шкаф Рица 80 со светильником правый цвет cерый/керамика</v>
      </c>
      <c r="H696">
        <f>VLOOKUP(D696,Товары!A:I,6,0)</f>
        <v>75</v>
      </c>
      <c r="I696" t="str">
        <f>VLOOKUP(C696,Магазины!A:C,3,0)</f>
        <v>Ставрополь</v>
      </c>
      <c r="J696">
        <f>VLOOKUP(D696,Товары!A:I,4,0)</f>
        <v>9930</v>
      </c>
      <c r="K696">
        <f t="shared" si="10"/>
        <v>19860</v>
      </c>
    </row>
    <row r="697" spans="1:11" hidden="1" x14ac:dyDescent="0.25">
      <c r="A697">
        <v>696</v>
      </c>
      <c r="B697" s="1">
        <v>45755</v>
      </c>
      <c r="C697" t="s">
        <v>92</v>
      </c>
      <c r="D697" t="s">
        <v>107</v>
      </c>
      <c r="E697" t="s">
        <v>13</v>
      </c>
      <c r="F697">
        <v>3</v>
      </c>
      <c r="G697" t="str">
        <f>VLOOKUP(D697,Товары!A:I,3,0)</f>
        <v>Комод Аква 35 напольный 1 дверь белый правый</v>
      </c>
      <c r="H697">
        <f>VLOOKUP(D697,Товары!A:I,6,0)</f>
        <v>90</v>
      </c>
      <c r="I697" t="str">
        <f>VLOOKUP(C697,Магазины!A:C,3,0)</f>
        <v>Кемерово</v>
      </c>
      <c r="J697">
        <f>VLOOKUP(D697,Товары!A:I,4,0)</f>
        <v>6705</v>
      </c>
      <c r="K697">
        <f t="shared" si="10"/>
        <v>20115</v>
      </c>
    </row>
    <row r="698" spans="1:11" hidden="1" x14ac:dyDescent="0.25">
      <c r="A698">
        <v>697</v>
      </c>
      <c r="B698" s="1">
        <v>45756</v>
      </c>
      <c r="C698" t="s">
        <v>11</v>
      </c>
      <c r="D698" t="s">
        <v>38</v>
      </c>
      <c r="E698" t="s">
        <v>8</v>
      </c>
      <c r="F698">
        <v>1</v>
      </c>
      <c r="G698" t="str">
        <f>VLOOKUP(D698,Товары!A:I,3,0)</f>
        <v>Тумба с раковиной  навес. Куба Риф 600 белый 2 ящика с умыв. Como</v>
      </c>
      <c r="H698">
        <f>VLOOKUP(D698,Товары!A:I,6,0)</f>
        <v>55</v>
      </c>
      <c r="I698" t="str">
        <f>VLOOKUP(C698,Магазины!A:C,3,0)</f>
        <v>Кемерово</v>
      </c>
      <c r="J698">
        <f>VLOOKUP(D698,Товары!A:I,4,0)</f>
        <v>14265</v>
      </c>
      <c r="K698">
        <f t="shared" si="10"/>
        <v>14265</v>
      </c>
    </row>
    <row r="699" spans="1:11" hidden="1" x14ac:dyDescent="0.25">
      <c r="A699">
        <v>698</v>
      </c>
      <c r="B699" s="1">
        <v>45752</v>
      </c>
      <c r="C699" t="s">
        <v>48</v>
      </c>
      <c r="D699" t="s">
        <v>102</v>
      </c>
      <c r="E699" t="s">
        <v>8</v>
      </c>
      <c r="F699">
        <v>1</v>
      </c>
      <c r="G699" t="str">
        <f>VLOOKUP(D699,Товары!A:I,3,0)</f>
        <v>Тумба с раковиной  напол. Леон Риф 1000 солярис/белый риф 2 ящика с умыв. Слим</v>
      </c>
      <c r="H699">
        <f>VLOOKUP(D699,Товары!A:I,6,0)</f>
        <v>85</v>
      </c>
      <c r="I699" t="str">
        <f>VLOOKUP(C699,Магазины!A:C,3,0)</f>
        <v>Ставрополь</v>
      </c>
      <c r="J699">
        <f>VLOOKUP(D699,Товары!A:I,4,0)</f>
        <v>32085</v>
      </c>
      <c r="K699">
        <f t="shared" si="10"/>
        <v>32085</v>
      </c>
    </row>
    <row r="700" spans="1:11" hidden="1" x14ac:dyDescent="0.25">
      <c r="A700">
        <v>699</v>
      </c>
      <c r="B700" s="1">
        <v>45756</v>
      </c>
      <c r="C700" t="s">
        <v>111</v>
      </c>
      <c r="D700" t="s">
        <v>121</v>
      </c>
      <c r="E700" t="s">
        <v>13</v>
      </c>
      <c r="F700">
        <v>3</v>
      </c>
      <c r="G700" t="str">
        <f>VLOOKUP(D700,Товары!A:I,3,0)</f>
        <v>Тумба с раковиной  напол. Куба Риф 600 белый 2 двери с умыв. Como</v>
      </c>
      <c r="H700">
        <f>VLOOKUP(D700,Товары!A:I,6,0)</f>
        <v>85</v>
      </c>
      <c r="I700" t="str">
        <f>VLOOKUP(C700,Магазины!A:C,3,0)</f>
        <v>Набережные Челны</v>
      </c>
      <c r="J700">
        <f>VLOOKUP(D700,Товары!A:I,4,0)</f>
        <v>13695</v>
      </c>
      <c r="K700">
        <f t="shared" si="10"/>
        <v>41085</v>
      </c>
    </row>
    <row r="701" spans="1:11" hidden="1" x14ac:dyDescent="0.25">
      <c r="A701">
        <v>700</v>
      </c>
      <c r="B701" s="1">
        <v>45757</v>
      </c>
      <c r="C701" t="s">
        <v>26</v>
      </c>
      <c r="D701" t="s">
        <v>107</v>
      </c>
      <c r="E701" t="s">
        <v>8</v>
      </c>
      <c r="F701">
        <v>2</v>
      </c>
      <c r="G701" t="str">
        <f>VLOOKUP(D701,Товары!A:I,3,0)</f>
        <v>Комод Аква 35 напольный 1 дверь белый правый</v>
      </c>
      <c r="H701">
        <f>VLOOKUP(D701,Товары!A:I,6,0)</f>
        <v>90</v>
      </c>
      <c r="I701" t="str">
        <f>VLOOKUP(C701,Магазины!A:C,3,0)</f>
        <v>Оренбург</v>
      </c>
      <c r="J701">
        <f>VLOOKUP(D701,Товары!A:I,4,0)</f>
        <v>6705</v>
      </c>
      <c r="K701">
        <f t="shared" si="10"/>
        <v>13410</v>
      </c>
    </row>
    <row r="702" spans="1:11" hidden="1" x14ac:dyDescent="0.25">
      <c r="A702">
        <v>701</v>
      </c>
      <c r="B702" s="1">
        <v>45748</v>
      </c>
      <c r="C702" t="s">
        <v>28</v>
      </c>
      <c r="D702" t="s">
        <v>122</v>
      </c>
      <c r="E702" t="s">
        <v>8</v>
      </c>
      <c r="F702">
        <v>2</v>
      </c>
      <c r="G702" t="str">
        <f>VLOOKUP(D702,Товары!A:I,3,0)</f>
        <v>Тумба с раковиной  навес. Кристалл 600 шато азур 2 ящика с умыв. Океан</v>
      </c>
      <c r="H702">
        <f>VLOOKUP(D702,Товары!A:I,6,0)</f>
        <v>55</v>
      </c>
      <c r="I702" t="str">
        <f>VLOOKUP(C702,Магазины!A:C,3,0)</f>
        <v>Набережные Челны</v>
      </c>
      <c r="J702">
        <f>VLOOKUP(D702,Товары!A:I,4,0)</f>
        <v>21960</v>
      </c>
      <c r="K702">
        <f t="shared" si="10"/>
        <v>43920</v>
      </c>
    </row>
    <row r="703" spans="1:11" hidden="1" x14ac:dyDescent="0.25">
      <c r="A703">
        <v>702</v>
      </c>
      <c r="B703" s="1">
        <v>45750</v>
      </c>
      <c r="C703" t="s">
        <v>16</v>
      </c>
      <c r="D703" t="s">
        <v>40</v>
      </c>
      <c r="E703" t="s">
        <v>8</v>
      </c>
      <c r="F703">
        <v>1</v>
      </c>
      <c r="G703" t="str">
        <f>VLOOKUP(D703,Товары!A:I,3,0)</f>
        <v>Тумба с раковиной  навес. Рица 800 cерый/керамика 1 ящик + ниша 1 с умыв. Слим</v>
      </c>
      <c r="H703">
        <f>VLOOKUP(D703,Товары!A:I,6,0)</f>
        <v>60</v>
      </c>
      <c r="I703" t="str">
        <f>VLOOKUP(C703,Магазины!A:C,3,0)</f>
        <v>Оренбург</v>
      </c>
      <c r="J703">
        <f>VLOOKUP(D703,Товары!A:I,4,0)</f>
        <v>22425</v>
      </c>
      <c r="K703">
        <f t="shared" si="10"/>
        <v>22425</v>
      </c>
    </row>
    <row r="704" spans="1:11" hidden="1" x14ac:dyDescent="0.25">
      <c r="A704">
        <v>703</v>
      </c>
      <c r="B704" s="1">
        <v>45755</v>
      </c>
      <c r="C704" t="s">
        <v>35</v>
      </c>
      <c r="D704" t="s">
        <v>112</v>
      </c>
      <c r="E704" t="s">
        <v>13</v>
      </c>
      <c r="F704">
        <v>1</v>
      </c>
      <c r="G704" t="str">
        <f>VLOOKUP(D704,Товары!A:I,3,0)</f>
        <v>Тумба с раковиной  напол. Аква 560 белый 2 двери с умыв. Уют</v>
      </c>
      <c r="H704">
        <f>VLOOKUP(D704,Товары!A:I,6,0)</f>
        <v>85</v>
      </c>
      <c r="I704" t="str">
        <f>VLOOKUP(C704,Магазины!A:C,3,0)</f>
        <v>Набережные Челны</v>
      </c>
      <c r="J704">
        <f>VLOOKUP(D704,Товары!A:I,4,0)</f>
        <v>9330</v>
      </c>
      <c r="K704">
        <f t="shared" si="10"/>
        <v>9330</v>
      </c>
    </row>
    <row r="705" spans="1:11" hidden="1" x14ac:dyDescent="0.25">
      <c r="A705">
        <v>704</v>
      </c>
      <c r="B705" s="1">
        <v>45752</v>
      </c>
      <c r="C705" t="s">
        <v>103</v>
      </c>
      <c r="D705" t="s">
        <v>24</v>
      </c>
      <c r="E705" t="s">
        <v>13</v>
      </c>
      <c r="F705">
        <v>2</v>
      </c>
      <c r="G705" t="str">
        <f>VLOOKUP(D705,Товары!A:I,3,0)</f>
        <v>Тумба с раковиной  напол. Леон 600 форест 2 ящика с умыв. Слим</v>
      </c>
      <c r="H705">
        <f>VLOOKUP(D705,Товары!A:I,6,0)</f>
        <v>80</v>
      </c>
      <c r="I705" t="str">
        <f>VLOOKUP(C705,Магазины!A:C,3,0)</f>
        <v>Ставрополь</v>
      </c>
      <c r="J705">
        <f>VLOOKUP(D705,Товары!A:I,4,0)</f>
        <v>27150</v>
      </c>
      <c r="K705">
        <f t="shared" si="10"/>
        <v>54300</v>
      </c>
    </row>
    <row r="706" spans="1:11" hidden="1" x14ac:dyDescent="0.25">
      <c r="A706">
        <v>705</v>
      </c>
      <c r="B706" s="1">
        <v>45755</v>
      </c>
      <c r="C706" t="s">
        <v>63</v>
      </c>
      <c r="D706" t="s">
        <v>66</v>
      </c>
      <c r="E706" t="s">
        <v>13</v>
      </c>
      <c r="F706">
        <v>1</v>
      </c>
      <c r="G706" t="str">
        <f>VLOOKUP(D706,Товары!A:I,3,0)</f>
        <v>Тумба с раковиной  навес. Альба 800 мята 2 ящика с умыв. Слим</v>
      </c>
      <c r="H706">
        <f>VLOOKUP(D706,Товары!A:I,6,0)</f>
        <v>50</v>
      </c>
      <c r="I706" t="str">
        <f>VLOOKUP(C706,Магазины!A:C,3,0)</f>
        <v>Ставрополь</v>
      </c>
      <c r="J706">
        <f>VLOOKUP(D706,Товары!A:I,4,0)</f>
        <v>26070</v>
      </c>
      <c r="K706">
        <f t="shared" si="10"/>
        <v>26070</v>
      </c>
    </row>
    <row r="707" spans="1:11" hidden="1" x14ac:dyDescent="0.25">
      <c r="A707">
        <v>706</v>
      </c>
      <c r="B707" s="1">
        <v>45756</v>
      </c>
      <c r="C707" t="s">
        <v>14</v>
      </c>
      <c r="D707" t="s">
        <v>53</v>
      </c>
      <c r="E707" t="s">
        <v>13</v>
      </c>
      <c r="F707">
        <v>3</v>
      </c>
      <c r="G707" t="str">
        <f>VLOOKUP(D707,Товары!A:I,3,0)</f>
        <v>Тумба с раковиной  напол. Кристалл 600 шато азур 2 ящика с умыв. Океан</v>
      </c>
      <c r="H707">
        <f>VLOOKUP(D707,Товары!A:I,6,0)</f>
        <v>85</v>
      </c>
      <c r="I707" t="str">
        <f>VLOOKUP(C707,Магазины!A:C,3,0)</f>
        <v>Оренбург</v>
      </c>
      <c r="J707">
        <f>VLOOKUP(D707,Товары!A:I,4,0)</f>
        <v>27600</v>
      </c>
      <c r="K707">
        <f t="shared" ref="K707:K770" si="11">J707*F707</f>
        <v>82800</v>
      </c>
    </row>
    <row r="708" spans="1:11" hidden="1" x14ac:dyDescent="0.25">
      <c r="A708">
        <v>707</v>
      </c>
      <c r="B708" s="1">
        <v>45749</v>
      </c>
      <c r="C708" t="s">
        <v>48</v>
      </c>
      <c r="D708" t="s">
        <v>59</v>
      </c>
      <c r="E708" t="s">
        <v>13</v>
      </c>
      <c r="F708">
        <v>2</v>
      </c>
      <c r="G708" t="str">
        <f>VLOOKUP(D708,Товары!A:I,3,0)</f>
        <v>Тумба с раковиной  навес. Куба Риф 600 белый 2 ящика с умыв. Океан</v>
      </c>
      <c r="H708">
        <f>VLOOKUP(D708,Товары!A:I,6,0)</f>
        <v>55</v>
      </c>
      <c r="I708" t="str">
        <f>VLOOKUP(C708,Магазины!A:C,3,0)</f>
        <v>Ставрополь</v>
      </c>
      <c r="J708">
        <f>VLOOKUP(D708,Товары!A:I,4,0)</f>
        <v>15765</v>
      </c>
      <c r="K708">
        <f t="shared" si="11"/>
        <v>31530</v>
      </c>
    </row>
    <row r="709" spans="1:11" hidden="1" x14ac:dyDescent="0.25">
      <c r="A709">
        <v>708</v>
      </c>
      <c r="B709" s="1">
        <v>45752</v>
      </c>
      <c r="C709" t="s">
        <v>57</v>
      </c>
      <c r="D709" t="s">
        <v>127</v>
      </c>
      <c r="E709" t="s">
        <v>8</v>
      </c>
      <c r="F709">
        <v>1</v>
      </c>
      <c r="G709" t="str">
        <f>VLOOKUP(D709,Товары!A:I,3,0)</f>
        <v>Тумба с раковиной  навес. Альба 700 мята 1 ящик с умыв. Слим</v>
      </c>
      <c r="H709">
        <f>VLOOKUP(D709,Товары!A:I,6,0)</f>
        <v>45</v>
      </c>
      <c r="I709" t="str">
        <f>VLOOKUP(C709,Магазины!A:C,3,0)</f>
        <v>Оренбург</v>
      </c>
      <c r="J709">
        <f>VLOOKUP(D709,Товары!A:I,4,0)</f>
        <v>20130</v>
      </c>
      <c r="K709">
        <f t="shared" si="11"/>
        <v>20130</v>
      </c>
    </row>
    <row r="710" spans="1:11" hidden="1" x14ac:dyDescent="0.25">
      <c r="A710">
        <v>709</v>
      </c>
      <c r="B710" s="1">
        <v>45757</v>
      </c>
      <c r="C710" t="s">
        <v>20</v>
      </c>
      <c r="D710" t="s">
        <v>113</v>
      </c>
      <c r="E710" t="s">
        <v>8</v>
      </c>
      <c r="F710">
        <v>2</v>
      </c>
      <c r="G710" t="str">
        <f>VLOOKUP(D710,Товары!A:I,3,0)</f>
        <v>Зеркальный шкаф Альба 60 со светильником правый цвет мята</v>
      </c>
      <c r="H710">
        <f>VLOOKUP(D710,Товары!A:I,6,0)</f>
        <v>75</v>
      </c>
      <c r="I710" t="str">
        <f>VLOOKUP(C710,Магазины!A:C,3,0)</f>
        <v>Оренбург</v>
      </c>
      <c r="J710">
        <f>VLOOKUP(D710,Товары!A:I,4,0)</f>
        <v>8910</v>
      </c>
      <c r="K710">
        <f t="shared" si="11"/>
        <v>17820</v>
      </c>
    </row>
    <row r="711" spans="1:11" hidden="1" x14ac:dyDescent="0.25">
      <c r="A711">
        <v>710</v>
      </c>
      <c r="B711" s="1">
        <v>45755</v>
      </c>
      <c r="C711" t="s">
        <v>28</v>
      </c>
      <c r="D711" t="s">
        <v>15</v>
      </c>
      <c r="E711" t="s">
        <v>13</v>
      </c>
      <c r="F711">
        <v>1</v>
      </c>
      <c r="G711" t="str">
        <f>VLOOKUP(D711,Товары!A:I,3,0)</f>
        <v>Зеркальный шкаф Кристалл 60 со светильником правый, ручка кнопка дуб цвет Шато Азур</v>
      </c>
      <c r="H711">
        <f>VLOOKUP(D711,Товары!A:I,6,0)</f>
        <v>75</v>
      </c>
      <c r="I711" t="str">
        <f>VLOOKUP(C711,Магазины!A:C,3,0)</f>
        <v>Набережные Челны</v>
      </c>
      <c r="J711">
        <f>VLOOKUP(D711,Товары!A:I,4,0)</f>
        <v>9195</v>
      </c>
      <c r="K711">
        <f t="shared" si="11"/>
        <v>9195</v>
      </c>
    </row>
    <row r="712" spans="1:11" hidden="1" x14ac:dyDescent="0.25">
      <c r="A712">
        <v>711</v>
      </c>
      <c r="B712" s="1">
        <v>45751</v>
      </c>
      <c r="C712" t="s">
        <v>48</v>
      </c>
      <c r="D712" t="s">
        <v>86</v>
      </c>
      <c r="E712" t="s">
        <v>13</v>
      </c>
      <c r="F712">
        <v>1</v>
      </c>
      <c r="G712" t="str">
        <f>VLOOKUP(D712,Товары!A:I,3,0)</f>
        <v>Комод Аква 50 напольный 1 ящик 2 двери белый</v>
      </c>
      <c r="H712">
        <f>VLOOKUP(D712,Товары!A:I,6,0)</f>
        <v>90</v>
      </c>
      <c r="I712" t="str">
        <f>VLOOKUP(C712,Магазины!A:C,3,0)</f>
        <v>Ставрополь</v>
      </c>
      <c r="J712">
        <f>VLOOKUP(D712,Товары!A:I,4,0)</f>
        <v>7260</v>
      </c>
      <c r="K712">
        <f t="shared" si="11"/>
        <v>7260</v>
      </c>
    </row>
    <row r="713" spans="1:11" hidden="1" x14ac:dyDescent="0.25">
      <c r="A713">
        <v>712</v>
      </c>
      <c r="B713" s="1">
        <v>45756</v>
      </c>
      <c r="C713" t="s">
        <v>41</v>
      </c>
      <c r="D713" t="s">
        <v>15</v>
      </c>
      <c r="E713" t="s">
        <v>8</v>
      </c>
      <c r="F713">
        <v>1</v>
      </c>
      <c r="G713" t="str">
        <f>VLOOKUP(D713,Товары!A:I,3,0)</f>
        <v>Зеркальный шкаф Кристалл 60 со светильником правый, ручка кнопка дуб цвет Шато Азур</v>
      </c>
      <c r="H713">
        <f>VLOOKUP(D713,Товары!A:I,6,0)</f>
        <v>75</v>
      </c>
      <c r="I713" t="str">
        <f>VLOOKUP(C713,Магазины!A:C,3,0)</f>
        <v>Ставрополь</v>
      </c>
      <c r="J713">
        <f>VLOOKUP(D713,Товары!A:I,4,0)</f>
        <v>9195</v>
      </c>
      <c r="K713">
        <f t="shared" si="11"/>
        <v>9195</v>
      </c>
    </row>
    <row r="714" spans="1:11" hidden="1" x14ac:dyDescent="0.25">
      <c r="A714">
        <v>713</v>
      </c>
      <c r="B714" s="1">
        <v>45755</v>
      </c>
      <c r="C714" t="s">
        <v>43</v>
      </c>
      <c r="D714" t="s">
        <v>23</v>
      </c>
      <c r="E714" t="s">
        <v>8</v>
      </c>
      <c r="F714">
        <v>1</v>
      </c>
      <c r="G714" t="str">
        <f>VLOOKUP(D714,Товары!A:I,3,0)</f>
        <v>Тумба с раковиной  напол. Альба 800 антрацит 2 ящика с умыв. Слим</v>
      </c>
      <c r="H714">
        <f>VLOOKUP(D714,Товары!A:I,6,0)</f>
        <v>80</v>
      </c>
      <c r="I714" t="str">
        <f>VLOOKUP(C714,Магазины!A:C,3,0)</f>
        <v>Набережные Челны</v>
      </c>
      <c r="J714">
        <f>VLOOKUP(D714,Товары!A:I,4,0)</f>
        <v>29340</v>
      </c>
      <c r="K714">
        <f t="shared" si="11"/>
        <v>29340</v>
      </c>
    </row>
    <row r="715" spans="1:11" hidden="1" x14ac:dyDescent="0.25">
      <c r="A715">
        <v>714</v>
      </c>
      <c r="B715" s="1">
        <v>45749</v>
      </c>
      <c r="C715" t="s">
        <v>26</v>
      </c>
      <c r="D715" t="s">
        <v>24</v>
      </c>
      <c r="E715" t="s">
        <v>13</v>
      </c>
      <c r="F715">
        <v>3</v>
      </c>
      <c r="G715" t="str">
        <f>VLOOKUP(D715,Товары!A:I,3,0)</f>
        <v>Тумба с раковиной  напол. Леон 600 форест 2 ящика с умыв. Слим</v>
      </c>
      <c r="H715">
        <f>VLOOKUP(D715,Товары!A:I,6,0)</f>
        <v>80</v>
      </c>
      <c r="I715" t="str">
        <f>VLOOKUP(C715,Магазины!A:C,3,0)</f>
        <v>Оренбург</v>
      </c>
      <c r="J715">
        <f>VLOOKUP(D715,Товары!A:I,4,0)</f>
        <v>27150</v>
      </c>
      <c r="K715">
        <f t="shared" si="11"/>
        <v>81450</v>
      </c>
    </row>
    <row r="716" spans="1:11" hidden="1" x14ac:dyDescent="0.25">
      <c r="A716">
        <v>715</v>
      </c>
      <c r="B716" s="1">
        <v>45749</v>
      </c>
      <c r="C716" t="s">
        <v>35</v>
      </c>
      <c r="D716" t="s">
        <v>122</v>
      </c>
      <c r="E716" t="s">
        <v>13</v>
      </c>
      <c r="F716">
        <v>2</v>
      </c>
      <c r="G716" t="str">
        <f>VLOOKUP(D716,Товары!A:I,3,0)</f>
        <v>Тумба с раковиной  навес. Кристалл 600 шато азур 2 ящика с умыв. Океан</v>
      </c>
      <c r="H716">
        <f>VLOOKUP(D716,Товары!A:I,6,0)</f>
        <v>55</v>
      </c>
      <c r="I716" t="str">
        <f>VLOOKUP(C716,Магазины!A:C,3,0)</f>
        <v>Набережные Челны</v>
      </c>
      <c r="J716">
        <f>VLOOKUP(D716,Товары!A:I,4,0)</f>
        <v>21960</v>
      </c>
      <c r="K716">
        <f t="shared" si="11"/>
        <v>43920</v>
      </c>
    </row>
    <row r="717" spans="1:11" hidden="1" x14ac:dyDescent="0.25">
      <c r="A717">
        <v>716</v>
      </c>
      <c r="B717" s="1">
        <v>45756</v>
      </c>
      <c r="C717" t="s">
        <v>41</v>
      </c>
      <c r="D717" t="s">
        <v>40</v>
      </c>
      <c r="E717" t="s">
        <v>8</v>
      </c>
      <c r="F717">
        <v>1</v>
      </c>
      <c r="G717" t="str">
        <f>VLOOKUP(D717,Товары!A:I,3,0)</f>
        <v>Тумба с раковиной  навес. Рица 800 cерый/керамика 1 ящик + ниша 1 с умыв. Слим</v>
      </c>
      <c r="H717">
        <f>VLOOKUP(D717,Товары!A:I,6,0)</f>
        <v>60</v>
      </c>
      <c r="I717" t="str">
        <f>VLOOKUP(C717,Магазины!A:C,3,0)</f>
        <v>Ставрополь</v>
      </c>
      <c r="J717">
        <f>VLOOKUP(D717,Товары!A:I,4,0)</f>
        <v>22425</v>
      </c>
      <c r="K717">
        <f t="shared" si="11"/>
        <v>22425</v>
      </c>
    </row>
    <row r="718" spans="1:11" hidden="1" x14ac:dyDescent="0.25">
      <c r="A718">
        <v>717</v>
      </c>
      <c r="B718" s="1">
        <v>45754</v>
      </c>
      <c r="C718" t="s">
        <v>103</v>
      </c>
      <c r="D718" t="s">
        <v>68</v>
      </c>
      <c r="E718" t="s">
        <v>13</v>
      </c>
      <c r="F718">
        <v>3</v>
      </c>
      <c r="G718" t="str">
        <f>VLOOKUP(D718,Товары!A:I,3,0)</f>
        <v>Тумба с раковиной  навес. Альба 600 антрацит 1 ящик с умыв. Океан</v>
      </c>
      <c r="H718">
        <f>VLOOKUP(D718,Товары!A:I,6,0)</f>
        <v>85</v>
      </c>
      <c r="I718" t="str">
        <f>VLOOKUP(C718,Магазины!A:C,3,0)</f>
        <v>Ставрополь</v>
      </c>
      <c r="J718">
        <f>VLOOKUP(D718,Товары!A:I,4,0)</f>
        <v>17625</v>
      </c>
      <c r="K718">
        <f t="shared" si="11"/>
        <v>52875</v>
      </c>
    </row>
    <row r="719" spans="1:11" hidden="1" x14ac:dyDescent="0.25">
      <c r="A719">
        <v>718</v>
      </c>
      <c r="B719" s="1">
        <v>45749</v>
      </c>
      <c r="C719" t="s">
        <v>33</v>
      </c>
      <c r="D719" t="s">
        <v>129</v>
      </c>
      <c r="E719" t="s">
        <v>13</v>
      </c>
      <c r="F719">
        <v>3</v>
      </c>
      <c r="G719" t="str">
        <f>VLOOKUP(D719,Товары!A:I,3,0)</f>
        <v>Тумба с раковиной  напол. Альба 700 антрацит 2 ящика с умыв. Слим</v>
      </c>
      <c r="H719">
        <f>VLOOKUP(D719,Товары!A:I,6,0)</f>
        <v>85</v>
      </c>
      <c r="I719" t="str">
        <f>VLOOKUP(C719,Магазины!A:C,3,0)</f>
        <v>Набережные Челны</v>
      </c>
      <c r="J719">
        <f>VLOOKUP(D719,Товары!A:I,4,0)</f>
        <v>28695</v>
      </c>
      <c r="K719">
        <f t="shared" si="11"/>
        <v>86085</v>
      </c>
    </row>
    <row r="720" spans="1:11" hidden="1" x14ac:dyDescent="0.25">
      <c r="A720">
        <v>719</v>
      </c>
      <c r="B720" s="1">
        <v>45750</v>
      </c>
      <c r="C720" t="s">
        <v>35</v>
      </c>
      <c r="D720" t="s">
        <v>17</v>
      </c>
      <c r="E720" t="s">
        <v>13</v>
      </c>
      <c r="F720">
        <v>2</v>
      </c>
      <c r="G720" t="str">
        <f>VLOOKUP(D720,Товары!A:I,3,0)</f>
        <v>Тумба с раковиной  навес. Альба 800 антрацит 1 ящик с умыв. Слим</v>
      </c>
      <c r="H720">
        <f>VLOOKUP(D720,Товары!A:I,6,0)</f>
        <v>45</v>
      </c>
      <c r="I720" t="str">
        <f>VLOOKUP(C720,Магазины!A:C,3,0)</f>
        <v>Набережные Челны</v>
      </c>
      <c r="J720">
        <f>VLOOKUP(D720,Товары!A:I,4,0)</f>
        <v>21630</v>
      </c>
      <c r="K720">
        <f t="shared" si="11"/>
        <v>43260</v>
      </c>
    </row>
    <row r="721" spans="1:11" hidden="1" x14ac:dyDescent="0.25">
      <c r="A721">
        <v>720</v>
      </c>
      <c r="B721" s="1">
        <v>45755</v>
      </c>
      <c r="C721" t="s">
        <v>33</v>
      </c>
      <c r="D721" t="s">
        <v>105</v>
      </c>
      <c r="E721" t="s">
        <v>13</v>
      </c>
      <c r="F721">
        <v>1</v>
      </c>
      <c r="G721" t="str">
        <f>VLOOKUP(D721,Товары!A:I,3,0)</f>
        <v>Тумба с раковиной  напол. Нева 600 белый 2 двери + 1 ящик с умыв. Como</v>
      </c>
      <c r="H721">
        <f>VLOOKUP(D721,Товары!A:I,6,0)</f>
        <v>80</v>
      </c>
      <c r="I721" t="str">
        <f>VLOOKUP(C721,Магазины!A:C,3,0)</f>
        <v>Набережные Челны</v>
      </c>
      <c r="J721">
        <f>VLOOKUP(D721,Товары!A:I,4,0)</f>
        <v>13470</v>
      </c>
      <c r="K721">
        <f t="shared" si="11"/>
        <v>13470</v>
      </c>
    </row>
    <row r="722" spans="1:11" hidden="1" x14ac:dyDescent="0.25">
      <c r="A722">
        <v>721</v>
      </c>
      <c r="B722" s="1">
        <v>45753</v>
      </c>
      <c r="C722" t="s">
        <v>43</v>
      </c>
      <c r="D722" t="s">
        <v>76</v>
      </c>
      <c r="E722" t="s">
        <v>13</v>
      </c>
      <c r="F722">
        <v>3</v>
      </c>
      <c r="G722" t="str">
        <f>VLOOKUP(D722,Товары!A:I,3,0)</f>
        <v>Тумба с раковиной  напол. Леон 600 оникс 2 ящика с умыв. Слим</v>
      </c>
      <c r="H722">
        <f>VLOOKUP(D722,Товары!A:I,6,0)</f>
        <v>80</v>
      </c>
      <c r="I722" t="str">
        <f>VLOOKUP(C722,Магазины!A:C,3,0)</f>
        <v>Набережные Челны</v>
      </c>
      <c r="J722">
        <f>VLOOKUP(D722,Товары!A:I,4,0)</f>
        <v>25860</v>
      </c>
      <c r="K722">
        <f t="shared" si="11"/>
        <v>77580</v>
      </c>
    </row>
    <row r="723" spans="1:11" hidden="1" x14ac:dyDescent="0.25">
      <c r="A723">
        <v>722</v>
      </c>
      <c r="B723" s="1">
        <v>45753</v>
      </c>
      <c r="C723" t="s">
        <v>9</v>
      </c>
      <c r="D723" t="s">
        <v>23</v>
      </c>
      <c r="E723" t="s">
        <v>8</v>
      </c>
      <c r="F723">
        <v>3</v>
      </c>
      <c r="G723" t="str">
        <f>VLOOKUP(D723,Товары!A:I,3,0)</f>
        <v>Тумба с раковиной  напол. Альба 800 антрацит 2 ящика с умыв. Слим</v>
      </c>
      <c r="H723">
        <f>VLOOKUP(D723,Товары!A:I,6,0)</f>
        <v>80</v>
      </c>
      <c r="I723" t="str">
        <f>VLOOKUP(C723,Магазины!A:C,3,0)</f>
        <v>Кемерово</v>
      </c>
      <c r="J723">
        <f>VLOOKUP(D723,Товары!A:I,4,0)</f>
        <v>29340</v>
      </c>
      <c r="K723">
        <f t="shared" si="11"/>
        <v>88020</v>
      </c>
    </row>
    <row r="724" spans="1:11" hidden="1" x14ac:dyDescent="0.25">
      <c r="A724">
        <v>723</v>
      </c>
      <c r="B724" s="1">
        <v>45751</v>
      </c>
      <c r="C724" t="s">
        <v>28</v>
      </c>
      <c r="D724" t="s">
        <v>129</v>
      </c>
      <c r="E724" t="s">
        <v>13</v>
      </c>
      <c r="F724">
        <v>1</v>
      </c>
      <c r="G724" t="str">
        <f>VLOOKUP(D724,Товары!A:I,3,0)</f>
        <v>Тумба с раковиной  напол. Альба 700 антрацит 2 ящика с умыв. Слим</v>
      </c>
      <c r="H724">
        <f>VLOOKUP(D724,Товары!A:I,6,0)</f>
        <v>85</v>
      </c>
      <c r="I724" t="str">
        <f>VLOOKUP(C724,Магазины!A:C,3,0)</f>
        <v>Набережные Челны</v>
      </c>
      <c r="J724">
        <f>VLOOKUP(D724,Товары!A:I,4,0)</f>
        <v>28695</v>
      </c>
      <c r="K724">
        <f t="shared" si="11"/>
        <v>28695</v>
      </c>
    </row>
    <row r="725" spans="1:11" hidden="1" x14ac:dyDescent="0.25">
      <c r="A725">
        <v>724</v>
      </c>
      <c r="B725" s="1">
        <v>45753</v>
      </c>
      <c r="C725" t="s">
        <v>14</v>
      </c>
      <c r="D725" t="s">
        <v>66</v>
      </c>
      <c r="E725" t="s">
        <v>13</v>
      </c>
      <c r="F725">
        <v>1</v>
      </c>
      <c r="G725" t="str">
        <f>VLOOKUP(D725,Товары!A:I,3,0)</f>
        <v>Тумба с раковиной  навес. Альба 800 мята 2 ящика с умыв. Слим</v>
      </c>
      <c r="H725">
        <f>VLOOKUP(D725,Товары!A:I,6,0)</f>
        <v>50</v>
      </c>
      <c r="I725" t="str">
        <f>VLOOKUP(C725,Магазины!A:C,3,0)</f>
        <v>Оренбург</v>
      </c>
      <c r="J725">
        <f>VLOOKUP(D725,Товары!A:I,4,0)</f>
        <v>26070</v>
      </c>
      <c r="K725">
        <f t="shared" si="11"/>
        <v>26070</v>
      </c>
    </row>
    <row r="726" spans="1:11" hidden="1" x14ac:dyDescent="0.25">
      <c r="A726">
        <v>725</v>
      </c>
      <c r="B726" s="1">
        <v>45757</v>
      </c>
      <c r="C726" t="s">
        <v>54</v>
      </c>
      <c r="D726" t="s">
        <v>84</v>
      </c>
      <c r="E726" t="s">
        <v>13</v>
      </c>
      <c r="F726">
        <v>1</v>
      </c>
      <c r="G726" t="str">
        <f>VLOOKUP(D726,Товары!A:I,3,0)</f>
        <v>Тумба с раковиной  напол. Куба Риф 800 белый 3 двери с умыв. Слим</v>
      </c>
      <c r="H726">
        <f>VLOOKUP(D726,Товары!A:I,6,0)</f>
        <v>85</v>
      </c>
      <c r="I726" t="str">
        <f>VLOOKUP(C726,Магазины!A:C,3,0)</f>
        <v>Ставрополь</v>
      </c>
      <c r="J726">
        <f>VLOOKUP(D726,Товары!A:I,4,0)</f>
        <v>19920</v>
      </c>
      <c r="K726">
        <f t="shared" si="11"/>
        <v>19920</v>
      </c>
    </row>
    <row r="727" spans="1:11" hidden="1" x14ac:dyDescent="0.25">
      <c r="A727">
        <v>726</v>
      </c>
      <c r="B727" s="1">
        <v>45750</v>
      </c>
      <c r="C727" t="s">
        <v>57</v>
      </c>
      <c r="D727" t="s">
        <v>78</v>
      </c>
      <c r="E727" t="s">
        <v>13</v>
      </c>
      <c r="F727">
        <v>1</v>
      </c>
      <c r="G727" t="str">
        <f>VLOOKUP(D727,Товары!A:I,3,0)</f>
        <v>Зеркальный шкаф Кристалл 70 со светильником правый, ручка кнопка дуб цвет Шато Азур</v>
      </c>
      <c r="H727">
        <f>VLOOKUP(D727,Товары!A:I,6,0)</f>
        <v>75</v>
      </c>
      <c r="I727" t="str">
        <f>VLOOKUP(C727,Магазины!A:C,3,0)</f>
        <v>Оренбург</v>
      </c>
      <c r="J727">
        <f>VLOOKUP(D727,Товары!A:I,4,0)</f>
        <v>9615</v>
      </c>
      <c r="K727">
        <f t="shared" si="11"/>
        <v>9615</v>
      </c>
    </row>
    <row r="728" spans="1:11" hidden="1" x14ac:dyDescent="0.25">
      <c r="A728">
        <v>727</v>
      </c>
      <c r="B728" s="1">
        <v>45751</v>
      </c>
      <c r="C728" t="s">
        <v>14</v>
      </c>
      <c r="D728" t="s">
        <v>79</v>
      </c>
      <c r="E728" t="s">
        <v>8</v>
      </c>
      <c r="F728">
        <v>3</v>
      </c>
      <c r="G728" t="str">
        <f>VLOOKUP(D728,Товары!A:I,3,0)</f>
        <v>Зеркальный шкаф Альба 70 со светильником правый цвет мята</v>
      </c>
      <c r="H728">
        <f>VLOOKUP(D728,Товары!A:I,6,0)</f>
        <v>75</v>
      </c>
      <c r="I728" t="str">
        <f>VLOOKUP(C728,Магазины!A:C,3,0)</f>
        <v>Оренбург</v>
      </c>
      <c r="J728">
        <f>VLOOKUP(D728,Товары!A:I,4,0)</f>
        <v>9615</v>
      </c>
      <c r="K728">
        <f t="shared" si="11"/>
        <v>28845</v>
      </c>
    </row>
    <row r="729" spans="1:11" hidden="1" x14ac:dyDescent="0.25">
      <c r="A729">
        <v>728</v>
      </c>
      <c r="B729" s="1">
        <v>45750</v>
      </c>
      <c r="C729" t="s">
        <v>103</v>
      </c>
      <c r="D729" t="s">
        <v>126</v>
      </c>
      <c r="E729" t="s">
        <v>8</v>
      </c>
      <c r="F729">
        <v>3</v>
      </c>
      <c r="G729" t="str">
        <f>VLOOKUP(D729,Товары!A:I,3,0)</f>
        <v>Тумба с раковиной  напол. Кристалл 800 шато азур 2 ящика с умыв. Комфорт</v>
      </c>
      <c r="H729">
        <f>VLOOKUP(D729,Товары!A:I,6,0)</f>
        <v>85</v>
      </c>
      <c r="I729" t="str">
        <f>VLOOKUP(C729,Магазины!A:C,3,0)</f>
        <v>Ставрополь</v>
      </c>
      <c r="J729">
        <f>VLOOKUP(D729,Товары!A:I,4,0)</f>
        <v>31125</v>
      </c>
      <c r="K729">
        <f t="shared" si="11"/>
        <v>93375</v>
      </c>
    </row>
    <row r="730" spans="1:11" hidden="1" x14ac:dyDescent="0.25">
      <c r="A730">
        <v>729</v>
      </c>
      <c r="B730" s="1">
        <v>45752</v>
      </c>
      <c r="C730" t="s">
        <v>14</v>
      </c>
      <c r="D730" t="s">
        <v>38</v>
      </c>
      <c r="E730" t="s">
        <v>8</v>
      </c>
      <c r="F730">
        <v>1</v>
      </c>
      <c r="G730" t="str">
        <f>VLOOKUP(D730,Товары!A:I,3,0)</f>
        <v>Тумба с раковиной  навес. Куба Риф 600 белый 2 ящика с умыв. Como</v>
      </c>
      <c r="H730">
        <f>VLOOKUP(D730,Товары!A:I,6,0)</f>
        <v>55</v>
      </c>
      <c r="I730" t="str">
        <f>VLOOKUP(C730,Магазины!A:C,3,0)</f>
        <v>Оренбург</v>
      </c>
      <c r="J730">
        <f>VLOOKUP(D730,Товары!A:I,4,0)</f>
        <v>14265</v>
      </c>
      <c r="K730">
        <f t="shared" si="11"/>
        <v>14265</v>
      </c>
    </row>
    <row r="731" spans="1:11" hidden="1" x14ac:dyDescent="0.25">
      <c r="A731">
        <v>730</v>
      </c>
      <c r="B731" s="1">
        <v>45750</v>
      </c>
      <c r="C731" t="s">
        <v>35</v>
      </c>
      <c r="D731" t="s">
        <v>67</v>
      </c>
      <c r="E731" t="s">
        <v>13</v>
      </c>
      <c r="F731">
        <v>2</v>
      </c>
      <c r="G731" t="str">
        <f>VLOOKUP(D731,Товары!A:I,3,0)</f>
        <v>Пенал навес./напол. Альба 350 суфле 2 двери</v>
      </c>
      <c r="H731">
        <f>VLOOKUP(D731,Товары!A:I,6,0)</f>
        <v>150</v>
      </c>
      <c r="I731" t="str">
        <f>VLOOKUP(C731,Магазины!A:C,3,0)</f>
        <v>Набережные Челны</v>
      </c>
      <c r="J731">
        <f>VLOOKUP(D731,Товары!A:I,4,0)</f>
        <v>11655</v>
      </c>
      <c r="K731">
        <f t="shared" si="11"/>
        <v>23310</v>
      </c>
    </row>
    <row r="732" spans="1:11" hidden="1" x14ac:dyDescent="0.25">
      <c r="A732">
        <v>731</v>
      </c>
      <c r="B732" s="1">
        <v>45751</v>
      </c>
      <c r="C732" t="s">
        <v>48</v>
      </c>
      <c r="D732" t="s">
        <v>69</v>
      </c>
      <c r="E732" t="s">
        <v>13</v>
      </c>
      <c r="F732">
        <v>2</v>
      </c>
      <c r="G732" t="str">
        <f>VLOOKUP(D732,Товары!A:I,3,0)</f>
        <v>Пенал навес./напол. Альба 350 антрацит 2 двери</v>
      </c>
      <c r="H732">
        <f>VLOOKUP(D732,Товары!A:I,6,0)</f>
        <v>150</v>
      </c>
      <c r="I732" t="str">
        <f>VLOOKUP(C732,Магазины!A:C,3,0)</f>
        <v>Ставрополь</v>
      </c>
      <c r="J732">
        <f>VLOOKUP(D732,Товары!A:I,4,0)</f>
        <v>11655</v>
      </c>
      <c r="K732">
        <f t="shared" si="11"/>
        <v>23310</v>
      </c>
    </row>
    <row r="733" spans="1:11" hidden="1" x14ac:dyDescent="0.25">
      <c r="A733">
        <v>732</v>
      </c>
      <c r="B733" s="1">
        <v>45757</v>
      </c>
      <c r="C733" t="s">
        <v>16</v>
      </c>
      <c r="D733" t="s">
        <v>47</v>
      </c>
      <c r="E733" t="s">
        <v>8</v>
      </c>
      <c r="F733">
        <v>2</v>
      </c>
      <c r="G733" t="str">
        <f>VLOOKUP(D733,Товары!A:I,3,0)</f>
        <v>Пенал напол. Кристалл 350 шато азур 2 двери</v>
      </c>
      <c r="H733">
        <f>VLOOKUP(D733,Товары!A:I,6,0)</f>
        <v>190</v>
      </c>
      <c r="I733" t="str">
        <f>VLOOKUP(C733,Магазины!A:C,3,0)</f>
        <v>Оренбург</v>
      </c>
      <c r="J733">
        <f>VLOOKUP(D733,Товары!A:I,4,0)</f>
        <v>15810</v>
      </c>
      <c r="K733">
        <f t="shared" si="11"/>
        <v>31620</v>
      </c>
    </row>
    <row r="734" spans="1:11" hidden="1" x14ac:dyDescent="0.25">
      <c r="A734">
        <v>733</v>
      </c>
      <c r="B734" s="1">
        <v>45757</v>
      </c>
      <c r="C734" t="s">
        <v>14</v>
      </c>
      <c r="D734" t="s">
        <v>116</v>
      </c>
      <c r="E734" t="s">
        <v>8</v>
      </c>
      <c r="F734">
        <v>3</v>
      </c>
      <c r="G734" t="str">
        <f>VLOOKUP(D734,Товары!A:I,3,0)</f>
        <v>Зеркало Нева 60 дуб/белый со светильником</v>
      </c>
      <c r="H734">
        <f>VLOOKUP(D734,Товары!A:I,6,0)</f>
        <v>80</v>
      </c>
      <c r="I734" t="str">
        <f>VLOOKUP(C734,Магазины!A:C,3,0)</f>
        <v>Оренбург</v>
      </c>
      <c r="J734">
        <f>VLOOKUP(D734,Товары!A:I,4,0)</f>
        <v>5100</v>
      </c>
      <c r="K734">
        <f t="shared" si="11"/>
        <v>15300</v>
      </c>
    </row>
    <row r="735" spans="1:11" hidden="1" x14ac:dyDescent="0.25">
      <c r="A735">
        <v>734</v>
      </c>
      <c r="B735" s="1">
        <v>45748</v>
      </c>
      <c r="C735" t="s">
        <v>9</v>
      </c>
      <c r="D735" t="s">
        <v>64</v>
      </c>
      <c r="E735" t="s">
        <v>8</v>
      </c>
      <c r="F735">
        <v>1</v>
      </c>
      <c r="G735" t="str">
        <f>VLOOKUP(D735,Товары!A:I,3,0)</f>
        <v>Тумба с раковиной  напол. Рица 800 антрацит 2 ящика с умыв. Слим</v>
      </c>
      <c r="H735">
        <f>VLOOKUP(D735,Товары!A:I,6,0)</f>
        <v>80</v>
      </c>
      <c r="I735" t="str">
        <f>VLOOKUP(C735,Магазины!A:C,3,0)</f>
        <v>Кемерово</v>
      </c>
      <c r="J735">
        <f>VLOOKUP(D735,Товары!A:I,4,0)</f>
        <v>28980</v>
      </c>
      <c r="K735">
        <f t="shared" si="11"/>
        <v>28980</v>
      </c>
    </row>
    <row r="736" spans="1:11" hidden="1" x14ac:dyDescent="0.25">
      <c r="A736">
        <v>735</v>
      </c>
      <c r="B736" s="1">
        <v>45756</v>
      </c>
      <c r="C736" t="s">
        <v>6</v>
      </c>
      <c r="D736" t="s">
        <v>7</v>
      </c>
      <c r="E736" t="s">
        <v>8</v>
      </c>
      <c r="F736">
        <v>3</v>
      </c>
      <c r="G736" t="str">
        <f>VLOOKUP(D736,Товары!A:I,3,0)</f>
        <v>Пенал напол. Леон Риф 400 солярис/белый риф 2 двери + 1 ящик</v>
      </c>
      <c r="H736">
        <f>VLOOKUP(D736,Товары!A:I,6,0)</f>
        <v>190</v>
      </c>
      <c r="I736" t="str">
        <f>VLOOKUP(C736,Магазины!A:C,3,0)</f>
        <v>Оренбург</v>
      </c>
      <c r="J736">
        <f>VLOOKUP(D736,Товары!A:I,4,0)</f>
        <v>14490</v>
      </c>
      <c r="K736">
        <f t="shared" si="11"/>
        <v>43470</v>
      </c>
    </row>
    <row r="737" spans="1:11" hidden="1" x14ac:dyDescent="0.25">
      <c r="A737">
        <v>736</v>
      </c>
      <c r="B737" s="1">
        <v>45752</v>
      </c>
      <c r="C737" t="s">
        <v>18</v>
      </c>
      <c r="D737" t="s">
        <v>90</v>
      </c>
      <c r="E737" t="s">
        <v>13</v>
      </c>
      <c r="F737">
        <v>3</v>
      </c>
      <c r="G737" t="str">
        <f>VLOOKUP(D737,Товары!A:I,3,0)</f>
        <v>Пенал напол. Аква 350 белый 2 двери + 2 ящика</v>
      </c>
      <c r="H737">
        <f>VLOOKUP(D737,Товары!A:I,6,0)</f>
        <v>190</v>
      </c>
      <c r="I737" t="str">
        <f>VLOOKUP(C737,Магазины!A:C,3,0)</f>
        <v>Набережные Челны</v>
      </c>
      <c r="J737">
        <f>VLOOKUP(D737,Товары!A:I,4,0)</f>
        <v>10650</v>
      </c>
      <c r="K737">
        <f t="shared" si="11"/>
        <v>31950</v>
      </c>
    </row>
    <row r="738" spans="1:11" hidden="1" x14ac:dyDescent="0.25">
      <c r="A738">
        <v>737</v>
      </c>
      <c r="B738" s="1">
        <v>45757</v>
      </c>
      <c r="C738" t="s">
        <v>28</v>
      </c>
      <c r="D738" t="s">
        <v>108</v>
      </c>
      <c r="E738" t="s">
        <v>13</v>
      </c>
      <c r="F738">
        <v>3</v>
      </c>
      <c r="G738" t="str">
        <f>VLOOKUP(D738,Товары!A:I,3,0)</f>
        <v>Тумба с раковиной  навес. Виктория 1000 белый 2 ящика с умыв. Слим</v>
      </c>
      <c r="H738">
        <f>VLOOKUP(D738,Товары!A:I,6,0)</f>
        <v>60</v>
      </c>
      <c r="I738" t="str">
        <f>VLOOKUP(C738,Магазины!A:C,3,0)</f>
        <v>Набережные Челны</v>
      </c>
      <c r="J738">
        <f>VLOOKUP(D738,Товары!A:I,4,0)</f>
        <v>29205</v>
      </c>
      <c r="K738">
        <f t="shared" si="11"/>
        <v>87615</v>
      </c>
    </row>
    <row r="739" spans="1:11" hidden="1" x14ac:dyDescent="0.25">
      <c r="A739">
        <v>738</v>
      </c>
      <c r="B739" s="1">
        <v>45749</v>
      </c>
      <c r="C739" t="s">
        <v>26</v>
      </c>
      <c r="D739" t="s">
        <v>85</v>
      </c>
      <c r="E739" t="s">
        <v>13</v>
      </c>
      <c r="F739">
        <v>2</v>
      </c>
      <c r="G739" t="str">
        <f>VLOOKUP(D739,Товары!A:I,3,0)</f>
        <v>Пенал напол. Аква 450 белый 2 двери + 2 ящика + корзина</v>
      </c>
      <c r="H739">
        <f>VLOOKUP(D739,Товары!A:I,6,0)</f>
        <v>190</v>
      </c>
      <c r="I739" t="str">
        <f>VLOOKUP(C739,Магазины!A:C,3,0)</f>
        <v>Оренбург</v>
      </c>
      <c r="J739">
        <f>VLOOKUP(D739,Товары!A:I,4,0)</f>
        <v>13335</v>
      </c>
      <c r="K739">
        <f t="shared" si="11"/>
        <v>26670</v>
      </c>
    </row>
    <row r="740" spans="1:11" hidden="1" x14ac:dyDescent="0.25">
      <c r="A740">
        <v>739</v>
      </c>
      <c r="B740" s="1">
        <v>45754</v>
      </c>
      <c r="C740" t="s">
        <v>16</v>
      </c>
      <c r="D740" t="s">
        <v>45</v>
      </c>
      <c r="E740" t="s">
        <v>8</v>
      </c>
      <c r="F740">
        <v>1</v>
      </c>
      <c r="G740" t="str">
        <f>VLOOKUP(D740,Товары!A:I,3,0)</f>
        <v>Зеркальный шкаф Рица 80 со светильником правый цвет cерый/керамика</v>
      </c>
      <c r="H740">
        <f>VLOOKUP(D740,Товары!A:I,6,0)</f>
        <v>75</v>
      </c>
      <c r="I740" t="str">
        <f>VLOOKUP(C740,Магазины!A:C,3,0)</f>
        <v>Оренбург</v>
      </c>
      <c r="J740">
        <f>VLOOKUP(D740,Товары!A:I,4,0)</f>
        <v>9930</v>
      </c>
      <c r="K740">
        <f t="shared" si="11"/>
        <v>9930</v>
      </c>
    </row>
    <row r="741" spans="1:11" hidden="1" x14ac:dyDescent="0.25">
      <c r="A741">
        <v>740</v>
      </c>
      <c r="B741" s="1">
        <v>45756</v>
      </c>
      <c r="C741" t="s">
        <v>26</v>
      </c>
      <c r="D741" t="s">
        <v>102</v>
      </c>
      <c r="E741" t="s">
        <v>8</v>
      </c>
      <c r="F741">
        <v>2</v>
      </c>
      <c r="G741" t="str">
        <f>VLOOKUP(D741,Товары!A:I,3,0)</f>
        <v>Тумба с раковиной  напол. Леон Риф 1000 солярис/белый риф 2 ящика с умыв. Слим</v>
      </c>
      <c r="H741">
        <f>VLOOKUP(D741,Товары!A:I,6,0)</f>
        <v>85</v>
      </c>
      <c r="I741" t="str">
        <f>VLOOKUP(C741,Магазины!A:C,3,0)</f>
        <v>Оренбург</v>
      </c>
      <c r="J741">
        <f>VLOOKUP(D741,Товары!A:I,4,0)</f>
        <v>32085</v>
      </c>
      <c r="K741">
        <f t="shared" si="11"/>
        <v>64170</v>
      </c>
    </row>
    <row r="742" spans="1:11" hidden="1" x14ac:dyDescent="0.25">
      <c r="A742">
        <v>741</v>
      </c>
      <c r="B742" s="1">
        <v>45753</v>
      </c>
      <c r="C742" t="s">
        <v>9</v>
      </c>
      <c r="D742" t="s">
        <v>21</v>
      </c>
      <c r="E742" t="s">
        <v>8</v>
      </c>
      <c r="F742">
        <v>1</v>
      </c>
      <c r="G742" t="str">
        <f>VLOOKUP(D742,Товары!A:I,3,0)</f>
        <v>Зеркальный шкаф Рица 60 со светильником правый цвет cерый/керамика</v>
      </c>
      <c r="H742">
        <f>VLOOKUP(D742,Товары!A:I,6,0)</f>
        <v>75</v>
      </c>
      <c r="I742" t="str">
        <f>VLOOKUP(C742,Магазины!A:C,3,0)</f>
        <v>Кемерово</v>
      </c>
      <c r="J742">
        <f>VLOOKUP(D742,Товары!A:I,4,0)</f>
        <v>8910</v>
      </c>
      <c r="K742">
        <f t="shared" si="11"/>
        <v>8910</v>
      </c>
    </row>
    <row r="743" spans="1:11" hidden="1" x14ac:dyDescent="0.25">
      <c r="A743">
        <v>742</v>
      </c>
      <c r="B743" s="1">
        <v>45751</v>
      </c>
      <c r="C743" t="s">
        <v>6</v>
      </c>
      <c r="D743" t="s">
        <v>56</v>
      </c>
      <c r="E743" t="s">
        <v>8</v>
      </c>
      <c r="F743">
        <v>3</v>
      </c>
      <c r="G743" t="str">
        <f>VLOOKUP(D743,Товары!A:I,3,0)</f>
        <v>Зеркальный шкаф Альба 80 со светильником правый цвет мята</v>
      </c>
      <c r="H743">
        <f>VLOOKUP(D743,Товары!A:I,6,0)</f>
        <v>75</v>
      </c>
      <c r="I743" t="str">
        <f>VLOOKUP(C743,Магазины!A:C,3,0)</f>
        <v>Оренбург</v>
      </c>
      <c r="J743">
        <f>VLOOKUP(D743,Товары!A:I,4,0)</f>
        <v>9930</v>
      </c>
      <c r="K743">
        <f t="shared" si="11"/>
        <v>29790</v>
      </c>
    </row>
    <row r="744" spans="1:11" hidden="1" x14ac:dyDescent="0.25">
      <c r="A744">
        <v>743</v>
      </c>
      <c r="B744" s="1">
        <v>45749</v>
      </c>
      <c r="C744" t="s">
        <v>54</v>
      </c>
      <c r="D744" t="s">
        <v>25</v>
      </c>
      <c r="E744" t="s">
        <v>8</v>
      </c>
      <c r="F744">
        <v>2</v>
      </c>
      <c r="G744" t="str">
        <f>VLOOKUP(D744,Товары!A:I,3,0)</f>
        <v>Пенал напол. Леон 400 оникс 2 двери + 1 ящик</v>
      </c>
      <c r="H744">
        <f>VLOOKUP(D744,Товары!A:I,6,0)</f>
        <v>190</v>
      </c>
      <c r="I744" t="str">
        <f>VLOOKUP(C744,Магазины!A:C,3,0)</f>
        <v>Ставрополь</v>
      </c>
      <c r="J744">
        <f>VLOOKUP(D744,Товары!A:I,4,0)</f>
        <v>18450</v>
      </c>
      <c r="K744">
        <f t="shared" si="11"/>
        <v>36900</v>
      </c>
    </row>
    <row r="745" spans="1:11" hidden="1" x14ac:dyDescent="0.25">
      <c r="A745">
        <v>744</v>
      </c>
      <c r="B745" s="1">
        <v>45757</v>
      </c>
      <c r="C745" t="s">
        <v>14</v>
      </c>
      <c r="D745" t="s">
        <v>53</v>
      </c>
      <c r="E745" t="s">
        <v>13</v>
      </c>
      <c r="F745">
        <v>2</v>
      </c>
      <c r="G745" t="str">
        <f>VLOOKUP(D745,Товары!A:I,3,0)</f>
        <v>Тумба с раковиной  напол. Кристалл 600 шато азур 2 ящика с умыв. Океан</v>
      </c>
      <c r="H745">
        <f>VLOOKUP(D745,Товары!A:I,6,0)</f>
        <v>85</v>
      </c>
      <c r="I745" t="str">
        <f>VLOOKUP(C745,Магазины!A:C,3,0)</f>
        <v>Оренбург</v>
      </c>
      <c r="J745">
        <f>VLOOKUP(D745,Товары!A:I,4,0)</f>
        <v>27600</v>
      </c>
      <c r="K745">
        <f t="shared" si="11"/>
        <v>55200</v>
      </c>
    </row>
    <row r="746" spans="1:11" hidden="1" x14ac:dyDescent="0.25">
      <c r="A746">
        <v>745</v>
      </c>
      <c r="B746" s="1">
        <v>45753</v>
      </c>
      <c r="C746" t="s">
        <v>111</v>
      </c>
      <c r="D746" t="s">
        <v>83</v>
      </c>
      <c r="E746" t="s">
        <v>13</v>
      </c>
      <c r="F746">
        <v>1</v>
      </c>
      <c r="G746" t="str">
        <f>VLOOKUP(D746,Товары!A:I,3,0)</f>
        <v>Зеркальный шкаф Альба 60 со светильником правый цвет суфле</v>
      </c>
      <c r="H746">
        <f>VLOOKUP(D746,Товары!A:I,6,0)</f>
        <v>75</v>
      </c>
      <c r="I746" t="str">
        <f>VLOOKUP(C746,Магазины!A:C,3,0)</f>
        <v>Набережные Челны</v>
      </c>
      <c r="J746">
        <f>VLOOKUP(D746,Товары!A:I,4,0)</f>
        <v>8910</v>
      </c>
      <c r="K746">
        <f t="shared" si="11"/>
        <v>8910</v>
      </c>
    </row>
    <row r="747" spans="1:11" hidden="1" x14ac:dyDescent="0.25">
      <c r="A747">
        <v>746</v>
      </c>
      <c r="B747" s="1">
        <v>45754</v>
      </c>
      <c r="C747" t="s">
        <v>22</v>
      </c>
      <c r="D747" t="s">
        <v>62</v>
      </c>
      <c r="E747" t="s">
        <v>13</v>
      </c>
      <c r="F747">
        <v>3</v>
      </c>
      <c r="G747" t="str">
        <f>VLOOKUP(D747,Товары!A:I,3,0)</f>
        <v>Тумба с раковиной  напол. Альба 600 мята 2 ящика с умыв. Океан</v>
      </c>
      <c r="H747">
        <f>VLOOKUP(D747,Товары!A:I,6,0)</f>
        <v>80</v>
      </c>
      <c r="I747" t="str">
        <f>VLOOKUP(C747,Магазины!A:C,3,0)</f>
        <v>Кемерово</v>
      </c>
      <c r="J747">
        <f>VLOOKUP(D747,Товары!A:I,4,0)</f>
        <v>26370</v>
      </c>
      <c r="K747">
        <f t="shared" si="11"/>
        <v>79110</v>
      </c>
    </row>
    <row r="748" spans="1:11" hidden="1" x14ac:dyDescent="0.25">
      <c r="A748">
        <v>747</v>
      </c>
      <c r="B748" s="1">
        <v>45757</v>
      </c>
      <c r="C748" t="s">
        <v>14</v>
      </c>
      <c r="D748" t="s">
        <v>101</v>
      </c>
      <c r="E748" t="s">
        <v>8</v>
      </c>
      <c r="F748">
        <v>3</v>
      </c>
      <c r="G748" t="str">
        <f>VLOOKUP(D748,Товары!A:I,3,0)</f>
        <v>Пенал напол. Сохо 400 белый 2 двери + 1 ящик</v>
      </c>
      <c r="H748">
        <f>VLOOKUP(D748,Товары!A:I,6,0)</f>
        <v>190</v>
      </c>
      <c r="I748" t="str">
        <f>VLOOKUP(C748,Магазины!A:C,3,0)</f>
        <v>Оренбург</v>
      </c>
      <c r="J748">
        <f>VLOOKUP(D748,Товары!A:I,4,0)</f>
        <v>11040</v>
      </c>
      <c r="K748">
        <f t="shared" si="11"/>
        <v>33120</v>
      </c>
    </row>
    <row r="749" spans="1:11" hidden="1" x14ac:dyDescent="0.25">
      <c r="A749">
        <v>748</v>
      </c>
      <c r="B749" s="1">
        <v>45748</v>
      </c>
      <c r="C749" t="s">
        <v>16</v>
      </c>
      <c r="D749" t="s">
        <v>91</v>
      </c>
      <c r="E749" t="s">
        <v>13</v>
      </c>
      <c r="F749">
        <v>1</v>
      </c>
      <c r="G749" t="str">
        <f>VLOOKUP(D749,Товары!A:I,3,0)</f>
        <v>Пенал навес./напол. Альба 350 мята 2 двери</v>
      </c>
      <c r="H749">
        <f>VLOOKUP(D749,Товары!A:I,6,0)</f>
        <v>150</v>
      </c>
      <c r="I749" t="str">
        <f>VLOOKUP(C749,Магазины!A:C,3,0)</f>
        <v>Оренбург</v>
      </c>
      <c r="J749">
        <f>VLOOKUP(D749,Товары!A:I,4,0)</f>
        <v>11655</v>
      </c>
      <c r="K749">
        <f t="shared" si="11"/>
        <v>11655</v>
      </c>
    </row>
    <row r="750" spans="1:11" hidden="1" x14ac:dyDescent="0.25">
      <c r="A750">
        <v>749</v>
      </c>
      <c r="B750" s="1">
        <v>45751</v>
      </c>
      <c r="C750" t="s">
        <v>33</v>
      </c>
      <c r="D750" t="s">
        <v>108</v>
      </c>
      <c r="E750" t="s">
        <v>13</v>
      </c>
      <c r="F750">
        <v>1</v>
      </c>
      <c r="G750" t="str">
        <f>VLOOKUP(D750,Товары!A:I,3,0)</f>
        <v>Тумба с раковиной  навес. Виктория 1000 белый 2 ящика с умыв. Слим</v>
      </c>
      <c r="H750">
        <f>VLOOKUP(D750,Товары!A:I,6,0)</f>
        <v>60</v>
      </c>
      <c r="I750" t="str">
        <f>VLOOKUP(C750,Магазины!A:C,3,0)</f>
        <v>Набережные Челны</v>
      </c>
      <c r="J750">
        <f>VLOOKUP(D750,Товары!A:I,4,0)</f>
        <v>29205</v>
      </c>
      <c r="K750">
        <f t="shared" si="11"/>
        <v>29205</v>
      </c>
    </row>
    <row r="751" spans="1:11" hidden="1" x14ac:dyDescent="0.25">
      <c r="A751">
        <v>750</v>
      </c>
      <c r="B751" s="1">
        <v>45750</v>
      </c>
      <c r="C751" t="s">
        <v>58</v>
      </c>
      <c r="D751" t="s">
        <v>77</v>
      </c>
      <c r="E751" t="s">
        <v>13</v>
      </c>
      <c r="F751">
        <v>1</v>
      </c>
      <c r="G751" t="str">
        <f>VLOOKUP(D751,Товары!A:I,3,0)</f>
        <v>Тумба с раковиной  напол. Куба Риф 600 белый 2 ящика с умыв. Como</v>
      </c>
      <c r="H751">
        <f>VLOOKUP(D751,Товары!A:I,6,0)</f>
        <v>85</v>
      </c>
      <c r="I751" t="str">
        <f>VLOOKUP(C751,Магазины!A:C,3,0)</f>
        <v>Ставрополь</v>
      </c>
      <c r="J751">
        <f>VLOOKUP(D751,Товары!A:I,4,0)</f>
        <v>15660</v>
      </c>
      <c r="K751">
        <f t="shared" si="11"/>
        <v>15660</v>
      </c>
    </row>
    <row r="752" spans="1:11" hidden="1" x14ac:dyDescent="0.25">
      <c r="A752">
        <v>751</v>
      </c>
      <c r="B752" s="1">
        <v>45749</v>
      </c>
      <c r="C752" t="s">
        <v>30</v>
      </c>
      <c r="D752" t="s">
        <v>72</v>
      </c>
      <c r="E752" t="s">
        <v>13</v>
      </c>
      <c r="F752">
        <v>1</v>
      </c>
      <c r="G752" t="str">
        <f>VLOOKUP(D752,Товары!A:I,3,0)</f>
        <v>Тумба с раковиной  напол. Сохо 600 белый 2 ящика с умыв. Океан</v>
      </c>
      <c r="H752">
        <f>VLOOKUP(D752,Товары!A:I,6,0)</f>
        <v>85</v>
      </c>
      <c r="I752" t="str">
        <f>VLOOKUP(C752,Магазины!A:C,3,0)</f>
        <v>Кемерово</v>
      </c>
      <c r="J752">
        <f>VLOOKUP(D752,Товары!A:I,4,0)</f>
        <v>16140</v>
      </c>
      <c r="K752">
        <f t="shared" si="11"/>
        <v>16140</v>
      </c>
    </row>
    <row r="753" spans="1:11" hidden="1" x14ac:dyDescent="0.25">
      <c r="A753">
        <v>752</v>
      </c>
      <c r="B753" s="1">
        <v>45757</v>
      </c>
      <c r="C753" t="s">
        <v>43</v>
      </c>
      <c r="D753" t="s">
        <v>80</v>
      </c>
      <c r="E753" t="s">
        <v>8</v>
      </c>
      <c r="F753">
        <v>1</v>
      </c>
      <c r="G753" t="str">
        <f>VLOOKUP(D753,Товары!A:I,3,0)</f>
        <v>Тумба с раковиной  навес. Сохо 600 белый 2 ящика с умыв. Океан</v>
      </c>
      <c r="H753">
        <f>VLOOKUP(D753,Товары!A:I,6,0)</f>
        <v>55</v>
      </c>
      <c r="I753" t="str">
        <f>VLOOKUP(C753,Магазины!A:C,3,0)</f>
        <v>Набережные Челны</v>
      </c>
      <c r="J753">
        <f>VLOOKUP(D753,Товары!A:I,4,0)</f>
        <v>13950</v>
      </c>
      <c r="K753">
        <f t="shared" si="11"/>
        <v>13950</v>
      </c>
    </row>
    <row r="754" spans="1:11" hidden="1" x14ac:dyDescent="0.25">
      <c r="A754">
        <v>753</v>
      </c>
      <c r="B754" s="1">
        <v>45750</v>
      </c>
      <c r="C754" t="s">
        <v>14</v>
      </c>
      <c r="D754" t="s">
        <v>72</v>
      </c>
      <c r="E754" t="s">
        <v>8</v>
      </c>
      <c r="F754">
        <v>3</v>
      </c>
      <c r="G754" t="str">
        <f>VLOOKUP(D754,Товары!A:I,3,0)</f>
        <v>Тумба с раковиной  напол. Сохо 600 белый 2 ящика с умыв. Океан</v>
      </c>
      <c r="H754">
        <f>VLOOKUP(D754,Товары!A:I,6,0)</f>
        <v>85</v>
      </c>
      <c r="I754" t="str">
        <f>VLOOKUP(C754,Магазины!A:C,3,0)</f>
        <v>Оренбург</v>
      </c>
      <c r="J754">
        <f>VLOOKUP(D754,Товары!A:I,4,0)</f>
        <v>16140</v>
      </c>
      <c r="K754">
        <f t="shared" si="11"/>
        <v>48420</v>
      </c>
    </row>
    <row r="755" spans="1:11" hidden="1" x14ac:dyDescent="0.25">
      <c r="A755">
        <v>754</v>
      </c>
      <c r="B755" s="1">
        <v>45754</v>
      </c>
      <c r="C755" t="s">
        <v>20</v>
      </c>
      <c r="D755" t="s">
        <v>53</v>
      </c>
      <c r="E755" t="s">
        <v>13</v>
      </c>
      <c r="F755">
        <v>3</v>
      </c>
      <c r="G755" t="str">
        <f>VLOOKUP(D755,Товары!A:I,3,0)</f>
        <v>Тумба с раковиной  напол. Кристалл 600 шато азур 2 ящика с умыв. Океан</v>
      </c>
      <c r="H755">
        <f>VLOOKUP(D755,Товары!A:I,6,0)</f>
        <v>85</v>
      </c>
      <c r="I755" t="str">
        <f>VLOOKUP(C755,Магазины!A:C,3,0)</f>
        <v>Оренбург</v>
      </c>
      <c r="J755">
        <f>VLOOKUP(D755,Товары!A:I,4,0)</f>
        <v>27600</v>
      </c>
      <c r="K755">
        <f t="shared" si="11"/>
        <v>82800</v>
      </c>
    </row>
    <row r="756" spans="1:11" hidden="1" x14ac:dyDescent="0.25">
      <c r="A756">
        <v>755</v>
      </c>
      <c r="B756" s="1">
        <v>45756</v>
      </c>
      <c r="C756" t="s">
        <v>22</v>
      </c>
      <c r="D756" t="s">
        <v>45</v>
      </c>
      <c r="E756" t="s">
        <v>8</v>
      </c>
      <c r="F756">
        <v>3</v>
      </c>
      <c r="G756" t="str">
        <f>VLOOKUP(D756,Товары!A:I,3,0)</f>
        <v>Зеркальный шкаф Рица 80 со светильником правый цвет cерый/керамика</v>
      </c>
      <c r="H756">
        <f>VLOOKUP(D756,Товары!A:I,6,0)</f>
        <v>75</v>
      </c>
      <c r="I756" t="str">
        <f>VLOOKUP(C756,Магазины!A:C,3,0)</f>
        <v>Кемерово</v>
      </c>
      <c r="J756">
        <f>VLOOKUP(D756,Товары!A:I,4,0)</f>
        <v>9930</v>
      </c>
      <c r="K756">
        <f t="shared" si="11"/>
        <v>29790</v>
      </c>
    </row>
    <row r="757" spans="1:11" hidden="1" x14ac:dyDescent="0.25">
      <c r="A757">
        <v>756</v>
      </c>
      <c r="B757" s="1">
        <v>45752</v>
      </c>
      <c r="C757" t="s">
        <v>35</v>
      </c>
      <c r="D757" t="s">
        <v>98</v>
      </c>
      <c r="E757" t="s">
        <v>13</v>
      </c>
      <c r="F757">
        <v>1</v>
      </c>
      <c r="G757" t="str">
        <f>VLOOKUP(D757,Товары!A:I,3,0)</f>
        <v>Тумба с раковиной  напол. Рица 800 cерый/керамика 2 ящика с умыв. Слим</v>
      </c>
      <c r="H757">
        <f>VLOOKUP(D757,Товары!A:I,6,0)</f>
        <v>80</v>
      </c>
      <c r="I757" t="str">
        <f>VLOOKUP(C757,Магазины!A:C,3,0)</f>
        <v>Набережные Челны</v>
      </c>
      <c r="J757">
        <f>VLOOKUP(D757,Товары!A:I,4,0)</f>
        <v>28980</v>
      </c>
      <c r="K757">
        <f t="shared" si="11"/>
        <v>28980</v>
      </c>
    </row>
    <row r="758" spans="1:11" hidden="1" x14ac:dyDescent="0.25">
      <c r="A758">
        <v>757</v>
      </c>
      <c r="B758" s="1">
        <v>45757</v>
      </c>
      <c r="C758" t="s">
        <v>26</v>
      </c>
      <c r="D758" t="s">
        <v>62</v>
      </c>
      <c r="E758" t="s">
        <v>8</v>
      </c>
      <c r="F758">
        <v>2</v>
      </c>
      <c r="G758" t="str">
        <f>VLOOKUP(D758,Товары!A:I,3,0)</f>
        <v>Тумба с раковиной  напол. Альба 600 мята 2 ящика с умыв. Океан</v>
      </c>
      <c r="H758">
        <f>VLOOKUP(D758,Товары!A:I,6,0)</f>
        <v>80</v>
      </c>
      <c r="I758" t="str">
        <f>VLOOKUP(C758,Магазины!A:C,3,0)</f>
        <v>Оренбург</v>
      </c>
      <c r="J758">
        <f>VLOOKUP(D758,Товары!A:I,4,0)</f>
        <v>26370</v>
      </c>
      <c r="K758">
        <f t="shared" si="11"/>
        <v>52740</v>
      </c>
    </row>
    <row r="759" spans="1:11" hidden="1" x14ac:dyDescent="0.25">
      <c r="A759">
        <v>758</v>
      </c>
      <c r="B759" s="1">
        <v>45748</v>
      </c>
      <c r="C759" t="s">
        <v>35</v>
      </c>
      <c r="D759" t="s">
        <v>66</v>
      </c>
      <c r="E759" t="s">
        <v>13</v>
      </c>
      <c r="F759">
        <v>2</v>
      </c>
      <c r="G759" t="str">
        <f>VLOOKUP(D759,Товары!A:I,3,0)</f>
        <v>Тумба с раковиной  навес. Альба 800 мята 2 ящика с умыв. Слим</v>
      </c>
      <c r="H759">
        <f>VLOOKUP(D759,Товары!A:I,6,0)</f>
        <v>50</v>
      </c>
      <c r="I759" t="str">
        <f>VLOOKUP(C759,Магазины!A:C,3,0)</f>
        <v>Набережные Челны</v>
      </c>
      <c r="J759">
        <f>VLOOKUP(D759,Товары!A:I,4,0)</f>
        <v>26070</v>
      </c>
      <c r="K759">
        <f t="shared" si="11"/>
        <v>52140</v>
      </c>
    </row>
    <row r="760" spans="1:11" hidden="1" x14ac:dyDescent="0.25">
      <c r="A760">
        <v>759</v>
      </c>
      <c r="B760" s="1">
        <v>45756</v>
      </c>
      <c r="C760" t="s">
        <v>22</v>
      </c>
      <c r="D760" t="s">
        <v>107</v>
      </c>
      <c r="E760" t="s">
        <v>8</v>
      </c>
      <c r="F760">
        <v>3</v>
      </c>
      <c r="G760" t="str">
        <f>VLOOKUP(D760,Товары!A:I,3,0)</f>
        <v>Комод Аква 35 напольный 1 дверь белый правый</v>
      </c>
      <c r="H760">
        <f>VLOOKUP(D760,Товары!A:I,6,0)</f>
        <v>90</v>
      </c>
      <c r="I760" t="str">
        <f>VLOOKUP(C760,Магазины!A:C,3,0)</f>
        <v>Кемерово</v>
      </c>
      <c r="J760">
        <f>VLOOKUP(D760,Товары!A:I,4,0)</f>
        <v>6705</v>
      </c>
      <c r="K760">
        <f t="shared" si="11"/>
        <v>20115</v>
      </c>
    </row>
    <row r="761" spans="1:11" hidden="1" x14ac:dyDescent="0.25">
      <c r="A761">
        <v>760</v>
      </c>
      <c r="B761" s="1">
        <v>45754</v>
      </c>
      <c r="C761" t="s">
        <v>14</v>
      </c>
      <c r="D761" t="s">
        <v>56</v>
      </c>
      <c r="E761" t="s">
        <v>13</v>
      </c>
      <c r="F761">
        <v>1</v>
      </c>
      <c r="G761" t="str">
        <f>VLOOKUP(D761,Товары!A:I,3,0)</f>
        <v>Зеркальный шкаф Альба 80 со светильником правый цвет мята</v>
      </c>
      <c r="H761">
        <f>VLOOKUP(D761,Товары!A:I,6,0)</f>
        <v>75</v>
      </c>
      <c r="I761" t="str">
        <f>VLOOKUP(C761,Магазины!A:C,3,0)</f>
        <v>Оренбург</v>
      </c>
      <c r="J761">
        <f>VLOOKUP(D761,Товары!A:I,4,0)</f>
        <v>9930</v>
      </c>
      <c r="K761">
        <f t="shared" si="11"/>
        <v>9930</v>
      </c>
    </row>
    <row r="762" spans="1:11" hidden="1" x14ac:dyDescent="0.25">
      <c r="A762">
        <v>761</v>
      </c>
      <c r="B762" s="1">
        <v>45751</v>
      </c>
      <c r="C762" t="s">
        <v>6</v>
      </c>
      <c r="D762" t="s">
        <v>91</v>
      </c>
      <c r="E762" t="s">
        <v>13</v>
      </c>
      <c r="F762">
        <v>2</v>
      </c>
      <c r="G762" t="str">
        <f>VLOOKUP(D762,Товары!A:I,3,0)</f>
        <v>Пенал навес./напол. Альба 350 мята 2 двери</v>
      </c>
      <c r="H762">
        <f>VLOOKUP(D762,Товары!A:I,6,0)</f>
        <v>150</v>
      </c>
      <c r="I762" t="str">
        <f>VLOOKUP(C762,Магазины!A:C,3,0)</f>
        <v>Оренбург</v>
      </c>
      <c r="J762">
        <f>VLOOKUP(D762,Товары!A:I,4,0)</f>
        <v>11655</v>
      </c>
      <c r="K762">
        <f t="shared" si="11"/>
        <v>23310</v>
      </c>
    </row>
    <row r="763" spans="1:11" hidden="1" x14ac:dyDescent="0.25">
      <c r="A763">
        <v>762</v>
      </c>
      <c r="B763" s="1">
        <v>45751</v>
      </c>
      <c r="C763" t="s">
        <v>41</v>
      </c>
      <c r="D763" t="s">
        <v>49</v>
      </c>
      <c r="E763" t="s">
        <v>8</v>
      </c>
      <c r="F763">
        <v>2</v>
      </c>
      <c r="G763" t="str">
        <f>VLOOKUP(D763,Товары!A:I,3,0)</f>
        <v>Тумба с раковиной  напол. Леон 700 оникс 2 ящика с умыв. Слим</v>
      </c>
      <c r="H763">
        <f>VLOOKUP(D763,Товары!A:I,6,0)</f>
        <v>80</v>
      </c>
      <c r="I763" t="str">
        <f>VLOOKUP(C763,Магазины!A:C,3,0)</f>
        <v>Ставрополь</v>
      </c>
      <c r="J763">
        <f>VLOOKUP(D763,Товары!A:I,4,0)</f>
        <v>28380</v>
      </c>
      <c r="K763">
        <f t="shared" si="11"/>
        <v>56760</v>
      </c>
    </row>
    <row r="764" spans="1:11" hidden="1" x14ac:dyDescent="0.25">
      <c r="A764">
        <v>763</v>
      </c>
      <c r="B764" s="1">
        <v>45756</v>
      </c>
      <c r="C764" t="s">
        <v>111</v>
      </c>
      <c r="D764" t="s">
        <v>19</v>
      </c>
      <c r="E764" t="s">
        <v>13</v>
      </c>
      <c r="F764">
        <v>2</v>
      </c>
      <c r="G764" t="str">
        <f>VLOOKUP(D764,Товары!A:I,3,0)</f>
        <v>Тумба с раковиной  навес. Леон 800 оникс 2 ящика с умыв. Слим</v>
      </c>
      <c r="H764">
        <f>VLOOKUP(D764,Товары!A:I,6,0)</f>
        <v>60</v>
      </c>
      <c r="I764" t="str">
        <f>VLOOKUP(C764,Магазины!A:C,3,0)</f>
        <v>Набережные Челны</v>
      </c>
      <c r="J764">
        <f>VLOOKUP(D764,Товары!A:I,4,0)</f>
        <v>27930</v>
      </c>
      <c r="K764">
        <f t="shared" si="11"/>
        <v>55860</v>
      </c>
    </row>
    <row r="765" spans="1:11" hidden="1" x14ac:dyDescent="0.25">
      <c r="A765">
        <v>764</v>
      </c>
      <c r="B765" s="1">
        <v>45756</v>
      </c>
      <c r="C765" t="s">
        <v>18</v>
      </c>
      <c r="D765" t="s">
        <v>113</v>
      </c>
      <c r="E765" t="s">
        <v>8</v>
      </c>
      <c r="F765">
        <v>1</v>
      </c>
      <c r="G765" t="str">
        <f>VLOOKUP(D765,Товары!A:I,3,0)</f>
        <v>Зеркальный шкаф Альба 60 со светильником правый цвет мята</v>
      </c>
      <c r="H765">
        <f>VLOOKUP(D765,Товары!A:I,6,0)</f>
        <v>75</v>
      </c>
      <c r="I765" t="str">
        <f>VLOOKUP(C765,Магазины!A:C,3,0)</f>
        <v>Набережные Челны</v>
      </c>
      <c r="J765">
        <f>VLOOKUP(D765,Товары!A:I,4,0)</f>
        <v>8910</v>
      </c>
      <c r="K765">
        <f t="shared" si="11"/>
        <v>8910</v>
      </c>
    </row>
    <row r="766" spans="1:11" hidden="1" x14ac:dyDescent="0.25">
      <c r="A766">
        <v>765</v>
      </c>
      <c r="B766" s="1">
        <v>45756</v>
      </c>
      <c r="C766" t="s">
        <v>54</v>
      </c>
      <c r="D766" t="s">
        <v>123</v>
      </c>
      <c r="E766" t="s">
        <v>13</v>
      </c>
      <c r="F766">
        <v>2</v>
      </c>
      <c r="G766" t="str">
        <f>VLOOKUP(D766,Товары!A:I,3,0)</f>
        <v>Тумба с раковиной  напол. Кристалл 800 суфле 2 ящика с умыв. Слим</v>
      </c>
      <c r="H766">
        <f>VLOOKUP(D766,Товары!A:I,6,0)</f>
        <v>80</v>
      </c>
      <c r="I766" t="str">
        <f>VLOOKUP(C766,Магазины!A:C,3,0)</f>
        <v>Ставрополь</v>
      </c>
      <c r="J766">
        <f>VLOOKUP(D766,Товары!A:I,4,0)</f>
        <v>31125</v>
      </c>
      <c r="K766">
        <f t="shared" si="11"/>
        <v>62250</v>
      </c>
    </row>
    <row r="767" spans="1:11" hidden="1" x14ac:dyDescent="0.25">
      <c r="A767">
        <v>766</v>
      </c>
      <c r="B767" s="1">
        <v>45749</v>
      </c>
      <c r="C767" t="s">
        <v>9</v>
      </c>
      <c r="D767" t="s">
        <v>84</v>
      </c>
      <c r="E767" t="s">
        <v>8</v>
      </c>
      <c r="F767">
        <v>2</v>
      </c>
      <c r="G767" t="str">
        <f>VLOOKUP(D767,Товары!A:I,3,0)</f>
        <v>Тумба с раковиной  напол. Куба Риф 800 белый 3 двери с умыв. Слим</v>
      </c>
      <c r="H767">
        <f>VLOOKUP(D767,Товары!A:I,6,0)</f>
        <v>85</v>
      </c>
      <c r="I767" t="str">
        <f>VLOOKUP(C767,Магазины!A:C,3,0)</f>
        <v>Кемерово</v>
      </c>
      <c r="J767">
        <f>VLOOKUP(D767,Товары!A:I,4,0)</f>
        <v>19920</v>
      </c>
      <c r="K767">
        <f t="shared" si="11"/>
        <v>39840</v>
      </c>
    </row>
    <row r="768" spans="1:11" hidden="1" x14ac:dyDescent="0.25">
      <c r="A768">
        <v>767</v>
      </c>
      <c r="B768" s="1">
        <v>45757</v>
      </c>
      <c r="C768" t="s">
        <v>11</v>
      </c>
      <c r="D768" t="s">
        <v>38</v>
      </c>
      <c r="E768" t="s">
        <v>8</v>
      </c>
      <c r="F768">
        <v>1</v>
      </c>
      <c r="G768" t="str">
        <f>VLOOKUP(D768,Товары!A:I,3,0)</f>
        <v>Тумба с раковиной  навес. Куба Риф 600 белый 2 ящика с умыв. Como</v>
      </c>
      <c r="H768">
        <f>VLOOKUP(D768,Товары!A:I,6,0)</f>
        <v>55</v>
      </c>
      <c r="I768" t="str">
        <f>VLOOKUP(C768,Магазины!A:C,3,0)</f>
        <v>Кемерово</v>
      </c>
      <c r="J768">
        <f>VLOOKUP(D768,Товары!A:I,4,0)</f>
        <v>14265</v>
      </c>
      <c r="K768">
        <f t="shared" si="11"/>
        <v>14265</v>
      </c>
    </row>
    <row r="769" spans="1:11" hidden="1" x14ac:dyDescent="0.25">
      <c r="A769">
        <v>768</v>
      </c>
      <c r="B769" s="1">
        <v>45757</v>
      </c>
      <c r="C769" t="s">
        <v>35</v>
      </c>
      <c r="D769" t="s">
        <v>66</v>
      </c>
      <c r="E769" t="s">
        <v>8</v>
      </c>
      <c r="F769">
        <v>2</v>
      </c>
      <c r="G769" t="str">
        <f>VLOOKUP(D769,Товары!A:I,3,0)</f>
        <v>Тумба с раковиной  навес. Альба 800 мята 2 ящика с умыв. Слим</v>
      </c>
      <c r="H769">
        <f>VLOOKUP(D769,Товары!A:I,6,0)</f>
        <v>50</v>
      </c>
      <c r="I769" t="str">
        <f>VLOOKUP(C769,Магазины!A:C,3,0)</f>
        <v>Набережные Челны</v>
      </c>
      <c r="J769">
        <f>VLOOKUP(D769,Товары!A:I,4,0)</f>
        <v>26070</v>
      </c>
      <c r="K769">
        <f t="shared" si="11"/>
        <v>52140</v>
      </c>
    </row>
    <row r="770" spans="1:11" hidden="1" x14ac:dyDescent="0.25">
      <c r="A770">
        <v>769</v>
      </c>
      <c r="B770" s="1">
        <v>45754</v>
      </c>
      <c r="C770" t="s">
        <v>35</v>
      </c>
      <c r="D770" t="s">
        <v>51</v>
      </c>
      <c r="E770" t="s">
        <v>13</v>
      </c>
      <c r="F770">
        <v>2</v>
      </c>
      <c r="G770" t="str">
        <f>VLOOKUP(D770,Товары!A:I,3,0)</f>
        <v>Зеркальный шкаф Альба 80 со светильником правый цвет суфле</v>
      </c>
      <c r="H770">
        <f>VLOOKUP(D770,Товары!A:I,6,0)</f>
        <v>75</v>
      </c>
      <c r="I770" t="str">
        <f>VLOOKUP(C770,Магазины!A:C,3,0)</f>
        <v>Набережные Челны</v>
      </c>
      <c r="J770">
        <f>VLOOKUP(D770,Товары!A:I,4,0)</f>
        <v>9930</v>
      </c>
      <c r="K770">
        <f t="shared" si="11"/>
        <v>19860</v>
      </c>
    </row>
    <row r="771" spans="1:11" hidden="1" x14ac:dyDescent="0.25">
      <c r="A771">
        <v>770</v>
      </c>
      <c r="B771" s="1">
        <v>45753</v>
      </c>
      <c r="C771" t="s">
        <v>26</v>
      </c>
      <c r="D771" t="s">
        <v>21</v>
      </c>
      <c r="E771" t="s">
        <v>8</v>
      </c>
      <c r="F771">
        <v>3</v>
      </c>
      <c r="G771" t="str">
        <f>VLOOKUP(D771,Товары!A:I,3,0)</f>
        <v>Зеркальный шкаф Рица 60 со светильником правый цвет cерый/керамика</v>
      </c>
      <c r="H771">
        <f>VLOOKUP(D771,Товары!A:I,6,0)</f>
        <v>75</v>
      </c>
      <c r="I771" t="str">
        <f>VLOOKUP(C771,Магазины!A:C,3,0)</f>
        <v>Оренбург</v>
      </c>
      <c r="J771">
        <f>VLOOKUP(D771,Товары!A:I,4,0)</f>
        <v>8910</v>
      </c>
      <c r="K771">
        <f t="shared" ref="K771:K834" si="12">J771*F771</f>
        <v>26730</v>
      </c>
    </row>
    <row r="772" spans="1:11" hidden="1" x14ac:dyDescent="0.25">
      <c r="A772">
        <v>771</v>
      </c>
      <c r="B772" s="1">
        <v>45755</v>
      </c>
      <c r="C772" t="s">
        <v>103</v>
      </c>
      <c r="D772" t="s">
        <v>108</v>
      </c>
      <c r="E772" t="s">
        <v>13</v>
      </c>
      <c r="F772">
        <v>1</v>
      </c>
      <c r="G772" t="str">
        <f>VLOOKUP(D772,Товары!A:I,3,0)</f>
        <v>Тумба с раковиной  навес. Виктория 1000 белый 2 ящика с умыв. Слим</v>
      </c>
      <c r="H772">
        <f>VLOOKUP(D772,Товары!A:I,6,0)</f>
        <v>60</v>
      </c>
      <c r="I772" t="str">
        <f>VLOOKUP(C772,Магазины!A:C,3,0)</f>
        <v>Ставрополь</v>
      </c>
      <c r="J772">
        <f>VLOOKUP(D772,Товары!A:I,4,0)</f>
        <v>29205</v>
      </c>
      <c r="K772">
        <f t="shared" si="12"/>
        <v>29205</v>
      </c>
    </row>
    <row r="773" spans="1:11" hidden="1" x14ac:dyDescent="0.25">
      <c r="A773">
        <v>772</v>
      </c>
      <c r="B773" s="1">
        <v>45754</v>
      </c>
      <c r="C773" t="s">
        <v>6</v>
      </c>
      <c r="D773" t="s">
        <v>69</v>
      </c>
      <c r="E773" t="s">
        <v>13</v>
      </c>
      <c r="F773">
        <v>3</v>
      </c>
      <c r="G773" t="str">
        <f>VLOOKUP(D773,Товары!A:I,3,0)</f>
        <v>Пенал навес./напол. Альба 350 антрацит 2 двери</v>
      </c>
      <c r="H773">
        <f>VLOOKUP(D773,Товары!A:I,6,0)</f>
        <v>150</v>
      </c>
      <c r="I773" t="str">
        <f>VLOOKUP(C773,Магазины!A:C,3,0)</f>
        <v>Оренбург</v>
      </c>
      <c r="J773">
        <f>VLOOKUP(D773,Товары!A:I,4,0)</f>
        <v>11655</v>
      </c>
      <c r="K773">
        <f t="shared" si="12"/>
        <v>34965</v>
      </c>
    </row>
    <row r="774" spans="1:11" hidden="1" x14ac:dyDescent="0.25">
      <c r="A774">
        <v>773</v>
      </c>
      <c r="B774" s="1">
        <v>45752</v>
      </c>
      <c r="C774" t="s">
        <v>9</v>
      </c>
      <c r="D774" t="s">
        <v>123</v>
      </c>
      <c r="E774" t="s">
        <v>13</v>
      </c>
      <c r="F774">
        <v>1</v>
      </c>
      <c r="G774" t="str">
        <f>VLOOKUP(D774,Товары!A:I,3,0)</f>
        <v>Тумба с раковиной  напол. Кристалл 800 суфле 2 ящика с умыв. Слим</v>
      </c>
      <c r="H774">
        <f>VLOOKUP(D774,Товары!A:I,6,0)</f>
        <v>80</v>
      </c>
      <c r="I774" t="str">
        <f>VLOOKUP(C774,Магазины!A:C,3,0)</f>
        <v>Кемерово</v>
      </c>
      <c r="J774">
        <f>VLOOKUP(D774,Товары!A:I,4,0)</f>
        <v>31125</v>
      </c>
      <c r="K774">
        <f t="shared" si="12"/>
        <v>31125</v>
      </c>
    </row>
    <row r="775" spans="1:11" hidden="1" x14ac:dyDescent="0.25">
      <c r="A775">
        <v>774</v>
      </c>
      <c r="B775" s="1">
        <v>45754</v>
      </c>
      <c r="C775" t="s">
        <v>35</v>
      </c>
      <c r="D775" t="s">
        <v>98</v>
      </c>
      <c r="E775" t="s">
        <v>8</v>
      </c>
      <c r="F775">
        <v>2</v>
      </c>
      <c r="G775" t="str">
        <f>VLOOKUP(D775,Товары!A:I,3,0)</f>
        <v>Тумба с раковиной  напол. Рица 800 cерый/керамика 2 ящика с умыв. Слим</v>
      </c>
      <c r="H775">
        <f>VLOOKUP(D775,Товары!A:I,6,0)</f>
        <v>80</v>
      </c>
      <c r="I775" t="str">
        <f>VLOOKUP(C775,Магазины!A:C,3,0)</f>
        <v>Набережные Челны</v>
      </c>
      <c r="J775">
        <f>VLOOKUP(D775,Товары!A:I,4,0)</f>
        <v>28980</v>
      </c>
      <c r="K775">
        <f t="shared" si="12"/>
        <v>57960</v>
      </c>
    </row>
    <row r="776" spans="1:11" hidden="1" x14ac:dyDescent="0.25">
      <c r="A776">
        <v>775</v>
      </c>
      <c r="B776" s="1">
        <v>45757</v>
      </c>
      <c r="C776" t="s">
        <v>41</v>
      </c>
      <c r="D776" t="s">
        <v>67</v>
      </c>
      <c r="E776" t="s">
        <v>8</v>
      </c>
      <c r="F776">
        <v>3</v>
      </c>
      <c r="G776" t="str">
        <f>VLOOKUP(D776,Товары!A:I,3,0)</f>
        <v>Пенал навес./напол. Альба 350 суфле 2 двери</v>
      </c>
      <c r="H776">
        <f>VLOOKUP(D776,Товары!A:I,6,0)</f>
        <v>150</v>
      </c>
      <c r="I776" t="str">
        <f>VLOOKUP(C776,Магазины!A:C,3,0)</f>
        <v>Ставрополь</v>
      </c>
      <c r="J776">
        <f>VLOOKUP(D776,Товары!A:I,4,0)</f>
        <v>11655</v>
      </c>
      <c r="K776">
        <f t="shared" si="12"/>
        <v>34965</v>
      </c>
    </row>
    <row r="777" spans="1:11" hidden="1" x14ac:dyDescent="0.25">
      <c r="A777">
        <v>776</v>
      </c>
      <c r="B777" s="1">
        <v>45751</v>
      </c>
      <c r="C777" t="s">
        <v>6</v>
      </c>
      <c r="D777" t="s">
        <v>51</v>
      </c>
      <c r="E777" t="s">
        <v>8</v>
      </c>
      <c r="F777">
        <v>3</v>
      </c>
      <c r="G777" t="str">
        <f>VLOOKUP(D777,Товары!A:I,3,0)</f>
        <v>Зеркальный шкаф Альба 80 со светильником правый цвет суфле</v>
      </c>
      <c r="H777">
        <f>VLOOKUP(D777,Товары!A:I,6,0)</f>
        <v>75</v>
      </c>
      <c r="I777" t="str">
        <f>VLOOKUP(C777,Магазины!A:C,3,0)</f>
        <v>Оренбург</v>
      </c>
      <c r="J777">
        <f>VLOOKUP(D777,Товары!A:I,4,0)</f>
        <v>9930</v>
      </c>
      <c r="K777">
        <f t="shared" si="12"/>
        <v>29790</v>
      </c>
    </row>
    <row r="778" spans="1:11" hidden="1" x14ac:dyDescent="0.25">
      <c r="A778">
        <v>777</v>
      </c>
      <c r="B778" s="1">
        <v>45757</v>
      </c>
      <c r="C778" t="s">
        <v>26</v>
      </c>
      <c r="D778" t="s">
        <v>97</v>
      </c>
      <c r="E778" t="s">
        <v>13</v>
      </c>
      <c r="F778">
        <v>2</v>
      </c>
      <c r="G778" t="str">
        <f>VLOOKUP(D778,Товары!A:I,3,0)</f>
        <v>Пенал напол. Кристалл 350 суфле 2 двери</v>
      </c>
      <c r="H778">
        <f>VLOOKUP(D778,Товары!A:I,6,0)</f>
        <v>190</v>
      </c>
      <c r="I778" t="str">
        <f>VLOOKUP(C778,Магазины!A:C,3,0)</f>
        <v>Оренбург</v>
      </c>
      <c r="J778">
        <f>VLOOKUP(D778,Товары!A:I,4,0)</f>
        <v>15810</v>
      </c>
      <c r="K778">
        <f t="shared" si="12"/>
        <v>31620</v>
      </c>
    </row>
    <row r="779" spans="1:11" hidden="1" x14ac:dyDescent="0.25">
      <c r="A779">
        <v>778</v>
      </c>
      <c r="B779" s="1">
        <v>45755</v>
      </c>
      <c r="C779" t="s">
        <v>63</v>
      </c>
      <c r="D779" t="s">
        <v>38</v>
      </c>
      <c r="E779" t="s">
        <v>13</v>
      </c>
      <c r="F779">
        <v>3</v>
      </c>
      <c r="G779" t="str">
        <f>VLOOKUP(D779,Товары!A:I,3,0)</f>
        <v>Тумба с раковиной  навес. Куба Риф 600 белый 2 ящика с умыв. Como</v>
      </c>
      <c r="H779">
        <f>VLOOKUP(D779,Товары!A:I,6,0)</f>
        <v>55</v>
      </c>
      <c r="I779" t="str">
        <f>VLOOKUP(C779,Магазины!A:C,3,0)</f>
        <v>Ставрополь</v>
      </c>
      <c r="J779">
        <f>VLOOKUP(D779,Товары!A:I,4,0)</f>
        <v>14265</v>
      </c>
      <c r="K779">
        <f t="shared" si="12"/>
        <v>42795</v>
      </c>
    </row>
    <row r="780" spans="1:11" hidden="1" x14ac:dyDescent="0.25">
      <c r="A780">
        <v>779</v>
      </c>
      <c r="B780" s="1">
        <v>45749</v>
      </c>
      <c r="C780" t="s">
        <v>103</v>
      </c>
      <c r="D780" t="s">
        <v>64</v>
      </c>
      <c r="E780" t="s">
        <v>8</v>
      </c>
      <c r="F780">
        <v>3</v>
      </c>
      <c r="G780" t="str">
        <f>VLOOKUP(D780,Товары!A:I,3,0)</f>
        <v>Тумба с раковиной  напол. Рица 800 антрацит 2 ящика с умыв. Слим</v>
      </c>
      <c r="H780">
        <f>VLOOKUP(D780,Товары!A:I,6,0)</f>
        <v>80</v>
      </c>
      <c r="I780" t="str">
        <f>VLOOKUP(C780,Магазины!A:C,3,0)</f>
        <v>Ставрополь</v>
      </c>
      <c r="J780">
        <f>VLOOKUP(D780,Товары!A:I,4,0)</f>
        <v>28980</v>
      </c>
      <c r="K780">
        <f t="shared" si="12"/>
        <v>86940</v>
      </c>
    </row>
    <row r="781" spans="1:11" hidden="1" x14ac:dyDescent="0.25">
      <c r="A781">
        <v>780</v>
      </c>
      <c r="B781" s="1">
        <v>45755</v>
      </c>
      <c r="C781" t="s">
        <v>48</v>
      </c>
      <c r="D781" t="s">
        <v>47</v>
      </c>
      <c r="E781" t="s">
        <v>8</v>
      </c>
      <c r="F781">
        <v>3</v>
      </c>
      <c r="G781" t="str">
        <f>VLOOKUP(D781,Товары!A:I,3,0)</f>
        <v>Пенал напол. Кристалл 350 шато азур 2 двери</v>
      </c>
      <c r="H781">
        <f>VLOOKUP(D781,Товары!A:I,6,0)</f>
        <v>190</v>
      </c>
      <c r="I781" t="str">
        <f>VLOOKUP(C781,Магазины!A:C,3,0)</f>
        <v>Ставрополь</v>
      </c>
      <c r="J781">
        <f>VLOOKUP(D781,Товары!A:I,4,0)</f>
        <v>15810</v>
      </c>
      <c r="K781">
        <f t="shared" si="12"/>
        <v>47430</v>
      </c>
    </row>
    <row r="782" spans="1:11" hidden="1" x14ac:dyDescent="0.25">
      <c r="A782">
        <v>781</v>
      </c>
      <c r="B782" s="1">
        <v>45754</v>
      </c>
      <c r="C782" t="s">
        <v>11</v>
      </c>
      <c r="D782" t="s">
        <v>27</v>
      </c>
      <c r="E782" t="s">
        <v>8</v>
      </c>
      <c r="F782">
        <v>2</v>
      </c>
      <c r="G782" t="str">
        <f>VLOOKUP(D782,Товары!A:I,3,0)</f>
        <v>Тумба с раковиной  навес. Виктория 800 белый 2 ящика с умыв. Слим</v>
      </c>
      <c r="H782">
        <f>VLOOKUP(D782,Товары!A:I,6,0)</f>
        <v>60</v>
      </c>
      <c r="I782" t="str">
        <f>VLOOKUP(C782,Магазины!A:C,3,0)</f>
        <v>Кемерово</v>
      </c>
      <c r="J782">
        <f>VLOOKUP(D782,Товары!A:I,4,0)</f>
        <v>25290</v>
      </c>
      <c r="K782">
        <f t="shared" si="12"/>
        <v>50580</v>
      </c>
    </row>
    <row r="783" spans="1:11" hidden="1" x14ac:dyDescent="0.25">
      <c r="A783">
        <v>782</v>
      </c>
      <c r="B783" s="1">
        <v>45752</v>
      </c>
      <c r="C783" t="s">
        <v>58</v>
      </c>
      <c r="D783" t="s">
        <v>55</v>
      </c>
      <c r="E783" t="s">
        <v>8</v>
      </c>
      <c r="F783">
        <v>2</v>
      </c>
      <c r="G783" t="str">
        <f>VLOOKUP(D783,Товары!A:I,3,0)</f>
        <v>Тумба с раковиной  напол. Рица 600 cерый/керамика 2 ящика с умыв. Океан</v>
      </c>
      <c r="H783">
        <f>VLOOKUP(D783,Товары!A:I,6,0)</f>
        <v>80</v>
      </c>
      <c r="I783" t="str">
        <f>VLOOKUP(C783,Магазины!A:C,3,0)</f>
        <v>Ставрополь</v>
      </c>
      <c r="J783">
        <f>VLOOKUP(D783,Товары!A:I,4,0)</f>
        <v>25560</v>
      </c>
      <c r="K783">
        <f t="shared" si="12"/>
        <v>51120</v>
      </c>
    </row>
    <row r="784" spans="1:11" hidden="1" x14ac:dyDescent="0.25">
      <c r="A784">
        <v>783</v>
      </c>
      <c r="B784" s="1">
        <v>45751</v>
      </c>
      <c r="C784" t="s">
        <v>26</v>
      </c>
      <c r="D784" t="s">
        <v>73</v>
      </c>
      <c r="E784" t="s">
        <v>13</v>
      </c>
      <c r="F784">
        <v>3</v>
      </c>
      <c r="G784" t="str">
        <f>VLOOKUP(D784,Товары!A:I,3,0)</f>
        <v>Зеркальный шкаф Альба 70 со светильником правый цвет антрацит</v>
      </c>
      <c r="H784">
        <f>VLOOKUP(D784,Товары!A:I,6,0)</f>
        <v>75</v>
      </c>
      <c r="I784" t="str">
        <f>VLOOKUP(C784,Магазины!A:C,3,0)</f>
        <v>Оренбург</v>
      </c>
      <c r="J784">
        <f>VLOOKUP(D784,Товары!A:I,4,0)</f>
        <v>9615</v>
      </c>
      <c r="K784">
        <f t="shared" si="12"/>
        <v>28845</v>
      </c>
    </row>
    <row r="785" spans="1:11" hidden="1" x14ac:dyDescent="0.25">
      <c r="A785">
        <v>784</v>
      </c>
      <c r="B785" s="1">
        <v>45753</v>
      </c>
      <c r="C785" t="s">
        <v>63</v>
      </c>
      <c r="D785" t="s">
        <v>71</v>
      </c>
      <c r="E785" t="s">
        <v>8</v>
      </c>
      <c r="F785">
        <v>1</v>
      </c>
      <c r="G785" t="str">
        <f>VLOOKUP(D785,Товары!A:I,3,0)</f>
        <v>Тумба с раковиной  навес. Альба 600 мята 2 ящика с умыв. Океан</v>
      </c>
      <c r="H785">
        <f>VLOOKUP(D785,Товары!A:I,6,0)</f>
        <v>50</v>
      </c>
      <c r="I785" t="str">
        <f>VLOOKUP(C785,Магазины!A:C,3,0)</f>
        <v>Ставрополь</v>
      </c>
      <c r="J785">
        <f>VLOOKUP(D785,Товары!A:I,4,0)</f>
        <v>24810</v>
      </c>
      <c r="K785">
        <f t="shared" si="12"/>
        <v>24810</v>
      </c>
    </row>
    <row r="786" spans="1:11" hidden="1" x14ac:dyDescent="0.25">
      <c r="A786">
        <v>785</v>
      </c>
      <c r="B786" s="1">
        <v>45756</v>
      </c>
      <c r="C786" t="s">
        <v>16</v>
      </c>
      <c r="D786" t="s">
        <v>52</v>
      </c>
      <c r="E786" t="s">
        <v>8</v>
      </c>
      <c r="F786">
        <v>3</v>
      </c>
      <c r="G786" t="str">
        <f>VLOOKUP(D786,Товары!A:I,3,0)</f>
        <v>Тумба с раковиной  напол. Кристалл 600 суфле 2 ящика с умыв. Океан</v>
      </c>
      <c r="H786">
        <f>VLOOKUP(D786,Товары!A:I,6,0)</f>
        <v>80</v>
      </c>
      <c r="I786" t="str">
        <f>VLOOKUP(C786,Магазины!A:C,3,0)</f>
        <v>Оренбург</v>
      </c>
      <c r="J786">
        <f>VLOOKUP(D786,Товары!A:I,4,0)</f>
        <v>27600</v>
      </c>
      <c r="K786">
        <f t="shared" si="12"/>
        <v>82800</v>
      </c>
    </row>
    <row r="787" spans="1:11" hidden="1" x14ac:dyDescent="0.25">
      <c r="A787">
        <v>786</v>
      </c>
      <c r="B787" s="1">
        <v>45756</v>
      </c>
      <c r="C787" t="s">
        <v>28</v>
      </c>
      <c r="D787" t="s">
        <v>113</v>
      </c>
      <c r="E787" t="s">
        <v>13</v>
      </c>
      <c r="F787">
        <v>1</v>
      </c>
      <c r="G787" t="str">
        <f>VLOOKUP(D787,Товары!A:I,3,0)</f>
        <v>Зеркальный шкаф Альба 60 со светильником правый цвет мята</v>
      </c>
      <c r="H787">
        <f>VLOOKUP(D787,Товары!A:I,6,0)</f>
        <v>75</v>
      </c>
      <c r="I787" t="str">
        <f>VLOOKUP(C787,Магазины!A:C,3,0)</f>
        <v>Набережные Челны</v>
      </c>
      <c r="J787">
        <f>VLOOKUP(D787,Товары!A:I,4,0)</f>
        <v>8910</v>
      </c>
      <c r="K787">
        <f t="shared" si="12"/>
        <v>8910</v>
      </c>
    </row>
    <row r="788" spans="1:11" hidden="1" x14ac:dyDescent="0.25">
      <c r="A788">
        <v>787</v>
      </c>
      <c r="B788" s="1">
        <v>45750</v>
      </c>
      <c r="C788" t="s">
        <v>26</v>
      </c>
      <c r="D788" t="s">
        <v>88</v>
      </c>
      <c r="E788" t="s">
        <v>13</v>
      </c>
      <c r="F788">
        <v>2</v>
      </c>
      <c r="G788" t="str">
        <f>VLOOKUP(D788,Товары!A:I,3,0)</f>
        <v>Тумба с раковиной  навес. Альба 800 антрацит 2 ящика с умыв. Слим</v>
      </c>
      <c r="H788">
        <f>VLOOKUP(D788,Товары!A:I,6,0)</f>
        <v>50</v>
      </c>
      <c r="I788" t="str">
        <f>VLOOKUP(C788,Магазины!A:C,3,0)</f>
        <v>Оренбург</v>
      </c>
      <c r="J788">
        <f>VLOOKUP(D788,Товары!A:I,4,0)</f>
        <v>26070</v>
      </c>
      <c r="K788">
        <f t="shared" si="12"/>
        <v>52140</v>
      </c>
    </row>
    <row r="789" spans="1:11" hidden="1" x14ac:dyDescent="0.25">
      <c r="A789">
        <v>788</v>
      </c>
      <c r="B789" s="1">
        <v>45755</v>
      </c>
      <c r="C789" t="s">
        <v>20</v>
      </c>
      <c r="D789" t="s">
        <v>66</v>
      </c>
      <c r="E789" t="s">
        <v>8</v>
      </c>
      <c r="F789">
        <v>3</v>
      </c>
      <c r="G789" t="str">
        <f>VLOOKUP(D789,Товары!A:I,3,0)</f>
        <v>Тумба с раковиной  навес. Альба 800 мята 2 ящика с умыв. Слим</v>
      </c>
      <c r="H789">
        <f>VLOOKUP(D789,Товары!A:I,6,0)</f>
        <v>50</v>
      </c>
      <c r="I789" t="str">
        <f>VLOOKUP(C789,Магазины!A:C,3,0)</f>
        <v>Оренбург</v>
      </c>
      <c r="J789">
        <f>VLOOKUP(D789,Товары!A:I,4,0)</f>
        <v>26070</v>
      </c>
      <c r="K789">
        <f t="shared" si="12"/>
        <v>78210</v>
      </c>
    </row>
    <row r="790" spans="1:11" hidden="1" x14ac:dyDescent="0.25">
      <c r="A790">
        <v>789</v>
      </c>
      <c r="B790" s="1">
        <v>45754</v>
      </c>
      <c r="C790" t="s">
        <v>18</v>
      </c>
      <c r="D790" t="s">
        <v>25</v>
      </c>
      <c r="E790" t="s">
        <v>13</v>
      </c>
      <c r="F790">
        <v>1</v>
      </c>
      <c r="G790" t="str">
        <f>VLOOKUP(D790,Товары!A:I,3,0)</f>
        <v>Пенал напол. Леон 400 оникс 2 двери + 1 ящик</v>
      </c>
      <c r="H790">
        <f>VLOOKUP(D790,Товары!A:I,6,0)</f>
        <v>190</v>
      </c>
      <c r="I790" t="str">
        <f>VLOOKUP(C790,Магазины!A:C,3,0)</f>
        <v>Набережные Челны</v>
      </c>
      <c r="J790">
        <f>VLOOKUP(D790,Товары!A:I,4,0)</f>
        <v>18450</v>
      </c>
      <c r="K790">
        <f t="shared" si="12"/>
        <v>18450</v>
      </c>
    </row>
    <row r="791" spans="1:11" hidden="1" x14ac:dyDescent="0.25">
      <c r="A791">
        <v>790</v>
      </c>
      <c r="B791" s="1">
        <v>45748</v>
      </c>
      <c r="C791" t="s">
        <v>57</v>
      </c>
      <c r="D791" t="s">
        <v>84</v>
      </c>
      <c r="E791" t="s">
        <v>8</v>
      </c>
      <c r="F791">
        <v>3</v>
      </c>
      <c r="G791" t="str">
        <f>VLOOKUP(D791,Товары!A:I,3,0)</f>
        <v>Тумба с раковиной  напол. Куба Риф 800 белый 3 двери с умыв. Слим</v>
      </c>
      <c r="H791">
        <f>VLOOKUP(D791,Товары!A:I,6,0)</f>
        <v>85</v>
      </c>
      <c r="I791" t="str">
        <f>VLOOKUP(C791,Магазины!A:C,3,0)</f>
        <v>Оренбург</v>
      </c>
      <c r="J791">
        <f>VLOOKUP(D791,Товары!A:I,4,0)</f>
        <v>19920</v>
      </c>
      <c r="K791">
        <f t="shared" si="12"/>
        <v>59760</v>
      </c>
    </row>
    <row r="792" spans="1:11" hidden="1" x14ac:dyDescent="0.25">
      <c r="A792">
        <v>791</v>
      </c>
      <c r="B792" s="1">
        <v>45755</v>
      </c>
      <c r="C792" t="s">
        <v>63</v>
      </c>
      <c r="D792" t="s">
        <v>118</v>
      </c>
      <c r="E792" t="s">
        <v>8</v>
      </c>
      <c r="F792">
        <v>2</v>
      </c>
      <c r="G792" t="str">
        <f>VLOOKUP(D792,Товары!A:I,3,0)</f>
        <v>Тумба с раковиной  напол. Сохо 800 белый 2 ящика с умыв. Слим</v>
      </c>
      <c r="H792">
        <f>VLOOKUP(D792,Товары!A:I,6,0)</f>
        <v>85</v>
      </c>
      <c r="I792" t="str">
        <f>VLOOKUP(C792,Магазины!A:C,3,0)</f>
        <v>Ставрополь</v>
      </c>
      <c r="J792">
        <f>VLOOKUP(D792,Товары!A:I,4,0)</f>
        <v>19575</v>
      </c>
      <c r="K792">
        <f t="shared" si="12"/>
        <v>39150</v>
      </c>
    </row>
    <row r="793" spans="1:11" hidden="1" x14ac:dyDescent="0.25">
      <c r="A793">
        <v>792</v>
      </c>
      <c r="B793" s="1">
        <v>45756</v>
      </c>
      <c r="C793" t="s">
        <v>43</v>
      </c>
      <c r="D793" t="s">
        <v>38</v>
      </c>
      <c r="E793" t="s">
        <v>13</v>
      </c>
      <c r="F793">
        <v>2</v>
      </c>
      <c r="G793" t="str">
        <f>VLOOKUP(D793,Товары!A:I,3,0)</f>
        <v>Тумба с раковиной  навес. Куба Риф 600 белый 2 ящика с умыв. Como</v>
      </c>
      <c r="H793">
        <f>VLOOKUP(D793,Товары!A:I,6,0)</f>
        <v>55</v>
      </c>
      <c r="I793" t="str">
        <f>VLOOKUP(C793,Магазины!A:C,3,0)</f>
        <v>Набережные Челны</v>
      </c>
      <c r="J793">
        <f>VLOOKUP(D793,Товары!A:I,4,0)</f>
        <v>14265</v>
      </c>
      <c r="K793">
        <f t="shared" si="12"/>
        <v>28530</v>
      </c>
    </row>
    <row r="794" spans="1:11" hidden="1" x14ac:dyDescent="0.25">
      <c r="A794">
        <v>793</v>
      </c>
      <c r="B794" s="1">
        <v>45752</v>
      </c>
      <c r="C794" t="s">
        <v>92</v>
      </c>
      <c r="D794" t="s">
        <v>116</v>
      </c>
      <c r="E794" t="s">
        <v>13</v>
      </c>
      <c r="F794">
        <v>3</v>
      </c>
      <c r="G794" t="str">
        <f>VLOOKUP(D794,Товары!A:I,3,0)</f>
        <v>Зеркало Нева 60 дуб/белый со светильником</v>
      </c>
      <c r="H794">
        <f>VLOOKUP(D794,Товары!A:I,6,0)</f>
        <v>80</v>
      </c>
      <c r="I794" t="str">
        <f>VLOOKUP(C794,Магазины!A:C,3,0)</f>
        <v>Кемерово</v>
      </c>
      <c r="J794">
        <f>VLOOKUP(D794,Товары!A:I,4,0)</f>
        <v>5100</v>
      </c>
      <c r="K794">
        <f t="shared" si="12"/>
        <v>15300</v>
      </c>
    </row>
    <row r="795" spans="1:11" hidden="1" x14ac:dyDescent="0.25">
      <c r="A795">
        <v>794</v>
      </c>
      <c r="B795" s="1">
        <v>45754</v>
      </c>
      <c r="C795" t="s">
        <v>6</v>
      </c>
      <c r="D795" t="s">
        <v>125</v>
      </c>
      <c r="E795" t="s">
        <v>8</v>
      </c>
      <c r="F795">
        <v>2</v>
      </c>
      <c r="G795" t="str">
        <f>VLOOKUP(D795,Товары!A:I,3,0)</f>
        <v>Зеркальный шкаф Сохо 60 белый со светильником правый цвет Белый глянец</v>
      </c>
      <c r="H795">
        <f>VLOOKUP(D795,Товары!A:I,6,0)</f>
        <v>75</v>
      </c>
      <c r="I795" t="str">
        <f>VLOOKUP(C795,Магазины!A:C,3,0)</f>
        <v>Оренбург</v>
      </c>
      <c r="J795">
        <f>VLOOKUP(D795,Товары!A:I,4,0)</f>
        <v>7395</v>
      </c>
      <c r="K795">
        <f t="shared" si="12"/>
        <v>14790</v>
      </c>
    </row>
    <row r="796" spans="1:11" hidden="1" x14ac:dyDescent="0.25">
      <c r="A796">
        <v>795</v>
      </c>
      <c r="B796" s="1">
        <v>45755</v>
      </c>
      <c r="C796" t="s">
        <v>111</v>
      </c>
      <c r="D796" t="s">
        <v>52</v>
      </c>
      <c r="E796" t="s">
        <v>13</v>
      </c>
      <c r="F796">
        <v>2</v>
      </c>
      <c r="G796" t="str">
        <f>VLOOKUP(D796,Товары!A:I,3,0)</f>
        <v>Тумба с раковиной  напол. Кристалл 600 суфле 2 ящика с умыв. Океан</v>
      </c>
      <c r="H796">
        <f>VLOOKUP(D796,Товары!A:I,6,0)</f>
        <v>80</v>
      </c>
      <c r="I796" t="str">
        <f>VLOOKUP(C796,Магазины!A:C,3,0)</f>
        <v>Набережные Челны</v>
      </c>
      <c r="J796">
        <f>VLOOKUP(D796,Товары!A:I,4,0)</f>
        <v>27600</v>
      </c>
      <c r="K796">
        <f t="shared" si="12"/>
        <v>55200</v>
      </c>
    </row>
    <row r="797" spans="1:11" hidden="1" x14ac:dyDescent="0.25">
      <c r="A797">
        <v>796</v>
      </c>
      <c r="B797" s="1">
        <v>45756</v>
      </c>
      <c r="C797" t="s">
        <v>54</v>
      </c>
      <c r="D797" t="s">
        <v>90</v>
      </c>
      <c r="E797" t="s">
        <v>8</v>
      </c>
      <c r="F797">
        <v>3</v>
      </c>
      <c r="G797" t="str">
        <f>VLOOKUP(D797,Товары!A:I,3,0)</f>
        <v>Пенал напол. Аква 350 белый 2 двери + 2 ящика</v>
      </c>
      <c r="H797">
        <f>VLOOKUP(D797,Товары!A:I,6,0)</f>
        <v>190</v>
      </c>
      <c r="I797" t="str">
        <f>VLOOKUP(C797,Магазины!A:C,3,0)</f>
        <v>Ставрополь</v>
      </c>
      <c r="J797">
        <f>VLOOKUP(D797,Товары!A:I,4,0)</f>
        <v>10650</v>
      </c>
      <c r="K797">
        <f t="shared" si="12"/>
        <v>31950</v>
      </c>
    </row>
    <row r="798" spans="1:11" hidden="1" x14ac:dyDescent="0.25">
      <c r="A798">
        <v>797</v>
      </c>
      <c r="B798" s="1">
        <v>45750</v>
      </c>
      <c r="C798" t="s">
        <v>11</v>
      </c>
      <c r="D798" t="s">
        <v>40</v>
      </c>
      <c r="E798" t="s">
        <v>13</v>
      </c>
      <c r="F798">
        <v>1</v>
      </c>
      <c r="G798" t="str">
        <f>VLOOKUP(D798,Товары!A:I,3,0)</f>
        <v>Тумба с раковиной  навес. Рица 800 cерый/керамика 1 ящик + ниша 1 с умыв. Слим</v>
      </c>
      <c r="H798">
        <f>VLOOKUP(D798,Товары!A:I,6,0)</f>
        <v>60</v>
      </c>
      <c r="I798" t="str">
        <f>VLOOKUP(C798,Магазины!A:C,3,0)</f>
        <v>Кемерово</v>
      </c>
      <c r="J798">
        <f>VLOOKUP(D798,Товары!A:I,4,0)</f>
        <v>22425</v>
      </c>
      <c r="K798">
        <f t="shared" si="12"/>
        <v>22425</v>
      </c>
    </row>
    <row r="799" spans="1:11" hidden="1" x14ac:dyDescent="0.25">
      <c r="A799">
        <v>798</v>
      </c>
      <c r="B799" s="1">
        <v>45750</v>
      </c>
      <c r="C799" t="s">
        <v>18</v>
      </c>
      <c r="D799" t="s">
        <v>7</v>
      </c>
      <c r="E799" t="s">
        <v>8</v>
      </c>
      <c r="F799">
        <v>1</v>
      </c>
      <c r="G799" t="str">
        <f>VLOOKUP(D799,Товары!A:I,3,0)</f>
        <v>Пенал напол. Леон Риф 400 солярис/белый риф 2 двери + 1 ящик</v>
      </c>
      <c r="H799">
        <f>VLOOKUP(D799,Товары!A:I,6,0)</f>
        <v>190</v>
      </c>
      <c r="I799" t="str">
        <f>VLOOKUP(C799,Магазины!A:C,3,0)</f>
        <v>Набережные Челны</v>
      </c>
      <c r="J799">
        <f>VLOOKUP(D799,Товары!A:I,4,0)</f>
        <v>14490</v>
      </c>
      <c r="K799">
        <f t="shared" si="12"/>
        <v>14490</v>
      </c>
    </row>
    <row r="800" spans="1:11" hidden="1" x14ac:dyDescent="0.25">
      <c r="A800">
        <v>799</v>
      </c>
      <c r="B800" s="1">
        <v>45756</v>
      </c>
      <c r="C800" t="s">
        <v>16</v>
      </c>
      <c r="D800" t="s">
        <v>131</v>
      </c>
      <c r="E800" t="s">
        <v>8</v>
      </c>
      <c r="F800">
        <v>2</v>
      </c>
      <c r="G800" t="str">
        <f>VLOOKUP(D800,Товары!A:I,3,0)</f>
        <v>Тумба с раковиной  напол. Леон 800 форест 2 ящика с умыв. Слим</v>
      </c>
      <c r="H800">
        <f>VLOOKUP(D800,Товары!A:I,6,0)</f>
        <v>80</v>
      </c>
      <c r="I800" t="str">
        <f>VLOOKUP(C800,Магазины!A:C,3,0)</f>
        <v>Оренбург</v>
      </c>
      <c r="J800">
        <f>VLOOKUP(D800,Товары!A:I,4,0)</f>
        <v>29400</v>
      </c>
      <c r="K800">
        <f t="shared" si="12"/>
        <v>58800</v>
      </c>
    </row>
    <row r="801" spans="1:11" hidden="1" x14ac:dyDescent="0.25">
      <c r="A801">
        <v>800</v>
      </c>
      <c r="B801" s="1">
        <v>45757</v>
      </c>
      <c r="C801" t="s">
        <v>20</v>
      </c>
      <c r="D801" t="s">
        <v>82</v>
      </c>
      <c r="E801" t="s">
        <v>8</v>
      </c>
      <c r="F801">
        <v>3</v>
      </c>
      <c r="G801" t="str">
        <f>VLOOKUP(D801,Товары!A:I,3,0)</f>
        <v>Тумба с раковиной  навес. Леон 800 форест 2 ящика с умыв. Слим</v>
      </c>
      <c r="H801">
        <f>VLOOKUP(D801,Товары!A:I,6,0)</f>
        <v>60</v>
      </c>
      <c r="I801" t="str">
        <f>VLOOKUP(C801,Магазины!A:C,3,0)</f>
        <v>Оренбург</v>
      </c>
      <c r="J801">
        <f>VLOOKUP(D801,Товары!A:I,4,0)</f>
        <v>27930</v>
      </c>
      <c r="K801">
        <f t="shared" si="12"/>
        <v>83790</v>
      </c>
    </row>
    <row r="802" spans="1:11" hidden="1" x14ac:dyDescent="0.25">
      <c r="A802">
        <v>801</v>
      </c>
      <c r="B802" s="1">
        <v>45751</v>
      </c>
      <c r="C802" t="s">
        <v>28</v>
      </c>
      <c r="D802" t="s">
        <v>17</v>
      </c>
      <c r="E802" t="s">
        <v>13</v>
      </c>
      <c r="F802">
        <v>2</v>
      </c>
      <c r="G802" t="str">
        <f>VLOOKUP(D802,Товары!A:I,3,0)</f>
        <v>Тумба с раковиной  навес. Альба 800 антрацит 1 ящик с умыв. Слим</v>
      </c>
      <c r="H802">
        <f>VLOOKUP(D802,Товары!A:I,6,0)</f>
        <v>45</v>
      </c>
      <c r="I802" t="str">
        <f>VLOOKUP(C802,Магазины!A:C,3,0)</f>
        <v>Набережные Челны</v>
      </c>
      <c r="J802">
        <f>VLOOKUP(D802,Товары!A:I,4,0)</f>
        <v>21630</v>
      </c>
      <c r="K802">
        <f t="shared" si="12"/>
        <v>43260</v>
      </c>
    </row>
    <row r="803" spans="1:11" hidden="1" x14ac:dyDescent="0.25">
      <c r="A803">
        <v>802</v>
      </c>
      <c r="B803" s="1">
        <v>45757</v>
      </c>
      <c r="C803" t="s">
        <v>14</v>
      </c>
      <c r="D803" t="s">
        <v>88</v>
      </c>
      <c r="E803" t="s">
        <v>13</v>
      </c>
      <c r="F803">
        <v>3</v>
      </c>
      <c r="G803" t="str">
        <f>VLOOKUP(D803,Товары!A:I,3,0)</f>
        <v>Тумба с раковиной  навес. Альба 800 антрацит 2 ящика с умыв. Слим</v>
      </c>
      <c r="H803">
        <f>VLOOKUP(D803,Товары!A:I,6,0)</f>
        <v>50</v>
      </c>
      <c r="I803" t="str">
        <f>VLOOKUP(C803,Магазины!A:C,3,0)</f>
        <v>Оренбург</v>
      </c>
      <c r="J803">
        <f>VLOOKUP(D803,Товары!A:I,4,0)</f>
        <v>26070</v>
      </c>
      <c r="K803">
        <f t="shared" si="12"/>
        <v>78210</v>
      </c>
    </row>
    <row r="804" spans="1:11" hidden="1" x14ac:dyDescent="0.25">
      <c r="A804">
        <v>803</v>
      </c>
      <c r="B804" s="1">
        <v>45756</v>
      </c>
      <c r="C804" t="s">
        <v>9</v>
      </c>
      <c r="D804" t="s">
        <v>117</v>
      </c>
      <c r="E804" t="s">
        <v>13</v>
      </c>
      <c r="F804">
        <v>1</v>
      </c>
      <c r="G804" t="str">
        <f>VLOOKUP(D804,Товары!A:I,3,0)</f>
        <v>Тумба с раковиной  навес. Альба 700 антрацит 2 ящика с умыв. Слим</v>
      </c>
      <c r="H804">
        <f>VLOOKUP(D804,Товары!A:I,6,0)</f>
        <v>60</v>
      </c>
      <c r="I804" t="str">
        <f>VLOOKUP(C804,Магазины!A:C,3,0)</f>
        <v>Кемерово</v>
      </c>
      <c r="J804">
        <f>VLOOKUP(D804,Товары!A:I,4,0)</f>
        <v>25095</v>
      </c>
      <c r="K804">
        <f t="shared" si="12"/>
        <v>25095</v>
      </c>
    </row>
    <row r="805" spans="1:11" hidden="1" x14ac:dyDescent="0.25">
      <c r="A805">
        <v>804</v>
      </c>
      <c r="B805" s="1">
        <v>45749</v>
      </c>
      <c r="C805" t="s">
        <v>28</v>
      </c>
      <c r="D805" t="s">
        <v>124</v>
      </c>
      <c r="E805" t="s">
        <v>8</v>
      </c>
      <c r="F805">
        <v>2</v>
      </c>
      <c r="G805" t="str">
        <f>VLOOKUP(D805,Товары!A:I,3,0)</f>
        <v>Тумба с раковиной  напол. Леон 600 оникс 2 ящика с умыв. Океан</v>
      </c>
      <c r="H805">
        <f>VLOOKUP(D805,Товары!A:I,6,0)</f>
        <v>80</v>
      </c>
      <c r="I805" t="str">
        <f>VLOOKUP(C805,Магазины!A:C,3,0)</f>
        <v>Набережные Челны</v>
      </c>
      <c r="J805">
        <f>VLOOKUP(D805,Товары!A:I,4,0)</f>
        <v>25860</v>
      </c>
      <c r="K805">
        <f t="shared" si="12"/>
        <v>51720</v>
      </c>
    </row>
    <row r="806" spans="1:11" hidden="1" x14ac:dyDescent="0.25">
      <c r="A806">
        <v>805</v>
      </c>
      <c r="B806" s="1">
        <v>45757</v>
      </c>
      <c r="C806" t="s">
        <v>35</v>
      </c>
      <c r="D806" t="s">
        <v>100</v>
      </c>
      <c r="E806" t="s">
        <v>8</v>
      </c>
      <c r="F806">
        <v>3</v>
      </c>
      <c r="G806" t="str">
        <f>VLOOKUP(D806,Товары!A:I,3,0)</f>
        <v>Тумба с раковиной  навес. Альба 800 мята 1 ящик с умыв. Слим</v>
      </c>
      <c r="H806">
        <f>VLOOKUP(D806,Товары!A:I,6,0)</f>
        <v>45</v>
      </c>
      <c r="I806" t="str">
        <f>VLOOKUP(C806,Магазины!A:C,3,0)</f>
        <v>Набережные Челны</v>
      </c>
      <c r="J806">
        <f>VLOOKUP(D806,Товары!A:I,4,0)</f>
        <v>21630</v>
      </c>
      <c r="K806">
        <f t="shared" si="12"/>
        <v>64890</v>
      </c>
    </row>
    <row r="807" spans="1:11" hidden="1" x14ac:dyDescent="0.25">
      <c r="A807">
        <v>806</v>
      </c>
      <c r="B807" s="1">
        <v>45755</v>
      </c>
      <c r="C807" t="s">
        <v>20</v>
      </c>
      <c r="D807" t="s">
        <v>45</v>
      </c>
      <c r="E807" t="s">
        <v>13</v>
      </c>
      <c r="F807">
        <v>2</v>
      </c>
      <c r="G807" t="str">
        <f>VLOOKUP(D807,Товары!A:I,3,0)</f>
        <v>Зеркальный шкаф Рица 80 со светильником правый цвет cерый/керамика</v>
      </c>
      <c r="H807">
        <f>VLOOKUP(D807,Товары!A:I,6,0)</f>
        <v>75</v>
      </c>
      <c r="I807" t="str">
        <f>VLOOKUP(C807,Магазины!A:C,3,0)</f>
        <v>Оренбург</v>
      </c>
      <c r="J807">
        <f>VLOOKUP(D807,Товары!A:I,4,0)</f>
        <v>9930</v>
      </c>
      <c r="K807">
        <f t="shared" si="12"/>
        <v>19860</v>
      </c>
    </row>
    <row r="808" spans="1:11" hidden="1" x14ac:dyDescent="0.25">
      <c r="A808">
        <v>807</v>
      </c>
      <c r="B808" s="1">
        <v>45756</v>
      </c>
      <c r="C808" t="s">
        <v>6</v>
      </c>
      <c r="D808" t="s">
        <v>124</v>
      </c>
      <c r="E808" t="s">
        <v>13</v>
      </c>
      <c r="F808">
        <v>1</v>
      </c>
      <c r="G808" t="str">
        <f>VLOOKUP(D808,Товары!A:I,3,0)</f>
        <v>Тумба с раковиной  напол. Леон 600 оникс 2 ящика с умыв. Океан</v>
      </c>
      <c r="H808">
        <f>VLOOKUP(D808,Товары!A:I,6,0)</f>
        <v>80</v>
      </c>
      <c r="I808" t="str">
        <f>VLOOKUP(C808,Магазины!A:C,3,0)</f>
        <v>Оренбург</v>
      </c>
      <c r="J808">
        <f>VLOOKUP(D808,Товары!A:I,4,0)</f>
        <v>25860</v>
      </c>
      <c r="K808">
        <f t="shared" si="12"/>
        <v>25860</v>
      </c>
    </row>
    <row r="809" spans="1:11" hidden="1" x14ac:dyDescent="0.25">
      <c r="A809">
        <v>808</v>
      </c>
      <c r="B809" s="1">
        <v>45755</v>
      </c>
      <c r="C809" t="s">
        <v>6</v>
      </c>
      <c r="D809" t="s">
        <v>29</v>
      </c>
      <c r="E809" t="s">
        <v>8</v>
      </c>
      <c r="F809">
        <v>2</v>
      </c>
      <c r="G809" t="str">
        <f>VLOOKUP(D809,Товары!A:I,3,0)</f>
        <v>Тумба с раковиной  напол. Леон Риф 600 солярис/белый риф 2 ящика с умыв. Океан</v>
      </c>
      <c r="H809">
        <f>VLOOKUP(D809,Товары!A:I,6,0)</f>
        <v>80</v>
      </c>
      <c r="I809" t="str">
        <f>VLOOKUP(C809,Магазины!A:C,3,0)</f>
        <v>Оренбург</v>
      </c>
      <c r="J809">
        <f>VLOOKUP(D809,Товары!A:I,4,0)</f>
        <v>24150</v>
      </c>
      <c r="K809">
        <f t="shared" si="12"/>
        <v>48300</v>
      </c>
    </row>
    <row r="810" spans="1:11" hidden="1" x14ac:dyDescent="0.25">
      <c r="A810">
        <v>809</v>
      </c>
      <c r="B810" s="1">
        <v>45757</v>
      </c>
      <c r="C810" t="s">
        <v>26</v>
      </c>
      <c r="D810" t="s">
        <v>115</v>
      </c>
      <c r="E810" t="s">
        <v>8</v>
      </c>
      <c r="F810">
        <v>3</v>
      </c>
      <c r="G810" t="str">
        <f>VLOOKUP(D810,Товары!A:I,3,0)</f>
        <v>Тумба под стиральную машину Куба Риф 57 напольная 2 ящика под ст/маш, без умывальника /под Marshall 120 Белый</v>
      </c>
      <c r="H810">
        <f>VLOOKUP(D810,Товары!A:I,6,0)</f>
        <v>85</v>
      </c>
      <c r="I810" t="str">
        <f>VLOOKUP(C810,Магазины!A:C,3,0)</f>
        <v>Оренбург</v>
      </c>
      <c r="J810">
        <f>VLOOKUP(D810,Товары!A:I,4,0)</f>
        <v>10530</v>
      </c>
      <c r="K810">
        <f t="shared" si="12"/>
        <v>31590</v>
      </c>
    </row>
    <row r="811" spans="1:11" hidden="1" x14ac:dyDescent="0.25">
      <c r="A811">
        <v>810</v>
      </c>
      <c r="B811" s="1">
        <v>45757</v>
      </c>
      <c r="C811" t="s">
        <v>57</v>
      </c>
      <c r="D811" t="s">
        <v>95</v>
      </c>
      <c r="E811" t="s">
        <v>13</v>
      </c>
      <c r="F811">
        <v>1</v>
      </c>
      <c r="G811" t="str">
        <f>VLOOKUP(D811,Товары!A:I,3,0)</f>
        <v>Тумба с раковиной  напол. Рица 600 антрацит 2 ящика с умыв. Океан</v>
      </c>
      <c r="H811">
        <f>VLOOKUP(D811,Товары!A:I,6,0)</f>
        <v>80</v>
      </c>
      <c r="I811" t="str">
        <f>VLOOKUP(C811,Магазины!A:C,3,0)</f>
        <v>Оренбург</v>
      </c>
      <c r="J811">
        <f>VLOOKUP(D811,Товары!A:I,4,0)</f>
        <v>25560</v>
      </c>
      <c r="K811">
        <f t="shared" si="12"/>
        <v>25560</v>
      </c>
    </row>
    <row r="812" spans="1:11" hidden="1" x14ac:dyDescent="0.25">
      <c r="A812">
        <v>811</v>
      </c>
      <c r="B812" s="1">
        <v>45751</v>
      </c>
      <c r="C812" t="s">
        <v>18</v>
      </c>
      <c r="D812" t="s">
        <v>122</v>
      </c>
      <c r="E812" t="s">
        <v>8</v>
      </c>
      <c r="F812">
        <v>2</v>
      </c>
      <c r="G812" t="str">
        <f>VLOOKUP(D812,Товары!A:I,3,0)</f>
        <v>Тумба с раковиной  навес. Кристалл 600 шато азур 2 ящика с умыв. Океан</v>
      </c>
      <c r="H812">
        <f>VLOOKUP(D812,Товары!A:I,6,0)</f>
        <v>55</v>
      </c>
      <c r="I812" t="str">
        <f>VLOOKUP(C812,Магазины!A:C,3,0)</f>
        <v>Набережные Челны</v>
      </c>
      <c r="J812">
        <f>VLOOKUP(D812,Товары!A:I,4,0)</f>
        <v>21960</v>
      </c>
      <c r="K812">
        <f t="shared" si="12"/>
        <v>43920</v>
      </c>
    </row>
    <row r="813" spans="1:11" hidden="1" x14ac:dyDescent="0.25">
      <c r="A813">
        <v>812</v>
      </c>
      <c r="B813" s="1">
        <v>45752</v>
      </c>
      <c r="C813" t="s">
        <v>111</v>
      </c>
      <c r="D813" t="s">
        <v>129</v>
      </c>
      <c r="E813" t="s">
        <v>8</v>
      </c>
      <c r="F813">
        <v>2</v>
      </c>
      <c r="G813" t="str">
        <f>VLOOKUP(D813,Товары!A:I,3,0)</f>
        <v>Тумба с раковиной  напол. Альба 700 антрацит 2 ящика с умыв. Слим</v>
      </c>
      <c r="H813">
        <f>VLOOKUP(D813,Товары!A:I,6,0)</f>
        <v>85</v>
      </c>
      <c r="I813" t="str">
        <f>VLOOKUP(C813,Магазины!A:C,3,0)</f>
        <v>Набережные Челны</v>
      </c>
      <c r="J813">
        <f>VLOOKUP(D813,Товары!A:I,4,0)</f>
        <v>28695</v>
      </c>
      <c r="K813">
        <f t="shared" si="12"/>
        <v>57390</v>
      </c>
    </row>
    <row r="814" spans="1:11" hidden="1" x14ac:dyDescent="0.25">
      <c r="A814">
        <v>813</v>
      </c>
      <c r="B814" s="1">
        <v>45757</v>
      </c>
      <c r="C814" t="s">
        <v>14</v>
      </c>
      <c r="D814" t="s">
        <v>19</v>
      </c>
      <c r="E814" t="s">
        <v>8</v>
      </c>
      <c r="F814">
        <v>3</v>
      </c>
      <c r="G814" t="str">
        <f>VLOOKUP(D814,Товары!A:I,3,0)</f>
        <v>Тумба с раковиной  навес. Леон 800 оникс 2 ящика с умыв. Слим</v>
      </c>
      <c r="H814">
        <f>VLOOKUP(D814,Товары!A:I,6,0)</f>
        <v>60</v>
      </c>
      <c r="I814" t="str">
        <f>VLOOKUP(C814,Магазины!A:C,3,0)</f>
        <v>Оренбург</v>
      </c>
      <c r="J814">
        <f>VLOOKUP(D814,Товары!A:I,4,0)</f>
        <v>27930</v>
      </c>
      <c r="K814">
        <f t="shared" si="12"/>
        <v>83790</v>
      </c>
    </row>
    <row r="815" spans="1:11" hidden="1" x14ac:dyDescent="0.25">
      <c r="A815">
        <v>814</v>
      </c>
      <c r="B815" s="1">
        <v>45753</v>
      </c>
      <c r="C815" t="s">
        <v>41</v>
      </c>
      <c r="D815" t="s">
        <v>77</v>
      </c>
      <c r="E815" t="s">
        <v>13</v>
      </c>
      <c r="F815">
        <v>2</v>
      </c>
      <c r="G815" t="str">
        <f>VLOOKUP(D815,Товары!A:I,3,0)</f>
        <v>Тумба с раковиной  напол. Куба Риф 600 белый 2 ящика с умыв. Como</v>
      </c>
      <c r="H815">
        <f>VLOOKUP(D815,Товары!A:I,6,0)</f>
        <v>85</v>
      </c>
      <c r="I815" t="str">
        <f>VLOOKUP(C815,Магазины!A:C,3,0)</f>
        <v>Ставрополь</v>
      </c>
      <c r="J815">
        <f>VLOOKUP(D815,Товары!A:I,4,0)</f>
        <v>15660</v>
      </c>
      <c r="K815">
        <f t="shared" si="12"/>
        <v>31320</v>
      </c>
    </row>
    <row r="816" spans="1:11" hidden="1" x14ac:dyDescent="0.25">
      <c r="A816">
        <v>815</v>
      </c>
      <c r="B816" s="1">
        <v>45749</v>
      </c>
      <c r="C816" t="s">
        <v>30</v>
      </c>
      <c r="D816" t="s">
        <v>55</v>
      </c>
      <c r="E816" t="s">
        <v>13</v>
      </c>
      <c r="F816">
        <v>2</v>
      </c>
      <c r="G816" t="str">
        <f>VLOOKUP(D816,Товары!A:I,3,0)</f>
        <v>Тумба с раковиной  напол. Рица 600 cерый/керамика 2 ящика с умыв. Океан</v>
      </c>
      <c r="H816">
        <f>VLOOKUP(D816,Товары!A:I,6,0)</f>
        <v>80</v>
      </c>
      <c r="I816" t="str">
        <f>VLOOKUP(C816,Магазины!A:C,3,0)</f>
        <v>Кемерово</v>
      </c>
      <c r="J816">
        <f>VLOOKUP(D816,Товары!A:I,4,0)</f>
        <v>25560</v>
      </c>
      <c r="K816">
        <f t="shared" si="12"/>
        <v>51120</v>
      </c>
    </row>
    <row r="817" spans="1:11" hidden="1" x14ac:dyDescent="0.25">
      <c r="A817">
        <v>816</v>
      </c>
      <c r="B817" s="1">
        <v>45752</v>
      </c>
      <c r="C817" t="s">
        <v>9</v>
      </c>
      <c r="D817" t="s">
        <v>46</v>
      </c>
      <c r="E817" t="s">
        <v>13</v>
      </c>
      <c r="F817">
        <v>2</v>
      </c>
      <c r="G817" t="str">
        <f>VLOOKUP(D817,Товары!A:I,3,0)</f>
        <v>Тумба с раковиной  напол. Сохо 700 белый 2 ящика с умыв. Слим</v>
      </c>
      <c r="H817">
        <f>VLOOKUP(D817,Товары!A:I,6,0)</f>
        <v>85</v>
      </c>
      <c r="I817" t="str">
        <f>VLOOKUP(C817,Магазины!A:C,3,0)</f>
        <v>Кемерово</v>
      </c>
      <c r="J817">
        <f>VLOOKUP(D817,Товары!A:I,4,0)</f>
        <v>18405</v>
      </c>
      <c r="K817">
        <f t="shared" si="12"/>
        <v>36810</v>
      </c>
    </row>
    <row r="818" spans="1:11" hidden="1" x14ac:dyDescent="0.25">
      <c r="A818">
        <v>817</v>
      </c>
      <c r="B818" s="1">
        <v>45756</v>
      </c>
      <c r="C818" t="s">
        <v>111</v>
      </c>
      <c r="D818" t="s">
        <v>115</v>
      </c>
      <c r="E818" t="s">
        <v>13</v>
      </c>
      <c r="F818">
        <v>3</v>
      </c>
      <c r="G818" t="str">
        <f>VLOOKUP(D818,Товары!A:I,3,0)</f>
        <v>Тумба под стиральную машину Куба Риф 57 напольная 2 ящика под ст/маш, без умывальника /под Marshall 120 Белый</v>
      </c>
      <c r="H818">
        <f>VLOOKUP(D818,Товары!A:I,6,0)</f>
        <v>85</v>
      </c>
      <c r="I818" t="str">
        <f>VLOOKUP(C818,Магазины!A:C,3,0)</f>
        <v>Набережные Челны</v>
      </c>
      <c r="J818">
        <f>VLOOKUP(D818,Товары!A:I,4,0)</f>
        <v>10530</v>
      </c>
      <c r="K818">
        <f t="shared" si="12"/>
        <v>31590</v>
      </c>
    </row>
    <row r="819" spans="1:11" hidden="1" x14ac:dyDescent="0.25">
      <c r="A819">
        <v>818</v>
      </c>
      <c r="B819" s="1">
        <v>45751</v>
      </c>
      <c r="C819" t="s">
        <v>11</v>
      </c>
      <c r="D819" t="s">
        <v>114</v>
      </c>
      <c r="E819" t="s">
        <v>8</v>
      </c>
      <c r="F819">
        <v>2</v>
      </c>
      <c r="G819" t="str">
        <f>VLOOKUP(D819,Товары!A:I,3,0)</f>
        <v>Тумба с раковиной  навес. Альба 700 мята 2 ящика с умыв. Слим</v>
      </c>
      <c r="H819">
        <f>VLOOKUP(D819,Товары!A:I,6,0)</f>
        <v>60</v>
      </c>
      <c r="I819" t="str">
        <f>VLOOKUP(C819,Магазины!A:C,3,0)</f>
        <v>Кемерово</v>
      </c>
      <c r="J819">
        <f>VLOOKUP(D819,Товары!A:I,4,0)</f>
        <v>25095</v>
      </c>
      <c r="K819">
        <f t="shared" si="12"/>
        <v>50190</v>
      </c>
    </row>
    <row r="820" spans="1:11" hidden="1" x14ac:dyDescent="0.25">
      <c r="A820">
        <v>819</v>
      </c>
      <c r="B820" s="1">
        <v>45750</v>
      </c>
      <c r="C820" t="s">
        <v>111</v>
      </c>
      <c r="D820" t="s">
        <v>42</v>
      </c>
      <c r="E820" t="s">
        <v>13</v>
      </c>
      <c r="F820">
        <v>3</v>
      </c>
      <c r="G820" t="str">
        <f>VLOOKUP(D820,Товары!A:I,3,0)</f>
        <v>Тумба под стиральную машину Леон Риф 57 подвесная 2 ящика под ст/маш, без умывальника /под Marshall 120 Солярис/Белый Риф</v>
      </c>
      <c r="H820">
        <f>VLOOKUP(D820,Товары!A:I,6,0)</f>
        <v>60</v>
      </c>
      <c r="I820" t="str">
        <f>VLOOKUP(C820,Магазины!A:C,3,0)</f>
        <v>Набережные Челны</v>
      </c>
      <c r="J820">
        <f>VLOOKUP(D820,Товары!A:I,4,0)</f>
        <v>15495</v>
      </c>
      <c r="K820">
        <f t="shared" si="12"/>
        <v>46485</v>
      </c>
    </row>
    <row r="821" spans="1:11" hidden="1" x14ac:dyDescent="0.25">
      <c r="A821">
        <v>820</v>
      </c>
      <c r="B821" s="1">
        <v>45757</v>
      </c>
      <c r="C821" t="s">
        <v>16</v>
      </c>
      <c r="D821" t="s">
        <v>91</v>
      </c>
      <c r="E821" t="s">
        <v>8</v>
      </c>
      <c r="F821">
        <v>3</v>
      </c>
      <c r="G821" t="str">
        <f>VLOOKUP(D821,Товары!A:I,3,0)</f>
        <v>Пенал навес./напол. Альба 350 мята 2 двери</v>
      </c>
      <c r="H821">
        <f>VLOOKUP(D821,Товары!A:I,6,0)</f>
        <v>150</v>
      </c>
      <c r="I821" t="str">
        <f>VLOOKUP(C821,Магазины!A:C,3,0)</f>
        <v>Оренбург</v>
      </c>
      <c r="J821">
        <f>VLOOKUP(D821,Товары!A:I,4,0)</f>
        <v>11655</v>
      </c>
      <c r="K821">
        <f t="shared" si="12"/>
        <v>34965</v>
      </c>
    </row>
    <row r="822" spans="1:11" hidden="1" x14ac:dyDescent="0.25">
      <c r="A822">
        <v>821</v>
      </c>
      <c r="B822" s="1">
        <v>45754</v>
      </c>
      <c r="C822" t="s">
        <v>43</v>
      </c>
      <c r="D822" t="s">
        <v>23</v>
      </c>
      <c r="E822" t="s">
        <v>13</v>
      </c>
      <c r="F822">
        <v>1</v>
      </c>
      <c r="G822" t="str">
        <f>VLOOKUP(D822,Товары!A:I,3,0)</f>
        <v>Тумба с раковиной  напол. Альба 800 антрацит 2 ящика с умыв. Слим</v>
      </c>
      <c r="H822">
        <f>VLOOKUP(D822,Товары!A:I,6,0)</f>
        <v>80</v>
      </c>
      <c r="I822" t="str">
        <f>VLOOKUP(C822,Магазины!A:C,3,0)</f>
        <v>Набережные Челны</v>
      </c>
      <c r="J822">
        <f>VLOOKUP(D822,Товары!A:I,4,0)</f>
        <v>29340</v>
      </c>
      <c r="K822">
        <f t="shared" si="12"/>
        <v>29340</v>
      </c>
    </row>
    <row r="823" spans="1:11" hidden="1" x14ac:dyDescent="0.25">
      <c r="A823">
        <v>822</v>
      </c>
      <c r="B823" s="1">
        <v>45750</v>
      </c>
      <c r="C823" t="s">
        <v>6</v>
      </c>
      <c r="D823" t="s">
        <v>73</v>
      </c>
      <c r="E823" t="s">
        <v>8</v>
      </c>
      <c r="F823">
        <v>1</v>
      </c>
      <c r="G823" t="str">
        <f>VLOOKUP(D823,Товары!A:I,3,0)</f>
        <v>Зеркальный шкаф Альба 70 со светильником правый цвет антрацит</v>
      </c>
      <c r="H823">
        <f>VLOOKUP(D823,Товары!A:I,6,0)</f>
        <v>75</v>
      </c>
      <c r="I823" t="str">
        <f>VLOOKUP(C823,Магазины!A:C,3,0)</f>
        <v>Оренбург</v>
      </c>
      <c r="J823">
        <f>VLOOKUP(D823,Товары!A:I,4,0)</f>
        <v>9615</v>
      </c>
      <c r="K823">
        <f t="shared" si="12"/>
        <v>9615</v>
      </c>
    </row>
    <row r="824" spans="1:11" hidden="1" x14ac:dyDescent="0.25">
      <c r="A824">
        <v>823</v>
      </c>
      <c r="B824" s="1">
        <v>45750</v>
      </c>
      <c r="C824" t="s">
        <v>33</v>
      </c>
      <c r="D824" t="s">
        <v>97</v>
      </c>
      <c r="E824" t="s">
        <v>8</v>
      </c>
      <c r="F824">
        <v>2</v>
      </c>
      <c r="G824" t="str">
        <f>VLOOKUP(D824,Товары!A:I,3,0)</f>
        <v>Пенал напол. Кристалл 350 суфле 2 двери</v>
      </c>
      <c r="H824">
        <f>VLOOKUP(D824,Товары!A:I,6,0)</f>
        <v>190</v>
      </c>
      <c r="I824" t="str">
        <f>VLOOKUP(C824,Магазины!A:C,3,0)</f>
        <v>Набережные Челны</v>
      </c>
      <c r="J824">
        <f>VLOOKUP(D824,Товары!A:I,4,0)</f>
        <v>15810</v>
      </c>
      <c r="K824">
        <f t="shared" si="12"/>
        <v>31620</v>
      </c>
    </row>
    <row r="825" spans="1:11" hidden="1" x14ac:dyDescent="0.25">
      <c r="A825">
        <v>824</v>
      </c>
      <c r="B825" s="1">
        <v>45748</v>
      </c>
      <c r="C825" t="s">
        <v>22</v>
      </c>
      <c r="D825" t="s">
        <v>25</v>
      </c>
      <c r="E825" t="s">
        <v>13</v>
      </c>
      <c r="F825">
        <v>1</v>
      </c>
      <c r="G825" t="str">
        <f>VLOOKUP(D825,Товары!A:I,3,0)</f>
        <v>Пенал напол. Леон 400 оникс 2 двери + 1 ящик</v>
      </c>
      <c r="H825">
        <f>VLOOKUP(D825,Товары!A:I,6,0)</f>
        <v>190</v>
      </c>
      <c r="I825" t="str">
        <f>VLOOKUP(C825,Магазины!A:C,3,0)</f>
        <v>Кемерово</v>
      </c>
      <c r="J825">
        <f>VLOOKUP(D825,Товары!A:I,4,0)</f>
        <v>18450</v>
      </c>
      <c r="K825">
        <f t="shared" si="12"/>
        <v>18450</v>
      </c>
    </row>
    <row r="826" spans="1:11" hidden="1" x14ac:dyDescent="0.25">
      <c r="A826">
        <v>825</v>
      </c>
      <c r="B826" s="1">
        <v>45751</v>
      </c>
      <c r="C826" t="s">
        <v>103</v>
      </c>
      <c r="D826" t="s">
        <v>124</v>
      </c>
      <c r="E826" t="s">
        <v>8</v>
      </c>
      <c r="F826">
        <v>3</v>
      </c>
      <c r="G826" t="str">
        <f>VLOOKUP(D826,Товары!A:I,3,0)</f>
        <v>Тумба с раковиной  напол. Леон 600 оникс 2 ящика с умыв. Океан</v>
      </c>
      <c r="H826">
        <f>VLOOKUP(D826,Товары!A:I,6,0)</f>
        <v>80</v>
      </c>
      <c r="I826" t="str">
        <f>VLOOKUP(C826,Магазины!A:C,3,0)</f>
        <v>Ставрополь</v>
      </c>
      <c r="J826">
        <f>VLOOKUP(D826,Товары!A:I,4,0)</f>
        <v>25860</v>
      </c>
      <c r="K826">
        <f t="shared" si="12"/>
        <v>77580</v>
      </c>
    </row>
    <row r="827" spans="1:11" hidden="1" x14ac:dyDescent="0.25">
      <c r="A827">
        <v>826</v>
      </c>
      <c r="B827" s="1">
        <v>45748</v>
      </c>
      <c r="C827" t="s">
        <v>30</v>
      </c>
      <c r="D827" t="s">
        <v>25</v>
      </c>
      <c r="E827" t="s">
        <v>8</v>
      </c>
      <c r="F827">
        <v>2</v>
      </c>
      <c r="G827" t="str">
        <f>VLOOKUP(D827,Товары!A:I,3,0)</f>
        <v>Пенал напол. Леон 400 оникс 2 двери + 1 ящик</v>
      </c>
      <c r="H827">
        <f>VLOOKUP(D827,Товары!A:I,6,0)</f>
        <v>190</v>
      </c>
      <c r="I827" t="str">
        <f>VLOOKUP(C827,Магазины!A:C,3,0)</f>
        <v>Кемерово</v>
      </c>
      <c r="J827">
        <f>VLOOKUP(D827,Товары!A:I,4,0)</f>
        <v>18450</v>
      </c>
      <c r="K827">
        <f t="shared" si="12"/>
        <v>36900</v>
      </c>
    </row>
    <row r="828" spans="1:11" hidden="1" x14ac:dyDescent="0.25">
      <c r="A828">
        <v>827</v>
      </c>
      <c r="B828" s="1">
        <v>45748</v>
      </c>
      <c r="C828" t="s">
        <v>43</v>
      </c>
      <c r="D828" t="s">
        <v>117</v>
      </c>
      <c r="E828" t="s">
        <v>13</v>
      </c>
      <c r="F828">
        <v>2</v>
      </c>
      <c r="G828" t="str">
        <f>VLOOKUP(D828,Товары!A:I,3,0)</f>
        <v>Тумба с раковиной  навес. Альба 700 антрацит 2 ящика с умыв. Слим</v>
      </c>
      <c r="H828">
        <f>VLOOKUP(D828,Товары!A:I,6,0)</f>
        <v>60</v>
      </c>
      <c r="I828" t="str">
        <f>VLOOKUP(C828,Магазины!A:C,3,0)</f>
        <v>Набережные Челны</v>
      </c>
      <c r="J828">
        <f>VLOOKUP(D828,Товары!A:I,4,0)</f>
        <v>25095</v>
      </c>
      <c r="K828">
        <f t="shared" si="12"/>
        <v>50190</v>
      </c>
    </row>
    <row r="829" spans="1:11" hidden="1" x14ac:dyDescent="0.25">
      <c r="A829">
        <v>828</v>
      </c>
      <c r="B829" s="1">
        <v>45757</v>
      </c>
      <c r="C829" t="s">
        <v>103</v>
      </c>
      <c r="D829" t="s">
        <v>72</v>
      </c>
      <c r="E829" t="s">
        <v>13</v>
      </c>
      <c r="F829">
        <v>3</v>
      </c>
      <c r="G829" t="str">
        <f>VLOOKUP(D829,Товары!A:I,3,0)</f>
        <v>Тумба с раковиной  напол. Сохо 600 белый 2 ящика с умыв. Океан</v>
      </c>
      <c r="H829">
        <f>VLOOKUP(D829,Товары!A:I,6,0)</f>
        <v>85</v>
      </c>
      <c r="I829" t="str">
        <f>VLOOKUP(C829,Магазины!A:C,3,0)</f>
        <v>Ставрополь</v>
      </c>
      <c r="J829">
        <f>VLOOKUP(D829,Товары!A:I,4,0)</f>
        <v>16140</v>
      </c>
      <c r="K829">
        <f t="shared" si="12"/>
        <v>48420</v>
      </c>
    </row>
    <row r="830" spans="1:11" hidden="1" x14ac:dyDescent="0.25">
      <c r="A830">
        <v>829</v>
      </c>
      <c r="B830" s="1">
        <v>45750</v>
      </c>
      <c r="C830" t="s">
        <v>103</v>
      </c>
      <c r="D830" t="s">
        <v>113</v>
      </c>
      <c r="E830" t="s">
        <v>13</v>
      </c>
      <c r="F830">
        <v>3</v>
      </c>
      <c r="G830" t="str">
        <f>VLOOKUP(D830,Товары!A:I,3,0)</f>
        <v>Зеркальный шкаф Альба 60 со светильником правый цвет мята</v>
      </c>
      <c r="H830">
        <f>VLOOKUP(D830,Товары!A:I,6,0)</f>
        <v>75</v>
      </c>
      <c r="I830" t="str">
        <f>VLOOKUP(C830,Магазины!A:C,3,0)</f>
        <v>Ставрополь</v>
      </c>
      <c r="J830">
        <f>VLOOKUP(D830,Товары!A:I,4,0)</f>
        <v>8910</v>
      </c>
      <c r="K830">
        <f t="shared" si="12"/>
        <v>26730</v>
      </c>
    </row>
    <row r="831" spans="1:11" hidden="1" x14ac:dyDescent="0.25">
      <c r="A831">
        <v>830</v>
      </c>
      <c r="B831" s="1">
        <v>45752</v>
      </c>
      <c r="C831" t="s">
        <v>54</v>
      </c>
      <c r="D831" t="s">
        <v>76</v>
      </c>
      <c r="E831" t="s">
        <v>13</v>
      </c>
      <c r="F831">
        <v>2</v>
      </c>
      <c r="G831" t="str">
        <f>VLOOKUP(D831,Товары!A:I,3,0)</f>
        <v>Тумба с раковиной  напол. Леон 600 оникс 2 ящика с умыв. Слим</v>
      </c>
      <c r="H831">
        <f>VLOOKUP(D831,Товары!A:I,6,0)</f>
        <v>80</v>
      </c>
      <c r="I831" t="str">
        <f>VLOOKUP(C831,Магазины!A:C,3,0)</f>
        <v>Ставрополь</v>
      </c>
      <c r="J831">
        <f>VLOOKUP(D831,Товары!A:I,4,0)</f>
        <v>25860</v>
      </c>
      <c r="K831">
        <f t="shared" si="12"/>
        <v>51720</v>
      </c>
    </row>
    <row r="832" spans="1:11" hidden="1" x14ac:dyDescent="0.25">
      <c r="A832">
        <v>831</v>
      </c>
      <c r="B832" s="1">
        <v>45749</v>
      </c>
      <c r="C832" t="s">
        <v>18</v>
      </c>
      <c r="D832" t="s">
        <v>74</v>
      </c>
      <c r="E832" t="s">
        <v>8</v>
      </c>
      <c r="F832">
        <v>2</v>
      </c>
      <c r="G832" t="str">
        <f>VLOOKUP(D832,Товары!A:I,3,0)</f>
        <v>Тумба с раковиной  напол. Альба 800 суфле 2 ящика с умыв. Слим</v>
      </c>
      <c r="H832">
        <f>VLOOKUP(D832,Товары!A:I,6,0)</f>
        <v>80</v>
      </c>
      <c r="I832" t="str">
        <f>VLOOKUP(C832,Магазины!A:C,3,0)</f>
        <v>Набережные Челны</v>
      </c>
      <c r="J832">
        <f>VLOOKUP(D832,Товары!A:I,4,0)</f>
        <v>29340</v>
      </c>
      <c r="K832">
        <f t="shared" si="12"/>
        <v>58680</v>
      </c>
    </row>
    <row r="833" spans="1:11" hidden="1" x14ac:dyDescent="0.25">
      <c r="A833">
        <v>832</v>
      </c>
      <c r="B833" s="1">
        <v>45754</v>
      </c>
      <c r="C833" t="s">
        <v>18</v>
      </c>
      <c r="D833" t="s">
        <v>37</v>
      </c>
      <c r="E833" t="s">
        <v>8</v>
      </c>
      <c r="F833">
        <v>1</v>
      </c>
      <c r="G833" t="str">
        <f>VLOOKUP(D833,Товары!A:I,3,0)</f>
        <v>Зеркальный шкаф Сохо 70 белый со светильником правый цвет Белый глянец</v>
      </c>
      <c r="H833">
        <f>VLOOKUP(D833,Товары!A:I,6,0)</f>
        <v>75</v>
      </c>
      <c r="I833" t="str">
        <f>VLOOKUP(C833,Магазины!A:C,3,0)</f>
        <v>Набережные Челны</v>
      </c>
      <c r="J833">
        <f>VLOOKUP(D833,Товары!A:I,4,0)</f>
        <v>7935</v>
      </c>
      <c r="K833">
        <f t="shared" si="12"/>
        <v>7935</v>
      </c>
    </row>
    <row r="834" spans="1:11" hidden="1" x14ac:dyDescent="0.25">
      <c r="A834">
        <v>833</v>
      </c>
      <c r="B834" s="1">
        <v>45755</v>
      </c>
      <c r="C834" t="s">
        <v>26</v>
      </c>
      <c r="D834" t="s">
        <v>123</v>
      </c>
      <c r="E834" t="s">
        <v>8</v>
      </c>
      <c r="F834">
        <v>1</v>
      </c>
      <c r="G834" t="str">
        <f>VLOOKUP(D834,Товары!A:I,3,0)</f>
        <v>Тумба с раковиной  напол. Кристалл 800 суфле 2 ящика с умыв. Слим</v>
      </c>
      <c r="H834">
        <f>VLOOKUP(D834,Товары!A:I,6,0)</f>
        <v>80</v>
      </c>
      <c r="I834" t="str">
        <f>VLOOKUP(C834,Магазины!A:C,3,0)</f>
        <v>Оренбург</v>
      </c>
      <c r="J834">
        <f>VLOOKUP(D834,Товары!A:I,4,0)</f>
        <v>31125</v>
      </c>
      <c r="K834">
        <f t="shared" si="12"/>
        <v>31125</v>
      </c>
    </row>
    <row r="835" spans="1:11" hidden="1" x14ac:dyDescent="0.25">
      <c r="A835">
        <v>834</v>
      </c>
      <c r="B835" s="1">
        <v>45753</v>
      </c>
      <c r="C835" t="s">
        <v>30</v>
      </c>
      <c r="D835" t="s">
        <v>119</v>
      </c>
      <c r="E835" t="s">
        <v>13</v>
      </c>
      <c r="F835">
        <v>1</v>
      </c>
      <c r="G835" t="str">
        <f>VLOOKUP(D835,Товары!A:I,3,0)</f>
        <v>Пенал навес./напол. Рица 350 cерый/керамика 2 двери</v>
      </c>
      <c r="H835">
        <f>VLOOKUP(D835,Товары!A:I,6,0)</f>
        <v>160</v>
      </c>
      <c r="I835" t="str">
        <f>VLOOKUP(C835,Магазины!A:C,3,0)</f>
        <v>Кемерово</v>
      </c>
      <c r="J835">
        <f>VLOOKUP(D835,Товары!A:I,4,0)</f>
        <v>11250</v>
      </c>
      <c r="K835">
        <f t="shared" ref="K835:K898" si="13">J835*F835</f>
        <v>11250</v>
      </c>
    </row>
    <row r="836" spans="1:11" hidden="1" x14ac:dyDescent="0.25">
      <c r="A836">
        <v>835</v>
      </c>
      <c r="B836" s="1">
        <v>45754</v>
      </c>
      <c r="C836" t="s">
        <v>103</v>
      </c>
      <c r="D836" t="s">
        <v>82</v>
      </c>
      <c r="E836" t="s">
        <v>8</v>
      </c>
      <c r="F836">
        <v>3</v>
      </c>
      <c r="G836" t="str">
        <f>VLOOKUP(D836,Товары!A:I,3,0)</f>
        <v>Тумба с раковиной  навес. Леон 800 форест 2 ящика с умыв. Слим</v>
      </c>
      <c r="H836">
        <f>VLOOKUP(D836,Товары!A:I,6,0)</f>
        <v>60</v>
      </c>
      <c r="I836" t="str">
        <f>VLOOKUP(C836,Магазины!A:C,3,0)</f>
        <v>Ставрополь</v>
      </c>
      <c r="J836">
        <f>VLOOKUP(D836,Товары!A:I,4,0)</f>
        <v>27930</v>
      </c>
      <c r="K836">
        <f t="shared" si="13"/>
        <v>83790</v>
      </c>
    </row>
    <row r="837" spans="1:11" hidden="1" x14ac:dyDescent="0.25">
      <c r="A837">
        <v>836</v>
      </c>
      <c r="B837" s="1">
        <v>45749</v>
      </c>
      <c r="C837" t="s">
        <v>57</v>
      </c>
      <c r="D837" t="s">
        <v>94</v>
      </c>
      <c r="E837" t="s">
        <v>13</v>
      </c>
      <c r="F837">
        <v>1</v>
      </c>
      <c r="G837" t="str">
        <f>VLOOKUP(D837,Товары!A:I,3,0)</f>
        <v>Зеркальный шкаф Альба 80 со светильником правый цвет антрацит</v>
      </c>
      <c r="H837">
        <f>VLOOKUP(D837,Товары!A:I,6,0)</f>
        <v>75</v>
      </c>
      <c r="I837" t="str">
        <f>VLOOKUP(C837,Магазины!A:C,3,0)</f>
        <v>Оренбург</v>
      </c>
      <c r="J837">
        <f>VLOOKUP(D837,Товары!A:I,4,0)</f>
        <v>9930</v>
      </c>
      <c r="K837">
        <f t="shared" si="13"/>
        <v>9930</v>
      </c>
    </row>
    <row r="838" spans="1:11" hidden="1" x14ac:dyDescent="0.25">
      <c r="A838">
        <v>837</v>
      </c>
      <c r="B838" s="1">
        <v>45756</v>
      </c>
      <c r="C838" t="s">
        <v>18</v>
      </c>
      <c r="D838" t="s">
        <v>86</v>
      </c>
      <c r="E838" t="s">
        <v>13</v>
      </c>
      <c r="F838">
        <v>1</v>
      </c>
      <c r="G838" t="str">
        <f>VLOOKUP(D838,Товары!A:I,3,0)</f>
        <v>Комод Аква 50 напольный 1 ящик 2 двери белый</v>
      </c>
      <c r="H838">
        <f>VLOOKUP(D838,Товары!A:I,6,0)</f>
        <v>90</v>
      </c>
      <c r="I838" t="str">
        <f>VLOOKUP(C838,Магазины!A:C,3,0)</f>
        <v>Набережные Челны</v>
      </c>
      <c r="J838">
        <f>VLOOKUP(D838,Товары!A:I,4,0)</f>
        <v>7260</v>
      </c>
      <c r="K838">
        <f t="shared" si="13"/>
        <v>7260</v>
      </c>
    </row>
    <row r="839" spans="1:11" hidden="1" x14ac:dyDescent="0.25">
      <c r="A839">
        <v>838</v>
      </c>
      <c r="B839" s="1">
        <v>45755</v>
      </c>
      <c r="C839" t="s">
        <v>54</v>
      </c>
      <c r="D839" t="s">
        <v>25</v>
      </c>
      <c r="E839" t="s">
        <v>8</v>
      </c>
      <c r="F839">
        <v>1</v>
      </c>
      <c r="G839" t="str">
        <f>VLOOKUP(D839,Товары!A:I,3,0)</f>
        <v>Пенал напол. Леон 400 оникс 2 двери + 1 ящик</v>
      </c>
      <c r="H839">
        <f>VLOOKUP(D839,Товары!A:I,6,0)</f>
        <v>190</v>
      </c>
      <c r="I839" t="str">
        <f>VLOOKUP(C839,Магазины!A:C,3,0)</f>
        <v>Ставрополь</v>
      </c>
      <c r="J839">
        <f>VLOOKUP(D839,Товары!A:I,4,0)</f>
        <v>18450</v>
      </c>
      <c r="K839">
        <f t="shared" si="13"/>
        <v>18450</v>
      </c>
    </row>
    <row r="840" spans="1:11" hidden="1" x14ac:dyDescent="0.25">
      <c r="A840">
        <v>839</v>
      </c>
      <c r="B840" s="1">
        <v>45753</v>
      </c>
      <c r="C840" t="s">
        <v>58</v>
      </c>
      <c r="D840" t="s">
        <v>107</v>
      </c>
      <c r="E840" t="s">
        <v>13</v>
      </c>
      <c r="F840">
        <v>3</v>
      </c>
      <c r="G840" t="str">
        <f>VLOOKUP(D840,Товары!A:I,3,0)</f>
        <v>Комод Аква 35 напольный 1 дверь белый правый</v>
      </c>
      <c r="H840">
        <f>VLOOKUP(D840,Товары!A:I,6,0)</f>
        <v>90</v>
      </c>
      <c r="I840" t="str">
        <f>VLOOKUP(C840,Магазины!A:C,3,0)</f>
        <v>Ставрополь</v>
      </c>
      <c r="J840">
        <f>VLOOKUP(D840,Товары!A:I,4,0)</f>
        <v>6705</v>
      </c>
      <c r="K840">
        <f t="shared" si="13"/>
        <v>20115</v>
      </c>
    </row>
    <row r="841" spans="1:11" hidden="1" x14ac:dyDescent="0.25">
      <c r="A841">
        <v>840</v>
      </c>
      <c r="B841" s="1">
        <v>45752</v>
      </c>
      <c r="C841" t="s">
        <v>111</v>
      </c>
      <c r="D841" t="s">
        <v>113</v>
      </c>
      <c r="E841" t="s">
        <v>8</v>
      </c>
      <c r="F841">
        <v>3</v>
      </c>
      <c r="G841" t="str">
        <f>VLOOKUP(D841,Товары!A:I,3,0)</f>
        <v>Зеркальный шкаф Альба 60 со светильником правый цвет мята</v>
      </c>
      <c r="H841">
        <f>VLOOKUP(D841,Товары!A:I,6,0)</f>
        <v>75</v>
      </c>
      <c r="I841" t="str">
        <f>VLOOKUP(C841,Магазины!A:C,3,0)</f>
        <v>Набережные Челны</v>
      </c>
      <c r="J841">
        <f>VLOOKUP(D841,Товары!A:I,4,0)</f>
        <v>8910</v>
      </c>
      <c r="K841">
        <f t="shared" si="13"/>
        <v>26730</v>
      </c>
    </row>
    <row r="842" spans="1:11" hidden="1" x14ac:dyDescent="0.25">
      <c r="A842">
        <v>841</v>
      </c>
      <c r="B842" s="1">
        <v>45752</v>
      </c>
      <c r="C842" t="s">
        <v>35</v>
      </c>
      <c r="D842" t="s">
        <v>105</v>
      </c>
      <c r="E842" t="s">
        <v>8</v>
      </c>
      <c r="F842">
        <v>3</v>
      </c>
      <c r="G842" t="str">
        <f>VLOOKUP(D842,Товары!A:I,3,0)</f>
        <v>Тумба с раковиной  напол. Нева 600 белый 2 двери + 1 ящик с умыв. Como</v>
      </c>
      <c r="H842">
        <f>VLOOKUP(D842,Товары!A:I,6,0)</f>
        <v>80</v>
      </c>
      <c r="I842" t="str">
        <f>VLOOKUP(C842,Магазины!A:C,3,0)</f>
        <v>Набережные Челны</v>
      </c>
      <c r="J842">
        <f>VLOOKUP(D842,Товары!A:I,4,0)</f>
        <v>13470</v>
      </c>
      <c r="K842">
        <f t="shared" si="13"/>
        <v>40410</v>
      </c>
    </row>
    <row r="843" spans="1:11" hidden="1" x14ac:dyDescent="0.25">
      <c r="A843">
        <v>842</v>
      </c>
      <c r="B843" s="1">
        <v>45754</v>
      </c>
      <c r="C843" t="s">
        <v>9</v>
      </c>
      <c r="D843" t="s">
        <v>21</v>
      </c>
      <c r="E843" t="s">
        <v>13</v>
      </c>
      <c r="F843">
        <v>3</v>
      </c>
      <c r="G843" t="str">
        <f>VLOOKUP(D843,Товары!A:I,3,0)</f>
        <v>Зеркальный шкаф Рица 60 со светильником правый цвет cерый/керамика</v>
      </c>
      <c r="H843">
        <f>VLOOKUP(D843,Товары!A:I,6,0)</f>
        <v>75</v>
      </c>
      <c r="I843" t="str">
        <f>VLOOKUP(C843,Магазины!A:C,3,0)</f>
        <v>Кемерово</v>
      </c>
      <c r="J843">
        <f>VLOOKUP(D843,Товары!A:I,4,0)</f>
        <v>8910</v>
      </c>
      <c r="K843">
        <f t="shared" si="13"/>
        <v>26730</v>
      </c>
    </row>
    <row r="844" spans="1:11" hidden="1" x14ac:dyDescent="0.25">
      <c r="A844">
        <v>843</v>
      </c>
      <c r="B844" s="1">
        <v>45755</v>
      </c>
      <c r="C844" t="s">
        <v>18</v>
      </c>
      <c r="D844" t="s">
        <v>56</v>
      </c>
      <c r="E844" t="s">
        <v>13</v>
      </c>
      <c r="F844">
        <v>3</v>
      </c>
      <c r="G844" t="str">
        <f>VLOOKUP(D844,Товары!A:I,3,0)</f>
        <v>Зеркальный шкаф Альба 80 со светильником правый цвет мята</v>
      </c>
      <c r="H844">
        <f>VLOOKUP(D844,Товары!A:I,6,0)</f>
        <v>75</v>
      </c>
      <c r="I844" t="str">
        <f>VLOOKUP(C844,Магазины!A:C,3,0)</f>
        <v>Набережные Челны</v>
      </c>
      <c r="J844">
        <f>VLOOKUP(D844,Товары!A:I,4,0)</f>
        <v>9930</v>
      </c>
      <c r="K844">
        <f t="shared" si="13"/>
        <v>29790</v>
      </c>
    </row>
    <row r="845" spans="1:11" hidden="1" x14ac:dyDescent="0.25">
      <c r="A845">
        <v>844</v>
      </c>
      <c r="B845" s="1">
        <v>45750</v>
      </c>
      <c r="C845" t="s">
        <v>58</v>
      </c>
      <c r="D845" t="s">
        <v>17</v>
      </c>
      <c r="E845" t="s">
        <v>13</v>
      </c>
      <c r="F845">
        <v>3</v>
      </c>
      <c r="G845" t="str">
        <f>VLOOKUP(D845,Товары!A:I,3,0)</f>
        <v>Тумба с раковиной  навес. Альба 800 антрацит 1 ящик с умыв. Слим</v>
      </c>
      <c r="H845">
        <f>VLOOKUP(D845,Товары!A:I,6,0)</f>
        <v>45</v>
      </c>
      <c r="I845" t="str">
        <f>VLOOKUP(C845,Магазины!A:C,3,0)</f>
        <v>Ставрополь</v>
      </c>
      <c r="J845">
        <f>VLOOKUP(D845,Товары!A:I,4,0)</f>
        <v>21630</v>
      </c>
      <c r="K845">
        <f t="shared" si="13"/>
        <v>64890</v>
      </c>
    </row>
    <row r="846" spans="1:11" hidden="1" x14ac:dyDescent="0.25">
      <c r="A846">
        <v>845</v>
      </c>
      <c r="B846" s="1">
        <v>45751</v>
      </c>
      <c r="C846" t="s">
        <v>16</v>
      </c>
      <c r="D846" t="s">
        <v>36</v>
      </c>
      <c r="E846" t="s">
        <v>13</v>
      </c>
      <c r="F846">
        <v>2</v>
      </c>
      <c r="G846" t="str">
        <f>VLOOKUP(D846,Товары!A:I,3,0)</f>
        <v>Тумба с раковиной  напол. Альба 800 мята 2 ящика с умыв. Слим</v>
      </c>
      <c r="H846">
        <f>VLOOKUP(D846,Товары!A:I,6,0)</f>
        <v>80</v>
      </c>
      <c r="I846" t="str">
        <f>VLOOKUP(C846,Магазины!A:C,3,0)</f>
        <v>Оренбург</v>
      </c>
      <c r="J846">
        <f>VLOOKUP(D846,Товары!A:I,4,0)</f>
        <v>29340</v>
      </c>
      <c r="K846">
        <f t="shared" si="13"/>
        <v>58680</v>
      </c>
    </row>
    <row r="847" spans="1:11" hidden="1" x14ac:dyDescent="0.25">
      <c r="A847">
        <v>846</v>
      </c>
      <c r="B847" s="1">
        <v>45752</v>
      </c>
      <c r="C847" t="s">
        <v>28</v>
      </c>
      <c r="D847" t="s">
        <v>80</v>
      </c>
      <c r="E847" t="s">
        <v>8</v>
      </c>
      <c r="F847">
        <v>2</v>
      </c>
      <c r="G847" t="str">
        <f>VLOOKUP(D847,Товары!A:I,3,0)</f>
        <v>Тумба с раковиной  навес. Сохо 600 белый 2 ящика с умыв. Океан</v>
      </c>
      <c r="H847">
        <f>VLOOKUP(D847,Товары!A:I,6,0)</f>
        <v>55</v>
      </c>
      <c r="I847" t="str">
        <f>VLOOKUP(C847,Магазины!A:C,3,0)</f>
        <v>Набережные Челны</v>
      </c>
      <c r="J847">
        <f>VLOOKUP(D847,Товары!A:I,4,0)</f>
        <v>13950</v>
      </c>
      <c r="K847">
        <f t="shared" si="13"/>
        <v>27900</v>
      </c>
    </row>
    <row r="848" spans="1:11" hidden="1" x14ac:dyDescent="0.25">
      <c r="A848">
        <v>847</v>
      </c>
      <c r="B848" s="1">
        <v>45754</v>
      </c>
      <c r="C848" t="s">
        <v>92</v>
      </c>
      <c r="D848" t="s">
        <v>82</v>
      </c>
      <c r="E848" t="s">
        <v>8</v>
      </c>
      <c r="F848">
        <v>2</v>
      </c>
      <c r="G848" t="str">
        <f>VLOOKUP(D848,Товары!A:I,3,0)</f>
        <v>Тумба с раковиной  навес. Леон 800 форест 2 ящика с умыв. Слим</v>
      </c>
      <c r="H848">
        <f>VLOOKUP(D848,Товары!A:I,6,0)</f>
        <v>60</v>
      </c>
      <c r="I848" t="str">
        <f>VLOOKUP(C848,Магазины!A:C,3,0)</f>
        <v>Кемерово</v>
      </c>
      <c r="J848">
        <f>VLOOKUP(D848,Товары!A:I,4,0)</f>
        <v>27930</v>
      </c>
      <c r="K848">
        <f t="shared" si="13"/>
        <v>55860</v>
      </c>
    </row>
    <row r="849" spans="1:11" hidden="1" x14ac:dyDescent="0.25">
      <c r="A849">
        <v>848</v>
      </c>
      <c r="B849" s="1">
        <v>45752</v>
      </c>
      <c r="C849" t="s">
        <v>22</v>
      </c>
      <c r="D849" t="s">
        <v>87</v>
      </c>
      <c r="E849" t="s">
        <v>13</v>
      </c>
      <c r="F849">
        <v>3</v>
      </c>
      <c r="G849" t="str">
        <f>VLOOKUP(D849,Товары!A:I,3,0)</f>
        <v>Тумба с раковиной  напол. Леон 700 форест 2 ящика с умыв. Слим</v>
      </c>
      <c r="H849">
        <f>VLOOKUP(D849,Товары!A:I,6,0)</f>
        <v>80</v>
      </c>
      <c r="I849" t="str">
        <f>VLOOKUP(C849,Магазины!A:C,3,0)</f>
        <v>Кемерово</v>
      </c>
      <c r="J849">
        <f>VLOOKUP(D849,Товары!A:I,4,0)</f>
        <v>28380</v>
      </c>
      <c r="K849">
        <f t="shared" si="13"/>
        <v>85140</v>
      </c>
    </row>
    <row r="850" spans="1:11" hidden="1" x14ac:dyDescent="0.25">
      <c r="A850">
        <v>849</v>
      </c>
      <c r="B850" s="1">
        <v>45752</v>
      </c>
      <c r="C850" t="s">
        <v>16</v>
      </c>
      <c r="D850" t="s">
        <v>40</v>
      </c>
      <c r="E850" t="s">
        <v>13</v>
      </c>
      <c r="F850">
        <v>2</v>
      </c>
      <c r="G850" t="str">
        <f>VLOOKUP(D850,Товары!A:I,3,0)</f>
        <v>Тумба с раковиной  навес. Рица 800 cерый/керамика 1 ящик + ниша 1 с умыв. Слим</v>
      </c>
      <c r="H850">
        <f>VLOOKUP(D850,Товары!A:I,6,0)</f>
        <v>60</v>
      </c>
      <c r="I850" t="str">
        <f>VLOOKUP(C850,Магазины!A:C,3,0)</f>
        <v>Оренбург</v>
      </c>
      <c r="J850">
        <f>VLOOKUP(D850,Товары!A:I,4,0)</f>
        <v>22425</v>
      </c>
      <c r="K850">
        <f t="shared" si="13"/>
        <v>44850</v>
      </c>
    </row>
    <row r="851" spans="1:11" hidden="1" x14ac:dyDescent="0.25">
      <c r="A851">
        <v>850</v>
      </c>
      <c r="B851" s="1">
        <v>45755</v>
      </c>
      <c r="C851" t="s">
        <v>14</v>
      </c>
      <c r="D851" t="s">
        <v>39</v>
      </c>
      <c r="E851" t="s">
        <v>8</v>
      </c>
      <c r="F851">
        <v>1</v>
      </c>
      <c r="G851" t="str">
        <f>VLOOKUP(D851,Товары!A:I,3,0)</f>
        <v>Тумба с раковиной  напол. Альба 700 мята 2 ящика с умыв. Слим</v>
      </c>
      <c r="H851">
        <f>VLOOKUP(D851,Товары!A:I,6,0)</f>
        <v>85</v>
      </c>
      <c r="I851" t="str">
        <f>VLOOKUP(C851,Магазины!A:C,3,0)</f>
        <v>Оренбург</v>
      </c>
      <c r="J851">
        <f>VLOOKUP(D851,Товары!A:I,4,0)</f>
        <v>28695</v>
      </c>
      <c r="K851">
        <f t="shared" si="13"/>
        <v>28695</v>
      </c>
    </row>
    <row r="852" spans="1:11" hidden="1" x14ac:dyDescent="0.25">
      <c r="A852">
        <v>851</v>
      </c>
      <c r="B852" s="1">
        <v>45757</v>
      </c>
      <c r="C852" t="s">
        <v>35</v>
      </c>
      <c r="D852" t="s">
        <v>19</v>
      </c>
      <c r="E852" t="s">
        <v>13</v>
      </c>
      <c r="F852">
        <v>2</v>
      </c>
      <c r="G852" t="str">
        <f>VLOOKUP(D852,Товары!A:I,3,0)</f>
        <v>Тумба с раковиной  навес. Леон 800 оникс 2 ящика с умыв. Слим</v>
      </c>
      <c r="H852">
        <f>VLOOKUP(D852,Товары!A:I,6,0)</f>
        <v>60</v>
      </c>
      <c r="I852" t="str">
        <f>VLOOKUP(C852,Магазины!A:C,3,0)</f>
        <v>Набережные Челны</v>
      </c>
      <c r="J852">
        <f>VLOOKUP(D852,Товары!A:I,4,0)</f>
        <v>27930</v>
      </c>
      <c r="K852">
        <f t="shared" si="13"/>
        <v>55860</v>
      </c>
    </row>
    <row r="853" spans="1:11" hidden="1" x14ac:dyDescent="0.25">
      <c r="A853">
        <v>852</v>
      </c>
      <c r="B853" s="1">
        <v>45750</v>
      </c>
      <c r="C853" t="s">
        <v>111</v>
      </c>
      <c r="D853" t="s">
        <v>96</v>
      </c>
      <c r="E853" t="s">
        <v>13</v>
      </c>
      <c r="F853">
        <v>1</v>
      </c>
      <c r="G853" t="str">
        <f>VLOOKUP(D853,Товары!A:I,3,0)</f>
        <v>Тумба с раковиной  навес. Альба 600 мята 1 ящик с умыв. Океан</v>
      </c>
      <c r="H853">
        <f>VLOOKUP(D853,Товары!A:I,6,0)</f>
        <v>85</v>
      </c>
      <c r="I853" t="str">
        <f>VLOOKUP(C853,Магазины!A:C,3,0)</f>
        <v>Набережные Челны</v>
      </c>
      <c r="J853">
        <f>VLOOKUP(D853,Товары!A:I,4,0)</f>
        <v>17625</v>
      </c>
      <c r="K853">
        <f t="shared" si="13"/>
        <v>17625</v>
      </c>
    </row>
    <row r="854" spans="1:11" hidden="1" x14ac:dyDescent="0.25">
      <c r="A854">
        <v>853</v>
      </c>
      <c r="B854" s="1">
        <v>45749</v>
      </c>
      <c r="C854" t="s">
        <v>92</v>
      </c>
      <c r="D854" t="s">
        <v>84</v>
      </c>
      <c r="E854" t="s">
        <v>13</v>
      </c>
      <c r="F854">
        <v>2</v>
      </c>
      <c r="G854" t="str">
        <f>VLOOKUP(D854,Товары!A:I,3,0)</f>
        <v>Тумба с раковиной  напол. Куба Риф 800 белый 3 двери с умыв. Слим</v>
      </c>
      <c r="H854">
        <f>VLOOKUP(D854,Товары!A:I,6,0)</f>
        <v>85</v>
      </c>
      <c r="I854" t="str">
        <f>VLOOKUP(C854,Магазины!A:C,3,0)</f>
        <v>Кемерово</v>
      </c>
      <c r="J854">
        <f>VLOOKUP(D854,Товары!A:I,4,0)</f>
        <v>19920</v>
      </c>
      <c r="K854">
        <f t="shared" si="13"/>
        <v>39840</v>
      </c>
    </row>
    <row r="855" spans="1:11" hidden="1" x14ac:dyDescent="0.25">
      <c r="A855">
        <v>854</v>
      </c>
      <c r="B855" s="1">
        <v>45750</v>
      </c>
      <c r="C855" t="s">
        <v>54</v>
      </c>
      <c r="D855" t="s">
        <v>81</v>
      </c>
      <c r="E855" t="s">
        <v>8</v>
      </c>
      <c r="F855">
        <v>2</v>
      </c>
      <c r="G855" t="str">
        <f>VLOOKUP(D855,Товары!A:I,3,0)</f>
        <v>Тумба с раковиной  навес. Рица 600 cерый/керамика 1 ящик + ниша 1 с умыв. Океан</v>
      </c>
      <c r="H855">
        <f>VLOOKUP(D855,Товары!A:I,6,0)</f>
        <v>60</v>
      </c>
      <c r="I855" t="str">
        <f>VLOOKUP(C855,Магазины!A:C,3,0)</f>
        <v>Ставрополь</v>
      </c>
      <c r="J855">
        <f>VLOOKUP(D855,Товары!A:I,4,0)</f>
        <v>18900</v>
      </c>
      <c r="K855">
        <f t="shared" si="13"/>
        <v>37800</v>
      </c>
    </row>
    <row r="856" spans="1:11" hidden="1" x14ac:dyDescent="0.25">
      <c r="A856">
        <v>855</v>
      </c>
      <c r="B856" s="1">
        <v>45753</v>
      </c>
      <c r="C856" t="s">
        <v>103</v>
      </c>
      <c r="D856" t="s">
        <v>95</v>
      </c>
      <c r="E856" t="s">
        <v>13</v>
      </c>
      <c r="F856">
        <v>2</v>
      </c>
      <c r="G856" t="str">
        <f>VLOOKUP(D856,Товары!A:I,3,0)</f>
        <v>Тумба с раковиной  напол. Рица 600 антрацит 2 ящика с умыв. Океан</v>
      </c>
      <c r="H856">
        <f>VLOOKUP(D856,Товары!A:I,6,0)</f>
        <v>80</v>
      </c>
      <c r="I856" t="str">
        <f>VLOOKUP(C856,Магазины!A:C,3,0)</f>
        <v>Ставрополь</v>
      </c>
      <c r="J856">
        <f>VLOOKUP(D856,Товары!A:I,4,0)</f>
        <v>25560</v>
      </c>
      <c r="K856">
        <f t="shared" si="13"/>
        <v>51120</v>
      </c>
    </row>
    <row r="857" spans="1:11" hidden="1" x14ac:dyDescent="0.25">
      <c r="A857">
        <v>856</v>
      </c>
      <c r="B857" s="1">
        <v>45754</v>
      </c>
      <c r="C857" t="s">
        <v>92</v>
      </c>
      <c r="D857" t="s">
        <v>94</v>
      </c>
      <c r="E857" t="s">
        <v>13</v>
      </c>
      <c r="F857">
        <v>2</v>
      </c>
      <c r="G857" t="str">
        <f>VLOOKUP(D857,Товары!A:I,3,0)</f>
        <v>Зеркальный шкаф Альба 80 со светильником правый цвет антрацит</v>
      </c>
      <c r="H857">
        <f>VLOOKUP(D857,Товары!A:I,6,0)</f>
        <v>75</v>
      </c>
      <c r="I857" t="str">
        <f>VLOOKUP(C857,Магазины!A:C,3,0)</f>
        <v>Кемерово</v>
      </c>
      <c r="J857">
        <f>VLOOKUP(D857,Товары!A:I,4,0)</f>
        <v>9930</v>
      </c>
      <c r="K857">
        <f t="shared" si="13"/>
        <v>19860</v>
      </c>
    </row>
    <row r="858" spans="1:11" hidden="1" x14ac:dyDescent="0.25">
      <c r="A858">
        <v>857</v>
      </c>
      <c r="B858" s="1">
        <v>45756</v>
      </c>
      <c r="C858" t="s">
        <v>30</v>
      </c>
      <c r="D858" t="s">
        <v>55</v>
      </c>
      <c r="E858" t="s">
        <v>8</v>
      </c>
      <c r="F858">
        <v>1</v>
      </c>
      <c r="G858" t="str">
        <f>VLOOKUP(D858,Товары!A:I,3,0)</f>
        <v>Тумба с раковиной  напол. Рица 600 cерый/керамика 2 ящика с умыв. Океан</v>
      </c>
      <c r="H858">
        <f>VLOOKUP(D858,Товары!A:I,6,0)</f>
        <v>80</v>
      </c>
      <c r="I858" t="str">
        <f>VLOOKUP(C858,Магазины!A:C,3,0)</f>
        <v>Кемерово</v>
      </c>
      <c r="J858">
        <f>VLOOKUP(D858,Товары!A:I,4,0)</f>
        <v>25560</v>
      </c>
      <c r="K858">
        <f t="shared" si="13"/>
        <v>25560</v>
      </c>
    </row>
    <row r="859" spans="1:11" hidden="1" x14ac:dyDescent="0.25">
      <c r="A859">
        <v>858</v>
      </c>
      <c r="B859" s="1">
        <v>45754</v>
      </c>
      <c r="C859" t="s">
        <v>58</v>
      </c>
      <c r="D859" t="s">
        <v>12</v>
      </c>
      <c r="E859" t="s">
        <v>13</v>
      </c>
      <c r="F859">
        <v>1</v>
      </c>
      <c r="G859" t="str">
        <f>VLOOKUP(D859,Товары!A:I,3,0)</f>
        <v>Тумба с раковиной  напол. Сохо 700 белый 2 двери с умыв. Слим</v>
      </c>
      <c r="H859">
        <f>VLOOKUP(D859,Товары!A:I,6,0)</f>
        <v>85</v>
      </c>
      <c r="I859" t="str">
        <f>VLOOKUP(C859,Магазины!A:C,3,0)</f>
        <v>Ставрополь</v>
      </c>
      <c r="J859">
        <f>VLOOKUP(D859,Товары!A:I,4,0)</f>
        <v>17160</v>
      </c>
      <c r="K859">
        <f t="shared" si="13"/>
        <v>17160</v>
      </c>
    </row>
    <row r="860" spans="1:11" hidden="1" x14ac:dyDescent="0.25">
      <c r="A860">
        <v>859</v>
      </c>
      <c r="B860" s="1">
        <v>45754</v>
      </c>
      <c r="C860" t="s">
        <v>20</v>
      </c>
      <c r="D860" t="s">
        <v>60</v>
      </c>
      <c r="E860" t="s">
        <v>13</v>
      </c>
      <c r="F860">
        <v>1</v>
      </c>
      <c r="G860" t="str">
        <f>VLOOKUP(D860,Товары!A:I,3,0)</f>
        <v>Пенал навес. Куба Риф 350 белый 2 двери</v>
      </c>
      <c r="H860">
        <f>VLOOKUP(D860,Товары!A:I,6,0)</f>
        <v>150</v>
      </c>
      <c r="I860" t="str">
        <f>VLOOKUP(C860,Магазины!A:C,3,0)</f>
        <v>Оренбург</v>
      </c>
      <c r="J860">
        <f>VLOOKUP(D860,Товары!A:I,4,0)</f>
        <v>9720</v>
      </c>
      <c r="K860">
        <f t="shared" si="13"/>
        <v>9720</v>
      </c>
    </row>
    <row r="861" spans="1:11" hidden="1" x14ac:dyDescent="0.25">
      <c r="A861">
        <v>860</v>
      </c>
      <c r="B861" s="1">
        <v>45756</v>
      </c>
      <c r="C861" t="s">
        <v>30</v>
      </c>
      <c r="D861" t="s">
        <v>36</v>
      </c>
      <c r="E861" t="s">
        <v>8</v>
      </c>
      <c r="F861">
        <v>3</v>
      </c>
      <c r="G861" t="str">
        <f>VLOOKUP(D861,Товары!A:I,3,0)</f>
        <v>Тумба с раковиной  напол. Альба 800 мята 2 ящика с умыв. Слим</v>
      </c>
      <c r="H861">
        <f>VLOOKUP(D861,Товары!A:I,6,0)</f>
        <v>80</v>
      </c>
      <c r="I861" t="str">
        <f>VLOOKUP(C861,Магазины!A:C,3,0)</f>
        <v>Кемерово</v>
      </c>
      <c r="J861">
        <f>VLOOKUP(D861,Товары!A:I,4,0)</f>
        <v>29340</v>
      </c>
      <c r="K861">
        <f t="shared" si="13"/>
        <v>88020</v>
      </c>
    </row>
    <row r="862" spans="1:11" hidden="1" x14ac:dyDescent="0.25">
      <c r="A862">
        <v>861</v>
      </c>
      <c r="B862" s="1">
        <v>45750</v>
      </c>
      <c r="C862" t="s">
        <v>22</v>
      </c>
      <c r="D862" t="s">
        <v>85</v>
      </c>
      <c r="E862" t="s">
        <v>13</v>
      </c>
      <c r="F862">
        <v>1</v>
      </c>
      <c r="G862" t="str">
        <f>VLOOKUP(D862,Товары!A:I,3,0)</f>
        <v>Пенал напол. Аква 450 белый 2 двери + 2 ящика + корзина</v>
      </c>
      <c r="H862">
        <f>VLOOKUP(D862,Товары!A:I,6,0)</f>
        <v>190</v>
      </c>
      <c r="I862" t="str">
        <f>VLOOKUP(C862,Магазины!A:C,3,0)</f>
        <v>Кемерово</v>
      </c>
      <c r="J862">
        <f>VLOOKUP(D862,Товары!A:I,4,0)</f>
        <v>13335</v>
      </c>
      <c r="K862">
        <f t="shared" si="13"/>
        <v>13335</v>
      </c>
    </row>
    <row r="863" spans="1:11" hidden="1" x14ac:dyDescent="0.25">
      <c r="A863">
        <v>862</v>
      </c>
      <c r="B863" s="1">
        <v>45748</v>
      </c>
      <c r="C863" t="s">
        <v>18</v>
      </c>
      <c r="D863" t="s">
        <v>108</v>
      </c>
      <c r="E863" t="s">
        <v>8</v>
      </c>
      <c r="F863">
        <v>1</v>
      </c>
      <c r="G863" t="str">
        <f>VLOOKUP(D863,Товары!A:I,3,0)</f>
        <v>Тумба с раковиной  навес. Виктория 1000 белый 2 ящика с умыв. Слим</v>
      </c>
      <c r="H863">
        <f>VLOOKUP(D863,Товары!A:I,6,0)</f>
        <v>60</v>
      </c>
      <c r="I863" t="str">
        <f>VLOOKUP(C863,Магазины!A:C,3,0)</f>
        <v>Набережные Челны</v>
      </c>
      <c r="J863">
        <f>VLOOKUP(D863,Товары!A:I,4,0)</f>
        <v>29205</v>
      </c>
      <c r="K863">
        <f t="shared" si="13"/>
        <v>29205</v>
      </c>
    </row>
    <row r="864" spans="1:11" hidden="1" x14ac:dyDescent="0.25">
      <c r="A864">
        <v>863</v>
      </c>
      <c r="B864" s="1">
        <v>45755</v>
      </c>
      <c r="C864" t="s">
        <v>111</v>
      </c>
      <c r="D864" t="s">
        <v>32</v>
      </c>
      <c r="E864" t="s">
        <v>13</v>
      </c>
      <c r="F864">
        <v>2</v>
      </c>
      <c r="G864" t="str">
        <f>VLOOKUP(D864,Товары!A:I,3,0)</f>
        <v>Тумба с раковиной  напол. Леон Риф 700 солярис/белый риф 2 ящика с умыв. Слим</v>
      </c>
      <c r="H864">
        <f>VLOOKUP(D864,Товары!A:I,6,0)</f>
        <v>85</v>
      </c>
      <c r="I864" t="str">
        <f>VLOOKUP(C864,Магазины!A:C,3,0)</f>
        <v>Набережные Челны</v>
      </c>
      <c r="J864">
        <f>VLOOKUP(D864,Товары!A:I,4,0)</f>
        <v>26460</v>
      </c>
      <c r="K864">
        <f t="shared" si="13"/>
        <v>52920</v>
      </c>
    </row>
    <row r="865" spans="1:11" hidden="1" x14ac:dyDescent="0.25">
      <c r="A865">
        <v>864</v>
      </c>
      <c r="B865" s="1">
        <v>45748</v>
      </c>
      <c r="C865" t="s">
        <v>43</v>
      </c>
      <c r="D865" t="s">
        <v>98</v>
      </c>
      <c r="E865" t="s">
        <v>13</v>
      </c>
      <c r="F865">
        <v>2</v>
      </c>
      <c r="G865" t="str">
        <f>VLOOKUP(D865,Товары!A:I,3,0)</f>
        <v>Тумба с раковиной  напол. Рица 800 cерый/керамика 2 ящика с умыв. Слим</v>
      </c>
      <c r="H865">
        <f>VLOOKUP(D865,Товары!A:I,6,0)</f>
        <v>80</v>
      </c>
      <c r="I865" t="str">
        <f>VLOOKUP(C865,Магазины!A:C,3,0)</f>
        <v>Набережные Челны</v>
      </c>
      <c r="J865">
        <f>VLOOKUP(D865,Товары!A:I,4,0)</f>
        <v>28980</v>
      </c>
      <c r="K865">
        <f t="shared" si="13"/>
        <v>57960</v>
      </c>
    </row>
    <row r="866" spans="1:11" hidden="1" x14ac:dyDescent="0.25">
      <c r="A866">
        <v>865</v>
      </c>
      <c r="B866" s="1">
        <v>45753</v>
      </c>
      <c r="C866" t="s">
        <v>92</v>
      </c>
      <c r="D866" t="s">
        <v>19</v>
      </c>
      <c r="E866" t="s">
        <v>8</v>
      </c>
      <c r="F866">
        <v>1</v>
      </c>
      <c r="G866" t="str">
        <f>VLOOKUP(D866,Товары!A:I,3,0)</f>
        <v>Тумба с раковиной  навес. Леон 800 оникс 2 ящика с умыв. Слим</v>
      </c>
      <c r="H866">
        <f>VLOOKUP(D866,Товары!A:I,6,0)</f>
        <v>60</v>
      </c>
      <c r="I866" t="str">
        <f>VLOOKUP(C866,Магазины!A:C,3,0)</f>
        <v>Кемерово</v>
      </c>
      <c r="J866">
        <f>VLOOKUP(D866,Товары!A:I,4,0)</f>
        <v>27930</v>
      </c>
      <c r="K866">
        <f t="shared" si="13"/>
        <v>27930</v>
      </c>
    </row>
    <row r="867" spans="1:11" hidden="1" x14ac:dyDescent="0.25">
      <c r="A867">
        <v>866</v>
      </c>
      <c r="B867" s="1">
        <v>45751</v>
      </c>
      <c r="C867" t="s">
        <v>16</v>
      </c>
      <c r="D867" t="s">
        <v>116</v>
      </c>
      <c r="E867" t="s">
        <v>8</v>
      </c>
      <c r="F867">
        <v>3</v>
      </c>
      <c r="G867" t="str">
        <f>VLOOKUP(D867,Товары!A:I,3,0)</f>
        <v>Зеркало Нева 60 дуб/белый со светильником</v>
      </c>
      <c r="H867">
        <f>VLOOKUP(D867,Товары!A:I,6,0)</f>
        <v>80</v>
      </c>
      <c r="I867" t="str">
        <f>VLOOKUP(C867,Магазины!A:C,3,0)</f>
        <v>Оренбург</v>
      </c>
      <c r="J867">
        <f>VLOOKUP(D867,Товары!A:I,4,0)</f>
        <v>5100</v>
      </c>
      <c r="K867">
        <f t="shared" si="13"/>
        <v>15300</v>
      </c>
    </row>
    <row r="868" spans="1:11" hidden="1" x14ac:dyDescent="0.25">
      <c r="A868">
        <v>867</v>
      </c>
      <c r="B868" s="1">
        <v>45753</v>
      </c>
      <c r="C868" t="s">
        <v>43</v>
      </c>
      <c r="D868" t="s">
        <v>15</v>
      </c>
      <c r="E868" t="s">
        <v>13</v>
      </c>
      <c r="F868">
        <v>1</v>
      </c>
      <c r="G868" t="str">
        <f>VLOOKUP(D868,Товары!A:I,3,0)</f>
        <v>Зеркальный шкаф Кристалл 60 со светильником правый, ручка кнопка дуб цвет Шато Азур</v>
      </c>
      <c r="H868">
        <f>VLOOKUP(D868,Товары!A:I,6,0)</f>
        <v>75</v>
      </c>
      <c r="I868" t="str">
        <f>VLOOKUP(C868,Магазины!A:C,3,0)</f>
        <v>Набережные Челны</v>
      </c>
      <c r="J868">
        <f>VLOOKUP(D868,Товары!A:I,4,0)</f>
        <v>9195</v>
      </c>
      <c r="K868">
        <f t="shared" si="13"/>
        <v>9195</v>
      </c>
    </row>
    <row r="869" spans="1:11" hidden="1" x14ac:dyDescent="0.25">
      <c r="A869">
        <v>868</v>
      </c>
      <c r="B869" s="1">
        <v>45757</v>
      </c>
      <c r="C869" t="s">
        <v>14</v>
      </c>
      <c r="D869" t="s">
        <v>90</v>
      </c>
      <c r="E869" t="s">
        <v>8</v>
      </c>
      <c r="F869">
        <v>1</v>
      </c>
      <c r="G869" t="str">
        <f>VLOOKUP(D869,Товары!A:I,3,0)</f>
        <v>Пенал напол. Аква 350 белый 2 двери + 2 ящика</v>
      </c>
      <c r="H869">
        <f>VLOOKUP(D869,Товары!A:I,6,0)</f>
        <v>190</v>
      </c>
      <c r="I869" t="str">
        <f>VLOOKUP(C869,Магазины!A:C,3,0)</f>
        <v>Оренбург</v>
      </c>
      <c r="J869">
        <f>VLOOKUP(D869,Товары!A:I,4,0)</f>
        <v>10650</v>
      </c>
      <c r="K869">
        <f t="shared" si="13"/>
        <v>10650</v>
      </c>
    </row>
    <row r="870" spans="1:11" hidden="1" x14ac:dyDescent="0.25">
      <c r="A870">
        <v>869</v>
      </c>
      <c r="B870" s="1">
        <v>45756</v>
      </c>
      <c r="C870" t="s">
        <v>41</v>
      </c>
      <c r="D870" t="s">
        <v>65</v>
      </c>
      <c r="E870" t="s">
        <v>8</v>
      </c>
      <c r="F870">
        <v>2</v>
      </c>
      <c r="G870" t="str">
        <f>VLOOKUP(D870,Товары!A:I,3,0)</f>
        <v>Тумба с раковиной  навес. Альба 800 суфле 2 ящика с умыв. Слим</v>
      </c>
      <c r="H870">
        <f>VLOOKUP(D870,Товары!A:I,6,0)</f>
        <v>50</v>
      </c>
      <c r="I870" t="str">
        <f>VLOOKUP(C870,Магазины!A:C,3,0)</f>
        <v>Ставрополь</v>
      </c>
      <c r="J870">
        <f>VLOOKUP(D870,Товары!A:I,4,0)</f>
        <v>26070</v>
      </c>
      <c r="K870">
        <f t="shared" si="13"/>
        <v>52140</v>
      </c>
    </row>
    <row r="871" spans="1:11" hidden="1" x14ac:dyDescent="0.25">
      <c r="A871">
        <v>870</v>
      </c>
      <c r="B871" s="1">
        <v>45757</v>
      </c>
      <c r="C871" t="s">
        <v>16</v>
      </c>
      <c r="D871" t="s">
        <v>29</v>
      </c>
      <c r="E871" t="s">
        <v>13</v>
      </c>
      <c r="F871">
        <v>3</v>
      </c>
      <c r="G871" t="str">
        <f>VLOOKUP(D871,Товары!A:I,3,0)</f>
        <v>Тумба с раковиной  напол. Леон Риф 600 солярис/белый риф 2 ящика с умыв. Океан</v>
      </c>
      <c r="H871">
        <f>VLOOKUP(D871,Товары!A:I,6,0)</f>
        <v>80</v>
      </c>
      <c r="I871" t="str">
        <f>VLOOKUP(C871,Магазины!A:C,3,0)</f>
        <v>Оренбург</v>
      </c>
      <c r="J871">
        <f>VLOOKUP(D871,Товары!A:I,4,0)</f>
        <v>24150</v>
      </c>
      <c r="K871">
        <f t="shared" si="13"/>
        <v>72450</v>
      </c>
    </row>
    <row r="872" spans="1:11" hidden="1" x14ac:dyDescent="0.25">
      <c r="A872">
        <v>871</v>
      </c>
      <c r="B872" s="1">
        <v>45754</v>
      </c>
      <c r="C872" t="s">
        <v>26</v>
      </c>
      <c r="D872" t="s">
        <v>104</v>
      </c>
      <c r="E872" t="s">
        <v>8</v>
      </c>
      <c r="F872">
        <v>3</v>
      </c>
      <c r="G872" t="str">
        <f>VLOOKUP(D872,Товары!A:I,3,0)</f>
        <v>Тумба под стиральную машину Куба Риф 57 подвесная 2 ящика под ст/маш, без умывальника /под Marshall 120 Белый</v>
      </c>
      <c r="H872">
        <f>VLOOKUP(D872,Товары!A:I,6,0)</f>
        <v>50</v>
      </c>
      <c r="I872" t="str">
        <f>VLOOKUP(C872,Магазины!A:C,3,0)</f>
        <v>Оренбург</v>
      </c>
      <c r="J872">
        <f>VLOOKUP(D872,Товары!A:I,4,0)</f>
        <v>8505</v>
      </c>
      <c r="K872">
        <f t="shared" si="13"/>
        <v>25515</v>
      </c>
    </row>
    <row r="873" spans="1:11" hidden="1" x14ac:dyDescent="0.25">
      <c r="A873">
        <v>872</v>
      </c>
      <c r="B873" s="1">
        <v>45748</v>
      </c>
      <c r="C873" t="s">
        <v>54</v>
      </c>
      <c r="D873" t="s">
        <v>130</v>
      </c>
      <c r="E873" t="s">
        <v>8</v>
      </c>
      <c r="F873">
        <v>1</v>
      </c>
      <c r="G873" t="str">
        <f>VLOOKUP(D873,Товары!A:I,3,0)</f>
        <v>Пенал напол. Леон 400 форест 2 двери + 1 ящик</v>
      </c>
      <c r="H873">
        <f>VLOOKUP(D873,Товары!A:I,6,0)</f>
        <v>190</v>
      </c>
      <c r="I873" t="str">
        <f>VLOOKUP(C873,Магазины!A:C,3,0)</f>
        <v>Ставрополь</v>
      </c>
      <c r="J873">
        <f>VLOOKUP(D873,Товары!A:I,4,0)</f>
        <v>18450</v>
      </c>
      <c r="K873">
        <f t="shared" si="13"/>
        <v>18450</v>
      </c>
    </row>
    <row r="874" spans="1:11" hidden="1" x14ac:dyDescent="0.25">
      <c r="A874">
        <v>873</v>
      </c>
      <c r="B874" s="1">
        <v>45755</v>
      </c>
      <c r="C874" t="s">
        <v>92</v>
      </c>
      <c r="D874" t="s">
        <v>114</v>
      </c>
      <c r="E874" t="s">
        <v>13</v>
      </c>
      <c r="F874">
        <v>3</v>
      </c>
      <c r="G874" t="str">
        <f>VLOOKUP(D874,Товары!A:I,3,0)</f>
        <v>Тумба с раковиной  навес. Альба 700 мята 2 ящика с умыв. Слим</v>
      </c>
      <c r="H874">
        <f>VLOOKUP(D874,Товары!A:I,6,0)</f>
        <v>60</v>
      </c>
      <c r="I874" t="str">
        <f>VLOOKUP(C874,Магазины!A:C,3,0)</f>
        <v>Кемерово</v>
      </c>
      <c r="J874">
        <f>VLOOKUP(D874,Товары!A:I,4,0)</f>
        <v>25095</v>
      </c>
      <c r="K874">
        <f t="shared" si="13"/>
        <v>75285</v>
      </c>
    </row>
    <row r="875" spans="1:11" hidden="1" x14ac:dyDescent="0.25">
      <c r="A875">
        <v>874</v>
      </c>
      <c r="B875" s="1">
        <v>45751</v>
      </c>
      <c r="C875" t="s">
        <v>103</v>
      </c>
      <c r="D875" t="s">
        <v>107</v>
      </c>
      <c r="E875" t="s">
        <v>8</v>
      </c>
      <c r="F875">
        <v>1</v>
      </c>
      <c r="G875" t="str">
        <f>VLOOKUP(D875,Товары!A:I,3,0)</f>
        <v>Комод Аква 35 напольный 1 дверь белый правый</v>
      </c>
      <c r="H875">
        <f>VLOOKUP(D875,Товары!A:I,6,0)</f>
        <v>90</v>
      </c>
      <c r="I875" t="str">
        <f>VLOOKUP(C875,Магазины!A:C,3,0)</f>
        <v>Ставрополь</v>
      </c>
      <c r="J875">
        <f>VLOOKUP(D875,Товары!A:I,4,0)</f>
        <v>6705</v>
      </c>
      <c r="K875">
        <f t="shared" si="13"/>
        <v>6705</v>
      </c>
    </row>
    <row r="876" spans="1:11" hidden="1" x14ac:dyDescent="0.25">
      <c r="A876">
        <v>875</v>
      </c>
      <c r="B876" s="1">
        <v>45749</v>
      </c>
      <c r="C876" t="s">
        <v>111</v>
      </c>
      <c r="D876" t="s">
        <v>109</v>
      </c>
      <c r="E876" t="s">
        <v>8</v>
      </c>
      <c r="F876">
        <v>1</v>
      </c>
      <c r="G876" t="str">
        <f>VLOOKUP(D876,Товары!A:I,3,0)</f>
        <v>Тумба с раковиной  навес. Альба 600 антрацит 2 ящика с умыв. Океан</v>
      </c>
      <c r="H876">
        <f>VLOOKUP(D876,Товары!A:I,6,0)</f>
        <v>50</v>
      </c>
      <c r="I876" t="str">
        <f>VLOOKUP(C876,Магазины!A:C,3,0)</f>
        <v>Набережные Челны</v>
      </c>
      <c r="J876">
        <f>VLOOKUP(D876,Товары!A:I,4,0)</f>
        <v>24810</v>
      </c>
      <c r="K876">
        <f t="shared" si="13"/>
        <v>24810</v>
      </c>
    </row>
    <row r="877" spans="1:11" hidden="1" x14ac:dyDescent="0.25">
      <c r="A877">
        <v>876</v>
      </c>
      <c r="B877" s="1">
        <v>45751</v>
      </c>
      <c r="C877" t="s">
        <v>48</v>
      </c>
      <c r="D877" t="s">
        <v>125</v>
      </c>
      <c r="E877" t="s">
        <v>8</v>
      </c>
      <c r="F877">
        <v>1</v>
      </c>
      <c r="G877" t="str">
        <f>VLOOKUP(D877,Товары!A:I,3,0)</f>
        <v>Зеркальный шкаф Сохо 60 белый со светильником правый цвет Белый глянец</v>
      </c>
      <c r="H877">
        <f>VLOOKUP(D877,Товары!A:I,6,0)</f>
        <v>75</v>
      </c>
      <c r="I877" t="str">
        <f>VLOOKUP(C877,Магазины!A:C,3,0)</f>
        <v>Ставрополь</v>
      </c>
      <c r="J877">
        <f>VLOOKUP(D877,Товары!A:I,4,0)</f>
        <v>7395</v>
      </c>
      <c r="K877">
        <f t="shared" si="13"/>
        <v>7395</v>
      </c>
    </row>
    <row r="878" spans="1:11" hidden="1" x14ac:dyDescent="0.25">
      <c r="A878">
        <v>877</v>
      </c>
      <c r="B878" s="1">
        <v>45751</v>
      </c>
      <c r="C878" t="s">
        <v>6</v>
      </c>
      <c r="D878" t="s">
        <v>75</v>
      </c>
      <c r="E878" t="s">
        <v>13</v>
      </c>
      <c r="F878">
        <v>2</v>
      </c>
      <c r="G878" t="str">
        <f>VLOOKUP(D878,Товары!A:I,3,0)</f>
        <v>Тумба с раковиной  напол. Альба 600 суфле 2 ящика с умыв. Океан</v>
      </c>
      <c r="H878">
        <f>VLOOKUP(D878,Товары!A:I,6,0)</f>
        <v>80</v>
      </c>
      <c r="I878" t="str">
        <f>VLOOKUP(C878,Магазины!A:C,3,0)</f>
        <v>Оренбург</v>
      </c>
      <c r="J878">
        <f>VLOOKUP(D878,Товары!A:I,4,0)</f>
        <v>26370</v>
      </c>
      <c r="K878">
        <f t="shared" si="13"/>
        <v>52740</v>
      </c>
    </row>
    <row r="879" spans="1:11" hidden="1" x14ac:dyDescent="0.25">
      <c r="A879">
        <v>878</v>
      </c>
      <c r="B879" s="1">
        <v>45750</v>
      </c>
      <c r="C879" t="s">
        <v>11</v>
      </c>
      <c r="D879" t="s">
        <v>75</v>
      </c>
      <c r="E879" t="s">
        <v>13</v>
      </c>
      <c r="F879">
        <v>1</v>
      </c>
      <c r="G879" t="str">
        <f>VLOOKUP(D879,Товары!A:I,3,0)</f>
        <v>Тумба с раковиной  напол. Альба 600 суфле 2 ящика с умыв. Океан</v>
      </c>
      <c r="H879">
        <f>VLOOKUP(D879,Товары!A:I,6,0)</f>
        <v>80</v>
      </c>
      <c r="I879" t="str">
        <f>VLOOKUP(C879,Магазины!A:C,3,0)</f>
        <v>Кемерово</v>
      </c>
      <c r="J879">
        <f>VLOOKUP(D879,Товары!A:I,4,0)</f>
        <v>26370</v>
      </c>
      <c r="K879">
        <f t="shared" si="13"/>
        <v>26370</v>
      </c>
    </row>
    <row r="880" spans="1:11" hidden="1" x14ac:dyDescent="0.25">
      <c r="A880">
        <v>879</v>
      </c>
      <c r="B880" s="1">
        <v>45750</v>
      </c>
      <c r="C880" t="s">
        <v>58</v>
      </c>
      <c r="D880" t="s">
        <v>108</v>
      </c>
      <c r="E880" t="s">
        <v>13</v>
      </c>
      <c r="F880">
        <v>3</v>
      </c>
      <c r="G880" t="str">
        <f>VLOOKUP(D880,Товары!A:I,3,0)</f>
        <v>Тумба с раковиной  навес. Виктория 1000 белый 2 ящика с умыв. Слим</v>
      </c>
      <c r="H880">
        <f>VLOOKUP(D880,Товары!A:I,6,0)</f>
        <v>60</v>
      </c>
      <c r="I880" t="str">
        <f>VLOOKUP(C880,Магазины!A:C,3,0)</f>
        <v>Ставрополь</v>
      </c>
      <c r="J880">
        <f>VLOOKUP(D880,Товары!A:I,4,0)</f>
        <v>29205</v>
      </c>
      <c r="K880">
        <f t="shared" si="13"/>
        <v>87615</v>
      </c>
    </row>
    <row r="881" spans="1:11" hidden="1" x14ac:dyDescent="0.25">
      <c r="A881">
        <v>880</v>
      </c>
      <c r="B881" s="1">
        <v>45757</v>
      </c>
      <c r="C881" t="s">
        <v>9</v>
      </c>
      <c r="D881" t="s">
        <v>117</v>
      </c>
      <c r="E881" t="s">
        <v>8</v>
      </c>
      <c r="F881">
        <v>2</v>
      </c>
      <c r="G881" t="str">
        <f>VLOOKUP(D881,Товары!A:I,3,0)</f>
        <v>Тумба с раковиной  навес. Альба 700 антрацит 2 ящика с умыв. Слим</v>
      </c>
      <c r="H881">
        <f>VLOOKUP(D881,Товары!A:I,6,0)</f>
        <v>60</v>
      </c>
      <c r="I881" t="str">
        <f>VLOOKUP(C881,Магазины!A:C,3,0)</f>
        <v>Кемерово</v>
      </c>
      <c r="J881">
        <f>VLOOKUP(D881,Товары!A:I,4,0)</f>
        <v>25095</v>
      </c>
      <c r="K881">
        <f t="shared" si="13"/>
        <v>50190</v>
      </c>
    </row>
    <row r="882" spans="1:11" hidden="1" x14ac:dyDescent="0.25">
      <c r="A882">
        <v>881</v>
      </c>
      <c r="B882" s="1">
        <v>45751</v>
      </c>
      <c r="C882" t="s">
        <v>6</v>
      </c>
      <c r="D882" t="s">
        <v>46</v>
      </c>
      <c r="E882" t="s">
        <v>13</v>
      </c>
      <c r="F882">
        <v>2</v>
      </c>
      <c r="G882" t="str">
        <f>VLOOKUP(D882,Товары!A:I,3,0)</f>
        <v>Тумба с раковиной  напол. Сохо 700 белый 2 ящика с умыв. Слим</v>
      </c>
      <c r="H882">
        <f>VLOOKUP(D882,Товары!A:I,6,0)</f>
        <v>85</v>
      </c>
      <c r="I882" t="str">
        <f>VLOOKUP(C882,Магазины!A:C,3,0)</f>
        <v>Оренбург</v>
      </c>
      <c r="J882">
        <f>VLOOKUP(D882,Товары!A:I,4,0)</f>
        <v>18405</v>
      </c>
      <c r="K882">
        <f t="shared" si="13"/>
        <v>36810</v>
      </c>
    </row>
    <row r="883" spans="1:11" hidden="1" x14ac:dyDescent="0.25">
      <c r="A883">
        <v>882</v>
      </c>
      <c r="B883" s="1">
        <v>45748</v>
      </c>
      <c r="C883" t="s">
        <v>41</v>
      </c>
      <c r="D883" t="s">
        <v>62</v>
      </c>
      <c r="E883" t="s">
        <v>8</v>
      </c>
      <c r="F883">
        <v>3</v>
      </c>
      <c r="G883" t="str">
        <f>VLOOKUP(D883,Товары!A:I,3,0)</f>
        <v>Тумба с раковиной  напол. Альба 600 мята 2 ящика с умыв. Океан</v>
      </c>
      <c r="H883">
        <f>VLOOKUP(D883,Товары!A:I,6,0)</f>
        <v>80</v>
      </c>
      <c r="I883" t="str">
        <f>VLOOKUP(C883,Магазины!A:C,3,0)</f>
        <v>Ставрополь</v>
      </c>
      <c r="J883">
        <f>VLOOKUP(D883,Товары!A:I,4,0)</f>
        <v>26370</v>
      </c>
      <c r="K883">
        <f t="shared" si="13"/>
        <v>79110</v>
      </c>
    </row>
    <row r="884" spans="1:11" hidden="1" x14ac:dyDescent="0.25">
      <c r="A884">
        <v>883</v>
      </c>
      <c r="B884" s="1">
        <v>45754</v>
      </c>
      <c r="C884" t="s">
        <v>11</v>
      </c>
      <c r="D884" t="s">
        <v>80</v>
      </c>
      <c r="E884" t="s">
        <v>13</v>
      </c>
      <c r="F884">
        <v>1</v>
      </c>
      <c r="G884" t="str">
        <f>VLOOKUP(D884,Товары!A:I,3,0)</f>
        <v>Тумба с раковиной  навес. Сохо 600 белый 2 ящика с умыв. Океан</v>
      </c>
      <c r="H884">
        <f>VLOOKUP(D884,Товары!A:I,6,0)</f>
        <v>55</v>
      </c>
      <c r="I884" t="str">
        <f>VLOOKUP(C884,Магазины!A:C,3,0)</f>
        <v>Кемерово</v>
      </c>
      <c r="J884">
        <f>VLOOKUP(D884,Товары!A:I,4,0)</f>
        <v>13950</v>
      </c>
      <c r="K884">
        <f t="shared" si="13"/>
        <v>13950</v>
      </c>
    </row>
    <row r="885" spans="1:11" hidden="1" x14ac:dyDescent="0.25">
      <c r="A885">
        <v>884</v>
      </c>
      <c r="B885" s="1">
        <v>45755</v>
      </c>
      <c r="C885" t="s">
        <v>57</v>
      </c>
      <c r="D885" t="s">
        <v>85</v>
      </c>
      <c r="E885" t="s">
        <v>8</v>
      </c>
      <c r="F885">
        <v>3</v>
      </c>
      <c r="G885" t="str">
        <f>VLOOKUP(D885,Товары!A:I,3,0)</f>
        <v>Пенал напол. Аква 450 белый 2 двери + 2 ящика + корзина</v>
      </c>
      <c r="H885">
        <f>VLOOKUP(D885,Товары!A:I,6,0)</f>
        <v>190</v>
      </c>
      <c r="I885" t="str">
        <f>VLOOKUP(C885,Магазины!A:C,3,0)</f>
        <v>Оренбург</v>
      </c>
      <c r="J885">
        <f>VLOOKUP(D885,Товары!A:I,4,0)</f>
        <v>13335</v>
      </c>
      <c r="K885">
        <f t="shared" si="13"/>
        <v>40005</v>
      </c>
    </row>
    <row r="886" spans="1:11" hidden="1" x14ac:dyDescent="0.25">
      <c r="A886">
        <v>885</v>
      </c>
      <c r="B886" s="1">
        <v>45757</v>
      </c>
      <c r="C886" t="s">
        <v>30</v>
      </c>
      <c r="D886" t="s">
        <v>106</v>
      </c>
      <c r="E886" t="s">
        <v>8</v>
      </c>
      <c r="F886">
        <v>1</v>
      </c>
      <c r="G886" t="str">
        <f>VLOOKUP(D886,Товары!A:I,3,0)</f>
        <v>Тумба с раковиной  навес. Кристалл 700 шато азур 2 ящика с умыв. Слим</v>
      </c>
      <c r="H886">
        <f>VLOOKUP(D886,Товары!A:I,6,0)</f>
        <v>60</v>
      </c>
      <c r="I886" t="str">
        <f>VLOOKUP(C886,Магазины!A:C,3,0)</f>
        <v>Кемерово</v>
      </c>
      <c r="J886">
        <f>VLOOKUP(D886,Товары!A:I,4,0)</f>
        <v>24150</v>
      </c>
      <c r="K886">
        <f t="shared" si="13"/>
        <v>24150</v>
      </c>
    </row>
    <row r="887" spans="1:11" hidden="1" x14ac:dyDescent="0.25">
      <c r="A887">
        <v>886</v>
      </c>
      <c r="B887" s="1">
        <v>45751</v>
      </c>
      <c r="C887" t="s">
        <v>26</v>
      </c>
      <c r="D887" t="s">
        <v>109</v>
      </c>
      <c r="E887" t="s">
        <v>13</v>
      </c>
      <c r="F887">
        <v>2</v>
      </c>
      <c r="G887" t="str">
        <f>VLOOKUP(D887,Товары!A:I,3,0)</f>
        <v>Тумба с раковиной  навес. Альба 600 антрацит 2 ящика с умыв. Океан</v>
      </c>
      <c r="H887">
        <f>VLOOKUP(D887,Товары!A:I,6,0)</f>
        <v>50</v>
      </c>
      <c r="I887" t="str">
        <f>VLOOKUP(C887,Магазины!A:C,3,0)</f>
        <v>Оренбург</v>
      </c>
      <c r="J887">
        <f>VLOOKUP(D887,Товары!A:I,4,0)</f>
        <v>24810</v>
      </c>
      <c r="K887">
        <f t="shared" si="13"/>
        <v>49620</v>
      </c>
    </row>
    <row r="888" spans="1:11" hidden="1" x14ac:dyDescent="0.25">
      <c r="A888">
        <v>887</v>
      </c>
      <c r="B888" s="1">
        <v>45751</v>
      </c>
      <c r="C888" t="s">
        <v>6</v>
      </c>
      <c r="D888" t="s">
        <v>88</v>
      </c>
      <c r="E888" t="s">
        <v>13</v>
      </c>
      <c r="F888">
        <v>2</v>
      </c>
      <c r="G888" t="str">
        <f>VLOOKUP(D888,Товары!A:I,3,0)</f>
        <v>Тумба с раковиной  навес. Альба 800 антрацит 2 ящика с умыв. Слим</v>
      </c>
      <c r="H888">
        <f>VLOOKUP(D888,Товары!A:I,6,0)</f>
        <v>50</v>
      </c>
      <c r="I888" t="str">
        <f>VLOOKUP(C888,Магазины!A:C,3,0)</f>
        <v>Оренбург</v>
      </c>
      <c r="J888">
        <f>VLOOKUP(D888,Товары!A:I,4,0)</f>
        <v>26070</v>
      </c>
      <c r="K888">
        <f t="shared" si="13"/>
        <v>52140</v>
      </c>
    </row>
    <row r="889" spans="1:11" hidden="1" x14ac:dyDescent="0.25">
      <c r="A889">
        <v>888</v>
      </c>
      <c r="B889" s="1">
        <v>45753</v>
      </c>
      <c r="C889" t="s">
        <v>58</v>
      </c>
      <c r="D889" t="s">
        <v>128</v>
      </c>
      <c r="E889" t="s">
        <v>13</v>
      </c>
      <c r="F889">
        <v>3</v>
      </c>
      <c r="G889" t="str">
        <f>VLOOKUP(D889,Товары!A:I,3,0)</f>
        <v>Тумба с раковиной  напол. Куба Риф 1000 белый 2 ящика с умыв. Слим</v>
      </c>
      <c r="H889">
        <f>VLOOKUP(D889,Товары!A:I,6,0)</f>
        <v>85</v>
      </c>
      <c r="I889" t="str">
        <f>VLOOKUP(C889,Магазины!A:C,3,0)</f>
        <v>Ставрополь</v>
      </c>
      <c r="J889">
        <f>VLOOKUP(D889,Товары!A:I,4,0)</f>
        <v>22905</v>
      </c>
      <c r="K889">
        <f t="shared" si="13"/>
        <v>68715</v>
      </c>
    </row>
    <row r="890" spans="1:11" hidden="1" x14ac:dyDescent="0.25">
      <c r="A890">
        <v>889</v>
      </c>
      <c r="B890" s="1">
        <v>45752</v>
      </c>
      <c r="C890" t="s">
        <v>14</v>
      </c>
      <c r="D890" t="s">
        <v>82</v>
      </c>
      <c r="E890" t="s">
        <v>8</v>
      </c>
      <c r="F890">
        <v>1</v>
      </c>
      <c r="G890" t="str">
        <f>VLOOKUP(D890,Товары!A:I,3,0)</f>
        <v>Тумба с раковиной  навес. Леон 800 форест 2 ящика с умыв. Слим</v>
      </c>
      <c r="H890">
        <f>VLOOKUP(D890,Товары!A:I,6,0)</f>
        <v>60</v>
      </c>
      <c r="I890" t="str">
        <f>VLOOKUP(C890,Магазины!A:C,3,0)</f>
        <v>Оренбург</v>
      </c>
      <c r="J890">
        <f>VLOOKUP(D890,Товары!A:I,4,0)</f>
        <v>27930</v>
      </c>
      <c r="K890">
        <f t="shared" si="13"/>
        <v>27930</v>
      </c>
    </row>
    <row r="891" spans="1:11" hidden="1" x14ac:dyDescent="0.25">
      <c r="A891">
        <v>890</v>
      </c>
      <c r="B891" s="1">
        <v>45754</v>
      </c>
      <c r="C891" t="s">
        <v>111</v>
      </c>
      <c r="D891" t="s">
        <v>38</v>
      </c>
      <c r="E891" t="s">
        <v>8</v>
      </c>
      <c r="F891">
        <v>3</v>
      </c>
      <c r="G891" t="str">
        <f>VLOOKUP(D891,Товары!A:I,3,0)</f>
        <v>Тумба с раковиной  навес. Куба Риф 600 белый 2 ящика с умыв. Como</v>
      </c>
      <c r="H891">
        <f>VLOOKUP(D891,Товары!A:I,6,0)</f>
        <v>55</v>
      </c>
      <c r="I891" t="str">
        <f>VLOOKUP(C891,Магазины!A:C,3,0)</f>
        <v>Набережные Челны</v>
      </c>
      <c r="J891">
        <f>VLOOKUP(D891,Товары!A:I,4,0)</f>
        <v>14265</v>
      </c>
      <c r="K891">
        <f t="shared" si="13"/>
        <v>42795</v>
      </c>
    </row>
    <row r="892" spans="1:11" hidden="1" x14ac:dyDescent="0.25">
      <c r="A892">
        <v>891</v>
      </c>
      <c r="B892" s="1">
        <v>45749</v>
      </c>
      <c r="C892" t="s">
        <v>111</v>
      </c>
      <c r="D892" t="s">
        <v>87</v>
      </c>
      <c r="E892" t="s">
        <v>13</v>
      </c>
      <c r="F892">
        <v>3</v>
      </c>
      <c r="G892" t="str">
        <f>VLOOKUP(D892,Товары!A:I,3,0)</f>
        <v>Тумба с раковиной  напол. Леон 700 форест 2 ящика с умыв. Слим</v>
      </c>
      <c r="H892">
        <f>VLOOKUP(D892,Товары!A:I,6,0)</f>
        <v>80</v>
      </c>
      <c r="I892" t="str">
        <f>VLOOKUP(C892,Магазины!A:C,3,0)</f>
        <v>Набережные Челны</v>
      </c>
      <c r="J892">
        <f>VLOOKUP(D892,Товары!A:I,4,0)</f>
        <v>28380</v>
      </c>
      <c r="K892">
        <f t="shared" si="13"/>
        <v>85140</v>
      </c>
    </row>
    <row r="893" spans="1:11" hidden="1" x14ac:dyDescent="0.25">
      <c r="A893">
        <v>892</v>
      </c>
      <c r="B893" s="1">
        <v>45756</v>
      </c>
      <c r="C893" t="s">
        <v>9</v>
      </c>
      <c r="D893" t="s">
        <v>85</v>
      </c>
      <c r="E893" t="s">
        <v>13</v>
      </c>
      <c r="F893">
        <v>1</v>
      </c>
      <c r="G893" t="str">
        <f>VLOOKUP(D893,Товары!A:I,3,0)</f>
        <v>Пенал напол. Аква 450 белый 2 двери + 2 ящика + корзина</v>
      </c>
      <c r="H893">
        <f>VLOOKUP(D893,Товары!A:I,6,0)</f>
        <v>190</v>
      </c>
      <c r="I893" t="str">
        <f>VLOOKUP(C893,Магазины!A:C,3,0)</f>
        <v>Кемерово</v>
      </c>
      <c r="J893">
        <f>VLOOKUP(D893,Товары!A:I,4,0)</f>
        <v>13335</v>
      </c>
      <c r="K893">
        <f t="shared" si="13"/>
        <v>13335</v>
      </c>
    </row>
    <row r="894" spans="1:11" hidden="1" x14ac:dyDescent="0.25">
      <c r="A894">
        <v>893</v>
      </c>
      <c r="B894" s="1">
        <v>45753</v>
      </c>
      <c r="C894" t="s">
        <v>54</v>
      </c>
      <c r="D894" t="s">
        <v>67</v>
      </c>
      <c r="E894" t="s">
        <v>8</v>
      </c>
      <c r="F894">
        <v>3</v>
      </c>
      <c r="G894" t="str">
        <f>VLOOKUP(D894,Товары!A:I,3,0)</f>
        <v>Пенал навес./напол. Альба 350 суфле 2 двери</v>
      </c>
      <c r="H894">
        <f>VLOOKUP(D894,Товары!A:I,6,0)</f>
        <v>150</v>
      </c>
      <c r="I894" t="str">
        <f>VLOOKUP(C894,Магазины!A:C,3,0)</f>
        <v>Ставрополь</v>
      </c>
      <c r="J894">
        <f>VLOOKUP(D894,Товары!A:I,4,0)</f>
        <v>11655</v>
      </c>
      <c r="K894">
        <f t="shared" si="13"/>
        <v>34965</v>
      </c>
    </row>
    <row r="895" spans="1:11" hidden="1" x14ac:dyDescent="0.25">
      <c r="A895">
        <v>894</v>
      </c>
      <c r="B895" s="1">
        <v>45750</v>
      </c>
      <c r="C895" t="s">
        <v>48</v>
      </c>
      <c r="D895" t="s">
        <v>115</v>
      </c>
      <c r="E895" t="s">
        <v>8</v>
      </c>
      <c r="F895">
        <v>3</v>
      </c>
      <c r="G895" t="str">
        <f>VLOOKUP(D895,Товары!A:I,3,0)</f>
        <v>Тумба под стиральную машину Куба Риф 57 напольная 2 ящика под ст/маш, без умывальника /под Marshall 120 Белый</v>
      </c>
      <c r="H895">
        <f>VLOOKUP(D895,Товары!A:I,6,0)</f>
        <v>85</v>
      </c>
      <c r="I895" t="str">
        <f>VLOOKUP(C895,Магазины!A:C,3,0)</f>
        <v>Ставрополь</v>
      </c>
      <c r="J895">
        <f>VLOOKUP(D895,Товары!A:I,4,0)</f>
        <v>10530</v>
      </c>
      <c r="K895">
        <f t="shared" si="13"/>
        <v>31590</v>
      </c>
    </row>
    <row r="896" spans="1:11" hidden="1" x14ac:dyDescent="0.25">
      <c r="A896">
        <v>895</v>
      </c>
      <c r="B896" s="1">
        <v>45750</v>
      </c>
      <c r="C896" t="s">
        <v>57</v>
      </c>
      <c r="D896" t="s">
        <v>109</v>
      </c>
      <c r="E896" t="s">
        <v>13</v>
      </c>
      <c r="F896">
        <v>3</v>
      </c>
      <c r="G896" t="str">
        <f>VLOOKUP(D896,Товары!A:I,3,0)</f>
        <v>Тумба с раковиной  навес. Альба 600 антрацит 2 ящика с умыв. Океан</v>
      </c>
      <c r="H896">
        <f>VLOOKUP(D896,Товары!A:I,6,0)</f>
        <v>50</v>
      </c>
      <c r="I896" t="str">
        <f>VLOOKUP(C896,Магазины!A:C,3,0)</f>
        <v>Оренбург</v>
      </c>
      <c r="J896">
        <f>VLOOKUP(D896,Товары!A:I,4,0)</f>
        <v>24810</v>
      </c>
      <c r="K896">
        <f t="shared" si="13"/>
        <v>74430</v>
      </c>
    </row>
    <row r="897" spans="1:11" hidden="1" x14ac:dyDescent="0.25">
      <c r="A897">
        <v>896</v>
      </c>
      <c r="B897" s="1">
        <v>45756</v>
      </c>
      <c r="C897" t="s">
        <v>41</v>
      </c>
      <c r="D897" t="s">
        <v>32</v>
      </c>
      <c r="E897" t="s">
        <v>13</v>
      </c>
      <c r="F897">
        <v>2</v>
      </c>
      <c r="G897" t="str">
        <f>VLOOKUP(D897,Товары!A:I,3,0)</f>
        <v>Тумба с раковиной  напол. Леон Риф 700 солярис/белый риф 2 ящика с умыв. Слим</v>
      </c>
      <c r="H897">
        <f>VLOOKUP(D897,Товары!A:I,6,0)</f>
        <v>85</v>
      </c>
      <c r="I897" t="str">
        <f>VLOOKUP(C897,Магазины!A:C,3,0)</f>
        <v>Ставрополь</v>
      </c>
      <c r="J897">
        <f>VLOOKUP(D897,Товары!A:I,4,0)</f>
        <v>26460</v>
      </c>
      <c r="K897">
        <f t="shared" si="13"/>
        <v>52920</v>
      </c>
    </row>
    <row r="898" spans="1:11" hidden="1" x14ac:dyDescent="0.25">
      <c r="A898">
        <v>897</v>
      </c>
      <c r="B898" s="1">
        <v>45755</v>
      </c>
      <c r="C898" t="s">
        <v>54</v>
      </c>
      <c r="D898" t="s">
        <v>29</v>
      </c>
      <c r="E898" t="s">
        <v>13</v>
      </c>
      <c r="F898">
        <v>3</v>
      </c>
      <c r="G898" t="str">
        <f>VLOOKUP(D898,Товары!A:I,3,0)</f>
        <v>Тумба с раковиной  напол. Леон Риф 600 солярис/белый риф 2 ящика с умыв. Океан</v>
      </c>
      <c r="H898">
        <f>VLOOKUP(D898,Товары!A:I,6,0)</f>
        <v>80</v>
      </c>
      <c r="I898" t="str">
        <f>VLOOKUP(C898,Магазины!A:C,3,0)</f>
        <v>Ставрополь</v>
      </c>
      <c r="J898">
        <f>VLOOKUP(D898,Товары!A:I,4,0)</f>
        <v>24150</v>
      </c>
      <c r="K898">
        <f t="shared" si="13"/>
        <v>72450</v>
      </c>
    </row>
    <row r="899" spans="1:11" hidden="1" x14ac:dyDescent="0.25">
      <c r="A899">
        <v>898</v>
      </c>
      <c r="B899" s="1">
        <v>45755</v>
      </c>
      <c r="C899" t="s">
        <v>54</v>
      </c>
      <c r="D899" t="s">
        <v>10</v>
      </c>
      <c r="E899" t="s">
        <v>8</v>
      </c>
      <c r="F899">
        <v>1</v>
      </c>
      <c r="G899" t="str">
        <f>VLOOKUP(D899,Товары!A:I,3,0)</f>
        <v>Тумба с раковиной  навес. Альба 700 антрацит 1 ящик с умыв. Слим</v>
      </c>
      <c r="H899">
        <f>VLOOKUP(D899,Товары!A:I,6,0)</f>
        <v>45</v>
      </c>
      <c r="I899" t="str">
        <f>VLOOKUP(C899,Магазины!A:C,3,0)</f>
        <v>Ставрополь</v>
      </c>
      <c r="J899">
        <f>VLOOKUP(D899,Товары!A:I,4,0)</f>
        <v>20130</v>
      </c>
      <c r="K899">
        <f t="shared" ref="K899:K962" si="14">J899*F899</f>
        <v>20130</v>
      </c>
    </row>
    <row r="900" spans="1:11" hidden="1" x14ac:dyDescent="0.25">
      <c r="A900">
        <v>899</v>
      </c>
      <c r="B900" s="1">
        <v>45748</v>
      </c>
      <c r="C900" t="s">
        <v>58</v>
      </c>
      <c r="D900" t="s">
        <v>86</v>
      </c>
      <c r="E900" t="s">
        <v>13</v>
      </c>
      <c r="F900">
        <v>1</v>
      </c>
      <c r="G900" t="str">
        <f>VLOOKUP(D900,Товары!A:I,3,0)</f>
        <v>Комод Аква 50 напольный 1 ящик 2 двери белый</v>
      </c>
      <c r="H900">
        <f>VLOOKUP(D900,Товары!A:I,6,0)</f>
        <v>90</v>
      </c>
      <c r="I900" t="str">
        <f>VLOOKUP(C900,Магазины!A:C,3,0)</f>
        <v>Ставрополь</v>
      </c>
      <c r="J900">
        <f>VLOOKUP(D900,Товары!A:I,4,0)</f>
        <v>7260</v>
      </c>
      <c r="K900">
        <f t="shared" si="14"/>
        <v>7260</v>
      </c>
    </row>
    <row r="901" spans="1:11" hidden="1" x14ac:dyDescent="0.25">
      <c r="A901">
        <v>900</v>
      </c>
      <c r="B901" s="1">
        <v>45748</v>
      </c>
      <c r="C901" t="s">
        <v>30</v>
      </c>
      <c r="D901" t="s">
        <v>130</v>
      </c>
      <c r="E901" t="s">
        <v>8</v>
      </c>
      <c r="F901">
        <v>3</v>
      </c>
      <c r="G901" t="str">
        <f>VLOOKUP(D901,Товары!A:I,3,0)</f>
        <v>Пенал напол. Леон 400 форест 2 двери + 1 ящик</v>
      </c>
      <c r="H901">
        <f>VLOOKUP(D901,Товары!A:I,6,0)</f>
        <v>190</v>
      </c>
      <c r="I901" t="str">
        <f>VLOOKUP(C901,Магазины!A:C,3,0)</f>
        <v>Кемерово</v>
      </c>
      <c r="J901">
        <f>VLOOKUP(D901,Товары!A:I,4,0)</f>
        <v>18450</v>
      </c>
      <c r="K901">
        <f t="shared" si="14"/>
        <v>55350</v>
      </c>
    </row>
    <row r="902" spans="1:11" hidden="1" x14ac:dyDescent="0.25">
      <c r="A902">
        <v>901</v>
      </c>
      <c r="B902" s="1">
        <v>45756</v>
      </c>
      <c r="C902" t="s">
        <v>22</v>
      </c>
      <c r="D902" t="s">
        <v>66</v>
      </c>
      <c r="E902" t="s">
        <v>13</v>
      </c>
      <c r="F902">
        <v>2</v>
      </c>
      <c r="G902" t="str">
        <f>VLOOKUP(D902,Товары!A:I,3,0)</f>
        <v>Тумба с раковиной  навес. Альба 800 мята 2 ящика с умыв. Слим</v>
      </c>
      <c r="H902">
        <f>VLOOKUP(D902,Товары!A:I,6,0)</f>
        <v>50</v>
      </c>
      <c r="I902" t="str">
        <f>VLOOKUP(C902,Магазины!A:C,3,0)</f>
        <v>Кемерово</v>
      </c>
      <c r="J902">
        <f>VLOOKUP(D902,Товары!A:I,4,0)</f>
        <v>26070</v>
      </c>
      <c r="K902">
        <f t="shared" si="14"/>
        <v>52140</v>
      </c>
    </row>
    <row r="903" spans="1:11" hidden="1" x14ac:dyDescent="0.25">
      <c r="A903">
        <v>902</v>
      </c>
      <c r="B903" s="1">
        <v>45755</v>
      </c>
      <c r="C903" t="s">
        <v>41</v>
      </c>
      <c r="D903" t="s">
        <v>61</v>
      </c>
      <c r="E903" t="s">
        <v>8</v>
      </c>
      <c r="F903">
        <v>3</v>
      </c>
      <c r="G903" t="str">
        <f>VLOOKUP(D903,Товары!A:I,3,0)</f>
        <v>Тумба под стиральную машину Леон Риф 57 напольная 2 ящика под ст/маш, без умывальника /под Marshall 120 Солярис/Белый Риф</v>
      </c>
      <c r="H903">
        <f>VLOOKUP(D903,Товары!A:I,6,0)</f>
        <v>85</v>
      </c>
      <c r="I903" t="str">
        <f>VLOOKUP(C903,Магазины!A:C,3,0)</f>
        <v>Ставрополь</v>
      </c>
      <c r="J903">
        <f>VLOOKUP(D903,Товары!A:I,4,0)</f>
        <v>17430</v>
      </c>
      <c r="K903">
        <f t="shared" si="14"/>
        <v>52290</v>
      </c>
    </row>
    <row r="904" spans="1:11" hidden="1" x14ac:dyDescent="0.25">
      <c r="A904">
        <v>903</v>
      </c>
      <c r="B904" s="1">
        <v>45748</v>
      </c>
      <c r="C904" t="s">
        <v>48</v>
      </c>
      <c r="D904" t="s">
        <v>112</v>
      </c>
      <c r="E904" t="s">
        <v>8</v>
      </c>
      <c r="F904">
        <v>1</v>
      </c>
      <c r="G904" t="str">
        <f>VLOOKUP(D904,Товары!A:I,3,0)</f>
        <v>Тумба с раковиной  напол. Аква 560 белый 2 двери с умыв. Уют</v>
      </c>
      <c r="H904">
        <f>VLOOKUP(D904,Товары!A:I,6,0)</f>
        <v>85</v>
      </c>
      <c r="I904" t="str">
        <f>VLOOKUP(C904,Магазины!A:C,3,0)</f>
        <v>Ставрополь</v>
      </c>
      <c r="J904">
        <f>VLOOKUP(D904,Товары!A:I,4,0)</f>
        <v>9330</v>
      </c>
      <c r="K904">
        <f t="shared" si="14"/>
        <v>9330</v>
      </c>
    </row>
    <row r="905" spans="1:11" hidden="1" x14ac:dyDescent="0.25">
      <c r="A905">
        <v>904</v>
      </c>
      <c r="B905" s="1">
        <v>45751</v>
      </c>
      <c r="C905" t="s">
        <v>14</v>
      </c>
      <c r="D905" t="s">
        <v>130</v>
      </c>
      <c r="E905" t="s">
        <v>13</v>
      </c>
      <c r="F905">
        <v>3</v>
      </c>
      <c r="G905" t="str">
        <f>VLOOKUP(D905,Товары!A:I,3,0)</f>
        <v>Пенал напол. Леон 400 форест 2 двери + 1 ящик</v>
      </c>
      <c r="H905">
        <f>VLOOKUP(D905,Товары!A:I,6,0)</f>
        <v>190</v>
      </c>
      <c r="I905" t="str">
        <f>VLOOKUP(C905,Магазины!A:C,3,0)</f>
        <v>Оренбург</v>
      </c>
      <c r="J905">
        <f>VLOOKUP(D905,Товары!A:I,4,0)</f>
        <v>18450</v>
      </c>
      <c r="K905">
        <f t="shared" si="14"/>
        <v>55350</v>
      </c>
    </row>
    <row r="906" spans="1:11" hidden="1" x14ac:dyDescent="0.25">
      <c r="A906">
        <v>905</v>
      </c>
      <c r="B906" s="1">
        <v>45752</v>
      </c>
      <c r="C906" t="s">
        <v>30</v>
      </c>
      <c r="D906" t="s">
        <v>115</v>
      </c>
      <c r="E906" t="s">
        <v>13</v>
      </c>
      <c r="F906">
        <v>3</v>
      </c>
      <c r="G906" t="str">
        <f>VLOOKUP(D906,Товары!A:I,3,0)</f>
        <v>Тумба под стиральную машину Куба Риф 57 напольная 2 ящика под ст/маш, без умывальника /под Marshall 120 Белый</v>
      </c>
      <c r="H906">
        <f>VLOOKUP(D906,Товары!A:I,6,0)</f>
        <v>85</v>
      </c>
      <c r="I906" t="str">
        <f>VLOOKUP(C906,Магазины!A:C,3,0)</f>
        <v>Кемерово</v>
      </c>
      <c r="J906">
        <f>VLOOKUP(D906,Товары!A:I,4,0)</f>
        <v>10530</v>
      </c>
      <c r="K906">
        <f t="shared" si="14"/>
        <v>31590</v>
      </c>
    </row>
    <row r="907" spans="1:11" hidden="1" x14ac:dyDescent="0.25">
      <c r="A907">
        <v>906</v>
      </c>
      <c r="B907" s="1">
        <v>45754</v>
      </c>
      <c r="C907" t="s">
        <v>30</v>
      </c>
      <c r="D907" t="s">
        <v>87</v>
      </c>
      <c r="E907" t="s">
        <v>8</v>
      </c>
      <c r="F907">
        <v>1</v>
      </c>
      <c r="G907" t="str">
        <f>VLOOKUP(D907,Товары!A:I,3,0)</f>
        <v>Тумба с раковиной  напол. Леон 700 форест 2 ящика с умыв. Слим</v>
      </c>
      <c r="H907">
        <f>VLOOKUP(D907,Товары!A:I,6,0)</f>
        <v>80</v>
      </c>
      <c r="I907" t="str">
        <f>VLOOKUP(C907,Магазины!A:C,3,0)</f>
        <v>Кемерово</v>
      </c>
      <c r="J907">
        <f>VLOOKUP(D907,Товары!A:I,4,0)</f>
        <v>28380</v>
      </c>
      <c r="K907">
        <f t="shared" si="14"/>
        <v>28380</v>
      </c>
    </row>
    <row r="908" spans="1:11" hidden="1" x14ac:dyDescent="0.25">
      <c r="A908">
        <v>907</v>
      </c>
      <c r="B908" s="1">
        <v>45753</v>
      </c>
      <c r="C908" t="s">
        <v>33</v>
      </c>
      <c r="D908" t="s">
        <v>124</v>
      </c>
      <c r="E908" t="s">
        <v>13</v>
      </c>
      <c r="F908">
        <v>2</v>
      </c>
      <c r="G908" t="str">
        <f>VLOOKUP(D908,Товары!A:I,3,0)</f>
        <v>Тумба с раковиной  напол. Леон 600 оникс 2 ящика с умыв. Океан</v>
      </c>
      <c r="H908">
        <f>VLOOKUP(D908,Товары!A:I,6,0)</f>
        <v>80</v>
      </c>
      <c r="I908" t="str">
        <f>VLOOKUP(C908,Магазины!A:C,3,0)</f>
        <v>Набережные Челны</v>
      </c>
      <c r="J908">
        <f>VLOOKUP(D908,Товары!A:I,4,0)</f>
        <v>25860</v>
      </c>
      <c r="K908">
        <f t="shared" si="14"/>
        <v>51720</v>
      </c>
    </row>
    <row r="909" spans="1:11" hidden="1" x14ac:dyDescent="0.25">
      <c r="A909">
        <v>908</v>
      </c>
      <c r="B909" s="1">
        <v>45757</v>
      </c>
      <c r="C909" t="s">
        <v>18</v>
      </c>
      <c r="D909" t="s">
        <v>81</v>
      </c>
      <c r="E909" t="s">
        <v>13</v>
      </c>
      <c r="F909">
        <v>1</v>
      </c>
      <c r="G909" t="str">
        <f>VLOOKUP(D909,Товары!A:I,3,0)</f>
        <v>Тумба с раковиной  навес. Рица 600 cерый/керамика 1 ящик + ниша 1 с умыв. Океан</v>
      </c>
      <c r="H909">
        <f>VLOOKUP(D909,Товары!A:I,6,0)</f>
        <v>60</v>
      </c>
      <c r="I909" t="str">
        <f>VLOOKUP(C909,Магазины!A:C,3,0)</f>
        <v>Набережные Челны</v>
      </c>
      <c r="J909">
        <f>VLOOKUP(D909,Товары!A:I,4,0)</f>
        <v>18900</v>
      </c>
      <c r="K909">
        <f t="shared" si="14"/>
        <v>18900</v>
      </c>
    </row>
    <row r="910" spans="1:11" hidden="1" x14ac:dyDescent="0.25">
      <c r="A910">
        <v>909</v>
      </c>
      <c r="B910" s="1">
        <v>45754</v>
      </c>
      <c r="C910" t="s">
        <v>58</v>
      </c>
      <c r="D910" t="s">
        <v>64</v>
      </c>
      <c r="E910" t="s">
        <v>13</v>
      </c>
      <c r="F910">
        <v>1</v>
      </c>
      <c r="G910" t="str">
        <f>VLOOKUP(D910,Товары!A:I,3,0)</f>
        <v>Тумба с раковиной  напол. Рица 800 антрацит 2 ящика с умыв. Слим</v>
      </c>
      <c r="H910">
        <f>VLOOKUP(D910,Товары!A:I,6,0)</f>
        <v>80</v>
      </c>
      <c r="I910" t="str">
        <f>VLOOKUP(C910,Магазины!A:C,3,0)</f>
        <v>Ставрополь</v>
      </c>
      <c r="J910">
        <f>VLOOKUP(D910,Товары!A:I,4,0)</f>
        <v>28980</v>
      </c>
      <c r="K910">
        <f t="shared" si="14"/>
        <v>28980</v>
      </c>
    </row>
    <row r="911" spans="1:11" hidden="1" x14ac:dyDescent="0.25">
      <c r="A911">
        <v>910</v>
      </c>
      <c r="B911" s="1">
        <v>45754</v>
      </c>
      <c r="C911" t="s">
        <v>9</v>
      </c>
      <c r="D911" t="s">
        <v>120</v>
      </c>
      <c r="E911" t="s">
        <v>13</v>
      </c>
      <c r="F911">
        <v>1</v>
      </c>
      <c r="G911" t="str">
        <f>VLOOKUP(D911,Товары!A:I,3,0)</f>
        <v>Зеркальный шкаф Альба 60 со светильником правый цвет антрацит</v>
      </c>
      <c r="H911">
        <f>VLOOKUP(D911,Товары!A:I,6,0)</f>
        <v>75</v>
      </c>
      <c r="I911" t="str">
        <f>VLOOKUP(C911,Магазины!A:C,3,0)</f>
        <v>Кемерово</v>
      </c>
      <c r="J911">
        <f>VLOOKUP(D911,Товары!A:I,4,0)</f>
        <v>8910</v>
      </c>
      <c r="K911">
        <f t="shared" si="14"/>
        <v>8910</v>
      </c>
    </row>
    <row r="912" spans="1:11" hidden="1" x14ac:dyDescent="0.25">
      <c r="A912">
        <v>911</v>
      </c>
      <c r="B912" s="1">
        <v>45757</v>
      </c>
      <c r="C912" t="s">
        <v>48</v>
      </c>
      <c r="D912" t="s">
        <v>21</v>
      </c>
      <c r="E912" t="s">
        <v>8</v>
      </c>
      <c r="F912">
        <v>1</v>
      </c>
      <c r="G912" t="str">
        <f>VLOOKUP(D912,Товары!A:I,3,0)</f>
        <v>Зеркальный шкаф Рица 60 со светильником правый цвет cерый/керамика</v>
      </c>
      <c r="H912">
        <f>VLOOKUP(D912,Товары!A:I,6,0)</f>
        <v>75</v>
      </c>
      <c r="I912" t="str">
        <f>VLOOKUP(C912,Магазины!A:C,3,0)</f>
        <v>Ставрополь</v>
      </c>
      <c r="J912">
        <f>VLOOKUP(D912,Товары!A:I,4,0)</f>
        <v>8910</v>
      </c>
      <c r="K912">
        <f t="shared" si="14"/>
        <v>8910</v>
      </c>
    </row>
    <row r="913" spans="1:11" hidden="1" x14ac:dyDescent="0.25">
      <c r="A913">
        <v>912</v>
      </c>
      <c r="B913" s="1">
        <v>45754</v>
      </c>
      <c r="C913" t="s">
        <v>18</v>
      </c>
      <c r="D913" t="s">
        <v>49</v>
      </c>
      <c r="E913" t="s">
        <v>8</v>
      </c>
      <c r="F913">
        <v>2</v>
      </c>
      <c r="G913" t="str">
        <f>VLOOKUP(D913,Товары!A:I,3,0)</f>
        <v>Тумба с раковиной  напол. Леон 700 оникс 2 ящика с умыв. Слим</v>
      </c>
      <c r="H913">
        <f>VLOOKUP(D913,Товары!A:I,6,0)</f>
        <v>80</v>
      </c>
      <c r="I913" t="str">
        <f>VLOOKUP(C913,Магазины!A:C,3,0)</f>
        <v>Набережные Челны</v>
      </c>
      <c r="J913">
        <f>VLOOKUP(D913,Товары!A:I,4,0)</f>
        <v>28380</v>
      </c>
      <c r="K913">
        <f t="shared" si="14"/>
        <v>56760</v>
      </c>
    </row>
    <row r="914" spans="1:11" hidden="1" x14ac:dyDescent="0.25">
      <c r="A914">
        <v>913</v>
      </c>
      <c r="B914" s="1">
        <v>45748</v>
      </c>
      <c r="C914" t="s">
        <v>92</v>
      </c>
      <c r="D914" t="s">
        <v>129</v>
      </c>
      <c r="E914" t="s">
        <v>8</v>
      </c>
      <c r="F914">
        <v>2</v>
      </c>
      <c r="G914" t="str">
        <f>VLOOKUP(D914,Товары!A:I,3,0)</f>
        <v>Тумба с раковиной  напол. Альба 700 антрацит 2 ящика с умыв. Слим</v>
      </c>
      <c r="H914">
        <f>VLOOKUP(D914,Товары!A:I,6,0)</f>
        <v>85</v>
      </c>
      <c r="I914" t="str">
        <f>VLOOKUP(C914,Магазины!A:C,3,0)</f>
        <v>Кемерово</v>
      </c>
      <c r="J914">
        <f>VLOOKUP(D914,Товары!A:I,4,0)</f>
        <v>28695</v>
      </c>
      <c r="K914">
        <f t="shared" si="14"/>
        <v>57390</v>
      </c>
    </row>
    <row r="915" spans="1:11" hidden="1" x14ac:dyDescent="0.25">
      <c r="A915">
        <v>914</v>
      </c>
      <c r="B915" s="1">
        <v>45753</v>
      </c>
      <c r="C915" t="s">
        <v>54</v>
      </c>
      <c r="D915" t="s">
        <v>70</v>
      </c>
      <c r="E915" t="s">
        <v>13</v>
      </c>
      <c r="F915">
        <v>2</v>
      </c>
      <c r="G915" t="str">
        <f>VLOOKUP(D915,Товары!A:I,3,0)</f>
        <v>Тумба с раковиной  напол. Кристалл 700 шато азур 2 ящика с умыв. Слим</v>
      </c>
      <c r="H915">
        <f>VLOOKUP(D915,Товары!A:I,6,0)</f>
        <v>85</v>
      </c>
      <c r="I915" t="str">
        <f>VLOOKUP(C915,Магазины!A:C,3,0)</f>
        <v>Ставрополь</v>
      </c>
      <c r="J915">
        <f>VLOOKUP(D915,Товары!A:I,4,0)</f>
        <v>29910</v>
      </c>
      <c r="K915">
        <f t="shared" si="14"/>
        <v>59820</v>
      </c>
    </row>
    <row r="916" spans="1:11" hidden="1" x14ac:dyDescent="0.25">
      <c r="A916">
        <v>915</v>
      </c>
      <c r="B916" s="1">
        <v>45750</v>
      </c>
      <c r="C916" t="s">
        <v>16</v>
      </c>
      <c r="D916" t="s">
        <v>119</v>
      </c>
      <c r="E916" t="s">
        <v>13</v>
      </c>
      <c r="F916">
        <v>3</v>
      </c>
      <c r="G916" t="str">
        <f>VLOOKUP(D916,Товары!A:I,3,0)</f>
        <v>Пенал навес./напол. Рица 350 cерый/керамика 2 двери</v>
      </c>
      <c r="H916">
        <f>VLOOKUP(D916,Товары!A:I,6,0)</f>
        <v>160</v>
      </c>
      <c r="I916" t="str">
        <f>VLOOKUP(C916,Магазины!A:C,3,0)</f>
        <v>Оренбург</v>
      </c>
      <c r="J916">
        <f>VLOOKUP(D916,Товары!A:I,4,0)</f>
        <v>11250</v>
      </c>
      <c r="K916">
        <f t="shared" si="14"/>
        <v>33750</v>
      </c>
    </row>
    <row r="917" spans="1:11" hidden="1" x14ac:dyDescent="0.25">
      <c r="A917">
        <v>916</v>
      </c>
      <c r="B917" s="1">
        <v>45748</v>
      </c>
      <c r="C917" t="s">
        <v>9</v>
      </c>
      <c r="D917" t="s">
        <v>74</v>
      </c>
      <c r="E917" t="s">
        <v>8</v>
      </c>
      <c r="F917">
        <v>2</v>
      </c>
      <c r="G917" t="str">
        <f>VLOOKUP(D917,Товары!A:I,3,0)</f>
        <v>Тумба с раковиной  напол. Альба 800 суфле 2 ящика с умыв. Слим</v>
      </c>
      <c r="H917">
        <f>VLOOKUP(D917,Товары!A:I,6,0)</f>
        <v>80</v>
      </c>
      <c r="I917" t="str">
        <f>VLOOKUP(C917,Магазины!A:C,3,0)</f>
        <v>Кемерово</v>
      </c>
      <c r="J917">
        <f>VLOOKUP(D917,Товары!A:I,4,0)</f>
        <v>29340</v>
      </c>
      <c r="K917">
        <f t="shared" si="14"/>
        <v>58680</v>
      </c>
    </row>
    <row r="918" spans="1:11" hidden="1" x14ac:dyDescent="0.25">
      <c r="A918">
        <v>917</v>
      </c>
      <c r="B918" s="1">
        <v>45756</v>
      </c>
      <c r="C918" t="s">
        <v>57</v>
      </c>
      <c r="D918" t="s">
        <v>86</v>
      </c>
      <c r="E918" t="s">
        <v>13</v>
      </c>
      <c r="F918">
        <v>3</v>
      </c>
      <c r="G918" t="str">
        <f>VLOOKUP(D918,Товары!A:I,3,0)</f>
        <v>Комод Аква 50 напольный 1 ящик 2 двери белый</v>
      </c>
      <c r="H918">
        <f>VLOOKUP(D918,Товары!A:I,6,0)</f>
        <v>90</v>
      </c>
      <c r="I918" t="str">
        <f>VLOOKUP(C918,Магазины!A:C,3,0)</f>
        <v>Оренбург</v>
      </c>
      <c r="J918">
        <f>VLOOKUP(D918,Товары!A:I,4,0)</f>
        <v>7260</v>
      </c>
      <c r="K918">
        <f t="shared" si="14"/>
        <v>21780</v>
      </c>
    </row>
    <row r="919" spans="1:11" hidden="1" x14ac:dyDescent="0.25">
      <c r="A919">
        <v>918</v>
      </c>
      <c r="B919" s="1">
        <v>45755</v>
      </c>
      <c r="C919" t="s">
        <v>54</v>
      </c>
      <c r="D919" t="s">
        <v>67</v>
      </c>
      <c r="E919" t="s">
        <v>13</v>
      </c>
      <c r="F919">
        <v>2</v>
      </c>
      <c r="G919" t="str">
        <f>VLOOKUP(D919,Товары!A:I,3,0)</f>
        <v>Пенал навес./напол. Альба 350 суфле 2 двери</v>
      </c>
      <c r="H919">
        <f>VLOOKUP(D919,Товары!A:I,6,0)</f>
        <v>150</v>
      </c>
      <c r="I919" t="str">
        <f>VLOOKUP(C919,Магазины!A:C,3,0)</f>
        <v>Ставрополь</v>
      </c>
      <c r="J919">
        <f>VLOOKUP(D919,Товары!A:I,4,0)</f>
        <v>11655</v>
      </c>
      <c r="K919">
        <f t="shared" si="14"/>
        <v>23310</v>
      </c>
    </row>
    <row r="920" spans="1:11" hidden="1" x14ac:dyDescent="0.25">
      <c r="A920">
        <v>919</v>
      </c>
      <c r="B920" s="1">
        <v>45752</v>
      </c>
      <c r="C920" t="s">
        <v>54</v>
      </c>
      <c r="D920" t="s">
        <v>95</v>
      </c>
      <c r="E920" t="s">
        <v>13</v>
      </c>
      <c r="F920">
        <v>2</v>
      </c>
      <c r="G920" t="str">
        <f>VLOOKUP(D920,Товары!A:I,3,0)</f>
        <v>Тумба с раковиной  напол. Рица 600 антрацит 2 ящика с умыв. Океан</v>
      </c>
      <c r="H920">
        <f>VLOOKUP(D920,Товары!A:I,6,0)</f>
        <v>80</v>
      </c>
      <c r="I920" t="str">
        <f>VLOOKUP(C920,Магазины!A:C,3,0)</f>
        <v>Ставрополь</v>
      </c>
      <c r="J920">
        <f>VLOOKUP(D920,Товары!A:I,4,0)</f>
        <v>25560</v>
      </c>
      <c r="K920">
        <f t="shared" si="14"/>
        <v>51120</v>
      </c>
    </row>
    <row r="921" spans="1:11" hidden="1" x14ac:dyDescent="0.25">
      <c r="A921">
        <v>920</v>
      </c>
      <c r="B921" s="1">
        <v>45751</v>
      </c>
      <c r="C921" t="s">
        <v>111</v>
      </c>
      <c r="D921" t="s">
        <v>78</v>
      </c>
      <c r="E921" t="s">
        <v>8</v>
      </c>
      <c r="F921">
        <v>2</v>
      </c>
      <c r="G921" t="str">
        <f>VLOOKUP(D921,Товары!A:I,3,0)</f>
        <v>Зеркальный шкаф Кристалл 70 со светильником правый, ручка кнопка дуб цвет Шато Азур</v>
      </c>
      <c r="H921">
        <f>VLOOKUP(D921,Товары!A:I,6,0)</f>
        <v>75</v>
      </c>
      <c r="I921" t="str">
        <f>VLOOKUP(C921,Магазины!A:C,3,0)</f>
        <v>Набережные Челны</v>
      </c>
      <c r="J921">
        <f>VLOOKUP(D921,Товары!A:I,4,0)</f>
        <v>9615</v>
      </c>
      <c r="K921">
        <f t="shared" si="14"/>
        <v>19230</v>
      </c>
    </row>
    <row r="922" spans="1:11" hidden="1" x14ac:dyDescent="0.25">
      <c r="A922">
        <v>921</v>
      </c>
      <c r="B922" s="1">
        <v>45753</v>
      </c>
      <c r="C922" t="s">
        <v>30</v>
      </c>
      <c r="D922" t="s">
        <v>128</v>
      </c>
      <c r="E922" t="s">
        <v>8</v>
      </c>
      <c r="F922">
        <v>3</v>
      </c>
      <c r="G922" t="str">
        <f>VLOOKUP(D922,Товары!A:I,3,0)</f>
        <v>Тумба с раковиной  напол. Куба Риф 1000 белый 2 ящика с умыв. Слим</v>
      </c>
      <c r="H922">
        <f>VLOOKUP(D922,Товары!A:I,6,0)</f>
        <v>85</v>
      </c>
      <c r="I922" t="str">
        <f>VLOOKUP(C922,Магазины!A:C,3,0)</f>
        <v>Кемерово</v>
      </c>
      <c r="J922">
        <f>VLOOKUP(D922,Товары!A:I,4,0)</f>
        <v>22905</v>
      </c>
      <c r="K922">
        <f t="shared" si="14"/>
        <v>68715</v>
      </c>
    </row>
    <row r="923" spans="1:11" hidden="1" x14ac:dyDescent="0.25">
      <c r="A923">
        <v>922</v>
      </c>
      <c r="B923" s="1">
        <v>45748</v>
      </c>
      <c r="C923" t="s">
        <v>35</v>
      </c>
      <c r="D923" t="s">
        <v>102</v>
      </c>
      <c r="E923" t="s">
        <v>13</v>
      </c>
      <c r="F923">
        <v>1</v>
      </c>
      <c r="G923" t="str">
        <f>VLOOKUP(D923,Товары!A:I,3,0)</f>
        <v>Тумба с раковиной  напол. Леон Риф 1000 солярис/белый риф 2 ящика с умыв. Слим</v>
      </c>
      <c r="H923">
        <f>VLOOKUP(D923,Товары!A:I,6,0)</f>
        <v>85</v>
      </c>
      <c r="I923" t="str">
        <f>VLOOKUP(C923,Магазины!A:C,3,0)</f>
        <v>Набережные Челны</v>
      </c>
      <c r="J923">
        <f>VLOOKUP(D923,Товары!A:I,4,0)</f>
        <v>32085</v>
      </c>
      <c r="K923">
        <f t="shared" si="14"/>
        <v>32085</v>
      </c>
    </row>
    <row r="924" spans="1:11" hidden="1" x14ac:dyDescent="0.25">
      <c r="A924">
        <v>923</v>
      </c>
      <c r="B924" s="1">
        <v>45752</v>
      </c>
      <c r="C924" t="s">
        <v>6</v>
      </c>
      <c r="D924" t="s">
        <v>64</v>
      </c>
      <c r="E924" t="s">
        <v>13</v>
      </c>
      <c r="F924">
        <v>3</v>
      </c>
      <c r="G924" t="str">
        <f>VLOOKUP(D924,Товары!A:I,3,0)</f>
        <v>Тумба с раковиной  напол. Рица 800 антрацит 2 ящика с умыв. Слим</v>
      </c>
      <c r="H924">
        <f>VLOOKUP(D924,Товары!A:I,6,0)</f>
        <v>80</v>
      </c>
      <c r="I924" t="str">
        <f>VLOOKUP(C924,Магазины!A:C,3,0)</f>
        <v>Оренбург</v>
      </c>
      <c r="J924">
        <f>VLOOKUP(D924,Товары!A:I,4,0)</f>
        <v>28980</v>
      </c>
      <c r="K924">
        <f t="shared" si="14"/>
        <v>86940</v>
      </c>
    </row>
    <row r="925" spans="1:11" hidden="1" x14ac:dyDescent="0.25">
      <c r="A925">
        <v>924</v>
      </c>
      <c r="B925" s="1">
        <v>45748</v>
      </c>
      <c r="C925" t="s">
        <v>28</v>
      </c>
      <c r="D925" t="s">
        <v>75</v>
      </c>
      <c r="E925" t="s">
        <v>8</v>
      </c>
      <c r="F925">
        <v>2</v>
      </c>
      <c r="G925" t="str">
        <f>VLOOKUP(D925,Товары!A:I,3,0)</f>
        <v>Тумба с раковиной  напол. Альба 600 суфле 2 ящика с умыв. Океан</v>
      </c>
      <c r="H925">
        <f>VLOOKUP(D925,Товары!A:I,6,0)</f>
        <v>80</v>
      </c>
      <c r="I925" t="str">
        <f>VLOOKUP(C925,Магазины!A:C,3,0)</f>
        <v>Набережные Челны</v>
      </c>
      <c r="J925">
        <f>VLOOKUP(D925,Товары!A:I,4,0)</f>
        <v>26370</v>
      </c>
      <c r="K925">
        <f t="shared" si="14"/>
        <v>52740</v>
      </c>
    </row>
    <row r="926" spans="1:11" hidden="1" x14ac:dyDescent="0.25">
      <c r="A926">
        <v>925</v>
      </c>
      <c r="B926" s="1">
        <v>45754</v>
      </c>
      <c r="C926" t="s">
        <v>28</v>
      </c>
      <c r="D926" t="s">
        <v>69</v>
      </c>
      <c r="E926" t="s">
        <v>13</v>
      </c>
      <c r="F926">
        <v>2</v>
      </c>
      <c r="G926" t="str">
        <f>VLOOKUP(D926,Товары!A:I,3,0)</f>
        <v>Пенал навес./напол. Альба 350 антрацит 2 двери</v>
      </c>
      <c r="H926">
        <f>VLOOKUP(D926,Товары!A:I,6,0)</f>
        <v>150</v>
      </c>
      <c r="I926" t="str">
        <f>VLOOKUP(C926,Магазины!A:C,3,0)</f>
        <v>Набережные Челны</v>
      </c>
      <c r="J926">
        <f>VLOOKUP(D926,Товары!A:I,4,0)</f>
        <v>11655</v>
      </c>
      <c r="K926">
        <f t="shared" si="14"/>
        <v>23310</v>
      </c>
    </row>
    <row r="927" spans="1:11" hidden="1" x14ac:dyDescent="0.25">
      <c r="A927">
        <v>926</v>
      </c>
      <c r="B927" s="1">
        <v>45757</v>
      </c>
      <c r="C927" t="s">
        <v>63</v>
      </c>
      <c r="D927" t="s">
        <v>60</v>
      </c>
      <c r="E927" t="s">
        <v>8</v>
      </c>
      <c r="F927">
        <v>3</v>
      </c>
      <c r="G927" t="str">
        <f>VLOOKUP(D927,Товары!A:I,3,0)</f>
        <v>Пенал навес. Куба Риф 350 белый 2 двери</v>
      </c>
      <c r="H927">
        <f>VLOOKUP(D927,Товары!A:I,6,0)</f>
        <v>150</v>
      </c>
      <c r="I927" t="str">
        <f>VLOOKUP(C927,Магазины!A:C,3,0)</f>
        <v>Ставрополь</v>
      </c>
      <c r="J927">
        <f>VLOOKUP(D927,Товары!A:I,4,0)</f>
        <v>9720</v>
      </c>
      <c r="K927">
        <f t="shared" si="14"/>
        <v>29160</v>
      </c>
    </row>
    <row r="928" spans="1:11" hidden="1" x14ac:dyDescent="0.25">
      <c r="A928">
        <v>927</v>
      </c>
      <c r="B928" s="1">
        <v>45750</v>
      </c>
      <c r="C928" t="s">
        <v>26</v>
      </c>
      <c r="D928" t="s">
        <v>114</v>
      </c>
      <c r="E928" t="s">
        <v>8</v>
      </c>
      <c r="F928">
        <v>2</v>
      </c>
      <c r="G928" t="str">
        <f>VLOOKUP(D928,Товары!A:I,3,0)</f>
        <v>Тумба с раковиной  навес. Альба 700 мята 2 ящика с умыв. Слим</v>
      </c>
      <c r="H928">
        <f>VLOOKUP(D928,Товары!A:I,6,0)</f>
        <v>60</v>
      </c>
      <c r="I928" t="str">
        <f>VLOOKUP(C928,Магазины!A:C,3,0)</f>
        <v>Оренбург</v>
      </c>
      <c r="J928">
        <f>VLOOKUP(D928,Товары!A:I,4,0)</f>
        <v>25095</v>
      </c>
      <c r="K928">
        <f t="shared" si="14"/>
        <v>50190</v>
      </c>
    </row>
    <row r="929" spans="1:11" hidden="1" x14ac:dyDescent="0.25">
      <c r="A929">
        <v>928</v>
      </c>
      <c r="B929" s="1">
        <v>45755</v>
      </c>
      <c r="C929" t="s">
        <v>43</v>
      </c>
      <c r="D929" t="s">
        <v>96</v>
      </c>
      <c r="E929" t="s">
        <v>8</v>
      </c>
      <c r="F929">
        <v>2</v>
      </c>
      <c r="G929" t="str">
        <f>VLOOKUP(D929,Товары!A:I,3,0)</f>
        <v>Тумба с раковиной  навес. Альба 600 мята 1 ящик с умыв. Океан</v>
      </c>
      <c r="H929">
        <f>VLOOKUP(D929,Товары!A:I,6,0)</f>
        <v>85</v>
      </c>
      <c r="I929" t="str">
        <f>VLOOKUP(C929,Магазины!A:C,3,0)</f>
        <v>Набережные Челны</v>
      </c>
      <c r="J929">
        <f>VLOOKUP(D929,Товары!A:I,4,0)</f>
        <v>17625</v>
      </c>
      <c r="K929">
        <f t="shared" si="14"/>
        <v>35250</v>
      </c>
    </row>
    <row r="930" spans="1:11" hidden="1" x14ac:dyDescent="0.25">
      <c r="A930">
        <v>929</v>
      </c>
      <c r="B930" s="1">
        <v>45754</v>
      </c>
      <c r="C930" t="s">
        <v>9</v>
      </c>
      <c r="D930" t="s">
        <v>69</v>
      </c>
      <c r="E930" t="s">
        <v>8</v>
      </c>
      <c r="F930">
        <v>3</v>
      </c>
      <c r="G930" t="str">
        <f>VLOOKUP(D930,Товары!A:I,3,0)</f>
        <v>Пенал навес./напол. Альба 350 антрацит 2 двери</v>
      </c>
      <c r="H930">
        <f>VLOOKUP(D930,Товары!A:I,6,0)</f>
        <v>150</v>
      </c>
      <c r="I930" t="str">
        <f>VLOOKUP(C930,Магазины!A:C,3,0)</f>
        <v>Кемерово</v>
      </c>
      <c r="J930">
        <f>VLOOKUP(D930,Товары!A:I,4,0)</f>
        <v>11655</v>
      </c>
      <c r="K930">
        <f t="shared" si="14"/>
        <v>34965</v>
      </c>
    </row>
    <row r="931" spans="1:11" hidden="1" x14ac:dyDescent="0.25">
      <c r="A931">
        <v>930</v>
      </c>
      <c r="B931" s="1">
        <v>45751</v>
      </c>
      <c r="C931" t="s">
        <v>58</v>
      </c>
      <c r="D931" t="s">
        <v>84</v>
      </c>
      <c r="E931" t="s">
        <v>8</v>
      </c>
      <c r="F931">
        <v>3</v>
      </c>
      <c r="G931" t="str">
        <f>VLOOKUP(D931,Товары!A:I,3,0)</f>
        <v>Тумба с раковиной  напол. Куба Риф 800 белый 3 двери с умыв. Слим</v>
      </c>
      <c r="H931">
        <f>VLOOKUP(D931,Товары!A:I,6,0)</f>
        <v>85</v>
      </c>
      <c r="I931" t="str">
        <f>VLOOKUP(C931,Магазины!A:C,3,0)</f>
        <v>Ставрополь</v>
      </c>
      <c r="J931">
        <f>VLOOKUP(D931,Товары!A:I,4,0)</f>
        <v>19920</v>
      </c>
      <c r="K931">
        <f t="shared" si="14"/>
        <v>59760</v>
      </c>
    </row>
    <row r="932" spans="1:11" hidden="1" x14ac:dyDescent="0.25">
      <c r="A932">
        <v>931</v>
      </c>
      <c r="B932" s="1">
        <v>45749</v>
      </c>
      <c r="C932" t="s">
        <v>58</v>
      </c>
      <c r="D932" t="s">
        <v>10</v>
      </c>
      <c r="E932" t="s">
        <v>8</v>
      </c>
      <c r="F932">
        <v>3</v>
      </c>
      <c r="G932" t="str">
        <f>VLOOKUP(D932,Товары!A:I,3,0)</f>
        <v>Тумба с раковиной  навес. Альба 700 антрацит 1 ящик с умыв. Слим</v>
      </c>
      <c r="H932">
        <f>VLOOKUP(D932,Товары!A:I,6,0)</f>
        <v>45</v>
      </c>
      <c r="I932" t="str">
        <f>VLOOKUP(C932,Магазины!A:C,3,0)</f>
        <v>Ставрополь</v>
      </c>
      <c r="J932">
        <f>VLOOKUP(D932,Товары!A:I,4,0)</f>
        <v>20130</v>
      </c>
      <c r="K932">
        <f t="shared" si="14"/>
        <v>60390</v>
      </c>
    </row>
    <row r="933" spans="1:11" hidden="1" x14ac:dyDescent="0.25">
      <c r="A933">
        <v>932</v>
      </c>
      <c r="B933" s="1">
        <v>45752</v>
      </c>
      <c r="C933" t="s">
        <v>14</v>
      </c>
      <c r="D933" t="s">
        <v>70</v>
      </c>
      <c r="E933" t="s">
        <v>8</v>
      </c>
      <c r="F933">
        <v>2</v>
      </c>
      <c r="G933" t="str">
        <f>VLOOKUP(D933,Товары!A:I,3,0)</f>
        <v>Тумба с раковиной  напол. Кристалл 700 шато азур 2 ящика с умыв. Слим</v>
      </c>
      <c r="H933">
        <f>VLOOKUP(D933,Товары!A:I,6,0)</f>
        <v>85</v>
      </c>
      <c r="I933" t="str">
        <f>VLOOKUP(C933,Магазины!A:C,3,0)</f>
        <v>Оренбург</v>
      </c>
      <c r="J933">
        <f>VLOOKUP(D933,Товары!A:I,4,0)</f>
        <v>29910</v>
      </c>
      <c r="K933">
        <f t="shared" si="14"/>
        <v>59820</v>
      </c>
    </row>
    <row r="934" spans="1:11" hidden="1" x14ac:dyDescent="0.25">
      <c r="A934">
        <v>933</v>
      </c>
      <c r="B934" s="1">
        <v>45754</v>
      </c>
      <c r="C934" t="s">
        <v>14</v>
      </c>
      <c r="D934" t="s">
        <v>36</v>
      </c>
      <c r="E934" t="s">
        <v>13</v>
      </c>
      <c r="F934">
        <v>1</v>
      </c>
      <c r="G934" t="str">
        <f>VLOOKUP(D934,Товары!A:I,3,0)</f>
        <v>Тумба с раковиной  напол. Альба 800 мята 2 ящика с умыв. Слим</v>
      </c>
      <c r="H934">
        <f>VLOOKUP(D934,Товары!A:I,6,0)</f>
        <v>80</v>
      </c>
      <c r="I934" t="str">
        <f>VLOOKUP(C934,Магазины!A:C,3,0)</f>
        <v>Оренбург</v>
      </c>
      <c r="J934">
        <f>VLOOKUP(D934,Товары!A:I,4,0)</f>
        <v>29340</v>
      </c>
      <c r="K934">
        <f t="shared" si="14"/>
        <v>29340</v>
      </c>
    </row>
    <row r="935" spans="1:11" hidden="1" x14ac:dyDescent="0.25">
      <c r="A935">
        <v>934</v>
      </c>
      <c r="B935" s="1">
        <v>45748</v>
      </c>
      <c r="C935" t="s">
        <v>63</v>
      </c>
      <c r="D935" t="s">
        <v>128</v>
      </c>
      <c r="E935" t="s">
        <v>8</v>
      </c>
      <c r="F935">
        <v>3</v>
      </c>
      <c r="G935" t="str">
        <f>VLOOKUP(D935,Товары!A:I,3,0)</f>
        <v>Тумба с раковиной  напол. Куба Риф 1000 белый 2 ящика с умыв. Слим</v>
      </c>
      <c r="H935">
        <f>VLOOKUP(D935,Товары!A:I,6,0)</f>
        <v>85</v>
      </c>
      <c r="I935" t="str">
        <f>VLOOKUP(C935,Магазины!A:C,3,0)</f>
        <v>Ставрополь</v>
      </c>
      <c r="J935">
        <f>VLOOKUP(D935,Товары!A:I,4,0)</f>
        <v>22905</v>
      </c>
      <c r="K935">
        <f t="shared" si="14"/>
        <v>68715</v>
      </c>
    </row>
    <row r="936" spans="1:11" hidden="1" x14ac:dyDescent="0.25">
      <c r="A936">
        <v>935</v>
      </c>
      <c r="B936" s="1">
        <v>45754</v>
      </c>
      <c r="C936" t="s">
        <v>14</v>
      </c>
      <c r="D936" t="s">
        <v>37</v>
      </c>
      <c r="E936" t="s">
        <v>8</v>
      </c>
      <c r="F936">
        <v>3</v>
      </c>
      <c r="G936" t="str">
        <f>VLOOKUP(D936,Товары!A:I,3,0)</f>
        <v>Зеркальный шкаф Сохо 70 белый со светильником правый цвет Белый глянец</v>
      </c>
      <c r="H936">
        <f>VLOOKUP(D936,Товары!A:I,6,0)</f>
        <v>75</v>
      </c>
      <c r="I936" t="str">
        <f>VLOOKUP(C936,Магазины!A:C,3,0)</f>
        <v>Оренбург</v>
      </c>
      <c r="J936">
        <f>VLOOKUP(D936,Товары!A:I,4,0)</f>
        <v>7935</v>
      </c>
      <c r="K936">
        <f t="shared" si="14"/>
        <v>23805</v>
      </c>
    </row>
    <row r="937" spans="1:11" hidden="1" x14ac:dyDescent="0.25">
      <c r="A937">
        <v>936</v>
      </c>
      <c r="B937" s="1">
        <v>45755</v>
      </c>
      <c r="C937" t="s">
        <v>28</v>
      </c>
      <c r="D937" t="s">
        <v>97</v>
      </c>
      <c r="E937" t="s">
        <v>8</v>
      </c>
      <c r="F937">
        <v>3</v>
      </c>
      <c r="G937" t="str">
        <f>VLOOKUP(D937,Товары!A:I,3,0)</f>
        <v>Пенал напол. Кристалл 350 суфле 2 двери</v>
      </c>
      <c r="H937">
        <f>VLOOKUP(D937,Товары!A:I,6,0)</f>
        <v>190</v>
      </c>
      <c r="I937" t="str">
        <f>VLOOKUP(C937,Магазины!A:C,3,0)</f>
        <v>Набережные Челны</v>
      </c>
      <c r="J937">
        <f>VLOOKUP(D937,Товары!A:I,4,0)</f>
        <v>15810</v>
      </c>
      <c r="K937">
        <f t="shared" si="14"/>
        <v>47430</v>
      </c>
    </row>
    <row r="938" spans="1:11" hidden="1" x14ac:dyDescent="0.25">
      <c r="A938">
        <v>937</v>
      </c>
      <c r="B938" s="1">
        <v>45756</v>
      </c>
      <c r="C938" t="s">
        <v>63</v>
      </c>
      <c r="D938" t="s">
        <v>118</v>
      </c>
      <c r="E938" t="s">
        <v>8</v>
      </c>
      <c r="F938">
        <v>1</v>
      </c>
      <c r="G938" t="str">
        <f>VLOOKUP(D938,Товары!A:I,3,0)</f>
        <v>Тумба с раковиной  напол. Сохо 800 белый 2 ящика с умыв. Слим</v>
      </c>
      <c r="H938">
        <f>VLOOKUP(D938,Товары!A:I,6,0)</f>
        <v>85</v>
      </c>
      <c r="I938" t="str">
        <f>VLOOKUP(C938,Магазины!A:C,3,0)</f>
        <v>Ставрополь</v>
      </c>
      <c r="J938">
        <f>VLOOKUP(D938,Товары!A:I,4,0)</f>
        <v>19575</v>
      </c>
      <c r="K938">
        <f t="shared" si="14"/>
        <v>19575</v>
      </c>
    </row>
    <row r="939" spans="1:11" hidden="1" x14ac:dyDescent="0.25">
      <c r="A939">
        <v>938</v>
      </c>
      <c r="B939" s="1">
        <v>45754</v>
      </c>
      <c r="C939" t="s">
        <v>43</v>
      </c>
      <c r="D939" t="s">
        <v>24</v>
      </c>
      <c r="E939" t="s">
        <v>8</v>
      </c>
      <c r="F939">
        <v>2</v>
      </c>
      <c r="G939" t="str">
        <f>VLOOKUP(D939,Товары!A:I,3,0)</f>
        <v>Тумба с раковиной  напол. Леон 600 форест 2 ящика с умыв. Слим</v>
      </c>
      <c r="H939">
        <f>VLOOKUP(D939,Товары!A:I,6,0)</f>
        <v>80</v>
      </c>
      <c r="I939" t="str">
        <f>VLOOKUP(C939,Магазины!A:C,3,0)</f>
        <v>Набережные Челны</v>
      </c>
      <c r="J939">
        <f>VLOOKUP(D939,Товары!A:I,4,0)</f>
        <v>27150</v>
      </c>
      <c r="K939">
        <f t="shared" si="14"/>
        <v>54300</v>
      </c>
    </row>
    <row r="940" spans="1:11" hidden="1" x14ac:dyDescent="0.25">
      <c r="A940">
        <v>939</v>
      </c>
      <c r="B940" s="1">
        <v>45756</v>
      </c>
      <c r="C940" t="s">
        <v>26</v>
      </c>
      <c r="D940" t="s">
        <v>80</v>
      </c>
      <c r="E940" t="s">
        <v>8</v>
      </c>
      <c r="F940">
        <v>1</v>
      </c>
      <c r="G940" t="str">
        <f>VLOOKUP(D940,Товары!A:I,3,0)</f>
        <v>Тумба с раковиной  навес. Сохо 600 белый 2 ящика с умыв. Океан</v>
      </c>
      <c r="H940">
        <f>VLOOKUP(D940,Товары!A:I,6,0)</f>
        <v>55</v>
      </c>
      <c r="I940" t="str">
        <f>VLOOKUP(C940,Магазины!A:C,3,0)</f>
        <v>Оренбург</v>
      </c>
      <c r="J940">
        <f>VLOOKUP(D940,Товары!A:I,4,0)</f>
        <v>13950</v>
      </c>
      <c r="K940">
        <f t="shared" si="14"/>
        <v>13950</v>
      </c>
    </row>
    <row r="941" spans="1:11" hidden="1" x14ac:dyDescent="0.25">
      <c r="A941">
        <v>940</v>
      </c>
      <c r="B941" s="1">
        <v>45753</v>
      </c>
      <c r="C941" t="s">
        <v>14</v>
      </c>
      <c r="D941" t="s">
        <v>116</v>
      </c>
      <c r="E941" t="s">
        <v>13</v>
      </c>
      <c r="F941">
        <v>2</v>
      </c>
      <c r="G941" t="str">
        <f>VLOOKUP(D941,Товары!A:I,3,0)</f>
        <v>Зеркало Нева 60 дуб/белый со светильником</v>
      </c>
      <c r="H941">
        <f>VLOOKUP(D941,Товары!A:I,6,0)</f>
        <v>80</v>
      </c>
      <c r="I941" t="str">
        <f>VLOOKUP(C941,Магазины!A:C,3,0)</f>
        <v>Оренбург</v>
      </c>
      <c r="J941">
        <f>VLOOKUP(D941,Товары!A:I,4,0)</f>
        <v>5100</v>
      </c>
      <c r="K941">
        <f t="shared" si="14"/>
        <v>10200</v>
      </c>
    </row>
    <row r="942" spans="1:11" hidden="1" x14ac:dyDescent="0.25">
      <c r="A942">
        <v>941</v>
      </c>
      <c r="B942" s="1">
        <v>45753</v>
      </c>
      <c r="C942" t="s">
        <v>41</v>
      </c>
      <c r="D942" t="s">
        <v>86</v>
      </c>
      <c r="E942" t="s">
        <v>13</v>
      </c>
      <c r="F942">
        <v>1</v>
      </c>
      <c r="G942" t="str">
        <f>VLOOKUP(D942,Товары!A:I,3,0)</f>
        <v>Комод Аква 50 напольный 1 ящик 2 двери белый</v>
      </c>
      <c r="H942">
        <f>VLOOKUP(D942,Товары!A:I,6,0)</f>
        <v>90</v>
      </c>
      <c r="I942" t="str">
        <f>VLOOKUP(C942,Магазины!A:C,3,0)</f>
        <v>Ставрополь</v>
      </c>
      <c r="J942">
        <f>VLOOKUP(D942,Товары!A:I,4,0)</f>
        <v>7260</v>
      </c>
      <c r="K942">
        <f t="shared" si="14"/>
        <v>7260</v>
      </c>
    </row>
    <row r="943" spans="1:11" hidden="1" x14ac:dyDescent="0.25">
      <c r="A943">
        <v>942</v>
      </c>
      <c r="B943" s="1">
        <v>45752</v>
      </c>
      <c r="C943" t="s">
        <v>35</v>
      </c>
      <c r="D943" t="s">
        <v>72</v>
      </c>
      <c r="E943" t="s">
        <v>8</v>
      </c>
      <c r="F943">
        <v>2</v>
      </c>
      <c r="G943" t="str">
        <f>VLOOKUP(D943,Товары!A:I,3,0)</f>
        <v>Тумба с раковиной  напол. Сохо 600 белый 2 ящика с умыв. Океан</v>
      </c>
      <c r="H943">
        <f>VLOOKUP(D943,Товары!A:I,6,0)</f>
        <v>85</v>
      </c>
      <c r="I943" t="str">
        <f>VLOOKUP(C943,Магазины!A:C,3,0)</f>
        <v>Набережные Челны</v>
      </c>
      <c r="J943">
        <f>VLOOKUP(D943,Товары!A:I,4,0)</f>
        <v>16140</v>
      </c>
      <c r="K943">
        <f t="shared" si="14"/>
        <v>32280</v>
      </c>
    </row>
    <row r="944" spans="1:11" hidden="1" x14ac:dyDescent="0.25">
      <c r="A944">
        <v>943</v>
      </c>
      <c r="B944" s="1">
        <v>45754</v>
      </c>
      <c r="C944" t="s">
        <v>20</v>
      </c>
      <c r="D944" t="s">
        <v>124</v>
      </c>
      <c r="E944" t="s">
        <v>8</v>
      </c>
      <c r="F944">
        <v>1</v>
      </c>
      <c r="G944" t="str">
        <f>VLOOKUP(D944,Товары!A:I,3,0)</f>
        <v>Тумба с раковиной  напол. Леон 600 оникс 2 ящика с умыв. Океан</v>
      </c>
      <c r="H944">
        <f>VLOOKUP(D944,Товары!A:I,6,0)</f>
        <v>80</v>
      </c>
      <c r="I944" t="str">
        <f>VLOOKUP(C944,Магазины!A:C,3,0)</f>
        <v>Оренбург</v>
      </c>
      <c r="J944">
        <f>VLOOKUP(D944,Товары!A:I,4,0)</f>
        <v>25860</v>
      </c>
      <c r="K944">
        <f t="shared" si="14"/>
        <v>25860</v>
      </c>
    </row>
    <row r="945" spans="1:11" hidden="1" x14ac:dyDescent="0.25">
      <c r="A945">
        <v>944</v>
      </c>
      <c r="B945" s="1">
        <v>45757</v>
      </c>
      <c r="C945" t="s">
        <v>20</v>
      </c>
      <c r="D945" t="s">
        <v>38</v>
      </c>
      <c r="E945" t="s">
        <v>13</v>
      </c>
      <c r="F945">
        <v>2</v>
      </c>
      <c r="G945" t="str">
        <f>VLOOKUP(D945,Товары!A:I,3,0)</f>
        <v>Тумба с раковиной  навес. Куба Риф 600 белый 2 ящика с умыв. Como</v>
      </c>
      <c r="H945">
        <f>VLOOKUP(D945,Товары!A:I,6,0)</f>
        <v>55</v>
      </c>
      <c r="I945" t="str">
        <f>VLOOKUP(C945,Магазины!A:C,3,0)</f>
        <v>Оренбург</v>
      </c>
      <c r="J945">
        <f>VLOOKUP(D945,Товары!A:I,4,0)</f>
        <v>14265</v>
      </c>
      <c r="K945">
        <f t="shared" si="14"/>
        <v>28530</v>
      </c>
    </row>
    <row r="946" spans="1:11" hidden="1" x14ac:dyDescent="0.25">
      <c r="A946">
        <v>945</v>
      </c>
      <c r="B946" s="1">
        <v>45755</v>
      </c>
      <c r="C946" t="s">
        <v>103</v>
      </c>
      <c r="D946" t="s">
        <v>127</v>
      </c>
      <c r="E946" t="s">
        <v>13</v>
      </c>
      <c r="F946">
        <v>3</v>
      </c>
      <c r="G946" t="str">
        <f>VLOOKUP(D946,Товары!A:I,3,0)</f>
        <v>Тумба с раковиной  навес. Альба 700 мята 1 ящик с умыв. Слим</v>
      </c>
      <c r="H946">
        <f>VLOOKUP(D946,Товары!A:I,6,0)</f>
        <v>45</v>
      </c>
      <c r="I946" t="str">
        <f>VLOOKUP(C946,Магазины!A:C,3,0)</f>
        <v>Ставрополь</v>
      </c>
      <c r="J946">
        <f>VLOOKUP(D946,Товары!A:I,4,0)</f>
        <v>20130</v>
      </c>
      <c r="K946">
        <f t="shared" si="14"/>
        <v>60390</v>
      </c>
    </row>
    <row r="947" spans="1:11" hidden="1" x14ac:dyDescent="0.25">
      <c r="A947">
        <v>946</v>
      </c>
      <c r="B947" s="1">
        <v>45757</v>
      </c>
      <c r="C947" t="s">
        <v>6</v>
      </c>
      <c r="D947" t="s">
        <v>117</v>
      </c>
      <c r="E947" t="s">
        <v>8</v>
      </c>
      <c r="F947">
        <v>2</v>
      </c>
      <c r="G947" t="str">
        <f>VLOOKUP(D947,Товары!A:I,3,0)</f>
        <v>Тумба с раковиной  навес. Альба 700 антрацит 2 ящика с умыв. Слим</v>
      </c>
      <c r="H947">
        <f>VLOOKUP(D947,Товары!A:I,6,0)</f>
        <v>60</v>
      </c>
      <c r="I947" t="str">
        <f>VLOOKUP(C947,Магазины!A:C,3,0)</f>
        <v>Оренбург</v>
      </c>
      <c r="J947">
        <f>VLOOKUP(D947,Товары!A:I,4,0)</f>
        <v>25095</v>
      </c>
      <c r="K947">
        <f t="shared" si="14"/>
        <v>50190</v>
      </c>
    </row>
    <row r="948" spans="1:11" hidden="1" x14ac:dyDescent="0.25">
      <c r="A948">
        <v>947</v>
      </c>
      <c r="B948" s="1">
        <v>45753</v>
      </c>
      <c r="C948" t="s">
        <v>111</v>
      </c>
      <c r="D948" t="s">
        <v>117</v>
      </c>
      <c r="E948" t="s">
        <v>13</v>
      </c>
      <c r="F948">
        <v>1</v>
      </c>
      <c r="G948" t="str">
        <f>VLOOKUP(D948,Товары!A:I,3,0)</f>
        <v>Тумба с раковиной  навес. Альба 700 антрацит 2 ящика с умыв. Слим</v>
      </c>
      <c r="H948">
        <f>VLOOKUP(D948,Товары!A:I,6,0)</f>
        <v>60</v>
      </c>
      <c r="I948" t="str">
        <f>VLOOKUP(C948,Магазины!A:C,3,0)</f>
        <v>Набережные Челны</v>
      </c>
      <c r="J948">
        <f>VLOOKUP(D948,Товары!A:I,4,0)</f>
        <v>25095</v>
      </c>
      <c r="K948">
        <f t="shared" si="14"/>
        <v>25095</v>
      </c>
    </row>
    <row r="949" spans="1:11" hidden="1" x14ac:dyDescent="0.25">
      <c r="A949">
        <v>948</v>
      </c>
      <c r="B949" s="1">
        <v>45756</v>
      </c>
      <c r="C949" t="s">
        <v>16</v>
      </c>
      <c r="D949" t="s">
        <v>128</v>
      </c>
      <c r="E949" t="s">
        <v>13</v>
      </c>
      <c r="F949">
        <v>2</v>
      </c>
      <c r="G949" t="str">
        <f>VLOOKUP(D949,Товары!A:I,3,0)</f>
        <v>Тумба с раковиной  напол. Куба Риф 1000 белый 2 ящика с умыв. Слим</v>
      </c>
      <c r="H949">
        <f>VLOOKUP(D949,Товары!A:I,6,0)</f>
        <v>85</v>
      </c>
      <c r="I949" t="str">
        <f>VLOOKUP(C949,Магазины!A:C,3,0)</f>
        <v>Оренбург</v>
      </c>
      <c r="J949">
        <f>VLOOKUP(D949,Товары!A:I,4,0)</f>
        <v>22905</v>
      </c>
      <c r="K949">
        <f t="shared" si="14"/>
        <v>45810</v>
      </c>
    </row>
    <row r="950" spans="1:11" hidden="1" x14ac:dyDescent="0.25">
      <c r="A950">
        <v>949</v>
      </c>
      <c r="B950" s="1">
        <v>45756</v>
      </c>
      <c r="C950" t="s">
        <v>22</v>
      </c>
      <c r="D950" t="s">
        <v>24</v>
      </c>
      <c r="E950" t="s">
        <v>8</v>
      </c>
      <c r="F950">
        <v>3</v>
      </c>
      <c r="G950" t="str">
        <f>VLOOKUP(D950,Товары!A:I,3,0)</f>
        <v>Тумба с раковиной  напол. Леон 600 форест 2 ящика с умыв. Слим</v>
      </c>
      <c r="H950">
        <f>VLOOKUP(D950,Товары!A:I,6,0)</f>
        <v>80</v>
      </c>
      <c r="I950" t="str">
        <f>VLOOKUP(C950,Магазины!A:C,3,0)</f>
        <v>Кемерово</v>
      </c>
      <c r="J950">
        <f>VLOOKUP(D950,Товары!A:I,4,0)</f>
        <v>27150</v>
      </c>
      <c r="K950">
        <f t="shared" si="14"/>
        <v>81450</v>
      </c>
    </row>
    <row r="951" spans="1:11" hidden="1" x14ac:dyDescent="0.25">
      <c r="A951">
        <v>950</v>
      </c>
      <c r="B951" s="1">
        <v>45748</v>
      </c>
      <c r="C951" t="s">
        <v>14</v>
      </c>
      <c r="D951" t="s">
        <v>15</v>
      </c>
      <c r="E951" t="s">
        <v>13</v>
      </c>
      <c r="F951">
        <v>3</v>
      </c>
      <c r="G951" t="str">
        <f>VLOOKUP(D951,Товары!A:I,3,0)</f>
        <v>Зеркальный шкаф Кристалл 60 со светильником правый, ручка кнопка дуб цвет Шато Азур</v>
      </c>
      <c r="H951">
        <f>VLOOKUP(D951,Товары!A:I,6,0)</f>
        <v>75</v>
      </c>
      <c r="I951" t="str">
        <f>VLOOKUP(C951,Магазины!A:C,3,0)</f>
        <v>Оренбург</v>
      </c>
      <c r="J951">
        <f>VLOOKUP(D951,Товары!A:I,4,0)</f>
        <v>9195</v>
      </c>
      <c r="K951">
        <f t="shared" si="14"/>
        <v>27585</v>
      </c>
    </row>
    <row r="952" spans="1:11" hidden="1" x14ac:dyDescent="0.25">
      <c r="A952">
        <v>951</v>
      </c>
      <c r="B952" s="1">
        <v>45750</v>
      </c>
      <c r="C952" t="s">
        <v>16</v>
      </c>
      <c r="D952" t="s">
        <v>80</v>
      </c>
      <c r="E952" t="s">
        <v>8</v>
      </c>
      <c r="F952">
        <v>3</v>
      </c>
      <c r="G952" t="str">
        <f>VLOOKUP(D952,Товары!A:I,3,0)</f>
        <v>Тумба с раковиной  навес. Сохо 600 белый 2 ящика с умыв. Океан</v>
      </c>
      <c r="H952">
        <f>VLOOKUP(D952,Товары!A:I,6,0)</f>
        <v>55</v>
      </c>
      <c r="I952" t="str">
        <f>VLOOKUP(C952,Магазины!A:C,3,0)</f>
        <v>Оренбург</v>
      </c>
      <c r="J952">
        <f>VLOOKUP(D952,Товары!A:I,4,0)</f>
        <v>13950</v>
      </c>
      <c r="K952">
        <f t="shared" si="14"/>
        <v>41850</v>
      </c>
    </row>
    <row r="953" spans="1:11" hidden="1" x14ac:dyDescent="0.25">
      <c r="A953">
        <v>952</v>
      </c>
      <c r="B953" s="1">
        <v>45757</v>
      </c>
      <c r="C953" t="s">
        <v>28</v>
      </c>
      <c r="D953" t="s">
        <v>67</v>
      </c>
      <c r="E953" t="s">
        <v>8</v>
      </c>
      <c r="F953">
        <v>1</v>
      </c>
      <c r="G953" t="str">
        <f>VLOOKUP(D953,Товары!A:I,3,0)</f>
        <v>Пенал навес./напол. Альба 350 суфле 2 двери</v>
      </c>
      <c r="H953">
        <f>VLOOKUP(D953,Товары!A:I,6,0)</f>
        <v>150</v>
      </c>
      <c r="I953" t="str">
        <f>VLOOKUP(C953,Магазины!A:C,3,0)</f>
        <v>Набережные Челны</v>
      </c>
      <c r="J953">
        <f>VLOOKUP(D953,Товары!A:I,4,0)</f>
        <v>11655</v>
      </c>
      <c r="K953">
        <f t="shared" si="14"/>
        <v>11655</v>
      </c>
    </row>
    <row r="954" spans="1:11" hidden="1" x14ac:dyDescent="0.25">
      <c r="A954">
        <v>953</v>
      </c>
      <c r="B954" s="1">
        <v>45751</v>
      </c>
      <c r="C954" t="s">
        <v>22</v>
      </c>
      <c r="D954" t="s">
        <v>88</v>
      </c>
      <c r="E954" t="s">
        <v>13</v>
      </c>
      <c r="F954">
        <v>2</v>
      </c>
      <c r="G954" t="str">
        <f>VLOOKUP(D954,Товары!A:I,3,0)</f>
        <v>Тумба с раковиной  навес. Альба 800 антрацит 2 ящика с умыв. Слим</v>
      </c>
      <c r="H954">
        <f>VLOOKUP(D954,Товары!A:I,6,0)</f>
        <v>50</v>
      </c>
      <c r="I954" t="str">
        <f>VLOOKUP(C954,Магазины!A:C,3,0)</f>
        <v>Кемерово</v>
      </c>
      <c r="J954">
        <f>VLOOKUP(D954,Товары!A:I,4,0)</f>
        <v>26070</v>
      </c>
      <c r="K954">
        <f t="shared" si="14"/>
        <v>52140</v>
      </c>
    </row>
    <row r="955" spans="1:11" hidden="1" x14ac:dyDescent="0.25">
      <c r="A955">
        <v>954</v>
      </c>
      <c r="B955" s="1">
        <v>45751</v>
      </c>
      <c r="C955" t="s">
        <v>33</v>
      </c>
      <c r="D955" t="s">
        <v>124</v>
      </c>
      <c r="E955" t="s">
        <v>8</v>
      </c>
      <c r="F955">
        <v>2</v>
      </c>
      <c r="G955" t="str">
        <f>VLOOKUP(D955,Товары!A:I,3,0)</f>
        <v>Тумба с раковиной  напол. Леон 600 оникс 2 ящика с умыв. Океан</v>
      </c>
      <c r="H955">
        <f>VLOOKUP(D955,Товары!A:I,6,0)</f>
        <v>80</v>
      </c>
      <c r="I955" t="str">
        <f>VLOOKUP(C955,Магазины!A:C,3,0)</f>
        <v>Набережные Челны</v>
      </c>
      <c r="J955">
        <f>VLOOKUP(D955,Товары!A:I,4,0)</f>
        <v>25860</v>
      </c>
      <c r="K955">
        <f t="shared" si="14"/>
        <v>51720</v>
      </c>
    </row>
    <row r="956" spans="1:11" hidden="1" x14ac:dyDescent="0.25">
      <c r="A956">
        <v>955</v>
      </c>
      <c r="B956" s="1">
        <v>45755</v>
      </c>
      <c r="C956" t="s">
        <v>48</v>
      </c>
      <c r="D956" t="s">
        <v>29</v>
      </c>
      <c r="E956" t="s">
        <v>8</v>
      </c>
      <c r="F956">
        <v>3</v>
      </c>
      <c r="G956" t="str">
        <f>VLOOKUP(D956,Товары!A:I,3,0)</f>
        <v>Тумба с раковиной  напол. Леон Риф 600 солярис/белый риф 2 ящика с умыв. Океан</v>
      </c>
      <c r="H956">
        <f>VLOOKUP(D956,Товары!A:I,6,0)</f>
        <v>80</v>
      </c>
      <c r="I956" t="str">
        <f>VLOOKUP(C956,Магазины!A:C,3,0)</f>
        <v>Ставрополь</v>
      </c>
      <c r="J956">
        <f>VLOOKUP(D956,Товары!A:I,4,0)</f>
        <v>24150</v>
      </c>
      <c r="K956">
        <f t="shared" si="14"/>
        <v>72450</v>
      </c>
    </row>
    <row r="957" spans="1:11" hidden="1" x14ac:dyDescent="0.25">
      <c r="A957">
        <v>956</v>
      </c>
      <c r="B957" s="1">
        <v>45755</v>
      </c>
      <c r="C957" t="s">
        <v>58</v>
      </c>
      <c r="D957" t="s">
        <v>93</v>
      </c>
      <c r="E957" t="s">
        <v>13</v>
      </c>
      <c r="F957">
        <v>3</v>
      </c>
      <c r="G957" t="str">
        <f>VLOOKUP(D957,Товары!A:I,3,0)</f>
        <v>Тумба с раковиной  напол. Леон Риф 800 солярис/белый риф 2 ящика с умыв. Слим</v>
      </c>
      <c r="H957">
        <f>VLOOKUP(D957,Товары!A:I,6,0)</f>
        <v>80</v>
      </c>
      <c r="I957" t="str">
        <f>VLOOKUP(C957,Магазины!A:C,3,0)</f>
        <v>Ставрополь</v>
      </c>
      <c r="J957">
        <f>VLOOKUP(D957,Товары!A:I,4,0)</f>
        <v>29340</v>
      </c>
      <c r="K957">
        <f t="shared" si="14"/>
        <v>88020</v>
      </c>
    </row>
    <row r="958" spans="1:11" hidden="1" x14ac:dyDescent="0.25">
      <c r="A958">
        <v>957</v>
      </c>
      <c r="B958" s="1">
        <v>45752</v>
      </c>
      <c r="C958" t="s">
        <v>58</v>
      </c>
      <c r="D958" t="s">
        <v>105</v>
      </c>
      <c r="E958" t="s">
        <v>8</v>
      </c>
      <c r="F958">
        <v>3</v>
      </c>
      <c r="G958" t="str">
        <f>VLOOKUP(D958,Товары!A:I,3,0)</f>
        <v>Тумба с раковиной  напол. Нева 600 белый 2 двери + 1 ящик с умыв. Como</v>
      </c>
      <c r="H958">
        <f>VLOOKUP(D958,Товары!A:I,6,0)</f>
        <v>80</v>
      </c>
      <c r="I958" t="str">
        <f>VLOOKUP(C958,Магазины!A:C,3,0)</f>
        <v>Ставрополь</v>
      </c>
      <c r="J958">
        <f>VLOOKUP(D958,Товары!A:I,4,0)</f>
        <v>13470</v>
      </c>
      <c r="K958">
        <f t="shared" si="14"/>
        <v>40410</v>
      </c>
    </row>
    <row r="959" spans="1:11" hidden="1" x14ac:dyDescent="0.25">
      <c r="A959">
        <v>958</v>
      </c>
      <c r="B959" s="1">
        <v>45756</v>
      </c>
      <c r="C959" t="s">
        <v>14</v>
      </c>
      <c r="D959" t="s">
        <v>73</v>
      </c>
      <c r="E959" t="s">
        <v>8</v>
      </c>
      <c r="F959">
        <v>1</v>
      </c>
      <c r="G959" t="str">
        <f>VLOOKUP(D959,Товары!A:I,3,0)</f>
        <v>Зеркальный шкаф Альба 70 со светильником правый цвет антрацит</v>
      </c>
      <c r="H959">
        <f>VLOOKUP(D959,Товары!A:I,6,0)</f>
        <v>75</v>
      </c>
      <c r="I959" t="str">
        <f>VLOOKUP(C959,Магазины!A:C,3,0)</f>
        <v>Оренбург</v>
      </c>
      <c r="J959">
        <f>VLOOKUP(D959,Товары!A:I,4,0)</f>
        <v>9615</v>
      </c>
      <c r="K959">
        <f t="shared" si="14"/>
        <v>9615</v>
      </c>
    </row>
    <row r="960" spans="1:11" hidden="1" x14ac:dyDescent="0.25">
      <c r="A960">
        <v>959</v>
      </c>
      <c r="B960" s="1">
        <v>45748</v>
      </c>
      <c r="C960" t="s">
        <v>16</v>
      </c>
      <c r="D960" t="s">
        <v>129</v>
      </c>
      <c r="E960" t="s">
        <v>8</v>
      </c>
      <c r="F960">
        <v>3</v>
      </c>
      <c r="G960" t="str">
        <f>VLOOKUP(D960,Товары!A:I,3,0)</f>
        <v>Тумба с раковиной  напол. Альба 700 антрацит 2 ящика с умыв. Слим</v>
      </c>
      <c r="H960">
        <f>VLOOKUP(D960,Товары!A:I,6,0)</f>
        <v>85</v>
      </c>
      <c r="I960" t="str">
        <f>VLOOKUP(C960,Магазины!A:C,3,0)</f>
        <v>Оренбург</v>
      </c>
      <c r="J960">
        <f>VLOOKUP(D960,Товары!A:I,4,0)</f>
        <v>28695</v>
      </c>
      <c r="K960">
        <f t="shared" si="14"/>
        <v>86085</v>
      </c>
    </row>
    <row r="961" spans="1:11" hidden="1" x14ac:dyDescent="0.25">
      <c r="A961">
        <v>960</v>
      </c>
      <c r="B961" s="1">
        <v>45754</v>
      </c>
      <c r="C961" t="s">
        <v>58</v>
      </c>
      <c r="D961" t="s">
        <v>25</v>
      </c>
      <c r="E961" t="s">
        <v>13</v>
      </c>
      <c r="F961">
        <v>2</v>
      </c>
      <c r="G961" t="str">
        <f>VLOOKUP(D961,Товары!A:I,3,0)</f>
        <v>Пенал напол. Леон 400 оникс 2 двери + 1 ящик</v>
      </c>
      <c r="H961">
        <f>VLOOKUP(D961,Товары!A:I,6,0)</f>
        <v>190</v>
      </c>
      <c r="I961" t="str">
        <f>VLOOKUP(C961,Магазины!A:C,3,0)</f>
        <v>Ставрополь</v>
      </c>
      <c r="J961">
        <f>VLOOKUP(D961,Товары!A:I,4,0)</f>
        <v>18450</v>
      </c>
      <c r="K961">
        <f t="shared" si="14"/>
        <v>36900</v>
      </c>
    </row>
    <row r="962" spans="1:11" hidden="1" x14ac:dyDescent="0.25">
      <c r="A962">
        <v>961</v>
      </c>
      <c r="B962" s="1">
        <v>45749</v>
      </c>
      <c r="C962" t="s">
        <v>16</v>
      </c>
      <c r="D962" t="s">
        <v>25</v>
      </c>
      <c r="E962" t="s">
        <v>13</v>
      </c>
      <c r="F962">
        <v>1</v>
      </c>
      <c r="G962" t="str">
        <f>VLOOKUP(D962,Товары!A:I,3,0)</f>
        <v>Пенал напол. Леон 400 оникс 2 двери + 1 ящик</v>
      </c>
      <c r="H962">
        <f>VLOOKUP(D962,Товары!A:I,6,0)</f>
        <v>190</v>
      </c>
      <c r="I962" t="str">
        <f>VLOOKUP(C962,Магазины!A:C,3,0)</f>
        <v>Оренбург</v>
      </c>
      <c r="J962">
        <f>VLOOKUP(D962,Товары!A:I,4,0)</f>
        <v>18450</v>
      </c>
      <c r="K962">
        <f t="shared" si="14"/>
        <v>18450</v>
      </c>
    </row>
    <row r="963" spans="1:11" hidden="1" x14ac:dyDescent="0.25">
      <c r="A963">
        <v>962</v>
      </c>
      <c r="B963" s="1">
        <v>45751</v>
      </c>
      <c r="C963" t="s">
        <v>16</v>
      </c>
      <c r="D963" t="s">
        <v>23</v>
      </c>
      <c r="E963" t="s">
        <v>8</v>
      </c>
      <c r="F963">
        <v>2</v>
      </c>
      <c r="G963" t="str">
        <f>VLOOKUP(D963,Товары!A:I,3,0)</f>
        <v>Тумба с раковиной  напол. Альба 800 антрацит 2 ящика с умыв. Слим</v>
      </c>
      <c r="H963">
        <f>VLOOKUP(D963,Товары!A:I,6,0)</f>
        <v>80</v>
      </c>
      <c r="I963" t="str">
        <f>VLOOKUP(C963,Магазины!A:C,3,0)</f>
        <v>Оренбург</v>
      </c>
      <c r="J963">
        <f>VLOOKUP(D963,Товары!A:I,4,0)</f>
        <v>29340</v>
      </c>
      <c r="K963">
        <f t="shared" ref="K963:K1026" si="15">J963*F963</f>
        <v>58680</v>
      </c>
    </row>
    <row r="964" spans="1:11" hidden="1" x14ac:dyDescent="0.25">
      <c r="A964">
        <v>963</v>
      </c>
      <c r="B964" s="1">
        <v>45756</v>
      </c>
      <c r="C964" t="s">
        <v>33</v>
      </c>
      <c r="D964" t="s">
        <v>29</v>
      </c>
      <c r="E964" t="s">
        <v>8</v>
      </c>
      <c r="F964">
        <v>1</v>
      </c>
      <c r="G964" t="str">
        <f>VLOOKUP(D964,Товары!A:I,3,0)</f>
        <v>Тумба с раковиной  напол. Леон Риф 600 солярис/белый риф 2 ящика с умыв. Океан</v>
      </c>
      <c r="H964">
        <f>VLOOKUP(D964,Товары!A:I,6,0)</f>
        <v>80</v>
      </c>
      <c r="I964" t="str">
        <f>VLOOKUP(C964,Магазины!A:C,3,0)</f>
        <v>Набережные Челны</v>
      </c>
      <c r="J964">
        <f>VLOOKUP(D964,Товары!A:I,4,0)</f>
        <v>24150</v>
      </c>
      <c r="K964">
        <f t="shared" si="15"/>
        <v>24150</v>
      </c>
    </row>
    <row r="965" spans="1:11" hidden="1" x14ac:dyDescent="0.25">
      <c r="A965">
        <v>964</v>
      </c>
      <c r="B965" s="1">
        <v>45757</v>
      </c>
      <c r="C965" t="s">
        <v>28</v>
      </c>
      <c r="D965" t="s">
        <v>64</v>
      </c>
      <c r="E965" t="s">
        <v>8</v>
      </c>
      <c r="F965">
        <v>3</v>
      </c>
      <c r="G965" t="str">
        <f>VLOOKUP(D965,Товары!A:I,3,0)</f>
        <v>Тумба с раковиной  напол. Рица 800 антрацит 2 ящика с умыв. Слим</v>
      </c>
      <c r="H965">
        <f>VLOOKUP(D965,Товары!A:I,6,0)</f>
        <v>80</v>
      </c>
      <c r="I965" t="str">
        <f>VLOOKUP(C965,Магазины!A:C,3,0)</f>
        <v>Набережные Челны</v>
      </c>
      <c r="J965">
        <f>VLOOKUP(D965,Товары!A:I,4,0)</f>
        <v>28980</v>
      </c>
      <c r="K965">
        <f t="shared" si="15"/>
        <v>86940</v>
      </c>
    </row>
    <row r="966" spans="1:11" hidden="1" x14ac:dyDescent="0.25">
      <c r="A966">
        <v>965</v>
      </c>
      <c r="B966" s="1">
        <v>45751</v>
      </c>
      <c r="C966" t="s">
        <v>33</v>
      </c>
      <c r="D966" t="s">
        <v>21</v>
      </c>
      <c r="E966" t="s">
        <v>8</v>
      </c>
      <c r="F966">
        <v>2</v>
      </c>
      <c r="G966" t="str">
        <f>VLOOKUP(D966,Товары!A:I,3,0)</f>
        <v>Зеркальный шкаф Рица 60 со светильником правый цвет cерый/керамика</v>
      </c>
      <c r="H966">
        <f>VLOOKUP(D966,Товары!A:I,6,0)</f>
        <v>75</v>
      </c>
      <c r="I966" t="str">
        <f>VLOOKUP(C966,Магазины!A:C,3,0)</f>
        <v>Набережные Челны</v>
      </c>
      <c r="J966">
        <f>VLOOKUP(D966,Товары!A:I,4,0)</f>
        <v>8910</v>
      </c>
      <c r="K966">
        <f t="shared" si="15"/>
        <v>17820</v>
      </c>
    </row>
    <row r="967" spans="1:11" hidden="1" x14ac:dyDescent="0.25">
      <c r="A967">
        <v>966</v>
      </c>
      <c r="B967" s="1">
        <v>45754</v>
      </c>
      <c r="C967" t="s">
        <v>41</v>
      </c>
      <c r="D967" t="s">
        <v>47</v>
      </c>
      <c r="E967" t="s">
        <v>8</v>
      </c>
      <c r="F967">
        <v>3</v>
      </c>
      <c r="G967" t="str">
        <f>VLOOKUP(D967,Товары!A:I,3,0)</f>
        <v>Пенал напол. Кристалл 350 шато азур 2 двери</v>
      </c>
      <c r="H967">
        <f>VLOOKUP(D967,Товары!A:I,6,0)</f>
        <v>190</v>
      </c>
      <c r="I967" t="str">
        <f>VLOOKUP(C967,Магазины!A:C,3,0)</f>
        <v>Ставрополь</v>
      </c>
      <c r="J967">
        <f>VLOOKUP(D967,Товары!A:I,4,0)</f>
        <v>15810</v>
      </c>
      <c r="K967">
        <f t="shared" si="15"/>
        <v>47430</v>
      </c>
    </row>
    <row r="968" spans="1:11" hidden="1" x14ac:dyDescent="0.25">
      <c r="A968">
        <v>967</v>
      </c>
      <c r="B968" s="1">
        <v>45751</v>
      </c>
      <c r="C968" t="s">
        <v>14</v>
      </c>
      <c r="D968" t="s">
        <v>32</v>
      </c>
      <c r="E968" t="s">
        <v>13</v>
      </c>
      <c r="F968">
        <v>1</v>
      </c>
      <c r="G968" t="str">
        <f>VLOOKUP(D968,Товары!A:I,3,0)</f>
        <v>Тумба с раковиной  напол. Леон Риф 700 солярис/белый риф 2 ящика с умыв. Слим</v>
      </c>
      <c r="H968">
        <f>VLOOKUP(D968,Товары!A:I,6,0)</f>
        <v>85</v>
      </c>
      <c r="I968" t="str">
        <f>VLOOKUP(C968,Магазины!A:C,3,0)</f>
        <v>Оренбург</v>
      </c>
      <c r="J968">
        <f>VLOOKUP(D968,Товары!A:I,4,0)</f>
        <v>26460</v>
      </c>
      <c r="K968">
        <f t="shared" si="15"/>
        <v>26460</v>
      </c>
    </row>
    <row r="969" spans="1:11" hidden="1" x14ac:dyDescent="0.25">
      <c r="A969">
        <v>968</v>
      </c>
      <c r="B969" s="1">
        <v>45754</v>
      </c>
      <c r="C969" t="s">
        <v>16</v>
      </c>
      <c r="D969" t="s">
        <v>60</v>
      </c>
      <c r="E969" t="s">
        <v>8</v>
      </c>
      <c r="F969">
        <v>2</v>
      </c>
      <c r="G969" t="str">
        <f>VLOOKUP(D969,Товары!A:I,3,0)</f>
        <v>Пенал навес. Куба Риф 350 белый 2 двери</v>
      </c>
      <c r="H969">
        <f>VLOOKUP(D969,Товары!A:I,6,0)</f>
        <v>150</v>
      </c>
      <c r="I969" t="str">
        <f>VLOOKUP(C969,Магазины!A:C,3,0)</f>
        <v>Оренбург</v>
      </c>
      <c r="J969">
        <f>VLOOKUP(D969,Товары!A:I,4,0)</f>
        <v>9720</v>
      </c>
      <c r="K969">
        <f t="shared" si="15"/>
        <v>19440</v>
      </c>
    </row>
    <row r="970" spans="1:11" hidden="1" x14ac:dyDescent="0.25">
      <c r="A970">
        <v>969</v>
      </c>
      <c r="B970" s="1">
        <v>45757</v>
      </c>
      <c r="C970" t="s">
        <v>20</v>
      </c>
      <c r="D970" t="s">
        <v>7</v>
      </c>
      <c r="E970" t="s">
        <v>8</v>
      </c>
      <c r="F970">
        <v>3</v>
      </c>
      <c r="G970" t="str">
        <f>VLOOKUP(D970,Товары!A:I,3,0)</f>
        <v>Пенал напол. Леон Риф 400 солярис/белый риф 2 двери + 1 ящик</v>
      </c>
      <c r="H970">
        <f>VLOOKUP(D970,Товары!A:I,6,0)</f>
        <v>190</v>
      </c>
      <c r="I970" t="str">
        <f>VLOOKUP(C970,Магазины!A:C,3,0)</f>
        <v>Оренбург</v>
      </c>
      <c r="J970">
        <f>VLOOKUP(D970,Товары!A:I,4,0)</f>
        <v>14490</v>
      </c>
      <c r="K970">
        <f t="shared" si="15"/>
        <v>43470</v>
      </c>
    </row>
    <row r="971" spans="1:11" hidden="1" x14ac:dyDescent="0.25">
      <c r="A971">
        <v>970</v>
      </c>
      <c r="B971" s="1">
        <v>45749</v>
      </c>
      <c r="C971" t="s">
        <v>16</v>
      </c>
      <c r="D971" t="s">
        <v>46</v>
      </c>
      <c r="E971" t="s">
        <v>8</v>
      </c>
      <c r="F971">
        <v>2</v>
      </c>
      <c r="G971" t="str">
        <f>VLOOKUP(D971,Товары!A:I,3,0)</f>
        <v>Тумба с раковиной  напол. Сохо 700 белый 2 ящика с умыв. Слим</v>
      </c>
      <c r="H971">
        <f>VLOOKUP(D971,Товары!A:I,6,0)</f>
        <v>85</v>
      </c>
      <c r="I971" t="str">
        <f>VLOOKUP(C971,Магазины!A:C,3,0)</f>
        <v>Оренбург</v>
      </c>
      <c r="J971">
        <f>VLOOKUP(D971,Товары!A:I,4,0)</f>
        <v>18405</v>
      </c>
      <c r="K971">
        <f t="shared" si="15"/>
        <v>36810</v>
      </c>
    </row>
    <row r="972" spans="1:11" hidden="1" x14ac:dyDescent="0.25">
      <c r="A972">
        <v>971</v>
      </c>
      <c r="B972" s="1">
        <v>45754</v>
      </c>
      <c r="C972" t="s">
        <v>20</v>
      </c>
      <c r="D972" t="s">
        <v>116</v>
      </c>
      <c r="E972" t="s">
        <v>13</v>
      </c>
      <c r="F972">
        <v>1</v>
      </c>
      <c r="G972" t="str">
        <f>VLOOKUP(D972,Товары!A:I,3,0)</f>
        <v>Зеркало Нева 60 дуб/белый со светильником</v>
      </c>
      <c r="H972">
        <f>VLOOKUP(D972,Товары!A:I,6,0)</f>
        <v>80</v>
      </c>
      <c r="I972" t="str">
        <f>VLOOKUP(C972,Магазины!A:C,3,0)</f>
        <v>Оренбург</v>
      </c>
      <c r="J972">
        <f>VLOOKUP(D972,Товары!A:I,4,0)</f>
        <v>5100</v>
      </c>
      <c r="K972">
        <f t="shared" si="15"/>
        <v>5100</v>
      </c>
    </row>
    <row r="973" spans="1:11" hidden="1" x14ac:dyDescent="0.25">
      <c r="A973">
        <v>972</v>
      </c>
      <c r="B973" s="1">
        <v>45751</v>
      </c>
      <c r="C973" t="s">
        <v>111</v>
      </c>
      <c r="D973" t="s">
        <v>37</v>
      </c>
      <c r="E973" t="s">
        <v>13</v>
      </c>
      <c r="F973">
        <v>3</v>
      </c>
      <c r="G973" t="str">
        <f>VLOOKUP(D973,Товары!A:I,3,0)</f>
        <v>Зеркальный шкаф Сохо 70 белый со светильником правый цвет Белый глянец</v>
      </c>
      <c r="H973">
        <f>VLOOKUP(D973,Товары!A:I,6,0)</f>
        <v>75</v>
      </c>
      <c r="I973" t="str">
        <f>VLOOKUP(C973,Магазины!A:C,3,0)</f>
        <v>Набережные Челны</v>
      </c>
      <c r="J973">
        <f>VLOOKUP(D973,Товары!A:I,4,0)</f>
        <v>7935</v>
      </c>
      <c r="K973">
        <f t="shared" si="15"/>
        <v>23805</v>
      </c>
    </row>
    <row r="974" spans="1:11" hidden="1" x14ac:dyDescent="0.25">
      <c r="A974">
        <v>973</v>
      </c>
      <c r="B974" s="1">
        <v>45754</v>
      </c>
      <c r="C974" t="s">
        <v>6</v>
      </c>
      <c r="D974" t="s">
        <v>72</v>
      </c>
      <c r="E974" t="s">
        <v>8</v>
      </c>
      <c r="F974">
        <v>3</v>
      </c>
      <c r="G974" t="str">
        <f>VLOOKUP(D974,Товары!A:I,3,0)</f>
        <v>Тумба с раковиной  напол. Сохо 600 белый 2 ящика с умыв. Океан</v>
      </c>
      <c r="H974">
        <f>VLOOKUP(D974,Товары!A:I,6,0)</f>
        <v>85</v>
      </c>
      <c r="I974" t="str">
        <f>VLOOKUP(C974,Магазины!A:C,3,0)</f>
        <v>Оренбург</v>
      </c>
      <c r="J974">
        <f>VLOOKUP(D974,Товары!A:I,4,0)</f>
        <v>16140</v>
      </c>
      <c r="K974">
        <f t="shared" si="15"/>
        <v>48420</v>
      </c>
    </row>
    <row r="975" spans="1:11" hidden="1" x14ac:dyDescent="0.25">
      <c r="A975">
        <v>974</v>
      </c>
      <c r="B975" s="1">
        <v>45756</v>
      </c>
      <c r="C975" t="s">
        <v>92</v>
      </c>
      <c r="D975" t="s">
        <v>125</v>
      </c>
      <c r="E975" t="s">
        <v>8</v>
      </c>
      <c r="F975">
        <v>1</v>
      </c>
      <c r="G975" t="str">
        <f>VLOOKUP(D975,Товары!A:I,3,0)</f>
        <v>Зеркальный шкаф Сохо 60 белый со светильником правый цвет Белый глянец</v>
      </c>
      <c r="H975">
        <f>VLOOKUP(D975,Товары!A:I,6,0)</f>
        <v>75</v>
      </c>
      <c r="I975" t="str">
        <f>VLOOKUP(C975,Магазины!A:C,3,0)</f>
        <v>Кемерово</v>
      </c>
      <c r="J975">
        <f>VLOOKUP(D975,Товары!A:I,4,0)</f>
        <v>7395</v>
      </c>
      <c r="K975">
        <f t="shared" si="15"/>
        <v>7395</v>
      </c>
    </row>
    <row r="976" spans="1:11" hidden="1" x14ac:dyDescent="0.25">
      <c r="A976">
        <v>975</v>
      </c>
      <c r="B976" s="1">
        <v>45752</v>
      </c>
      <c r="C976" t="s">
        <v>57</v>
      </c>
      <c r="D976" t="s">
        <v>17</v>
      </c>
      <c r="E976" t="s">
        <v>8</v>
      </c>
      <c r="F976">
        <v>3</v>
      </c>
      <c r="G976" t="str">
        <f>VLOOKUP(D976,Товары!A:I,3,0)</f>
        <v>Тумба с раковиной  навес. Альба 800 антрацит 1 ящик с умыв. Слим</v>
      </c>
      <c r="H976">
        <f>VLOOKUP(D976,Товары!A:I,6,0)</f>
        <v>45</v>
      </c>
      <c r="I976" t="str">
        <f>VLOOKUP(C976,Магазины!A:C,3,0)</f>
        <v>Оренбург</v>
      </c>
      <c r="J976">
        <f>VLOOKUP(D976,Товары!A:I,4,0)</f>
        <v>21630</v>
      </c>
      <c r="K976">
        <f t="shared" si="15"/>
        <v>64890</v>
      </c>
    </row>
    <row r="977" spans="1:11" hidden="1" x14ac:dyDescent="0.25">
      <c r="A977">
        <v>976</v>
      </c>
      <c r="B977" s="1">
        <v>45757</v>
      </c>
      <c r="C977" t="s">
        <v>6</v>
      </c>
      <c r="D977" t="s">
        <v>78</v>
      </c>
      <c r="E977" t="s">
        <v>13</v>
      </c>
      <c r="F977">
        <v>2</v>
      </c>
      <c r="G977" t="str">
        <f>VLOOKUP(D977,Товары!A:I,3,0)</f>
        <v>Зеркальный шкаф Кристалл 70 со светильником правый, ручка кнопка дуб цвет Шато Азур</v>
      </c>
      <c r="H977">
        <f>VLOOKUP(D977,Товары!A:I,6,0)</f>
        <v>75</v>
      </c>
      <c r="I977" t="str">
        <f>VLOOKUP(C977,Магазины!A:C,3,0)</f>
        <v>Оренбург</v>
      </c>
      <c r="J977">
        <f>VLOOKUP(D977,Товары!A:I,4,0)</f>
        <v>9615</v>
      </c>
      <c r="K977">
        <f t="shared" si="15"/>
        <v>19230</v>
      </c>
    </row>
    <row r="978" spans="1:11" hidden="1" x14ac:dyDescent="0.25">
      <c r="A978">
        <v>977</v>
      </c>
      <c r="B978" s="1">
        <v>45750</v>
      </c>
      <c r="C978" t="s">
        <v>20</v>
      </c>
      <c r="D978" t="s">
        <v>93</v>
      </c>
      <c r="E978" t="s">
        <v>8</v>
      </c>
      <c r="F978">
        <v>3</v>
      </c>
      <c r="G978" t="str">
        <f>VLOOKUP(D978,Товары!A:I,3,0)</f>
        <v>Тумба с раковиной  напол. Леон Риф 800 солярис/белый риф 2 ящика с умыв. Слим</v>
      </c>
      <c r="H978">
        <f>VLOOKUP(D978,Товары!A:I,6,0)</f>
        <v>80</v>
      </c>
      <c r="I978" t="str">
        <f>VLOOKUP(C978,Магазины!A:C,3,0)</f>
        <v>Оренбург</v>
      </c>
      <c r="J978">
        <f>VLOOKUP(D978,Товары!A:I,4,0)</f>
        <v>29340</v>
      </c>
      <c r="K978">
        <f t="shared" si="15"/>
        <v>88020</v>
      </c>
    </row>
    <row r="979" spans="1:11" hidden="1" x14ac:dyDescent="0.25">
      <c r="A979">
        <v>978</v>
      </c>
      <c r="B979" s="1">
        <v>45753</v>
      </c>
      <c r="C979" t="s">
        <v>33</v>
      </c>
      <c r="D979" t="s">
        <v>117</v>
      </c>
      <c r="E979" t="s">
        <v>8</v>
      </c>
      <c r="F979">
        <v>1</v>
      </c>
      <c r="G979" t="str">
        <f>VLOOKUP(D979,Товары!A:I,3,0)</f>
        <v>Тумба с раковиной  навес. Альба 700 антрацит 2 ящика с умыв. Слим</v>
      </c>
      <c r="H979">
        <f>VLOOKUP(D979,Товары!A:I,6,0)</f>
        <v>60</v>
      </c>
      <c r="I979" t="str">
        <f>VLOOKUP(C979,Магазины!A:C,3,0)</f>
        <v>Набережные Челны</v>
      </c>
      <c r="J979">
        <f>VLOOKUP(D979,Товары!A:I,4,0)</f>
        <v>25095</v>
      </c>
      <c r="K979">
        <f t="shared" si="15"/>
        <v>25095</v>
      </c>
    </row>
    <row r="980" spans="1:11" hidden="1" x14ac:dyDescent="0.25">
      <c r="A980">
        <v>979</v>
      </c>
      <c r="B980" s="1">
        <v>45751</v>
      </c>
      <c r="C980" t="s">
        <v>63</v>
      </c>
      <c r="D980" t="s">
        <v>105</v>
      </c>
      <c r="E980" t="s">
        <v>8</v>
      </c>
      <c r="F980">
        <v>2</v>
      </c>
      <c r="G980" t="str">
        <f>VLOOKUP(D980,Товары!A:I,3,0)</f>
        <v>Тумба с раковиной  напол. Нева 600 белый 2 двери + 1 ящик с умыв. Como</v>
      </c>
      <c r="H980">
        <f>VLOOKUP(D980,Товары!A:I,6,0)</f>
        <v>80</v>
      </c>
      <c r="I980" t="str">
        <f>VLOOKUP(C980,Магазины!A:C,3,0)</f>
        <v>Ставрополь</v>
      </c>
      <c r="J980">
        <f>VLOOKUP(D980,Товары!A:I,4,0)</f>
        <v>13470</v>
      </c>
      <c r="K980">
        <f t="shared" si="15"/>
        <v>26940</v>
      </c>
    </row>
    <row r="981" spans="1:11" hidden="1" x14ac:dyDescent="0.25">
      <c r="A981">
        <v>980</v>
      </c>
      <c r="B981" s="1">
        <v>45757</v>
      </c>
      <c r="C981" t="s">
        <v>63</v>
      </c>
      <c r="D981" t="s">
        <v>113</v>
      </c>
      <c r="E981" t="s">
        <v>8</v>
      </c>
      <c r="F981">
        <v>1</v>
      </c>
      <c r="G981" t="str">
        <f>VLOOKUP(D981,Товары!A:I,3,0)</f>
        <v>Зеркальный шкаф Альба 60 со светильником правый цвет мята</v>
      </c>
      <c r="H981">
        <f>VLOOKUP(D981,Товары!A:I,6,0)</f>
        <v>75</v>
      </c>
      <c r="I981" t="str">
        <f>VLOOKUP(C981,Магазины!A:C,3,0)</f>
        <v>Ставрополь</v>
      </c>
      <c r="J981">
        <f>VLOOKUP(D981,Товары!A:I,4,0)</f>
        <v>8910</v>
      </c>
      <c r="K981">
        <f t="shared" si="15"/>
        <v>8910</v>
      </c>
    </row>
    <row r="982" spans="1:11" hidden="1" x14ac:dyDescent="0.25">
      <c r="A982">
        <v>981</v>
      </c>
      <c r="B982" s="1">
        <v>45754</v>
      </c>
      <c r="C982" t="s">
        <v>11</v>
      </c>
      <c r="D982" t="s">
        <v>37</v>
      </c>
      <c r="E982" t="s">
        <v>8</v>
      </c>
      <c r="F982">
        <v>3</v>
      </c>
      <c r="G982" t="str">
        <f>VLOOKUP(D982,Товары!A:I,3,0)</f>
        <v>Зеркальный шкаф Сохо 70 белый со светильником правый цвет Белый глянец</v>
      </c>
      <c r="H982">
        <f>VLOOKUP(D982,Товары!A:I,6,0)</f>
        <v>75</v>
      </c>
      <c r="I982" t="str">
        <f>VLOOKUP(C982,Магазины!A:C,3,0)</f>
        <v>Кемерово</v>
      </c>
      <c r="J982">
        <f>VLOOKUP(D982,Товары!A:I,4,0)</f>
        <v>7935</v>
      </c>
      <c r="K982">
        <f t="shared" si="15"/>
        <v>23805</v>
      </c>
    </row>
    <row r="983" spans="1:11" hidden="1" x14ac:dyDescent="0.25">
      <c r="A983">
        <v>982</v>
      </c>
      <c r="B983" s="1">
        <v>45750</v>
      </c>
      <c r="C983" t="s">
        <v>20</v>
      </c>
      <c r="D983" t="s">
        <v>45</v>
      </c>
      <c r="E983" t="s">
        <v>8</v>
      </c>
      <c r="F983">
        <v>3</v>
      </c>
      <c r="G983" t="str">
        <f>VLOOKUP(D983,Товары!A:I,3,0)</f>
        <v>Зеркальный шкаф Рица 80 со светильником правый цвет cерый/керамика</v>
      </c>
      <c r="H983">
        <f>VLOOKUP(D983,Товары!A:I,6,0)</f>
        <v>75</v>
      </c>
      <c r="I983" t="str">
        <f>VLOOKUP(C983,Магазины!A:C,3,0)</f>
        <v>Оренбург</v>
      </c>
      <c r="J983">
        <f>VLOOKUP(D983,Товары!A:I,4,0)</f>
        <v>9930</v>
      </c>
      <c r="K983">
        <f t="shared" si="15"/>
        <v>29790</v>
      </c>
    </row>
    <row r="984" spans="1:11" hidden="1" x14ac:dyDescent="0.25">
      <c r="A984">
        <v>983</v>
      </c>
      <c r="B984" s="1">
        <v>45751</v>
      </c>
      <c r="C984" t="s">
        <v>30</v>
      </c>
      <c r="D984" t="s">
        <v>97</v>
      </c>
      <c r="E984" t="s">
        <v>8</v>
      </c>
      <c r="F984">
        <v>3</v>
      </c>
      <c r="G984" t="str">
        <f>VLOOKUP(D984,Товары!A:I,3,0)</f>
        <v>Пенал напол. Кристалл 350 суфле 2 двери</v>
      </c>
      <c r="H984">
        <f>VLOOKUP(D984,Товары!A:I,6,0)</f>
        <v>190</v>
      </c>
      <c r="I984" t="str">
        <f>VLOOKUP(C984,Магазины!A:C,3,0)</f>
        <v>Кемерово</v>
      </c>
      <c r="J984">
        <f>VLOOKUP(D984,Товары!A:I,4,0)</f>
        <v>15810</v>
      </c>
      <c r="K984">
        <f t="shared" si="15"/>
        <v>47430</v>
      </c>
    </row>
    <row r="985" spans="1:11" hidden="1" x14ac:dyDescent="0.25">
      <c r="A985">
        <v>984</v>
      </c>
      <c r="B985" s="1">
        <v>45757</v>
      </c>
      <c r="C985" t="s">
        <v>58</v>
      </c>
      <c r="D985" t="s">
        <v>65</v>
      </c>
      <c r="E985" t="s">
        <v>8</v>
      </c>
      <c r="F985">
        <v>2</v>
      </c>
      <c r="G985" t="str">
        <f>VLOOKUP(D985,Товары!A:I,3,0)</f>
        <v>Тумба с раковиной  навес. Альба 800 суфле 2 ящика с умыв. Слим</v>
      </c>
      <c r="H985">
        <f>VLOOKUP(D985,Товары!A:I,6,0)</f>
        <v>50</v>
      </c>
      <c r="I985" t="str">
        <f>VLOOKUP(C985,Магазины!A:C,3,0)</f>
        <v>Ставрополь</v>
      </c>
      <c r="J985">
        <f>VLOOKUP(D985,Товары!A:I,4,0)</f>
        <v>26070</v>
      </c>
      <c r="K985">
        <f t="shared" si="15"/>
        <v>52140</v>
      </c>
    </row>
    <row r="986" spans="1:11" hidden="1" x14ac:dyDescent="0.25">
      <c r="A986">
        <v>985</v>
      </c>
      <c r="B986" s="1">
        <v>45753</v>
      </c>
      <c r="C986" t="s">
        <v>16</v>
      </c>
      <c r="D986" t="s">
        <v>109</v>
      </c>
      <c r="E986" t="s">
        <v>13</v>
      </c>
      <c r="F986">
        <v>3</v>
      </c>
      <c r="G986" t="str">
        <f>VLOOKUP(D986,Товары!A:I,3,0)</f>
        <v>Тумба с раковиной  навес. Альба 600 антрацит 2 ящика с умыв. Океан</v>
      </c>
      <c r="H986">
        <f>VLOOKUP(D986,Товары!A:I,6,0)</f>
        <v>50</v>
      </c>
      <c r="I986" t="str">
        <f>VLOOKUP(C986,Магазины!A:C,3,0)</f>
        <v>Оренбург</v>
      </c>
      <c r="J986">
        <f>VLOOKUP(D986,Товары!A:I,4,0)</f>
        <v>24810</v>
      </c>
      <c r="K986">
        <f t="shared" si="15"/>
        <v>74430</v>
      </c>
    </row>
    <row r="987" spans="1:11" hidden="1" x14ac:dyDescent="0.25">
      <c r="A987">
        <v>986</v>
      </c>
      <c r="B987" s="1">
        <v>45753</v>
      </c>
      <c r="C987" t="s">
        <v>58</v>
      </c>
      <c r="D987" t="s">
        <v>59</v>
      </c>
      <c r="E987" t="s">
        <v>13</v>
      </c>
      <c r="F987">
        <v>3</v>
      </c>
      <c r="G987" t="str">
        <f>VLOOKUP(D987,Товары!A:I,3,0)</f>
        <v>Тумба с раковиной  навес. Куба Риф 600 белый 2 ящика с умыв. Океан</v>
      </c>
      <c r="H987">
        <f>VLOOKUP(D987,Товары!A:I,6,0)</f>
        <v>55</v>
      </c>
      <c r="I987" t="str">
        <f>VLOOKUP(C987,Магазины!A:C,3,0)</f>
        <v>Ставрополь</v>
      </c>
      <c r="J987">
        <f>VLOOKUP(D987,Товары!A:I,4,0)</f>
        <v>15765</v>
      </c>
      <c r="K987">
        <f t="shared" si="15"/>
        <v>47295</v>
      </c>
    </row>
    <row r="988" spans="1:11" hidden="1" x14ac:dyDescent="0.25">
      <c r="A988">
        <v>987</v>
      </c>
      <c r="B988" s="1">
        <v>45755</v>
      </c>
      <c r="C988" t="s">
        <v>18</v>
      </c>
      <c r="D988" t="s">
        <v>77</v>
      </c>
      <c r="E988" t="s">
        <v>13</v>
      </c>
      <c r="F988">
        <v>1</v>
      </c>
      <c r="G988" t="str">
        <f>VLOOKUP(D988,Товары!A:I,3,0)</f>
        <v>Тумба с раковиной  напол. Куба Риф 600 белый 2 ящика с умыв. Como</v>
      </c>
      <c r="H988">
        <f>VLOOKUP(D988,Товары!A:I,6,0)</f>
        <v>85</v>
      </c>
      <c r="I988" t="str">
        <f>VLOOKUP(C988,Магазины!A:C,3,0)</f>
        <v>Набережные Челны</v>
      </c>
      <c r="J988">
        <f>VLOOKUP(D988,Товары!A:I,4,0)</f>
        <v>15660</v>
      </c>
      <c r="K988">
        <f t="shared" si="15"/>
        <v>15660</v>
      </c>
    </row>
    <row r="989" spans="1:11" hidden="1" x14ac:dyDescent="0.25">
      <c r="A989">
        <v>988</v>
      </c>
      <c r="B989" s="1">
        <v>45748</v>
      </c>
      <c r="C989" t="s">
        <v>58</v>
      </c>
      <c r="D989" t="s">
        <v>99</v>
      </c>
      <c r="E989" t="s">
        <v>8</v>
      </c>
      <c r="F989">
        <v>3</v>
      </c>
      <c r="G989" t="str">
        <f>VLOOKUP(D989,Товары!A:I,3,0)</f>
        <v>Тумба с раковиной  навес. Леон 600 оникс 2 ящика с умыв. Слим</v>
      </c>
      <c r="H989">
        <f>VLOOKUP(D989,Товары!A:I,6,0)</f>
        <v>60</v>
      </c>
      <c r="I989" t="str">
        <f>VLOOKUP(C989,Магазины!A:C,3,0)</f>
        <v>Ставрополь</v>
      </c>
      <c r="J989">
        <f>VLOOKUP(D989,Товары!A:I,4,0)</f>
        <v>25125</v>
      </c>
      <c r="K989">
        <f t="shared" si="15"/>
        <v>75375</v>
      </c>
    </row>
    <row r="990" spans="1:11" hidden="1" x14ac:dyDescent="0.25">
      <c r="A990">
        <v>989</v>
      </c>
      <c r="B990" s="1">
        <v>45751</v>
      </c>
      <c r="C990" t="s">
        <v>6</v>
      </c>
      <c r="D990" t="s">
        <v>112</v>
      </c>
      <c r="E990" t="s">
        <v>13</v>
      </c>
      <c r="F990">
        <v>2</v>
      </c>
      <c r="G990" t="str">
        <f>VLOOKUP(D990,Товары!A:I,3,0)</f>
        <v>Тумба с раковиной  напол. Аква 560 белый 2 двери с умыв. Уют</v>
      </c>
      <c r="H990">
        <f>VLOOKUP(D990,Товары!A:I,6,0)</f>
        <v>85</v>
      </c>
      <c r="I990" t="str">
        <f>VLOOKUP(C990,Магазины!A:C,3,0)</f>
        <v>Оренбург</v>
      </c>
      <c r="J990">
        <f>VLOOKUP(D990,Товары!A:I,4,0)</f>
        <v>9330</v>
      </c>
      <c r="K990">
        <f t="shared" si="15"/>
        <v>18660</v>
      </c>
    </row>
    <row r="991" spans="1:11" hidden="1" x14ac:dyDescent="0.25">
      <c r="A991">
        <v>990</v>
      </c>
      <c r="B991" s="1">
        <v>45752</v>
      </c>
      <c r="C991" t="s">
        <v>18</v>
      </c>
      <c r="D991" t="s">
        <v>56</v>
      </c>
      <c r="E991" t="s">
        <v>13</v>
      </c>
      <c r="F991">
        <v>3</v>
      </c>
      <c r="G991" t="str">
        <f>VLOOKUP(D991,Товары!A:I,3,0)</f>
        <v>Зеркальный шкаф Альба 80 со светильником правый цвет мята</v>
      </c>
      <c r="H991">
        <f>VLOOKUP(D991,Товары!A:I,6,0)</f>
        <v>75</v>
      </c>
      <c r="I991" t="str">
        <f>VLOOKUP(C991,Магазины!A:C,3,0)</f>
        <v>Набережные Челны</v>
      </c>
      <c r="J991">
        <f>VLOOKUP(D991,Товары!A:I,4,0)</f>
        <v>9930</v>
      </c>
      <c r="K991">
        <f t="shared" si="15"/>
        <v>29790</v>
      </c>
    </row>
    <row r="992" spans="1:11" hidden="1" x14ac:dyDescent="0.25">
      <c r="A992">
        <v>991</v>
      </c>
      <c r="B992" s="1">
        <v>45752</v>
      </c>
      <c r="C992" t="s">
        <v>18</v>
      </c>
      <c r="D992" t="s">
        <v>46</v>
      </c>
      <c r="E992" t="s">
        <v>8</v>
      </c>
      <c r="F992">
        <v>2</v>
      </c>
      <c r="G992" t="str">
        <f>VLOOKUP(D992,Товары!A:I,3,0)</f>
        <v>Тумба с раковиной  напол. Сохо 700 белый 2 ящика с умыв. Слим</v>
      </c>
      <c r="H992">
        <f>VLOOKUP(D992,Товары!A:I,6,0)</f>
        <v>85</v>
      </c>
      <c r="I992" t="str">
        <f>VLOOKUP(C992,Магазины!A:C,3,0)</f>
        <v>Набережные Челны</v>
      </c>
      <c r="J992">
        <f>VLOOKUP(D992,Товары!A:I,4,0)</f>
        <v>18405</v>
      </c>
      <c r="K992">
        <f t="shared" si="15"/>
        <v>36810</v>
      </c>
    </row>
    <row r="993" spans="1:11" hidden="1" x14ac:dyDescent="0.25">
      <c r="A993">
        <v>992</v>
      </c>
      <c r="B993" s="1">
        <v>45757</v>
      </c>
      <c r="C993" t="s">
        <v>57</v>
      </c>
      <c r="D993" t="s">
        <v>109</v>
      </c>
      <c r="E993" t="s">
        <v>8</v>
      </c>
      <c r="F993">
        <v>3</v>
      </c>
      <c r="G993" t="str">
        <f>VLOOKUP(D993,Товары!A:I,3,0)</f>
        <v>Тумба с раковиной  навес. Альба 600 антрацит 2 ящика с умыв. Океан</v>
      </c>
      <c r="H993">
        <f>VLOOKUP(D993,Товары!A:I,6,0)</f>
        <v>50</v>
      </c>
      <c r="I993" t="str">
        <f>VLOOKUP(C993,Магазины!A:C,3,0)</f>
        <v>Оренбург</v>
      </c>
      <c r="J993">
        <f>VLOOKUP(D993,Товары!A:I,4,0)</f>
        <v>24810</v>
      </c>
      <c r="K993">
        <f t="shared" si="15"/>
        <v>74430</v>
      </c>
    </row>
    <row r="994" spans="1:11" hidden="1" x14ac:dyDescent="0.25">
      <c r="A994">
        <v>993</v>
      </c>
      <c r="B994" s="1">
        <v>45748</v>
      </c>
      <c r="C994" t="s">
        <v>63</v>
      </c>
      <c r="D994" t="s">
        <v>82</v>
      </c>
      <c r="E994" t="s">
        <v>8</v>
      </c>
      <c r="F994">
        <v>2</v>
      </c>
      <c r="G994" t="str">
        <f>VLOOKUP(D994,Товары!A:I,3,0)</f>
        <v>Тумба с раковиной  навес. Леон 800 форест 2 ящика с умыв. Слим</v>
      </c>
      <c r="H994">
        <f>VLOOKUP(D994,Товары!A:I,6,0)</f>
        <v>60</v>
      </c>
      <c r="I994" t="str">
        <f>VLOOKUP(C994,Магазины!A:C,3,0)</f>
        <v>Ставрополь</v>
      </c>
      <c r="J994">
        <f>VLOOKUP(D994,Товары!A:I,4,0)</f>
        <v>27930</v>
      </c>
      <c r="K994">
        <f t="shared" si="15"/>
        <v>55860</v>
      </c>
    </row>
    <row r="995" spans="1:11" hidden="1" x14ac:dyDescent="0.25">
      <c r="A995">
        <v>994</v>
      </c>
      <c r="B995" s="1">
        <v>45751</v>
      </c>
      <c r="C995" t="s">
        <v>6</v>
      </c>
      <c r="D995" t="s">
        <v>87</v>
      </c>
      <c r="E995" t="s">
        <v>8</v>
      </c>
      <c r="F995">
        <v>2</v>
      </c>
      <c r="G995" t="str">
        <f>VLOOKUP(D995,Товары!A:I,3,0)</f>
        <v>Тумба с раковиной  напол. Леон 700 форест 2 ящика с умыв. Слим</v>
      </c>
      <c r="H995">
        <f>VLOOKUP(D995,Товары!A:I,6,0)</f>
        <v>80</v>
      </c>
      <c r="I995" t="str">
        <f>VLOOKUP(C995,Магазины!A:C,3,0)</f>
        <v>Оренбург</v>
      </c>
      <c r="J995">
        <f>VLOOKUP(D995,Товары!A:I,4,0)</f>
        <v>28380</v>
      </c>
      <c r="K995">
        <f t="shared" si="15"/>
        <v>56760</v>
      </c>
    </row>
    <row r="996" spans="1:11" hidden="1" x14ac:dyDescent="0.25">
      <c r="A996">
        <v>995</v>
      </c>
      <c r="B996" s="1">
        <v>45752</v>
      </c>
      <c r="C996" t="s">
        <v>92</v>
      </c>
      <c r="D996" t="s">
        <v>19</v>
      </c>
      <c r="E996" t="s">
        <v>8</v>
      </c>
      <c r="F996">
        <v>2</v>
      </c>
      <c r="G996" t="str">
        <f>VLOOKUP(D996,Товары!A:I,3,0)</f>
        <v>Тумба с раковиной  навес. Леон 800 оникс 2 ящика с умыв. Слим</v>
      </c>
      <c r="H996">
        <f>VLOOKUP(D996,Товары!A:I,6,0)</f>
        <v>60</v>
      </c>
      <c r="I996" t="str">
        <f>VLOOKUP(C996,Магазины!A:C,3,0)</f>
        <v>Кемерово</v>
      </c>
      <c r="J996">
        <f>VLOOKUP(D996,Товары!A:I,4,0)</f>
        <v>27930</v>
      </c>
      <c r="K996">
        <f t="shared" si="15"/>
        <v>55860</v>
      </c>
    </row>
    <row r="997" spans="1:11" hidden="1" x14ac:dyDescent="0.25">
      <c r="A997">
        <v>996</v>
      </c>
      <c r="B997" s="1">
        <v>45751</v>
      </c>
      <c r="C997" t="s">
        <v>30</v>
      </c>
      <c r="D997" t="s">
        <v>128</v>
      </c>
      <c r="E997" t="s">
        <v>13</v>
      </c>
      <c r="F997">
        <v>2</v>
      </c>
      <c r="G997" t="str">
        <f>VLOOKUP(D997,Товары!A:I,3,0)</f>
        <v>Тумба с раковиной  напол. Куба Риф 1000 белый 2 ящика с умыв. Слим</v>
      </c>
      <c r="H997">
        <f>VLOOKUP(D997,Товары!A:I,6,0)</f>
        <v>85</v>
      </c>
      <c r="I997" t="str">
        <f>VLOOKUP(C997,Магазины!A:C,3,0)</f>
        <v>Кемерово</v>
      </c>
      <c r="J997">
        <f>VLOOKUP(D997,Товары!A:I,4,0)</f>
        <v>22905</v>
      </c>
      <c r="K997">
        <f t="shared" si="15"/>
        <v>45810</v>
      </c>
    </row>
    <row r="998" spans="1:11" hidden="1" x14ac:dyDescent="0.25">
      <c r="A998">
        <v>997</v>
      </c>
      <c r="B998" s="1">
        <v>45757</v>
      </c>
      <c r="C998" t="s">
        <v>20</v>
      </c>
      <c r="D998" t="s">
        <v>78</v>
      </c>
      <c r="E998" t="s">
        <v>13</v>
      </c>
      <c r="F998">
        <v>3</v>
      </c>
      <c r="G998" t="str">
        <f>VLOOKUP(D998,Товары!A:I,3,0)</f>
        <v>Зеркальный шкаф Кристалл 70 со светильником правый, ручка кнопка дуб цвет Шато Азур</v>
      </c>
      <c r="H998">
        <f>VLOOKUP(D998,Товары!A:I,6,0)</f>
        <v>75</v>
      </c>
      <c r="I998" t="str">
        <f>VLOOKUP(C998,Магазины!A:C,3,0)</f>
        <v>Оренбург</v>
      </c>
      <c r="J998">
        <f>VLOOKUP(D998,Товары!A:I,4,0)</f>
        <v>9615</v>
      </c>
      <c r="K998">
        <f t="shared" si="15"/>
        <v>28845</v>
      </c>
    </row>
    <row r="999" spans="1:11" hidden="1" x14ac:dyDescent="0.25">
      <c r="A999">
        <v>998</v>
      </c>
      <c r="B999" s="1">
        <v>45757</v>
      </c>
      <c r="C999" t="s">
        <v>35</v>
      </c>
      <c r="D999" t="s">
        <v>51</v>
      </c>
      <c r="E999" t="s">
        <v>8</v>
      </c>
      <c r="F999">
        <v>3</v>
      </c>
      <c r="G999" t="str">
        <f>VLOOKUP(D999,Товары!A:I,3,0)</f>
        <v>Зеркальный шкаф Альба 80 со светильником правый цвет суфле</v>
      </c>
      <c r="H999">
        <f>VLOOKUP(D999,Товары!A:I,6,0)</f>
        <v>75</v>
      </c>
      <c r="I999" t="str">
        <f>VLOOKUP(C999,Магазины!A:C,3,0)</f>
        <v>Набережные Челны</v>
      </c>
      <c r="J999">
        <f>VLOOKUP(D999,Товары!A:I,4,0)</f>
        <v>9930</v>
      </c>
      <c r="K999">
        <f t="shared" si="15"/>
        <v>29790</v>
      </c>
    </row>
    <row r="1000" spans="1:11" hidden="1" x14ac:dyDescent="0.25">
      <c r="A1000">
        <v>999</v>
      </c>
      <c r="B1000" s="1">
        <v>45755</v>
      </c>
      <c r="C1000" t="s">
        <v>92</v>
      </c>
      <c r="D1000" t="s">
        <v>27</v>
      </c>
      <c r="E1000" t="s">
        <v>8</v>
      </c>
      <c r="F1000">
        <v>2</v>
      </c>
      <c r="G1000" t="str">
        <f>VLOOKUP(D1000,Товары!A:I,3,0)</f>
        <v>Тумба с раковиной  навес. Виктория 800 белый 2 ящика с умыв. Слим</v>
      </c>
      <c r="H1000">
        <f>VLOOKUP(D1000,Товары!A:I,6,0)</f>
        <v>60</v>
      </c>
      <c r="I1000" t="str">
        <f>VLOOKUP(C1000,Магазины!A:C,3,0)</f>
        <v>Кемерово</v>
      </c>
      <c r="J1000">
        <f>VLOOKUP(D1000,Товары!A:I,4,0)</f>
        <v>25290</v>
      </c>
      <c r="K1000">
        <f t="shared" si="15"/>
        <v>50580</v>
      </c>
    </row>
    <row r="1001" spans="1:11" hidden="1" x14ac:dyDescent="0.25">
      <c r="A1001">
        <v>1000</v>
      </c>
      <c r="B1001" s="1">
        <v>45755</v>
      </c>
      <c r="C1001" t="s">
        <v>11</v>
      </c>
      <c r="D1001" t="s">
        <v>69</v>
      </c>
      <c r="E1001" t="s">
        <v>8</v>
      </c>
      <c r="F1001">
        <v>3</v>
      </c>
      <c r="G1001" t="str">
        <f>VLOOKUP(D1001,Товары!A:I,3,0)</f>
        <v>Пенал навес./напол. Альба 350 антрацит 2 двери</v>
      </c>
      <c r="H1001">
        <f>VLOOKUP(D1001,Товары!A:I,6,0)</f>
        <v>150</v>
      </c>
      <c r="I1001" t="str">
        <f>VLOOKUP(C1001,Магазины!A:C,3,0)</f>
        <v>Кемерово</v>
      </c>
      <c r="J1001">
        <f>VLOOKUP(D1001,Товары!A:I,4,0)</f>
        <v>11655</v>
      </c>
      <c r="K1001">
        <f t="shared" si="15"/>
        <v>34965</v>
      </c>
    </row>
    <row r="1002" spans="1:11" hidden="1" x14ac:dyDescent="0.25">
      <c r="A1002">
        <v>1001</v>
      </c>
      <c r="B1002" s="1">
        <v>45750</v>
      </c>
      <c r="C1002" t="s">
        <v>16</v>
      </c>
      <c r="D1002" t="s">
        <v>129</v>
      </c>
      <c r="E1002" t="s">
        <v>8</v>
      </c>
      <c r="F1002">
        <v>1</v>
      </c>
      <c r="G1002" t="str">
        <f>VLOOKUP(D1002,Товары!A:I,3,0)</f>
        <v>Тумба с раковиной  напол. Альба 700 антрацит 2 ящика с умыв. Слим</v>
      </c>
      <c r="H1002">
        <f>VLOOKUP(D1002,Товары!A:I,6,0)</f>
        <v>85</v>
      </c>
      <c r="I1002" t="str">
        <f>VLOOKUP(C1002,Магазины!A:C,3,0)</f>
        <v>Оренбург</v>
      </c>
      <c r="J1002">
        <f>VLOOKUP(D1002,Товары!A:I,4,0)</f>
        <v>28695</v>
      </c>
      <c r="K1002">
        <f t="shared" si="15"/>
        <v>28695</v>
      </c>
    </row>
    <row r="1003" spans="1:11" hidden="1" x14ac:dyDescent="0.25">
      <c r="A1003">
        <v>1002</v>
      </c>
      <c r="B1003" s="1">
        <v>45757</v>
      </c>
      <c r="C1003" t="s">
        <v>20</v>
      </c>
      <c r="D1003" t="s">
        <v>95</v>
      </c>
      <c r="E1003" t="s">
        <v>13</v>
      </c>
      <c r="F1003">
        <v>3</v>
      </c>
      <c r="G1003" t="str">
        <f>VLOOKUP(D1003,Товары!A:I,3,0)</f>
        <v>Тумба с раковиной  напол. Рица 600 антрацит 2 ящика с умыв. Океан</v>
      </c>
      <c r="H1003">
        <f>VLOOKUP(D1003,Товары!A:I,6,0)</f>
        <v>80</v>
      </c>
      <c r="I1003" t="str">
        <f>VLOOKUP(C1003,Магазины!A:C,3,0)</f>
        <v>Оренбург</v>
      </c>
      <c r="J1003">
        <f>VLOOKUP(D1003,Товары!A:I,4,0)</f>
        <v>25560</v>
      </c>
      <c r="K1003">
        <f t="shared" si="15"/>
        <v>76680</v>
      </c>
    </row>
    <row r="1004" spans="1:11" hidden="1" x14ac:dyDescent="0.25">
      <c r="A1004">
        <v>1003</v>
      </c>
      <c r="B1004" s="1">
        <v>45756</v>
      </c>
      <c r="C1004" t="s">
        <v>43</v>
      </c>
      <c r="D1004" t="s">
        <v>15</v>
      </c>
      <c r="E1004" t="s">
        <v>13</v>
      </c>
      <c r="F1004">
        <v>3</v>
      </c>
      <c r="G1004" t="str">
        <f>VLOOKUP(D1004,Товары!A:I,3,0)</f>
        <v>Зеркальный шкаф Кристалл 60 со светильником правый, ручка кнопка дуб цвет Шато Азур</v>
      </c>
      <c r="H1004">
        <f>VLOOKUP(D1004,Товары!A:I,6,0)</f>
        <v>75</v>
      </c>
      <c r="I1004" t="str">
        <f>VLOOKUP(C1004,Магазины!A:C,3,0)</f>
        <v>Набережные Челны</v>
      </c>
      <c r="J1004">
        <f>VLOOKUP(D1004,Товары!A:I,4,0)</f>
        <v>9195</v>
      </c>
      <c r="K1004">
        <f t="shared" si="15"/>
        <v>27585</v>
      </c>
    </row>
    <row r="1005" spans="1:11" hidden="1" x14ac:dyDescent="0.25">
      <c r="A1005">
        <v>1004</v>
      </c>
      <c r="B1005" s="1">
        <v>45754</v>
      </c>
      <c r="C1005" t="s">
        <v>92</v>
      </c>
      <c r="D1005" t="s">
        <v>44</v>
      </c>
      <c r="E1005" t="s">
        <v>8</v>
      </c>
      <c r="F1005">
        <v>2</v>
      </c>
      <c r="G1005" t="str">
        <f>VLOOKUP(D1005,Товары!A:I,3,0)</f>
        <v>Тумба с раковиной  навес. Кристалл 800 шато азур 2 ящика с умыв. Комфорт</v>
      </c>
      <c r="H1005">
        <f>VLOOKUP(D1005,Товары!A:I,6,0)</f>
        <v>55</v>
      </c>
      <c r="I1005" t="str">
        <f>VLOOKUP(C1005,Магазины!A:C,3,0)</f>
        <v>Кемерово</v>
      </c>
      <c r="J1005">
        <f>VLOOKUP(D1005,Товары!A:I,4,0)</f>
        <v>25080</v>
      </c>
      <c r="K1005">
        <f t="shared" si="15"/>
        <v>50160</v>
      </c>
    </row>
    <row r="1006" spans="1:11" hidden="1" x14ac:dyDescent="0.25">
      <c r="A1006">
        <v>1005</v>
      </c>
      <c r="B1006" s="1">
        <v>45752</v>
      </c>
      <c r="C1006" t="s">
        <v>14</v>
      </c>
      <c r="D1006" t="s">
        <v>107</v>
      </c>
      <c r="E1006" t="s">
        <v>8</v>
      </c>
      <c r="F1006">
        <v>3</v>
      </c>
      <c r="G1006" t="str">
        <f>VLOOKUP(D1006,Товары!A:I,3,0)</f>
        <v>Комод Аква 35 напольный 1 дверь белый правый</v>
      </c>
      <c r="H1006">
        <f>VLOOKUP(D1006,Товары!A:I,6,0)</f>
        <v>90</v>
      </c>
      <c r="I1006" t="str">
        <f>VLOOKUP(C1006,Магазины!A:C,3,0)</f>
        <v>Оренбург</v>
      </c>
      <c r="J1006">
        <f>VLOOKUP(D1006,Товары!A:I,4,0)</f>
        <v>6705</v>
      </c>
      <c r="K1006">
        <f t="shared" si="15"/>
        <v>20115</v>
      </c>
    </row>
    <row r="1007" spans="1:11" hidden="1" x14ac:dyDescent="0.25">
      <c r="A1007">
        <v>1006</v>
      </c>
      <c r="B1007" s="1">
        <v>45753</v>
      </c>
      <c r="C1007" t="s">
        <v>6</v>
      </c>
      <c r="D1007" t="s">
        <v>74</v>
      </c>
      <c r="E1007" t="s">
        <v>13</v>
      </c>
      <c r="F1007">
        <v>3</v>
      </c>
      <c r="G1007" t="str">
        <f>VLOOKUP(D1007,Товары!A:I,3,0)</f>
        <v>Тумба с раковиной  напол. Альба 800 суфле 2 ящика с умыв. Слим</v>
      </c>
      <c r="H1007">
        <f>VLOOKUP(D1007,Товары!A:I,6,0)</f>
        <v>80</v>
      </c>
      <c r="I1007" t="str">
        <f>VLOOKUP(C1007,Магазины!A:C,3,0)</f>
        <v>Оренбург</v>
      </c>
      <c r="J1007">
        <f>VLOOKUP(D1007,Товары!A:I,4,0)</f>
        <v>29340</v>
      </c>
      <c r="K1007">
        <f t="shared" si="15"/>
        <v>88020</v>
      </c>
    </row>
    <row r="1008" spans="1:11" hidden="1" x14ac:dyDescent="0.25">
      <c r="A1008">
        <v>1007</v>
      </c>
      <c r="B1008" s="1">
        <v>45749</v>
      </c>
      <c r="C1008" t="s">
        <v>58</v>
      </c>
      <c r="D1008" t="s">
        <v>60</v>
      </c>
      <c r="E1008" t="s">
        <v>8</v>
      </c>
      <c r="F1008">
        <v>1</v>
      </c>
      <c r="G1008" t="str">
        <f>VLOOKUP(D1008,Товары!A:I,3,0)</f>
        <v>Пенал навес. Куба Риф 350 белый 2 двери</v>
      </c>
      <c r="H1008">
        <f>VLOOKUP(D1008,Товары!A:I,6,0)</f>
        <v>150</v>
      </c>
      <c r="I1008" t="str">
        <f>VLOOKUP(C1008,Магазины!A:C,3,0)</f>
        <v>Ставрополь</v>
      </c>
      <c r="J1008">
        <f>VLOOKUP(D1008,Товары!A:I,4,0)</f>
        <v>9720</v>
      </c>
      <c r="K1008">
        <f t="shared" si="15"/>
        <v>9720</v>
      </c>
    </row>
    <row r="1009" spans="1:11" hidden="1" x14ac:dyDescent="0.25">
      <c r="A1009">
        <v>1008</v>
      </c>
      <c r="B1009" s="1">
        <v>45755</v>
      </c>
      <c r="C1009" t="s">
        <v>35</v>
      </c>
      <c r="D1009" t="s">
        <v>67</v>
      </c>
      <c r="E1009" t="s">
        <v>8</v>
      </c>
      <c r="F1009">
        <v>2</v>
      </c>
      <c r="G1009" t="str">
        <f>VLOOKUP(D1009,Товары!A:I,3,0)</f>
        <v>Пенал навес./напол. Альба 350 суфле 2 двери</v>
      </c>
      <c r="H1009">
        <f>VLOOKUP(D1009,Товары!A:I,6,0)</f>
        <v>150</v>
      </c>
      <c r="I1009" t="str">
        <f>VLOOKUP(C1009,Магазины!A:C,3,0)</f>
        <v>Набережные Челны</v>
      </c>
      <c r="J1009">
        <f>VLOOKUP(D1009,Товары!A:I,4,0)</f>
        <v>11655</v>
      </c>
      <c r="K1009">
        <f t="shared" si="15"/>
        <v>23310</v>
      </c>
    </row>
    <row r="1010" spans="1:11" hidden="1" x14ac:dyDescent="0.25">
      <c r="A1010">
        <v>1009</v>
      </c>
      <c r="B1010" s="1">
        <v>45753</v>
      </c>
      <c r="C1010" t="s">
        <v>63</v>
      </c>
      <c r="D1010" t="s">
        <v>113</v>
      </c>
      <c r="E1010" t="s">
        <v>13</v>
      </c>
      <c r="F1010">
        <v>1</v>
      </c>
      <c r="G1010" t="str">
        <f>VLOOKUP(D1010,Товары!A:I,3,0)</f>
        <v>Зеркальный шкаф Альба 60 со светильником правый цвет мята</v>
      </c>
      <c r="H1010">
        <f>VLOOKUP(D1010,Товары!A:I,6,0)</f>
        <v>75</v>
      </c>
      <c r="I1010" t="str">
        <f>VLOOKUP(C1010,Магазины!A:C,3,0)</f>
        <v>Ставрополь</v>
      </c>
      <c r="J1010">
        <f>VLOOKUP(D1010,Товары!A:I,4,0)</f>
        <v>8910</v>
      </c>
      <c r="K1010">
        <f t="shared" si="15"/>
        <v>8910</v>
      </c>
    </row>
    <row r="1011" spans="1:11" hidden="1" x14ac:dyDescent="0.25">
      <c r="A1011">
        <v>1010</v>
      </c>
      <c r="B1011" s="1">
        <v>45750</v>
      </c>
      <c r="C1011" t="s">
        <v>30</v>
      </c>
      <c r="D1011" t="s">
        <v>110</v>
      </c>
      <c r="E1011" t="s">
        <v>8</v>
      </c>
      <c r="F1011">
        <v>2</v>
      </c>
      <c r="G1011" t="str">
        <f>VLOOKUP(D1011,Товары!A:I,3,0)</f>
        <v>Тумба с раковиной  напол. Альба 600 антрацит 2 ящика с умыв. Океан</v>
      </c>
      <c r="H1011">
        <f>VLOOKUP(D1011,Товары!A:I,6,0)</f>
        <v>80</v>
      </c>
      <c r="I1011" t="str">
        <f>VLOOKUP(C1011,Магазины!A:C,3,0)</f>
        <v>Кемерово</v>
      </c>
      <c r="J1011">
        <f>VLOOKUP(D1011,Товары!A:I,4,0)</f>
        <v>26370</v>
      </c>
      <c r="K1011">
        <f t="shared" si="15"/>
        <v>52740</v>
      </c>
    </row>
    <row r="1012" spans="1:11" hidden="1" x14ac:dyDescent="0.25">
      <c r="A1012">
        <v>1011</v>
      </c>
      <c r="B1012" s="1">
        <v>45752</v>
      </c>
      <c r="C1012" t="s">
        <v>20</v>
      </c>
      <c r="D1012" t="s">
        <v>98</v>
      </c>
      <c r="E1012" t="s">
        <v>13</v>
      </c>
      <c r="F1012">
        <v>3</v>
      </c>
      <c r="G1012" t="str">
        <f>VLOOKUP(D1012,Товары!A:I,3,0)</f>
        <v>Тумба с раковиной  напол. Рица 800 cерый/керамика 2 ящика с умыв. Слим</v>
      </c>
      <c r="H1012">
        <f>VLOOKUP(D1012,Товары!A:I,6,0)</f>
        <v>80</v>
      </c>
      <c r="I1012" t="str">
        <f>VLOOKUP(C1012,Магазины!A:C,3,0)</f>
        <v>Оренбург</v>
      </c>
      <c r="J1012">
        <f>VLOOKUP(D1012,Товары!A:I,4,0)</f>
        <v>28980</v>
      </c>
      <c r="K1012">
        <f t="shared" si="15"/>
        <v>86940</v>
      </c>
    </row>
    <row r="1013" spans="1:11" hidden="1" x14ac:dyDescent="0.25">
      <c r="A1013">
        <v>1012</v>
      </c>
      <c r="B1013" s="1">
        <v>45754</v>
      </c>
      <c r="C1013" t="s">
        <v>103</v>
      </c>
      <c r="D1013" t="s">
        <v>59</v>
      </c>
      <c r="E1013" t="s">
        <v>8</v>
      </c>
      <c r="F1013">
        <v>3</v>
      </c>
      <c r="G1013" t="str">
        <f>VLOOKUP(D1013,Товары!A:I,3,0)</f>
        <v>Тумба с раковиной  навес. Куба Риф 600 белый 2 ящика с умыв. Океан</v>
      </c>
      <c r="H1013">
        <f>VLOOKUP(D1013,Товары!A:I,6,0)</f>
        <v>55</v>
      </c>
      <c r="I1013" t="str">
        <f>VLOOKUP(C1013,Магазины!A:C,3,0)</f>
        <v>Ставрополь</v>
      </c>
      <c r="J1013">
        <f>VLOOKUP(D1013,Товары!A:I,4,0)</f>
        <v>15765</v>
      </c>
      <c r="K1013">
        <f t="shared" si="15"/>
        <v>47295</v>
      </c>
    </row>
    <row r="1014" spans="1:11" hidden="1" x14ac:dyDescent="0.25">
      <c r="A1014">
        <v>1013</v>
      </c>
      <c r="B1014" s="1">
        <v>45752</v>
      </c>
      <c r="C1014" t="s">
        <v>28</v>
      </c>
      <c r="D1014" t="s">
        <v>84</v>
      </c>
      <c r="E1014" t="s">
        <v>13</v>
      </c>
      <c r="F1014">
        <v>2</v>
      </c>
      <c r="G1014" t="str">
        <f>VLOOKUP(D1014,Товары!A:I,3,0)</f>
        <v>Тумба с раковиной  напол. Куба Риф 800 белый 3 двери с умыв. Слим</v>
      </c>
      <c r="H1014">
        <f>VLOOKUP(D1014,Товары!A:I,6,0)</f>
        <v>85</v>
      </c>
      <c r="I1014" t="str">
        <f>VLOOKUP(C1014,Магазины!A:C,3,0)</f>
        <v>Набережные Челны</v>
      </c>
      <c r="J1014">
        <f>VLOOKUP(D1014,Товары!A:I,4,0)</f>
        <v>19920</v>
      </c>
      <c r="K1014">
        <f t="shared" si="15"/>
        <v>39840</v>
      </c>
    </row>
    <row r="1015" spans="1:11" hidden="1" x14ac:dyDescent="0.25">
      <c r="A1015">
        <v>1014</v>
      </c>
      <c r="B1015" s="1">
        <v>45750</v>
      </c>
      <c r="C1015" t="s">
        <v>111</v>
      </c>
      <c r="D1015" t="s">
        <v>53</v>
      </c>
      <c r="E1015" t="s">
        <v>8</v>
      </c>
      <c r="F1015">
        <v>2</v>
      </c>
      <c r="G1015" t="str">
        <f>VLOOKUP(D1015,Товары!A:I,3,0)</f>
        <v>Тумба с раковиной  напол. Кристалл 600 шато азур 2 ящика с умыв. Океан</v>
      </c>
      <c r="H1015">
        <f>VLOOKUP(D1015,Товары!A:I,6,0)</f>
        <v>85</v>
      </c>
      <c r="I1015" t="str">
        <f>VLOOKUP(C1015,Магазины!A:C,3,0)</f>
        <v>Набережные Челны</v>
      </c>
      <c r="J1015">
        <f>VLOOKUP(D1015,Товары!A:I,4,0)</f>
        <v>27600</v>
      </c>
      <c r="K1015">
        <f t="shared" si="15"/>
        <v>55200</v>
      </c>
    </row>
    <row r="1016" spans="1:11" hidden="1" x14ac:dyDescent="0.25">
      <c r="A1016">
        <v>1015</v>
      </c>
      <c r="B1016" s="1">
        <v>45757</v>
      </c>
      <c r="C1016" t="s">
        <v>22</v>
      </c>
      <c r="D1016" t="s">
        <v>122</v>
      </c>
      <c r="E1016" t="s">
        <v>8</v>
      </c>
      <c r="F1016">
        <v>3</v>
      </c>
      <c r="G1016" t="str">
        <f>VLOOKUP(D1016,Товары!A:I,3,0)</f>
        <v>Тумба с раковиной  навес. Кристалл 600 шато азур 2 ящика с умыв. Океан</v>
      </c>
      <c r="H1016">
        <f>VLOOKUP(D1016,Товары!A:I,6,0)</f>
        <v>55</v>
      </c>
      <c r="I1016" t="str">
        <f>VLOOKUP(C1016,Магазины!A:C,3,0)</f>
        <v>Кемерово</v>
      </c>
      <c r="J1016">
        <f>VLOOKUP(D1016,Товары!A:I,4,0)</f>
        <v>21960</v>
      </c>
      <c r="K1016">
        <f t="shared" si="15"/>
        <v>65880</v>
      </c>
    </row>
    <row r="1017" spans="1:11" hidden="1" x14ac:dyDescent="0.25">
      <c r="A1017">
        <v>1016</v>
      </c>
      <c r="B1017" s="1">
        <v>45750</v>
      </c>
      <c r="C1017" t="s">
        <v>33</v>
      </c>
      <c r="D1017" t="s">
        <v>61</v>
      </c>
      <c r="E1017" t="s">
        <v>13</v>
      </c>
      <c r="F1017">
        <v>2</v>
      </c>
      <c r="G1017" t="str">
        <f>VLOOKUP(D1017,Товары!A:I,3,0)</f>
        <v>Тумба под стиральную машину Леон Риф 57 напольная 2 ящика под ст/маш, без умывальника /под Marshall 120 Солярис/Белый Риф</v>
      </c>
      <c r="H1017">
        <f>VLOOKUP(D1017,Товары!A:I,6,0)</f>
        <v>85</v>
      </c>
      <c r="I1017" t="str">
        <f>VLOOKUP(C1017,Магазины!A:C,3,0)</f>
        <v>Набережные Челны</v>
      </c>
      <c r="J1017">
        <f>VLOOKUP(D1017,Товары!A:I,4,0)</f>
        <v>17430</v>
      </c>
      <c r="K1017">
        <f t="shared" si="15"/>
        <v>34860</v>
      </c>
    </row>
    <row r="1018" spans="1:11" hidden="1" x14ac:dyDescent="0.25">
      <c r="A1018">
        <v>1017</v>
      </c>
      <c r="B1018" s="1">
        <v>45751</v>
      </c>
      <c r="C1018" t="s">
        <v>92</v>
      </c>
      <c r="D1018" t="s">
        <v>105</v>
      </c>
      <c r="E1018" t="s">
        <v>8</v>
      </c>
      <c r="F1018">
        <v>1</v>
      </c>
      <c r="G1018" t="str">
        <f>VLOOKUP(D1018,Товары!A:I,3,0)</f>
        <v>Тумба с раковиной  напол. Нева 600 белый 2 двери + 1 ящик с умыв. Como</v>
      </c>
      <c r="H1018">
        <f>VLOOKUP(D1018,Товары!A:I,6,0)</f>
        <v>80</v>
      </c>
      <c r="I1018" t="str">
        <f>VLOOKUP(C1018,Магазины!A:C,3,0)</f>
        <v>Кемерово</v>
      </c>
      <c r="J1018">
        <f>VLOOKUP(D1018,Товары!A:I,4,0)</f>
        <v>13470</v>
      </c>
      <c r="K1018">
        <f t="shared" si="15"/>
        <v>13470</v>
      </c>
    </row>
    <row r="1019" spans="1:11" hidden="1" x14ac:dyDescent="0.25">
      <c r="A1019">
        <v>1018</v>
      </c>
      <c r="B1019" s="1">
        <v>45749</v>
      </c>
      <c r="C1019" t="s">
        <v>9</v>
      </c>
      <c r="D1019" t="s">
        <v>106</v>
      </c>
      <c r="E1019" t="s">
        <v>13</v>
      </c>
      <c r="F1019">
        <v>1</v>
      </c>
      <c r="G1019" t="str">
        <f>VLOOKUP(D1019,Товары!A:I,3,0)</f>
        <v>Тумба с раковиной  навес. Кристалл 700 шато азур 2 ящика с умыв. Слим</v>
      </c>
      <c r="H1019">
        <f>VLOOKUP(D1019,Товары!A:I,6,0)</f>
        <v>60</v>
      </c>
      <c r="I1019" t="str">
        <f>VLOOKUP(C1019,Магазины!A:C,3,0)</f>
        <v>Кемерово</v>
      </c>
      <c r="J1019">
        <f>VLOOKUP(D1019,Товары!A:I,4,0)</f>
        <v>24150</v>
      </c>
      <c r="K1019">
        <f t="shared" si="15"/>
        <v>24150</v>
      </c>
    </row>
    <row r="1020" spans="1:11" hidden="1" x14ac:dyDescent="0.25">
      <c r="A1020">
        <v>1019</v>
      </c>
      <c r="B1020" s="1">
        <v>45752</v>
      </c>
      <c r="C1020" t="s">
        <v>26</v>
      </c>
      <c r="D1020" t="s">
        <v>52</v>
      </c>
      <c r="E1020" t="s">
        <v>8</v>
      </c>
      <c r="F1020">
        <v>2</v>
      </c>
      <c r="G1020" t="str">
        <f>VLOOKUP(D1020,Товары!A:I,3,0)</f>
        <v>Тумба с раковиной  напол. Кристалл 600 суфле 2 ящика с умыв. Океан</v>
      </c>
      <c r="H1020">
        <f>VLOOKUP(D1020,Товары!A:I,6,0)</f>
        <v>80</v>
      </c>
      <c r="I1020" t="str">
        <f>VLOOKUP(C1020,Магазины!A:C,3,0)</f>
        <v>Оренбург</v>
      </c>
      <c r="J1020">
        <f>VLOOKUP(D1020,Товары!A:I,4,0)</f>
        <v>27600</v>
      </c>
      <c r="K1020">
        <f t="shared" si="15"/>
        <v>55200</v>
      </c>
    </row>
    <row r="1021" spans="1:11" hidden="1" x14ac:dyDescent="0.25">
      <c r="A1021">
        <v>1020</v>
      </c>
      <c r="B1021" s="1">
        <v>45750</v>
      </c>
      <c r="C1021" t="s">
        <v>92</v>
      </c>
      <c r="D1021" t="s">
        <v>83</v>
      </c>
      <c r="E1021" t="s">
        <v>8</v>
      </c>
      <c r="F1021">
        <v>2</v>
      </c>
      <c r="G1021" t="str">
        <f>VLOOKUP(D1021,Товары!A:I,3,0)</f>
        <v>Зеркальный шкаф Альба 60 со светильником правый цвет суфле</v>
      </c>
      <c r="H1021">
        <f>VLOOKUP(D1021,Товары!A:I,6,0)</f>
        <v>75</v>
      </c>
      <c r="I1021" t="str">
        <f>VLOOKUP(C1021,Магазины!A:C,3,0)</f>
        <v>Кемерово</v>
      </c>
      <c r="J1021">
        <f>VLOOKUP(D1021,Товары!A:I,4,0)</f>
        <v>8910</v>
      </c>
      <c r="K1021">
        <f t="shared" si="15"/>
        <v>17820</v>
      </c>
    </row>
    <row r="1022" spans="1:11" hidden="1" x14ac:dyDescent="0.25">
      <c r="A1022">
        <v>1021</v>
      </c>
      <c r="B1022" s="1">
        <v>45752</v>
      </c>
      <c r="C1022" t="s">
        <v>43</v>
      </c>
      <c r="D1022" t="s">
        <v>73</v>
      </c>
      <c r="E1022" t="s">
        <v>8</v>
      </c>
      <c r="F1022">
        <v>1</v>
      </c>
      <c r="G1022" t="str">
        <f>VLOOKUP(D1022,Товары!A:I,3,0)</f>
        <v>Зеркальный шкаф Альба 70 со светильником правый цвет антрацит</v>
      </c>
      <c r="H1022">
        <f>VLOOKUP(D1022,Товары!A:I,6,0)</f>
        <v>75</v>
      </c>
      <c r="I1022" t="str">
        <f>VLOOKUP(C1022,Магазины!A:C,3,0)</f>
        <v>Набережные Челны</v>
      </c>
      <c r="J1022">
        <f>VLOOKUP(D1022,Товары!A:I,4,0)</f>
        <v>9615</v>
      </c>
      <c r="K1022">
        <f t="shared" si="15"/>
        <v>9615</v>
      </c>
    </row>
    <row r="1023" spans="1:11" hidden="1" x14ac:dyDescent="0.25">
      <c r="A1023">
        <v>1022</v>
      </c>
      <c r="B1023" s="1">
        <v>45753</v>
      </c>
      <c r="C1023" t="s">
        <v>9</v>
      </c>
      <c r="D1023" t="s">
        <v>70</v>
      </c>
      <c r="E1023" t="s">
        <v>13</v>
      </c>
      <c r="F1023">
        <v>3</v>
      </c>
      <c r="G1023" t="str">
        <f>VLOOKUP(D1023,Товары!A:I,3,0)</f>
        <v>Тумба с раковиной  напол. Кристалл 700 шато азур 2 ящика с умыв. Слим</v>
      </c>
      <c r="H1023">
        <f>VLOOKUP(D1023,Товары!A:I,6,0)</f>
        <v>85</v>
      </c>
      <c r="I1023" t="str">
        <f>VLOOKUP(C1023,Магазины!A:C,3,0)</f>
        <v>Кемерово</v>
      </c>
      <c r="J1023">
        <f>VLOOKUP(D1023,Товары!A:I,4,0)</f>
        <v>29910</v>
      </c>
      <c r="K1023">
        <f t="shared" si="15"/>
        <v>89730</v>
      </c>
    </row>
    <row r="1024" spans="1:11" hidden="1" x14ac:dyDescent="0.25">
      <c r="A1024">
        <v>1023</v>
      </c>
      <c r="B1024" s="1">
        <v>45757</v>
      </c>
      <c r="C1024" t="s">
        <v>16</v>
      </c>
      <c r="D1024" t="s">
        <v>44</v>
      </c>
      <c r="E1024" t="s">
        <v>8</v>
      </c>
      <c r="F1024">
        <v>2</v>
      </c>
      <c r="G1024" t="str">
        <f>VLOOKUP(D1024,Товары!A:I,3,0)</f>
        <v>Тумба с раковиной  навес. Кристалл 800 шато азур 2 ящика с умыв. Комфорт</v>
      </c>
      <c r="H1024">
        <f>VLOOKUP(D1024,Товары!A:I,6,0)</f>
        <v>55</v>
      </c>
      <c r="I1024" t="str">
        <f>VLOOKUP(C1024,Магазины!A:C,3,0)</f>
        <v>Оренбург</v>
      </c>
      <c r="J1024">
        <f>VLOOKUP(D1024,Товары!A:I,4,0)</f>
        <v>25080</v>
      </c>
      <c r="K1024">
        <f t="shared" si="15"/>
        <v>50160</v>
      </c>
    </row>
    <row r="1025" spans="1:11" hidden="1" x14ac:dyDescent="0.25">
      <c r="A1025">
        <v>1024</v>
      </c>
      <c r="B1025" s="1">
        <v>45755</v>
      </c>
      <c r="C1025" t="s">
        <v>58</v>
      </c>
      <c r="D1025" t="s">
        <v>83</v>
      </c>
      <c r="E1025" t="s">
        <v>13</v>
      </c>
      <c r="F1025">
        <v>3</v>
      </c>
      <c r="G1025" t="str">
        <f>VLOOKUP(D1025,Товары!A:I,3,0)</f>
        <v>Зеркальный шкаф Альба 60 со светильником правый цвет суфле</v>
      </c>
      <c r="H1025">
        <f>VLOOKUP(D1025,Товары!A:I,6,0)</f>
        <v>75</v>
      </c>
      <c r="I1025" t="str">
        <f>VLOOKUP(C1025,Магазины!A:C,3,0)</f>
        <v>Ставрополь</v>
      </c>
      <c r="J1025">
        <f>VLOOKUP(D1025,Товары!A:I,4,0)</f>
        <v>8910</v>
      </c>
      <c r="K1025">
        <f t="shared" si="15"/>
        <v>26730</v>
      </c>
    </row>
    <row r="1026" spans="1:11" hidden="1" x14ac:dyDescent="0.25">
      <c r="A1026">
        <v>1025</v>
      </c>
      <c r="B1026" s="1">
        <v>45751</v>
      </c>
      <c r="C1026" t="s">
        <v>20</v>
      </c>
      <c r="D1026" t="s">
        <v>108</v>
      </c>
      <c r="E1026" t="s">
        <v>13</v>
      </c>
      <c r="F1026">
        <v>1</v>
      </c>
      <c r="G1026" t="str">
        <f>VLOOKUP(D1026,Товары!A:I,3,0)</f>
        <v>Тумба с раковиной  навес. Виктория 1000 белый 2 ящика с умыв. Слим</v>
      </c>
      <c r="H1026">
        <f>VLOOKUP(D1026,Товары!A:I,6,0)</f>
        <v>60</v>
      </c>
      <c r="I1026" t="str">
        <f>VLOOKUP(C1026,Магазины!A:C,3,0)</f>
        <v>Оренбург</v>
      </c>
      <c r="J1026">
        <f>VLOOKUP(D1026,Товары!A:I,4,0)</f>
        <v>29205</v>
      </c>
      <c r="K1026">
        <f t="shared" si="15"/>
        <v>29205</v>
      </c>
    </row>
    <row r="1027" spans="1:11" hidden="1" x14ac:dyDescent="0.25">
      <c r="A1027">
        <v>1026</v>
      </c>
      <c r="B1027" s="1">
        <v>45749</v>
      </c>
      <c r="C1027" t="s">
        <v>14</v>
      </c>
      <c r="D1027" t="s">
        <v>77</v>
      </c>
      <c r="E1027" t="s">
        <v>13</v>
      </c>
      <c r="F1027">
        <v>1</v>
      </c>
      <c r="G1027" t="str">
        <f>VLOOKUP(D1027,Товары!A:I,3,0)</f>
        <v>Тумба с раковиной  напол. Куба Риф 600 белый 2 ящика с умыв. Como</v>
      </c>
      <c r="H1027">
        <f>VLOOKUP(D1027,Товары!A:I,6,0)</f>
        <v>85</v>
      </c>
      <c r="I1027" t="str">
        <f>VLOOKUP(C1027,Магазины!A:C,3,0)</f>
        <v>Оренбург</v>
      </c>
      <c r="J1027">
        <f>VLOOKUP(D1027,Товары!A:I,4,0)</f>
        <v>15660</v>
      </c>
      <c r="K1027">
        <f t="shared" ref="K1027:K1090" si="16">J1027*F1027</f>
        <v>15660</v>
      </c>
    </row>
    <row r="1028" spans="1:11" hidden="1" x14ac:dyDescent="0.25">
      <c r="A1028">
        <v>1027</v>
      </c>
      <c r="B1028" s="1">
        <v>45757</v>
      </c>
      <c r="C1028" t="s">
        <v>41</v>
      </c>
      <c r="D1028" t="s">
        <v>118</v>
      </c>
      <c r="E1028" t="s">
        <v>8</v>
      </c>
      <c r="F1028">
        <v>1</v>
      </c>
      <c r="G1028" t="str">
        <f>VLOOKUP(D1028,Товары!A:I,3,0)</f>
        <v>Тумба с раковиной  напол. Сохо 800 белый 2 ящика с умыв. Слим</v>
      </c>
      <c r="H1028">
        <f>VLOOKUP(D1028,Товары!A:I,6,0)</f>
        <v>85</v>
      </c>
      <c r="I1028" t="str">
        <f>VLOOKUP(C1028,Магазины!A:C,3,0)</f>
        <v>Ставрополь</v>
      </c>
      <c r="J1028">
        <f>VLOOKUP(D1028,Товары!A:I,4,0)</f>
        <v>19575</v>
      </c>
      <c r="K1028">
        <f t="shared" si="16"/>
        <v>19575</v>
      </c>
    </row>
    <row r="1029" spans="1:11" hidden="1" x14ac:dyDescent="0.25">
      <c r="A1029">
        <v>1028</v>
      </c>
      <c r="B1029" s="1">
        <v>45755</v>
      </c>
      <c r="C1029" t="s">
        <v>57</v>
      </c>
      <c r="D1029" t="s">
        <v>45</v>
      </c>
      <c r="E1029" t="s">
        <v>13</v>
      </c>
      <c r="F1029">
        <v>3</v>
      </c>
      <c r="G1029" t="str">
        <f>VLOOKUP(D1029,Товары!A:I,3,0)</f>
        <v>Зеркальный шкаф Рица 80 со светильником правый цвет cерый/керамика</v>
      </c>
      <c r="H1029">
        <f>VLOOKUP(D1029,Товары!A:I,6,0)</f>
        <v>75</v>
      </c>
      <c r="I1029" t="str">
        <f>VLOOKUP(C1029,Магазины!A:C,3,0)</f>
        <v>Оренбург</v>
      </c>
      <c r="J1029">
        <f>VLOOKUP(D1029,Товары!A:I,4,0)</f>
        <v>9930</v>
      </c>
      <c r="K1029">
        <f t="shared" si="16"/>
        <v>29790</v>
      </c>
    </row>
    <row r="1030" spans="1:11" hidden="1" x14ac:dyDescent="0.25">
      <c r="A1030">
        <v>1029</v>
      </c>
      <c r="B1030" s="1">
        <v>45756</v>
      </c>
      <c r="C1030" t="s">
        <v>35</v>
      </c>
      <c r="D1030" t="s">
        <v>94</v>
      </c>
      <c r="E1030" t="s">
        <v>13</v>
      </c>
      <c r="F1030">
        <v>3</v>
      </c>
      <c r="G1030" t="str">
        <f>VLOOKUP(D1030,Товары!A:I,3,0)</f>
        <v>Зеркальный шкаф Альба 80 со светильником правый цвет антрацит</v>
      </c>
      <c r="H1030">
        <f>VLOOKUP(D1030,Товары!A:I,6,0)</f>
        <v>75</v>
      </c>
      <c r="I1030" t="str">
        <f>VLOOKUP(C1030,Магазины!A:C,3,0)</f>
        <v>Набережные Челны</v>
      </c>
      <c r="J1030">
        <f>VLOOKUP(D1030,Товары!A:I,4,0)</f>
        <v>9930</v>
      </c>
      <c r="K1030">
        <f t="shared" si="16"/>
        <v>29790</v>
      </c>
    </row>
    <row r="1031" spans="1:11" hidden="1" x14ac:dyDescent="0.25">
      <c r="A1031">
        <v>1030</v>
      </c>
      <c r="B1031" s="1">
        <v>45749</v>
      </c>
      <c r="C1031" t="s">
        <v>22</v>
      </c>
      <c r="D1031" t="s">
        <v>40</v>
      </c>
      <c r="E1031" t="s">
        <v>13</v>
      </c>
      <c r="F1031">
        <v>2</v>
      </c>
      <c r="G1031" t="str">
        <f>VLOOKUP(D1031,Товары!A:I,3,0)</f>
        <v>Тумба с раковиной  навес. Рица 800 cерый/керамика 1 ящик + ниша 1 с умыв. Слим</v>
      </c>
      <c r="H1031">
        <f>VLOOKUP(D1031,Товары!A:I,6,0)</f>
        <v>60</v>
      </c>
      <c r="I1031" t="str">
        <f>VLOOKUP(C1031,Магазины!A:C,3,0)</f>
        <v>Кемерово</v>
      </c>
      <c r="J1031">
        <f>VLOOKUP(D1031,Товары!A:I,4,0)</f>
        <v>22425</v>
      </c>
      <c r="K1031">
        <f t="shared" si="16"/>
        <v>44850</v>
      </c>
    </row>
    <row r="1032" spans="1:11" hidden="1" x14ac:dyDescent="0.25">
      <c r="A1032">
        <v>1031</v>
      </c>
      <c r="B1032" s="1">
        <v>45753</v>
      </c>
      <c r="C1032" t="s">
        <v>20</v>
      </c>
      <c r="D1032" t="s">
        <v>102</v>
      </c>
      <c r="E1032" t="s">
        <v>8</v>
      </c>
      <c r="F1032">
        <v>1</v>
      </c>
      <c r="G1032" t="str">
        <f>VLOOKUP(D1032,Товары!A:I,3,0)</f>
        <v>Тумба с раковиной  напол. Леон Риф 1000 солярис/белый риф 2 ящика с умыв. Слим</v>
      </c>
      <c r="H1032">
        <f>VLOOKUP(D1032,Товары!A:I,6,0)</f>
        <v>85</v>
      </c>
      <c r="I1032" t="str">
        <f>VLOOKUP(C1032,Магазины!A:C,3,0)</f>
        <v>Оренбург</v>
      </c>
      <c r="J1032">
        <f>VLOOKUP(D1032,Товары!A:I,4,0)</f>
        <v>32085</v>
      </c>
      <c r="K1032">
        <f t="shared" si="16"/>
        <v>32085</v>
      </c>
    </row>
    <row r="1033" spans="1:11" hidden="1" x14ac:dyDescent="0.25">
      <c r="A1033">
        <v>1032</v>
      </c>
      <c r="B1033" s="1">
        <v>45749</v>
      </c>
      <c r="C1033" t="s">
        <v>9</v>
      </c>
      <c r="D1033" t="s">
        <v>131</v>
      </c>
      <c r="E1033" t="s">
        <v>13</v>
      </c>
      <c r="F1033">
        <v>1</v>
      </c>
      <c r="G1033" t="str">
        <f>VLOOKUP(D1033,Товары!A:I,3,0)</f>
        <v>Тумба с раковиной  напол. Леон 800 форест 2 ящика с умыв. Слим</v>
      </c>
      <c r="H1033">
        <f>VLOOKUP(D1033,Товары!A:I,6,0)</f>
        <v>80</v>
      </c>
      <c r="I1033" t="str">
        <f>VLOOKUP(C1033,Магазины!A:C,3,0)</f>
        <v>Кемерово</v>
      </c>
      <c r="J1033">
        <f>VLOOKUP(D1033,Товары!A:I,4,0)</f>
        <v>29400</v>
      </c>
      <c r="K1033">
        <f t="shared" si="16"/>
        <v>29400</v>
      </c>
    </row>
    <row r="1034" spans="1:11" hidden="1" x14ac:dyDescent="0.25">
      <c r="A1034">
        <v>1033</v>
      </c>
      <c r="B1034" s="1">
        <v>45751</v>
      </c>
      <c r="C1034" t="s">
        <v>35</v>
      </c>
      <c r="D1034" t="s">
        <v>25</v>
      </c>
      <c r="E1034" t="s">
        <v>8</v>
      </c>
      <c r="F1034">
        <v>3</v>
      </c>
      <c r="G1034" t="str">
        <f>VLOOKUP(D1034,Товары!A:I,3,0)</f>
        <v>Пенал напол. Леон 400 оникс 2 двери + 1 ящик</v>
      </c>
      <c r="H1034">
        <f>VLOOKUP(D1034,Товары!A:I,6,0)</f>
        <v>190</v>
      </c>
      <c r="I1034" t="str">
        <f>VLOOKUP(C1034,Магазины!A:C,3,0)</f>
        <v>Набережные Челны</v>
      </c>
      <c r="J1034">
        <f>VLOOKUP(D1034,Товары!A:I,4,0)</f>
        <v>18450</v>
      </c>
      <c r="K1034">
        <f t="shared" si="16"/>
        <v>55350</v>
      </c>
    </row>
    <row r="1035" spans="1:11" hidden="1" x14ac:dyDescent="0.25">
      <c r="A1035">
        <v>1034</v>
      </c>
      <c r="B1035" s="1">
        <v>45751</v>
      </c>
      <c r="C1035" t="s">
        <v>9</v>
      </c>
      <c r="D1035" t="s">
        <v>10</v>
      </c>
      <c r="E1035" t="s">
        <v>8</v>
      </c>
      <c r="F1035">
        <v>1</v>
      </c>
      <c r="G1035" t="str">
        <f>VLOOKUP(D1035,Товары!A:I,3,0)</f>
        <v>Тумба с раковиной  навес. Альба 700 антрацит 1 ящик с умыв. Слим</v>
      </c>
      <c r="H1035">
        <f>VLOOKUP(D1035,Товары!A:I,6,0)</f>
        <v>45</v>
      </c>
      <c r="I1035" t="str">
        <f>VLOOKUP(C1035,Магазины!A:C,3,0)</f>
        <v>Кемерово</v>
      </c>
      <c r="J1035">
        <f>VLOOKUP(D1035,Товары!A:I,4,0)</f>
        <v>20130</v>
      </c>
      <c r="K1035">
        <f t="shared" si="16"/>
        <v>20130</v>
      </c>
    </row>
    <row r="1036" spans="1:11" hidden="1" x14ac:dyDescent="0.25">
      <c r="A1036">
        <v>1035</v>
      </c>
      <c r="B1036" s="1">
        <v>45753</v>
      </c>
      <c r="C1036" t="s">
        <v>35</v>
      </c>
      <c r="D1036" t="s">
        <v>119</v>
      </c>
      <c r="E1036" t="s">
        <v>8</v>
      </c>
      <c r="F1036">
        <v>1</v>
      </c>
      <c r="G1036" t="str">
        <f>VLOOKUP(D1036,Товары!A:I,3,0)</f>
        <v>Пенал навес./напол. Рица 350 cерый/керамика 2 двери</v>
      </c>
      <c r="H1036">
        <f>VLOOKUP(D1036,Товары!A:I,6,0)</f>
        <v>160</v>
      </c>
      <c r="I1036" t="str">
        <f>VLOOKUP(C1036,Магазины!A:C,3,0)</f>
        <v>Набережные Челны</v>
      </c>
      <c r="J1036">
        <f>VLOOKUP(D1036,Товары!A:I,4,0)</f>
        <v>11250</v>
      </c>
      <c r="K1036">
        <f t="shared" si="16"/>
        <v>11250</v>
      </c>
    </row>
    <row r="1037" spans="1:11" hidden="1" x14ac:dyDescent="0.25">
      <c r="A1037">
        <v>1036</v>
      </c>
      <c r="B1037" s="1">
        <v>45755</v>
      </c>
      <c r="C1037" t="s">
        <v>48</v>
      </c>
      <c r="D1037" t="s">
        <v>114</v>
      </c>
      <c r="E1037" t="s">
        <v>13</v>
      </c>
      <c r="F1037">
        <v>2</v>
      </c>
      <c r="G1037" t="str">
        <f>VLOOKUP(D1037,Товары!A:I,3,0)</f>
        <v>Тумба с раковиной  навес. Альба 700 мята 2 ящика с умыв. Слим</v>
      </c>
      <c r="H1037">
        <f>VLOOKUP(D1037,Товары!A:I,6,0)</f>
        <v>60</v>
      </c>
      <c r="I1037" t="str">
        <f>VLOOKUP(C1037,Магазины!A:C,3,0)</f>
        <v>Ставрополь</v>
      </c>
      <c r="J1037">
        <f>VLOOKUP(D1037,Товары!A:I,4,0)</f>
        <v>25095</v>
      </c>
      <c r="K1037">
        <f t="shared" si="16"/>
        <v>50190</v>
      </c>
    </row>
    <row r="1038" spans="1:11" hidden="1" x14ac:dyDescent="0.25">
      <c r="A1038">
        <v>1037</v>
      </c>
      <c r="B1038" s="1">
        <v>45751</v>
      </c>
      <c r="C1038" t="s">
        <v>54</v>
      </c>
      <c r="D1038" t="s">
        <v>97</v>
      </c>
      <c r="E1038" t="s">
        <v>13</v>
      </c>
      <c r="F1038">
        <v>3</v>
      </c>
      <c r="G1038" t="str">
        <f>VLOOKUP(D1038,Товары!A:I,3,0)</f>
        <v>Пенал напол. Кристалл 350 суфле 2 двери</v>
      </c>
      <c r="H1038">
        <f>VLOOKUP(D1038,Товары!A:I,6,0)</f>
        <v>190</v>
      </c>
      <c r="I1038" t="str">
        <f>VLOOKUP(C1038,Магазины!A:C,3,0)</f>
        <v>Ставрополь</v>
      </c>
      <c r="J1038">
        <f>VLOOKUP(D1038,Товары!A:I,4,0)</f>
        <v>15810</v>
      </c>
      <c r="K1038">
        <f t="shared" si="16"/>
        <v>47430</v>
      </c>
    </row>
    <row r="1039" spans="1:11" hidden="1" x14ac:dyDescent="0.25">
      <c r="A1039">
        <v>1038</v>
      </c>
      <c r="B1039" s="1">
        <v>45756</v>
      </c>
      <c r="C1039" t="s">
        <v>9</v>
      </c>
      <c r="D1039" t="s">
        <v>24</v>
      </c>
      <c r="E1039" t="s">
        <v>13</v>
      </c>
      <c r="F1039">
        <v>1</v>
      </c>
      <c r="G1039" t="str">
        <f>VLOOKUP(D1039,Товары!A:I,3,0)</f>
        <v>Тумба с раковиной  напол. Леон 600 форест 2 ящика с умыв. Слим</v>
      </c>
      <c r="H1039">
        <f>VLOOKUP(D1039,Товары!A:I,6,0)</f>
        <v>80</v>
      </c>
      <c r="I1039" t="str">
        <f>VLOOKUP(C1039,Магазины!A:C,3,0)</f>
        <v>Кемерово</v>
      </c>
      <c r="J1039">
        <f>VLOOKUP(D1039,Товары!A:I,4,0)</f>
        <v>27150</v>
      </c>
      <c r="K1039">
        <f t="shared" si="16"/>
        <v>27150</v>
      </c>
    </row>
    <row r="1040" spans="1:11" hidden="1" x14ac:dyDescent="0.25">
      <c r="A1040">
        <v>1039</v>
      </c>
      <c r="B1040" s="1">
        <v>45757</v>
      </c>
      <c r="C1040" t="s">
        <v>30</v>
      </c>
      <c r="D1040" t="s">
        <v>110</v>
      </c>
      <c r="E1040" t="s">
        <v>8</v>
      </c>
      <c r="F1040">
        <v>1</v>
      </c>
      <c r="G1040" t="str">
        <f>VLOOKUP(D1040,Товары!A:I,3,0)</f>
        <v>Тумба с раковиной  напол. Альба 600 антрацит 2 ящика с умыв. Океан</v>
      </c>
      <c r="H1040">
        <f>VLOOKUP(D1040,Товары!A:I,6,0)</f>
        <v>80</v>
      </c>
      <c r="I1040" t="str">
        <f>VLOOKUP(C1040,Магазины!A:C,3,0)</f>
        <v>Кемерово</v>
      </c>
      <c r="J1040">
        <f>VLOOKUP(D1040,Товары!A:I,4,0)</f>
        <v>26370</v>
      </c>
      <c r="K1040">
        <f t="shared" si="16"/>
        <v>26370</v>
      </c>
    </row>
    <row r="1041" spans="1:11" hidden="1" x14ac:dyDescent="0.25">
      <c r="A1041">
        <v>1040</v>
      </c>
      <c r="B1041" s="1">
        <v>45756</v>
      </c>
      <c r="C1041" t="s">
        <v>6</v>
      </c>
      <c r="D1041" t="s">
        <v>80</v>
      </c>
      <c r="E1041" t="s">
        <v>13</v>
      </c>
      <c r="F1041">
        <v>2</v>
      </c>
      <c r="G1041" t="str">
        <f>VLOOKUP(D1041,Товары!A:I,3,0)</f>
        <v>Тумба с раковиной  навес. Сохо 600 белый 2 ящика с умыв. Океан</v>
      </c>
      <c r="H1041">
        <f>VLOOKUP(D1041,Товары!A:I,6,0)</f>
        <v>55</v>
      </c>
      <c r="I1041" t="str">
        <f>VLOOKUP(C1041,Магазины!A:C,3,0)</f>
        <v>Оренбург</v>
      </c>
      <c r="J1041">
        <f>VLOOKUP(D1041,Товары!A:I,4,0)</f>
        <v>13950</v>
      </c>
      <c r="K1041">
        <f t="shared" si="16"/>
        <v>27900</v>
      </c>
    </row>
    <row r="1042" spans="1:11" hidden="1" x14ac:dyDescent="0.25">
      <c r="A1042">
        <v>1041</v>
      </c>
      <c r="B1042" s="1">
        <v>45752</v>
      </c>
      <c r="C1042" t="s">
        <v>43</v>
      </c>
      <c r="D1042" t="s">
        <v>107</v>
      </c>
      <c r="E1042" t="s">
        <v>8</v>
      </c>
      <c r="F1042">
        <v>2</v>
      </c>
      <c r="G1042" t="str">
        <f>VLOOKUP(D1042,Товары!A:I,3,0)</f>
        <v>Комод Аква 35 напольный 1 дверь белый правый</v>
      </c>
      <c r="H1042">
        <f>VLOOKUP(D1042,Товары!A:I,6,0)</f>
        <v>90</v>
      </c>
      <c r="I1042" t="str">
        <f>VLOOKUP(C1042,Магазины!A:C,3,0)</f>
        <v>Набережные Челны</v>
      </c>
      <c r="J1042">
        <f>VLOOKUP(D1042,Товары!A:I,4,0)</f>
        <v>6705</v>
      </c>
      <c r="K1042">
        <f t="shared" si="16"/>
        <v>13410</v>
      </c>
    </row>
    <row r="1043" spans="1:11" hidden="1" x14ac:dyDescent="0.25">
      <c r="A1043">
        <v>1042</v>
      </c>
      <c r="B1043" s="1">
        <v>45754</v>
      </c>
      <c r="C1043" t="s">
        <v>43</v>
      </c>
      <c r="D1043" t="s">
        <v>88</v>
      </c>
      <c r="E1043" t="s">
        <v>8</v>
      </c>
      <c r="F1043">
        <v>3</v>
      </c>
      <c r="G1043" t="str">
        <f>VLOOKUP(D1043,Товары!A:I,3,0)</f>
        <v>Тумба с раковиной  навес. Альба 800 антрацит 2 ящика с умыв. Слим</v>
      </c>
      <c r="H1043">
        <f>VLOOKUP(D1043,Товары!A:I,6,0)</f>
        <v>50</v>
      </c>
      <c r="I1043" t="str">
        <f>VLOOKUP(C1043,Магазины!A:C,3,0)</f>
        <v>Набережные Челны</v>
      </c>
      <c r="J1043">
        <f>VLOOKUP(D1043,Товары!A:I,4,0)</f>
        <v>26070</v>
      </c>
      <c r="K1043">
        <f t="shared" si="16"/>
        <v>78210</v>
      </c>
    </row>
    <row r="1044" spans="1:11" hidden="1" x14ac:dyDescent="0.25">
      <c r="A1044">
        <v>1043</v>
      </c>
      <c r="B1044" s="1">
        <v>45754</v>
      </c>
      <c r="C1044" t="s">
        <v>11</v>
      </c>
      <c r="D1044" t="s">
        <v>129</v>
      </c>
      <c r="E1044" t="s">
        <v>13</v>
      </c>
      <c r="F1044">
        <v>1</v>
      </c>
      <c r="G1044" t="str">
        <f>VLOOKUP(D1044,Товары!A:I,3,0)</f>
        <v>Тумба с раковиной  напол. Альба 700 антрацит 2 ящика с умыв. Слим</v>
      </c>
      <c r="H1044">
        <f>VLOOKUP(D1044,Товары!A:I,6,0)</f>
        <v>85</v>
      </c>
      <c r="I1044" t="str">
        <f>VLOOKUP(C1044,Магазины!A:C,3,0)</f>
        <v>Кемерово</v>
      </c>
      <c r="J1044">
        <f>VLOOKUP(D1044,Товары!A:I,4,0)</f>
        <v>28695</v>
      </c>
      <c r="K1044">
        <f t="shared" si="16"/>
        <v>28695</v>
      </c>
    </row>
    <row r="1045" spans="1:11" hidden="1" x14ac:dyDescent="0.25">
      <c r="A1045">
        <v>1044</v>
      </c>
      <c r="B1045" s="1">
        <v>45754</v>
      </c>
      <c r="C1045" t="s">
        <v>11</v>
      </c>
      <c r="D1045" t="s">
        <v>75</v>
      </c>
      <c r="E1045" t="s">
        <v>8</v>
      </c>
      <c r="F1045">
        <v>2</v>
      </c>
      <c r="G1045" t="str">
        <f>VLOOKUP(D1045,Товары!A:I,3,0)</f>
        <v>Тумба с раковиной  напол. Альба 600 суфле 2 ящика с умыв. Океан</v>
      </c>
      <c r="H1045">
        <f>VLOOKUP(D1045,Товары!A:I,6,0)</f>
        <v>80</v>
      </c>
      <c r="I1045" t="str">
        <f>VLOOKUP(C1045,Магазины!A:C,3,0)</f>
        <v>Кемерово</v>
      </c>
      <c r="J1045">
        <f>VLOOKUP(D1045,Товары!A:I,4,0)</f>
        <v>26370</v>
      </c>
      <c r="K1045">
        <f t="shared" si="16"/>
        <v>52740</v>
      </c>
    </row>
    <row r="1046" spans="1:11" hidden="1" x14ac:dyDescent="0.25">
      <c r="A1046">
        <v>1045</v>
      </c>
      <c r="B1046" s="1">
        <v>45750</v>
      </c>
      <c r="C1046" t="s">
        <v>28</v>
      </c>
      <c r="D1046" t="s">
        <v>110</v>
      </c>
      <c r="E1046" t="s">
        <v>13</v>
      </c>
      <c r="F1046">
        <v>1</v>
      </c>
      <c r="G1046" t="str">
        <f>VLOOKUP(D1046,Товары!A:I,3,0)</f>
        <v>Тумба с раковиной  напол. Альба 600 антрацит 2 ящика с умыв. Океан</v>
      </c>
      <c r="H1046">
        <f>VLOOKUP(D1046,Товары!A:I,6,0)</f>
        <v>80</v>
      </c>
      <c r="I1046" t="str">
        <f>VLOOKUP(C1046,Магазины!A:C,3,0)</f>
        <v>Набережные Челны</v>
      </c>
      <c r="J1046">
        <f>VLOOKUP(D1046,Товары!A:I,4,0)</f>
        <v>26370</v>
      </c>
      <c r="K1046">
        <f t="shared" si="16"/>
        <v>26370</v>
      </c>
    </row>
    <row r="1047" spans="1:11" hidden="1" x14ac:dyDescent="0.25">
      <c r="A1047">
        <v>1046</v>
      </c>
      <c r="B1047" s="1">
        <v>45751</v>
      </c>
      <c r="C1047" t="s">
        <v>30</v>
      </c>
      <c r="D1047" t="s">
        <v>99</v>
      </c>
      <c r="E1047" t="s">
        <v>13</v>
      </c>
      <c r="F1047">
        <v>1</v>
      </c>
      <c r="G1047" t="str">
        <f>VLOOKUP(D1047,Товары!A:I,3,0)</f>
        <v>Тумба с раковиной  навес. Леон 600 оникс 2 ящика с умыв. Слим</v>
      </c>
      <c r="H1047">
        <f>VLOOKUP(D1047,Товары!A:I,6,0)</f>
        <v>60</v>
      </c>
      <c r="I1047" t="str">
        <f>VLOOKUP(C1047,Магазины!A:C,3,0)</f>
        <v>Кемерово</v>
      </c>
      <c r="J1047">
        <f>VLOOKUP(D1047,Товары!A:I,4,0)</f>
        <v>25125</v>
      </c>
      <c r="K1047">
        <f t="shared" si="16"/>
        <v>25125</v>
      </c>
    </row>
    <row r="1048" spans="1:11" hidden="1" x14ac:dyDescent="0.25">
      <c r="A1048">
        <v>1047</v>
      </c>
      <c r="B1048" s="1">
        <v>45752</v>
      </c>
      <c r="C1048" t="s">
        <v>11</v>
      </c>
      <c r="D1048" t="s">
        <v>101</v>
      </c>
      <c r="E1048" t="s">
        <v>13</v>
      </c>
      <c r="F1048">
        <v>3</v>
      </c>
      <c r="G1048" t="str">
        <f>VLOOKUP(D1048,Товары!A:I,3,0)</f>
        <v>Пенал напол. Сохо 400 белый 2 двери + 1 ящик</v>
      </c>
      <c r="H1048">
        <f>VLOOKUP(D1048,Товары!A:I,6,0)</f>
        <v>190</v>
      </c>
      <c r="I1048" t="str">
        <f>VLOOKUP(C1048,Магазины!A:C,3,0)</f>
        <v>Кемерово</v>
      </c>
      <c r="J1048">
        <f>VLOOKUP(D1048,Товары!A:I,4,0)</f>
        <v>11040</v>
      </c>
      <c r="K1048">
        <f t="shared" si="16"/>
        <v>33120</v>
      </c>
    </row>
    <row r="1049" spans="1:11" hidden="1" x14ac:dyDescent="0.25">
      <c r="A1049">
        <v>1048</v>
      </c>
      <c r="B1049" s="1">
        <v>45748</v>
      </c>
      <c r="C1049" t="s">
        <v>103</v>
      </c>
      <c r="D1049" t="s">
        <v>15</v>
      </c>
      <c r="E1049" t="s">
        <v>8</v>
      </c>
      <c r="F1049">
        <v>2</v>
      </c>
      <c r="G1049" t="str">
        <f>VLOOKUP(D1049,Товары!A:I,3,0)</f>
        <v>Зеркальный шкаф Кристалл 60 со светильником правый, ручка кнопка дуб цвет Шато Азур</v>
      </c>
      <c r="H1049">
        <f>VLOOKUP(D1049,Товары!A:I,6,0)</f>
        <v>75</v>
      </c>
      <c r="I1049" t="str">
        <f>VLOOKUP(C1049,Магазины!A:C,3,0)</f>
        <v>Ставрополь</v>
      </c>
      <c r="J1049">
        <f>VLOOKUP(D1049,Товары!A:I,4,0)</f>
        <v>9195</v>
      </c>
      <c r="K1049">
        <f t="shared" si="16"/>
        <v>18390</v>
      </c>
    </row>
    <row r="1050" spans="1:11" hidden="1" x14ac:dyDescent="0.25">
      <c r="A1050">
        <v>1049</v>
      </c>
      <c r="B1050" s="1">
        <v>45749</v>
      </c>
      <c r="C1050" t="s">
        <v>43</v>
      </c>
      <c r="D1050" t="s">
        <v>96</v>
      </c>
      <c r="E1050" t="s">
        <v>8</v>
      </c>
      <c r="F1050">
        <v>3</v>
      </c>
      <c r="G1050" t="str">
        <f>VLOOKUP(D1050,Товары!A:I,3,0)</f>
        <v>Тумба с раковиной  навес. Альба 600 мята 1 ящик с умыв. Океан</v>
      </c>
      <c r="H1050">
        <f>VLOOKUP(D1050,Товары!A:I,6,0)</f>
        <v>85</v>
      </c>
      <c r="I1050" t="str">
        <f>VLOOKUP(C1050,Магазины!A:C,3,0)</f>
        <v>Набережные Челны</v>
      </c>
      <c r="J1050">
        <f>VLOOKUP(D1050,Товары!A:I,4,0)</f>
        <v>17625</v>
      </c>
      <c r="K1050">
        <f t="shared" si="16"/>
        <v>52875</v>
      </c>
    </row>
    <row r="1051" spans="1:11" hidden="1" x14ac:dyDescent="0.25">
      <c r="A1051">
        <v>1050</v>
      </c>
      <c r="B1051" s="1">
        <v>45752</v>
      </c>
      <c r="C1051" t="s">
        <v>43</v>
      </c>
      <c r="D1051" t="s">
        <v>129</v>
      </c>
      <c r="E1051" t="s">
        <v>13</v>
      </c>
      <c r="F1051">
        <v>2</v>
      </c>
      <c r="G1051" t="str">
        <f>VLOOKUP(D1051,Товары!A:I,3,0)</f>
        <v>Тумба с раковиной  напол. Альба 700 антрацит 2 ящика с умыв. Слим</v>
      </c>
      <c r="H1051">
        <f>VLOOKUP(D1051,Товары!A:I,6,0)</f>
        <v>85</v>
      </c>
      <c r="I1051" t="str">
        <f>VLOOKUP(C1051,Магазины!A:C,3,0)</f>
        <v>Набережные Челны</v>
      </c>
      <c r="J1051">
        <f>VLOOKUP(D1051,Товары!A:I,4,0)</f>
        <v>28695</v>
      </c>
      <c r="K1051">
        <f t="shared" si="16"/>
        <v>57390</v>
      </c>
    </row>
    <row r="1052" spans="1:11" hidden="1" x14ac:dyDescent="0.25">
      <c r="A1052">
        <v>1051</v>
      </c>
      <c r="B1052" s="1">
        <v>45755</v>
      </c>
      <c r="C1052" t="s">
        <v>43</v>
      </c>
      <c r="D1052" t="s">
        <v>124</v>
      </c>
      <c r="E1052" t="s">
        <v>8</v>
      </c>
      <c r="F1052">
        <v>3</v>
      </c>
      <c r="G1052" t="str">
        <f>VLOOKUP(D1052,Товары!A:I,3,0)</f>
        <v>Тумба с раковиной  напол. Леон 600 оникс 2 ящика с умыв. Океан</v>
      </c>
      <c r="H1052">
        <f>VLOOKUP(D1052,Товары!A:I,6,0)</f>
        <v>80</v>
      </c>
      <c r="I1052" t="str">
        <f>VLOOKUP(C1052,Магазины!A:C,3,0)</f>
        <v>Набережные Челны</v>
      </c>
      <c r="J1052">
        <f>VLOOKUP(D1052,Товары!A:I,4,0)</f>
        <v>25860</v>
      </c>
      <c r="K1052">
        <f t="shared" si="16"/>
        <v>77580</v>
      </c>
    </row>
    <row r="1053" spans="1:11" hidden="1" x14ac:dyDescent="0.25">
      <c r="A1053">
        <v>1052</v>
      </c>
      <c r="B1053" s="1">
        <v>45757</v>
      </c>
      <c r="C1053" t="s">
        <v>16</v>
      </c>
      <c r="D1053" t="s">
        <v>83</v>
      </c>
      <c r="E1053" t="s">
        <v>8</v>
      </c>
      <c r="F1053">
        <v>3</v>
      </c>
      <c r="G1053" t="str">
        <f>VLOOKUP(D1053,Товары!A:I,3,0)</f>
        <v>Зеркальный шкаф Альба 60 со светильником правый цвет суфле</v>
      </c>
      <c r="H1053">
        <f>VLOOKUP(D1053,Товары!A:I,6,0)</f>
        <v>75</v>
      </c>
      <c r="I1053" t="str">
        <f>VLOOKUP(C1053,Магазины!A:C,3,0)</f>
        <v>Оренбург</v>
      </c>
      <c r="J1053">
        <f>VLOOKUP(D1053,Товары!A:I,4,0)</f>
        <v>8910</v>
      </c>
      <c r="K1053">
        <f t="shared" si="16"/>
        <v>26730</v>
      </c>
    </row>
    <row r="1054" spans="1:11" hidden="1" x14ac:dyDescent="0.25">
      <c r="A1054">
        <v>1053</v>
      </c>
      <c r="B1054" s="1">
        <v>45750</v>
      </c>
      <c r="C1054" t="s">
        <v>22</v>
      </c>
      <c r="D1054" t="s">
        <v>82</v>
      </c>
      <c r="E1054" t="s">
        <v>13</v>
      </c>
      <c r="F1054">
        <v>2</v>
      </c>
      <c r="G1054" t="str">
        <f>VLOOKUP(D1054,Товары!A:I,3,0)</f>
        <v>Тумба с раковиной  навес. Леон 800 форест 2 ящика с умыв. Слим</v>
      </c>
      <c r="H1054">
        <f>VLOOKUP(D1054,Товары!A:I,6,0)</f>
        <v>60</v>
      </c>
      <c r="I1054" t="str">
        <f>VLOOKUP(C1054,Магазины!A:C,3,0)</f>
        <v>Кемерово</v>
      </c>
      <c r="J1054">
        <f>VLOOKUP(D1054,Товары!A:I,4,0)</f>
        <v>27930</v>
      </c>
      <c r="K1054">
        <f t="shared" si="16"/>
        <v>55860</v>
      </c>
    </row>
    <row r="1055" spans="1:11" hidden="1" x14ac:dyDescent="0.25">
      <c r="A1055">
        <v>1054</v>
      </c>
      <c r="B1055" s="1">
        <v>45748</v>
      </c>
      <c r="C1055" t="s">
        <v>48</v>
      </c>
      <c r="D1055" t="s">
        <v>95</v>
      </c>
      <c r="E1055" t="s">
        <v>13</v>
      </c>
      <c r="F1055">
        <v>1</v>
      </c>
      <c r="G1055" t="str">
        <f>VLOOKUP(D1055,Товары!A:I,3,0)</f>
        <v>Тумба с раковиной  напол. Рица 600 антрацит 2 ящика с умыв. Океан</v>
      </c>
      <c r="H1055">
        <f>VLOOKUP(D1055,Товары!A:I,6,0)</f>
        <v>80</v>
      </c>
      <c r="I1055" t="str">
        <f>VLOOKUP(C1055,Магазины!A:C,3,0)</f>
        <v>Ставрополь</v>
      </c>
      <c r="J1055">
        <f>VLOOKUP(D1055,Товары!A:I,4,0)</f>
        <v>25560</v>
      </c>
      <c r="K1055">
        <f t="shared" si="16"/>
        <v>25560</v>
      </c>
    </row>
    <row r="1056" spans="1:11" hidden="1" x14ac:dyDescent="0.25">
      <c r="A1056">
        <v>1055</v>
      </c>
      <c r="B1056" s="1">
        <v>45750</v>
      </c>
      <c r="C1056" t="s">
        <v>16</v>
      </c>
      <c r="D1056" t="s">
        <v>40</v>
      </c>
      <c r="E1056" t="s">
        <v>13</v>
      </c>
      <c r="F1056">
        <v>1</v>
      </c>
      <c r="G1056" t="str">
        <f>VLOOKUP(D1056,Товары!A:I,3,0)</f>
        <v>Тумба с раковиной  навес. Рица 800 cерый/керамика 1 ящик + ниша 1 с умыв. Слим</v>
      </c>
      <c r="H1056">
        <f>VLOOKUP(D1056,Товары!A:I,6,0)</f>
        <v>60</v>
      </c>
      <c r="I1056" t="str">
        <f>VLOOKUP(C1056,Магазины!A:C,3,0)</f>
        <v>Оренбург</v>
      </c>
      <c r="J1056">
        <f>VLOOKUP(D1056,Товары!A:I,4,0)</f>
        <v>22425</v>
      </c>
      <c r="K1056">
        <f t="shared" si="16"/>
        <v>22425</v>
      </c>
    </row>
    <row r="1057" spans="1:11" hidden="1" x14ac:dyDescent="0.25">
      <c r="A1057">
        <v>1056</v>
      </c>
      <c r="B1057" s="1">
        <v>45752</v>
      </c>
      <c r="C1057" t="s">
        <v>9</v>
      </c>
      <c r="D1057" t="s">
        <v>113</v>
      </c>
      <c r="E1057" t="s">
        <v>13</v>
      </c>
      <c r="F1057">
        <v>3</v>
      </c>
      <c r="G1057" t="str">
        <f>VLOOKUP(D1057,Товары!A:I,3,0)</f>
        <v>Зеркальный шкаф Альба 60 со светильником правый цвет мята</v>
      </c>
      <c r="H1057">
        <f>VLOOKUP(D1057,Товары!A:I,6,0)</f>
        <v>75</v>
      </c>
      <c r="I1057" t="str">
        <f>VLOOKUP(C1057,Магазины!A:C,3,0)</f>
        <v>Кемерово</v>
      </c>
      <c r="J1057">
        <f>VLOOKUP(D1057,Товары!A:I,4,0)</f>
        <v>8910</v>
      </c>
      <c r="K1057">
        <f t="shared" si="16"/>
        <v>26730</v>
      </c>
    </row>
    <row r="1058" spans="1:11" hidden="1" x14ac:dyDescent="0.25">
      <c r="A1058">
        <v>1057</v>
      </c>
      <c r="B1058" s="1">
        <v>45756</v>
      </c>
      <c r="C1058" t="s">
        <v>111</v>
      </c>
      <c r="D1058" t="s">
        <v>37</v>
      </c>
      <c r="E1058" t="s">
        <v>8</v>
      </c>
      <c r="F1058">
        <v>3</v>
      </c>
      <c r="G1058" t="str">
        <f>VLOOKUP(D1058,Товары!A:I,3,0)</f>
        <v>Зеркальный шкаф Сохо 70 белый со светильником правый цвет Белый глянец</v>
      </c>
      <c r="H1058">
        <f>VLOOKUP(D1058,Товары!A:I,6,0)</f>
        <v>75</v>
      </c>
      <c r="I1058" t="str">
        <f>VLOOKUP(C1058,Магазины!A:C,3,0)</f>
        <v>Набережные Челны</v>
      </c>
      <c r="J1058">
        <f>VLOOKUP(D1058,Товары!A:I,4,0)</f>
        <v>7935</v>
      </c>
      <c r="K1058">
        <f t="shared" si="16"/>
        <v>23805</v>
      </c>
    </row>
    <row r="1059" spans="1:11" hidden="1" x14ac:dyDescent="0.25">
      <c r="A1059">
        <v>1058</v>
      </c>
      <c r="B1059" s="1">
        <v>45755</v>
      </c>
      <c r="C1059" t="s">
        <v>58</v>
      </c>
      <c r="D1059" t="s">
        <v>69</v>
      </c>
      <c r="E1059" t="s">
        <v>8</v>
      </c>
      <c r="F1059">
        <v>1</v>
      </c>
      <c r="G1059" t="str">
        <f>VLOOKUP(D1059,Товары!A:I,3,0)</f>
        <v>Пенал навес./напол. Альба 350 антрацит 2 двери</v>
      </c>
      <c r="H1059">
        <f>VLOOKUP(D1059,Товары!A:I,6,0)</f>
        <v>150</v>
      </c>
      <c r="I1059" t="str">
        <f>VLOOKUP(C1059,Магазины!A:C,3,0)</f>
        <v>Ставрополь</v>
      </c>
      <c r="J1059">
        <f>VLOOKUP(D1059,Товары!A:I,4,0)</f>
        <v>11655</v>
      </c>
      <c r="K1059">
        <f t="shared" si="16"/>
        <v>11655</v>
      </c>
    </row>
    <row r="1060" spans="1:11" hidden="1" x14ac:dyDescent="0.25">
      <c r="A1060">
        <v>1059</v>
      </c>
      <c r="B1060" s="1">
        <v>45752</v>
      </c>
      <c r="C1060" t="s">
        <v>30</v>
      </c>
      <c r="D1060" t="s">
        <v>7</v>
      </c>
      <c r="E1060" t="s">
        <v>13</v>
      </c>
      <c r="F1060">
        <v>2</v>
      </c>
      <c r="G1060" t="str">
        <f>VLOOKUP(D1060,Товары!A:I,3,0)</f>
        <v>Пенал напол. Леон Риф 400 солярис/белый риф 2 двери + 1 ящик</v>
      </c>
      <c r="H1060">
        <f>VLOOKUP(D1060,Товары!A:I,6,0)</f>
        <v>190</v>
      </c>
      <c r="I1060" t="str">
        <f>VLOOKUP(C1060,Магазины!A:C,3,0)</f>
        <v>Кемерово</v>
      </c>
      <c r="J1060">
        <f>VLOOKUP(D1060,Товары!A:I,4,0)</f>
        <v>14490</v>
      </c>
      <c r="K1060">
        <f t="shared" si="16"/>
        <v>28980</v>
      </c>
    </row>
    <row r="1061" spans="1:11" hidden="1" x14ac:dyDescent="0.25">
      <c r="A1061">
        <v>1060</v>
      </c>
      <c r="B1061" s="1">
        <v>45753</v>
      </c>
      <c r="C1061" t="s">
        <v>16</v>
      </c>
      <c r="D1061" t="s">
        <v>122</v>
      </c>
      <c r="E1061" t="s">
        <v>8</v>
      </c>
      <c r="F1061">
        <v>3</v>
      </c>
      <c r="G1061" t="str">
        <f>VLOOKUP(D1061,Товары!A:I,3,0)</f>
        <v>Тумба с раковиной  навес. Кристалл 600 шато азур 2 ящика с умыв. Океан</v>
      </c>
      <c r="H1061">
        <f>VLOOKUP(D1061,Товары!A:I,6,0)</f>
        <v>55</v>
      </c>
      <c r="I1061" t="str">
        <f>VLOOKUP(C1061,Магазины!A:C,3,0)</f>
        <v>Оренбург</v>
      </c>
      <c r="J1061">
        <f>VLOOKUP(D1061,Товары!A:I,4,0)</f>
        <v>21960</v>
      </c>
      <c r="K1061">
        <f t="shared" si="16"/>
        <v>65880</v>
      </c>
    </row>
    <row r="1062" spans="1:11" hidden="1" x14ac:dyDescent="0.25">
      <c r="A1062">
        <v>1061</v>
      </c>
      <c r="B1062" s="1">
        <v>45748</v>
      </c>
      <c r="C1062" t="s">
        <v>35</v>
      </c>
      <c r="D1062" t="s">
        <v>64</v>
      </c>
      <c r="E1062" t="s">
        <v>13</v>
      </c>
      <c r="F1062">
        <v>2</v>
      </c>
      <c r="G1062" t="str">
        <f>VLOOKUP(D1062,Товары!A:I,3,0)</f>
        <v>Тумба с раковиной  напол. Рица 800 антрацит 2 ящика с умыв. Слим</v>
      </c>
      <c r="H1062">
        <f>VLOOKUP(D1062,Товары!A:I,6,0)</f>
        <v>80</v>
      </c>
      <c r="I1062" t="str">
        <f>VLOOKUP(C1062,Магазины!A:C,3,0)</f>
        <v>Набережные Челны</v>
      </c>
      <c r="J1062">
        <f>VLOOKUP(D1062,Товары!A:I,4,0)</f>
        <v>28980</v>
      </c>
      <c r="K1062">
        <f t="shared" si="16"/>
        <v>57960</v>
      </c>
    </row>
    <row r="1063" spans="1:11" hidden="1" x14ac:dyDescent="0.25">
      <c r="A1063">
        <v>1062</v>
      </c>
      <c r="B1063" s="1">
        <v>45754</v>
      </c>
      <c r="C1063" t="s">
        <v>6</v>
      </c>
      <c r="D1063" t="s">
        <v>34</v>
      </c>
      <c r="E1063" t="s">
        <v>8</v>
      </c>
      <c r="F1063">
        <v>2</v>
      </c>
      <c r="G1063" t="str">
        <f>VLOOKUP(D1063,Товары!A:I,3,0)</f>
        <v>Тумба с раковиной  навес. Леон 700 форест 2 ящика с умыв. Слим</v>
      </c>
      <c r="H1063">
        <f>VLOOKUP(D1063,Товары!A:I,6,0)</f>
        <v>60</v>
      </c>
      <c r="I1063" t="str">
        <f>VLOOKUP(C1063,Магазины!A:C,3,0)</f>
        <v>Оренбург</v>
      </c>
      <c r="J1063">
        <f>VLOOKUP(D1063,Товары!A:I,4,0)</f>
        <v>26220</v>
      </c>
      <c r="K1063">
        <f t="shared" si="16"/>
        <v>52440</v>
      </c>
    </row>
    <row r="1064" spans="1:11" hidden="1" x14ac:dyDescent="0.25">
      <c r="A1064">
        <v>1063</v>
      </c>
      <c r="B1064" s="1">
        <v>45748</v>
      </c>
      <c r="C1064" t="s">
        <v>63</v>
      </c>
      <c r="D1064" t="s">
        <v>98</v>
      </c>
      <c r="E1064" t="s">
        <v>8</v>
      </c>
      <c r="F1064">
        <v>1</v>
      </c>
      <c r="G1064" t="str">
        <f>VLOOKUP(D1064,Товары!A:I,3,0)</f>
        <v>Тумба с раковиной  напол. Рица 800 cерый/керамика 2 ящика с умыв. Слим</v>
      </c>
      <c r="H1064">
        <f>VLOOKUP(D1064,Товары!A:I,6,0)</f>
        <v>80</v>
      </c>
      <c r="I1064" t="str">
        <f>VLOOKUP(C1064,Магазины!A:C,3,0)</f>
        <v>Ставрополь</v>
      </c>
      <c r="J1064">
        <f>VLOOKUP(D1064,Товары!A:I,4,0)</f>
        <v>28980</v>
      </c>
      <c r="K1064">
        <f t="shared" si="16"/>
        <v>28980</v>
      </c>
    </row>
    <row r="1065" spans="1:11" hidden="1" x14ac:dyDescent="0.25">
      <c r="A1065">
        <v>1064</v>
      </c>
      <c r="B1065" s="1">
        <v>45752</v>
      </c>
      <c r="C1065" t="s">
        <v>6</v>
      </c>
      <c r="D1065" t="s">
        <v>101</v>
      </c>
      <c r="E1065" t="s">
        <v>8</v>
      </c>
      <c r="F1065">
        <v>3</v>
      </c>
      <c r="G1065" t="str">
        <f>VLOOKUP(D1065,Товары!A:I,3,0)</f>
        <v>Пенал напол. Сохо 400 белый 2 двери + 1 ящик</v>
      </c>
      <c r="H1065">
        <f>VLOOKUP(D1065,Товары!A:I,6,0)</f>
        <v>190</v>
      </c>
      <c r="I1065" t="str">
        <f>VLOOKUP(C1065,Магазины!A:C,3,0)</f>
        <v>Оренбург</v>
      </c>
      <c r="J1065">
        <f>VLOOKUP(D1065,Товары!A:I,4,0)</f>
        <v>11040</v>
      </c>
      <c r="K1065">
        <f t="shared" si="16"/>
        <v>33120</v>
      </c>
    </row>
    <row r="1066" spans="1:11" hidden="1" x14ac:dyDescent="0.25">
      <c r="A1066">
        <v>1065</v>
      </c>
      <c r="B1066" s="1">
        <v>45748</v>
      </c>
      <c r="C1066" t="s">
        <v>26</v>
      </c>
      <c r="D1066" t="s">
        <v>45</v>
      </c>
      <c r="E1066" t="s">
        <v>8</v>
      </c>
      <c r="F1066">
        <v>3</v>
      </c>
      <c r="G1066" t="str">
        <f>VLOOKUP(D1066,Товары!A:I,3,0)</f>
        <v>Зеркальный шкаф Рица 80 со светильником правый цвет cерый/керамика</v>
      </c>
      <c r="H1066">
        <f>VLOOKUP(D1066,Товары!A:I,6,0)</f>
        <v>75</v>
      </c>
      <c r="I1066" t="str">
        <f>VLOOKUP(C1066,Магазины!A:C,3,0)</f>
        <v>Оренбург</v>
      </c>
      <c r="J1066">
        <f>VLOOKUP(D1066,Товары!A:I,4,0)</f>
        <v>9930</v>
      </c>
      <c r="K1066">
        <f t="shared" si="16"/>
        <v>29790</v>
      </c>
    </row>
    <row r="1067" spans="1:11" hidden="1" x14ac:dyDescent="0.25">
      <c r="A1067">
        <v>1066</v>
      </c>
      <c r="B1067" s="1">
        <v>45753</v>
      </c>
      <c r="C1067" t="s">
        <v>58</v>
      </c>
      <c r="D1067" t="s">
        <v>80</v>
      </c>
      <c r="E1067" t="s">
        <v>8</v>
      </c>
      <c r="F1067">
        <v>3</v>
      </c>
      <c r="G1067" t="str">
        <f>VLOOKUP(D1067,Товары!A:I,3,0)</f>
        <v>Тумба с раковиной  навес. Сохо 600 белый 2 ящика с умыв. Океан</v>
      </c>
      <c r="H1067">
        <f>VLOOKUP(D1067,Товары!A:I,6,0)</f>
        <v>55</v>
      </c>
      <c r="I1067" t="str">
        <f>VLOOKUP(C1067,Магазины!A:C,3,0)</f>
        <v>Ставрополь</v>
      </c>
      <c r="J1067">
        <f>VLOOKUP(D1067,Товары!A:I,4,0)</f>
        <v>13950</v>
      </c>
      <c r="K1067">
        <f t="shared" si="16"/>
        <v>41850</v>
      </c>
    </row>
    <row r="1068" spans="1:11" hidden="1" x14ac:dyDescent="0.25">
      <c r="A1068">
        <v>1067</v>
      </c>
      <c r="B1068" s="1">
        <v>45749</v>
      </c>
      <c r="C1068" t="s">
        <v>14</v>
      </c>
      <c r="D1068" t="s">
        <v>108</v>
      </c>
      <c r="E1068" t="s">
        <v>8</v>
      </c>
      <c r="F1068">
        <v>3</v>
      </c>
      <c r="G1068" t="str">
        <f>VLOOKUP(D1068,Товары!A:I,3,0)</f>
        <v>Тумба с раковиной  навес. Виктория 1000 белый 2 ящика с умыв. Слим</v>
      </c>
      <c r="H1068">
        <f>VLOOKUP(D1068,Товары!A:I,6,0)</f>
        <v>60</v>
      </c>
      <c r="I1068" t="str">
        <f>VLOOKUP(C1068,Магазины!A:C,3,0)</f>
        <v>Оренбург</v>
      </c>
      <c r="J1068">
        <f>VLOOKUP(D1068,Товары!A:I,4,0)</f>
        <v>29205</v>
      </c>
      <c r="K1068">
        <f t="shared" si="16"/>
        <v>87615</v>
      </c>
    </row>
    <row r="1069" spans="1:11" hidden="1" x14ac:dyDescent="0.25">
      <c r="A1069">
        <v>1068</v>
      </c>
      <c r="B1069" s="1">
        <v>45748</v>
      </c>
      <c r="C1069" t="s">
        <v>9</v>
      </c>
      <c r="D1069" t="s">
        <v>56</v>
      </c>
      <c r="E1069" t="s">
        <v>13</v>
      </c>
      <c r="F1069">
        <v>3</v>
      </c>
      <c r="G1069" t="str">
        <f>VLOOKUP(D1069,Товары!A:I,3,0)</f>
        <v>Зеркальный шкаф Альба 80 со светильником правый цвет мята</v>
      </c>
      <c r="H1069">
        <f>VLOOKUP(D1069,Товары!A:I,6,0)</f>
        <v>75</v>
      </c>
      <c r="I1069" t="str">
        <f>VLOOKUP(C1069,Магазины!A:C,3,0)</f>
        <v>Кемерово</v>
      </c>
      <c r="J1069">
        <f>VLOOKUP(D1069,Товары!A:I,4,0)</f>
        <v>9930</v>
      </c>
      <c r="K1069">
        <f t="shared" si="16"/>
        <v>29790</v>
      </c>
    </row>
    <row r="1070" spans="1:11" hidden="1" x14ac:dyDescent="0.25">
      <c r="A1070">
        <v>1069</v>
      </c>
      <c r="B1070" s="1">
        <v>45756</v>
      </c>
      <c r="C1070" t="s">
        <v>63</v>
      </c>
      <c r="D1070" t="s">
        <v>64</v>
      </c>
      <c r="E1070" t="s">
        <v>13</v>
      </c>
      <c r="F1070">
        <v>1</v>
      </c>
      <c r="G1070" t="str">
        <f>VLOOKUP(D1070,Товары!A:I,3,0)</f>
        <v>Тумба с раковиной  напол. Рица 800 антрацит 2 ящика с умыв. Слим</v>
      </c>
      <c r="H1070">
        <f>VLOOKUP(D1070,Товары!A:I,6,0)</f>
        <v>80</v>
      </c>
      <c r="I1070" t="str">
        <f>VLOOKUP(C1070,Магазины!A:C,3,0)</f>
        <v>Ставрополь</v>
      </c>
      <c r="J1070">
        <f>VLOOKUP(D1070,Товары!A:I,4,0)</f>
        <v>28980</v>
      </c>
      <c r="K1070">
        <f t="shared" si="16"/>
        <v>28980</v>
      </c>
    </row>
    <row r="1071" spans="1:11" hidden="1" x14ac:dyDescent="0.25">
      <c r="A1071">
        <v>1070</v>
      </c>
      <c r="B1071" s="1">
        <v>45755</v>
      </c>
      <c r="C1071" t="s">
        <v>33</v>
      </c>
      <c r="D1071" t="s">
        <v>101</v>
      </c>
      <c r="E1071" t="s">
        <v>13</v>
      </c>
      <c r="F1071">
        <v>3</v>
      </c>
      <c r="G1071" t="str">
        <f>VLOOKUP(D1071,Товары!A:I,3,0)</f>
        <v>Пенал напол. Сохо 400 белый 2 двери + 1 ящик</v>
      </c>
      <c r="H1071">
        <f>VLOOKUP(D1071,Товары!A:I,6,0)</f>
        <v>190</v>
      </c>
      <c r="I1071" t="str">
        <f>VLOOKUP(C1071,Магазины!A:C,3,0)</f>
        <v>Набережные Челны</v>
      </c>
      <c r="J1071">
        <f>VLOOKUP(D1071,Товары!A:I,4,0)</f>
        <v>11040</v>
      </c>
      <c r="K1071">
        <f t="shared" si="16"/>
        <v>33120</v>
      </c>
    </row>
    <row r="1072" spans="1:11" hidden="1" x14ac:dyDescent="0.25">
      <c r="A1072">
        <v>1071</v>
      </c>
      <c r="B1072" s="1">
        <v>45756</v>
      </c>
      <c r="C1072" t="s">
        <v>48</v>
      </c>
      <c r="D1072" t="s">
        <v>121</v>
      </c>
      <c r="E1072" t="s">
        <v>8</v>
      </c>
      <c r="F1072">
        <v>2</v>
      </c>
      <c r="G1072" t="str">
        <f>VLOOKUP(D1072,Товары!A:I,3,0)</f>
        <v>Тумба с раковиной  напол. Куба Риф 600 белый 2 двери с умыв. Como</v>
      </c>
      <c r="H1072">
        <f>VLOOKUP(D1072,Товары!A:I,6,0)</f>
        <v>85</v>
      </c>
      <c r="I1072" t="str">
        <f>VLOOKUP(C1072,Магазины!A:C,3,0)</f>
        <v>Ставрополь</v>
      </c>
      <c r="J1072">
        <f>VLOOKUP(D1072,Товары!A:I,4,0)</f>
        <v>13695</v>
      </c>
      <c r="K1072">
        <f t="shared" si="16"/>
        <v>27390</v>
      </c>
    </row>
    <row r="1073" spans="1:11" hidden="1" x14ac:dyDescent="0.25">
      <c r="A1073">
        <v>1072</v>
      </c>
      <c r="B1073" s="1">
        <v>45748</v>
      </c>
      <c r="C1073" t="s">
        <v>14</v>
      </c>
      <c r="D1073" t="s">
        <v>129</v>
      </c>
      <c r="E1073" t="s">
        <v>8</v>
      </c>
      <c r="F1073">
        <v>3</v>
      </c>
      <c r="G1073" t="str">
        <f>VLOOKUP(D1073,Товары!A:I,3,0)</f>
        <v>Тумба с раковиной  напол. Альба 700 антрацит 2 ящика с умыв. Слим</v>
      </c>
      <c r="H1073">
        <f>VLOOKUP(D1073,Товары!A:I,6,0)</f>
        <v>85</v>
      </c>
      <c r="I1073" t="str">
        <f>VLOOKUP(C1073,Магазины!A:C,3,0)</f>
        <v>Оренбург</v>
      </c>
      <c r="J1073">
        <f>VLOOKUP(D1073,Товары!A:I,4,0)</f>
        <v>28695</v>
      </c>
      <c r="K1073">
        <f t="shared" si="16"/>
        <v>86085</v>
      </c>
    </row>
    <row r="1074" spans="1:11" hidden="1" x14ac:dyDescent="0.25">
      <c r="A1074">
        <v>1073</v>
      </c>
      <c r="B1074" s="1">
        <v>45748</v>
      </c>
      <c r="C1074" t="s">
        <v>103</v>
      </c>
      <c r="D1074" t="s">
        <v>38</v>
      </c>
      <c r="E1074" t="s">
        <v>13</v>
      </c>
      <c r="F1074">
        <v>2</v>
      </c>
      <c r="G1074" t="str">
        <f>VLOOKUP(D1074,Товары!A:I,3,0)</f>
        <v>Тумба с раковиной  навес. Куба Риф 600 белый 2 ящика с умыв. Como</v>
      </c>
      <c r="H1074">
        <f>VLOOKUP(D1074,Товары!A:I,6,0)</f>
        <v>55</v>
      </c>
      <c r="I1074" t="str">
        <f>VLOOKUP(C1074,Магазины!A:C,3,0)</f>
        <v>Ставрополь</v>
      </c>
      <c r="J1074">
        <f>VLOOKUP(D1074,Товары!A:I,4,0)</f>
        <v>14265</v>
      </c>
      <c r="K1074">
        <f t="shared" si="16"/>
        <v>28530</v>
      </c>
    </row>
    <row r="1075" spans="1:11" hidden="1" x14ac:dyDescent="0.25">
      <c r="A1075">
        <v>1074</v>
      </c>
      <c r="B1075" s="1">
        <v>45751</v>
      </c>
      <c r="C1075" t="s">
        <v>20</v>
      </c>
      <c r="D1075" t="s">
        <v>125</v>
      </c>
      <c r="E1075" t="s">
        <v>13</v>
      </c>
      <c r="F1075">
        <v>2</v>
      </c>
      <c r="G1075" t="str">
        <f>VLOOKUP(D1075,Товары!A:I,3,0)</f>
        <v>Зеркальный шкаф Сохо 60 белый со светильником правый цвет Белый глянец</v>
      </c>
      <c r="H1075">
        <f>VLOOKUP(D1075,Товары!A:I,6,0)</f>
        <v>75</v>
      </c>
      <c r="I1075" t="str">
        <f>VLOOKUP(C1075,Магазины!A:C,3,0)</f>
        <v>Оренбург</v>
      </c>
      <c r="J1075">
        <f>VLOOKUP(D1075,Товары!A:I,4,0)</f>
        <v>7395</v>
      </c>
      <c r="K1075">
        <f t="shared" si="16"/>
        <v>14790</v>
      </c>
    </row>
    <row r="1076" spans="1:11" hidden="1" x14ac:dyDescent="0.25">
      <c r="A1076">
        <v>1075</v>
      </c>
      <c r="B1076" s="1">
        <v>45757</v>
      </c>
      <c r="C1076" t="s">
        <v>33</v>
      </c>
      <c r="D1076" t="s">
        <v>31</v>
      </c>
      <c r="E1076" t="s">
        <v>13</v>
      </c>
      <c r="F1076">
        <v>3</v>
      </c>
      <c r="G1076" t="str">
        <f>VLOOKUP(D1076,Товары!A:I,3,0)</f>
        <v>Пенал напол. Виктория 350 белый 2 двери</v>
      </c>
      <c r="H1076">
        <f>VLOOKUP(D1076,Товары!A:I,6,0)</f>
        <v>190</v>
      </c>
      <c r="I1076" t="str">
        <f>VLOOKUP(C1076,Магазины!A:C,3,0)</f>
        <v>Набережные Челны</v>
      </c>
      <c r="J1076">
        <f>VLOOKUP(D1076,Товары!A:I,4,0)</f>
        <v>14085</v>
      </c>
      <c r="K1076">
        <f t="shared" si="16"/>
        <v>42255</v>
      </c>
    </row>
    <row r="1077" spans="1:11" hidden="1" x14ac:dyDescent="0.25">
      <c r="A1077">
        <v>1076</v>
      </c>
      <c r="B1077" s="1">
        <v>45756</v>
      </c>
      <c r="C1077" t="s">
        <v>33</v>
      </c>
      <c r="D1077" t="s">
        <v>113</v>
      </c>
      <c r="E1077" t="s">
        <v>8</v>
      </c>
      <c r="F1077">
        <v>3</v>
      </c>
      <c r="G1077" t="str">
        <f>VLOOKUP(D1077,Товары!A:I,3,0)</f>
        <v>Зеркальный шкаф Альба 60 со светильником правый цвет мята</v>
      </c>
      <c r="H1077">
        <f>VLOOKUP(D1077,Товары!A:I,6,0)</f>
        <v>75</v>
      </c>
      <c r="I1077" t="str">
        <f>VLOOKUP(C1077,Магазины!A:C,3,0)</f>
        <v>Набережные Челны</v>
      </c>
      <c r="J1077">
        <f>VLOOKUP(D1077,Товары!A:I,4,0)</f>
        <v>8910</v>
      </c>
      <c r="K1077">
        <f t="shared" si="16"/>
        <v>26730</v>
      </c>
    </row>
    <row r="1078" spans="1:11" hidden="1" x14ac:dyDescent="0.25">
      <c r="A1078">
        <v>1077</v>
      </c>
      <c r="B1078" s="1">
        <v>45755</v>
      </c>
      <c r="C1078" t="s">
        <v>6</v>
      </c>
      <c r="D1078" t="s">
        <v>61</v>
      </c>
      <c r="E1078" t="s">
        <v>8</v>
      </c>
      <c r="F1078">
        <v>2</v>
      </c>
      <c r="G1078" t="str">
        <f>VLOOKUP(D1078,Товары!A:I,3,0)</f>
        <v>Тумба под стиральную машину Леон Риф 57 напольная 2 ящика под ст/маш, без умывальника /под Marshall 120 Солярис/Белый Риф</v>
      </c>
      <c r="H1078">
        <f>VLOOKUP(D1078,Товары!A:I,6,0)</f>
        <v>85</v>
      </c>
      <c r="I1078" t="str">
        <f>VLOOKUP(C1078,Магазины!A:C,3,0)</f>
        <v>Оренбург</v>
      </c>
      <c r="J1078">
        <f>VLOOKUP(D1078,Товары!A:I,4,0)</f>
        <v>17430</v>
      </c>
      <c r="K1078">
        <f t="shared" si="16"/>
        <v>34860</v>
      </c>
    </row>
    <row r="1079" spans="1:11" hidden="1" x14ac:dyDescent="0.25">
      <c r="A1079">
        <v>1078</v>
      </c>
      <c r="B1079" s="1">
        <v>45751</v>
      </c>
      <c r="C1079" t="s">
        <v>20</v>
      </c>
      <c r="D1079" t="s">
        <v>87</v>
      </c>
      <c r="E1079" t="s">
        <v>8</v>
      </c>
      <c r="F1079">
        <v>3</v>
      </c>
      <c r="G1079" t="str">
        <f>VLOOKUP(D1079,Товары!A:I,3,0)</f>
        <v>Тумба с раковиной  напол. Леон 700 форест 2 ящика с умыв. Слим</v>
      </c>
      <c r="H1079">
        <f>VLOOKUP(D1079,Товары!A:I,6,0)</f>
        <v>80</v>
      </c>
      <c r="I1079" t="str">
        <f>VLOOKUP(C1079,Магазины!A:C,3,0)</f>
        <v>Оренбург</v>
      </c>
      <c r="J1079">
        <f>VLOOKUP(D1079,Товары!A:I,4,0)</f>
        <v>28380</v>
      </c>
      <c r="K1079">
        <f t="shared" si="16"/>
        <v>85140</v>
      </c>
    </row>
    <row r="1080" spans="1:11" hidden="1" x14ac:dyDescent="0.25">
      <c r="A1080">
        <v>1079</v>
      </c>
      <c r="B1080" s="1">
        <v>45756</v>
      </c>
      <c r="C1080" t="s">
        <v>54</v>
      </c>
      <c r="D1080" t="s">
        <v>56</v>
      </c>
      <c r="E1080" t="s">
        <v>8</v>
      </c>
      <c r="F1080">
        <v>3</v>
      </c>
      <c r="G1080" t="str">
        <f>VLOOKUP(D1080,Товары!A:I,3,0)</f>
        <v>Зеркальный шкаф Альба 80 со светильником правый цвет мята</v>
      </c>
      <c r="H1080">
        <f>VLOOKUP(D1080,Товары!A:I,6,0)</f>
        <v>75</v>
      </c>
      <c r="I1080" t="str">
        <f>VLOOKUP(C1080,Магазины!A:C,3,0)</f>
        <v>Ставрополь</v>
      </c>
      <c r="J1080">
        <f>VLOOKUP(D1080,Товары!A:I,4,0)</f>
        <v>9930</v>
      </c>
      <c r="K1080">
        <f t="shared" si="16"/>
        <v>29790</v>
      </c>
    </row>
    <row r="1081" spans="1:11" hidden="1" x14ac:dyDescent="0.25">
      <c r="A1081">
        <v>1080</v>
      </c>
      <c r="B1081" s="1">
        <v>45756</v>
      </c>
      <c r="C1081" t="s">
        <v>30</v>
      </c>
      <c r="D1081" t="s">
        <v>31</v>
      </c>
      <c r="E1081" t="s">
        <v>8</v>
      </c>
      <c r="F1081">
        <v>1</v>
      </c>
      <c r="G1081" t="str">
        <f>VLOOKUP(D1081,Товары!A:I,3,0)</f>
        <v>Пенал напол. Виктория 350 белый 2 двери</v>
      </c>
      <c r="H1081">
        <f>VLOOKUP(D1081,Товары!A:I,6,0)</f>
        <v>190</v>
      </c>
      <c r="I1081" t="str">
        <f>VLOOKUP(C1081,Магазины!A:C,3,0)</f>
        <v>Кемерово</v>
      </c>
      <c r="J1081">
        <f>VLOOKUP(D1081,Товары!A:I,4,0)</f>
        <v>14085</v>
      </c>
      <c r="K1081">
        <f t="shared" si="16"/>
        <v>14085</v>
      </c>
    </row>
    <row r="1082" spans="1:11" hidden="1" x14ac:dyDescent="0.25">
      <c r="A1082">
        <v>1081</v>
      </c>
      <c r="B1082" s="1">
        <v>45752</v>
      </c>
      <c r="C1082" t="s">
        <v>11</v>
      </c>
      <c r="D1082" t="s">
        <v>94</v>
      </c>
      <c r="E1082" t="s">
        <v>8</v>
      </c>
      <c r="F1082">
        <v>3</v>
      </c>
      <c r="G1082" t="str">
        <f>VLOOKUP(D1082,Товары!A:I,3,0)</f>
        <v>Зеркальный шкаф Альба 80 со светильником правый цвет антрацит</v>
      </c>
      <c r="H1082">
        <f>VLOOKUP(D1082,Товары!A:I,6,0)</f>
        <v>75</v>
      </c>
      <c r="I1082" t="str">
        <f>VLOOKUP(C1082,Магазины!A:C,3,0)</f>
        <v>Кемерово</v>
      </c>
      <c r="J1082">
        <f>VLOOKUP(D1082,Товары!A:I,4,0)</f>
        <v>9930</v>
      </c>
      <c r="K1082">
        <f t="shared" si="16"/>
        <v>29790</v>
      </c>
    </row>
    <row r="1083" spans="1:11" hidden="1" x14ac:dyDescent="0.25">
      <c r="A1083">
        <v>1082</v>
      </c>
      <c r="B1083" s="1">
        <v>45749</v>
      </c>
      <c r="C1083" t="s">
        <v>30</v>
      </c>
      <c r="D1083" t="s">
        <v>107</v>
      </c>
      <c r="E1083" t="s">
        <v>13</v>
      </c>
      <c r="F1083">
        <v>1</v>
      </c>
      <c r="G1083" t="str">
        <f>VLOOKUP(D1083,Товары!A:I,3,0)</f>
        <v>Комод Аква 35 напольный 1 дверь белый правый</v>
      </c>
      <c r="H1083">
        <f>VLOOKUP(D1083,Товары!A:I,6,0)</f>
        <v>90</v>
      </c>
      <c r="I1083" t="str">
        <f>VLOOKUP(C1083,Магазины!A:C,3,0)</f>
        <v>Кемерово</v>
      </c>
      <c r="J1083">
        <f>VLOOKUP(D1083,Товары!A:I,4,0)</f>
        <v>6705</v>
      </c>
      <c r="K1083">
        <f t="shared" si="16"/>
        <v>6705</v>
      </c>
    </row>
    <row r="1084" spans="1:11" hidden="1" x14ac:dyDescent="0.25">
      <c r="A1084">
        <v>1083</v>
      </c>
      <c r="B1084" s="1">
        <v>45752</v>
      </c>
      <c r="C1084" t="s">
        <v>103</v>
      </c>
      <c r="D1084" t="s">
        <v>25</v>
      </c>
      <c r="E1084" t="s">
        <v>8</v>
      </c>
      <c r="F1084">
        <v>3</v>
      </c>
      <c r="G1084" t="str">
        <f>VLOOKUP(D1084,Товары!A:I,3,0)</f>
        <v>Пенал напол. Леон 400 оникс 2 двери + 1 ящик</v>
      </c>
      <c r="H1084">
        <f>VLOOKUP(D1084,Товары!A:I,6,0)</f>
        <v>190</v>
      </c>
      <c r="I1084" t="str">
        <f>VLOOKUP(C1084,Магазины!A:C,3,0)</f>
        <v>Ставрополь</v>
      </c>
      <c r="J1084">
        <f>VLOOKUP(D1084,Товары!A:I,4,0)</f>
        <v>18450</v>
      </c>
      <c r="K1084">
        <f t="shared" si="16"/>
        <v>55350</v>
      </c>
    </row>
    <row r="1085" spans="1:11" hidden="1" x14ac:dyDescent="0.25">
      <c r="A1085">
        <v>1084</v>
      </c>
      <c r="B1085" s="1">
        <v>45751</v>
      </c>
      <c r="C1085" t="s">
        <v>57</v>
      </c>
      <c r="D1085" t="s">
        <v>72</v>
      </c>
      <c r="E1085" t="s">
        <v>13</v>
      </c>
      <c r="F1085">
        <v>2</v>
      </c>
      <c r="G1085" t="str">
        <f>VLOOKUP(D1085,Товары!A:I,3,0)</f>
        <v>Тумба с раковиной  напол. Сохо 600 белый 2 ящика с умыв. Океан</v>
      </c>
      <c r="H1085">
        <f>VLOOKUP(D1085,Товары!A:I,6,0)</f>
        <v>85</v>
      </c>
      <c r="I1085" t="str">
        <f>VLOOKUP(C1085,Магазины!A:C,3,0)</f>
        <v>Оренбург</v>
      </c>
      <c r="J1085">
        <f>VLOOKUP(D1085,Товары!A:I,4,0)</f>
        <v>16140</v>
      </c>
      <c r="K1085">
        <f t="shared" si="16"/>
        <v>32280</v>
      </c>
    </row>
    <row r="1086" spans="1:11" hidden="1" x14ac:dyDescent="0.25">
      <c r="A1086">
        <v>1085</v>
      </c>
      <c r="B1086" s="1">
        <v>45749</v>
      </c>
      <c r="C1086" t="s">
        <v>22</v>
      </c>
      <c r="D1086" t="s">
        <v>94</v>
      </c>
      <c r="E1086" t="s">
        <v>8</v>
      </c>
      <c r="F1086">
        <v>1</v>
      </c>
      <c r="G1086" t="str">
        <f>VLOOKUP(D1086,Товары!A:I,3,0)</f>
        <v>Зеркальный шкаф Альба 80 со светильником правый цвет антрацит</v>
      </c>
      <c r="H1086">
        <f>VLOOKUP(D1086,Товары!A:I,6,0)</f>
        <v>75</v>
      </c>
      <c r="I1086" t="str">
        <f>VLOOKUP(C1086,Магазины!A:C,3,0)</f>
        <v>Кемерово</v>
      </c>
      <c r="J1086">
        <f>VLOOKUP(D1086,Товары!A:I,4,0)</f>
        <v>9930</v>
      </c>
      <c r="K1086">
        <f t="shared" si="16"/>
        <v>9930</v>
      </c>
    </row>
    <row r="1087" spans="1:11" hidden="1" x14ac:dyDescent="0.25">
      <c r="A1087">
        <v>1086</v>
      </c>
      <c r="B1087" s="1">
        <v>45754</v>
      </c>
      <c r="C1087" t="s">
        <v>30</v>
      </c>
      <c r="D1087" t="s">
        <v>120</v>
      </c>
      <c r="E1087" t="s">
        <v>8</v>
      </c>
      <c r="F1087">
        <v>2</v>
      </c>
      <c r="G1087" t="str">
        <f>VLOOKUP(D1087,Товары!A:I,3,0)</f>
        <v>Зеркальный шкаф Альба 60 со светильником правый цвет антрацит</v>
      </c>
      <c r="H1087">
        <f>VLOOKUP(D1087,Товары!A:I,6,0)</f>
        <v>75</v>
      </c>
      <c r="I1087" t="str">
        <f>VLOOKUP(C1087,Магазины!A:C,3,0)</f>
        <v>Кемерово</v>
      </c>
      <c r="J1087">
        <f>VLOOKUP(D1087,Товары!A:I,4,0)</f>
        <v>8910</v>
      </c>
      <c r="K1087">
        <f t="shared" si="16"/>
        <v>17820</v>
      </c>
    </row>
    <row r="1088" spans="1:11" hidden="1" x14ac:dyDescent="0.25">
      <c r="A1088">
        <v>1087</v>
      </c>
      <c r="B1088" s="1">
        <v>45748</v>
      </c>
      <c r="C1088" t="s">
        <v>35</v>
      </c>
      <c r="D1088" t="s">
        <v>125</v>
      </c>
      <c r="E1088" t="s">
        <v>13</v>
      </c>
      <c r="F1088">
        <v>3</v>
      </c>
      <c r="G1088" t="str">
        <f>VLOOKUP(D1088,Товары!A:I,3,0)</f>
        <v>Зеркальный шкаф Сохо 60 белый со светильником правый цвет Белый глянец</v>
      </c>
      <c r="H1088">
        <f>VLOOKUP(D1088,Товары!A:I,6,0)</f>
        <v>75</v>
      </c>
      <c r="I1088" t="str">
        <f>VLOOKUP(C1088,Магазины!A:C,3,0)</f>
        <v>Набережные Челны</v>
      </c>
      <c r="J1088">
        <f>VLOOKUP(D1088,Товары!A:I,4,0)</f>
        <v>7395</v>
      </c>
      <c r="K1088">
        <f t="shared" si="16"/>
        <v>22185</v>
      </c>
    </row>
    <row r="1089" spans="1:11" hidden="1" x14ac:dyDescent="0.25">
      <c r="A1089">
        <v>1088</v>
      </c>
      <c r="B1089" s="1">
        <v>45750</v>
      </c>
      <c r="C1089" t="s">
        <v>6</v>
      </c>
      <c r="D1089" t="s">
        <v>95</v>
      </c>
      <c r="E1089" t="s">
        <v>8</v>
      </c>
      <c r="F1089">
        <v>2</v>
      </c>
      <c r="G1089" t="str">
        <f>VLOOKUP(D1089,Товары!A:I,3,0)</f>
        <v>Тумба с раковиной  напол. Рица 600 антрацит 2 ящика с умыв. Океан</v>
      </c>
      <c r="H1089">
        <f>VLOOKUP(D1089,Товары!A:I,6,0)</f>
        <v>80</v>
      </c>
      <c r="I1089" t="str">
        <f>VLOOKUP(C1089,Магазины!A:C,3,0)</f>
        <v>Оренбург</v>
      </c>
      <c r="J1089">
        <f>VLOOKUP(D1089,Товары!A:I,4,0)</f>
        <v>25560</v>
      </c>
      <c r="K1089">
        <f t="shared" si="16"/>
        <v>51120</v>
      </c>
    </row>
    <row r="1090" spans="1:11" hidden="1" x14ac:dyDescent="0.25">
      <c r="A1090">
        <v>1089</v>
      </c>
      <c r="B1090" s="1">
        <v>45748</v>
      </c>
      <c r="C1090" t="s">
        <v>57</v>
      </c>
      <c r="D1090" t="s">
        <v>44</v>
      </c>
      <c r="E1090" t="s">
        <v>8</v>
      </c>
      <c r="F1090">
        <v>1</v>
      </c>
      <c r="G1090" t="str">
        <f>VLOOKUP(D1090,Товары!A:I,3,0)</f>
        <v>Тумба с раковиной  навес. Кристалл 800 шато азур 2 ящика с умыв. Комфорт</v>
      </c>
      <c r="H1090">
        <f>VLOOKUP(D1090,Товары!A:I,6,0)</f>
        <v>55</v>
      </c>
      <c r="I1090" t="str">
        <f>VLOOKUP(C1090,Магазины!A:C,3,0)</f>
        <v>Оренбург</v>
      </c>
      <c r="J1090">
        <f>VLOOKUP(D1090,Товары!A:I,4,0)</f>
        <v>25080</v>
      </c>
      <c r="K1090">
        <f t="shared" si="16"/>
        <v>25080</v>
      </c>
    </row>
    <row r="1091" spans="1:11" hidden="1" x14ac:dyDescent="0.25">
      <c r="A1091">
        <v>1090</v>
      </c>
      <c r="B1091" s="1">
        <v>45750</v>
      </c>
      <c r="C1091" t="s">
        <v>16</v>
      </c>
      <c r="D1091" t="s">
        <v>37</v>
      </c>
      <c r="E1091" t="s">
        <v>8</v>
      </c>
      <c r="F1091">
        <v>1</v>
      </c>
      <c r="G1091" t="str">
        <f>VLOOKUP(D1091,Товары!A:I,3,0)</f>
        <v>Зеркальный шкаф Сохо 70 белый со светильником правый цвет Белый глянец</v>
      </c>
      <c r="H1091">
        <f>VLOOKUP(D1091,Товары!A:I,6,0)</f>
        <v>75</v>
      </c>
      <c r="I1091" t="str">
        <f>VLOOKUP(C1091,Магазины!A:C,3,0)</f>
        <v>Оренбург</v>
      </c>
      <c r="J1091">
        <f>VLOOKUP(D1091,Товары!A:I,4,0)</f>
        <v>7935</v>
      </c>
      <c r="K1091">
        <f t="shared" ref="K1091:K1154" si="17">J1091*F1091</f>
        <v>7935</v>
      </c>
    </row>
    <row r="1092" spans="1:11" hidden="1" x14ac:dyDescent="0.25">
      <c r="A1092">
        <v>1091</v>
      </c>
      <c r="B1092" s="1">
        <v>45752</v>
      </c>
      <c r="C1092" t="s">
        <v>92</v>
      </c>
      <c r="D1092" t="s">
        <v>115</v>
      </c>
      <c r="E1092" t="s">
        <v>8</v>
      </c>
      <c r="F1092">
        <v>3</v>
      </c>
      <c r="G1092" t="str">
        <f>VLOOKUP(D1092,Товары!A:I,3,0)</f>
        <v>Тумба под стиральную машину Куба Риф 57 напольная 2 ящика под ст/маш, без умывальника /под Marshall 120 Белый</v>
      </c>
      <c r="H1092">
        <f>VLOOKUP(D1092,Товары!A:I,6,0)</f>
        <v>85</v>
      </c>
      <c r="I1092" t="str">
        <f>VLOOKUP(C1092,Магазины!A:C,3,0)</f>
        <v>Кемерово</v>
      </c>
      <c r="J1092">
        <f>VLOOKUP(D1092,Товары!A:I,4,0)</f>
        <v>10530</v>
      </c>
      <c r="K1092">
        <f t="shared" si="17"/>
        <v>31590</v>
      </c>
    </row>
    <row r="1093" spans="1:11" hidden="1" x14ac:dyDescent="0.25">
      <c r="A1093">
        <v>1092</v>
      </c>
      <c r="B1093" s="1">
        <v>45755</v>
      </c>
      <c r="C1093" t="s">
        <v>9</v>
      </c>
      <c r="D1093" t="s">
        <v>126</v>
      </c>
      <c r="E1093" t="s">
        <v>13</v>
      </c>
      <c r="F1093">
        <v>3</v>
      </c>
      <c r="G1093" t="str">
        <f>VLOOKUP(D1093,Товары!A:I,3,0)</f>
        <v>Тумба с раковиной  напол. Кристалл 800 шато азур 2 ящика с умыв. Комфорт</v>
      </c>
      <c r="H1093">
        <f>VLOOKUP(D1093,Товары!A:I,6,0)</f>
        <v>85</v>
      </c>
      <c r="I1093" t="str">
        <f>VLOOKUP(C1093,Магазины!A:C,3,0)</f>
        <v>Кемерово</v>
      </c>
      <c r="J1093">
        <f>VLOOKUP(D1093,Товары!A:I,4,0)</f>
        <v>31125</v>
      </c>
      <c r="K1093">
        <f t="shared" si="17"/>
        <v>93375</v>
      </c>
    </row>
    <row r="1094" spans="1:11" hidden="1" x14ac:dyDescent="0.25">
      <c r="A1094">
        <v>1093</v>
      </c>
      <c r="B1094" s="1">
        <v>45756</v>
      </c>
      <c r="C1094" t="s">
        <v>54</v>
      </c>
      <c r="D1094" t="s">
        <v>52</v>
      </c>
      <c r="E1094" t="s">
        <v>13</v>
      </c>
      <c r="F1094">
        <v>3</v>
      </c>
      <c r="G1094" t="str">
        <f>VLOOKUP(D1094,Товары!A:I,3,0)</f>
        <v>Тумба с раковиной  напол. Кристалл 600 суфле 2 ящика с умыв. Океан</v>
      </c>
      <c r="H1094">
        <f>VLOOKUP(D1094,Товары!A:I,6,0)</f>
        <v>80</v>
      </c>
      <c r="I1094" t="str">
        <f>VLOOKUP(C1094,Магазины!A:C,3,0)</f>
        <v>Ставрополь</v>
      </c>
      <c r="J1094">
        <f>VLOOKUP(D1094,Товары!A:I,4,0)</f>
        <v>27600</v>
      </c>
      <c r="K1094">
        <f t="shared" si="17"/>
        <v>82800</v>
      </c>
    </row>
    <row r="1095" spans="1:11" hidden="1" x14ac:dyDescent="0.25">
      <c r="A1095">
        <v>1094</v>
      </c>
      <c r="B1095" s="1">
        <v>45755</v>
      </c>
      <c r="C1095" t="s">
        <v>33</v>
      </c>
      <c r="D1095" t="s">
        <v>56</v>
      </c>
      <c r="E1095" t="s">
        <v>13</v>
      </c>
      <c r="F1095">
        <v>3</v>
      </c>
      <c r="G1095" t="str">
        <f>VLOOKUP(D1095,Товары!A:I,3,0)</f>
        <v>Зеркальный шкаф Альба 80 со светильником правый цвет мята</v>
      </c>
      <c r="H1095">
        <f>VLOOKUP(D1095,Товары!A:I,6,0)</f>
        <v>75</v>
      </c>
      <c r="I1095" t="str">
        <f>VLOOKUP(C1095,Магазины!A:C,3,0)</f>
        <v>Набережные Челны</v>
      </c>
      <c r="J1095">
        <f>VLOOKUP(D1095,Товары!A:I,4,0)</f>
        <v>9930</v>
      </c>
      <c r="K1095">
        <f t="shared" si="17"/>
        <v>29790</v>
      </c>
    </row>
    <row r="1096" spans="1:11" hidden="1" x14ac:dyDescent="0.25">
      <c r="A1096">
        <v>1095</v>
      </c>
      <c r="B1096" s="1">
        <v>45752</v>
      </c>
      <c r="C1096" t="s">
        <v>54</v>
      </c>
      <c r="D1096" t="s">
        <v>89</v>
      </c>
      <c r="E1096" t="s">
        <v>8</v>
      </c>
      <c r="F1096">
        <v>2</v>
      </c>
      <c r="G1096" t="str">
        <f>VLOOKUP(D1096,Товары!A:I,3,0)</f>
        <v>Тумба с раковиной  напол. Сохо 600 белый 2 двери с умыв. Океан</v>
      </c>
      <c r="H1096">
        <f>VLOOKUP(D1096,Товары!A:I,6,0)</f>
        <v>85</v>
      </c>
      <c r="I1096" t="str">
        <f>VLOOKUP(C1096,Магазины!A:C,3,0)</f>
        <v>Ставрополь</v>
      </c>
      <c r="J1096">
        <f>VLOOKUP(D1096,Товары!A:I,4,0)</f>
        <v>14880</v>
      </c>
      <c r="K1096">
        <f t="shared" si="17"/>
        <v>29760</v>
      </c>
    </row>
    <row r="1097" spans="1:11" hidden="1" x14ac:dyDescent="0.25">
      <c r="A1097">
        <v>1096</v>
      </c>
      <c r="B1097" s="1">
        <v>45757</v>
      </c>
      <c r="C1097" t="s">
        <v>20</v>
      </c>
      <c r="D1097" t="s">
        <v>51</v>
      </c>
      <c r="E1097" t="s">
        <v>8</v>
      </c>
      <c r="F1097">
        <v>1</v>
      </c>
      <c r="G1097" t="str">
        <f>VLOOKUP(D1097,Товары!A:I,3,0)</f>
        <v>Зеркальный шкаф Альба 80 со светильником правый цвет суфле</v>
      </c>
      <c r="H1097">
        <f>VLOOKUP(D1097,Товары!A:I,6,0)</f>
        <v>75</v>
      </c>
      <c r="I1097" t="str">
        <f>VLOOKUP(C1097,Магазины!A:C,3,0)</f>
        <v>Оренбург</v>
      </c>
      <c r="J1097">
        <f>VLOOKUP(D1097,Товары!A:I,4,0)</f>
        <v>9930</v>
      </c>
      <c r="K1097">
        <f t="shared" si="17"/>
        <v>9930</v>
      </c>
    </row>
    <row r="1098" spans="1:11" hidden="1" x14ac:dyDescent="0.25">
      <c r="A1098">
        <v>1097</v>
      </c>
      <c r="B1098" s="1">
        <v>45749</v>
      </c>
      <c r="C1098" t="s">
        <v>35</v>
      </c>
      <c r="D1098" t="s">
        <v>104</v>
      </c>
      <c r="E1098" t="s">
        <v>13</v>
      </c>
      <c r="F1098">
        <v>1</v>
      </c>
      <c r="G1098" t="str">
        <f>VLOOKUP(D1098,Товары!A:I,3,0)</f>
        <v>Тумба под стиральную машину Куба Риф 57 подвесная 2 ящика под ст/маш, без умывальника /под Marshall 120 Белый</v>
      </c>
      <c r="H1098">
        <f>VLOOKUP(D1098,Товары!A:I,6,0)</f>
        <v>50</v>
      </c>
      <c r="I1098" t="str">
        <f>VLOOKUP(C1098,Магазины!A:C,3,0)</f>
        <v>Набережные Челны</v>
      </c>
      <c r="J1098">
        <f>VLOOKUP(D1098,Товары!A:I,4,0)</f>
        <v>8505</v>
      </c>
      <c r="K1098">
        <f t="shared" si="17"/>
        <v>8505</v>
      </c>
    </row>
    <row r="1099" spans="1:11" hidden="1" x14ac:dyDescent="0.25">
      <c r="A1099">
        <v>1098</v>
      </c>
      <c r="B1099" s="1">
        <v>45752</v>
      </c>
      <c r="C1099" t="s">
        <v>18</v>
      </c>
      <c r="D1099" t="s">
        <v>124</v>
      </c>
      <c r="E1099" t="s">
        <v>13</v>
      </c>
      <c r="F1099">
        <v>1</v>
      </c>
      <c r="G1099" t="str">
        <f>VLOOKUP(D1099,Товары!A:I,3,0)</f>
        <v>Тумба с раковиной  напол. Леон 600 оникс 2 ящика с умыв. Океан</v>
      </c>
      <c r="H1099">
        <f>VLOOKUP(D1099,Товары!A:I,6,0)</f>
        <v>80</v>
      </c>
      <c r="I1099" t="str">
        <f>VLOOKUP(C1099,Магазины!A:C,3,0)</f>
        <v>Набережные Челны</v>
      </c>
      <c r="J1099">
        <f>VLOOKUP(D1099,Товары!A:I,4,0)</f>
        <v>25860</v>
      </c>
      <c r="K1099">
        <f t="shared" si="17"/>
        <v>25860</v>
      </c>
    </row>
    <row r="1100" spans="1:11" hidden="1" x14ac:dyDescent="0.25">
      <c r="A1100">
        <v>1099</v>
      </c>
      <c r="B1100" s="1">
        <v>45751</v>
      </c>
      <c r="C1100" t="s">
        <v>20</v>
      </c>
      <c r="D1100" t="s">
        <v>34</v>
      </c>
      <c r="E1100" t="s">
        <v>8</v>
      </c>
      <c r="F1100">
        <v>2</v>
      </c>
      <c r="G1100" t="str">
        <f>VLOOKUP(D1100,Товары!A:I,3,0)</f>
        <v>Тумба с раковиной  навес. Леон 700 форест 2 ящика с умыв. Слим</v>
      </c>
      <c r="H1100">
        <f>VLOOKUP(D1100,Товары!A:I,6,0)</f>
        <v>60</v>
      </c>
      <c r="I1100" t="str">
        <f>VLOOKUP(C1100,Магазины!A:C,3,0)</f>
        <v>Оренбург</v>
      </c>
      <c r="J1100">
        <f>VLOOKUP(D1100,Товары!A:I,4,0)</f>
        <v>26220</v>
      </c>
      <c r="K1100">
        <f t="shared" si="17"/>
        <v>52440</v>
      </c>
    </row>
    <row r="1101" spans="1:11" hidden="1" x14ac:dyDescent="0.25">
      <c r="A1101">
        <v>1100</v>
      </c>
      <c r="B1101" s="1">
        <v>45749</v>
      </c>
      <c r="C1101" t="s">
        <v>58</v>
      </c>
      <c r="D1101" t="s">
        <v>67</v>
      </c>
      <c r="E1101" t="s">
        <v>8</v>
      </c>
      <c r="F1101">
        <v>3</v>
      </c>
      <c r="G1101" t="str">
        <f>VLOOKUP(D1101,Товары!A:I,3,0)</f>
        <v>Пенал навес./напол. Альба 350 суфле 2 двери</v>
      </c>
      <c r="H1101">
        <f>VLOOKUP(D1101,Товары!A:I,6,0)</f>
        <v>150</v>
      </c>
      <c r="I1101" t="str">
        <f>VLOOKUP(C1101,Магазины!A:C,3,0)</f>
        <v>Ставрополь</v>
      </c>
      <c r="J1101">
        <f>VLOOKUP(D1101,Товары!A:I,4,0)</f>
        <v>11655</v>
      </c>
      <c r="K1101">
        <f t="shared" si="17"/>
        <v>34965</v>
      </c>
    </row>
    <row r="1102" spans="1:11" hidden="1" x14ac:dyDescent="0.25">
      <c r="A1102">
        <v>1101</v>
      </c>
      <c r="B1102" s="1">
        <v>45748</v>
      </c>
      <c r="C1102" t="s">
        <v>30</v>
      </c>
      <c r="D1102" t="s">
        <v>105</v>
      </c>
      <c r="E1102" t="s">
        <v>13</v>
      </c>
      <c r="F1102">
        <v>1</v>
      </c>
      <c r="G1102" t="str">
        <f>VLOOKUP(D1102,Товары!A:I,3,0)</f>
        <v>Тумба с раковиной  напол. Нева 600 белый 2 двери + 1 ящик с умыв. Como</v>
      </c>
      <c r="H1102">
        <f>VLOOKUP(D1102,Товары!A:I,6,0)</f>
        <v>80</v>
      </c>
      <c r="I1102" t="str">
        <f>VLOOKUP(C1102,Магазины!A:C,3,0)</f>
        <v>Кемерово</v>
      </c>
      <c r="J1102">
        <f>VLOOKUP(D1102,Товары!A:I,4,0)</f>
        <v>13470</v>
      </c>
      <c r="K1102">
        <f t="shared" si="17"/>
        <v>13470</v>
      </c>
    </row>
    <row r="1103" spans="1:11" hidden="1" x14ac:dyDescent="0.25">
      <c r="A1103">
        <v>1102</v>
      </c>
      <c r="B1103" s="1">
        <v>45756</v>
      </c>
      <c r="C1103" t="s">
        <v>58</v>
      </c>
      <c r="D1103" t="s">
        <v>81</v>
      </c>
      <c r="E1103" t="s">
        <v>8</v>
      </c>
      <c r="F1103">
        <v>1</v>
      </c>
      <c r="G1103" t="str">
        <f>VLOOKUP(D1103,Товары!A:I,3,0)</f>
        <v>Тумба с раковиной  навес. Рица 600 cерый/керамика 1 ящик + ниша 1 с умыв. Океан</v>
      </c>
      <c r="H1103">
        <f>VLOOKUP(D1103,Товары!A:I,6,0)</f>
        <v>60</v>
      </c>
      <c r="I1103" t="str">
        <f>VLOOKUP(C1103,Магазины!A:C,3,0)</f>
        <v>Ставрополь</v>
      </c>
      <c r="J1103">
        <f>VLOOKUP(D1103,Товары!A:I,4,0)</f>
        <v>18900</v>
      </c>
      <c r="K1103">
        <f t="shared" si="17"/>
        <v>18900</v>
      </c>
    </row>
    <row r="1104" spans="1:11" hidden="1" x14ac:dyDescent="0.25">
      <c r="A1104">
        <v>1103</v>
      </c>
      <c r="B1104" s="1">
        <v>45749</v>
      </c>
      <c r="C1104" t="s">
        <v>41</v>
      </c>
      <c r="D1104" t="s">
        <v>112</v>
      </c>
      <c r="E1104" t="s">
        <v>8</v>
      </c>
      <c r="F1104">
        <v>2</v>
      </c>
      <c r="G1104" t="str">
        <f>VLOOKUP(D1104,Товары!A:I,3,0)</f>
        <v>Тумба с раковиной  напол. Аква 560 белый 2 двери с умыв. Уют</v>
      </c>
      <c r="H1104">
        <f>VLOOKUP(D1104,Товары!A:I,6,0)</f>
        <v>85</v>
      </c>
      <c r="I1104" t="str">
        <f>VLOOKUP(C1104,Магазины!A:C,3,0)</f>
        <v>Ставрополь</v>
      </c>
      <c r="J1104">
        <f>VLOOKUP(D1104,Товары!A:I,4,0)</f>
        <v>9330</v>
      </c>
      <c r="K1104">
        <f t="shared" si="17"/>
        <v>18660</v>
      </c>
    </row>
    <row r="1105" spans="1:11" hidden="1" x14ac:dyDescent="0.25">
      <c r="A1105">
        <v>1104</v>
      </c>
      <c r="B1105" s="1">
        <v>45749</v>
      </c>
      <c r="C1105" t="s">
        <v>16</v>
      </c>
      <c r="D1105" t="s">
        <v>90</v>
      </c>
      <c r="E1105" t="s">
        <v>13</v>
      </c>
      <c r="F1105">
        <v>2</v>
      </c>
      <c r="G1105" t="str">
        <f>VLOOKUP(D1105,Товары!A:I,3,0)</f>
        <v>Пенал напол. Аква 350 белый 2 двери + 2 ящика</v>
      </c>
      <c r="H1105">
        <f>VLOOKUP(D1105,Товары!A:I,6,0)</f>
        <v>190</v>
      </c>
      <c r="I1105" t="str">
        <f>VLOOKUP(C1105,Магазины!A:C,3,0)</f>
        <v>Оренбург</v>
      </c>
      <c r="J1105">
        <f>VLOOKUP(D1105,Товары!A:I,4,0)</f>
        <v>10650</v>
      </c>
      <c r="K1105">
        <f t="shared" si="17"/>
        <v>21300</v>
      </c>
    </row>
    <row r="1106" spans="1:11" hidden="1" x14ac:dyDescent="0.25">
      <c r="A1106">
        <v>1105</v>
      </c>
      <c r="B1106" s="1">
        <v>45755</v>
      </c>
      <c r="C1106" t="s">
        <v>54</v>
      </c>
      <c r="D1106" t="s">
        <v>21</v>
      </c>
      <c r="E1106" t="s">
        <v>13</v>
      </c>
      <c r="F1106">
        <v>3</v>
      </c>
      <c r="G1106" t="str">
        <f>VLOOKUP(D1106,Товары!A:I,3,0)</f>
        <v>Зеркальный шкаф Рица 60 со светильником правый цвет cерый/керамика</v>
      </c>
      <c r="H1106">
        <f>VLOOKUP(D1106,Товары!A:I,6,0)</f>
        <v>75</v>
      </c>
      <c r="I1106" t="str">
        <f>VLOOKUP(C1106,Магазины!A:C,3,0)</f>
        <v>Ставрополь</v>
      </c>
      <c r="J1106">
        <f>VLOOKUP(D1106,Товары!A:I,4,0)</f>
        <v>8910</v>
      </c>
      <c r="K1106">
        <f t="shared" si="17"/>
        <v>26730</v>
      </c>
    </row>
    <row r="1107" spans="1:11" hidden="1" x14ac:dyDescent="0.25">
      <c r="A1107">
        <v>1106</v>
      </c>
      <c r="B1107" s="1">
        <v>45757</v>
      </c>
      <c r="C1107" t="s">
        <v>20</v>
      </c>
      <c r="D1107" t="s">
        <v>88</v>
      </c>
      <c r="E1107" t="s">
        <v>13</v>
      </c>
      <c r="F1107">
        <v>1</v>
      </c>
      <c r="G1107" t="str">
        <f>VLOOKUP(D1107,Товары!A:I,3,0)</f>
        <v>Тумба с раковиной  навес. Альба 800 антрацит 2 ящика с умыв. Слим</v>
      </c>
      <c r="H1107">
        <f>VLOOKUP(D1107,Товары!A:I,6,0)</f>
        <v>50</v>
      </c>
      <c r="I1107" t="str">
        <f>VLOOKUP(C1107,Магазины!A:C,3,0)</f>
        <v>Оренбург</v>
      </c>
      <c r="J1107">
        <f>VLOOKUP(D1107,Товары!A:I,4,0)</f>
        <v>26070</v>
      </c>
      <c r="K1107">
        <f t="shared" si="17"/>
        <v>26070</v>
      </c>
    </row>
    <row r="1108" spans="1:11" hidden="1" x14ac:dyDescent="0.25">
      <c r="A1108">
        <v>1107</v>
      </c>
      <c r="B1108" s="1">
        <v>45749</v>
      </c>
      <c r="C1108" t="s">
        <v>58</v>
      </c>
      <c r="D1108" t="s">
        <v>44</v>
      </c>
      <c r="E1108" t="s">
        <v>8</v>
      </c>
      <c r="F1108">
        <v>2</v>
      </c>
      <c r="G1108" t="str">
        <f>VLOOKUP(D1108,Товары!A:I,3,0)</f>
        <v>Тумба с раковиной  навес. Кристалл 800 шато азур 2 ящика с умыв. Комфорт</v>
      </c>
      <c r="H1108">
        <f>VLOOKUP(D1108,Товары!A:I,6,0)</f>
        <v>55</v>
      </c>
      <c r="I1108" t="str">
        <f>VLOOKUP(C1108,Магазины!A:C,3,0)</f>
        <v>Ставрополь</v>
      </c>
      <c r="J1108">
        <f>VLOOKUP(D1108,Товары!A:I,4,0)</f>
        <v>25080</v>
      </c>
      <c r="K1108">
        <f t="shared" si="17"/>
        <v>50160</v>
      </c>
    </row>
    <row r="1109" spans="1:11" hidden="1" x14ac:dyDescent="0.25">
      <c r="A1109">
        <v>1108</v>
      </c>
      <c r="B1109" s="1">
        <v>45752</v>
      </c>
      <c r="C1109" t="s">
        <v>103</v>
      </c>
      <c r="D1109" t="s">
        <v>129</v>
      </c>
      <c r="E1109" t="s">
        <v>8</v>
      </c>
      <c r="F1109">
        <v>1</v>
      </c>
      <c r="G1109" t="str">
        <f>VLOOKUP(D1109,Товары!A:I,3,0)</f>
        <v>Тумба с раковиной  напол. Альба 700 антрацит 2 ящика с умыв. Слим</v>
      </c>
      <c r="H1109">
        <f>VLOOKUP(D1109,Товары!A:I,6,0)</f>
        <v>85</v>
      </c>
      <c r="I1109" t="str">
        <f>VLOOKUP(C1109,Магазины!A:C,3,0)</f>
        <v>Ставрополь</v>
      </c>
      <c r="J1109">
        <f>VLOOKUP(D1109,Товары!A:I,4,0)</f>
        <v>28695</v>
      </c>
      <c r="K1109">
        <f t="shared" si="17"/>
        <v>28695</v>
      </c>
    </row>
    <row r="1110" spans="1:11" hidden="1" x14ac:dyDescent="0.25">
      <c r="A1110">
        <v>1109</v>
      </c>
      <c r="B1110" s="1">
        <v>45753</v>
      </c>
      <c r="C1110" t="s">
        <v>30</v>
      </c>
      <c r="D1110" t="s">
        <v>36</v>
      </c>
      <c r="E1110" t="s">
        <v>8</v>
      </c>
      <c r="F1110">
        <v>2</v>
      </c>
      <c r="G1110" t="str">
        <f>VLOOKUP(D1110,Товары!A:I,3,0)</f>
        <v>Тумба с раковиной  напол. Альба 800 мята 2 ящика с умыв. Слим</v>
      </c>
      <c r="H1110">
        <f>VLOOKUP(D1110,Товары!A:I,6,0)</f>
        <v>80</v>
      </c>
      <c r="I1110" t="str">
        <f>VLOOKUP(C1110,Магазины!A:C,3,0)</f>
        <v>Кемерово</v>
      </c>
      <c r="J1110">
        <f>VLOOKUP(D1110,Товары!A:I,4,0)</f>
        <v>29340</v>
      </c>
      <c r="K1110">
        <f t="shared" si="17"/>
        <v>58680</v>
      </c>
    </row>
    <row r="1111" spans="1:11" hidden="1" x14ac:dyDescent="0.25">
      <c r="A1111">
        <v>1110</v>
      </c>
      <c r="B1111" s="1">
        <v>45750</v>
      </c>
      <c r="C1111" t="s">
        <v>41</v>
      </c>
      <c r="D1111" t="s">
        <v>46</v>
      </c>
      <c r="E1111" t="s">
        <v>8</v>
      </c>
      <c r="F1111">
        <v>3</v>
      </c>
      <c r="G1111" t="str">
        <f>VLOOKUP(D1111,Товары!A:I,3,0)</f>
        <v>Тумба с раковиной  напол. Сохо 700 белый 2 ящика с умыв. Слим</v>
      </c>
      <c r="H1111">
        <f>VLOOKUP(D1111,Товары!A:I,6,0)</f>
        <v>85</v>
      </c>
      <c r="I1111" t="str">
        <f>VLOOKUP(C1111,Магазины!A:C,3,0)</f>
        <v>Ставрополь</v>
      </c>
      <c r="J1111">
        <f>VLOOKUP(D1111,Товары!A:I,4,0)</f>
        <v>18405</v>
      </c>
      <c r="K1111">
        <f t="shared" si="17"/>
        <v>55215</v>
      </c>
    </row>
    <row r="1112" spans="1:11" hidden="1" x14ac:dyDescent="0.25">
      <c r="A1112">
        <v>1111</v>
      </c>
      <c r="B1112" s="1">
        <v>45751</v>
      </c>
      <c r="C1112" t="s">
        <v>6</v>
      </c>
      <c r="D1112" t="s">
        <v>47</v>
      </c>
      <c r="E1112" t="s">
        <v>13</v>
      </c>
      <c r="F1112">
        <v>1</v>
      </c>
      <c r="G1112" t="str">
        <f>VLOOKUP(D1112,Товары!A:I,3,0)</f>
        <v>Пенал напол. Кристалл 350 шато азур 2 двери</v>
      </c>
      <c r="H1112">
        <f>VLOOKUP(D1112,Товары!A:I,6,0)</f>
        <v>190</v>
      </c>
      <c r="I1112" t="str">
        <f>VLOOKUP(C1112,Магазины!A:C,3,0)</f>
        <v>Оренбург</v>
      </c>
      <c r="J1112">
        <f>VLOOKUP(D1112,Товары!A:I,4,0)</f>
        <v>15810</v>
      </c>
      <c r="K1112">
        <f t="shared" si="17"/>
        <v>15810</v>
      </c>
    </row>
    <row r="1113" spans="1:11" hidden="1" x14ac:dyDescent="0.25">
      <c r="A1113">
        <v>1112</v>
      </c>
      <c r="B1113" s="1">
        <v>45752</v>
      </c>
      <c r="C1113" t="s">
        <v>54</v>
      </c>
      <c r="D1113" t="s">
        <v>116</v>
      </c>
      <c r="E1113" t="s">
        <v>13</v>
      </c>
      <c r="F1113">
        <v>3</v>
      </c>
      <c r="G1113" t="str">
        <f>VLOOKUP(D1113,Товары!A:I,3,0)</f>
        <v>Зеркало Нева 60 дуб/белый со светильником</v>
      </c>
      <c r="H1113">
        <f>VLOOKUP(D1113,Товары!A:I,6,0)</f>
        <v>80</v>
      </c>
      <c r="I1113" t="str">
        <f>VLOOKUP(C1113,Магазины!A:C,3,0)</f>
        <v>Ставрополь</v>
      </c>
      <c r="J1113">
        <f>VLOOKUP(D1113,Товары!A:I,4,0)</f>
        <v>5100</v>
      </c>
      <c r="K1113">
        <f t="shared" si="17"/>
        <v>15300</v>
      </c>
    </row>
    <row r="1114" spans="1:11" hidden="1" x14ac:dyDescent="0.25">
      <c r="A1114">
        <v>1113</v>
      </c>
      <c r="B1114" s="1">
        <v>45749</v>
      </c>
      <c r="C1114" t="s">
        <v>103</v>
      </c>
      <c r="D1114" t="s">
        <v>91</v>
      </c>
      <c r="E1114" t="s">
        <v>13</v>
      </c>
      <c r="F1114">
        <v>3</v>
      </c>
      <c r="G1114" t="str">
        <f>VLOOKUP(D1114,Товары!A:I,3,0)</f>
        <v>Пенал навес./напол. Альба 350 мята 2 двери</v>
      </c>
      <c r="H1114">
        <f>VLOOKUP(D1114,Товары!A:I,6,0)</f>
        <v>150</v>
      </c>
      <c r="I1114" t="str">
        <f>VLOOKUP(C1114,Магазины!A:C,3,0)</f>
        <v>Ставрополь</v>
      </c>
      <c r="J1114">
        <f>VLOOKUP(D1114,Товары!A:I,4,0)</f>
        <v>11655</v>
      </c>
      <c r="K1114">
        <f t="shared" si="17"/>
        <v>34965</v>
      </c>
    </row>
    <row r="1115" spans="1:11" hidden="1" x14ac:dyDescent="0.25">
      <c r="A1115">
        <v>1114</v>
      </c>
      <c r="B1115" s="1">
        <v>45754</v>
      </c>
      <c r="C1115" t="s">
        <v>63</v>
      </c>
      <c r="D1115" t="s">
        <v>27</v>
      </c>
      <c r="E1115" t="s">
        <v>13</v>
      </c>
      <c r="F1115">
        <v>3</v>
      </c>
      <c r="G1115" t="str">
        <f>VLOOKUP(D1115,Товары!A:I,3,0)</f>
        <v>Тумба с раковиной  навес. Виктория 800 белый 2 ящика с умыв. Слим</v>
      </c>
      <c r="H1115">
        <f>VLOOKUP(D1115,Товары!A:I,6,0)</f>
        <v>60</v>
      </c>
      <c r="I1115" t="str">
        <f>VLOOKUP(C1115,Магазины!A:C,3,0)</f>
        <v>Ставрополь</v>
      </c>
      <c r="J1115">
        <f>VLOOKUP(D1115,Товары!A:I,4,0)</f>
        <v>25290</v>
      </c>
      <c r="K1115">
        <f t="shared" si="17"/>
        <v>75870</v>
      </c>
    </row>
    <row r="1116" spans="1:11" hidden="1" x14ac:dyDescent="0.25">
      <c r="A1116">
        <v>1115</v>
      </c>
      <c r="B1116" s="1">
        <v>45753</v>
      </c>
      <c r="C1116" t="s">
        <v>22</v>
      </c>
      <c r="D1116" t="s">
        <v>55</v>
      </c>
      <c r="E1116" t="s">
        <v>13</v>
      </c>
      <c r="F1116">
        <v>1</v>
      </c>
      <c r="G1116" t="str">
        <f>VLOOKUP(D1116,Товары!A:I,3,0)</f>
        <v>Тумба с раковиной  напол. Рица 600 cерый/керамика 2 ящика с умыв. Океан</v>
      </c>
      <c r="H1116">
        <f>VLOOKUP(D1116,Товары!A:I,6,0)</f>
        <v>80</v>
      </c>
      <c r="I1116" t="str">
        <f>VLOOKUP(C1116,Магазины!A:C,3,0)</f>
        <v>Кемерово</v>
      </c>
      <c r="J1116">
        <f>VLOOKUP(D1116,Товары!A:I,4,0)</f>
        <v>25560</v>
      </c>
      <c r="K1116">
        <f t="shared" si="17"/>
        <v>25560</v>
      </c>
    </row>
    <row r="1117" spans="1:11" hidden="1" x14ac:dyDescent="0.25">
      <c r="A1117">
        <v>1116</v>
      </c>
      <c r="B1117" s="1">
        <v>45757</v>
      </c>
      <c r="C1117" t="s">
        <v>33</v>
      </c>
      <c r="D1117" t="s">
        <v>115</v>
      </c>
      <c r="E1117" t="s">
        <v>8</v>
      </c>
      <c r="F1117">
        <v>3</v>
      </c>
      <c r="G1117" t="str">
        <f>VLOOKUP(D1117,Товары!A:I,3,0)</f>
        <v>Тумба под стиральную машину Куба Риф 57 напольная 2 ящика под ст/маш, без умывальника /под Marshall 120 Белый</v>
      </c>
      <c r="H1117">
        <f>VLOOKUP(D1117,Товары!A:I,6,0)</f>
        <v>85</v>
      </c>
      <c r="I1117" t="str">
        <f>VLOOKUP(C1117,Магазины!A:C,3,0)</f>
        <v>Набережные Челны</v>
      </c>
      <c r="J1117">
        <f>VLOOKUP(D1117,Товары!A:I,4,0)</f>
        <v>10530</v>
      </c>
      <c r="K1117">
        <f t="shared" si="17"/>
        <v>31590</v>
      </c>
    </row>
    <row r="1118" spans="1:11" hidden="1" x14ac:dyDescent="0.25">
      <c r="A1118">
        <v>1117</v>
      </c>
      <c r="B1118" s="1">
        <v>45752</v>
      </c>
      <c r="C1118" t="s">
        <v>28</v>
      </c>
      <c r="D1118" t="s">
        <v>37</v>
      </c>
      <c r="E1118" t="s">
        <v>8</v>
      </c>
      <c r="F1118">
        <v>3</v>
      </c>
      <c r="G1118" t="str">
        <f>VLOOKUP(D1118,Товары!A:I,3,0)</f>
        <v>Зеркальный шкаф Сохо 70 белый со светильником правый цвет Белый глянец</v>
      </c>
      <c r="H1118">
        <f>VLOOKUP(D1118,Товары!A:I,6,0)</f>
        <v>75</v>
      </c>
      <c r="I1118" t="str">
        <f>VLOOKUP(C1118,Магазины!A:C,3,0)</f>
        <v>Набережные Челны</v>
      </c>
      <c r="J1118">
        <f>VLOOKUP(D1118,Товары!A:I,4,0)</f>
        <v>7935</v>
      </c>
      <c r="K1118">
        <f t="shared" si="17"/>
        <v>23805</v>
      </c>
    </row>
    <row r="1119" spans="1:11" hidden="1" x14ac:dyDescent="0.25">
      <c r="A1119">
        <v>1118</v>
      </c>
      <c r="B1119" s="1">
        <v>45757</v>
      </c>
      <c r="C1119" t="s">
        <v>57</v>
      </c>
      <c r="D1119" t="s">
        <v>52</v>
      </c>
      <c r="E1119" t="s">
        <v>8</v>
      </c>
      <c r="F1119">
        <v>3</v>
      </c>
      <c r="G1119" t="str">
        <f>VLOOKUP(D1119,Товары!A:I,3,0)</f>
        <v>Тумба с раковиной  напол. Кристалл 600 суфле 2 ящика с умыв. Океан</v>
      </c>
      <c r="H1119">
        <f>VLOOKUP(D1119,Товары!A:I,6,0)</f>
        <v>80</v>
      </c>
      <c r="I1119" t="str">
        <f>VLOOKUP(C1119,Магазины!A:C,3,0)</f>
        <v>Оренбург</v>
      </c>
      <c r="J1119">
        <f>VLOOKUP(D1119,Товары!A:I,4,0)</f>
        <v>27600</v>
      </c>
      <c r="K1119">
        <f t="shared" si="17"/>
        <v>82800</v>
      </c>
    </row>
    <row r="1120" spans="1:11" hidden="1" x14ac:dyDescent="0.25">
      <c r="A1120">
        <v>1119</v>
      </c>
      <c r="B1120" s="1">
        <v>45752</v>
      </c>
      <c r="C1120" t="s">
        <v>18</v>
      </c>
      <c r="D1120" t="s">
        <v>46</v>
      </c>
      <c r="E1120" t="s">
        <v>13</v>
      </c>
      <c r="F1120">
        <v>1</v>
      </c>
      <c r="G1120" t="str">
        <f>VLOOKUP(D1120,Товары!A:I,3,0)</f>
        <v>Тумба с раковиной  напол. Сохо 700 белый 2 ящика с умыв. Слим</v>
      </c>
      <c r="H1120">
        <f>VLOOKUP(D1120,Товары!A:I,6,0)</f>
        <v>85</v>
      </c>
      <c r="I1120" t="str">
        <f>VLOOKUP(C1120,Магазины!A:C,3,0)</f>
        <v>Набережные Челны</v>
      </c>
      <c r="J1120">
        <f>VLOOKUP(D1120,Товары!A:I,4,0)</f>
        <v>18405</v>
      </c>
      <c r="K1120">
        <f t="shared" si="17"/>
        <v>18405</v>
      </c>
    </row>
    <row r="1121" spans="1:11" hidden="1" x14ac:dyDescent="0.25">
      <c r="A1121">
        <v>1120</v>
      </c>
      <c r="B1121" s="1">
        <v>45751</v>
      </c>
      <c r="C1121" t="s">
        <v>54</v>
      </c>
      <c r="D1121" t="s">
        <v>77</v>
      </c>
      <c r="E1121" t="s">
        <v>13</v>
      </c>
      <c r="F1121">
        <v>1</v>
      </c>
      <c r="G1121" t="str">
        <f>VLOOKUP(D1121,Товары!A:I,3,0)</f>
        <v>Тумба с раковиной  напол. Куба Риф 600 белый 2 ящика с умыв. Como</v>
      </c>
      <c r="H1121">
        <f>VLOOKUP(D1121,Товары!A:I,6,0)</f>
        <v>85</v>
      </c>
      <c r="I1121" t="str">
        <f>VLOOKUP(C1121,Магазины!A:C,3,0)</f>
        <v>Ставрополь</v>
      </c>
      <c r="J1121">
        <f>VLOOKUP(D1121,Товары!A:I,4,0)</f>
        <v>15660</v>
      </c>
      <c r="K1121">
        <f t="shared" si="17"/>
        <v>15660</v>
      </c>
    </row>
    <row r="1122" spans="1:11" hidden="1" x14ac:dyDescent="0.25">
      <c r="A1122">
        <v>1121</v>
      </c>
      <c r="B1122" s="1">
        <v>45751</v>
      </c>
      <c r="C1122" t="s">
        <v>92</v>
      </c>
      <c r="D1122" t="s">
        <v>125</v>
      </c>
      <c r="E1122" t="s">
        <v>13</v>
      </c>
      <c r="F1122">
        <v>2</v>
      </c>
      <c r="G1122" t="str">
        <f>VLOOKUP(D1122,Товары!A:I,3,0)</f>
        <v>Зеркальный шкаф Сохо 60 белый со светильником правый цвет Белый глянец</v>
      </c>
      <c r="H1122">
        <f>VLOOKUP(D1122,Товары!A:I,6,0)</f>
        <v>75</v>
      </c>
      <c r="I1122" t="str">
        <f>VLOOKUP(C1122,Магазины!A:C,3,0)</f>
        <v>Кемерово</v>
      </c>
      <c r="J1122">
        <f>VLOOKUP(D1122,Товары!A:I,4,0)</f>
        <v>7395</v>
      </c>
      <c r="K1122">
        <f t="shared" si="17"/>
        <v>14790</v>
      </c>
    </row>
    <row r="1123" spans="1:11" hidden="1" x14ac:dyDescent="0.25">
      <c r="A1123">
        <v>1122</v>
      </c>
      <c r="B1123" s="1">
        <v>45748</v>
      </c>
      <c r="C1123" t="s">
        <v>58</v>
      </c>
      <c r="D1123" t="s">
        <v>76</v>
      </c>
      <c r="E1123" t="s">
        <v>8</v>
      </c>
      <c r="F1123">
        <v>2</v>
      </c>
      <c r="G1123" t="str">
        <f>VLOOKUP(D1123,Товары!A:I,3,0)</f>
        <v>Тумба с раковиной  напол. Леон 600 оникс 2 ящика с умыв. Слим</v>
      </c>
      <c r="H1123">
        <f>VLOOKUP(D1123,Товары!A:I,6,0)</f>
        <v>80</v>
      </c>
      <c r="I1123" t="str">
        <f>VLOOKUP(C1123,Магазины!A:C,3,0)</f>
        <v>Ставрополь</v>
      </c>
      <c r="J1123">
        <f>VLOOKUP(D1123,Товары!A:I,4,0)</f>
        <v>25860</v>
      </c>
      <c r="K1123">
        <f t="shared" si="17"/>
        <v>51720</v>
      </c>
    </row>
    <row r="1124" spans="1:11" hidden="1" x14ac:dyDescent="0.25">
      <c r="A1124">
        <v>1123</v>
      </c>
      <c r="B1124" s="1">
        <v>45756</v>
      </c>
      <c r="C1124" t="s">
        <v>111</v>
      </c>
      <c r="D1124" t="s">
        <v>23</v>
      </c>
      <c r="E1124" t="s">
        <v>13</v>
      </c>
      <c r="F1124">
        <v>2</v>
      </c>
      <c r="G1124" t="str">
        <f>VLOOKUP(D1124,Товары!A:I,3,0)</f>
        <v>Тумба с раковиной  напол. Альба 800 антрацит 2 ящика с умыв. Слим</v>
      </c>
      <c r="H1124">
        <f>VLOOKUP(D1124,Товары!A:I,6,0)</f>
        <v>80</v>
      </c>
      <c r="I1124" t="str">
        <f>VLOOKUP(C1124,Магазины!A:C,3,0)</f>
        <v>Набережные Челны</v>
      </c>
      <c r="J1124">
        <f>VLOOKUP(D1124,Товары!A:I,4,0)</f>
        <v>29340</v>
      </c>
      <c r="K1124">
        <f t="shared" si="17"/>
        <v>58680</v>
      </c>
    </row>
    <row r="1125" spans="1:11" hidden="1" x14ac:dyDescent="0.25">
      <c r="A1125">
        <v>1124</v>
      </c>
      <c r="B1125" s="1">
        <v>45751</v>
      </c>
      <c r="C1125" t="s">
        <v>48</v>
      </c>
      <c r="D1125" t="s">
        <v>122</v>
      </c>
      <c r="E1125" t="s">
        <v>13</v>
      </c>
      <c r="F1125">
        <v>1</v>
      </c>
      <c r="G1125" t="str">
        <f>VLOOKUP(D1125,Товары!A:I,3,0)</f>
        <v>Тумба с раковиной  навес. Кристалл 600 шато азур 2 ящика с умыв. Океан</v>
      </c>
      <c r="H1125">
        <f>VLOOKUP(D1125,Товары!A:I,6,0)</f>
        <v>55</v>
      </c>
      <c r="I1125" t="str">
        <f>VLOOKUP(C1125,Магазины!A:C,3,0)</f>
        <v>Ставрополь</v>
      </c>
      <c r="J1125">
        <f>VLOOKUP(D1125,Товары!A:I,4,0)</f>
        <v>21960</v>
      </c>
      <c r="K1125">
        <f t="shared" si="17"/>
        <v>21960</v>
      </c>
    </row>
    <row r="1126" spans="1:11" hidden="1" x14ac:dyDescent="0.25">
      <c r="A1126">
        <v>1125</v>
      </c>
      <c r="B1126" s="1">
        <v>45751</v>
      </c>
      <c r="C1126" t="s">
        <v>11</v>
      </c>
      <c r="D1126" t="s">
        <v>23</v>
      </c>
      <c r="E1126" t="s">
        <v>13</v>
      </c>
      <c r="F1126">
        <v>2</v>
      </c>
      <c r="G1126" t="str">
        <f>VLOOKUP(D1126,Товары!A:I,3,0)</f>
        <v>Тумба с раковиной  напол. Альба 800 антрацит 2 ящика с умыв. Слим</v>
      </c>
      <c r="H1126">
        <f>VLOOKUP(D1126,Товары!A:I,6,0)</f>
        <v>80</v>
      </c>
      <c r="I1126" t="str">
        <f>VLOOKUP(C1126,Магазины!A:C,3,0)</f>
        <v>Кемерово</v>
      </c>
      <c r="J1126">
        <f>VLOOKUP(D1126,Товары!A:I,4,0)</f>
        <v>29340</v>
      </c>
      <c r="K1126">
        <f t="shared" si="17"/>
        <v>58680</v>
      </c>
    </row>
    <row r="1127" spans="1:11" hidden="1" x14ac:dyDescent="0.25">
      <c r="A1127">
        <v>1126</v>
      </c>
      <c r="B1127" s="1">
        <v>45748</v>
      </c>
      <c r="C1127" t="s">
        <v>18</v>
      </c>
      <c r="D1127" t="s">
        <v>40</v>
      </c>
      <c r="E1127" t="s">
        <v>8</v>
      </c>
      <c r="F1127">
        <v>3</v>
      </c>
      <c r="G1127" t="str">
        <f>VLOOKUP(D1127,Товары!A:I,3,0)</f>
        <v>Тумба с раковиной  навес. Рица 800 cерый/керамика 1 ящик + ниша 1 с умыв. Слим</v>
      </c>
      <c r="H1127">
        <f>VLOOKUP(D1127,Товары!A:I,6,0)</f>
        <v>60</v>
      </c>
      <c r="I1127" t="str">
        <f>VLOOKUP(C1127,Магазины!A:C,3,0)</f>
        <v>Набережные Челны</v>
      </c>
      <c r="J1127">
        <f>VLOOKUP(D1127,Товары!A:I,4,0)</f>
        <v>22425</v>
      </c>
      <c r="K1127">
        <f t="shared" si="17"/>
        <v>67275</v>
      </c>
    </row>
    <row r="1128" spans="1:11" hidden="1" x14ac:dyDescent="0.25">
      <c r="A1128">
        <v>1127</v>
      </c>
      <c r="B1128" s="1">
        <v>45757</v>
      </c>
      <c r="C1128" t="s">
        <v>57</v>
      </c>
      <c r="D1128" t="s">
        <v>44</v>
      </c>
      <c r="E1128" t="s">
        <v>8</v>
      </c>
      <c r="F1128">
        <v>3</v>
      </c>
      <c r="G1128" t="str">
        <f>VLOOKUP(D1128,Товары!A:I,3,0)</f>
        <v>Тумба с раковиной  навес. Кристалл 800 шато азур 2 ящика с умыв. Комфорт</v>
      </c>
      <c r="H1128">
        <f>VLOOKUP(D1128,Товары!A:I,6,0)</f>
        <v>55</v>
      </c>
      <c r="I1128" t="str">
        <f>VLOOKUP(C1128,Магазины!A:C,3,0)</f>
        <v>Оренбург</v>
      </c>
      <c r="J1128">
        <f>VLOOKUP(D1128,Товары!A:I,4,0)</f>
        <v>25080</v>
      </c>
      <c r="K1128">
        <f t="shared" si="17"/>
        <v>75240</v>
      </c>
    </row>
    <row r="1129" spans="1:11" hidden="1" x14ac:dyDescent="0.25">
      <c r="A1129">
        <v>1128</v>
      </c>
      <c r="B1129" s="1">
        <v>45753</v>
      </c>
      <c r="C1129" t="s">
        <v>18</v>
      </c>
      <c r="D1129" t="s">
        <v>55</v>
      </c>
      <c r="E1129" t="s">
        <v>8</v>
      </c>
      <c r="F1129">
        <v>2</v>
      </c>
      <c r="G1129" t="str">
        <f>VLOOKUP(D1129,Товары!A:I,3,0)</f>
        <v>Тумба с раковиной  напол. Рица 600 cерый/керамика 2 ящика с умыв. Океан</v>
      </c>
      <c r="H1129">
        <f>VLOOKUP(D1129,Товары!A:I,6,0)</f>
        <v>80</v>
      </c>
      <c r="I1129" t="str">
        <f>VLOOKUP(C1129,Магазины!A:C,3,0)</f>
        <v>Набережные Челны</v>
      </c>
      <c r="J1129">
        <f>VLOOKUP(D1129,Товары!A:I,4,0)</f>
        <v>25560</v>
      </c>
      <c r="K1129">
        <f t="shared" si="17"/>
        <v>51120</v>
      </c>
    </row>
    <row r="1130" spans="1:11" hidden="1" x14ac:dyDescent="0.25">
      <c r="A1130">
        <v>1129</v>
      </c>
      <c r="B1130" s="1">
        <v>45750</v>
      </c>
      <c r="C1130" t="s">
        <v>111</v>
      </c>
      <c r="D1130" t="s">
        <v>96</v>
      </c>
      <c r="E1130" t="s">
        <v>8</v>
      </c>
      <c r="F1130">
        <v>3</v>
      </c>
      <c r="G1130" t="str">
        <f>VLOOKUP(D1130,Товары!A:I,3,0)</f>
        <v>Тумба с раковиной  навес. Альба 600 мята 1 ящик с умыв. Океан</v>
      </c>
      <c r="H1130">
        <f>VLOOKUP(D1130,Товары!A:I,6,0)</f>
        <v>85</v>
      </c>
      <c r="I1130" t="str">
        <f>VLOOKUP(C1130,Магазины!A:C,3,0)</f>
        <v>Набережные Челны</v>
      </c>
      <c r="J1130">
        <f>VLOOKUP(D1130,Товары!A:I,4,0)</f>
        <v>17625</v>
      </c>
      <c r="K1130">
        <f t="shared" si="17"/>
        <v>52875</v>
      </c>
    </row>
    <row r="1131" spans="1:11" hidden="1" x14ac:dyDescent="0.25">
      <c r="A1131">
        <v>1130</v>
      </c>
      <c r="B1131" s="1">
        <v>45754</v>
      </c>
      <c r="C1131" t="s">
        <v>28</v>
      </c>
      <c r="D1131" t="s">
        <v>86</v>
      </c>
      <c r="E1131" t="s">
        <v>13</v>
      </c>
      <c r="F1131">
        <v>1</v>
      </c>
      <c r="G1131" t="str">
        <f>VLOOKUP(D1131,Товары!A:I,3,0)</f>
        <v>Комод Аква 50 напольный 1 ящик 2 двери белый</v>
      </c>
      <c r="H1131">
        <f>VLOOKUP(D1131,Товары!A:I,6,0)</f>
        <v>90</v>
      </c>
      <c r="I1131" t="str">
        <f>VLOOKUP(C1131,Магазины!A:C,3,0)</f>
        <v>Набережные Челны</v>
      </c>
      <c r="J1131">
        <f>VLOOKUP(D1131,Товары!A:I,4,0)</f>
        <v>7260</v>
      </c>
      <c r="K1131">
        <f t="shared" si="17"/>
        <v>7260</v>
      </c>
    </row>
    <row r="1132" spans="1:11" hidden="1" x14ac:dyDescent="0.25">
      <c r="A1132">
        <v>1131</v>
      </c>
      <c r="B1132" s="1">
        <v>45754</v>
      </c>
      <c r="C1132" t="s">
        <v>6</v>
      </c>
      <c r="D1132" t="s">
        <v>39</v>
      </c>
      <c r="E1132" t="s">
        <v>13</v>
      </c>
      <c r="F1132">
        <v>3</v>
      </c>
      <c r="G1132" t="str">
        <f>VLOOKUP(D1132,Товары!A:I,3,0)</f>
        <v>Тумба с раковиной  напол. Альба 700 мята 2 ящика с умыв. Слим</v>
      </c>
      <c r="H1132">
        <f>VLOOKUP(D1132,Товары!A:I,6,0)</f>
        <v>85</v>
      </c>
      <c r="I1132" t="str">
        <f>VLOOKUP(C1132,Магазины!A:C,3,0)</f>
        <v>Оренбург</v>
      </c>
      <c r="J1132">
        <f>VLOOKUP(D1132,Товары!A:I,4,0)</f>
        <v>28695</v>
      </c>
      <c r="K1132">
        <f t="shared" si="17"/>
        <v>86085</v>
      </c>
    </row>
    <row r="1133" spans="1:11" hidden="1" x14ac:dyDescent="0.25">
      <c r="A1133">
        <v>1132</v>
      </c>
      <c r="B1133" s="1">
        <v>45753</v>
      </c>
      <c r="C1133" t="s">
        <v>111</v>
      </c>
      <c r="D1133" t="s">
        <v>55</v>
      </c>
      <c r="E1133" t="s">
        <v>8</v>
      </c>
      <c r="F1133">
        <v>3</v>
      </c>
      <c r="G1133" t="str">
        <f>VLOOKUP(D1133,Товары!A:I,3,0)</f>
        <v>Тумба с раковиной  напол. Рица 600 cерый/керамика 2 ящика с умыв. Океан</v>
      </c>
      <c r="H1133">
        <f>VLOOKUP(D1133,Товары!A:I,6,0)</f>
        <v>80</v>
      </c>
      <c r="I1133" t="str">
        <f>VLOOKUP(C1133,Магазины!A:C,3,0)</f>
        <v>Набережные Челны</v>
      </c>
      <c r="J1133">
        <f>VLOOKUP(D1133,Товары!A:I,4,0)</f>
        <v>25560</v>
      </c>
      <c r="K1133">
        <f t="shared" si="17"/>
        <v>76680</v>
      </c>
    </row>
    <row r="1134" spans="1:11" hidden="1" x14ac:dyDescent="0.25">
      <c r="A1134">
        <v>1133</v>
      </c>
      <c r="B1134" s="1">
        <v>45752</v>
      </c>
      <c r="C1134" t="s">
        <v>22</v>
      </c>
      <c r="D1134" t="s">
        <v>106</v>
      </c>
      <c r="E1134" t="s">
        <v>8</v>
      </c>
      <c r="F1134">
        <v>3</v>
      </c>
      <c r="G1134" t="str">
        <f>VLOOKUP(D1134,Товары!A:I,3,0)</f>
        <v>Тумба с раковиной  навес. Кристалл 700 шато азур 2 ящика с умыв. Слим</v>
      </c>
      <c r="H1134">
        <f>VLOOKUP(D1134,Товары!A:I,6,0)</f>
        <v>60</v>
      </c>
      <c r="I1134" t="str">
        <f>VLOOKUP(C1134,Магазины!A:C,3,0)</f>
        <v>Кемерово</v>
      </c>
      <c r="J1134">
        <f>VLOOKUP(D1134,Товары!A:I,4,0)</f>
        <v>24150</v>
      </c>
      <c r="K1134">
        <f t="shared" si="17"/>
        <v>72450</v>
      </c>
    </row>
    <row r="1135" spans="1:11" hidden="1" x14ac:dyDescent="0.25">
      <c r="A1135">
        <v>1134</v>
      </c>
      <c r="B1135" s="1">
        <v>45757</v>
      </c>
      <c r="C1135" t="s">
        <v>18</v>
      </c>
      <c r="D1135" t="s">
        <v>116</v>
      </c>
      <c r="E1135" t="s">
        <v>8</v>
      </c>
      <c r="F1135">
        <v>1</v>
      </c>
      <c r="G1135" t="str">
        <f>VLOOKUP(D1135,Товары!A:I,3,0)</f>
        <v>Зеркало Нева 60 дуб/белый со светильником</v>
      </c>
      <c r="H1135">
        <f>VLOOKUP(D1135,Товары!A:I,6,0)</f>
        <v>80</v>
      </c>
      <c r="I1135" t="str">
        <f>VLOOKUP(C1135,Магазины!A:C,3,0)</f>
        <v>Набережные Челны</v>
      </c>
      <c r="J1135">
        <f>VLOOKUP(D1135,Товары!A:I,4,0)</f>
        <v>5100</v>
      </c>
      <c r="K1135">
        <f t="shared" si="17"/>
        <v>5100</v>
      </c>
    </row>
    <row r="1136" spans="1:11" hidden="1" x14ac:dyDescent="0.25">
      <c r="A1136">
        <v>1135</v>
      </c>
      <c r="B1136" s="1">
        <v>45752</v>
      </c>
      <c r="C1136" t="s">
        <v>9</v>
      </c>
      <c r="D1136" t="s">
        <v>125</v>
      </c>
      <c r="E1136" t="s">
        <v>8</v>
      </c>
      <c r="F1136">
        <v>2</v>
      </c>
      <c r="G1136" t="str">
        <f>VLOOKUP(D1136,Товары!A:I,3,0)</f>
        <v>Зеркальный шкаф Сохо 60 белый со светильником правый цвет Белый глянец</v>
      </c>
      <c r="H1136">
        <f>VLOOKUP(D1136,Товары!A:I,6,0)</f>
        <v>75</v>
      </c>
      <c r="I1136" t="str">
        <f>VLOOKUP(C1136,Магазины!A:C,3,0)</f>
        <v>Кемерово</v>
      </c>
      <c r="J1136">
        <f>VLOOKUP(D1136,Товары!A:I,4,0)</f>
        <v>7395</v>
      </c>
      <c r="K1136">
        <f t="shared" si="17"/>
        <v>14790</v>
      </c>
    </row>
    <row r="1137" spans="1:11" hidden="1" x14ac:dyDescent="0.25">
      <c r="A1137">
        <v>1136</v>
      </c>
      <c r="B1137" s="1">
        <v>45748</v>
      </c>
      <c r="C1137" t="s">
        <v>9</v>
      </c>
      <c r="D1137" t="s">
        <v>56</v>
      </c>
      <c r="E1137" t="s">
        <v>13</v>
      </c>
      <c r="F1137">
        <v>3</v>
      </c>
      <c r="G1137" t="str">
        <f>VLOOKUP(D1137,Товары!A:I,3,0)</f>
        <v>Зеркальный шкаф Альба 80 со светильником правый цвет мята</v>
      </c>
      <c r="H1137">
        <f>VLOOKUP(D1137,Товары!A:I,6,0)</f>
        <v>75</v>
      </c>
      <c r="I1137" t="str">
        <f>VLOOKUP(C1137,Магазины!A:C,3,0)</f>
        <v>Кемерово</v>
      </c>
      <c r="J1137">
        <f>VLOOKUP(D1137,Товары!A:I,4,0)</f>
        <v>9930</v>
      </c>
      <c r="K1137">
        <f t="shared" si="17"/>
        <v>29790</v>
      </c>
    </row>
    <row r="1138" spans="1:11" hidden="1" x14ac:dyDescent="0.25">
      <c r="A1138">
        <v>1137</v>
      </c>
      <c r="B1138" s="1">
        <v>45754</v>
      </c>
      <c r="C1138" t="s">
        <v>30</v>
      </c>
      <c r="D1138" t="s">
        <v>125</v>
      </c>
      <c r="E1138" t="s">
        <v>8</v>
      </c>
      <c r="F1138">
        <v>2</v>
      </c>
      <c r="G1138" t="str">
        <f>VLOOKUP(D1138,Товары!A:I,3,0)</f>
        <v>Зеркальный шкаф Сохо 60 белый со светильником правый цвет Белый глянец</v>
      </c>
      <c r="H1138">
        <f>VLOOKUP(D1138,Товары!A:I,6,0)</f>
        <v>75</v>
      </c>
      <c r="I1138" t="str">
        <f>VLOOKUP(C1138,Магазины!A:C,3,0)</f>
        <v>Кемерово</v>
      </c>
      <c r="J1138">
        <f>VLOOKUP(D1138,Товары!A:I,4,0)</f>
        <v>7395</v>
      </c>
      <c r="K1138">
        <f t="shared" si="17"/>
        <v>14790</v>
      </c>
    </row>
    <row r="1139" spans="1:11" hidden="1" x14ac:dyDescent="0.25">
      <c r="A1139">
        <v>1138</v>
      </c>
      <c r="B1139" s="1">
        <v>45757</v>
      </c>
      <c r="C1139" t="s">
        <v>28</v>
      </c>
      <c r="D1139" t="s">
        <v>67</v>
      </c>
      <c r="E1139" t="s">
        <v>8</v>
      </c>
      <c r="F1139">
        <v>3</v>
      </c>
      <c r="G1139" t="str">
        <f>VLOOKUP(D1139,Товары!A:I,3,0)</f>
        <v>Пенал навес./напол. Альба 350 суфле 2 двери</v>
      </c>
      <c r="H1139">
        <f>VLOOKUP(D1139,Товары!A:I,6,0)</f>
        <v>150</v>
      </c>
      <c r="I1139" t="str">
        <f>VLOOKUP(C1139,Магазины!A:C,3,0)</f>
        <v>Набережные Челны</v>
      </c>
      <c r="J1139">
        <f>VLOOKUP(D1139,Товары!A:I,4,0)</f>
        <v>11655</v>
      </c>
      <c r="K1139">
        <f t="shared" si="17"/>
        <v>34965</v>
      </c>
    </row>
    <row r="1140" spans="1:11" hidden="1" x14ac:dyDescent="0.25">
      <c r="A1140">
        <v>1139</v>
      </c>
      <c r="B1140" s="1">
        <v>45753</v>
      </c>
      <c r="C1140" t="s">
        <v>6</v>
      </c>
      <c r="D1140" t="s">
        <v>40</v>
      </c>
      <c r="E1140" t="s">
        <v>8</v>
      </c>
      <c r="F1140">
        <v>3</v>
      </c>
      <c r="G1140" t="str">
        <f>VLOOKUP(D1140,Товары!A:I,3,0)</f>
        <v>Тумба с раковиной  навес. Рица 800 cерый/керамика 1 ящик + ниша 1 с умыв. Слим</v>
      </c>
      <c r="H1140">
        <f>VLOOKUP(D1140,Товары!A:I,6,0)</f>
        <v>60</v>
      </c>
      <c r="I1140" t="str">
        <f>VLOOKUP(C1140,Магазины!A:C,3,0)</f>
        <v>Оренбург</v>
      </c>
      <c r="J1140">
        <f>VLOOKUP(D1140,Товары!A:I,4,0)</f>
        <v>22425</v>
      </c>
      <c r="K1140">
        <f t="shared" si="17"/>
        <v>67275</v>
      </c>
    </row>
    <row r="1141" spans="1:11" hidden="1" x14ac:dyDescent="0.25">
      <c r="A1141">
        <v>1140</v>
      </c>
      <c r="B1141" s="1">
        <v>45757</v>
      </c>
      <c r="C1141" t="s">
        <v>43</v>
      </c>
      <c r="D1141" t="s">
        <v>99</v>
      </c>
      <c r="E1141" t="s">
        <v>13</v>
      </c>
      <c r="F1141">
        <v>3</v>
      </c>
      <c r="G1141" t="str">
        <f>VLOOKUP(D1141,Товары!A:I,3,0)</f>
        <v>Тумба с раковиной  навес. Леон 600 оникс 2 ящика с умыв. Слим</v>
      </c>
      <c r="H1141">
        <f>VLOOKUP(D1141,Товары!A:I,6,0)</f>
        <v>60</v>
      </c>
      <c r="I1141" t="str">
        <f>VLOOKUP(C1141,Магазины!A:C,3,0)</f>
        <v>Набережные Челны</v>
      </c>
      <c r="J1141">
        <f>VLOOKUP(D1141,Товары!A:I,4,0)</f>
        <v>25125</v>
      </c>
      <c r="K1141">
        <f t="shared" si="17"/>
        <v>75375</v>
      </c>
    </row>
    <row r="1142" spans="1:11" hidden="1" x14ac:dyDescent="0.25">
      <c r="A1142">
        <v>1141</v>
      </c>
      <c r="B1142" s="1">
        <v>45756</v>
      </c>
      <c r="C1142" t="s">
        <v>11</v>
      </c>
      <c r="D1142" t="s">
        <v>60</v>
      </c>
      <c r="E1142" t="s">
        <v>13</v>
      </c>
      <c r="F1142">
        <v>3</v>
      </c>
      <c r="G1142" t="str">
        <f>VLOOKUP(D1142,Товары!A:I,3,0)</f>
        <v>Пенал навес. Куба Риф 350 белый 2 двери</v>
      </c>
      <c r="H1142">
        <f>VLOOKUP(D1142,Товары!A:I,6,0)</f>
        <v>150</v>
      </c>
      <c r="I1142" t="str">
        <f>VLOOKUP(C1142,Магазины!A:C,3,0)</f>
        <v>Кемерово</v>
      </c>
      <c r="J1142">
        <f>VLOOKUP(D1142,Товары!A:I,4,0)</f>
        <v>9720</v>
      </c>
      <c r="K1142">
        <f t="shared" si="17"/>
        <v>29160</v>
      </c>
    </row>
    <row r="1143" spans="1:11" hidden="1" x14ac:dyDescent="0.25">
      <c r="A1143">
        <v>1142</v>
      </c>
      <c r="B1143" s="1">
        <v>45755</v>
      </c>
      <c r="C1143" t="s">
        <v>48</v>
      </c>
      <c r="D1143" t="s">
        <v>130</v>
      </c>
      <c r="E1143" t="s">
        <v>8</v>
      </c>
      <c r="F1143">
        <v>1</v>
      </c>
      <c r="G1143" t="str">
        <f>VLOOKUP(D1143,Товары!A:I,3,0)</f>
        <v>Пенал напол. Леон 400 форест 2 двери + 1 ящик</v>
      </c>
      <c r="H1143">
        <f>VLOOKUP(D1143,Товары!A:I,6,0)</f>
        <v>190</v>
      </c>
      <c r="I1143" t="str">
        <f>VLOOKUP(C1143,Магазины!A:C,3,0)</f>
        <v>Ставрополь</v>
      </c>
      <c r="J1143">
        <f>VLOOKUP(D1143,Товары!A:I,4,0)</f>
        <v>18450</v>
      </c>
      <c r="K1143">
        <f t="shared" si="17"/>
        <v>18450</v>
      </c>
    </row>
    <row r="1144" spans="1:11" hidden="1" x14ac:dyDescent="0.25">
      <c r="A1144">
        <v>1143</v>
      </c>
      <c r="B1144" s="1">
        <v>45748</v>
      </c>
      <c r="C1144" t="s">
        <v>11</v>
      </c>
      <c r="D1144" t="s">
        <v>55</v>
      </c>
      <c r="E1144" t="s">
        <v>8</v>
      </c>
      <c r="F1144">
        <v>2</v>
      </c>
      <c r="G1144" t="str">
        <f>VLOOKUP(D1144,Товары!A:I,3,0)</f>
        <v>Тумба с раковиной  напол. Рица 600 cерый/керамика 2 ящика с умыв. Океан</v>
      </c>
      <c r="H1144">
        <f>VLOOKUP(D1144,Товары!A:I,6,0)</f>
        <v>80</v>
      </c>
      <c r="I1144" t="str">
        <f>VLOOKUP(C1144,Магазины!A:C,3,0)</f>
        <v>Кемерово</v>
      </c>
      <c r="J1144">
        <f>VLOOKUP(D1144,Товары!A:I,4,0)</f>
        <v>25560</v>
      </c>
      <c r="K1144">
        <f t="shared" si="17"/>
        <v>51120</v>
      </c>
    </row>
    <row r="1145" spans="1:11" hidden="1" x14ac:dyDescent="0.25">
      <c r="A1145">
        <v>1144</v>
      </c>
      <c r="B1145" s="1">
        <v>45753</v>
      </c>
      <c r="C1145" t="s">
        <v>35</v>
      </c>
      <c r="D1145" t="s">
        <v>24</v>
      </c>
      <c r="E1145" t="s">
        <v>13</v>
      </c>
      <c r="F1145">
        <v>3</v>
      </c>
      <c r="G1145" t="str">
        <f>VLOOKUP(D1145,Товары!A:I,3,0)</f>
        <v>Тумба с раковиной  напол. Леон 600 форест 2 ящика с умыв. Слим</v>
      </c>
      <c r="H1145">
        <f>VLOOKUP(D1145,Товары!A:I,6,0)</f>
        <v>80</v>
      </c>
      <c r="I1145" t="str">
        <f>VLOOKUP(C1145,Магазины!A:C,3,0)</f>
        <v>Набережные Челны</v>
      </c>
      <c r="J1145">
        <f>VLOOKUP(D1145,Товары!A:I,4,0)</f>
        <v>27150</v>
      </c>
      <c r="K1145">
        <f t="shared" si="17"/>
        <v>81450</v>
      </c>
    </row>
    <row r="1146" spans="1:11" hidden="1" x14ac:dyDescent="0.25">
      <c r="A1146">
        <v>1145</v>
      </c>
      <c r="B1146" s="1">
        <v>45751</v>
      </c>
      <c r="C1146" t="s">
        <v>18</v>
      </c>
      <c r="D1146" t="s">
        <v>68</v>
      </c>
      <c r="E1146" t="s">
        <v>8</v>
      </c>
      <c r="F1146">
        <v>2</v>
      </c>
      <c r="G1146" t="str">
        <f>VLOOKUP(D1146,Товары!A:I,3,0)</f>
        <v>Тумба с раковиной  навес. Альба 600 антрацит 1 ящик с умыв. Океан</v>
      </c>
      <c r="H1146">
        <f>VLOOKUP(D1146,Товары!A:I,6,0)</f>
        <v>85</v>
      </c>
      <c r="I1146" t="str">
        <f>VLOOKUP(C1146,Магазины!A:C,3,0)</f>
        <v>Набережные Челны</v>
      </c>
      <c r="J1146">
        <f>VLOOKUP(D1146,Товары!A:I,4,0)</f>
        <v>17625</v>
      </c>
      <c r="K1146">
        <f t="shared" si="17"/>
        <v>35250</v>
      </c>
    </row>
    <row r="1147" spans="1:11" hidden="1" x14ac:dyDescent="0.25">
      <c r="A1147">
        <v>1146</v>
      </c>
      <c r="B1147" s="1">
        <v>45757</v>
      </c>
      <c r="C1147" t="s">
        <v>33</v>
      </c>
      <c r="D1147" t="s">
        <v>129</v>
      </c>
      <c r="E1147" t="s">
        <v>13</v>
      </c>
      <c r="F1147">
        <v>1</v>
      </c>
      <c r="G1147" t="str">
        <f>VLOOKUP(D1147,Товары!A:I,3,0)</f>
        <v>Тумба с раковиной  напол. Альба 700 антрацит 2 ящика с умыв. Слим</v>
      </c>
      <c r="H1147">
        <f>VLOOKUP(D1147,Товары!A:I,6,0)</f>
        <v>85</v>
      </c>
      <c r="I1147" t="str">
        <f>VLOOKUP(C1147,Магазины!A:C,3,0)</f>
        <v>Набережные Челны</v>
      </c>
      <c r="J1147">
        <f>VLOOKUP(D1147,Товары!A:I,4,0)</f>
        <v>28695</v>
      </c>
      <c r="K1147">
        <f t="shared" si="17"/>
        <v>28695</v>
      </c>
    </row>
    <row r="1148" spans="1:11" hidden="1" x14ac:dyDescent="0.25">
      <c r="A1148">
        <v>1147</v>
      </c>
      <c r="B1148" s="1">
        <v>45756</v>
      </c>
      <c r="C1148" t="s">
        <v>30</v>
      </c>
      <c r="D1148" t="s">
        <v>119</v>
      </c>
      <c r="E1148" t="s">
        <v>8</v>
      </c>
      <c r="F1148">
        <v>1</v>
      </c>
      <c r="G1148" t="str">
        <f>VLOOKUP(D1148,Товары!A:I,3,0)</f>
        <v>Пенал навес./напол. Рица 350 cерый/керамика 2 двери</v>
      </c>
      <c r="H1148">
        <f>VLOOKUP(D1148,Товары!A:I,6,0)</f>
        <v>160</v>
      </c>
      <c r="I1148" t="str">
        <f>VLOOKUP(C1148,Магазины!A:C,3,0)</f>
        <v>Кемерово</v>
      </c>
      <c r="J1148">
        <f>VLOOKUP(D1148,Товары!A:I,4,0)</f>
        <v>11250</v>
      </c>
      <c r="K1148">
        <f t="shared" si="17"/>
        <v>11250</v>
      </c>
    </row>
    <row r="1149" spans="1:11" hidden="1" x14ac:dyDescent="0.25">
      <c r="A1149">
        <v>1148</v>
      </c>
      <c r="B1149" s="1">
        <v>45749</v>
      </c>
      <c r="C1149" t="s">
        <v>14</v>
      </c>
      <c r="D1149" t="s">
        <v>101</v>
      </c>
      <c r="E1149" t="s">
        <v>13</v>
      </c>
      <c r="F1149">
        <v>3</v>
      </c>
      <c r="G1149" t="str">
        <f>VLOOKUP(D1149,Товары!A:I,3,0)</f>
        <v>Пенал напол. Сохо 400 белый 2 двери + 1 ящик</v>
      </c>
      <c r="H1149">
        <f>VLOOKUP(D1149,Товары!A:I,6,0)</f>
        <v>190</v>
      </c>
      <c r="I1149" t="str">
        <f>VLOOKUP(C1149,Магазины!A:C,3,0)</f>
        <v>Оренбург</v>
      </c>
      <c r="J1149">
        <f>VLOOKUP(D1149,Товары!A:I,4,0)</f>
        <v>11040</v>
      </c>
      <c r="K1149">
        <f t="shared" si="17"/>
        <v>33120</v>
      </c>
    </row>
    <row r="1150" spans="1:11" hidden="1" x14ac:dyDescent="0.25">
      <c r="A1150">
        <v>1149</v>
      </c>
      <c r="B1150" s="1">
        <v>45757</v>
      </c>
      <c r="C1150" t="s">
        <v>111</v>
      </c>
      <c r="D1150" t="s">
        <v>70</v>
      </c>
      <c r="E1150" t="s">
        <v>13</v>
      </c>
      <c r="F1150">
        <v>1</v>
      </c>
      <c r="G1150" t="str">
        <f>VLOOKUP(D1150,Товары!A:I,3,0)</f>
        <v>Тумба с раковиной  напол. Кристалл 700 шато азур 2 ящика с умыв. Слим</v>
      </c>
      <c r="H1150">
        <f>VLOOKUP(D1150,Товары!A:I,6,0)</f>
        <v>85</v>
      </c>
      <c r="I1150" t="str">
        <f>VLOOKUP(C1150,Магазины!A:C,3,0)</f>
        <v>Набережные Челны</v>
      </c>
      <c r="J1150">
        <f>VLOOKUP(D1150,Товары!A:I,4,0)</f>
        <v>29910</v>
      </c>
      <c r="K1150">
        <f t="shared" si="17"/>
        <v>29910</v>
      </c>
    </row>
    <row r="1151" spans="1:11" hidden="1" x14ac:dyDescent="0.25">
      <c r="A1151">
        <v>1150</v>
      </c>
      <c r="B1151" s="1">
        <v>45755</v>
      </c>
      <c r="C1151" t="s">
        <v>57</v>
      </c>
      <c r="D1151" t="s">
        <v>87</v>
      </c>
      <c r="E1151" t="s">
        <v>13</v>
      </c>
      <c r="F1151">
        <v>3</v>
      </c>
      <c r="G1151" t="str">
        <f>VLOOKUP(D1151,Товары!A:I,3,0)</f>
        <v>Тумба с раковиной  напол. Леон 700 форест 2 ящика с умыв. Слим</v>
      </c>
      <c r="H1151">
        <f>VLOOKUP(D1151,Товары!A:I,6,0)</f>
        <v>80</v>
      </c>
      <c r="I1151" t="str">
        <f>VLOOKUP(C1151,Магазины!A:C,3,0)</f>
        <v>Оренбург</v>
      </c>
      <c r="J1151">
        <f>VLOOKUP(D1151,Товары!A:I,4,0)</f>
        <v>28380</v>
      </c>
      <c r="K1151">
        <f t="shared" si="17"/>
        <v>85140</v>
      </c>
    </row>
    <row r="1152" spans="1:11" hidden="1" x14ac:dyDescent="0.25">
      <c r="A1152">
        <v>1151</v>
      </c>
      <c r="B1152" s="1">
        <v>45749</v>
      </c>
      <c r="C1152" t="s">
        <v>54</v>
      </c>
      <c r="D1152" t="s">
        <v>44</v>
      </c>
      <c r="E1152" t="s">
        <v>8</v>
      </c>
      <c r="F1152">
        <v>1</v>
      </c>
      <c r="G1152" t="str">
        <f>VLOOKUP(D1152,Товары!A:I,3,0)</f>
        <v>Тумба с раковиной  навес. Кристалл 800 шато азур 2 ящика с умыв. Комфорт</v>
      </c>
      <c r="H1152">
        <f>VLOOKUP(D1152,Товары!A:I,6,0)</f>
        <v>55</v>
      </c>
      <c r="I1152" t="str">
        <f>VLOOKUP(C1152,Магазины!A:C,3,0)</f>
        <v>Ставрополь</v>
      </c>
      <c r="J1152">
        <f>VLOOKUP(D1152,Товары!A:I,4,0)</f>
        <v>25080</v>
      </c>
      <c r="K1152">
        <f t="shared" si="17"/>
        <v>25080</v>
      </c>
    </row>
    <row r="1153" spans="1:11" hidden="1" x14ac:dyDescent="0.25">
      <c r="A1153">
        <v>1152</v>
      </c>
      <c r="B1153" s="1">
        <v>45748</v>
      </c>
      <c r="C1153" t="s">
        <v>33</v>
      </c>
      <c r="D1153" t="s">
        <v>88</v>
      </c>
      <c r="E1153" t="s">
        <v>8</v>
      </c>
      <c r="F1153">
        <v>2</v>
      </c>
      <c r="G1153" t="str">
        <f>VLOOKUP(D1153,Товары!A:I,3,0)</f>
        <v>Тумба с раковиной  навес. Альба 800 антрацит 2 ящика с умыв. Слим</v>
      </c>
      <c r="H1153">
        <f>VLOOKUP(D1153,Товары!A:I,6,0)</f>
        <v>50</v>
      </c>
      <c r="I1153" t="str">
        <f>VLOOKUP(C1153,Магазины!A:C,3,0)</f>
        <v>Набережные Челны</v>
      </c>
      <c r="J1153">
        <f>VLOOKUP(D1153,Товары!A:I,4,0)</f>
        <v>26070</v>
      </c>
      <c r="K1153">
        <f t="shared" si="17"/>
        <v>52140</v>
      </c>
    </row>
    <row r="1154" spans="1:11" hidden="1" x14ac:dyDescent="0.25">
      <c r="A1154">
        <v>1153</v>
      </c>
      <c r="B1154" s="1">
        <v>45755</v>
      </c>
      <c r="C1154" t="s">
        <v>35</v>
      </c>
      <c r="D1154" t="s">
        <v>55</v>
      </c>
      <c r="E1154" t="s">
        <v>8</v>
      </c>
      <c r="F1154">
        <v>3</v>
      </c>
      <c r="G1154" t="str">
        <f>VLOOKUP(D1154,Товары!A:I,3,0)</f>
        <v>Тумба с раковиной  напол. Рица 600 cерый/керамика 2 ящика с умыв. Океан</v>
      </c>
      <c r="H1154">
        <f>VLOOKUP(D1154,Товары!A:I,6,0)</f>
        <v>80</v>
      </c>
      <c r="I1154" t="str">
        <f>VLOOKUP(C1154,Магазины!A:C,3,0)</f>
        <v>Набережные Челны</v>
      </c>
      <c r="J1154">
        <f>VLOOKUP(D1154,Товары!A:I,4,0)</f>
        <v>25560</v>
      </c>
      <c r="K1154">
        <f t="shared" si="17"/>
        <v>76680</v>
      </c>
    </row>
    <row r="1155" spans="1:11" hidden="1" x14ac:dyDescent="0.25">
      <c r="A1155">
        <v>1154</v>
      </c>
      <c r="B1155" s="1">
        <v>45754</v>
      </c>
      <c r="C1155" t="s">
        <v>58</v>
      </c>
      <c r="D1155" t="s">
        <v>29</v>
      </c>
      <c r="E1155" t="s">
        <v>13</v>
      </c>
      <c r="F1155">
        <v>3</v>
      </c>
      <c r="G1155" t="str">
        <f>VLOOKUP(D1155,Товары!A:I,3,0)</f>
        <v>Тумба с раковиной  напол. Леон Риф 600 солярис/белый риф 2 ящика с умыв. Океан</v>
      </c>
      <c r="H1155">
        <f>VLOOKUP(D1155,Товары!A:I,6,0)</f>
        <v>80</v>
      </c>
      <c r="I1155" t="str">
        <f>VLOOKUP(C1155,Магазины!A:C,3,0)</f>
        <v>Ставрополь</v>
      </c>
      <c r="J1155">
        <f>VLOOKUP(D1155,Товары!A:I,4,0)</f>
        <v>24150</v>
      </c>
      <c r="K1155">
        <f t="shared" ref="K1155:K1218" si="18">J1155*F1155</f>
        <v>72450</v>
      </c>
    </row>
    <row r="1156" spans="1:11" hidden="1" x14ac:dyDescent="0.25">
      <c r="A1156">
        <v>1155</v>
      </c>
      <c r="B1156" s="1">
        <v>45757</v>
      </c>
      <c r="C1156" t="s">
        <v>20</v>
      </c>
      <c r="D1156" t="s">
        <v>70</v>
      </c>
      <c r="E1156" t="s">
        <v>8</v>
      </c>
      <c r="F1156">
        <v>3</v>
      </c>
      <c r="G1156" t="str">
        <f>VLOOKUP(D1156,Товары!A:I,3,0)</f>
        <v>Тумба с раковиной  напол. Кристалл 700 шато азур 2 ящика с умыв. Слим</v>
      </c>
      <c r="H1156">
        <f>VLOOKUP(D1156,Товары!A:I,6,0)</f>
        <v>85</v>
      </c>
      <c r="I1156" t="str">
        <f>VLOOKUP(C1156,Магазины!A:C,3,0)</f>
        <v>Оренбург</v>
      </c>
      <c r="J1156">
        <f>VLOOKUP(D1156,Товары!A:I,4,0)</f>
        <v>29910</v>
      </c>
      <c r="K1156">
        <f t="shared" si="18"/>
        <v>89730</v>
      </c>
    </row>
    <row r="1157" spans="1:11" hidden="1" x14ac:dyDescent="0.25">
      <c r="A1157">
        <v>1156</v>
      </c>
      <c r="B1157" s="1">
        <v>45750</v>
      </c>
      <c r="C1157" t="s">
        <v>16</v>
      </c>
      <c r="D1157" t="s">
        <v>32</v>
      </c>
      <c r="E1157" t="s">
        <v>13</v>
      </c>
      <c r="F1157">
        <v>3</v>
      </c>
      <c r="G1157" t="str">
        <f>VLOOKUP(D1157,Товары!A:I,3,0)</f>
        <v>Тумба с раковиной  напол. Леон Риф 700 солярис/белый риф 2 ящика с умыв. Слим</v>
      </c>
      <c r="H1157">
        <f>VLOOKUP(D1157,Товары!A:I,6,0)</f>
        <v>85</v>
      </c>
      <c r="I1157" t="str">
        <f>VLOOKUP(C1157,Магазины!A:C,3,0)</f>
        <v>Оренбург</v>
      </c>
      <c r="J1157">
        <f>VLOOKUP(D1157,Товары!A:I,4,0)</f>
        <v>26460</v>
      </c>
      <c r="K1157">
        <f t="shared" si="18"/>
        <v>79380</v>
      </c>
    </row>
    <row r="1158" spans="1:11" hidden="1" x14ac:dyDescent="0.25">
      <c r="A1158">
        <v>1157</v>
      </c>
      <c r="B1158" s="1">
        <v>45755</v>
      </c>
      <c r="C1158" t="s">
        <v>22</v>
      </c>
      <c r="D1158" t="s">
        <v>68</v>
      </c>
      <c r="E1158" t="s">
        <v>13</v>
      </c>
      <c r="F1158">
        <v>2</v>
      </c>
      <c r="G1158" t="str">
        <f>VLOOKUP(D1158,Товары!A:I,3,0)</f>
        <v>Тумба с раковиной  навес. Альба 600 антрацит 1 ящик с умыв. Океан</v>
      </c>
      <c r="H1158">
        <f>VLOOKUP(D1158,Товары!A:I,6,0)</f>
        <v>85</v>
      </c>
      <c r="I1158" t="str">
        <f>VLOOKUP(C1158,Магазины!A:C,3,0)</f>
        <v>Кемерово</v>
      </c>
      <c r="J1158">
        <f>VLOOKUP(D1158,Товары!A:I,4,0)</f>
        <v>17625</v>
      </c>
      <c r="K1158">
        <f t="shared" si="18"/>
        <v>35250</v>
      </c>
    </row>
    <row r="1159" spans="1:11" hidden="1" x14ac:dyDescent="0.25">
      <c r="A1159">
        <v>1158</v>
      </c>
      <c r="B1159" s="1">
        <v>45752</v>
      </c>
      <c r="C1159" t="s">
        <v>30</v>
      </c>
      <c r="D1159" t="s">
        <v>82</v>
      </c>
      <c r="E1159" t="s">
        <v>8</v>
      </c>
      <c r="F1159">
        <v>1</v>
      </c>
      <c r="G1159" t="str">
        <f>VLOOKUP(D1159,Товары!A:I,3,0)</f>
        <v>Тумба с раковиной  навес. Леон 800 форест 2 ящика с умыв. Слим</v>
      </c>
      <c r="H1159">
        <f>VLOOKUP(D1159,Товары!A:I,6,0)</f>
        <v>60</v>
      </c>
      <c r="I1159" t="str">
        <f>VLOOKUP(C1159,Магазины!A:C,3,0)</f>
        <v>Кемерово</v>
      </c>
      <c r="J1159">
        <f>VLOOKUP(D1159,Товары!A:I,4,0)</f>
        <v>27930</v>
      </c>
      <c r="K1159">
        <f t="shared" si="18"/>
        <v>27930</v>
      </c>
    </row>
    <row r="1160" spans="1:11" hidden="1" x14ac:dyDescent="0.25">
      <c r="A1160">
        <v>1159</v>
      </c>
      <c r="B1160" s="1">
        <v>45755</v>
      </c>
      <c r="C1160" t="s">
        <v>111</v>
      </c>
      <c r="D1160" t="s">
        <v>82</v>
      </c>
      <c r="E1160" t="s">
        <v>8</v>
      </c>
      <c r="F1160">
        <v>3</v>
      </c>
      <c r="G1160" t="str">
        <f>VLOOKUP(D1160,Товары!A:I,3,0)</f>
        <v>Тумба с раковиной  навес. Леон 800 форест 2 ящика с умыв. Слим</v>
      </c>
      <c r="H1160">
        <f>VLOOKUP(D1160,Товары!A:I,6,0)</f>
        <v>60</v>
      </c>
      <c r="I1160" t="str">
        <f>VLOOKUP(C1160,Магазины!A:C,3,0)</f>
        <v>Набережные Челны</v>
      </c>
      <c r="J1160">
        <f>VLOOKUP(D1160,Товары!A:I,4,0)</f>
        <v>27930</v>
      </c>
      <c r="K1160">
        <f t="shared" si="18"/>
        <v>83790</v>
      </c>
    </row>
    <row r="1161" spans="1:11" hidden="1" x14ac:dyDescent="0.25">
      <c r="A1161">
        <v>1160</v>
      </c>
      <c r="B1161" s="1">
        <v>45749</v>
      </c>
      <c r="C1161" t="s">
        <v>43</v>
      </c>
      <c r="D1161" t="s">
        <v>55</v>
      </c>
      <c r="E1161" t="s">
        <v>13</v>
      </c>
      <c r="F1161">
        <v>2</v>
      </c>
      <c r="G1161" t="str">
        <f>VLOOKUP(D1161,Товары!A:I,3,0)</f>
        <v>Тумба с раковиной  напол. Рица 600 cерый/керамика 2 ящика с умыв. Океан</v>
      </c>
      <c r="H1161">
        <f>VLOOKUP(D1161,Товары!A:I,6,0)</f>
        <v>80</v>
      </c>
      <c r="I1161" t="str">
        <f>VLOOKUP(C1161,Магазины!A:C,3,0)</f>
        <v>Набережные Челны</v>
      </c>
      <c r="J1161">
        <f>VLOOKUP(D1161,Товары!A:I,4,0)</f>
        <v>25560</v>
      </c>
      <c r="K1161">
        <f t="shared" si="18"/>
        <v>51120</v>
      </c>
    </row>
    <row r="1162" spans="1:11" hidden="1" x14ac:dyDescent="0.25">
      <c r="A1162">
        <v>1161</v>
      </c>
      <c r="B1162" s="1">
        <v>45756</v>
      </c>
      <c r="C1162" t="s">
        <v>28</v>
      </c>
      <c r="D1162" t="s">
        <v>98</v>
      </c>
      <c r="E1162" t="s">
        <v>8</v>
      </c>
      <c r="F1162">
        <v>3</v>
      </c>
      <c r="G1162" t="str">
        <f>VLOOKUP(D1162,Товары!A:I,3,0)</f>
        <v>Тумба с раковиной  напол. Рица 800 cерый/керамика 2 ящика с умыв. Слим</v>
      </c>
      <c r="H1162">
        <f>VLOOKUP(D1162,Товары!A:I,6,0)</f>
        <v>80</v>
      </c>
      <c r="I1162" t="str">
        <f>VLOOKUP(C1162,Магазины!A:C,3,0)</f>
        <v>Набережные Челны</v>
      </c>
      <c r="J1162">
        <f>VLOOKUP(D1162,Товары!A:I,4,0)</f>
        <v>28980</v>
      </c>
      <c r="K1162">
        <f t="shared" si="18"/>
        <v>86940</v>
      </c>
    </row>
    <row r="1163" spans="1:11" hidden="1" x14ac:dyDescent="0.25">
      <c r="A1163">
        <v>1162</v>
      </c>
      <c r="B1163" s="1">
        <v>45750</v>
      </c>
      <c r="C1163" t="s">
        <v>43</v>
      </c>
      <c r="D1163" t="s">
        <v>62</v>
      </c>
      <c r="E1163" t="s">
        <v>13</v>
      </c>
      <c r="F1163">
        <v>3</v>
      </c>
      <c r="G1163" t="str">
        <f>VLOOKUP(D1163,Товары!A:I,3,0)</f>
        <v>Тумба с раковиной  напол. Альба 600 мята 2 ящика с умыв. Океан</v>
      </c>
      <c r="H1163">
        <f>VLOOKUP(D1163,Товары!A:I,6,0)</f>
        <v>80</v>
      </c>
      <c r="I1163" t="str">
        <f>VLOOKUP(C1163,Магазины!A:C,3,0)</f>
        <v>Набережные Челны</v>
      </c>
      <c r="J1163">
        <f>VLOOKUP(D1163,Товары!A:I,4,0)</f>
        <v>26370</v>
      </c>
      <c r="K1163">
        <f t="shared" si="18"/>
        <v>79110</v>
      </c>
    </row>
    <row r="1164" spans="1:11" hidden="1" x14ac:dyDescent="0.25">
      <c r="A1164">
        <v>1163</v>
      </c>
      <c r="B1164" s="1">
        <v>45749</v>
      </c>
      <c r="C1164" t="s">
        <v>43</v>
      </c>
      <c r="D1164" t="s">
        <v>32</v>
      </c>
      <c r="E1164" t="s">
        <v>8</v>
      </c>
      <c r="F1164">
        <v>2</v>
      </c>
      <c r="G1164" t="str">
        <f>VLOOKUP(D1164,Товары!A:I,3,0)</f>
        <v>Тумба с раковиной  напол. Леон Риф 700 солярис/белый риф 2 ящика с умыв. Слим</v>
      </c>
      <c r="H1164">
        <f>VLOOKUP(D1164,Товары!A:I,6,0)</f>
        <v>85</v>
      </c>
      <c r="I1164" t="str">
        <f>VLOOKUP(C1164,Магазины!A:C,3,0)</f>
        <v>Набережные Челны</v>
      </c>
      <c r="J1164">
        <f>VLOOKUP(D1164,Товары!A:I,4,0)</f>
        <v>26460</v>
      </c>
      <c r="K1164">
        <f t="shared" si="18"/>
        <v>52920</v>
      </c>
    </row>
    <row r="1165" spans="1:11" hidden="1" x14ac:dyDescent="0.25">
      <c r="A1165">
        <v>1164</v>
      </c>
      <c r="B1165" s="1">
        <v>45749</v>
      </c>
      <c r="C1165" t="s">
        <v>92</v>
      </c>
      <c r="D1165" t="s">
        <v>71</v>
      </c>
      <c r="E1165" t="s">
        <v>8</v>
      </c>
      <c r="F1165">
        <v>1</v>
      </c>
      <c r="G1165" t="str">
        <f>VLOOKUP(D1165,Товары!A:I,3,0)</f>
        <v>Тумба с раковиной  навес. Альба 600 мята 2 ящика с умыв. Океан</v>
      </c>
      <c r="H1165">
        <f>VLOOKUP(D1165,Товары!A:I,6,0)</f>
        <v>50</v>
      </c>
      <c r="I1165" t="str">
        <f>VLOOKUP(C1165,Магазины!A:C,3,0)</f>
        <v>Кемерово</v>
      </c>
      <c r="J1165">
        <f>VLOOKUP(D1165,Товары!A:I,4,0)</f>
        <v>24810</v>
      </c>
      <c r="K1165">
        <f t="shared" si="18"/>
        <v>24810</v>
      </c>
    </row>
    <row r="1166" spans="1:11" hidden="1" x14ac:dyDescent="0.25">
      <c r="A1166">
        <v>1165</v>
      </c>
      <c r="B1166" s="1">
        <v>45753</v>
      </c>
      <c r="C1166" t="s">
        <v>6</v>
      </c>
      <c r="D1166" t="s">
        <v>85</v>
      </c>
      <c r="E1166" t="s">
        <v>8</v>
      </c>
      <c r="F1166">
        <v>2</v>
      </c>
      <c r="G1166" t="str">
        <f>VLOOKUP(D1166,Товары!A:I,3,0)</f>
        <v>Пенал напол. Аква 450 белый 2 двери + 2 ящика + корзина</v>
      </c>
      <c r="H1166">
        <f>VLOOKUP(D1166,Товары!A:I,6,0)</f>
        <v>190</v>
      </c>
      <c r="I1166" t="str">
        <f>VLOOKUP(C1166,Магазины!A:C,3,0)</f>
        <v>Оренбург</v>
      </c>
      <c r="J1166">
        <f>VLOOKUP(D1166,Товары!A:I,4,0)</f>
        <v>13335</v>
      </c>
      <c r="K1166">
        <f t="shared" si="18"/>
        <v>26670</v>
      </c>
    </row>
    <row r="1167" spans="1:11" hidden="1" x14ac:dyDescent="0.25">
      <c r="A1167">
        <v>1166</v>
      </c>
      <c r="B1167" s="1">
        <v>45755</v>
      </c>
      <c r="C1167" t="s">
        <v>58</v>
      </c>
      <c r="D1167" t="s">
        <v>128</v>
      </c>
      <c r="E1167" t="s">
        <v>8</v>
      </c>
      <c r="F1167">
        <v>3</v>
      </c>
      <c r="G1167" t="str">
        <f>VLOOKUP(D1167,Товары!A:I,3,0)</f>
        <v>Тумба с раковиной  напол. Куба Риф 1000 белый 2 ящика с умыв. Слим</v>
      </c>
      <c r="H1167">
        <f>VLOOKUP(D1167,Товары!A:I,6,0)</f>
        <v>85</v>
      </c>
      <c r="I1167" t="str">
        <f>VLOOKUP(C1167,Магазины!A:C,3,0)</f>
        <v>Ставрополь</v>
      </c>
      <c r="J1167">
        <f>VLOOKUP(D1167,Товары!A:I,4,0)</f>
        <v>22905</v>
      </c>
      <c r="K1167">
        <f t="shared" si="18"/>
        <v>68715</v>
      </c>
    </row>
    <row r="1168" spans="1:11" hidden="1" x14ac:dyDescent="0.25">
      <c r="A1168">
        <v>1167</v>
      </c>
      <c r="B1168" s="1">
        <v>45753</v>
      </c>
      <c r="C1168" t="s">
        <v>26</v>
      </c>
      <c r="D1168" t="s">
        <v>110</v>
      </c>
      <c r="E1168" t="s">
        <v>13</v>
      </c>
      <c r="F1168">
        <v>1</v>
      </c>
      <c r="G1168" t="str">
        <f>VLOOKUP(D1168,Товары!A:I,3,0)</f>
        <v>Тумба с раковиной  напол. Альба 600 антрацит 2 ящика с умыв. Океан</v>
      </c>
      <c r="H1168">
        <f>VLOOKUP(D1168,Товары!A:I,6,0)</f>
        <v>80</v>
      </c>
      <c r="I1168" t="str">
        <f>VLOOKUP(C1168,Магазины!A:C,3,0)</f>
        <v>Оренбург</v>
      </c>
      <c r="J1168">
        <f>VLOOKUP(D1168,Товары!A:I,4,0)</f>
        <v>26370</v>
      </c>
      <c r="K1168">
        <f t="shared" si="18"/>
        <v>26370</v>
      </c>
    </row>
    <row r="1169" spans="1:11" hidden="1" x14ac:dyDescent="0.25">
      <c r="A1169">
        <v>1168</v>
      </c>
      <c r="B1169" s="1">
        <v>45754</v>
      </c>
      <c r="C1169" t="s">
        <v>28</v>
      </c>
      <c r="D1169" t="s">
        <v>37</v>
      </c>
      <c r="E1169" t="s">
        <v>8</v>
      </c>
      <c r="F1169">
        <v>3</v>
      </c>
      <c r="G1169" t="str">
        <f>VLOOKUP(D1169,Товары!A:I,3,0)</f>
        <v>Зеркальный шкаф Сохо 70 белый со светильником правый цвет Белый глянец</v>
      </c>
      <c r="H1169">
        <f>VLOOKUP(D1169,Товары!A:I,6,0)</f>
        <v>75</v>
      </c>
      <c r="I1169" t="str">
        <f>VLOOKUP(C1169,Магазины!A:C,3,0)</f>
        <v>Набережные Челны</v>
      </c>
      <c r="J1169">
        <f>VLOOKUP(D1169,Товары!A:I,4,0)</f>
        <v>7935</v>
      </c>
      <c r="K1169">
        <f t="shared" si="18"/>
        <v>23805</v>
      </c>
    </row>
    <row r="1170" spans="1:11" hidden="1" x14ac:dyDescent="0.25">
      <c r="A1170">
        <v>1169</v>
      </c>
      <c r="B1170" s="1">
        <v>45756</v>
      </c>
      <c r="C1170" t="s">
        <v>111</v>
      </c>
      <c r="D1170" t="s">
        <v>67</v>
      </c>
      <c r="E1170" t="s">
        <v>8</v>
      </c>
      <c r="F1170">
        <v>2</v>
      </c>
      <c r="G1170" t="str">
        <f>VLOOKUP(D1170,Товары!A:I,3,0)</f>
        <v>Пенал навес./напол. Альба 350 суфле 2 двери</v>
      </c>
      <c r="H1170">
        <f>VLOOKUP(D1170,Товары!A:I,6,0)</f>
        <v>150</v>
      </c>
      <c r="I1170" t="str">
        <f>VLOOKUP(C1170,Магазины!A:C,3,0)</f>
        <v>Набережные Челны</v>
      </c>
      <c r="J1170">
        <f>VLOOKUP(D1170,Товары!A:I,4,0)</f>
        <v>11655</v>
      </c>
      <c r="K1170">
        <f t="shared" si="18"/>
        <v>23310</v>
      </c>
    </row>
    <row r="1171" spans="1:11" hidden="1" x14ac:dyDescent="0.25">
      <c r="A1171">
        <v>1170</v>
      </c>
      <c r="B1171" s="1">
        <v>45757</v>
      </c>
      <c r="C1171" t="s">
        <v>9</v>
      </c>
      <c r="D1171" t="s">
        <v>99</v>
      </c>
      <c r="E1171" t="s">
        <v>13</v>
      </c>
      <c r="F1171">
        <v>3</v>
      </c>
      <c r="G1171" t="str">
        <f>VLOOKUP(D1171,Товары!A:I,3,0)</f>
        <v>Тумба с раковиной  навес. Леон 600 оникс 2 ящика с умыв. Слим</v>
      </c>
      <c r="H1171">
        <f>VLOOKUP(D1171,Товары!A:I,6,0)</f>
        <v>60</v>
      </c>
      <c r="I1171" t="str">
        <f>VLOOKUP(C1171,Магазины!A:C,3,0)</f>
        <v>Кемерово</v>
      </c>
      <c r="J1171">
        <f>VLOOKUP(D1171,Товары!A:I,4,0)</f>
        <v>25125</v>
      </c>
      <c r="K1171">
        <f t="shared" si="18"/>
        <v>75375</v>
      </c>
    </row>
    <row r="1172" spans="1:11" hidden="1" x14ac:dyDescent="0.25">
      <c r="A1172">
        <v>1171</v>
      </c>
      <c r="B1172" s="1">
        <v>45753</v>
      </c>
      <c r="C1172" t="s">
        <v>22</v>
      </c>
      <c r="D1172" t="s">
        <v>126</v>
      </c>
      <c r="E1172" t="s">
        <v>8</v>
      </c>
      <c r="F1172">
        <v>1</v>
      </c>
      <c r="G1172" t="str">
        <f>VLOOKUP(D1172,Товары!A:I,3,0)</f>
        <v>Тумба с раковиной  напол. Кристалл 800 шато азур 2 ящика с умыв. Комфорт</v>
      </c>
      <c r="H1172">
        <f>VLOOKUP(D1172,Товары!A:I,6,0)</f>
        <v>85</v>
      </c>
      <c r="I1172" t="str">
        <f>VLOOKUP(C1172,Магазины!A:C,3,0)</f>
        <v>Кемерово</v>
      </c>
      <c r="J1172">
        <f>VLOOKUP(D1172,Товары!A:I,4,0)</f>
        <v>31125</v>
      </c>
      <c r="K1172">
        <f t="shared" si="18"/>
        <v>31125</v>
      </c>
    </row>
    <row r="1173" spans="1:11" hidden="1" x14ac:dyDescent="0.25">
      <c r="A1173">
        <v>1172</v>
      </c>
      <c r="B1173" s="1">
        <v>45751</v>
      </c>
      <c r="C1173" t="s">
        <v>41</v>
      </c>
      <c r="D1173" t="s">
        <v>21</v>
      </c>
      <c r="E1173" t="s">
        <v>8</v>
      </c>
      <c r="F1173">
        <v>3</v>
      </c>
      <c r="G1173" t="str">
        <f>VLOOKUP(D1173,Товары!A:I,3,0)</f>
        <v>Зеркальный шкаф Рица 60 со светильником правый цвет cерый/керамика</v>
      </c>
      <c r="H1173">
        <f>VLOOKUP(D1173,Товары!A:I,6,0)</f>
        <v>75</v>
      </c>
      <c r="I1173" t="str">
        <f>VLOOKUP(C1173,Магазины!A:C,3,0)</f>
        <v>Ставрополь</v>
      </c>
      <c r="J1173">
        <f>VLOOKUP(D1173,Товары!A:I,4,0)</f>
        <v>8910</v>
      </c>
      <c r="K1173">
        <f t="shared" si="18"/>
        <v>26730</v>
      </c>
    </row>
    <row r="1174" spans="1:11" hidden="1" x14ac:dyDescent="0.25">
      <c r="A1174">
        <v>1173</v>
      </c>
      <c r="B1174" s="1">
        <v>45750</v>
      </c>
      <c r="C1174" t="s">
        <v>111</v>
      </c>
      <c r="D1174" t="s">
        <v>99</v>
      </c>
      <c r="E1174" t="s">
        <v>8</v>
      </c>
      <c r="F1174">
        <v>1</v>
      </c>
      <c r="G1174" t="str">
        <f>VLOOKUP(D1174,Товары!A:I,3,0)</f>
        <v>Тумба с раковиной  навес. Леон 600 оникс 2 ящика с умыв. Слим</v>
      </c>
      <c r="H1174">
        <f>VLOOKUP(D1174,Товары!A:I,6,0)</f>
        <v>60</v>
      </c>
      <c r="I1174" t="str">
        <f>VLOOKUP(C1174,Магазины!A:C,3,0)</f>
        <v>Набережные Челны</v>
      </c>
      <c r="J1174">
        <f>VLOOKUP(D1174,Товары!A:I,4,0)</f>
        <v>25125</v>
      </c>
      <c r="K1174">
        <f t="shared" si="18"/>
        <v>25125</v>
      </c>
    </row>
    <row r="1175" spans="1:11" hidden="1" x14ac:dyDescent="0.25">
      <c r="A1175">
        <v>1174</v>
      </c>
      <c r="B1175" s="1">
        <v>45751</v>
      </c>
      <c r="C1175" t="s">
        <v>6</v>
      </c>
      <c r="D1175" t="s">
        <v>97</v>
      </c>
      <c r="E1175" t="s">
        <v>8</v>
      </c>
      <c r="F1175">
        <v>1</v>
      </c>
      <c r="G1175" t="str">
        <f>VLOOKUP(D1175,Товары!A:I,3,0)</f>
        <v>Пенал напол. Кристалл 350 суфле 2 двери</v>
      </c>
      <c r="H1175">
        <f>VLOOKUP(D1175,Товары!A:I,6,0)</f>
        <v>190</v>
      </c>
      <c r="I1175" t="str">
        <f>VLOOKUP(C1175,Магазины!A:C,3,0)</f>
        <v>Оренбург</v>
      </c>
      <c r="J1175">
        <f>VLOOKUP(D1175,Товары!A:I,4,0)</f>
        <v>15810</v>
      </c>
      <c r="K1175">
        <f t="shared" si="18"/>
        <v>15810</v>
      </c>
    </row>
    <row r="1176" spans="1:11" hidden="1" x14ac:dyDescent="0.25">
      <c r="A1176">
        <v>1175</v>
      </c>
      <c r="B1176" s="1">
        <v>45751</v>
      </c>
      <c r="C1176" t="s">
        <v>14</v>
      </c>
      <c r="D1176" t="s">
        <v>100</v>
      </c>
      <c r="E1176" t="s">
        <v>8</v>
      </c>
      <c r="F1176">
        <v>2</v>
      </c>
      <c r="G1176" t="str">
        <f>VLOOKUP(D1176,Товары!A:I,3,0)</f>
        <v>Тумба с раковиной  навес. Альба 800 мята 1 ящик с умыв. Слим</v>
      </c>
      <c r="H1176">
        <f>VLOOKUP(D1176,Товары!A:I,6,0)</f>
        <v>45</v>
      </c>
      <c r="I1176" t="str">
        <f>VLOOKUP(C1176,Магазины!A:C,3,0)</f>
        <v>Оренбург</v>
      </c>
      <c r="J1176">
        <f>VLOOKUP(D1176,Товары!A:I,4,0)</f>
        <v>21630</v>
      </c>
      <c r="K1176">
        <f t="shared" si="18"/>
        <v>43260</v>
      </c>
    </row>
    <row r="1177" spans="1:11" hidden="1" x14ac:dyDescent="0.25">
      <c r="A1177">
        <v>1176</v>
      </c>
      <c r="B1177" s="1">
        <v>45749</v>
      </c>
      <c r="C1177" t="s">
        <v>63</v>
      </c>
      <c r="D1177" t="s">
        <v>44</v>
      </c>
      <c r="E1177" t="s">
        <v>13</v>
      </c>
      <c r="F1177">
        <v>3</v>
      </c>
      <c r="G1177" t="str">
        <f>VLOOKUP(D1177,Товары!A:I,3,0)</f>
        <v>Тумба с раковиной  навес. Кристалл 800 шато азур 2 ящика с умыв. Комфорт</v>
      </c>
      <c r="H1177">
        <f>VLOOKUP(D1177,Товары!A:I,6,0)</f>
        <v>55</v>
      </c>
      <c r="I1177" t="str">
        <f>VLOOKUP(C1177,Магазины!A:C,3,0)</f>
        <v>Ставрополь</v>
      </c>
      <c r="J1177">
        <f>VLOOKUP(D1177,Товары!A:I,4,0)</f>
        <v>25080</v>
      </c>
      <c r="K1177">
        <f t="shared" si="18"/>
        <v>75240</v>
      </c>
    </row>
    <row r="1178" spans="1:11" hidden="1" x14ac:dyDescent="0.25">
      <c r="A1178">
        <v>1177</v>
      </c>
      <c r="B1178" s="1">
        <v>45750</v>
      </c>
      <c r="C1178" t="s">
        <v>63</v>
      </c>
      <c r="D1178" t="s">
        <v>65</v>
      </c>
      <c r="E1178" t="s">
        <v>13</v>
      </c>
      <c r="F1178">
        <v>2</v>
      </c>
      <c r="G1178" t="str">
        <f>VLOOKUP(D1178,Товары!A:I,3,0)</f>
        <v>Тумба с раковиной  навес. Альба 800 суфле 2 ящика с умыв. Слим</v>
      </c>
      <c r="H1178">
        <f>VLOOKUP(D1178,Товары!A:I,6,0)</f>
        <v>50</v>
      </c>
      <c r="I1178" t="str">
        <f>VLOOKUP(C1178,Магазины!A:C,3,0)</f>
        <v>Ставрополь</v>
      </c>
      <c r="J1178">
        <f>VLOOKUP(D1178,Товары!A:I,4,0)</f>
        <v>26070</v>
      </c>
      <c r="K1178">
        <f t="shared" si="18"/>
        <v>52140</v>
      </c>
    </row>
    <row r="1179" spans="1:11" hidden="1" x14ac:dyDescent="0.25">
      <c r="A1179">
        <v>1178</v>
      </c>
      <c r="B1179" s="1">
        <v>45757</v>
      </c>
      <c r="C1179" t="s">
        <v>48</v>
      </c>
      <c r="D1179" t="s">
        <v>12</v>
      </c>
      <c r="E1179" t="s">
        <v>13</v>
      </c>
      <c r="F1179">
        <v>2</v>
      </c>
      <c r="G1179" t="str">
        <f>VLOOKUP(D1179,Товары!A:I,3,0)</f>
        <v>Тумба с раковиной  напол. Сохо 700 белый 2 двери с умыв. Слим</v>
      </c>
      <c r="H1179">
        <f>VLOOKUP(D1179,Товары!A:I,6,0)</f>
        <v>85</v>
      </c>
      <c r="I1179" t="str">
        <f>VLOOKUP(C1179,Магазины!A:C,3,0)</f>
        <v>Ставрополь</v>
      </c>
      <c r="J1179">
        <f>VLOOKUP(D1179,Товары!A:I,4,0)</f>
        <v>17160</v>
      </c>
      <c r="K1179">
        <f t="shared" si="18"/>
        <v>34320</v>
      </c>
    </row>
    <row r="1180" spans="1:11" hidden="1" x14ac:dyDescent="0.25">
      <c r="A1180">
        <v>1179</v>
      </c>
      <c r="B1180" s="1">
        <v>45757</v>
      </c>
      <c r="C1180" t="s">
        <v>103</v>
      </c>
      <c r="D1180" t="s">
        <v>64</v>
      </c>
      <c r="E1180" t="s">
        <v>8</v>
      </c>
      <c r="F1180">
        <v>3</v>
      </c>
      <c r="G1180" t="str">
        <f>VLOOKUP(D1180,Товары!A:I,3,0)</f>
        <v>Тумба с раковиной  напол. Рица 800 антрацит 2 ящика с умыв. Слим</v>
      </c>
      <c r="H1180">
        <f>VLOOKUP(D1180,Товары!A:I,6,0)</f>
        <v>80</v>
      </c>
      <c r="I1180" t="str">
        <f>VLOOKUP(C1180,Магазины!A:C,3,0)</f>
        <v>Ставрополь</v>
      </c>
      <c r="J1180">
        <f>VLOOKUP(D1180,Товары!A:I,4,0)</f>
        <v>28980</v>
      </c>
      <c r="K1180">
        <f t="shared" si="18"/>
        <v>86940</v>
      </c>
    </row>
    <row r="1181" spans="1:11" hidden="1" x14ac:dyDescent="0.25">
      <c r="A1181">
        <v>1180</v>
      </c>
      <c r="B1181" s="1">
        <v>45754</v>
      </c>
      <c r="C1181" t="s">
        <v>48</v>
      </c>
      <c r="D1181" t="s">
        <v>107</v>
      </c>
      <c r="E1181" t="s">
        <v>8</v>
      </c>
      <c r="F1181">
        <v>2</v>
      </c>
      <c r="G1181" t="str">
        <f>VLOOKUP(D1181,Товары!A:I,3,0)</f>
        <v>Комод Аква 35 напольный 1 дверь белый правый</v>
      </c>
      <c r="H1181">
        <f>VLOOKUP(D1181,Товары!A:I,6,0)</f>
        <v>90</v>
      </c>
      <c r="I1181" t="str">
        <f>VLOOKUP(C1181,Магазины!A:C,3,0)</f>
        <v>Ставрополь</v>
      </c>
      <c r="J1181">
        <f>VLOOKUP(D1181,Товары!A:I,4,0)</f>
        <v>6705</v>
      </c>
      <c r="K1181">
        <f t="shared" si="18"/>
        <v>13410</v>
      </c>
    </row>
    <row r="1182" spans="1:11" hidden="1" x14ac:dyDescent="0.25">
      <c r="A1182">
        <v>1181</v>
      </c>
      <c r="B1182" s="1">
        <v>45757</v>
      </c>
      <c r="C1182" t="s">
        <v>26</v>
      </c>
      <c r="D1182" t="s">
        <v>82</v>
      </c>
      <c r="E1182" t="s">
        <v>13</v>
      </c>
      <c r="F1182">
        <v>1</v>
      </c>
      <c r="G1182" t="str">
        <f>VLOOKUP(D1182,Товары!A:I,3,0)</f>
        <v>Тумба с раковиной  навес. Леон 800 форест 2 ящика с умыв. Слим</v>
      </c>
      <c r="H1182">
        <f>VLOOKUP(D1182,Товары!A:I,6,0)</f>
        <v>60</v>
      </c>
      <c r="I1182" t="str">
        <f>VLOOKUP(C1182,Магазины!A:C,3,0)</f>
        <v>Оренбург</v>
      </c>
      <c r="J1182">
        <f>VLOOKUP(D1182,Товары!A:I,4,0)</f>
        <v>27930</v>
      </c>
      <c r="K1182">
        <f t="shared" si="18"/>
        <v>27930</v>
      </c>
    </row>
    <row r="1183" spans="1:11" hidden="1" x14ac:dyDescent="0.25">
      <c r="A1183">
        <v>1182</v>
      </c>
      <c r="B1183" s="1">
        <v>45755</v>
      </c>
      <c r="C1183" t="s">
        <v>6</v>
      </c>
      <c r="D1183" t="s">
        <v>106</v>
      </c>
      <c r="E1183" t="s">
        <v>8</v>
      </c>
      <c r="F1183">
        <v>1</v>
      </c>
      <c r="G1183" t="str">
        <f>VLOOKUP(D1183,Товары!A:I,3,0)</f>
        <v>Тумба с раковиной  навес. Кристалл 700 шато азур 2 ящика с умыв. Слим</v>
      </c>
      <c r="H1183">
        <f>VLOOKUP(D1183,Товары!A:I,6,0)</f>
        <v>60</v>
      </c>
      <c r="I1183" t="str">
        <f>VLOOKUP(C1183,Магазины!A:C,3,0)</f>
        <v>Оренбург</v>
      </c>
      <c r="J1183">
        <f>VLOOKUP(D1183,Товары!A:I,4,0)</f>
        <v>24150</v>
      </c>
      <c r="K1183">
        <f t="shared" si="18"/>
        <v>24150</v>
      </c>
    </row>
    <row r="1184" spans="1:11" hidden="1" x14ac:dyDescent="0.25">
      <c r="A1184">
        <v>1183</v>
      </c>
      <c r="B1184" s="1">
        <v>45755</v>
      </c>
      <c r="C1184" t="s">
        <v>43</v>
      </c>
      <c r="D1184" t="s">
        <v>39</v>
      </c>
      <c r="E1184" t="s">
        <v>13</v>
      </c>
      <c r="F1184">
        <v>2</v>
      </c>
      <c r="G1184" t="str">
        <f>VLOOKUP(D1184,Товары!A:I,3,0)</f>
        <v>Тумба с раковиной  напол. Альба 700 мята 2 ящика с умыв. Слим</v>
      </c>
      <c r="H1184">
        <f>VLOOKUP(D1184,Товары!A:I,6,0)</f>
        <v>85</v>
      </c>
      <c r="I1184" t="str">
        <f>VLOOKUP(C1184,Магазины!A:C,3,0)</f>
        <v>Набережные Челны</v>
      </c>
      <c r="J1184">
        <f>VLOOKUP(D1184,Товары!A:I,4,0)</f>
        <v>28695</v>
      </c>
      <c r="K1184">
        <f t="shared" si="18"/>
        <v>57390</v>
      </c>
    </row>
    <row r="1185" spans="1:11" hidden="1" x14ac:dyDescent="0.25">
      <c r="A1185">
        <v>1184</v>
      </c>
      <c r="B1185" s="1">
        <v>45749</v>
      </c>
      <c r="C1185" t="s">
        <v>18</v>
      </c>
      <c r="D1185" t="s">
        <v>131</v>
      </c>
      <c r="E1185" t="s">
        <v>13</v>
      </c>
      <c r="F1185">
        <v>3</v>
      </c>
      <c r="G1185" t="str">
        <f>VLOOKUP(D1185,Товары!A:I,3,0)</f>
        <v>Тумба с раковиной  напол. Леон 800 форест 2 ящика с умыв. Слим</v>
      </c>
      <c r="H1185">
        <f>VLOOKUP(D1185,Товары!A:I,6,0)</f>
        <v>80</v>
      </c>
      <c r="I1185" t="str">
        <f>VLOOKUP(C1185,Магазины!A:C,3,0)</f>
        <v>Набережные Челны</v>
      </c>
      <c r="J1185">
        <f>VLOOKUP(D1185,Товары!A:I,4,0)</f>
        <v>29400</v>
      </c>
      <c r="K1185">
        <f t="shared" si="18"/>
        <v>88200</v>
      </c>
    </row>
    <row r="1186" spans="1:11" hidden="1" x14ac:dyDescent="0.25">
      <c r="A1186">
        <v>1185</v>
      </c>
      <c r="B1186" s="1">
        <v>45757</v>
      </c>
      <c r="C1186" t="s">
        <v>43</v>
      </c>
      <c r="D1186" t="s">
        <v>130</v>
      </c>
      <c r="E1186" t="s">
        <v>13</v>
      </c>
      <c r="F1186">
        <v>2</v>
      </c>
      <c r="G1186" t="str">
        <f>VLOOKUP(D1186,Товары!A:I,3,0)</f>
        <v>Пенал напол. Леон 400 форест 2 двери + 1 ящик</v>
      </c>
      <c r="H1186">
        <f>VLOOKUP(D1186,Товары!A:I,6,0)</f>
        <v>190</v>
      </c>
      <c r="I1186" t="str">
        <f>VLOOKUP(C1186,Магазины!A:C,3,0)</f>
        <v>Набережные Челны</v>
      </c>
      <c r="J1186">
        <f>VLOOKUP(D1186,Товары!A:I,4,0)</f>
        <v>18450</v>
      </c>
      <c r="K1186">
        <f t="shared" si="18"/>
        <v>36900</v>
      </c>
    </row>
    <row r="1187" spans="1:11" hidden="1" x14ac:dyDescent="0.25">
      <c r="A1187">
        <v>1186</v>
      </c>
      <c r="B1187" s="1">
        <v>45751</v>
      </c>
      <c r="C1187" t="s">
        <v>43</v>
      </c>
      <c r="D1187" t="s">
        <v>65</v>
      </c>
      <c r="E1187" t="s">
        <v>8</v>
      </c>
      <c r="F1187">
        <v>1</v>
      </c>
      <c r="G1187" t="str">
        <f>VLOOKUP(D1187,Товары!A:I,3,0)</f>
        <v>Тумба с раковиной  навес. Альба 800 суфле 2 ящика с умыв. Слим</v>
      </c>
      <c r="H1187">
        <f>VLOOKUP(D1187,Товары!A:I,6,0)</f>
        <v>50</v>
      </c>
      <c r="I1187" t="str">
        <f>VLOOKUP(C1187,Магазины!A:C,3,0)</f>
        <v>Набережные Челны</v>
      </c>
      <c r="J1187">
        <f>VLOOKUP(D1187,Товары!A:I,4,0)</f>
        <v>26070</v>
      </c>
      <c r="K1187">
        <f t="shared" si="18"/>
        <v>26070</v>
      </c>
    </row>
    <row r="1188" spans="1:11" hidden="1" x14ac:dyDescent="0.25">
      <c r="A1188">
        <v>1187</v>
      </c>
      <c r="B1188" s="1">
        <v>45749</v>
      </c>
      <c r="C1188" t="s">
        <v>43</v>
      </c>
      <c r="D1188" t="s">
        <v>91</v>
      </c>
      <c r="E1188" t="s">
        <v>8</v>
      </c>
      <c r="F1188">
        <v>1</v>
      </c>
      <c r="G1188" t="str">
        <f>VLOOKUP(D1188,Товары!A:I,3,0)</f>
        <v>Пенал навес./напол. Альба 350 мята 2 двери</v>
      </c>
      <c r="H1188">
        <f>VLOOKUP(D1188,Товары!A:I,6,0)</f>
        <v>150</v>
      </c>
      <c r="I1188" t="str">
        <f>VLOOKUP(C1188,Магазины!A:C,3,0)</f>
        <v>Набережные Челны</v>
      </c>
      <c r="J1188">
        <f>VLOOKUP(D1188,Товары!A:I,4,0)</f>
        <v>11655</v>
      </c>
      <c r="K1188">
        <f t="shared" si="18"/>
        <v>11655</v>
      </c>
    </row>
    <row r="1189" spans="1:11" hidden="1" x14ac:dyDescent="0.25">
      <c r="A1189">
        <v>1188</v>
      </c>
      <c r="B1189" s="1">
        <v>45755</v>
      </c>
      <c r="C1189" t="s">
        <v>11</v>
      </c>
      <c r="D1189" t="s">
        <v>131</v>
      </c>
      <c r="E1189" t="s">
        <v>8</v>
      </c>
      <c r="F1189">
        <v>1</v>
      </c>
      <c r="G1189" t="str">
        <f>VLOOKUP(D1189,Товары!A:I,3,0)</f>
        <v>Тумба с раковиной  напол. Леон 800 форест 2 ящика с умыв. Слим</v>
      </c>
      <c r="H1189">
        <f>VLOOKUP(D1189,Товары!A:I,6,0)</f>
        <v>80</v>
      </c>
      <c r="I1189" t="str">
        <f>VLOOKUP(C1189,Магазины!A:C,3,0)</f>
        <v>Кемерово</v>
      </c>
      <c r="J1189">
        <f>VLOOKUP(D1189,Товары!A:I,4,0)</f>
        <v>29400</v>
      </c>
      <c r="K1189">
        <f t="shared" si="18"/>
        <v>29400</v>
      </c>
    </row>
    <row r="1190" spans="1:11" hidden="1" x14ac:dyDescent="0.25">
      <c r="A1190">
        <v>1189</v>
      </c>
      <c r="B1190" s="1">
        <v>45749</v>
      </c>
      <c r="C1190" t="s">
        <v>6</v>
      </c>
      <c r="D1190" t="s">
        <v>69</v>
      </c>
      <c r="E1190" t="s">
        <v>8</v>
      </c>
      <c r="F1190">
        <v>3</v>
      </c>
      <c r="G1190" t="str">
        <f>VLOOKUP(D1190,Товары!A:I,3,0)</f>
        <v>Пенал навес./напол. Альба 350 антрацит 2 двери</v>
      </c>
      <c r="H1190">
        <f>VLOOKUP(D1190,Товары!A:I,6,0)</f>
        <v>150</v>
      </c>
      <c r="I1190" t="str">
        <f>VLOOKUP(C1190,Магазины!A:C,3,0)</f>
        <v>Оренбург</v>
      </c>
      <c r="J1190">
        <f>VLOOKUP(D1190,Товары!A:I,4,0)</f>
        <v>11655</v>
      </c>
      <c r="K1190">
        <f t="shared" si="18"/>
        <v>34965</v>
      </c>
    </row>
    <row r="1191" spans="1:11" hidden="1" x14ac:dyDescent="0.25">
      <c r="A1191">
        <v>1190</v>
      </c>
      <c r="B1191" s="1">
        <v>45753</v>
      </c>
      <c r="C1191" t="s">
        <v>16</v>
      </c>
      <c r="D1191" t="s">
        <v>72</v>
      </c>
      <c r="E1191" t="s">
        <v>13</v>
      </c>
      <c r="F1191">
        <v>1</v>
      </c>
      <c r="G1191" t="str">
        <f>VLOOKUP(D1191,Товары!A:I,3,0)</f>
        <v>Тумба с раковиной  напол. Сохо 600 белый 2 ящика с умыв. Океан</v>
      </c>
      <c r="H1191">
        <f>VLOOKUP(D1191,Товары!A:I,6,0)</f>
        <v>85</v>
      </c>
      <c r="I1191" t="str">
        <f>VLOOKUP(C1191,Магазины!A:C,3,0)</f>
        <v>Оренбург</v>
      </c>
      <c r="J1191">
        <f>VLOOKUP(D1191,Товары!A:I,4,0)</f>
        <v>16140</v>
      </c>
      <c r="K1191">
        <f t="shared" si="18"/>
        <v>16140</v>
      </c>
    </row>
    <row r="1192" spans="1:11" hidden="1" x14ac:dyDescent="0.25">
      <c r="A1192">
        <v>1191</v>
      </c>
      <c r="B1192" s="1">
        <v>45757</v>
      </c>
      <c r="C1192" t="s">
        <v>28</v>
      </c>
      <c r="D1192" t="s">
        <v>107</v>
      </c>
      <c r="E1192" t="s">
        <v>8</v>
      </c>
      <c r="F1192">
        <v>2</v>
      </c>
      <c r="G1192" t="str">
        <f>VLOOKUP(D1192,Товары!A:I,3,0)</f>
        <v>Комод Аква 35 напольный 1 дверь белый правый</v>
      </c>
      <c r="H1192">
        <f>VLOOKUP(D1192,Товары!A:I,6,0)</f>
        <v>90</v>
      </c>
      <c r="I1192" t="str">
        <f>VLOOKUP(C1192,Магазины!A:C,3,0)</f>
        <v>Набережные Челны</v>
      </c>
      <c r="J1192">
        <f>VLOOKUP(D1192,Товары!A:I,4,0)</f>
        <v>6705</v>
      </c>
      <c r="K1192">
        <f t="shared" si="18"/>
        <v>13410</v>
      </c>
    </row>
    <row r="1193" spans="1:11" hidden="1" x14ac:dyDescent="0.25">
      <c r="A1193">
        <v>1192</v>
      </c>
      <c r="B1193" s="1">
        <v>45754</v>
      </c>
      <c r="C1193" t="s">
        <v>6</v>
      </c>
      <c r="D1193" t="s">
        <v>85</v>
      </c>
      <c r="E1193" t="s">
        <v>13</v>
      </c>
      <c r="F1193">
        <v>3</v>
      </c>
      <c r="G1193" t="str">
        <f>VLOOKUP(D1193,Товары!A:I,3,0)</f>
        <v>Пенал напол. Аква 450 белый 2 двери + 2 ящика + корзина</v>
      </c>
      <c r="H1193">
        <f>VLOOKUP(D1193,Товары!A:I,6,0)</f>
        <v>190</v>
      </c>
      <c r="I1193" t="str">
        <f>VLOOKUP(C1193,Магазины!A:C,3,0)</f>
        <v>Оренбург</v>
      </c>
      <c r="J1193">
        <f>VLOOKUP(D1193,Товары!A:I,4,0)</f>
        <v>13335</v>
      </c>
      <c r="K1193">
        <f t="shared" si="18"/>
        <v>40005</v>
      </c>
    </row>
    <row r="1194" spans="1:11" hidden="1" x14ac:dyDescent="0.25">
      <c r="A1194">
        <v>1193</v>
      </c>
      <c r="B1194" s="1">
        <v>45755</v>
      </c>
      <c r="C1194" t="s">
        <v>103</v>
      </c>
      <c r="D1194" t="s">
        <v>38</v>
      </c>
      <c r="E1194" t="s">
        <v>13</v>
      </c>
      <c r="F1194">
        <v>2</v>
      </c>
      <c r="G1194" t="str">
        <f>VLOOKUP(D1194,Товары!A:I,3,0)</f>
        <v>Тумба с раковиной  навес. Куба Риф 600 белый 2 ящика с умыв. Como</v>
      </c>
      <c r="H1194">
        <f>VLOOKUP(D1194,Товары!A:I,6,0)</f>
        <v>55</v>
      </c>
      <c r="I1194" t="str">
        <f>VLOOKUP(C1194,Магазины!A:C,3,0)</f>
        <v>Ставрополь</v>
      </c>
      <c r="J1194">
        <f>VLOOKUP(D1194,Товары!A:I,4,0)</f>
        <v>14265</v>
      </c>
      <c r="K1194">
        <f t="shared" si="18"/>
        <v>28530</v>
      </c>
    </row>
    <row r="1195" spans="1:11" hidden="1" x14ac:dyDescent="0.25">
      <c r="A1195">
        <v>1194</v>
      </c>
      <c r="B1195" s="1">
        <v>45750</v>
      </c>
      <c r="C1195" t="s">
        <v>63</v>
      </c>
      <c r="D1195" t="s">
        <v>44</v>
      </c>
      <c r="E1195" t="s">
        <v>13</v>
      </c>
      <c r="F1195">
        <v>3</v>
      </c>
      <c r="G1195" t="str">
        <f>VLOOKUP(D1195,Товары!A:I,3,0)</f>
        <v>Тумба с раковиной  навес. Кристалл 800 шато азур 2 ящика с умыв. Комфорт</v>
      </c>
      <c r="H1195">
        <f>VLOOKUP(D1195,Товары!A:I,6,0)</f>
        <v>55</v>
      </c>
      <c r="I1195" t="str">
        <f>VLOOKUP(C1195,Магазины!A:C,3,0)</f>
        <v>Ставрополь</v>
      </c>
      <c r="J1195">
        <f>VLOOKUP(D1195,Товары!A:I,4,0)</f>
        <v>25080</v>
      </c>
      <c r="K1195">
        <f t="shared" si="18"/>
        <v>75240</v>
      </c>
    </row>
    <row r="1196" spans="1:11" hidden="1" x14ac:dyDescent="0.25">
      <c r="A1196">
        <v>1195</v>
      </c>
      <c r="B1196" s="1">
        <v>45750</v>
      </c>
      <c r="C1196" t="s">
        <v>41</v>
      </c>
      <c r="D1196" t="s">
        <v>102</v>
      </c>
      <c r="E1196" t="s">
        <v>13</v>
      </c>
      <c r="F1196">
        <v>1</v>
      </c>
      <c r="G1196" t="str">
        <f>VLOOKUP(D1196,Товары!A:I,3,0)</f>
        <v>Тумба с раковиной  напол. Леон Риф 1000 солярис/белый риф 2 ящика с умыв. Слим</v>
      </c>
      <c r="H1196">
        <f>VLOOKUP(D1196,Товары!A:I,6,0)</f>
        <v>85</v>
      </c>
      <c r="I1196" t="str">
        <f>VLOOKUP(C1196,Магазины!A:C,3,0)</f>
        <v>Ставрополь</v>
      </c>
      <c r="J1196">
        <f>VLOOKUP(D1196,Товары!A:I,4,0)</f>
        <v>32085</v>
      </c>
      <c r="K1196">
        <f t="shared" si="18"/>
        <v>32085</v>
      </c>
    </row>
    <row r="1197" spans="1:11" hidden="1" x14ac:dyDescent="0.25">
      <c r="A1197">
        <v>1196</v>
      </c>
      <c r="B1197" s="1">
        <v>45752</v>
      </c>
      <c r="C1197" t="s">
        <v>35</v>
      </c>
      <c r="D1197" t="s">
        <v>97</v>
      </c>
      <c r="E1197" t="s">
        <v>8</v>
      </c>
      <c r="F1197">
        <v>3</v>
      </c>
      <c r="G1197" t="str">
        <f>VLOOKUP(D1197,Товары!A:I,3,0)</f>
        <v>Пенал напол. Кристалл 350 суфле 2 двери</v>
      </c>
      <c r="H1197">
        <f>VLOOKUP(D1197,Товары!A:I,6,0)</f>
        <v>190</v>
      </c>
      <c r="I1197" t="str">
        <f>VLOOKUP(C1197,Магазины!A:C,3,0)</f>
        <v>Набережные Челны</v>
      </c>
      <c r="J1197">
        <f>VLOOKUP(D1197,Товары!A:I,4,0)</f>
        <v>15810</v>
      </c>
      <c r="K1197">
        <f t="shared" si="18"/>
        <v>47430</v>
      </c>
    </row>
    <row r="1198" spans="1:11" hidden="1" x14ac:dyDescent="0.25">
      <c r="A1198">
        <v>1197</v>
      </c>
      <c r="B1198" s="1">
        <v>45751</v>
      </c>
      <c r="C1198" t="s">
        <v>22</v>
      </c>
      <c r="D1198" t="s">
        <v>61</v>
      </c>
      <c r="E1198" t="s">
        <v>8</v>
      </c>
      <c r="F1198">
        <v>1</v>
      </c>
      <c r="G1198" t="str">
        <f>VLOOKUP(D1198,Товары!A:I,3,0)</f>
        <v>Тумба под стиральную машину Леон Риф 57 напольная 2 ящика под ст/маш, без умывальника /под Marshall 120 Солярис/Белый Риф</v>
      </c>
      <c r="H1198">
        <f>VLOOKUP(D1198,Товары!A:I,6,0)</f>
        <v>85</v>
      </c>
      <c r="I1198" t="str">
        <f>VLOOKUP(C1198,Магазины!A:C,3,0)</f>
        <v>Кемерово</v>
      </c>
      <c r="J1198">
        <f>VLOOKUP(D1198,Товары!A:I,4,0)</f>
        <v>17430</v>
      </c>
      <c r="K1198">
        <f t="shared" si="18"/>
        <v>17430</v>
      </c>
    </row>
    <row r="1199" spans="1:11" hidden="1" x14ac:dyDescent="0.25">
      <c r="A1199">
        <v>1198</v>
      </c>
      <c r="B1199" s="1">
        <v>45749</v>
      </c>
      <c r="C1199" t="s">
        <v>30</v>
      </c>
      <c r="D1199" t="s">
        <v>77</v>
      </c>
      <c r="E1199" t="s">
        <v>8</v>
      </c>
      <c r="F1199">
        <v>3</v>
      </c>
      <c r="G1199" t="str">
        <f>VLOOKUP(D1199,Товары!A:I,3,0)</f>
        <v>Тумба с раковиной  напол. Куба Риф 600 белый 2 ящика с умыв. Como</v>
      </c>
      <c r="H1199">
        <f>VLOOKUP(D1199,Товары!A:I,6,0)</f>
        <v>85</v>
      </c>
      <c r="I1199" t="str">
        <f>VLOOKUP(C1199,Магазины!A:C,3,0)</f>
        <v>Кемерово</v>
      </c>
      <c r="J1199">
        <f>VLOOKUP(D1199,Товары!A:I,4,0)</f>
        <v>15660</v>
      </c>
      <c r="K1199">
        <f t="shared" si="18"/>
        <v>46980</v>
      </c>
    </row>
    <row r="1200" spans="1:11" hidden="1" x14ac:dyDescent="0.25">
      <c r="A1200">
        <v>1199</v>
      </c>
      <c r="B1200" s="1">
        <v>45749</v>
      </c>
      <c r="C1200" t="s">
        <v>48</v>
      </c>
      <c r="D1200" t="s">
        <v>117</v>
      </c>
      <c r="E1200" t="s">
        <v>13</v>
      </c>
      <c r="F1200">
        <v>2</v>
      </c>
      <c r="G1200" t="str">
        <f>VLOOKUP(D1200,Товары!A:I,3,0)</f>
        <v>Тумба с раковиной  навес. Альба 700 антрацит 2 ящика с умыв. Слим</v>
      </c>
      <c r="H1200">
        <f>VLOOKUP(D1200,Товары!A:I,6,0)</f>
        <v>60</v>
      </c>
      <c r="I1200" t="str">
        <f>VLOOKUP(C1200,Магазины!A:C,3,0)</f>
        <v>Ставрополь</v>
      </c>
      <c r="J1200">
        <f>VLOOKUP(D1200,Товары!A:I,4,0)</f>
        <v>25095</v>
      </c>
      <c r="K1200">
        <f t="shared" si="18"/>
        <v>50190</v>
      </c>
    </row>
    <row r="1201" spans="1:11" hidden="1" x14ac:dyDescent="0.25">
      <c r="A1201">
        <v>1200</v>
      </c>
      <c r="B1201" s="1">
        <v>45752</v>
      </c>
      <c r="C1201" t="s">
        <v>103</v>
      </c>
      <c r="D1201" t="s">
        <v>112</v>
      </c>
      <c r="E1201" t="s">
        <v>8</v>
      </c>
      <c r="F1201">
        <v>2</v>
      </c>
      <c r="G1201" t="str">
        <f>VLOOKUP(D1201,Товары!A:I,3,0)</f>
        <v>Тумба с раковиной  напол. Аква 560 белый 2 двери с умыв. Уют</v>
      </c>
      <c r="H1201">
        <f>VLOOKUP(D1201,Товары!A:I,6,0)</f>
        <v>85</v>
      </c>
      <c r="I1201" t="str">
        <f>VLOOKUP(C1201,Магазины!A:C,3,0)</f>
        <v>Ставрополь</v>
      </c>
      <c r="J1201">
        <f>VLOOKUP(D1201,Товары!A:I,4,0)</f>
        <v>9330</v>
      </c>
      <c r="K1201">
        <f t="shared" si="18"/>
        <v>18660</v>
      </c>
    </row>
    <row r="1202" spans="1:11" hidden="1" x14ac:dyDescent="0.25">
      <c r="A1202">
        <v>1201</v>
      </c>
      <c r="B1202" s="1">
        <v>45756</v>
      </c>
      <c r="C1202" t="s">
        <v>6</v>
      </c>
      <c r="D1202" t="s">
        <v>87</v>
      </c>
      <c r="E1202" t="s">
        <v>13</v>
      </c>
      <c r="F1202">
        <v>2</v>
      </c>
      <c r="G1202" t="str">
        <f>VLOOKUP(D1202,Товары!A:I,3,0)</f>
        <v>Тумба с раковиной  напол. Леон 700 форест 2 ящика с умыв. Слим</v>
      </c>
      <c r="H1202">
        <f>VLOOKUP(D1202,Товары!A:I,6,0)</f>
        <v>80</v>
      </c>
      <c r="I1202" t="str">
        <f>VLOOKUP(C1202,Магазины!A:C,3,0)</f>
        <v>Оренбург</v>
      </c>
      <c r="J1202">
        <f>VLOOKUP(D1202,Товары!A:I,4,0)</f>
        <v>28380</v>
      </c>
      <c r="K1202">
        <f t="shared" si="18"/>
        <v>56760</v>
      </c>
    </row>
    <row r="1203" spans="1:11" hidden="1" x14ac:dyDescent="0.25">
      <c r="A1203">
        <v>1202</v>
      </c>
      <c r="B1203" s="1">
        <v>45756</v>
      </c>
      <c r="C1203" t="s">
        <v>48</v>
      </c>
      <c r="D1203" t="s">
        <v>40</v>
      </c>
      <c r="E1203" t="s">
        <v>13</v>
      </c>
      <c r="F1203">
        <v>2</v>
      </c>
      <c r="G1203" t="str">
        <f>VLOOKUP(D1203,Товары!A:I,3,0)</f>
        <v>Тумба с раковиной  навес. Рица 800 cерый/керамика 1 ящик + ниша 1 с умыв. Слим</v>
      </c>
      <c r="H1203">
        <f>VLOOKUP(D1203,Товары!A:I,6,0)</f>
        <v>60</v>
      </c>
      <c r="I1203" t="str">
        <f>VLOOKUP(C1203,Магазины!A:C,3,0)</f>
        <v>Ставрополь</v>
      </c>
      <c r="J1203">
        <f>VLOOKUP(D1203,Товары!A:I,4,0)</f>
        <v>22425</v>
      </c>
      <c r="K1203">
        <f t="shared" si="18"/>
        <v>44850</v>
      </c>
    </row>
    <row r="1204" spans="1:11" hidden="1" x14ac:dyDescent="0.25">
      <c r="A1204">
        <v>1203</v>
      </c>
      <c r="B1204" s="1">
        <v>45752</v>
      </c>
      <c r="C1204" t="s">
        <v>43</v>
      </c>
      <c r="D1204" t="s">
        <v>114</v>
      </c>
      <c r="E1204" t="s">
        <v>8</v>
      </c>
      <c r="F1204">
        <v>3</v>
      </c>
      <c r="G1204" t="str">
        <f>VLOOKUP(D1204,Товары!A:I,3,0)</f>
        <v>Тумба с раковиной  навес. Альба 700 мята 2 ящика с умыв. Слим</v>
      </c>
      <c r="H1204">
        <f>VLOOKUP(D1204,Товары!A:I,6,0)</f>
        <v>60</v>
      </c>
      <c r="I1204" t="str">
        <f>VLOOKUP(C1204,Магазины!A:C,3,0)</f>
        <v>Набережные Челны</v>
      </c>
      <c r="J1204">
        <f>VLOOKUP(D1204,Товары!A:I,4,0)</f>
        <v>25095</v>
      </c>
      <c r="K1204">
        <f t="shared" si="18"/>
        <v>75285</v>
      </c>
    </row>
    <row r="1205" spans="1:11" hidden="1" x14ac:dyDescent="0.25">
      <c r="A1205">
        <v>1204</v>
      </c>
      <c r="B1205" s="1">
        <v>45752</v>
      </c>
      <c r="C1205" t="s">
        <v>54</v>
      </c>
      <c r="D1205" t="s">
        <v>104</v>
      </c>
      <c r="E1205" t="s">
        <v>8</v>
      </c>
      <c r="F1205">
        <v>1</v>
      </c>
      <c r="G1205" t="str">
        <f>VLOOKUP(D1205,Товары!A:I,3,0)</f>
        <v>Тумба под стиральную машину Куба Риф 57 подвесная 2 ящика под ст/маш, без умывальника /под Marshall 120 Белый</v>
      </c>
      <c r="H1205">
        <f>VLOOKUP(D1205,Товары!A:I,6,0)</f>
        <v>50</v>
      </c>
      <c r="I1205" t="str">
        <f>VLOOKUP(C1205,Магазины!A:C,3,0)</f>
        <v>Ставрополь</v>
      </c>
      <c r="J1205">
        <f>VLOOKUP(D1205,Товары!A:I,4,0)</f>
        <v>8505</v>
      </c>
      <c r="K1205">
        <f t="shared" si="18"/>
        <v>8505</v>
      </c>
    </row>
    <row r="1206" spans="1:11" hidden="1" x14ac:dyDescent="0.25">
      <c r="A1206">
        <v>1205</v>
      </c>
      <c r="B1206" s="1">
        <v>45749</v>
      </c>
      <c r="C1206" t="s">
        <v>26</v>
      </c>
      <c r="D1206" t="s">
        <v>93</v>
      </c>
      <c r="E1206" t="s">
        <v>13</v>
      </c>
      <c r="F1206">
        <v>1</v>
      </c>
      <c r="G1206" t="str">
        <f>VLOOKUP(D1206,Товары!A:I,3,0)</f>
        <v>Тумба с раковиной  напол. Леон Риф 800 солярис/белый риф 2 ящика с умыв. Слим</v>
      </c>
      <c r="H1206">
        <f>VLOOKUP(D1206,Товары!A:I,6,0)</f>
        <v>80</v>
      </c>
      <c r="I1206" t="str">
        <f>VLOOKUP(C1206,Магазины!A:C,3,0)</f>
        <v>Оренбург</v>
      </c>
      <c r="J1206">
        <f>VLOOKUP(D1206,Товары!A:I,4,0)</f>
        <v>29340</v>
      </c>
      <c r="K1206">
        <f t="shared" si="18"/>
        <v>29340</v>
      </c>
    </row>
    <row r="1207" spans="1:11" hidden="1" x14ac:dyDescent="0.25">
      <c r="A1207">
        <v>1206</v>
      </c>
      <c r="B1207" s="1">
        <v>45749</v>
      </c>
      <c r="C1207" t="s">
        <v>6</v>
      </c>
      <c r="D1207" t="s">
        <v>7</v>
      </c>
      <c r="E1207" t="s">
        <v>13</v>
      </c>
      <c r="F1207">
        <v>3</v>
      </c>
      <c r="G1207" t="str">
        <f>VLOOKUP(D1207,Товары!A:I,3,0)</f>
        <v>Пенал напол. Леон Риф 400 солярис/белый риф 2 двери + 1 ящик</v>
      </c>
      <c r="H1207">
        <f>VLOOKUP(D1207,Товары!A:I,6,0)</f>
        <v>190</v>
      </c>
      <c r="I1207" t="str">
        <f>VLOOKUP(C1207,Магазины!A:C,3,0)</f>
        <v>Оренбург</v>
      </c>
      <c r="J1207">
        <f>VLOOKUP(D1207,Товары!A:I,4,0)</f>
        <v>14490</v>
      </c>
      <c r="K1207">
        <f t="shared" si="18"/>
        <v>43470</v>
      </c>
    </row>
    <row r="1208" spans="1:11" hidden="1" x14ac:dyDescent="0.25">
      <c r="A1208">
        <v>1207</v>
      </c>
      <c r="B1208" s="1">
        <v>45751</v>
      </c>
      <c r="C1208" t="s">
        <v>6</v>
      </c>
      <c r="D1208" t="s">
        <v>71</v>
      </c>
      <c r="E1208" t="s">
        <v>13</v>
      </c>
      <c r="F1208">
        <v>2</v>
      </c>
      <c r="G1208" t="str">
        <f>VLOOKUP(D1208,Товары!A:I,3,0)</f>
        <v>Тумба с раковиной  навес. Альба 600 мята 2 ящика с умыв. Океан</v>
      </c>
      <c r="H1208">
        <f>VLOOKUP(D1208,Товары!A:I,6,0)</f>
        <v>50</v>
      </c>
      <c r="I1208" t="str">
        <f>VLOOKUP(C1208,Магазины!A:C,3,0)</f>
        <v>Оренбург</v>
      </c>
      <c r="J1208">
        <f>VLOOKUP(D1208,Товары!A:I,4,0)</f>
        <v>24810</v>
      </c>
      <c r="K1208">
        <f t="shared" si="18"/>
        <v>49620</v>
      </c>
    </row>
    <row r="1209" spans="1:11" hidden="1" x14ac:dyDescent="0.25">
      <c r="A1209">
        <v>1208</v>
      </c>
      <c r="B1209" s="1">
        <v>45751</v>
      </c>
      <c r="C1209" t="s">
        <v>26</v>
      </c>
      <c r="D1209" t="s">
        <v>53</v>
      </c>
      <c r="E1209" t="s">
        <v>13</v>
      </c>
      <c r="F1209">
        <v>3</v>
      </c>
      <c r="G1209" t="str">
        <f>VLOOKUP(D1209,Товары!A:I,3,0)</f>
        <v>Тумба с раковиной  напол. Кристалл 600 шато азур 2 ящика с умыв. Океан</v>
      </c>
      <c r="H1209">
        <f>VLOOKUP(D1209,Товары!A:I,6,0)</f>
        <v>85</v>
      </c>
      <c r="I1209" t="str">
        <f>VLOOKUP(C1209,Магазины!A:C,3,0)</f>
        <v>Оренбург</v>
      </c>
      <c r="J1209">
        <f>VLOOKUP(D1209,Товары!A:I,4,0)</f>
        <v>27600</v>
      </c>
      <c r="K1209">
        <f t="shared" si="18"/>
        <v>82800</v>
      </c>
    </row>
    <row r="1210" spans="1:11" hidden="1" x14ac:dyDescent="0.25">
      <c r="A1210">
        <v>1209</v>
      </c>
      <c r="B1210" s="1">
        <v>45750</v>
      </c>
      <c r="C1210" t="s">
        <v>54</v>
      </c>
      <c r="D1210" t="s">
        <v>7</v>
      </c>
      <c r="E1210" t="s">
        <v>8</v>
      </c>
      <c r="F1210">
        <v>1</v>
      </c>
      <c r="G1210" t="str">
        <f>VLOOKUP(D1210,Товары!A:I,3,0)</f>
        <v>Пенал напол. Леон Риф 400 солярис/белый риф 2 двери + 1 ящик</v>
      </c>
      <c r="H1210">
        <f>VLOOKUP(D1210,Товары!A:I,6,0)</f>
        <v>190</v>
      </c>
      <c r="I1210" t="str">
        <f>VLOOKUP(C1210,Магазины!A:C,3,0)</f>
        <v>Ставрополь</v>
      </c>
      <c r="J1210">
        <f>VLOOKUP(D1210,Товары!A:I,4,0)</f>
        <v>14490</v>
      </c>
      <c r="K1210">
        <f t="shared" si="18"/>
        <v>14490</v>
      </c>
    </row>
    <row r="1211" spans="1:11" hidden="1" x14ac:dyDescent="0.25">
      <c r="A1211">
        <v>1210</v>
      </c>
      <c r="B1211" s="1">
        <v>45752</v>
      </c>
      <c r="C1211" t="s">
        <v>48</v>
      </c>
      <c r="D1211" t="s">
        <v>76</v>
      </c>
      <c r="E1211" t="s">
        <v>8</v>
      </c>
      <c r="F1211">
        <v>2</v>
      </c>
      <c r="G1211" t="str">
        <f>VLOOKUP(D1211,Товары!A:I,3,0)</f>
        <v>Тумба с раковиной  напол. Леон 600 оникс 2 ящика с умыв. Слим</v>
      </c>
      <c r="H1211">
        <f>VLOOKUP(D1211,Товары!A:I,6,0)</f>
        <v>80</v>
      </c>
      <c r="I1211" t="str">
        <f>VLOOKUP(C1211,Магазины!A:C,3,0)</f>
        <v>Ставрополь</v>
      </c>
      <c r="J1211">
        <f>VLOOKUP(D1211,Товары!A:I,4,0)</f>
        <v>25860</v>
      </c>
      <c r="K1211">
        <f t="shared" si="18"/>
        <v>51720</v>
      </c>
    </row>
    <row r="1212" spans="1:11" hidden="1" x14ac:dyDescent="0.25">
      <c r="A1212">
        <v>1211</v>
      </c>
      <c r="B1212" s="1">
        <v>45753</v>
      </c>
      <c r="C1212" t="s">
        <v>22</v>
      </c>
      <c r="D1212" t="s">
        <v>46</v>
      </c>
      <c r="E1212" t="s">
        <v>13</v>
      </c>
      <c r="F1212">
        <v>2</v>
      </c>
      <c r="G1212" t="str">
        <f>VLOOKUP(D1212,Товары!A:I,3,0)</f>
        <v>Тумба с раковиной  напол. Сохо 700 белый 2 ящика с умыв. Слим</v>
      </c>
      <c r="H1212">
        <f>VLOOKUP(D1212,Товары!A:I,6,0)</f>
        <v>85</v>
      </c>
      <c r="I1212" t="str">
        <f>VLOOKUP(C1212,Магазины!A:C,3,0)</f>
        <v>Кемерово</v>
      </c>
      <c r="J1212">
        <f>VLOOKUP(D1212,Товары!A:I,4,0)</f>
        <v>18405</v>
      </c>
      <c r="K1212">
        <f t="shared" si="18"/>
        <v>36810</v>
      </c>
    </row>
    <row r="1213" spans="1:11" hidden="1" x14ac:dyDescent="0.25">
      <c r="A1213">
        <v>1212</v>
      </c>
      <c r="B1213" s="1">
        <v>45752</v>
      </c>
      <c r="C1213" t="s">
        <v>20</v>
      </c>
      <c r="D1213" t="s">
        <v>130</v>
      </c>
      <c r="E1213" t="s">
        <v>8</v>
      </c>
      <c r="F1213">
        <v>3</v>
      </c>
      <c r="G1213" t="str">
        <f>VLOOKUP(D1213,Товары!A:I,3,0)</f>
        <v>Пенал напол. Леон 400 форест 2 двери + 1 ящик</v>
      </c>
      <c r="H1213">
        <f>VLOOKUP(D1213,Товары!A:I,6,0)</f>
        <v>190</v>
      </c>
      <c r="I1213" t="str">
        <f>VLOOKUP(C1213,Магазины!A:C,3,0)</f>
        <v>Оренбург</v>
      </c>
      <c r="J1213">
        <f>VLOOKUP(D1213,Товары!A:I,4,0)</f>
        <v>18450</v>
      </c>
      <c r="K1213">
        <f t="shared" si="18"/>
        <v>55350</v>
      </c>
    </row>
    <row r="1214" spans="1:11" hidden="1" x14ac:dyDescent="0.25">
      <c r="A1214">
        <v>1213</v>
      </c>
      <c r="B1214" s="1">
        <v>45748</v>
      </c>
      <c r="C1214" t="s">
        <v>26</v>
      </c>
      <c r="D1214" t="s">
        <v>98</v>
      </c>
      <c r="E1214" t="s">
        <v>13</v>
      </c>
      <c r="F1214">
        <v>2</v>
      </c>
      <c r="G1214" t="str">
        <f>VLOOKUP(D1214,Товары!A:I,3,0)</f>
        <v>Тумба с раковиной  напол. Рица 800 cерый/керамика 2 ящика с умыв. Слим</v>
      </c>
      <c r="H1214">
        <f>VLOOKUP(D1214,Товары!A:I,6,0)</f>
        <v>80</v>
      </c>
      <c r="I1214" t="str">
        <f>VLOOKUP(C1214,Магазины!A:C,3,0)</f>
        <v>Оренбург</v>
      </c>
      <c r="J1214">
        <f>VLOOKUP(D1214,Товары!A:I,4,0)</f>
        <v>28980</v>
      </c>
      <c r="K1214">
        <f t="shared" si="18"/>
        <v>57960</v>
      </c>
    </row>
    <row r="1215" spans="1:11" hidden="1" x14ac:dyDescent="0.25">
      <c r="A1215">
        <v>1214</v>
      </c>
      <c r="B1215" s="1">
        <v>45751</v>
      </c>
      <c r="C1215" t="s">
        <v>54</v>
      </c>
      <c r="D1215" t="s">
        <v>37</v>
      </c>
      <c r="E1215" t="s">
        <v>8</v>
      </c>
      <c r="F1215">
        <v>3</v>
      </c>
      <c r="G1215" t="str">
        <f>VLOOKUP(D1215,Товары!A:I,3,0)</f>
        <v>Зеркальный шкаф Сохо 70 белый со светильником правый цвет Белый глянец</v>
      </c>
      <c r="H1215">
        <f>VLOOKUP(D1215,Товары!A:I,6,0)</f>
        <v>75</v>
      </c>
      <c r="I1215" t="str">
        <f>VLOOKUP(C1215,Магазины!A:C,3,0)</f>
        <v>Ставрополь</v>
      </c>
      <c r="J1215">
        <f>VLOOKUP(D1215,Товары!A:I,4,0)</f>
        <v>7935</v>
      </c>
      <c r="K1215">
        <f t="shared" si="18"/>
        <v>23805</v>
      </c>
    </row>
    <row r="1216" spans="1:11" hidden="1" x14ac:dyDescent="0.25">
      <c r="A1216">
        <v>1215</v>
      </c>
      <c r="B1216" s="1">
        <v>45750</v>
      </c>
      <c r="C1216" t="s">
        <v>28</v>
      </c>
      <c r="D1216" t="s">
        <v>89</v>
      </c>
      <c r="E1216" t="s">
        <v>13</v>
      </c>
      <c r="F1216">
        <v>3</v>
      </c>
      <c r="G1216" t="str">
        <f>VLOOKUP(D1216,Товары!A:I,3,0)</f>
        <v>Тумба с раковиной  напол. Сохо 600 белый 2 двери с умыв. Океан</v>
      </c>
      <c r="H1216">
        <f>VLOOKUP(D1216,Товары!A:I,6,0)</f>
        <v>85</v>
      </c>
      <c r="I1216" t="str">
        <f>VLOOKUP(C1216,Магазины!A:C,3,0)</f>
        <v>Набережные Челны</v>
      </c>
      <c r="J1216">
        <f>VLOOKUP(D1216,Товары!A:I,4,0)</f>
        <v>14880</v>
      </c>
      <c r="K1216">
        <f t="shared" si="18"/>
        <v>44640</v>
      </c>
    </row>
    <row r="1217" spans="1:11" hidden="1" x14ac:dyDescent="0.25">
      <c r="A1217">
        <v>1216</v>
      </c>
      <c r="B1217" s="1">
        <v>45756</v>
      </c>
      <c r="C1217" t="s">
        <v>33</v>
      </c>
      <c r="D1217" t="s">
        <v>118</v>
      </c>
      <c r="E1217" t="s">
        <v>8</v>
      </c>
      <c r="F1217">
        <v>1</v>
      </c>
      <c r="G1217" t="str">
        <f>VLOOKUP(D1217,Товары!A:I,3,0)</f>
        <v>Тумба с раковиной  напол. Сохо 800 белый 2 ящика с умыв. Слим</v>
      </c>
      <c r="H1217">
        <f>VLOOKUP(D1217,Товары!A:I,6,0)</f>
        <v>85</v>
      </c>
      <c r="I1217" t="str">
        <f>VLOOKUP(C1217,Магазины!A:C,3,0)</f>
        <v>Набережные Челны</v>
      </c>
      <c r="J1217">
        <f>VLOOKUP(D1217,Товары!A:I,4,0)</f>
        <v>19575</v>
      </c>
      <c r="K1217">
        <f t="shared" si="18"/>
        <v>19575</v>
      </c>
    </row>
    <row r="1218" spans="1:11" hidden="1" x14ac:dyDescent="0.25">
      <c r="A1218">
        <v>1217</v>
      </c>
      <c r="B1218" s="1">
        <v>45749</v>
      </c>
      <c r="C1218" t="s">
        <v>41</v>
      </c>
      <c r="D1218" t="s">
        <v>69</v>
      </c>
      <c r="E1218" t="s">
        <v>13</v>
      </c>
      <c r="F1218">
        <v>1</v>
      </c>
      <c r="G1218" t="str">
        <f>VLOOKUP(D1218,Товары!A:I,3,0)</f>
        <v>Пенал навес./напол. Альба 350 антрацит 2 двери</v>
      </c>
      <c r="H1218">
        <f>VLOOKUP(D1218,Товары!A:I,6,0)</f>
        <v>150</v>
      </c>
      <c r="I1218" t="str">
        <f>VLOOKUP(C1218,Магазины!A:C,3,0)</f>
        <v>Ставрополь</v>
      </c>
      <c r="J1218">
        <f>VLOOKUP(D1218,Товары!A:I,4,0)</f>
        <v>11655</v>
      </c>
      <c r="K1218">
        <f t="shared" si="18"/>
        <v>11655</v>
      </c>
    </row>
    <row r="1219" spans="1:11" hidden="1" x14ac:dyDescent="0.25">
      <c r="A1219">
        <v>1218</v>
      </c>
      <c r="B1219" s="1">
        <v>45754</v>
      </c>
      <c r="C1219" t="s">
        <v>33</v>
      </c>
      <c r="D1219" t="s">
        <v>15</v>
      </c>
      <c r="E1219" t="s">
        <v>13</v>
      </c>
      <c r="F1219">
        <v>1</v>
      </c>
      <c r="G1219" t="str">
        <f>VLOOKUP(D1219,Товары!A:I,3,0)</f>
        <v>Зеркальный шкаф Кристалл 60 со светильником правый, ручка кнопка дуб цвет Шато Азур</v>
      </c>
      <c r="H1219">
        <f>VLOOKUP(D1219,Товары!A:I,6,0)</f>
        <v>75</v>
      </c>
      <c r="I1219" t="str">
        <f>VLOOKUP(C1219,Магазины!A:C,3,0)</f>
        <v>Набережные Челны</v>
      </c>
      <c r="J1219">
        <f>VLOOKUP(D1219,Товары!A:I,4,0)</f>
        <v>9195</v>
      </c>
      <c r="K1219">
        <f t="shared" ref="K1219:K1282" si="19">J1219*F1219</f>
        <v>9195</v>
      </c>
    </row>
    <row r="1220" spans="1:11" hidden="1" x14ac:dyDescent="0.25">
      <c r="A1220">
        <v>1219</v>
      </c>
      <c r="B1220" s="1">
        <v>45755</v>
      </c>
      <c r="C1220" t="s">
        <v>16</v>
      </c>
      <c r="D1220" t="s">
        <v>72</v>
      </c>
      <c r="E1220" t="s">
        <v>8</v>
      </c>
      <c r="F1220">
        <v>1</v>
      </c>
      <c r="G1220" t="str">
        <f>VLOOKUP(D1220,Товары!A:I,3,0)</f>
        <v>Тумба с раковиной  напол. Сохо 600 белый 2 ящика с умыв. Океан</v>
      </c>
      <c r="H1220">
        <f>VLOOKUP(D1220,Товары!A:I,6,0)</f>
        <v>85</v>
      </c>
      <c r="I1220" t="str">
        <f>VLOOKUP(C1220,Магазины!A:C,3,0)</f>
        <v>Оренбург</v>
      </c>
      <c r="J1220">
        <f>VLOOKUP(D1220,Товары!A:I,4,0)</f>
        <v>16140</v>
      </c>
      <c r="K1220">
        <f t="shared" si="19"/>
        <v>16140</v>
      </c>
    </row>
    <row r="1221" spans="1:11" hidden="1" x14ac:dyDescent="0.25">
      <c r="A1221">
        <v>1220</v>
      </c>
      <c r="B1221" s="1">
        <v>45756</v>
      </c>
      <c r="C1221" t="s">
        <v>26</v>
      </c>
      <c r="D1221" t="s">
        <v>7</v>
      </c>
      <c r="E1221" t="s">
        <v>8</v>
      </c>
      <c r="F1221">
        <v>2</v>
      </c>
      <c r="G1221" t="str">
        <f>VLOOKUP(D1221,Товары!A:I,3,0)</f>
        <v>Пенал напол. Леон Риф 400 солярис/белый риф 2 двери + 1 ящик</v>
      </c>
      <c r="H1221">
        <f>VLOOKUP(D1221,Товары!A:I,6,0)</f>
        <v>190</v>
      </c>
      <c r="I1221" t="str">
        <f>VLOOKUP(C1221,Магазины!A:C,3,0)</f>
        <v>Оренбург</v>
      </c>
      <c r="J1221">
        <f>VLOOKUP(D1221,Товары!A:I,4,0)</f>
        <v>14490</v>
      </c>
      <c r="K1221">
        <f t="shared" si="19"/>
        <v>28980</v>
      </c>
    </row>
    <row r="1222" spans="1:11" hidden="1" x14ac:dyDescent="0.25">
      <c r="A1222">
        <v>1221</v>
      </c>
      <c r="B1222" s="1">
        <v>45751</v>
      </c>
      <c r="C1222" t="s">
        <v>28</v>
      </c>
      <c r="D1222" t="s">
        <v>25</v>
      </c>
      <c r="E1222" t="s">
        <v>8</v>
      </c>
      <c r="F1222">
        <v>2</v>
      </c>
      <c r="G1222" t="str">
        <f>VLOOKUP(D1222,Товары!A:I,3,0)</f>
        <v>Пенал напол. Леон 400 оникс 2 двери + 1 ящик</v>
      </c>
      <c r="H1222">
        <f>VLOOKUP(D1222,Товары!A:I,6,0)</f>
        <v>190</v>
      </c>
      <c r="I1222" t="str">
        <f>VLOOKUP(C1222,Магазины!A:C,3,0)</f>
        <v>Набережные Челны</v>
      </c>
      <c r="J1222">
        <f>VLOOKUP(D1222,Товары!A:I,4,0)</f>
        <v>18450</v>
      </c>
      <c r="K1222">
        <f t="shared" si="19"/>
        <v>36900</v>
      </c>
    </row>
    <row r="1223" spans="1:11" hidden="1" x14ac:dyDescent="0.25">
      <c r="A1223">
        <v>1222</v>
      </c>
      <c r="B1223" s="1">
        <v>45749</v>
      </c>
      <c r="C1223" t="s">
        <v>48</v>
      </c>
      <c r="D1223" t="s">
        <v>102</v>
      </c>
      <c r="E1223" t="s">
        <v>13</v>
      </c>
      <c r="F1223">
        <v>1</v>
      </c>
      <c r="G1223" t="str">
        <f>VLOOKUP(D1223,Товары!A:I,3,0)</f>
        <v>Тумба с раковиной  напол. Леон Риф 1000 солярис/белый риф 2 ящика с умыв. Слим</v>
      </c>
      <c r="H1223">
        <f>VLOOKUP(D1223,Товары!A:I,6,0)</f>
        <v>85</v>
      </c>
      <c r="I1223" t="str">
        <f>VLOOKUP(C1223,Магазины!A:C,3,0)</f>
        <v>Ставрополь</v>
      </c>
      <c r="J1223">
        <f>VLOOKUP(D1223,Товары!A:I,4,0)</f>
        <v>32085</v>
      </c>
      <c r="K1223">
        <f t="shared" si="19"/>
        <v>32085</v>
      </c>
    </row>
    <row r="1224" spans="1:11" hidden="1" x14ac:dyDescent="0.25">
      <c r="A1224">
        <v>1223</v>
      </c>
      <c r="B1224" s="1">
        <v>45756</v>
      </c>
      <c r="C1224" t="s">
        <v>58</v>
      </c>
      <c r="D1224" t="s">
        <v>98</v>
      </c>
      <c r="E1224" t="s">
        <v>13</v>
      </c>
      <c r="F1224">
        <v>3</v>
      </c>
      <c r="G1224" t="str">
        <f>VLOOKUP(D1224,Товары!A:I,3,0)</f>
        <v>Тумба с раковиной  напол. Рица 800 cерый/керамика 2 ящика с умыв. Слим</v>
      </c>
      <c r="H1224">
        <f>VLOOKUP(D1224,Товары!A:I,6,0)</f>
        <v>80</v>
      </c>
      <c r="I1224" t="str">
        <f>VLOOKUP(C1224,Магазины!A:C,3,0)</f>
        <v>Ставрополь</v>
      </c>
      <c r="J1224">
        <f>VLOOKUP(D1224,Товары!A:I,4,0)</f>
        <v>28980</v>
      </c>
      <c r="K1224">
        <f t="shared" si="19"/>
        <v>86940</v>
      </c>
    </row>
    <row r="1225" spans="1:11" hidden="1" x14ac:dyDescent="0.25">
      <c r="A1225">
        <v>1224</v>
      </c>
      <c r="B1225" s="1">
        <v>45750</v>
      </c>
      <c r="C1225" t="s">
        <v>30</v>
      </c>
      <c r="D1225" t="s">
        <v>36</v>
      </c>
      <c r="E1225" t="s">
        <v>13</v>
      </c>
      <c r="F1225">
        <v>2</v>
      </c>
      <c r="G1225" t="str">
        <f>VLOOKUP(D1225,Товары!A:I,3,0)</f>
        <v>Тумба с раковиной  напол. Альба 800 мята 2 ящика с умыв. Слим</v>
      </c>
      <c r="H1225">
        <f>VLOOKUP(D1225,Товары!A:I,6,0)</f>
        <v>80</v>
      </c>
      <c r="I1225" t="str">
        <f>VLOOKUP(C1225,Магазины!A:C,3,0)</f>
        <v>Кемерово</v>
      </c>
      <c r="J1225">
        <f>VLOOKUP(D1225,Товары!A:I,4,0)</f>
        <v>29340</v>
      </c>
      <c r="K1225">
        <f t="shared" si="19"/>
        <v>58680</v>
      </c>
    </row>
    <row r="1226" spans="1:11" hidden="1" x14ac:dyDescent="0.25">
      <c r="A1226">
        <v>1225</v>
      </c>
      <c r="B1226" s="1">
        <v>45754</v>
      </c>
      <c r="C1226" t="s">
        <v>22</v>
      </c>
      <c r="D1226" t="s">
        <v>78</v>
      </c>
      <c r="E1226" t="s">
        <v>13</v>
      </c>
      <c r="F1226">
        <v>3</v>
      </c>
      <c r="G1226" t="str">
        <f>VLOOKUP(D1226,Товары!A:I,3,0)</f>
        <v>Зеркальный шкаф Кристалл 70 со светильником правый, ручка кнопка дуб цвет Шато Азур</v>
      </c>
      <c r="H1226">
        <f>VLOOKUP(D1226,Товары!A:I,6,0)</f>
        <v>75</v>
      </c>
      <c r="I1226" t="str">
        <f>VLOOKUP(C1226,Магазины!A:C,3,0)</f>
        <v>Кемерово</v>
      </c>
      <c r="J1226">
        <f>VLOOKUP(D1226,Товары!A:I,4,0)</f>
        <v>9615</v>
      </c>
      <c r="K1226">
        <f t="shared" si="19"/>
        <v>28845</v>
      </c>
    </row>
    <row r="1227" spans="1:11" hidden="1" x14ac:dyDescent="0.25">
      <c r="A1227">
        <v>1226</v>
      </c>
      <c r="B1227" s="1">
        <v>45749</v>
      </c>
      <c r="C1227" t="s">
        <v>22</v>
      </c>
      <c r="D1227" t="s">
        <v>118</v>
      </c>
      <c r="E1227" t="s">
        <v>13</v>
      </c>
      <c r="F1227">
        <v>3</v>
      </c>
      <c r="G1227" t="str">
        <f>VLOOKUP(D1227,Товары!A:I,3,0)</f>
        <v>Тумба с раковиной  напол. Сохо 800 белый 2 ящика с умыв. Слим</v>
      </c>
      <c r="H1227">
        <f>VLOOKUP(D1227,Товары!A:I,6,0)</f>
        <v>85</v>
      </c>
      <c r="I1227" t="str">
        <f>VLOOKUP(C1227,Магазины!A:C,3,0)</f>
        <v>Кемерово</v>
      </c>
      <c r="J1227">
        <f>VLOOKUP(D1227,Товары!A:I,4,0)</f>
        <v>19575</v>
      </c>
      <c r="K1227">
        <f t="shared" si="19"/>
        <v>58725</v>
      </c>
    </row>
    <row r="1228" spans="1:11" hidden="1" x14ac:dyDescent="0.25">
      <c r="A1228">
        <v>1227</v>
      </c>
      <c r="B1228" s="1">
        <v>45751</v>
      </c>
      <c r="C1228" t="s">
        <v>54</v>
      </c>
      <c r="D1228" t="s">
        <v>119</v>
      </c>
      <c r="E1228" t="s">
        <v>8</v>
      </c>
      <c r="F1228">
        <v>1</v>
      </c>
      <c r="G1228" t="str">
        <f>VLOOKUP(D1228,Товары!A:I,3,0)</f>
        <v>Пенал навес./напол. Рица 350 cерый/керамика 2 двери</v>
      </c>
      <c r="H1228">
        <f>VLOOKUP(D1228,Товары!A:I,6,0)</f>
        <v>160</v>
      </c>
      <c r="I1228" t="str">
        <f>VLOOKUP(C1228,Магазины!A:C,3,0)</f>
        <v>Ставрополь</v>
      </c>
      <c r="J1228">
        <f>VLOOKUP(D1228,Товары!A:I,4,0)</f>
        <v>11250</v>
      </c>
      <c r="K1228">
        <f t="shared" si="19"/>
        <v>11250</v>
      </c>
    </row>
    <row r="1229" spans="1:11" hidden="1" x14ac:dyDescent="0.25">
      <c r="A1229">
        <v>1228</v>
      </c>
      <c r="B1229" s="1">
        <v>45752</v>
      </c>
      <c r="C1229" t="s">
        <v>28</v>
      </c>
      <c r="D1229" t="s">
        <v>52</v>
      </c>
      <c r="E1229" t="s">
        <v>13</v>
      </c>
      <c r="F1229">
        <v>1</v>
      </c>
      <c r="G1229" t="str">
        <f>VLOOKUP(D1229,Товары!A:I,3,0)</f>
        <v>Тумба с раковиной  напол. Кристалл 600 суфле 2 ящика с умыв. Океан</v>
      </c>
      <c r="H1229">
        <f>VLOOKUP(D1229,Товары!A:I,6,0)</f>
        <v>80</v>
      </c>
      <c r="I1229" t="str">
        <f>VLOOKUP(C1229,Магазины!A:C,3,0)</f>
        <v>Набережные Челны</v>
      </c>
      <c r="J1229">
        <f>VLOOKUP(D1229,Товары!A:I,4,0)</f>
        <v>27600</v>
      </c>
      <c r="K1229">
        <f t="shared" si="19"/>
        <v>27600</v>
      </c>
    </row>
    <row r="1230" spans="1:11" hidden="1" x14ac:dyDescent="0.25">
      <c r="A1230">
        <v>1229</v>
      </c>
      <c r="B1230" s="1">
        <v>45751</v>
      </c>
      <c r="C1230" t="s">
        <v>63</v>
      </c>
      <c r="D1230" t="s">
        <v>21</v>
      </c>
      <c r="E1230" t="s">
        <v>8</v>
      </c>
      <c r="F1230">
        <v>3</v>
      </c>
      <c r="G1230" t="str">
        <f>VLOOKUP(D1230,Товары!A:I,3,0)</f>
        <v>Зеркальный шкаф Рица 60 со светильником правый цвет cерый/керамика</v>
      </c>
      <c r="H1230">
        <f>VLOOKUP(D1230,Товары!A:I,6,0)</f>
        <v>75</v>
      </c>
      <c r="I1230" t="str">
        <f>VLOOKUP(C1230,Магазины!A:C,3,0)</f>
        <v>Ставрополь</v>
      </c>
      <c r="J1230">
        <f>VLOOKUP(D1230,Товары!A:I,4,0)</f>
        <v>8910</v>
      </c>
      <c r="K1230">
        <f t="shared" si="19"/>
        <v>26730</v>
      </c>
    </row>
    <row r="1231" spans="1:11" hidden="1" x14ac:dyDescent="0.25">
      <c r="A1231">
        <v>1230</v>
      </c>
      <c r="B1231" s="1">
        <v>45753</v>
      </c>
      <c r="C1231" t="s">
        <v>57</v>
      </c>
      <c r="D1231" t="s">
        <v>112</v>
      </c>
      <c r="E1231" t="s">
        <v>8</v>
      </c>
      <c r="F1231">
        <v>1</v>
      </c>
      <c r="G1231" t="str">
        <f>VLOOKUP(D1231,Товары!A:I,3,0)</f>
        <v>Тумба с раковиной  напол. Аква 560 белый 2 двери с умыв. Уют</v>
      </c>
      <c r="H1231">
        <f>VLOOKUP(D1231,Товары!A:I,6,0)</f>
        <v>85</v>
      </c>
      <c r="I1231" t="str">
        <f>VLOOKUP(C1231,Магазины!A:C,3,0)</f>
        <v>Оренбург</v>
      </c>
      <c r="J1231">
        <f>VLOOKUP(D1231,Товары!A:I,4,0)</f>
        <v>9330</v>
      </c>
      <c r="K1231">
        <f t="shared" si="19"/>
        <v>9330</v>
      </c>
    </row>
    <row r="1232" spans="1:11" hidden="1" x14ac:dyDescent="0.25">
      <c r="A1232">
        <v>1231</v>
      </c>
      <c r="B1232" s="1">
        <v>45756</v>
      </c>
      <c r="C1232" t="s">
        <v>35</v>
      </c>
      <c r="D1232" t="s">
        <v>90</v>
      </c>
      <c r="E1232" t="s">
        <v>8</v>
      </c>
      <c r="F1232">
        <v>3</v>
      </c>
      <c r="G1232" t="str">
        <f>VLOOKUP(D1232,Товары!A:I,3,0)</f>
        <v>Пенал напол. Аква 350 белый 2 двери + 2 ящика</v>
      </c>
      <c r="H1232">
        <f>VLOOKUP(D1232,Товары!A:I,6,0)</f>
        <v>190</v>
      </c>
      <c r="I1232" t="str">
        <f>VLOOKUP(C1232,Магазины!A:C,3,0)</f>
        <v>Набережные Челны</v>
      </c>
      <c r="J1232">
        <f>VLOOKUP(D1232,Товары!A:I,4,0)</f>
        <v>10650</v>
      </c>
      <c r="K1232">
        <f t="shared" si="19"/>
        <v>31950</v>
      </c>
    </row>
    <row r="1233" spans="1:11" hidden="1" x14ac:dyDescent="0.25">
      <c r="A1233">
        <v>1232</v>
      </c>
      <c r="B1233" s="1">
        <v>45756</v>
      </c>
      <c r="C1233" t="s">
        <v>111</v>
      </c>
      <c r="D1233" t="s">
        <v>101</v>
      </c>
      <c r="E1233" t="s">
        <v>13</v>
      </c>
      <c r="F1233">
        <v>2</v>
      </c>
      <c r="G1233" t="str">
        <f>VLOOKUP(D1233,Товары!A:I,3,0)</f>
        <v>Пенал напол. Сохо 400 белый 2 двери + 1 ящик</v>
      </c>
      <c r="H1233">
        <f>VLOOKUP(D1233,Товары!A:I,6,0)</f>
        <v>190</v>
      </c>
      <c r="I1233" t="str">
        <f>VLOOKUP(C1233,Магазины!A:C,3,0)</f>
        <v>Набережные Челны</v>
      </c>
      <c r="J1233">
        <f>VLOOKUP(D1233,Товары!A:I,4,0)</f>
        <v>11040</v>
      </c>
      <c r="K1233">
        <f t="shared" si="19"/>
        <v>22080</v>
      </c>
    </row>
    <row r="1234" spans="1:11" hidden="1" x14ac:dyDescent="0.25">
      <c r="A1234">
        <v>1233</v>
      </c>
      <c r="B1234" s="1">
        <v>45751</v>
      </c>
      <c r="C1234" t="s">
        <v>63</v>
      </c>
      <c r="D1234" t="s">
        <v>95</v>
      </c>
      <c r="E1234" t="s">
        <v>13</v>
      </c>
      <c r="F1234">
        <v>1</v>
      </c>
      <c r="G1234" t="str">
        <f>VLOOKUP(D1234,Товары!A:I,3,0)</f>
        <v>Тумба с раковиной  напол. Рица 600 антрацит 2 ящика с умыв. Океан</v>
      </c>
      <c r="H1234">
        <f>VLOOKUP(D1234,Товары!A:I,6,0)</f>
        <v>80</v>
      </c>
      <c r="I1234" t="str">
        <f>VLOOKUP(C1234,Магазины!A:C,3,0)</f>
        <v>Ставрополь</v>
      </c>
      <c r="J1234">
        <f>VLOOKUP(D1234,Товары!A:I,4,0)</f>
        <v>25560</v>
      </c>
      <c r="K1234">
        <f t="shared" si="19"/>
        <v>25560</v>
      </c>
    </row>
    <row r="1235" spans="1:11" hidden="1" x14ac:dyDescent="0.25">
      <c r="A1235">
        <v>1234</v>
      </c>
      <c r="B1235" s="1">
        <v>45750</v>
      </c>
      <c r="C1235" t="s">
        <v>33</v>
      </c>
      <c r="D1235" t="s">
        <v>66</v>
      </c>
      <c r="E1235" t="s">
        <v>8</v>
      </c>
      <c r="F1235">
        <v>2</v>
      </c>
      <c r="G1235" t="str">
        <f>VLOOKUP(D1235,Товары!A:I,3,0)</f>
        <v>Тумба с раковиной  навес. Альба 800 мята 2 ящика с умыв. Слим</v>
      </c>
      <c r="H1235">
        <f>VLOOKUP(D1235,Товары!A:I,6,0)</f>
        <v>50</v>
      </c>
      <c r="I1235" t="str">
        <f>VLOOKUP(C1235,Магазины!A:C,3,0)</f>
        <v>Набережные Челны</v>
      </c>
      <c r="J1235">
        <f>VLOOKUP(D1235,Товары!A:I,4,0)</f>
        <v>26070</v>
      </c>
      <c r="K1235">
        <f t="shared" si="19"/>
        <v>52140</v>
      </c>
    </row>
    <row r="1236" spans="1:11" hidden="1" x14ac:dyDescent="0.25">
      <c r="A1236">
        <v>1235</v>
      </c>
      <c r="B1236" s="1">
        <v>45754</v>
      </c>
      <c r="C1236" t="s">
        <v>18</v>
      </c>
      <c r="D1236" t="s">
        <v>12</v>
      </c>
      <c r="E1236" t="s">
        <v>13</v>
      </c>
      <c r="F1236">
        <v>3</v>
      </c>
      <c r="G1236" t="str">
        <f>VLOOKUP(D1236,Товары!A:I,3,0)</f>
        <v>Тумба с раковиной  напол. Сохо 700 белый 2 двери с умыв. Слим</v>
      </c>
      <c r="H1236">
        <f>VLOOKUP(D1236,Товары!A:I,6,0)</f>
        <v>85</v>
      </c>
      <c r="I1236" t="str">
        <f>VLOOKUP(C1236,Магазины!A:C,3,0)</f>
        <v>Набережные Челны</v>
      </c>
      <c r="J1236">
        <f>VLOOKUP(D1236,Товары!A:I,4,0)</f>
        <v>17160</v>
      </c>
      <c r="K1236">
        <f t="shared" si="19"/>
        <v>51480</v>
      </c>
    </row>
    <row r="1237" spans="1:11" hidden="1" x14ac:dyDescent="0.25">
      <c r="A1237">
        <v>1236</v>
      </c>
      <c r="B1237" s="1">
        <v>45756</v>
      </c>
      <c r="C1237" t="s">
        <v>103</v>
      </c>
      <c r="D1237" t="s">
        <v>69</v>
      </c>
      <c r="E1237" t="s">
        <v>13</v>
      </c>
      <c r="F1237">
        <v>1</v>
      </c>
      <c r="G1237" t="str">
        <f>VLOOKUP(D1237,Товары!A:I,3,0)</f>
        <v>Пенал навес./напол. Альба 350 антрацит 2 двери</v>
      </c>
      <c r="H1237">
        <f>VLOOKUP(D1237,Товары!A:I,6,0)</f>
        <v>150</v>
      </c>
      <c r="I1237" t="str">
        <f>VLOOKUP(C1237,Магазины!A:C,3,0)</f>
        <v>Ставрополь</v>
      </c>
      <c r="J1237">
        <f>VLOOKUP(D1237,Товары!A:I,4,0)</f>
        <v>11655</v>
      </c>
      <c r="K1237">
        <f t="shared" si="19"/>
        <v>11655</v>
      </c>
    </row>
    <row r="1238" spans="1:11" hidden="1" x14ac:dyDescent="0.25">
      <c r="A1238">
        <v>1237</v>
      </c>
      <c r="B1238" s="1">
        <v>45752</v>
      </c>
      <c r="C1238" t="s">
        <v>63</v>
      </c>
      <c r="D1238" t="s">
        <v>19</v>
      </c>
      <c r="E1238" t="s">
        <v>13</v>
      </c>
      <c r="F1238">
        <v>3</v>
      </c>
      <c r="G1238" t="str">
        <f>VLOOKUP(D1238,Товары!A:I,3,0)</f>
        <v>Тумба с раковиной  навес. Леон 800 оникс 2 ящика с умыв. Слим</v>
      </c>
      <c r="H1238">
        <f>VLOOKUP(D1238,Товары!A:I,6,0)</f>
        <v>60</v>
      </c>
      <c r="I1238" t="str">
        <f>VLOOKUP(C1238,Магазины!A:C,3,0)</f>
        <v>Ставрополь</v>
      </c>
      <c r="J1238">
        <f>VLOOKUP(D1238,Товары!A:I,4,0)</f>
        <v>27930</v>
      </c>
      <c r="K1238">
        <f t="shared" si="19"/>
        <v>83790</v>
      </c>
    </row>
    <row r="1239" spans="1:11" hidden="1" x14ac:dyDescent="0.25">
      <c r="A1239">
        <v>1238</v>
      </c>
      <c r="B1239" s="1">
        <v>45749</v>
      </c>
      <c r="C1239" t="s">
        <v>18</v>
      </c>
      <c r="D1239" t="s">
        <v>21</v>
      </c>
      <c r="E1239" t="s">
        <v>8</v>
      </c>
      <c r="F1239">
        <v>2</v>
      </c>
      <c r="G1239" t="str">
        <f>VLOOKUP(D1239,Товары!A:I,3,0)</f>
        <v>Зеркальный шкаф Рица 60 со светильником правый цвет cерый/керамика</v>
      </c>
      <c r="H1239">
        <f>VLOOKUP(D1239,Товары!A:I,6,0)</f>
        <v>75</v>
      </c>
      <c r="I1239" t="str">
        <f>VLOOKUP(C1239,Магазины!A:C,3,0)</f>
        <v>Набережные Челны</v>
      </c>
      <c r="J1239">
        <f>VLOOKUP(D1239,Товары!A:I,4,0)</f>
        <v>8910</v>
      </c>
      <c r="K1239">
        <f t="shared" si="19"/>
        <v>17820</v>
      </c>
    </row>
    <row r="1240" spans="1:11" hidden="1" x14ac:dyDescent="0.25">
      <c r="A1240">
        <v>1239</v>
      </c>
      <c r="B1240" s="1">
        <v>45748</v>
      </c>
      <c r="C1240" t="s">
        <v>6</v>
      </c>
      <c r="D1240" t="s">
        <v>112</v>
      </c>
      <c r="E1240" t="s">
        <v>13</v>
      </c>
      <c r="F1240">
        <v>3</v>
      </c>
      <c r="G1240" t="str">
        <f>VLOOKUP(D1240,Товары!A:I,3,0)</f>
        <v>Тумба с раковиной  напол. Аква 560 белый 2 двери с умыв. Уют</v>
      </c>
      <c r="H1240">
        <f>VLOOKUP(D1240,Товары!A:I,6,0)</f>
        <v>85</v>
      </c>
      <c r="I1240" t="str">
        <f>VLOOKUP(C1240,Магазины!A:C,3,0)</f>
        <v>Оренбург</v>
      </c>
      <c r="J1240">
        <f>VLOOKUP(D1240,Товары!A:I,4,0)</f>
        <v>9330</v>
      </c>
      <c r="K1240">
        <f t="shared" si="19"/>
        <v>27990</v>
      </c>
    </row>
    <row r="1241" spans="1:11" hidden="1" x14ac:dyDescent="0.25">
      <c r="A1241">
        <v>1240</v>
      </c>
      <c r="B1241" s="1">
        <v>45754</v>
      </c>
      <c r="C1241" t="s">
        <v>43</v>
      </c>
      <c r="D1241" t="s">
        <v>131</v>
      </c>
      <c r="E1241" t="s">
        <v>8</v>
      </c>
      <c r="F1241">
        <v>3</v>
      </c>
      <c r="G1241" t="str">
        <f>VLOOKUP(D1241,Товары!A:I,3,0)</f>
        <v>Тумба с раковиной  напол. Леон 800 форест 2 ящика с умыв. Слим</v>
      </c>
      <c r="H1241">
        <f>VLOOKUP(D1241,Товары!A:I,6,0)</f>
        <v>80</v>
      </c>
      <c r="I1241" t="str">
        <f>VLOOKUP(C1241,Магазины!A:C,3,0)</f>
        <v>Набережные Челны</v>
      </c>
      <c r="J1241">
        <f>VLOOKUP(D1241,Товары!A:I,4,0)</f>
        <v>29400</v>
      </c>
      <c r="K1241">
        <f t="shared" si="19"/>
        <v>88200</v>
      </c>
    </row>
    <row r="1242" spans="1:11" hidden="1" x14ac:dyDescent="0.25">
      <c r="A1242">
        <v>1241</v>
      </c>
      <c r="B1242" s="1">
        <v>45749</v>
      </c>
      <c r="C1242" t="s">
        <v>28</v>
      </c>
      <c r="D1242" t="s">
        <v>101</v>
      </c>
      <c r="E1242" t="s">
        <v>13</v>
      </c>
      <c r="F1242">
        <v>2</v>
      </c>
      <c r="G1242" t="str">
        <f>VLOOKUP(D1242,Товары!A:I,3,0)</f>
        <v>Пенал напол. Сохо 400 белый 2 двери + 1 ящик</v>
      </c>
      <c r="H1242">
        <f>VLOOKUP(D1242,Товары!A:I,6,0)</f>
        <v>190</v>
      </c>
      <c r="I1242" t="str">
        <f>VLOOKUP(C1242,Магазины!A:C,3,0)</f>
        <v>Набережные Челны</v>
      </c>
      <c r="J1242">
        <f>VLOOKUP(D1242,Товары!A:I,4,0)</f>
        <v>11040</v>
      </c>
      <c r="K1242">
        <f t="shared" si="19"/>
        <v>22080</v>
      </c>
    </row>
    <row r="1243" spans="1:11" hidden="1" x14ac:dyDescent="0.25">
      <c r="A1243">
        <v>1242</v>
      </c>
      <c r="B1243" s="1">
        <v>45754</v>
      </c>
      <c r="C1243" t="s">
        <v>20</v>
      </c>
      <c r="D1243" t="s">
        <v>45</v>
      </c>
      <c r="E1243" t="s">
        <v>13</v>
      </c>
      <c r="F1243">
        <v>3</v>
      </c>
      <c r="G1243" t="str">
        <f>VLOOKUP(D1243,Товары!A:I,3,0)</f>
        <v>Зеркальный шкаф Рица 80 со светильником правый цвет cерый/керамика</v>
      </c>
      <c r="H1243">
        <f>VLOOKUP(D1243,Товары!A:I,6,0)</f>
        <v>75</v>
      </c>
      <c r="I1243" t="str">
        <f>VLOOKUP(C1243,Магазины!A:C,3,0)</f>
        <v>Оренбург</v>
      </c>
      <c r="J1243">
        <f>VLOOKUP(D1243,Товары!A:I,4,0)</f>
        <v>9930</v>
      </c>
      <c r="K1243">
        <f t="shared" si="19"/>
        <v>29790</v>
      </c>
    </row>
    <row r="1244" spans="1:11" hidden="1" x14ac:dyDescent="0.25">
      <c r="A1244">
        <v>1243</v>
      </c>
      <c r="B1244" s="1">
        <v>45750</v>
      </c>
      <c r="C1244" t="s">
        <v>35</v>
      </c>
      <c r="D1244" t="s">
        <v>115</v>
      </c>
      <c r="E1244" t="s">
        <v>8</v>
      </c>
      <c r="F1244">
        <v>1</v>
      </c>
      <c r="G1244" t="str">
        <f>VLOOKUP(D1244,Товары!A:I,3,0)</f>
        <v>Тумба под стиральную машину Куба Риф 57 напольная 2 ящика под ст/маш, без умывальника /под Marshall 120 Белый</v>
      </c>
      <c r="H1244">
        <f>VLOOKUP(D1244,Товары!A:I,6,0)</f>
        <v>85</v>
      </c>
      <c r="I1244" t="str">
        <f>VLOOKUP(C1244,Магазины!A:C,3,0)</f>
        <v>Набережные Челны</v>
      </c>
      <c r="J1244">
        <f>VLOOKUP(D1244,Товары!A:I,4,0)</f>
        <v>10530</v>
      </c>
      <c r="K1244">
        <f t="shared" si="19"/>
        <v>10530</v>
      </c>
    </row>
    <row r="1245" spans="1:11" hidden="1" x14ac:dyDescent="0.25">
      <c r="A1245">
        <v>1244</v>
      </c>
      <c r="B1245" s="1">
        <v>45749</v>
      </c>
      <c r="C1245" t="s">
        <v>6</v>
      </c>
      <c r="D1245" t="s">
        <v>131</v>
      </c>
      <c r="E1245" t="s">
        <v>8</v>
      </c>
      <c r="F1245">
        <v>3</v>
      </c>
      <c r="G1245" t="str">
        <f>VLOOKUP(D1245,Товары!A:I,3,0)</f>
        <v>Тумба с раковиной  напол. Леон 800 форест 2 ящика с умыв. Слим</v>
      </c>
      <c r="H1245">
        <f>VLOOKUP(D1245,Товары!A:I,6,0)</f>
        <v>80</v>
      </c>
      <c r="I1245" t="str">
        <f>VLOOKUP(C1245,Магазины!A:C,3,0)</f>
        <v>Оренбург</v>
      </c>
      <c r="J1245">
        <f>VLOOKUP(D1245,Товары!A:I,4,0)</f>
        <v>29400</v>
      </c>
      <c r="K1245">
        <f t="shared" si="19"/>
        <v>88200</v>
      </c>
    </row>
    <row r="1246" spans="1:11" hidden="1" x14ac:dyDescent="0.25">
      <c r="A1246">
        <v>1245</v>
      </c>
      <c r="B1246" s="1">
        <v>45754</v>
      </c>
      <c r="C1246" t="s">
        <v>43</v>
      </c>
      <c r="D1246" t="s">
        <v>115</v>
      </c>
      <c r="E1246" t="s">
        <v>8</v>
      </c>
      <c r="F1246">
        <v>2</v>
      </c>
      <c r="G1246" t="str">
        <f>VLOOKUP(D1246,Товары!A:I,3,0)</f>
        <v>Тумба под стиральную машину Куба Риф 57 напольная 2 ящика под ст/маш, без умывальника /под Marshall 120 Белый</v>
      </c>
      <c r="H1246">
        <f>VLOOKUP(D1246,Товары!A:I,6,0)</f>
        <v>85</v>
      </c>
      <c r="I1246" t="str">
        <f>VLOOKUP(C1246,Магазины!A:C,3,0)</f>
        <v>Набережные Челны</v>
      </c>
      <c r="J1246">
        <f>VLOOKUP(D1246,Товары!A:I,4,0)</f>
        <v>10530</v>
      </c>
      <c r="K1246">
        <f t="shared" si="19"/>
        <v>21060</v>
      </c>
    </row>
    <row r="1247" spans="1:11" hidden="1" x14ac:dyDescent="0.25">
      <c r="A1247">
        <v>1246</v>
      </c>
      <c r="B1247" s="1">
        <v>45750</v>
      </c>
      <c r="C1247" t="s">
        <v>57</v>
      </c>
      <c r="D1247" t="s">
        <v>25</v>
      </c>
      <c r="E1247" t="s">
        <v>8</v>
      </c>
      <c r="F1247">
        <v>1</v>
      </c>
      <c r="G1247" t="str">
        <f>VLOOKUP(D1247,Товары!A:I,3,0)</f>
        <v>Пенал напол. Леон 400 оникс 2 двери + 1 ящик</v>
      </c>
      <c r="H1247">
        <f>VLOOKUP(D1247,Товары!A:I,6,0)</f>
        <v>190</v>
      </c>
      <c r="I1247" t="str">
        <f>VLOOKUP(C1247,Магазины!A:C,3,0)</f>
        <v>Оренбург</v>
      </c>
      <c r="J1247">
        <f>VLOOKUP(D1247,Товары!A:I,4,0)</f>
        <v>18450</v>
      </c>
      <c r="K1247">
        <f t="shared" si="19"/>
        <v>18450</v>
      </c>
    </row>
    <row r="1248" spans="1:11" hidden="1" x14ac:dyDescent="0.25">
      <c r="A1248">
        <v>1247</v>
      </c>
      <c r="B1248" s="1">
        <v>45753</v>
      </c>
      <c r="C1248" t="s">
        <v>11</v>
      </c>
      <c r="D1248" t="s">
        <v>86</v>
      </c>
      <c r="E1248" t="s">
        <v>13</v>
      </c>
      <c r="F1248">
        <v>1</v>
      </c>
      <c r="G1248" t="str">
        <f>VLOOKUP(D1248,Товары!A:I,3,0)</f>
        <v>Комод Аква 50 напольный 1 ящик 2 двери белый</v>
      </c>
      <c r="H1248">
        <f>VLOOKUP(D1248,Товары!A:I,6,0)</f>
        <v>90</v>
      </c>
      <c r="I1248" t="str">
        <f>VLOOKUP(C1248,Магазины!A:C,3,0)</f>
        <v>Кемерово</v>
      </c>
      <c r="J1248">
        <f>VLOOKUP(D1248,Товары!A:I,4,0)</f>
        <v>7260</v>
      </c>
      <c r="K1248">
        <f t="shared" si="19"/>
        <v>7260</v>
      </c>
    </row>
    <row r="1249" spans="1:11" hidden="1" x14ac:dyDescent="0.25">
      <c r="A1249">
        <v>1248</v>
      </c>
      <c r="B1249" s="1">
        <v>45754</v>
      </c>
      <c r="C1249" t="s">
        <v>30</v>
      </c>
      <c r="D1249" t="s">
        <v>130</v>
      </c>
      <c r="E1249" t="s">
        <v>8</v>
      </c>
      <c r="F1249">
        <v>2</v>
      </c>
      <c r="G1249" t="str">
        <f>VLOOKUP(D1249,Товары!A:I,3,0)</f>
        <v>Пенал напол. Леон 400 форест 2 двери + 1 ящик</v>
      </c>
      <c r="H1249">
        <f>VLOOKUP(D1249,Товары!A:I,6,0)</f>
        <v>190</v>
      </c>
      <c r="I1249" t="str">
        <f>VLOOKUP(C1249,Магазины!A:C,3,0)</f>
        <v>Кемерово</v>
      </c>
      <c r="J1249">
        <f>VLOOKUP(D1249,Товары!A:I,4,0)</f>
        <v>18450</v>
      </c>
      <c r="K1249">
        <f t="shared" si="19"/>
        <v>36900</v>
      </c>
    </row>
    <row r="1250" spans="1:11" hidden="1" x14ac:dyDescent="0.25">
      <c r="A1250">
        <v>1249</v>
      </c>
      <c r="B1250" s="1">
        <v>45756</v>
      </c>
      <c r="C1250" t="s">
        <v>22</v>
      </c>
      <c r="D1250" t="s">
        <v>88</v>
      </c>
      <c r="E1250" t="s">
        <v>8</v>
      </c>
      <c r="F1250">
        <v>2</v>
      </c>
      <c r="G1250" t="str">
        <f>VLOOKUP(D1250,Товары!A:I,3,0)</f>
        <v>Тумба с раковиной  навес. Альба 800 антрацит 2 ящика с умыв. Слим</v>
      </c>
      <c r="H1250">
        <f>VLOOKUP(D1250,Товары!A:I,6,0)</f>
        <v>50</v>
      </c>
      <c r="I1250" t="str">
        <f>VLOOKUP(C1250,Магазины!A:C,3,0)</f>
        <v>Кемерово</v>
      </c>
      <c r="J1250">
        <f>VLOOKUP(D1250,Товары!A:I,4,0)</f>
        <v>26070</v>
      </c>
      <c r="K1250">
        <f t="shared" si="19"/>
        <v>52140</v>
      </c>
    </row>
    <row r="1251" spans="1:11" hidden="1" x14ac:dyDescent="0.25">
      <c r="A1251">
        <v>1250</v>
      </c>
      <c r="B1251" s="1">
        <v>45751</v>
      </c>
      <c r="C1251" t="s">
        <v>14</v>
      </c>
      <c r="D1251" t="s">
        <v>120</v>
      </c>
      <c r="E1251" t="s">
        <v>13</v>
      </c>
      <c r="F1251">
        <v>2</v>
      </c>
      <c r="G1251" t="str">
        <f>VLOOKUP(D1251,Товары!A:I,3,0)</f>
        <v>Зеркальный шкаф Альба 60 со светильником правый цвет антрацит</v>
      </c>
      <c r="H1251">
        <f>VLOOKUP(D1251,Товары!A:I,6,0)</f>
        <v>75</v>
      </c>
      <c r="I1251" t="str">
        <f>VLOOKUP(C1251,Магазины!A:C,3,0)</f>
        <v>Оренбург</v>
      </c>
      <c r="J1251">
        <f>VLOOKUP(D1251,Товары!A:I,4,0)</f>
        <v>8910</v>
      </c>
      <c r="K1251">
        <f t="shared" si="19"/>
        <v>17820</v>
      </c>
    </row>
    <row r="1252" spans="1:11" hidden="1" x14ac:dyDescent="0.25">
      <c r="A1252">
        <v>1251</v>
      </c>
      <c r="B1252" s="1">
        <v>45755</v>
      </c>
      <c r="C1252" t="s">
        <v>9</v>
      </c>
      <c r="D1252" t="s">
        <v>85</v>
      </c>
      <c r="E1252" t="s">
        <v>13</v>
      </c>
      <c r="F1252">
        <v>1</v>
      </c>
      <c r="G1252" t="str">
        <f>VLOOKUP(D1252,Товары!A:I,3,0)</f>
        <v>Пенал напол. Аква 450 белый 2 двери + 2 ящика + корзина</v>
      </c>
      <c r="H1252">
        <f>VLOOKUP(D1252,Товары!A:I,6,0)</f>
        <v>190</v>
      </c>
      <c r="I1252" t="str">
        <f>VLOOKUP(C1252,Магазины!A:C,3,0)</f>
        <v>Кемерово</v>
      </c>
      <c r="J1252">
        <f>VLOOKUP(D1252,Товары!A:I,4,0)</f>
        <v>13335</v>
      </c>
      <c r="K1252">
        <f t="shared" si="19"/>
        <v>13335</v>
      </c>
    </row>
    <row r="1253" spans="1:11" hidden="1" x14ac:dyDescent="0.25">
      <c r="A1253">
        <v>1252</v>
      </c>
      <c r="B1253" s="1">
        <v>45756</v>
      </c>
      <c r="C1253" t="s">
        <v>9</v>
      </c>
      <c r="D1253" t="s">
        <v>10</v>
      </c>
      <c r="E1253" t="s">
        <v>8</v>
      </c>
      <c r="F1253">
        <v>2</v>
      </c>
      <c r="G1253" t="str">
        <f>VLOOKUP(D1253,Товары!A:I,3,0)</f>
        <v>Тумба с раковиной  навес. Альба 700 антрацит 1 ящик с умыв. Слим</v>
      </c>
      <c r="H1253">
        <f>VLOOKUP(D1253,Товары!A:I,6,0)</f>
        <v>45</v>
      </c>
      <c r="I1253" t="str">
        <f>VLOOKUP(C1253,Магазины!A:C,3,0)</f>
        <v>Кемерово</v>
      </c>
      <c r="J1253">
        <f>VLOOKUP(D1253,Товары!A:I,4,0)</f>
        <v>20130</v>
      </c>
      <c r="K1253">
        <f t="shared" si="19"/>
        <v>40260</v>
      </c>
    </row>
    <row r="1254" spans="1:11" hidden="1" x14ac:dyDescent="0.25">
      <c r="A1254">
        <v>1253</v>
      </c>
      <c r="B1254" s="1">
        <v>45753</v>
      </c>
      <c r="C1254" t="s">
        <v>33</v>
      </c>
      <c r="D1254" t="s">
        <v>120</v>
      </c>
      <c r="E1254" t="s">
        <v>8</v>
      </c>
      <c r="F1254">
        <v>1</v>
      </c>
      <c r="G1254" t="str">
        <f>VLOOKUP(D1254,Товары!A:I,3,0)</f>
        <v>Зеркальный шкаф Альба 60 со светильником правый цвет антрацит</v>
      </c>
      <c r="H1254">
        <f>VLOOKUP(D1254,Товары!A:I,6,0)</f>
        <v>75</v>
      </c>
      <c r="I1254" t="str">
        <f>VLOOKUP(C1254,Магазины!A:C,3,0)</f>
        <v>Набережные Челны</v>
      </c>
      <c r="J1254">
        <f>VLOOKUP(D1254,Товары!A:I,4,0)</f>
        <v>8910</v>
      </c>
      <c r="K1254">
        <f t="shared" si="19"/>
        <v>8910</v>
      </c>
    </row>
    <row r="1255" spans="1:11" hidden="1" x14ac:dyDescent="0.25">
      <c r="A1255">
        <v>1254</v>
      </c>
      <c r="B1255" s="1">
        <v>45748</v>
      </c>
      <c r="C1255" t="s">
        <v>41</v>
      </c>
      <c r="D1255" t="s">
        <v>31</v>
      </c>
      <c r="E1255" t="s">
        <v>13</v>
      </c>
      <c r="F1255">
        <v>1</v>
      </c>
      <c r="G1255" t="str">
        <f>VLOOKUP(D1255,Товары!A:I,3,0)</f>
        <v>Пенал напол. Виктория 350 белый 2 двери</v>
      </c>
      <c r="H1255">
        <f>VLOOKUP(D1255,Товары!A:I,6,0)</f>
        <v>190</v>
      </c>
      <c r="I1255" t="str">
        <f>VLOOKUP(C1255,Магазины!A:C,3,0)</f>
        <v>Ставрополь</v>
      </c>
      <c r="J1255">
        <f>VLOOKUP(D1255,Товары!A:I,4,0)</f>
        <v>14085</v>
      </c>
      <c r="K1255">
        <f t="shared" si="19"/>
        <v>14085</v>
      </c>
    </row>
    <row r="1256" spans="1:11" hidden="1" x14ac:dyDescent="0.25">
      <c r="A1256">
        <v>1255</v>
      </c>
      <c r="B1256" s="1">
        <v>45754</v>
      </c>
      <c r="C1256" t="s">
        <v>30</v>
      </c>
      <c r="D1256" t="s">
        <v>79</v>
      </c>
      <c r="E1256" t="s">
        <v>8</v>
      </c>
      <c r="F1256">
        <v>2</v>
      </c>
      <c r="G1256" t="str">
        <f>VLOOKUP(D1256,Товары!A:I,3,0)</f>
        <v>Зеркальный шкаф Альба 70 со светильником правый цвет мята</v>
      </c>
      <c r="H1256">
        <f>VLOOKUP(D1256,Товары!A:I,6,0)</f>
        <v>75</v>
      </c>
      <c r="I1256" t="str">
        <f>VLOOKUP(C1256,Магазины!A:C,3,0)</f>
        <v>Кемерово</v>
      </c>
      <c r="J1256">
        <f>VLOOKUP(D1256,Товары!A:I,4,0)</f>
        <v>9615</v>
      </c>
      <c r="K1256">
        <f t="shared" si="19"/>
        <v>19230</v>
      </c>
    </row>
    <row r="1257" spans="1:11" hidden="1" x14ac:dyDescent="0.25">
      <c r="A1257">
        <v>1256</v>
      </c>
      <c r="B1257" s="1">
        <v>45750</v>
      </c>
      <c r="C1257" t="s">
        <v>48</v>
      </c>
      <c r="D1257" t="s">
        <v>64</v>
      </c>
      <c r="E1257" t="s">
        <v>13</v>
      </c>
      <c r="F1257">
        <v>1</v>
      </c>
      <c r="G1257" t="str">
        <f>VLOOKUP(D1257,Товары!A:I,3,0)</f>
        <v>Тумба с раковиной  напол. Рица 800 антрацит 2 ящика с умыв. Слим</v>
      </c>
      <c r="H1257">
        <f>VLOOKUP(D1257,Товары!A:I,6,0)</f>
        <v>80</v>
      </c>
      <c r="I1257" t="str">
        <f>VLOOKUP(C1257,Магазины!A:C,3,0)</f>
        <v>Ставрополь</v>
      </c>
      <c r="J1257">
        <f>VLOOKUP(D1257,Товары!A:I,4,0)</f>
        <v>28980</v>
      </c>
      <c r="K1257">
        <f t="shared" si="19"/>
        <v>28980</v>
      </c>
    </row>
    <row r="1258" spans="1:11" hidden="1" x14ac:dyDescent="0.25">
      <c r="A1258">
        <v>1257</v>
      </c>
      <c r="B1258" s="1">
        <v>45753</v>
      </c>
      <c r="C1258" t="s">
        <v>58</v>
      </c>
      <c r="D1258" t="s">
        <v>42</v>
      </c>
      <c r="E1258" t="s">
        <v>8</v>
      </c>
      <c r="F1258">
        <v>2</v>
      </c>
      <c r="G1258" t="str">
        <f>VLOOKUP(D1258,Товары!A:I,3,0)</f>
        <v>Тумба под стиральную машину Леон Риф 57 подвесная 2 ящика под ст/маш, без умывальника /под Marshall 120 Солярис/Белый Риф</v>
      </c>
      <c r="H1258">
        <f>VLOOKUP(D1258,Товары!A:I,6,0)</f>
        <v>60</v>
      </c>
      <c r="I1258" t="str">
        <f>VLOOKUP(C1258,Магазины!A:C,3,0)</f>
        <v>Ставрополь</v>
      </c>
      <c r="J1258">
        <f>VLOOKUP(D1258,Товары!A:I,4,0)</f>
        <v>15495</v>
      </c>
      <c r="K1258">
        <f t="shared" si="19"/>
        <v>30990</v>
      </c>
    </row>
    <row r="1259" spans="1:11" hidden="1" x14ac:dyDescent="0.25">
      <c r="A1259">
        <v>1258</v>
      </c>
      <c r="B1259" s="1">
        <v>45750</v>
      </c>
      <c r="C1259" t="s">
        <v>48</v>
      </c>
      <c r="D1259" t="s">
        <v>67</v>
      </c>
      <c r="E1259" t="s">
        <v>13</v>
      </c>
      <c r="F1259">
        <v>1</v>
      </c>
      <c r="G1259" t="str">
        <f>VLOOKUP(D1259,Товары!A:I,3,0)</f>
        <v>Пенал навес./напол. Альба 350 суфле 2 двери</v>
      </c>
      <c r="H1259">
        <f>VLOOKUP(D1259,Товары!A:I,6,0)</f>
        <v>150</v>
      </c>
      <c r="I1259" t="str">
        <f>VLOOKUP(C1259,Магазины!A:C,3,0)</f>
        <v>Ставрополь</v>
      </c>
      <c r="J1259">
        <f>VLOOKUP(D1259,Товары!A:I,4,0)</f>
        <v>11655</v>
      </c>
      <c r="K1259">
        <f t="shared" si="19"/>
        <v>11655</v>
      </c>
    </row>
    <row r="1260" spans="1:11" hidden="1" x14ac:dyDescent="0.25">
      <c r="A1260">
        <v>1259</v>
      </c>
      <c r="B1260" s="1">
        <v>45749</v>
      </c>
      <c r="C1260" t="s">
        <v>43</v>
      </c>
      <c r="D1260" t="s">
        <v>40</v>
      </c>
      <c r="E1260" t="s">
        <v>8</v>
      </c>
      <c r="F1260">
        <v>3</v>
      </c>
      <c r="G1260" t="str">
        <f>VLOOKUP(D1260,Товары!A:I,3,0)</f>
        <v>Тумба с раковиной  навес. Рица 800 cерый/керамика 1 ящик + ниша 1 с умыв. Слим</v>
      </c>
      <c r="H1260">
        <f>VLOOKUP(D1260,Товары!A:I,6,0)</f>
        <v>60</v>
      </c>
      <c r="I1260" t="str">
        <f>VLOOKUP(C1260,Магазины!A:C,3,0)</f>
        <v>Набережные Челны</v>
      </c>
      <c r="J1260">
        <f>VLOOKUP(D1260,Товары!A:I,4,0)</f>
        <v>22425</v>
      </c>
      <c r="K1260">
        <f t="shared" si="19"/>
        <v>67275</v>
      </c>
    </row>
    <row r="1261" spans="1:11" hidden="1" x14ac:dyDescent="0.25">
      <c r="A1261">
        <v>1260</v>
      </c>
      <c r="B1261" s="1">
        <v>45757</v>
      </c>
      <c r="C1261" t="s">
        <v>35</v>
      </c>
      <c r="D1261" t="s">
        <v>113</v>
      </c>
      <c r="E1261" t="s">
        <v>8</v>
      </c>
      <c r="F1261">
        <v>3</v>
      </c>
      <c r="G1261" t="str">
        <f>VLOOKUP(D1261,Товары!A:I,3,0)</f>
        <v>Зеркальный шкаф Альба 60 со светильником правый цвет мята</v>
      </c>
      <c r="H1261">
        <f>VLOOKUP(D1261,Товары!A:I,6,0)</f>
        <v>75</v>
      </c>
      <c r="I1261" t="str">
        <f>VLOOKUP(C1261,Магазины!A:C,3,0)</f>
        <v>Набережные Челны</v>
      </c>
      <c r="J1261">
        <f>VLOOKUP(D1261,Товары!A:I,4,0)</f>
        <v>8910</v>
      </c>
      <c r="K1261">
        <f t="shared" si="19"/>
        <v>26730</v>
      </c>
    </row>
    <row r="1262" spans="1:11" hidden="1" x14ac:dyDescent="0.25">
      <c r="A1262">
        <v>1261</v>
      </c>
      <c r="B1262" s="1">
        <v>45750</v>
      </c>
      <c r="C1262" t="s">
        <v>33</v>
      </c>
      <c r="D1262" t="s">
        <v>98</v>
      </c>
      <c r="E1262" t="s">
        <v>8</v>
      </c>
      <c r="F1262">
        <v>3</v>
      </c>
      <c r="G1262" t="str">
        <f>VLOOKUP(D1262,Товары!A:I,3,0)</f>
        <v>Тумба с раковиной  напол. Рица 800 cерый/керамика 2 ящика с умыв. Слим</v>
      </c>
      <c r="H1262">
        <f>VLOOKUP(D1262,Товары!A:I,6,0)</f>
        <v>80</v>
      </c>
      <c r="I1262" t="str">
        <f>VLOOKUP(C1262,Магазины!A:C,3,0)</f>
        <v>Набережные Челны</v>
      </c>
      <c r="J1262">
        <f>VLOOKUP(D1262,Товары!A:I,4,0)</f>
        <v>28980</v>
      </c>
      <c r="K1262">
        <f t="shared" si="19"/>
        <v>86940</v>
      </c>
    </row>
    <row r="1263" spans="1:11" hidden="1" x14ac:dyDescent="0.25">
      <c r="A1263">
        <v>1262</v>
      </c>
      <c r="B1263" s="1">
        <v>45748</v>
      </c>
      <c r="C1263" t="s">
        <v>6</v>
      </c>
      <c r="D1263" t="s">
        <v>122</v>
      </c>
      <c r="E1263" t="s">
        <v>13</v>
      </c>
      <c r="F1263">
        <v>3</v>
      </c>
      <c r="G1263" t="str">
        <f>VLOOKUP(D1263,Товары!A:I,3,0)</f>
        <v>Тумба с раковиной  навес. Кристалл 600 шато азур 2 ящика с умыв. Океан</v>
      </c>
      <c r="H1263">
        <f>VLOOKUP(D1263,Товары!A:I,6,0)</f>
        <v>55</v>
      </c>
      <c r="I1263" t="str">
        <f>VLOOKUP(C1263,Магазины!A:C,3,0)</f>
        <v>Оренбург</v>
      </c>
      <c r="J1263">
        <f>VLOOKUP(D1263,Товары!A:I,4,0)</f>
        <v>21960</v>
      </c>
      <c r="K1263">
        <f t="shared" si="19"/>
        <v>65880</v>
      </c>
    </row>
    <row r="1264" spans="1:11" hidden="1" x14ac:dyDescent="0.25">
      <c r="A1264">
        <v>1263</v>
      </c>
      <c r="B1264" s="1">
        <v>45749</v>
      </c>
      <c r="C1264" t="s">
        <v>18</v>
      </c>
      <c r="D1264" t="s">
        <v>117</v>
      </c>
      <c r="E1264" t="s">
        <v>13</v>
      </c>
      <c r="F1264">
        <v>1</v>
      </c>
      <c r="G1264" t="str">
        <f>VLOOKUP(D1264,Товары!A:I,3,0)</f>
        <v>Тумба с раковиной  навес. Альба 700 антрацит 2 ящика с умыв. Слим</v>
      </c>
      <c r="H1264">
        <f>VLOOKUP(D1264,Товары!A:I,6,0)</f>
        <v>60</v>
      </c>
      <c r="I1264" t="str">
        <f>VLOOKUP(C1264,Магазины!A:C,3,0)</f>
        <v>Набережные Челны</v>
      </c>
      <c r="J1264">
        <f>VLOOKUP(D1264,Товары!A:I,4,0)</f>
        <v>25095</v>
      </c>
      <c r="K1264">
        <f t="shared" si="19"/>
        <v>25095</v>
      </c>
    </row>
    <row r="1265" spans="1:11" hidden="1" x14ac:dyDescent="0.25">
      <c r="A1265">
        <v>1264</v>
      </c>
      <c r="B1265" s="1">
        <v>45751</v>
      </c>
      <c r="C1265" t="s">
        <v>22</v>
      </c>
      <c r="D1265" t="s">
        <v>42</v>
      </c>
      <c r="E1265" t="s">
        <v>8</v>
      </c>
      <c r="F1265">
        <v>3</v>
      </c>
      <c r="G1265" t="str">
        <f>VLOOKUP(D1265,Товары!A:I,3,0)</f>
        <v>Тумба под стиральную машину Леон Риф 57 подвесная 2 ящика под ст/маш, без умывальника /под Marshall 120 Солярис/Белый Риф</v>
      </c>
      <c r="H1265">
        <f>VLOOKUP(D1265,Товары!A:I,6,0)</f>
        <v>60</v>
      </c>
      <c r="I1265" t="str">
        <f>VLOOKUP(C1265,Магазины!A:C,3,0)</f>
        <v>Кемерово</v>
      </c>
      <c r="J1265">
        <f>VLOOKUP(D1265,Товары!A:I,4,0)</f>
        <v>15495</v>
      </c>
      <c r="K1265">
        <f t="shared" si="19"/>
        <v>46485</v>
      </c>
    </row>
    <row r="1266" spans="1:11" hidden="1" x14ac:dyDescent="0.25">
      <c r="A1266">
        <v>1265</v>
      </c>
      <c r="B1266" s="1">
        <v>45754</v>
      </c>
      <c r="C1266" t="s">
        <v>11</v>
      </c>
      <c r="D1266" t="s">
        <v>7</v>
      </c>
      <c r="E1266" t="s">
        <v>13</v>
      </c>
      <c r="F1266">
        <v>1</v>
      </c>
      <c r="G1266" t="str">
        <f>VLOOKUP(D1266,Товары!A:I,3,0)</f>
        <v>Пенал напол. Леон Риф 400 солярис/белый риф 2 двери + 1 ящик</v>
      </c>
      <c r="H1266">
        <f>VLOOKUP(D1266,Товары!A:I,6,0)</f>
        <v>190</v>
      </c>
      <c r="I1266" t="str">
        <f>VLOOKUP(C1266,Магазины!A:C,3,0)</f>
        <v>Кемерово</v>
      </c>
      <c r="J1266">
        <f>VLOOKUP(D1266,Товары!A:I,4,0)</f>
        <v>14490</v>
      </c>
      <c r="K1266">
        <f t="shared" si="19"/>
        <v>14490</v>
      </c>
    </row>
    <row r="1267" spans="1:11" hidden="1" x14ac:dyDescent="0.25">
      <c r="A1267">
        <v>1266</v>
      </c>
      <c r="B1267" s="1">
        <v>45750</v>
      </c>
      <c r="C1267" t="s">
        <v>92</v>
      </c>
      <c r="D1267" t="s">
        <v>65</v>
      </c>
      <c r="E1267" t="s">
        <v>13</v>
      </c>
      <c r="F1267">
        <v>3</v>
      </c>
      <c r="G1267" t="str">
        <f>VLOOKUP(D1267,Товары!A:I,3,0)</f>
        <v>Тумба с раковиной  навес. Альба 800 суфле 2 ящика с умыв. Слим</v>
      </c>
      <c r="H1267">
        <f>VLOOKUP(D1267,Товары!A:I,6,0)</f>
        <v>50</v>
      </c>
      <c r="I1267" t="str">
        <f>VLOOKUP(C1267,Магазины!A:C,3,0)</f>
        <v>Кемерово</v>
      </c>
      <c r="J1267">
        <f>VLOOKUP(D1267,Товары!A:I,4,0)</f>
        <v>26070</v>
      </c>
      <c r="K1267">
        <f t="shared" si="19"/>
        <v>78210</v>
      </c>
    </row>
    <row r="1268" spans="1:11" hidden="1" x14ac:dyDescent="0.25">
      <c r="A1268">
        <v>1267</v>
      </c>
      <c r="B1268" s="1">
        <v>45752</v>
      </c>
      <c r="C1268" t="s">
        <v>41</v>
      </c>
      <c r="D1268" t="s">
        <v>91</v>
      </c>
      <c r="E1268" t="s">
        <v>8</v>
      </c>
      <c r="F1268">
        <v>3</v>
      </c>
      <c r="G1268" t="str">
        <f>VLOOKUP(D1268,Товары!A:I,3,0)</f>
        <v>Пенал навес./напол. Альба 350 мята 2 двери</v>
      </c>
      <c r="H1268">
        <f>VLOOKUP(D1268,Товары!A:I,6,0)</f>
        <v>150</v>
      </c>
      <c r="I1268" t="str">
        <f>VLOOKUP(C1268,Магазины!A:C,3,0)</f>
        <v>Ставрополь</v>
      </c>
      <c r="J1268">
        <f>VLOOKUP(D1268,Товары!A:I,4,0)</f>
        <v>11655</v>
      </c>
      <c r="K1268">
        <f t="shared" si="19"/>
        <v>34965</v>
      </c>
    </row>
    <row r="1269" spans="1:11" hidden="1" x14ac:dyDescent="0.25">
      <c r="A1269">
        <v>1268</v>
      </c>
      <c r="B1269" s="1">
        <v>45753</v>
      </c>
      <c r="C1269" t="s">
        <v>111</v>
      </c>
      <c r="D1269" t="s">
        <v>108</v>
      </c>
      <c r="E1269" t="s">
        <v>8</v>
      </c>
      <c r="F1269">
        <v>2</v>
      </c>
      <c r="G1269" t="str">
        <f>VLOOKUP(D1269,Товары!A:I,3,0)</f>
        <v>Тумба с раковиной  навес. Виктория 1000 белый 2 ящика с умыв. Слим</v>
      </c>
      <c r="H1269">
        <f>VLOOKUP(D1269,Товары!A:I,6,0)</f>
        <v>60</v>
      </c>
      <c r="I1269" t="str">
        <f>VLOOKUP(C1269,Магазины!A:C,3,0)</f>
        <v>Набережные Челны</v>
      </c>
      <c r="J1269">
        <f>VLOOKUP(D1269,Товары!A:I,4,0)</f>
        <v>29205</v>
      </c>
      <c r="K1269">
        <f t="shared" si="19"/>
        <v>58410</v>
      </c>
    </row>
    <row r="1270" spans="1:11" hidden="1" x14ac:dyDescent="0.25">
      <c r="A1270">
        <v>1269</v>
      </c>
      <c r="B1270" s="1">
        <v>45756</v>
      </c>
      <c r="C1270" t="s">
        <v>28</v>
      </c>
      <c r="D1270" t="s">
        <v>42</v>
      </c>
      <c r="E1270" t="s">
        <v>8</v>
      </c>
      <c r="F1270">
        <v>2</v>
      </c>
      <c r="G1270" t="str">
        <f>VLOOKUP(D1270,Товары!A:I,3,0)</f>
        <v>Тумба под стиральную машину Леон Риф 57 подвесная 2 ящика под ст/маш, без умывальника /под Marshall 120 Солярис/Белый Риф</v>
      </c>
      <c r="H1270">
        <f>VLOOKUP(D1270,Товары!A:I,6,0)</f>
        <v>60</v>
      </c>
      <c r="I1270" t="str">
        <f>VLOOKUP(C1270,Магазины!A:C,3,0)</f>
        <v>Набережные Челны</v>
      </c>
      <c r="J1270">
        <f>VLOOKUP(D1270,Товары!A:I,4,0)</f>
        <v>15495</v>
      </c>
      <c r="K1270">
        <f t="shared" si="19"/>
        <v>30990</v>
      </c>
    </row>
    <row r="1271" spans="1:11" hidden="1" x14ac:dyDescent="0.25">
      <c r="A1271">
        <v>1270</v>
      </c>
      <c r="B1271" s="1">
        <v>45757</v>
      </c>
      <c r="C1271" t="s">
        <v>26</v>
      </c>
      <c r="D1271" t="s">
        <v>115</v>
      </c>
      <c r="E1271" t="s">
        <v>8</v>
      </c>
      <c r="F1271">
        <v>2</v>
      </c>
      <c r="G1271" t="str">
        <f>VLOOKUP(D1271,Товары!A:I,3,0)</f>
        <v>Тумба под стиральную машину Куба Риф 57 напольная 2 ящика под ст/маш, без умывальника /под Marshall 120 Белый</v>
      </c>
      <c r="H1271">
        <f>VLOOKUP(D1271,Товары!A:I,6,0)</f>
        <v>85</v>
      </c>
      <c r="I1271" t="str">
        <f>VLOOKUP(C1271,Магазины!A:C,3,0)</f>
        <v>Оренбург</v>
      </c>
      <c r="J1271">
        <f>VLOOKUP(D1271,Товары!A:I,4,0)</f>
        <v>10530</v>
      </c>
      <c r="K1271">
        <f t="shared" si="19"/>
        <v>21060</v>
      </c>
    </row>
    <row r="1272" spans="1:11" hidden="1" x14ac:dyDescent="0.25">
      <c r="A1272">
        <v>1271</v>
      </c>
      <c r="B1272" s="1">
        <v>45752</v>
      </c>
      <c r="C1272" t="s">
        <v>103</v>
      </c>
      <c r="D1272" t="s">
        <v>113</v>
      </c>
      <c r="E1272" t="s">
        <v>8</v>
      </c>
      <c r="F1272">
        <v>2</v>
      </c>
      <c r="G1272" t="str">
        <f>VLOOKUP(D1272,Товары!A:I,3,0)</f>
        <v>Зеркальный шкаф Альба 60 со светильником правый цвет мята</v>
      </c>
      <c r="H1272">
        <f>VLOOKUP(D1272,Товары!A:I,6,0)</f>
        <v>75</v>
      </c>
      <c r="I1272" t="str">
        <f>VLOOKUP(C1272,Магазины!A:C,3,0)</f>
        <v>Ставрополь</v>
      </c>
      <c r="J1272">
        <f>VLOOKUP(D1272,Товары!A:I,4,0)</f>
        <v>8910</v>
      </c>
      <c r="K1272">
        <f t="shared" si="19"/>
        <v>17820</v>
      </c>
    </row>
    <row r="1273" spans="1:11" hidden="1" x14ac:dyDescent="0.25">
      <c r="A1273">
        <v>1272</v>
      </c>
      <c r="B1273" s="1">
        <v>45753</v>
      </c>
      <c r="C1273" t="s">
        <v>57</v>
      </c>
      <c r="D1273" t="s">
        <v>87</v>
      </c>
      <c r="E1273" t="s">
        <v>13</v>
      </c>
      <c r="F1273">
        <v>1</v>
      </c>
      <c r="G1273" t="str">
        <f>VLOOKUP(D1273,Товары!A:I,3,0)</f>
        <v>Тумба с раковиной  напол. Леон 700 форест 2 ящика с умыв. Слим</v>
      </c>
      <c r="H1273">
        <f>VLOOKUP(D1273,Товары!A:I,6,0)</f>
        <v>80</v>
      </c>
      <c r="I1273" t="str">
        <f>VLOOKUP(C1273,Магазины!A:C,3,0)</f>
        <v>Оренбург</v>
      </c>
      <c r="J1273">
        <f>VLOOKUP(D1273,Товары!A:I,4,0)</f>
        <v>28380</v>
      </c>
      <c r="K1273">
        <f t="shared" si="19"/>
        <v>28380</v>
      </c>
    </row>
    <row r="1274" spans="1:11" hidden="1" x14ac:dyDescent="0.25">
      <c r="A1274">
        <v>1273</v>
      </c>
      <c r="B1274" s="1">
        <v>45753</v>
      </c>
      <c r="C1274" t="s">
        <v>22</v>
      </c>
      <c r="D1274" t="s">
        <v>123</v>
      </c>
      <c r="E1274" t="s">
        <v>13</v>
      </c>
      <c r="F1274">
        <v>3</v>
      </c>
      <c r="G1274" t="str">
        <f>VLOOKUP(D1274,Товары!A:I,3,0)</f>
        <v>Тумба с раковиной  напол. Кристалл 800 суфле 2 ящика с умыв. Слим</v>
      </c>
      <c r="H1274">
        <f>VLOOKUP(D1274,Товары!A:I,6,0)</f>
        <v>80</v>
      </c>
      <c r="I1274" t="str">
        <f>VLOOKUP(C1274,Магазины!A:C,3,0)</f>
        <v>Кемерово</v>
      </c>
      <c r="J1274">
        <f>VLOOKUP(D1274,Товары!A:I,4,0)</f>
        <v>31125</v>
      </c>
      <c r="K1274">
        <f t="shared" si="19"/>
        <v>93375</v>
      </c>
    </row>
    <row r="1275" spans="1:11" hidden="1" x14ac:dyDescent="0.25">
      <c r="A1275">
        <v>1274</v>
      </c>
      <c r="B1275" s="1">
        <v>45752</v>
      </c>
      <c r="C1275" t="s">
        <v>30</v>
      </c>
      <c r="D1275" t="s">
        <v>81</v>
      </c>
      <c r="E1275" t="s">
        <v>8</v>
      </c>
      <c r="F1275">
        <v>3</v>
      </c>
      <c r="G1275" t="str">
        <f>VLOOKUP(D1275,Товары!A:I,3,0)</f>
        <v>Тумба с раковиной  навес. Рица 600 cерый/керамика 1 ящик + ниша 1 с умыв. Океан</v>
      </c>
      <c r="H1275">
        <f>VLOOKUP(D1275,Товары!A:I,6,0)</f>
        <v>60</v>
      </c>
      <c r="I1275" t="str">
        <f>VLOOKUP(C1275,Магазины!A:C,3,0)</f>
        <v>Кемерово</v>
      </c>
      <c r="J1275">
        <f>VLOOKUP(D1275,Товары!A:I,4,0)</f>
        <v>18900</v>
      </c>
      <c r="K1275">
        <f t="shared" si="19"/>
        <v>56700</v>
      </c>
    </row>
    <row r="1276" spans="1:11" hidden="1" x14ac:dyDescent="0.25">
      <c r="A1276">
        <v>1275</v>
      </c>
      <c r="B1276" s="1">
        <v>45752</v>
      </c>
      <c r="C1276" t="s">
        <v>14</v>
      </c>
      <c r="D1276" t="s">
        <v>21</v>
      </c>
      <c r="E1276" t="s">
        <v>13</v>
      </c>
      <c r="F1276">
        <v>3</v>
      </c>
      <c r="G1276" t="str">
        <f>VLOOKUP(D1276,Товары!A:I,3,0)</f>
        <v>Зеркальный шкаф Рица 60 со светильником правый цвет cерый/керамика</v>
      </c>
      <c r="H1276">
        <f>VLOOKUP(D1276,Товары!A:I,6,0)</f>
        <v>75</v>
      </c>
      <c r="I1276" t="str">
        <f>VLOOKUP(C1276,Магазины!A:C,3,0)</f>
        <v>Оренбург</v>
      </c>
      <c r="J1276">
        <f>VLOOKUP(D1276,Товары!A:I,4,0)</f>
        <v>8910</v>
      </c>
      <c r="K1276">
        <f t="shared" si="19"/>
        <v>26730</v>
      </c>
    </row>
    <row r="1277" spans="1:11" hidden="1" x14ac:dyDescent="0.25">
      <c r="A1277">
        <v>1276</v>
      </c>
      <c r="B1277" s="1">
        <v>45751</v>
      </c>
      <c r="C1277" t="s">
        <v>20</v>
      </c>
      <c r="D1277" t="s">
        <v>116</v>
      </c>
      <c r="E1277" t="s">
        <v>8</v>
      </c>
      <c r="F1277">
        <v>2</v>
      </c>
      <c r="G1277" t="str">
        <f>VLOOKUP(D1277,Товары!A:I,3,0)</f>
        <v>Зеркало Нева 60 дуб/белый со светильником</v>
      </c>
      <c r="H1277">
        <f>VLOOKUP(D1277,Товары!A:I,6,0)</f>
        <v>80</v>
      </c>
      <c r="I1277" t="str">
        <f>VLOOKUP(C1277,Магазины!A:C,3,0)</f>
        <v>Оренбург</v>
      </c>
      <c r="J1277">
        <f>VLOOKUP(D1277,Товары!A:I,4,0)</f>
        <v>5100</v>
      </c>
      <c r="K1277">
        <f t="shared" si="19"/>
        <v>10200</v>
      </c>
    </row>
    <row r="1278" spans="1:11" hidden="1" x14ac:dyDescent="0.25">
      <c r="A1278">
        <v>1277</v>
      </c>
      <c r="B1278" s="1">
        <v>45757</v>
      </c>
      <c r="C1278" t="s">
        <v>111</v>
      </c>
      <c r="D1278" t="s">
        <v>38</v>
      </c>
      <c r="E1278" t="s">
        <v>13</v>
      </c>
      <c r="F1278">
        <v>2</v>
      </c>
      <c r="G1278" t="str">
        <f>VLOOKUP(D1278,Товары!A:I,3,0)</f>
        <v>Тумба с раковиной  навес. Куба Риф 600 белый 2 ящика с умыв. Como</v>
      </c>
      <c r="H1278">
        <f>VLOOKUP(D1278,Товары!A:I,6,0)</f>
        <v>55</v>
      </c>
      <c r="I1278" t="str">
        <f>VLOOKUP(C1278,Магазины!A:C,3,0)</f>
        <v>Набережные Челны</v>
      </c>
      <c r="J1278">
        <f>VLOOKUP(D1278,Товары!A:I,4,0)</f>
        <v>14265</v>
      </c>
      <c r="K1278">
        <f t="shared" si="19"/>
        <v>28530</v>
      </c>
    </row>
    <row r="1279" spans="1:11" hidden="1" x14ac:dyDescent="0.25">
      <c r="A1279">
        <v>1278</v>
      </c>
      <c r="B1279" s="1">
        <v>45755</v>
      </c>
      <c r="C1279" t="s">
        <v>22</v>
      </c>
      <c r="D1279" t="s">
        <v>88</v>
      </c>
      <c r="E1279" t="s">
        <v>13</v>
      </c>
      <c r="F1279">
        <v>1</v>
      </c>
      <c r="G1279" t="str">
        <f>VLOOKUP(D1279,Товары!A:I,3,0)</f>
        <v>Тумба с раковиной  навес. Альба 800 антрацит 2 ящика с умыв. Слим</v>
      </c>
      <c r="H1279">
        <f>VLOOKUP(D1279,Товары!A:I,6,0)</f>
        <v>50</v>
      </c>
      <c r="I1279" t="str">
        <f>VLOOKUP(C1279,Магазины!A:C,3,0)</f>
        <v>Кемерово</v>
      </c>
      <c r="J1279">
        <f>VLOOKUP(D1279,Товары!A:I,4,0)</f>
        <v>26070</v>
      </c>
      <c r="K1279">
        <f t="shared" si="19"/>
        <v>26070</v>
      </c>
    </row>
    <row r="1280" spans="1:11" hidden="1" x14ac:dyDescent="0.25">
      <c r="A1280">
        <v>1279</v>
      </c>
      <c r="B1280" s="1">
        <v>45756</v>
      </c>
      <c r="C1280" t="s">
        <v>14</v>
      </c>
      <c r="D1280" t="s">
        <v>131</v>
      </c>
      <c r="E1280" t="s">
        <v>8</v>
      </c>
      <c r="F1280">
        <v>3</v>
      </c>
      <c r="G1280" t="str">
        <f>VLOOKUP(D1280,Товары!A:I,3,0)</f>
        <v>Тумба с раковиной  напол. Леон 800 форест 2 ящика с умыв. Слим</v>
      </c>
      <c r="H1280">
        <f>VLOOKUP(D1280,Товары!A:I,6,0)</f>
        <v>80</v>
      </c>
      <c r="I1280" t="str">
        <f>VLOOKUP(C1280,Магазины!A:C,3,0)</f>
        <v>Оренбург</v>
      </c>
      <c r="J1280">
        <f>VLOOKUP(D1280,Товары!A:I,4,0)</f>
        <v>29400</v>
      </c>
      <c r="K1280">
        <f t="shared" si="19"/>
        <v>88200</v>
      </c>
    </row>
    <row r="1281" spans="1:11" hidden="1" x14ac:dyDescent="0.25">
      <c r="A1281">
        <v>1280</v>
      </c>
      <c r="B1281" s="1">
        <v>45753</v>
      </c>
      <c r="C1281" t="s">
        <v>6</v>
      </c>
      <c r="D1281" t="s">
        <v>29</v>
      </c>
      <c r="E1281" t="s">
        <v>8</v>
      </c>
      <c r="F1281">
        <v>3</v>
      </c>
      <c r="G1281" t="str">
        <f>VLOOKUP(D1281,Товары!A:I,3,0)</f>
        <v>Тумба с раковиной  напол. Леон Риф 600 солярис/белый риф 2 ящика с умыв. Океан</v>
      </c>
      <c r="H1281">
        <f>VLOOKUP(D1281,Товары!A:I,6,0)</f>
        <v>80</v>
      </c>
      <c r="I1281" t="str">
        <f>VLOOKUP(C1281,Магазины!A:C,3,0)</f>
        <v>Оренбург</v>
      </c>
      <c r="J1281">
        <f>VLOOKUP(D1281,Товары!A:I,4,0)</f>
        <v>24150</v>
      </c>
      <c r="K1281">
        <f t="shared" si="19"/>
        <v>72450</v>
      </c>
    </row>
    <row r="1282" spans="1:11" hidden="1" x14ac:dyDescent="0.25">
      <c r="A1282">
        <v>1281</v>
      </c>
      <c r="B1282" s="1">
        <v>45755</v>
      </c>
      <c r="C1282" t="s">
        <v>63</v>
      </c>
      <c r="D1282" t="s">
        <v>101</v>
      </c>
      <c r="E1282" t="s">
        <v>13</v>
      </c>
      <c r="F1282">
        <v>2</v>
      </c>
      <c r="G1282" t="str">
        <f>VLOOKUP(D1282,Товары!A:I,3,0)</f>
        <v>Пенал напол. Сохо 400 белый 2 двери + 1 ящик</v>
      </c>
      <c r="H1282">
        <f>VLOOKUP(D1282,Товары!A:I,6,0)</f>
        <v>190</v>
      </c>
      <c r="I1282" t="str">
        <f>VLOOKUP(C1282,Магазины!A:C,3,0)</f>
        <v>Ставрополь</v>
      </c>
      <c r="J1282">
        <f>VLOOKUP(D1282,Товары!A:I,4,0)</f>
        <v>11040</v>
      </c>
      <c r="K1282">
        <f t="shared" si="19"/>
        <v>22080</v>
      </c>
    </row>
    <row r="1283" spans="1:11" hidden="1" x14ac:dyDescent="0.25">
      <c r="A1283">
        <v>1282</v>
      </c>
      <c r="B1283" s="1">
        <v>45753</v>
      </c>
      <c r="C1283" t="s">
        <v>41</v>
      </c>
      <c r="D1283" t="s">
        <v>89</v>
      </c>
      <c r="E1283" t="s">
        <v>13</v>
      </c>
      <c r="F1283">
        <v>2</v>
      </c>
      <c r="G1283" t="str">
        <f>VLOOKUP(D1283,Товары!A:I,3,0)</f>
        <v>Тумба с раковиной  напол. Сохо 600 белый 2 двери с умыв. Океан</v>
      </c>
      <c r="H1283">
        <f>VLOOKUP(D1283,Товары!A:I,6,0)</f>
        <v>85</v>
      </c>
      <c r="I1283" t="str">
        <f>VLOOKUP(C1283,Магазины!A:C,3,0)</f>
        <v>Ставрополь</v>
      </c>
      <c r="J1283">
        <f>VLOOKUP(D1283,Товары!A:I,4,0)</f>
        <v>14880</v>
      </c>
      <c r="K1283">
        <f t="shared" ref="K1283:K1346" si="20">J1283*F1283</f>
        <v>29760</v>
      </c>
    </row>
    <row r="1284" spans="1:11" hidden="1" x14ac:dyDescent="0.25">
      <c r="A1284">
        <v>1283</v>
      </c>
      <c r="B1284" s="1">
        <v>45752</v>
      </c>
      <c r="C1284" t="s">
        <v>35</v>
      </c>
      <c r="D1284" t="s">
        <v>93</v>
      </c>
      <c r="E1284" t="s">
        <v>8</v>
      </c>
      <c r="F1284">
        <v>3</v>
      </c>
      <c r="G1284" t="str">
        <f>VLOOKUP(D1284,Товары!A:I,3,0)</f>
        <v>Тумба с раковиной  напол. Леон Риф 800 солярис/белый риф 2 ящика с умыв. Слим</v>
      </c>
      <c r="H1284">
        <f>VLOOKUP(D1284,Товары!A:I,6,0)</f>
        <v>80</v>
      </c>
      <c r="I1284" t="str">
        <f>VLOOKUP(C1284,Магазины!A:C,3,0)</f>
        <v>Набережные Челны</v>
      </c>
      <c r="J1284">
        <f>VLOOKUP(D1284,Товары!A:I,4,0)</f>
        <v>29340</v>
      </c>
      <c r="K1284">
        <f t="shared" si="20"/>
        <v>88020</v>
      </c>
    </row>
    <row r="1285" spans="1:11" hidden="1" x14ac:dyDescent="0.25">
      <c r="A1285">
        <v>1284</v>
      </c>
      <c r="B1285" s="1">
        <v>45751</v>
      </c>
      <c r="C1285" t="s">
        <v>30</v>
      </c>
      <c r="D1285" t="s">
        <v>29</v>
      </c>
      <c r="E1285" t="s">
        <v>13</v>
      </c>
      <c r="F1285">
        <v>3</v>
      </c>
      <c r="G1285" t="str">
        <f>VLOOKUP(D1285,Товары!A:I,3,0)</f>
        <v>Тумба с раковиной  напол. Леон Риф 600 солярис/белый риф 2 ящика с умыв. Океан</v>
      </c>
      <c r="H1285">
        <f>VLOOKUP(D1285,Товары!A:I,6,0)</f>
        <v>80</v>
      </c>
      <c r="I1285" t="str">
        <f>VLOOKUP(C1285,Магазины!A:C,3,0)</f>
        <v>Кемерово</v>
      </c>
      <c r="J1285">
        <f>VLOOKUP(D1285,Товары!A:I,4,0)</f>
        <v>24150</v>
      </c>
      <c r="K1285">
        <f t="shared" si="20"/>
        <v>72450</v>
      </c>
    </row>
    <row r="1286" spans="1:11" hidden="1" x14ac:dyDescent="0.25">
      <c r="A1286">
        <v>1285</v>
      </c>
      <c r="B1286" s="1">
        <v>45752</v>
      </c>
      <c r="C1286" t="s">
        <v>6</v>
      </c>
      <c r="D1286" t="s">
        <v>104</v>
      </c>
      <c r="E1286" t="s">
        <v>8</v>
      </c>
      <c r="F1286">
        <v>3</v>
      </c>
      <c r="G1286" t="str">
        <f>VLOOKUP(D1286,Товары!A:I,3,0)</f>
        <v>Тумба под стиральную машину Куба Риф 57 подвесная 2 ящика под ст/маш, без умывальника /под Marshall 120 Белый</v>
      </c>
      <c r="H1286">
        <f>VLOOKUP(D1286,Товары!A:I,6,0)</f>
        <v>50</v>
      </c>
      <c r="I1286" t="str">
        <f>VLOOKUP(C1286,Магазины!A:C,3,0)</f>
        <v>Оренбург</v>
      </c>
      <c r="J1286">
        <f>VLOOKUP(D1286,Товары!A:I,4,0)</f>
        <v>8505</v>
      </c>
      <c r="K1286">
        <f t="shared" si="20"/>
        <v>25515</v>
      </c>
    </row>
    <row r="1287" spans="1:11" hidden="1" x14ac:dyDescent="0.25">
      <c r="A1287">
        <v>1286</v>
      </c>
      <c r="B1287" s="1">
        <v>45750</v>
      </c>
      <c r="C1287" t="s">
        <v>16</v>
      </c>
      <c r="D1287" t="s">
        <v>77</v>
      </c>
      <c r="E1287" t="s">
        <v>8</v>
      </c>
      <c r="F1287">
        <v>1</v>
      </c>
      <c r="G1287" t="str">
        <f>VLOOKUP(D1287,Товары!A:I,3,0)</f>
        <v>Тумба с раковиной  напол. Куба Риф 600 белый 2 ящика с умыв. Como</v>
      </c>
      <c r="H1287">
        <f>VLOOKUP(D1287,Товары!A:I,6,0)</f>
        <v>85</v>
      </c>
      <c r="I1287" t="str">
        <f>VLOOKUP(C1287,Магазины!A:C,3,0)</f>
        <v>Оренбург</v>
      </c>
      <c r="J1287">
        <f>VLOOKUP(D1287,Товары!A:I,4,0)</f>
        <v>15660</v>
      </c>
      <c r="K1287">
        <f t="shared" si="20"/>
        <v>15660</v>
      </c>
    </row>
    <row r="1288" spans="1:11" hidden="1" x14ac:dyDescent="0.25">
      <c r="A1288">
        <v>1287</v>
      </c>
      <c r="B1288" s="1">
        <v>45750</v>
      </c>
      <c r="C1288" t="s">
        <v>26</v>
      </c>
      <c r="D1288" t="s">
        <v>37</v>
      </c>
      <c r="E1288" t="s">
        <v>13</v>
      </c>
      <c r="F1288">
        <v>3</v>
      </c>
      <c r="G1288" t="str">
        <f>VLOOKUP(D1288,Товары!A:I,3,0)</f>
        <v>Зеркальный шкаф Сохо 70 белый со светильником правый цвет Белый глянец</v>
      </c>
      <c r="H1288">
        <f>VLOOKUP(D1288,Товары!A:I,6,0)</f>
        <v>75</v>
      </c>
      <c r="I1288" t="str">
        <f>VLOOKUP(C1288,Магазины!A:C,3,0)</f>
        <v>Оренбург</v>
      </c>
      <c r="J1288">
        <f>VLOOKUP(D1288,Товары!A:I,4,0)</f>
        <v>7935</v>
      </c>
      <c r="K1288">
        <f t="shared" si="20"/>
        <v>23805</v>
      </c>
    </row>
    <row r="1289" spans="1:11" hidden="1" x14ac:dyDescent="0.25">
      <c r="A1289">
        <v>1288</v>
      </c>
      <c r="B1289" s="1">
        <v>45754</v>
      </c>
      <c r="C1289" t="s">
        <v>43</v>
      </c>
      <c r="D1289" t="s">
        <v>23</v>
      </c>
      <c r="E1289" t="s">
        <v>13</v>
      </c>
      <c r="F1289">
        <v>3</v>
      </c>
      <c r="G1289" t="str">
        <f>VLOOKUP(D1289,Товары!A:I,3,0)</f>
        <v>Тумба с раковиной  напол. Альба 800 антрацит 2 ящика с умыв. Слим</v>
      </c>
      <c r="H1289">
        <f>VLOOKUP(D1289,Товары!A:I,6,0)</f>
        <v>80</v>
      </c>
      <c r="I1289" t="str">
        <f>VLOOKUP(C1289,Магазины!A:C,3,0)</f>
        <v>Набережные Челны</v>
      </c>
      <c r="J1289">
        <f>VLOOKUP(D1289,Товары!A:I,4,0)</f>
        <v>29340</v>
      </c>
      <c r="K1289">
        <f t="shared" si="20"/>
        <v>88020</v>
      </c>
    </row>
    <row r="1290" spans="1:11" hidden="1" x14ac:dyDescent="0.25">
      <c r="A1290">
        <v>1289</v>
      </c>
      <c r="B1290" s="1">
        <v>45749</v>
      </c>
      <c r="C1290" t="s">
        <v>18</v>
      </c>
      <c r="D1290" t="s">
        <v>37</v>
      </c>
      <c r="E1290" t="s">
        <v>13</v>
      </c>
      <c r="F1290">
        <v>3</v>
      </c>
      <c r="G1290" t="str">
        <f>VLOOKUP(D1290,Товары!A:I,3,0)</f>
        <v>Зеркальный шкаф Сохо 70 белый со светильником правый цвет Белый глянец</v>
      </c>
      <c r="H1290">
        <f>VLOOKUP(D1290,Товары!A:I,6,0)</f>
        <v>75</v>
      </c>
      <c r="I1290" t="str">
        <f>VLOOKUP(C1290,Магазины!A:C,3,0)</f>
        <v>Набережные Челны</v>
      </c>
      <c r="J1290">
        <f>VLOOKUP(D1290,Товары!A:I,4,0)</f>
        <v>7935</v>
      </c>
      <c r="K1290">
        <f t="shared" si="20"/>
        <v>23805</v>
      </c>
    </row>
    <row r="1291" spans="1:11" hidden="1" x14ac:dyDescent="0.25">
      <c r="A1291">
        <v>1290</v>
      </c>
      <c r="B1291" s="1">
        <v>45756</v>
      </c>
      <c r="C1291" t="s">
        <v>43</v>
      </c>
      <c r="D1291" t="s">
        <v>90</v>
      </c>
      <c r="E1291" t="s">
        <v>13</v>
      </c>
      <c r="F1291">
        <v>3</v>
      </c>
      <c r="G1291" t="str">
        <f>VLOOKUP(D1291,Товары!A:I,3,0)</f>
        <v>Пенал напол. Аква 350 белый 2 двери + 2 ящика</v>
      </c>
      <c r="H1291">
        <f>VLOOKUP(D1291,Товары!A:I,6,0)</f>
        <v>190</v>
      </c>
      <c r="I1291" t="str">
        <f>VLOOKUP(C1291,Магазины!A:C,3,0)</f>
        <v>Набережные Челны</v>
      </c>
      <c r="J1291">
        <f>VLOOKUP(D1291,Товары!A:I,4,0)</f>
        <v>10650</v>
      </c>
      <c r="K1291">
        <f t="shared" si="20"/>
        <v>31950</v>
      </c>
    </row>
    <row r="1292" spans="1:11" hidden="1" x14ac:dyDescent="0.25">
      <c r="A1292">
        <v>1291</v>
      </c>
      <c r="B1292" s="1">
        <v>45748</v>
      </c>
      <c r="C1292" t="s">
        <v>9</v>
      </c>
      <c r="D1292" t="s">
        <v>76</v>
      </c>
      <c r="E1292" t="s">
        <v>8</v>
      </c>
      <c r="F1292">
        <v>2</v>
      </c>
      <c r="G1292" t="str">
        <f>VLOOKUP(D1292,Товары!A:I,3,0)</f>
        <v>Тумба с раковиной  напол. Леон 600 оникс 2 ящика с умыв. Слим</v>
      </c>
      <c r="H1292">
        <f>VLOOKUP(D1292,Товары!A:I,6,0)</f>
        <v>80</v>
      </c>
      <c r="I1292" t="str">
        <f>VLOOKUP(C1292,Магазины!A:C,3,0)</f>
        <v>Кемерово</v>
      </c>
      <c r="J1292">
        <f>VLOOKUP(D1292,Товары!A:I,4,0)</f>
        <v>25860</v>
      </c>
      <c r="K1292">
        <f t="shared" si="20"/>
        <v>51720</v>
      </c>
    </row>
    <row r="1293" spans="1:11" hidden="1" x14ac:dyDescent="0.25">
      <c r="A1293">
        <v>1292</v>
      </c>
      <c r="B1293" s="1">
        <v>45751</v>
      </c>
      <c r="C1293" t="s">
        <v>30</v>
      </c>
      <c r="D1293" t="s">
        <v>122</v>
      </c>
      <c r="E1293" t="s">
        <v>13</v>
      </c>
      <c r="F1293">
        <v>3</v>
      </c>
      <c r="G1293" t="str">
        <f>VLOOKUP(D1293,Товары!A:I,3,0)</f>
        <v>Тумба с раковиной  навес. Кристалл 600 шато азур 2 ящика с умыв. Океан</v>
      </c>
      <c r="H1293">
        <f>VLOOKUP(D1293,Товары!A:I,6,0)</f>
        <v>55</v>
      </c>
      <c r="I1293" t="str">
        <f>VLOOKUP(C1293,Магазины!A:C,3,0)</f>
        <v>Кемерово</v>
      </c>
      <c r="J1293">
        <f>VLOOKUP(D1293,Товары!A:I,4,0)</f>
        <v>21960</v>
      </c>
      <c r="K1293">
        <f t="shared" si="20"/>
        <v>65880</v>
      </c>
    </row>
    <row r="1294" spans="1:11" hidden="1" x14ac:dyDescent="0.25">
      <c r="A1294">
        <v>1293</v>
      </c>
      <c r="B1294" s="1">
        <v>45752</v>
      </c>
      <c r="C1294" t="s">
        <v>92</v>
      </c>
      <c r="D1294" t="s">
        <v>109</v>
      </c>
      <c r="E1294" t="s">
        <v>8</v>
      </c>
      <c r="F1294">
        <v>3</v>
      </c>
      <c r="G1294" t="str">
        <f>VLOOKUP(D1294,Товары!A:I,3,0)</f>
        <v>Тумба с раковиной  навес. Альба 600 антрацит 2 ящика с умыв. Океан</v>
      </c>
      <c r="H1294">
        <f>VLOOKUP(D1294,Товары!A:I,6,0)</f>
        <v>50</v>
      </c>
      <c r="I1294" t="str">
        <f>VLOOKUP(C1294,Магазины!A:C,3,0)</f>
        <v>Кемерово</v>
      </c>
      <c r="J1294">
        <f>VLOOKUP(D1294,Товары!A:I,4,0)</f>
        <v>24810</v>
      </c>
      <c r="K1294">
        <f t="shared" si="20"/>
        <v>74430</v>
      </c>
    </row>
    <row r="1295" spans="1:11" hidden="1" x14ac:dyDescent="0.25">
      <c r="A1295">
        <v>1294</v>
      </c>
      <c r="B1295" s="1">
        <v>45757</v>
      </c>
      <c r="C1295" t="s">
        <v>63</v>
      </c>
      <c r="D1295" t="s">
        <v>130</v>
      </c>
      <c r="E1295" t="s">
        <v>8</v>
      </c>
      <c r="F1295">
        <v>3</v>
      </c>
      <c r="G1295" t="str">
        <f>VLOOKUP(D1295,Товары!A:I,3,0)</f>
        <v>Пенал напол. Леон 400 форест 2 двери + 1 ящик</v>
      </c>
      <c r="H1295">
        <f>VLOOKUP(D1295,Товары!A:I,6,0)</f>
        <v>190</v>
      </c>
      <c r="I1295" t="str">
        <f>VLOOKUP(C1295,Магазины!A:C,3,0)</f>
        <v>Ставрополь</v>
      </c>
      <c r="J1295">
        <f>VLOOKUP(D1295,Товары!A:I,4,0)</f>
        <v>18450</v>
      </c>
      <c r="K1295">
        <f t="shared" si="20"/>
        <v>55350</v>
      </c>
    </row>
    <row r="1296" spans="1:11" hidden="1" x14ac:dyDescent="0.25">
      <c r="A1296">
        <v>1295</v>
      </c>
      <c r="B1296" s="1">
        <v>45756</v>
      </c>
      <c r="C1296" t="s">
        <v>43</v>
      </c>
      <c r="D1296" t="s">
        <v>36</v>
      </c>
      <c r="E1296" t="s">
        <v>8</v>
      </c>
      <c r="F1296">
        <v>1</v>
      </c>
      <c r="G1296" t="str">
        <f>VLOOKUP(D1296,Товары!A:I,3,0)</f>
        <v>Тумба с раковиной  напол. Альба 800 мята 2 ящика с умыв. Слим</v>
      </c>
      <c r="H1296">
        <f>VLOOKUP(D1296,Товары!A:I,6,0)</f>
        <v>80</v>
      </c>
      <c r="I1296" t="str">
        <f>VLOOKUP(C1296,Магазины!A:C,3,0)</f>
        <v>Набережные Челны</v>
      </c>
      <c r="J1296">
        <f>VLOOKUP(D1296,Товары!A:I,4,0)</f>
        <v>29340</v>
      </c>
      <c r="K1296">
        <f t="shared" si="20"/>
        <v>29340</v>
      </c>
    </row>
    <row r="1297" spans="1:11" hidden="1" x14ac:dyDescent="0.25">
      <c r="A1297">
        <v>1296</v>
      </c>
      <c r="B1297" s="1">
        <v>45750</v>
      </c>
      <c r="C1297" t="s">
        <v>6</v>
      </c>
      <c r="D1297" t="s">
        <v>27</v>
      </c>
      <c r="E1297" t="s">
        <v>8</v>
      </c>
      <c r="F1297">
        <v>3</v>
      </c>
      <c r="G1297" t="str">
        <f>VLOOKUP(D1297,Товары!A:I,3,0)</f>
        <v>Тумба с раковиной  навес. Виктория 800 белый 2 ящика с умыв. Слим</v>
      </c>
      <c r="H1297">
        <f>VLOOKUP(D1297,Товары!A:I,6,0)</f>
        <v>60</v>
      </c>
      <c r="I1297" t="str">
        <f>VLOOKUP(C1297,Магазины!A:C,3,0)</f>
        <v>Оренбург</v>
      </c>
      <c r="J1297">
        <f>VLOOKUP(D1297,Товары!A:I,4,0)</f>
        <v>25290</v>
      </c>
      <c r="K1297">
        <f t="shared" si="20"/>
        <v>75870</v>
      </c>
    </row>
    <row r="1298" spans="1:11" hidden="1" x14ac:dyDescent="0.25">
      <c r="A1298">
        <v>1297</v>
      </c>
      <c r="B1298" s="1">
        <v>45757</v>
      </c>
      <c r="C1298" t="s">
        <v>26</v>
      </c>
      <c r="D1298" t="s">
        <v>50</v>
      </c>
      <c r="E1298" t="s">
        <v>8</v>
      </c>
      <c r="F1298">
        <v>2</v>
      </c>
      <c r="G1298" t="str">
        <f>VLOOKUP(D1298,Товары!A:I,3,0)</f>
        <v>Тумба с раковиной  напол. Леон 800 оникс 2 ящика с умыв. Слим</v>
      </c>
      <c r="H1298">
        <f>VLOOKUP(D1298,Товары!A:I,6,0)</f>
        <v>80</v>
      </c>
      <c r="I1298" t="str">
        <f>VLOOKUP(C1298,Магазины!A:C,3,0)</f>
        <v>Оренбург</v>
      </c>
      <c r="J1298">
        <f>VLOOKUP(D1298,Товары!A:I,4,0)</f>
        <v>29400</v>
      </c>
      <c r="K1298">
        <f t="shared" si="20"/>
        <v>58800</v>
      </c>
    </row>
    <row r="1299" spans="1:11" hidden="1" x14ac:dyDescent="0.25">
      <c r="A1299">
        <v>1298</v>
      </c>
      <c r="B1299" s="1">
        <v>45750</v>
      </c>
      <c r="C1299" t="s">
        <v>16</v>
      </c>
      <c r="D1299" t="s">
        <v>94</v>
      </c>
      <c r="E1299" t="s">
        <v>8</v>
      </c>
      <c r="F1299">
        <v>2</v>
      </c>
      <c r="G1299" t="str">
        <f>VLOOKUP(D1299,Товары!A:I,3,0)</f>
        <v>Зеркальный шкаф Альба 80 со светильником правый цвет антрацит</v>
      </c>
      <c r="H1299">
        <f>VLOOKUP(D1299,Товары!A:I,6,0)</f>
        <v>75</v>
      </c>
      <c r="I1299" t="str">
        <f>VLOOKUP(C1299,Магазины!A:C,3,0)</f>
        <v>Оренбург</v>
      </c>
      <c r="J1299">
        <f>VLOOKUP(D1299,Товары!A:I,4,0)</f>
        <v>9930</v>
      </c>
      <c r="K1299">
        <f t="shared" si="20"/>
        <v>19860</v>
      </c>
    </row>
    <row r="1300" spans="1:11" hidden="1" x14ac:dyDescent="0.25">
      <c r="A1300">
        <v>1299</v>
      </c>
      <c r="B1300" s="1">
        <v>45757</v>
      </c>
      <c r="C1300" t="s">
        <v>48</v>
      </c>
      <c r="D1300" t="s">
        <v>113</v>
      </c>
      <c r="E1300" t="s">
        <v>8</v>
      </c>
      <c r="F1300">
        <v>1</v>
      </c>
      <c r="G1300" t="str">
        <f>VLOOKUP(D1300,Товары!A:I,3,0)</f>
        <v>Зеркальный шкаф Альба 60 со светильником правый цвет мята</v>
      </c>
      <c r="H1300">
        <f>VLOOKUP(D1300,Товары!A:I,6,0)</f>
        <v>75</v>
      </c>
      <c r="I1300" t="str">
        <f>VLOOKUP(C1300,Магазины!A:C,3,0)</f>
        <v>Ставрополь</v>
      </c>
      <c r="J1300">
        <f>VLOOKUP(D1300,Товары!A:I,4,0)</f>
        <v>8910</v>
      </c>
      <c r="K1300">
        <f t="shared" si="20"/>
        <v>8910</v>
      </c>
    </row>
    <row r="1301" spans="1:11" hidden="1" x14ac:dyDescent="0.25">
      <c r="A1301">
        <v>1300</v>
      </c>
      <c r="B1301" s="1">
        <v>45748</v>
      </c>
      <c r="C1301" t="s">
        <v>20</v>
      </c>
      <c r="D1301" t="s">
        <v>53</v>
      </c>
      <c r="E1301" t="s">
        <v>8</v>
      </c>
      <c r="F1301">
        <v>2</v>
      </c>
      <c r="G1301" t="str">
        <f>VLOOKUP(D1301,Товары!A:I,3,0)</f>
        <v>Тумба с раковиной  напол. Кристалл 600 шато азур 2 ящика с умыв. Океан</v>
      </c>
      <c r="H1301">
        <f>VLOOKUP(D1301,Товары!A:I,6,0)</f>
        <v>85</v>
      </c>
      <c r="I1301" t="str">
        <f>VLOOKUP(C1301,Магазины!A:C,3,0)</f>
        <v>Оренбург</v>
      </c>
      <c r="J1301">
        <f>VLOOKUP(D1301,Товары!A:I,4,0)</f>
        <v>27600</v>
      </c>
      <c r="K1301">
        <f t="shared" si="20"/>
        <v>55200</v>
      </c>
    </row>
    <row r="1302" spans="1:11" hidden="1" x14ac:dyDescent="0.25">
      <c r="A1302">
        <v>1301</v>
      </c>
      <c r="B1302" s="1">
        <v>45756</v>
      </c>
      <c r="C1302" t="s">
        <v>58</v>
      </c>
      <c r="D1302" t="s">
        <v>66</v>
      </c>
      <c r="E1302" t="s">
        <v>13</v>
      </c>
      <c r="F1302">
        <v>3</v>
      </c>
      <c r="G1302" t="str">
        <f>VLOOKUP(D1302,Товары!A:I,3,0)</f>
        <v>Тумба с раковиной  навес. Альба 800 мята 2 ящика с умыв. Слим</v>
      </c>
      <c r="H1302">
        <f>VLOOKUP(D1302,Товары!A:I,6,0)</f>
        <v>50</v>
      </c>
      <c r="I1302" t="str">
        <f>VLOOKUP(C1302,Магазины!A:C,3,0)</f>
        <v>Ставрополь</v>
      </c>
      <c r="J1302">
        <f>VLOOKUP(D1302,Товары!A:I,4,0)</f>
        <v>26070</v>
      </c>
      <c r="K1302">
        <f t="shared" si="20"/>
        <v>78210</v>
      </c>
    </row>
    <row r="1303" spans="1:11" hidden="1" x14ac:dyDescent="0.25">
      <c r="A1303">
        <v>1302</v>
      </c>
      <c r="B1303" s="1">
        <v>45754</v>
      </c>
      <c r="C1303" t="s">
        <v>57</v>
      </c>
      <c r="D1303" t="s">
        <v>27</v>
      </c>
      <c r="E1303" t="s">
        <v>8</v>
      </c>
      <c r="F1303">
        <v>3</v>
      </c>
      <c r="G1303" t="str">
        <f>VLOOKUP(D1303,Товары!A:I,3,0)</f>
        <v>Тумба с раковиной  навес. Виктория 800 белый 2 ящика с умыв. Слим</v>
      </c>
      <c r="H1303">
        <f>VLOOKUP(D1303,Товары!A:I,6,0)</f>
        <v>60</v>
      </c>
      <c r="I1303" t="str">
        <f>VLOOKUP(C1303,Магазины!A:C,3,0)</f>
        <v>Оренбург</v>
      </c>
      <c r="J1303">
        <f>VLOOKUP(D1303,Товары!A:I,4,0)</f>
        <v>25290</v>
      </c>
      <c r="K1303">
        <f t="shared" si="20"/>
        <v>75870</v>
      </c>
    </row>
    <row r="1304" spans="1:11" hidden="1" x14ac:dyDescent="0.25">
      <c r="A1304">
        <v>1303</v>
      </c>
      <c r="B1304" s="1">
        <v>45756</v>
      </c>
      <c r="C1304" t="s">
        <v>103</v>
      </c>
      <c r="D1304" t="s">
        <v>107</v>
      </c>
      <c r="E1304" t="s">
        <v>8</v>
      </c>
      <c r="F1304">
        <v>3</v>
      </c>
      <c r="G1304" t="str">
        <f>VLOOKUP(D1304,Товары!A:I,3,0)</f>
        <v>Комод Аква 35 напольный 1 дверь белый правый</v>
      </c>
      <c r="H1304">
        <f>VLOOKUP(D1304,Товары!A:I,6,0)</f>
        <v>90</v>
      </c>
      <c r="I1304" t="str">
        <f>VLOOKUP(C1304,Магазины!A:C,3,0)</f>
        <v>Ставрополь</v>
      </c>
      <c r="J1304">
        <f>VLOOKUP(D1304,Товары!A:I,4,0)</f>
        <v>6705</v>
      </c>
      <c r="K1304">
        <f t="shared" si="20"/>
        <v>20115</v>
      </c>
    </row>
    <row r="1305" spans="1:11" hidden="1" x14ac:dyDescent="0.25">
      <c r="A1305">
        <v>1304</v>
      </c>
      <c r="B1305" s="1">
        <v>45752</v>
      </c>
      <c r="C1305" t="s">
        <v>9</v>
      </c>
      <c r="D1305" t="s">
        <v>29</v>
      </c>
      <c r="E1305" t="s">
        <v>8</v>
      </c>
      <c r="F1305">
        <v>1</v>
      </c>
      <c r="G1305" t="str">
        <f>VLOOKUP(D1305,Товары!A:I,3,0)</f>
        <v>Тумба с раковиной  напол. Леон Риф 600 солярис/белый риф 2 ящика с умыв. Океан</v>
      </c>
      <c r="H1305">
        <f>VLOOKUP(D1305,Товары!A:I,6,0)</f>
        <v>80</v>
      </c>
      <c r="I1305" t="str">
        <f>VLOOKUP(C1305,Магазины!A:C,3,0)</f>
        <v>Кемерово</v>
      </c>
      <c r="J1305">
        <f>VLOOKUP(D1305,Товары!A:I,4,0)</f>
        <v>24150</v>
      </c>
      <c r="K1305">
        <f t="shared" si="20"/>
        <v>24150</v>
      </c>
    </row>
    <row r="1306" spans="1:11" hidden="1" x14ac:dyDescent="0.25">
      <c r="A1306">
        <v>1305</v>
      </c>
      <c r="B1306" s="1">
        <v>45748</v>
      </c>
      <c r="C1306" t="s">
        <v>43</v>
      </c>
      <c r="D1306" t="s">
        <v>68</v>
      </c>
      <c r="E1306" t="s">
        <v>13</v>
      </c>
      <c r="F1306">
        <v>1</v>
      </c>
      <c r="G1306" t="str">
        <f>VLOOKUP(D1306,Товары!A:I,3,0)</f>
        <v>Тумба с раковиной  навес. Альба 600 антрацит 1 ящик с умыв. Океан</v>
      </c>
      <c r="H1306">
        <f>VLOOKUP(D1306,Товары!A:I,6,0)</f>
        <v>85</v>
      </c>
      <c r="I1306" t="str">
        <f>VLOOKUP(C1306,Магазины!A:C,3,0)</f>
        <v>Набережные Челны</v>
      </c>
      <c r="J1306">
        <f>VLOOKUP(D1306,Товары!A:I,4,0)</f>
        <v>17625</v>
      </c>
      <c r="K1306">
        <f t="shared" si="20"/>
        <v>17625</v>
      </c>
    </row>
    <row r="1307" spans="1:11" hidden="1" x14ac:dyDescent="0.25">
      <c r="A1307">
        <v>1306</v>
      </c>
      <c r="B1307" s="1">
        <v>45752</v>
      </c>
      <c r="C1307" t="s">
        <v>22</v>
      </c>
      <c r="D1307" t="s">
        <v>7</v>
      </c>
      <c r="E1307" t="s">
        <v>8</v>
      </c>
      <c r="F1307">
        <v>2</v>
      </c>
      <c r="G1307" t="str">
        <f>VLOOKUP(D1307,Товары!A:I,3,0)</f>
        <v>Пенал напол. Леон Риф 400 солярис/белый риф 2 двери + 1 ящик</v>
      </c>
      <c r="H1307">
        <f>VLOOKUP(D1307,Товары!A:I,6,0)</f>
        <v>190</v>
      </c>
      <c r="I1307" t="str">
        <f>VLOOKUP(C1307,Магазины!A:C,3,0)</f>
        <v>Кемерово</v>
      </c>
      <c r="J1307">
        <f>VLOOKUP(D1307,Товары!A:I,4,0)</f>
        <v>14490</v>
      </c>
      <c r="K1307">
        <f t="shared" si="20"/>
        <v>28980</v>
      </c>
    </row>
    <row r="1308" spans="1:11" hidden="1" x14ac:dyDescent="0.25">
      <c r="A1308">
        <v>1307</v>
      </c>
      <c r="B1308" s="1">
        <v>45750</v>
      </c>
      <c r="C1308" t="s">
        <v>103</v>
      </c>
      <c r="D1308" t="s">
        <v>119</v>
      </c>
      <c r="E1308" t="s">
        <v>13</v>
      </c>
      <c r="F1308">
        <v>1</v>
      </c>
      <c r="G1308" t="str">
        <f>VLOOKUP(D1308,Товары!A:I,3,0)</f>
        <v>Пенал навес./напол. Рица 350 cерый/керамика 2 двери</v>
      </c>
      <c r="H1308">
        <f>VLOOKUP(D1308,Товары!A:I,6,0)</f>
        <v>160</v>
      </c>
      <c r="I1308" t="str">
        <f>VLOOKUP(C1308,Магазины!A:C,3,0)</f>
        <v>Ставрополь</v>
      </c>
      <c r="J1308">
        <f>VLOOKUP(D1308,Товары!A:I,4,0)</f>
        <v>11250</v>
      </c>
      <c r="K1308">
        <f t="shared" si="20"/>
        <v>11250</v>
      </c>
    </row>
    <row r="1309" spans="1:11" hidden="1" x14ac:dyDescent="0.25">
      <c r="A1309">
        <v>1308</v>
      </c>
      <c r="B1309" s="1">
        <v>45753</v>
      </c>
      <c r="C1309" t="s">
        <v>48</v>
      </c>
      <c r="D1309" t="s">
        <v>112</v>
      </c>
      <c r="E1309" t="s">
        <v>8</v>
      </c>
      <c r="F1309">
        <v>1</v>
      </c>
      <c r="G1309" t="str">
        <f>VLOOKUP(D1309,Товары!A:I,3,0)</f>
        <v>Тумба с раковиной  напол. Аква 560 белый 2 двери с умыв. Уют</v>
      </c>
      <c r="H1309">
        <f>VLOOKUP(D1309,Товары!A:I,6,0)</f>
        <v>85</v>
      </c>
      <c r="I1309" t="str">
        <f>VLOOKUP(C1309,Магазины!A:C,3,0)</f>
        <v>Ставрополь</v>
      </c>
      <c r="J1309">
        <f>VLOOKUP(D1309,Товары!A:I,4,0)</f>
        <v>9330</v>
      </c>
      <c r="K1309">
        <f t="shared" si="20"/>
        <v>9330</v>
      </c>
    </row>
    <row r="1310" spans="1:11" hidden="1" x14ac:dyDescent="0.25">
      <c r="A1310">
        <v>1309</v>
      </c>
      <c r="B1310" s="1">
        <v>45755</v>
      </c>
      <c r="C1310" t="s">
        <v>6</v>
      </c>
      <c r="D1310" t="s">
        <v>59</v>
      </c>
      <c r="E1310" t="s">
        <v>8</v>
      </c>
      <c r="F1310">
        <v>2</v>
      </c>
      <c r="G1310" t="str">
        <f>VLOOKUP(D1310,Товары!A:I,3,0)</f>
        <v>Тумба с раковиной  навес. Куба Риф 600 белый 2 ящика с умыв. Океан</v>
      </c>
      <c r="H1310">
        <f>VLOOKUP(D1310,Товары!A:I,6,0)</f>
        <v>55</v>
      </c>
      <c r="I1310" t="str">
        <f>VLOOKUP(C1310,Магазины!A:C,3,0)</f>
        <v>Оренбург</v>
      </c>
      <c r="J1310">
        <f>VLOOKUP(D1310,Товары!A:I,4,0)</f>
        <v>15765</v>
      </c>
      <c r="K1310">
        <f t="shared" si="20"/>
        <v>31530</v>
      </c>
    </row>
    <row r="1311" spans="1:11" hidden="1" x14ac:dyDescent="0.25">
      <c r="A1311">
        <v>1310</v>
      </c>
      <c r="B1311" s="1">
        <v>45749</v>
      </c>
      <c r="C1311" t="s">
        <v>111</v>
      </c>
      <c r="D1311" t="s">
        <v>83</v>
      </c>
      <c r="E1311" t="s">
        <v>13</v>
      </c>
      <c r="F1311">
        <v>2</v>
      </c>
      <c r="G1311" t="str">
        <f>VLOOKUP(D1311,Товары!A:I,3,0)</f>
        <v>Зеркальный шкаф Альба 60 со светильником правый цвет суфле</v>
      </c>
      <c r="H1311">
        <f>VLOOKUP(D1311,Товары!A:I,6,0)</f>
        <v>75</v>
      </c>
      <c r="I1311" t="str">
        <f>VLOOKUP(C1311,Магазины!A:C,3,0)</f>
        <v>Набережные Челны</v>
      </c>
      <c r="J1311">
        <f>VLOOKUP(D1311,Товары!A:I,4,0)</f>
        <v>8910</v>
      </c>
      <c r="K1311">
        <f t="shared" si="20"/>
        <v>17820</v>
      </c>
    </row>
    <row r="1312" spans="1:11" hidden="1" x14ac:dyDescent="0.25">
      <c r="A1312">
        <v>1311</v>
      </c>
      <c r="B1312" s="1">
        <v>45757</v>
      </c>
      <c r="C1312" t="s">
        <v>111</v>
      </c>
      <c r="D1312" t="s">
        <v>77</v>
      </c>
      <c r="E1312" t="s">
        <v>8</v>
      </c>
      <c r="F1312">
        <v>1</v>
      </c>
      <c r="G1312" t="str">
        <f>VLOOKUP(D1312,Товары!A:I,3,0)</f>
        <v>Тумба с раковиной  напол. Куба Риф 600 белый 2 ящика с умыв. Como</v>
      </c>
      <c r="H1312">
        <f>VLOOKUP(D1312,Товары!A:I,6,0)</f>
        <v>85</v>
      </c>
      <c r="I1312" t="str">
        <f>VLOOKUP(C1312,Магазины!A:C,3,0)</f>
        <v>Набережные Челны</v>
      </c>
      <c r="J1312">
        <f>VLOOKUP(D1312,Товары!A:I,4,0)</f>
        <v>15660</v>
      </c>
      <c r="K1312">
        <f t="shared" si="20"/>
        <v>15660</v>
      </c>
    </row>
    <row r="1313" spans="1:11" hidden="1" x14ac:dyDescent="0.25">
      <c r="A1313">
        <v>1312</v>
      </c>
      <c r="B1313" s="1">
        <v>45755</v>
      </c>
      <c r="C1313" t="s">
        <v>103</v>
      </c>
      <c r="D1313" t="s">
        <v>25</v>
      </c>
      <c r="E1313" t="s">
        <v>13</v>
      </c>
      <c r="F1313">
        <v>2</v>
      </c>
      <c r="G1313" t="str">
        <f>VLOOKUP(D1313,Товары!A:I,3,0)</f>
        <v>Пенал напол. Леон 400 оникс 2 двери + 1 ящик</v>
      </c>
      <c r="H1313">
        <f>VLOOKUP(D1313,Товары!A:I,6,0)</f>
        <v>190</v>
      </c>
      <c r="I1313" t="str">
        <f>VLOOKUP(C1313,Магазины!A:C,3,0)</f>
        <v>Ставрополь</v>
      </c>
      <c r="J1313">
        <f>VLOOKUP(D1313,Товары!A:I,4,0)</f>
        <v>18450</v>
      </c>
      <c r="K1313">
        <f t="shared" si="20"/>
        <v>36900</v>
      </c>
    </row>
    <row r="1314" spans="1:11" hidden="1" x14ac:dyDescent="0.25">
      <c r="A1314">
        <v>1313</v>
      </c>
      <c r="B1314" s="1">
        <v>45751</v>
      </c>
      <c r="C1314" t="s">
        <v>43</v>
      </c>
      <c r="D1314" t="s">
        <v>62</v>
      </c>
      <c r="E1314" t="s">
        <v>13</v>
      </c>
      <c r="F1314">
        <v>1</v>
      </c>
      <c r="G1314" t="str">
        <f>VLOOKUP(D1314,Товары!A:I,3,0)</f>
        <v>Тумба с раковиной  напол. Альба 600 мята 2 ящика с умыв. Океан</v>
      </c>
      <c r="H1314">
        <f>VLOOKUP(D1314,Товары!A:I,6,0)</f>
        <v>80</v>
      </c>
      <c r="I1314" t="str">
        <f>VLOOKUP(C1314,Магазины!A:C,3,0)</f>
        <v>Набережные Челны</v>
      </c>
      <c r="J1314">
        <f>VLOOKUP(D1314,Товары!A:I,4,0)</f>
        <v>26370</v>
      </c>
      <c r="K1314">
        <f t="shared" si="20"/>
        <v>26370</v>
      </c>
    </row>
    <row r="1315" spans="1:11" hidden="1" x14ac:dyDescent="0.25">
      <c r="A1315">
        <v>1314</v>
      </c>
      <c r="B1315" s="1">
        <v>45757</v>
      </c>
      <c r="C1315" t="s">
        <v>16</v>
      </c>
      <c r="D1315" t="s">
        <v>93</v>
      </c>
      <c r="E1315" t="s">
        <v>8</v>
      </c>
      <c r="F1315">
        <v>3</v>
      </c>
      <c r="G1315" t="str">
        <f>VLOOKUP(D1315,Товары!A:I,3,0)</f>
        <v>Тумба с раковиной  напол. Леон Риф 800 солярис/белый риф 2 ящика с умыв. Слим</v>
      </c>
      <c r="H1315">
        <f>VLOOKUP(D1315,Товары!A:I,6,0)</f>
        <v>80</v>
      </c>
      <c r="I1315" t="str">
        <f>VLOOKUP(C1315,Магазины!A:C,3,0)</f>
        <v>Оренбург</v>
      </c>
      <c r="J1315">
        <f>VLOOKUP(D1315,Товары!A:I,4,0)</f>
        <v>29340</v>
      </c>
      <c r="K1315">
        <f t="shared" si="20"/>
        <v>88020</v>
      </c>
    </row>
    <row r="1316" spans="1:11" hidden="1" x14ac:dyDescent="0.25">
      <c r="A1316">
        <v>1315</v>
      </c>
      <c r="B1316" s="1">
        <v>45757</v>
      </c>
      <c r="C1316" t="s">
        <v>14</v>
      </c>
      <c r="D1316" t="s">
        <v>52</v>
      </c>
      <c r="E1316" t="s">
        <v>8</v>
      </c>
      <c r="F1316">
        <v>3</v>
      </c>
      <c r="G1316" t="str">
        <f>VLOOKUP(D1316,Товары!A:I,3,0)</f>
        <v>Тумба с раковиной  напол. Кристалл 600 суфле 2 ящика с умыв. Океан</v>
      </c>
      <c r="H1316">
        <f>VLOOKUP(D1316,Товары!A:I,6,0)</f>
        <v>80</v>
      </c>
      <c r="I1316" t="str">
        <f>VLOOKUP(C1316,Магазины!A:C,3,0)</f>
        <v>Оренбург</v>
      </c>
      <c r="J1316">
        <f>VLOOKUP(D1316,Товары!A:I,4,0)</f>
        <v>27600</v>
      </c>
      <c r="K1316">
        <f t="shared" si="20"/>
        <v>82800</v>
      </c>
    </row>
    <row r="1317" spans="1:11" hidden="1" x14ac:dyDescent="0.25">
      <c r="A1317">
        <v>1316</v>
      </c>
      <c r="B1317" s="1">
        <v>45757</v>
      </c>
      <c r="C1317" t="s">
        <v>14</v>
      </c>
      <c r="D1317" t="s">
        <v>40</v>
      </c>
      <c r="E1317" t="s">
        <v>13</v>
      </c>
      <c r="F1317">
        <v>2</v>
      </c>
      <c r="G1317" t="str">
        <f>VLOOKUP(D1317,Товары!A:I,3,0)</f>
        <v>Тумба с раковиной  навес. Рица 800 cерый/керамика 1 ящик + ниша 1 с умыв. Слим</v>
      </c>
      <c r="H1317">
        <f>VLOOKUP(D1317,Товары!A:I,6,0)</f>
        <v>60</v>
      </c>
      <c r="I1317" t="str">
        <f>VLOOKUP(C1317,Магазины!A:C,3,0)</f>
        <v>Оренбург</v>
      </c>
      <c r="J1317">
        <f>VLOOKUP(D1317,Товары!A:I,4,0)</f>
        <v>22425</v>
      </c>
      <c r="K1317">
        <f t="shared" si="20"/>
        <v>44850</v>
      </c>
    </row>
    <row r="1318" spans="1:11" hidden="1" x14ac:dyDescent="0.25">
      <c r="A1318">
        <v>1317</v>
      </c>
      <c r="B1318" s="1">
        <v>45757</v>
      </c>
      <c r="C1318" t="s">
        <v>11</v>
      </c>
      <c r="D1318" t="s">
        <v>94</v>
      </c>
      <c r="E1318" t="s">
        <v>8</v>
      </c>
      <c r="F1318">
        <v>3</v>
      </c>
      <c r="G1318" t="str">
        <f>VLOOKUP(D1318,Товары!A:I,3,0)</f>
        <v>Зеркальный шкаф Альба 80 со светильником правый цвет антрацит</v>
      </c>
      <c r="H1318">
        <f>VLOOKUP(D1318,Товары!A:I,6,0)</f>
        <v>75</v>
      </c>
      <c r="I1318" t="str">
        <f>VLOOKUP(C1318,Магазины!A:C,3,0)</f>
        <v>Кемерово</v>
      </c>
      <c r="J1318">
        <f>VLOOKUP(D1318,Товары!A:I,4,0)</f>
        <v>9930</v>
      </c>
      <c r="K1318">
        <f t="shared" si="20"/>
        <v>29790</v>
      </c>
    </row>
    <row r="1319" spans="1:11" hidden="1" x14ac:dyDescent="0.25">
      <c r="A1319">
        <v>1318</v>
      </c>
      <c r="B1319" s="1">
        <v>45748</v>
      </c>
      <c r="C1319" t="s">
        <v>22</v>
      </c>
      <c r="D1319" t="s">
        <v>86</v>
      </c>
      <c r="E1319" t="s">
        <v>13</v>
      </c>
      <c r="F1319">
        <v>2</v>
      </c>
      <c r="G1319" t="str">
        <f>VLOOKUP(D1319,Товары!A:I,3,0)</f>
        <v>Комод Аква 50 напольный 1 ящик 2 двери белый</v>
      </c>
      <c r="H1319">
        <f>VLOOKUP(D1319,Товары!A:I,6,0)</f>
        <v>90</v>
      </c>
      <c r="I1319" t="str">
        <f>VLOOKUP(C1319,Магазины!A:C,3,0)</f>
        <v>Кемерово</v>
      </c>
      <c r="J1319">
        <f>VLOOKUP(D1319,Товары!A:I,4,0)</f>
        <v>7260</v>
      </c>
      <c r="K1319">
        <f t="shared" si="20"/>
        <v>14520</v>
      </c>
    </row>
    <row r="1320" spans="1:11" hidden="1" x14ac:dyDescent="0.25">
      <c r="A1320">
        <v>1319</v>
      </c>
      <c r="B1320" s="1">
        <v>45751</v>
      </c>
      <c r="C1320" t="s">
        <v>16</v>
      </c>
      <c r="D1320" t="s">
        <v>31</v>
      </c>
      <c r="E1320" t="s">
        <v>8</v>
      </c>
      <c r="F1320">
        <v>1</v>
      </c>
      <c r="G1320" t="str">
        <f>VLOOKUP(D1320,Товары!A:I,3,0)</f>
        <v>Пенал напол. Виктория 350 белый 2 двери</v>
      </c>
      <c r="H1320">
        <f>VLOOKUP(D1320,Товары!A:I,6,0)</f>
        <v>190</v>
      </c>
      <c r="I1320" t="str">
        <f>VLOOKUP(C1320,Магазины!A:C,3,0)</f>
        <v>Оренбург</v>
      </c>
      <c r="J1320">
        <f>VLOOKUP(D1320,Товары!A:I,4,0)</f>
        <v>14085</v>
      </c>
      <c r="K1320">
        <f t="shared" si="20"/>
        <v>14085</v>
      </c>
    </row>
    <row r="1321" spans="1:11" hidden="1" x14ac:dyDescent="0.25">
      <c r="A1321">
        <v>1320</v>
      </c>
      <c r="B1321" s="1">
        <v>45753</v>
      </c>
      <c r="C1321" t="s">
        <v>41</v>
      </c>
      <c r="D1321" t="s">
        <v>128</v>
      </c>
      <c r="E1321" t="s">
        <v>13</v>
      </c>
      <c r="F1321">
        <v>2</v>
      </c>
      <c r="G1321" t="str">
        <f>VLOOKUP(D1321,Товары!A:I,3,0)</f>
        <v>Тумба с раковиной  напол. Куба Риф 1000 белый 2 ящика с умыв. Слим</v>
      </c>
      <c r="H1321">
        <f>VLOOKUP(D1321,Товары!A:I,6,0)</f>
        <v>85</v>
      </c>
      <c r="I1321" t="str">
        <f>VLOOKUP(C1321,Магазины!A:C,3,0)</f>
        <v>Ставрополь</v>
      </c>
      <c r="J1321">
        <f>VLOOKUP(D1321,Товары!A:I,4,0)</f>
        <v>22905</v>
      </c>
      <c r="K1321">
        <f t="shared" si="20"/>
        <v>45810</v>
      </c>
    </row>
    <row r="1322" spans="1:11" hidden="1" x14ac:dyDescent="0.25">
      <c r="A1322">
        <v>1321</v>
      </c>
      <c r="B1322" s="1">
        <v>45751</v>
      </c>
      <c r="C1322" t="s">
        <v>11</v>
      </c>
      <c r="D1322" t="s">
        <v>114</v>
      </c>
      <c r="E1322" t="s">
        <v>8</v>
      </c>
      <c r="F1322">
        <v>3</v>
      </c>
      <c r="G1322" t="str">
        <f>VLOOKUP(D1322,Товары!A:I,3,0)</f>
        <v>Тумба с раковиной  навес. Альба 700 мята 2 ящика с умыв. Слим</v>
      </c>
      <c r="H1322">
        <f>VLOOKUP(D1322,Товары!A:I,6,0)</f>
        <v>60</v>
      </c>
      <c r="I1322" t="str">
        <f>VLOOKUP(C1322,Магазины!A:C,3,0)</f>
        <v>Кемерово</v>
      </c>
      <c r="J1322">
        <f>VLOOKUP(D1322,Товары!A:I,4,0)</f>
        <v>25095</v>
      </c>
      <c r="K1322">
        <f t="shared" si="20"/>
        <v>75285</v>
      </c>
    </row>
    <row r="1323" spans="1:11" hidden="1" x14ac:dyDescent="0.25">
      <c r="A1323">
        <v>1322</v>
      </c>
      <c r="B1323" s="1">
        <v>45751</v>
      </c>
      <c r="C1323" t="s">
        <v>6</v>
      </c>
      <c r="D1323" t="s">
        <v>17</v>
      </c>
      <c r="E1323" t="s">
        <v>8</v>
      </c>
      <c r="F1323">
        <v>1</v>
      </c>
      <c r="G1323" t="str">
        <f>VLOOKUP(D1323,Товары!A:I,3,0)</f>
        <v>Тумба с раковиной  навес. Альба 800 антрацит 1 ящик с умыв. Слим</v>
      </c>
      <c r="H1323">
        <f>VLOOKUP(D1323,Товары!A:I,6,0)</f>
        <v>45</v>
      </c>
      <c r="I1323" t="str">
        <f>VLOOKUP(C1323,Магазины!A:C,3,0)</f>
        <v>Оренбург</v>
      </c>
      <c r="J1323">
        <f>VLOOKUP(D1323,Товары!A:I,4,0)</f>
        <v>21630</v>
      </c>
      <c r="K1323">
        <f t="shared" si="20"/>
        <v>21630</v>
      </c>
    </row>
    <row r="1324" spans="1:11" hidden="1" x14ac:dyDescent="0.25">
      <c r="A1324">
        <v>1323</v>
      </c>
      <c r="B1324" s="1">
        <v>45757</v>
      </c>
      <c r="C1324" t="s">
        <v>26</v>
      </c>
      <c r="D1324" t="s">
        <v>129</v>
      </c>
      <c r="E1324" t="s">
        <v>8</v>
      </c>
      <c r="F1324">
        <v>3</v>
      </c>
      <c r="G1324" t="str">
        <f>VLOOKUP(D1324,Товары!A:I,3,0)</f>
        <v>Тумба с раковиной  напол. Альба 700 антрацит 2 ящика с умыв. Слим</v>
      </c>
      <c r="H1324">
        <f>VLOOKUP(D1324,Товары!A:I,6,0)</f>
        <v>85</v>
      </c>
      <c r="I1324" t="str">
        <f>VLOOKUP(C1324,Магазины!A:C,3,0)</f>
        <v>Оренбург</v>
      </c>
      <c r="J1324">
        <f>VLOOKUP(D1324,Товары!A:I,4,0)</f>
        <v>28695</v>
      </c>
      <c r="K1324">
        <f t="shared" si="20"/>
        <v>86085</v>
      </c>
    </row>
    <row r="1325" spans="1:11" hidden="1" x14ac:dyDescent="0.25">
      <c r="A1325">
        <v>1324</v>
      </c>
      <c r="B1325" s="1">
        <v>45749</v>
      </c>
      <c r="C1325" t="s">
        <v>57</v>
      </c>
      <c r="D1325" t="s">
        <v>40</v>
      </c>
      <c r="E1325" t="s">
        <v>13</v>
      </c>
      <c r="F1325">
        <v>1</v>
      </c>
      <c r="G1325" t="str">
        <f>VLOOKUP(D1325,Товары!A:I,3,0)</f>
        <v>Тумба с раковиной  навес. Рица 800 cерый/керамика 1 ящик + ниша 1 с умыв. Слим</v>
      </c>
      <c r="H1325">
        <f>VLOOKUP(D1325,Товары!A:I,6,0)</f>
        <v>60</v>
      </c>
      <c r="I1325" t="str">
        <f>VLOOKUP(C1325,Магазины!A:C,3,0)</f>
        <v>Оренбург</v>
      </c>
      <c r="J1325">
        <f>VLOOKUP(D1325,Товары!A:I,4,0)</f>
        <v>22425</v>
      </c>
      <c r="K1325">
        <f t="shared" si="20"/>
        <v>22425</v>
      </c>
    </row>
    <row r="1326" spans="1:11" hidden="1" x14ac:dyDescent="0.25">
      <c r="A1326">
        <v>1325</v>
      </c>
      <c r="B1326" s="1">
        <v>45750</v>
      </c>
      <c r="C1326" t="s">
        <v>11</v>
      </c>
      <c r="D1326" t="s">
        <v>99</v>
      </c>
      <c r="E1326" t="s">
        <v>13</v>
      </c>
      <c r="F1326">
        <v>2</v>
      </c>
      <c r="G1326" t="str">
        <f>VLOOKUP(D1326,Товары!A:I,3,0)</f>
        <v>Тумба с раковиной  навес. Леон 600 оникс 2 ящика с умыв. Слим</v>
      </c>
      <c r="H1326">
        <f>VLOOKUP(D1326,Товары!A:I,6,0)</f>
        <v>60</v>
      </c>
      <c r="I1326" t="str">
        <f>VLOOKUP(C1326,Магазины!A:C,3,0)</f>
        <v>Кемерово</v>
      </c>
      <c r="J1326">
        <f>VLOOKUP(D1326,Товары!A:I,4,0)</f>
        <v>25125</v>
      </c>
      <c r="K1326">
        <f t="shared" si="20"/>
        <v>50250</v>
      </c>
    </row>
    <row r="1327" spans="1:11" hidden="1" x14ac:dyDescent="0.25">
      <c r="A1327">
        <v>1326</v>
      </c>
      <c r="B1327" s="1">
        <v>45755</v>
      </c>
      <c r="C1327" t="s">
        <v>28</v>
      </c>
      <c r="D1327" t="s">
        <v>120</v>
      </c>
      <c r="E1327" t="s">
        <v>13</v>
      </c>
      <c r="F1327">
        <v>1</v>
      </c>
      <c r="G1327" t="str">
        <f>VLOOKUP(D1327,Товары!A:I,3,0)</f>
        <v>Зеркальный шкаф Альба 60 со светильником правый цвет антрацит</v>
      </c>
      <c r="H1327">
        <f>VLOOKUP(D1327,Товары!A:I,6,0)</f>
        <v>75</v>
      </c>
      <c r="I1327" t="str">
        <f>VLOOKUP(C1327,Магазины!A:C,3,0)</f>
        <v>Набережные Челны</v>
      </c>
      <c r="J1327">
        <f>VLOOKUP(D1327,Товары!A:I,4,0)</f>
        <v>8910</v>
      </c>
      <c r="K1327">
        <f t="shared" si="20"/>
        <v>8910</v>
      </c>
    </row>
    <row r="1328" spans="1:11" hidden="1" x14ac:dyDescent="0.25">
      <c r="A1328">
        <v>1327</v>
      </c>
      <c r="B1328" s="1">
        <v>45751</v>
      </c>
      <c r="C1328" t="s">
        <v>20</v>
      </c>
      <c r="D1328" t="s">
        <v>27</v>
      </c>
      <c r="E1328" t="s">
        <v>13</v>
      </c>
      <c r="F1328">
        <v>1</v>
      </c>
      <c r="G1328" t="str">
        <f>VLOOKUP(D1328,Товары!A:I,3,0)</f>
        <v>Тумба с раковиной  навес. Виктория 800 белый 2 ящика с умыв. Слим</v>
      </c>
      <c r="H1328">
        <f>VLOOKUP(D1328,Товары!A:I,6,0)</f>
        <v>60</v>
      </c>
      <c r="I1328" t="str">
        <f>VLOOKUP(C1328,Магазины!A:C,3,0)</f>
        <v>Оренбург</v>
      </c>
      <c r="J1328">
        <f>VLOOKUP(D1328,Товары!A:I,4,0)</f>
        <v>25290</v>
      </c>
      <c r="K1328">
        <f t="shared" si="20"/>
        <v>25290</v>
      </c>
    </row>
    <row r="1329" spans="1:11" hidden="1" x14ac:dyDescent="0.25">
      <c r="A1329">
        <v>1328</v>
      </c>
      <c r="B1329" s="1">
        <v>45751</v>
      </c>
      <c r="C1329" t="s">
        <v>43</v>
      </c>
      <c r="D1329" t="s">
        <v>55</v>
      </c>
      <c r="E1329" t="s">
        <v>13</v>
      </c>
      <c r="F1329">
        <v>1</v>
      </c>
      <c r="G1329" t="str">
        <f>VLOOKUP(D1329,Товары!A:I,3,0)</f>
        <v>Тумба с раковиной  напол. Рица 600 cерый/керамика 2 ящика с умыв. Океан</v>
      </c>
      <c r="H1329">
        <f>VLOOKUP(D1329,Товары!A:I,6,0)</f>
        <v>80</v>
      </c>
      <c r="I1329" t="str">
        <f>VLOOKUP(C1329,Магазины!A:C,3,0)</f>
        <v>Набережные Челны</v>
      </c>
      <c r="J1329">
        <f>VLOOKUP(D1329,Товары!A:I,4,0)</f>
        <v>25560</v>
      </c>
      <c r="K1329">
        <f t="shared" si="20"/>
        <v>25560</v>
      </c>
    </row>
    <row r="1330" spans="1:11" hidden="1" x14ac:dyDescent="0.25">
      <c r="A1330">
        <v>1329</v>
      </c>
      <c r="B1330" s="1">
        <v>45750</v>
      </c>
      <c r="C1330" t="s">
        <v>20</v>
      </c>
      <c r="D1330" t="s">
        <v>128</v>
      </c>
      <c r="E1330" t="s">
        <v>13</v>
      </c>
      <c r="F1330">
        <v>3</v>
      </c>
      <c r="G1330" t="str">
        <f>VLOOKUP(D1330,Товары!A:I,3,0)</f>
        <v>Тумба с раковиной  напол. Куба Риф 1000 белый 2 ящика с умыв. Слим</v>
      </c>
      <c r="H1330">
        <f>VLOOKUP(D1330,Товары!A:I,6,0)</f>
        <v>85</v>
      </c>
      <c r="I1330" t="str">
        <f>VLOOKUP(C1330,Магазины!A:C,3,0)</f>
        <v>Оренбург</v>
      </c>
      <c r="J1330">
        <f>VLOOKUP(D1330,Товары!A:I,4,0)</f>
        <v>22905</v>
      </c>
      <c r="K1330">
        <f t="shared" si="20"/>
        <v>68715</v>
      </c>
    </row>
    <row r="1331" spans="1:11" hidden="1" x14ac:dyDescent="0.25">
      <c r="A1331">
        <v>1330</v>
      </c>
      <c r="B1331" s="1">
        <v>45748</v>
      </c>
      <c r="C1331" t="s">
        <v>18</v>
      </c>
      <c r="D1331" t="s">
        <v>101</v>
      </c>
      <c r="E1331" t="s">
        <v>13</v>
      </c>
      <c r="F1331">
        <v>3</v>
      </c>
      <c r="G1331" t="str">
        <f>VLOOKUP(D1331,Товары!A:I,3,0)</f>
        <v>Пенал напол. Сохо 400 белый 2 двери + 1 ящик</v>
      </c>
      <c r="H1331">
        <f>VLOOKUP(D1331,Товары!A:I,6,0)</f>
        <v>190</v>
      </c>
      <c r="I1331" t="str">
        <f>VLOOKUP(C1331,Магазины!A:C,3,0)</f>
        <v>Набережные Челны</v>
      </c>
      <c r="J1331">
        <f>VLOOKUP(D1331,Товары!A:I,4,0)</f>
        <v>11040</v>
      </c>
      <c r="K1331">
        <f t="shared" si="20"/>
        <v>33120</v>
      </c>
    </row>
    <row r="1332" spans="1:11" hidden="1" x14ac:dyDescent="0.25">
      <c r="A1332">
        <v>1331</v>
      </c>
      <c r="B1332" s="1">
        <v>45750</v>
      </c>
      <c r="C1332" t="s">
        <v>111</v>
      </c>
      <c r="D1332" t="s">
        <v>29</v>
      </c>
      <c r="E1332" t="s">
        <v>8</v>
      </c>
      <c r="F1332">
        <v>2</v>
      </c>
      <c r="G1332" t="str">
        <f>VLOOKUP(D1332,Товары!A:I,3,0)</f>
        <v>Тумба с раковиной  напол. Леон Риф 600 солярис/белый риф 2 ящика с умыв. Океан</v>
      </c>
      <c r="H1332">
        <f>VLOOKUP(D1332,Товары!A:I,6,0)</f>
        <v>80</v>
      </c>
      <c r="I1332" t="str">
        <f>VLOOKUP(C1332,Магазины!A:C,3,0)</f>
        <v>Набережные Челны</v>
      </c>
      <c r="J1332">
        <f>VLOOKUP(D1332,Товары!A:I,4,0)</f>
        <v>24150</v>
      </c>
      <c r="K1332">
        <f t="shared" si="20"/>
        <v>48300</v>
      </c>
    </row>
    <row r="1333" spans="1:11" hidden="1" x14ac:dyDescent="0.25">
      <c r="A1333">
        <v>1332</v>
      </c>
      <c r="B1333" s="1">
        <v>45750</v>
      </c>
      <c r="C1333" t="s">
        <v>20</v>
      </c>
      <c r="D1333" t="s">
        <v>66</v>
      </c>
      <c r="E1333" t="s">
        <v>8</v>
      </c>
      <c r="F1333">
        <v>2</v>
      </c>
      <c r="G1333" t="str">
        <f>VLOOKUP(D1333,Товары!A:I,3,0)</f>
        <v>Тумба с раковиной  навес. Альба 800 мята 2 ящика с умыв. Слим</v>
      </c>
      <c r="H1333">
        <f>VLOOKUP(D1333,Товары!A:I,6,0)</f>
        <v>50</v>
      </c>
      <c r="I1333" t="str">
        <f>VLOOKUP(C1333,Магазины!A:C,3,0)</f>
        <v>Оренбург</v>
      </c>
      <c r="J1333">
        <f>VLOOKUP(D1333,Товары!A:I,4,0)</f>
        <v>26070</v>
      </c>
      <c r="K1333">
        <f t="shared" si="20"/>
        <v>52140</v>
      </c>
    </row>
    <row r="1334" spans="1:11" hidden="1" x14ac:dyDescent="0.25">
      <c r="A1334">
        <v>1333</v>
      </c>
      <c r="B1334" s="1">
        <v>45757</v>
      </c>
      <c r="C1334" t="s">
        <v>22</v>
      </c>
      <c r="D1334" t="s">
        <v>17</v>
      </c>
      <c r="E1334" t="s">
        <v>13</v>
      </c>
      <c r="F1334">
        <v>1</v>
      </c>
      <c r="G1334" t="str">
        <f>VLOOKUP(D1334,Товары!A:I,3,0)</f>
        <v>Тумба с раковиной  навес. Альба 800 антрацит 1 ящик с умыв. Слим</v>
      </c>
      <c r="H1334">
        <f>VLOOKUP(D1334,Товары!A:I,6,0)</f>
        <v>45</v>
      </c>
      <c r="I1334" t="str">
        <f>VLOOKUP(C1334,Магазины!A:C,3,0)</f>
        <v>Кемерово</v>
      </c>
      <c r="J1334">
        <f>VLOOKUP(D1334,Товары!A:I,4,0)</f>
        <v>21630</v>
      </c>
      <c r="K1334">
        <f t="shared" si="20"/>
        <v>21630</v>
      </c>
    </row>
    <row r="1335" spans="1:11" hidden="1" x14ac:dyDescent="0.25">
      <c r="A1335">
        <v>1334</v>
      </c>
      <c r="B1335" s="1">
        <v>45750</v>
      </c>
      <c r="C1335" t="s">
        <v>18</v>
      </c>
      <c r="D1335" t="s">
        <v>7</v>
      </c>
      <c r="E1335" t="s">
        <v>8</v>
      </c>
      <c r="F1335">
        <v>2</v>
      </c>
      <c r="G1335" t="str">
        <f>VLOOKUP(D1335,Товары!A:I,3,0)</f>
        <v>Пенал напол. Леон Риф 400 солярис/белый риф 2 двери + 1 ящик</v>
      </c>
      <c r="H1335">
        <f>VLOOKUP(D1335,Товары!A:I,6,0)</f>
        <v>190</v>
      </c>
      <c r="I1335" t="str">
        <f>VLOOKUP(C1335,Магазины!A:C,3,0)</f>
        <v>Набережные Челны</v>
      </c>
      <c r="J1335">
        <f>VLOOKUP(D1335,Товары!A:I,4,0)</f>
        <v>14490</v>
      </c>
      <c r="K1335">
        <f t="shared" si="20"/>
        <v>28980</v>
      </c>
    </row>
    <row r="1336" spans="1:11" hidden="1" x14ac:dyDescent="0.25">
      <c r="A1336">
        <v>1335</v>
      </c>
      <c r="B1336" s="1">
        <v>45749</v>
      </c>
      <c r="C1336" t="s">
        <v>20</v>
      </c>
      <c r="D1336" t="s">
        <v>64</v>
      </c>
      <c r="E1336" t="s">
        <v>8</v>
      </c>
      <c r="F1336">
        <v>1</v>
      </c>
      <c r="G1336" t="str">
        <f>VLOOKUP(D1336,Товары!A:I,3,0)</f>
        <v>Тумба с раковиной  напол. Рица 800 антрацит 2 ящика с умыв. Слим</v>
      </c>
      <c r="H1336">
        <f>VLOOKUP(D1336,Товары!A:I,6,0)</f>
        <v>80</v>
      </c>
      <c r="I1336" t="str">
        <f>VLOOKUP(C1336,Магазины!A:C,3,0)</f>
        <v>Оренбург</v>
      </c>
      <c r="J1336">
        <f>VLOOKUP(D1336,Товары!A:I,4,0)</f>
        <v>28980</v>
      </c>
      <c r="K1336">
        <f t="shared" si="20"/>
        <v>28980</v>
      </c>
    </row>
    <row r="1337" spans="1:11" hidden="1" x14ac:dyDescent="0.25">
      <c r="A1337">
        <v>1336</v>
      </c>
      <c r="B1337" s="1">
        <v>45755</v>
      </c>
      <c r="C1337" t="s">
        <v>30</v>
      </c>
      <c r="D1337" t="s">
        <v>94</v>
      </c>
      <c r="E1337" t="s">
        <v>13</v>
      </c>
      <c r="F1337">
        <v>3</v>
      </c>
      <c r="G1337" t="str">
        <f>VLOOKUP(D1337,Товары!A:I,3,0)</f>
        <v>Зеркальный шкаф Альба 80 со светильником правый цвет антрацит</v>
      </c>
      <c r="H1337">
        <f>VLOOKUP(D1337,Товары!A:I,6,0)</f>
        <v>75</v>
      </c>
      <c r="I1337" t="str">
        <f>VLOOKUP(C1337,Магазины!A:C,3,0)</f>
        <v>Кемерово</v>
      </c>
      <c r="J1337">
        <f>VLOOKUP(D1337,Товары!A:I,4,0)</f>
        <v>9930</v>
      </c>
      <c r="K1337">
        <f t="shared" si="20"/>
        <v>29790</v>
      </c>
    </row>
    <row r="1338" spans="1:11" hidden="1" x14ac:dyDescent="0.25">
      <c r="A1338">
        <v>1337</v>
      </c>
      <c r="B1338" s="1">
        <v>45749</v>
      </c>
      <c r="C1338" t="s">
        <v>26</v>
      </c>
      <c r="D1338" t="s">
        <v>98</v>
      </c>
      <c r="E1338" t="s">
        <v>13</v>
      </c>
      <c r="F1338">
        <v>3</v>
      </c>
      <c r="G1338" t="str">
        <f>VLOOKUP(D1338,Товары!A:I,3,0)</f>
        <v>Тумба с раковиной  напол. Рица 800 cерый/керамика 2 ящика с умыв. Слим</v>
      </c>
      <c r="H1338">
        <f>VLOOKUP(D1338,Товары!A:I,6,0)</f>
        <v>80</v>
      </c>
      <c r="I1338" t="str">
        <f>VLOOKUP(C1338,Магазины!A:C,3,0)</f>
        <v>Оренбург</v>
      </c>
      <c r="J1338">
        <f>VLOOKUP(D1338,Товары!A:I,4,0)</f>
        <v>28980</v>
      </c>
      <c r="K1338">
        <f t="shared" si="20"/>
        <v>86940</v>
      </c>
    </row>
    <row r="1339" spans="1:11" hidden="1" x14ac:dyDescent="0.25">
      <c r="A1339">
        <v>1338</v>
      </c>
      <c r="B1339" s="1">
        <v>45749</v>
      </c>
      <c r="C1339" t="s">
        <v>48</v>
      </c>
      <c r="D1339" t="s">
        <v>73</v>
      </c>
      <c r="E1339" t="s">
        <v>8</v>
      </c>
      <c r="F1339">
        <v>2</v>
      </c>
      <c r="G1339" t="str">
        <f>VLOOKUP(D1339,Товары!A:I,3,0)</f>
        <v>Зеркальный шкаф Альба 70 со светильником правый цвет антрацит</v>
      </c>
      <c r="H1339">
        <f>VLOOKUP(D1339,Товары!A:I,6,0)</f>
        <v>75</v>
      </c>
      <c r="I1339" t="str">
        <f>VLOOKUP(C1339,Магазины!A:C,3,0)</f>
        <v>Ставрополь</v>
      </c>
      <c r="J1339">
        <f>VLOOKUP(D1339,Товары!A:I,4,0)</f>
        <v>9615</v>
      </c>
      <c r="K1339">
        <f t="shared" si="20"/>
        <v>19230</v>
      </c>
    </row>
    <row r="1340" spans="1:11" hidden="1" x14ac:dyDescent="0.25">
      <c r="A1340">
        <v>1339</v>
      </c>
      <c r="B1340" s="1">
        <v>45751</v>
      </c>
      <c r="C1340" t="s">
        <v>57</v>
      </c>
      <c r="D1340" t="s">
        <v>52</v>
      </c>
      <c r="E1340" t="s">
        <v>8</v>
      </c>
      <c r="F1340">
        <v>3</v>
      </c>
      <c r="G1340" t="str">
        <f>VLOOKUP(D1340,Товары!A:I,3,0)</f>
        <v>Тумба с раковиной  напол. Кристалл 600 суфле 2 ящика с умыв. Океан</v>
      </c>
      <c r="H1340">
        <f>VLOOKUP(D1340,Товары!A:I,6,0)</f>
        <v>80</v>
      </c>
      <c r="I1340" t="str">
        <f>VLOOKUP(C1340,Магазины!A:C,3,0)</f>
        <v>Оренбург</v>
      </c>
      <c r="J1340">
        <f>VLOOKUP(D1340,Товары!A:I,4,0)</f>
        <v>27600</v>
      </c>
      <c r="K1340">
        <f t="shared" si="20"/>
        <v>82800</v>
      </c>
    </row>
    <row r="1341" spans="1:11" hidden="1" x14ac:dyDescent="0.25">
      <c r="A1341">
        <v>1340</v>
      </c>
      <c r="B1341" s="1">
        <v>45751</v>
      </c>
      <c r="C1341" t="s">
        <v>92</v>
      </c>
      <c r="D1341" t="s">
        <v>74</v>
      </c>
      <c r="E1341" t="s">
        <v>13</v>
      </c>
      <c r="F1341">
        <v>3</v>
      </c>
      <c r="G1341" t="str">
        <f>VLOOKUP(D1341,Товары!A:I,3,0)</f>
        <v>Тумба с раковиной  напол. Альба 800 суфле 2 ящика с умыв. Слим</v>
      </c>
      <c r="H1341">
        <f>VLOOKUP(D1341,Товары!A:I,6,0)</f>
        <v>80</v>
      </c>
      <c r="I1341" t="str">
        <f>VLOOKUP(C1341,Магазины!A:C,3,0)</f>
        <v>Кемерово</v>
      </c>
      <c r="J1341">
        <f>VLOOKUP(D1341,Товары!A:I,4,0)</f>
        <v>29340</v>
      </c>
      <c r="K1341">
        <f t="shared" si="20"/>
        <v>88020</v>
      </c>
    </row>
    <row r="1342" spans="1:11" hidden="1" x14ac:dyDescent="0.25">
      <c r="A1342">
        <v>1341</v>
      </c>
      <c r="B1342" s="1">
        <v>45753</v>
      </c>
      <c r="C1342" t="s">
        <v>35</v>
      </c>
      <c r="D1342" t="s">
        <v>10</v>
      </c>
      <c r="E1342" t="s">
        <v>13</v>
      </c>
      <c r="F1342">
        <v>3</v>
      </c>
      <c r="G1342" t="str">
        <f>VLOOKUP(D1342,Товары!A:I,3,0)</f>
        <v>Тумба с раковиной  навес. Альба 700 антрацит 1 ящик с умыв. Слим</v>
      </c>
      <c r="H1342">
        <f>VLOOKUP(D1342,Товары!A:I,6,0)</f>
        <v>45</v>
      </c>
      <c r="I1342" t="str">
        <f>VLOOKUP(C1342,Магазины!A:C,3,0)</f>
        <v>Набережные Челны</v>
      </c>
      <c r="J1342">
        <f>VLOOKUP(D1342,Товары!A:I,4,0)</f>
        <v>20130</v>
      </c>
      <c r="K1342">
        <f t="shared" si="20"/>
        <v>60390</v>
      </c>
    </row>
    <row r="1343" spans="1:11" hidden="1" x14ac:dyDescent="0.25">
      <c r="A1343">
        <v>1342</v>
      </c>
      <c r="B1343" s="1">
        <v>45751</v>
      </c>
      <c r="C1343" t="s">
        <v>58</v>
      </c>
      <c r="D1343" t="s">
        <v>77</v>
      </c>
      <c r="E1343" t="s">
        <v>13</v>
      </c>
      <c r="F1343">
        <v>2</v>
      </c>
      <c r="G1343" t="str">
        <f>VLOOKUP(D1343,Товары!A:I,3,0)</f>
        <v>Тумба с раковиной  напол. Куба Риф 600 белый 2 ящика с умыв. Como</v>
      </c>
      <c r="H1343">
        <f>VLOOKUP(D1343,Товары!A:I,6,0)</f>
        <v>85</v>
      </c>
      <c r="I1343" t="str">
        <f>VLOOKUP(C1343,Магазины!A:C,3,0)</f>
        <v>Ставрополь</v>
      </c>
      <c r="J1343">
        <f>VLOOKUP(D1343,Товары!A:I,4,0)</f>
        <v>15660</v>
      </c>
      <c r="K1343">
        <f t="shared" si="20"/>
        <v>31320</v>
      </c>
    </row>
    <row r="1344" spans="1:11" hidden="1" x14ac:dyDescent="0.25">
      <c r="A1344">
        <v>1343</v>
      </c>
      <c r="B1344" s="1">
        <v>45756</v>
      </c>
      <c r="C1344" t="s">
        <v>20</v>
      </c>
      <c r="D1344" t="s">
        <v>100</v>
      </c>
      <c r="E1344" t="s">
        <v>8</v>
      </c>
      <c r="F1344">
        <v>2</v>
      </c>
      <c r="G1344" t="str">
        <f>VLOOKUP(D1344,Товары!A:I,3,0)</f>
        <v>Тумба с раковиной  навес. Альба 800 мята 1 ящик с умыв. Слим</v>
      </c>
      <c r="H1344">
        <f>VLOOKUP(D1344,Товары!A:I,6,0)</f>
        <v>45</v>
      </c>
      <c r="I1344" t="str">
        <f>VLOOKUP(C1344,Магазины!A:C,3,0)</f>
        <v>Оренбург</v>
      </c>
      <c r="J1344">
        <f>VLOOKUP(D1344,Товары!A:I,4,0)</f>
        <v>21630</v>
      </c>
      <c r="K1344">
        <f t="shared" si="20"/>
        <v>43260</v>
      </c>
    </row>
    <row r="1345" spans="1:11" hidden="1" x14ac:dyDescent="0.25">
      <c r="A1345">
        <v>1344</v>
      </c>
      <c r="B1345" s="1">
        <v>45753</v>
      </c>
      <c r="C1345" t="s">
        <v>111</v>
      </c>
      <c r="D1345" t="s">
        <v>47</v>
      </c>
      <c r="E1345" t="s">
        <v>13</v>
      </c>
      <c r="F1345">
        <v>2</v>
      </c>
      <c r="G1345" t="str">
        <f>VLOOKUP(D1345,Товары!A:I,3,0)</f>
        <v>Пенал напол. Кристалл 350 шато азур 2 двери</v>
      </c>
      <c r="H1345">
        <f>VLOOKUP(D1345,Товары!A:I,6,0)</f>
        <v>190</v>
      </c>
      <c r="I1345" t="str">
        <f>VLOOKUP(C1345,Магазины!A:C,3,0)</f>
        <v>Набережные Челны</v>
      </c>
      <c r="J1345">
        <f>VLOOKUP(D1345,Товары!A:I,4,0)</f>
        <v>15810</v>
      </c>
      <c r="K1345">
        <f t="shared" si="20"/>
        <v>31620</v>
      </c>
    </row>
    <row r="1346" spans="1:11" hidden="1" x14ac:dyDescent="0.25">
      <c r="A1346">
        <v>1345</v>
      </c>
      <c r="B1346" s="1">
        <v>45755</v>
      </c>
      <c r="C1346" t="s">
        <v>54</v>
      </c>
      <c r="D1346" t="s">
        <v>89</v>
      </c>
      <c r="E1346" t="s">
        <v>13</v>
      </c>
      <c r="F1346">
        <v>2</v>
      </c>
      <c r="G1346" t="str">
        <f>VLOOKUP(D1346,Товары!A:I,3,0)</f>
        <v>Тумба с раковиной  напол. Сохо 600 белый 2 двери с умыв. Океан</v>
      </c>
      <c r="H1346">
        <f>VLOOKUP(D1346,Товары!A:I,6,0)</f>
        <v>85</v>
      </c>
      <c r="I1346" t="str">
        <f>VLOOKUP(C1346,Магазины!A:C,3,0)</f>
        <v>Ставрополь</v>
      </c>
      <c r="J1346">
        <f>VLOOKUP(D1346,Товары!A:I,4,0)</f>
        <v>14880</v>
      </c>
      <c r="K1346">
        <f t="shared" si="20"/>
        <v>29760</v>
      </c>
    </row>
    <row r="1347" spans="1:11" hidden="1" x14ac:dyDescent="0.25">
      <c r="A1347">
        <v>1346</v>
      </c>
      <c r="B1347" s="1">
        <v>45751</v>
      </c>
      <c r="C1347" t="s">
        <v>30</v>
      </c>
      <c r="D1347" t="s">
        <v>107</v>
      </c>
      <c r="E1347" t="s">
        <v>8</v>
      </c>
      <c r="F1347">
        <v>3</v>
      </c>
      <c r="G1347" t="str">
        <f>VLOOKUP(D1347,Товары!A:I,3,0)</f>
        <v>Комод Аква 35 напольный 1 дверь белый правый</v>
      </c>
      <c r="H1347">
        <f>VLOOKUP(D1347,Товары!A:I,6,0)</f>
        <v>90</v>
      </c>
      <c r="I1347" t="str">
        <f>VLOOKUP(C1347,Магазины!A:C,3,0)</f>
        <v>Кемерово</v>
      </c>
      <c r="J1347">
        <f>VLOOKUP(D1347,Товары!A:I,4,0)</f>
        <v>6705</v>
      </c>
      <c r="K1347">
        <f t="shared" ref="K1347:K1410" si="21">J1347*F1347</f>
        <v>20115</v>
      </c>
    </row>
    <row r="1348" spans="1:11" hidden="1" x14ac:dyDescent="0.25">
      <c r="A1348">
        <v>1347</v>
      </c>
      <c r="B1348" s="1">
        <v>45748</v>
      </c>
      <c r="C1348" t="s">
        <v>63</v>
      </c>
      <c r="D1348" t="s">
        <v>71</v>
      </c>
      <c r="E1348" t="s">
        <v>8</v>
      </c>
      <c r="F1348">
        <v>2</v>
      </c>
      <c r="G1348" t="str">
        <f>VLOOKUP(D1348,Товары!A:I,3,0)</f>
        <v>Тумба с раковиной  навес. Альба 600 мята 2 ящика с умыв. Океан</v>
      </c>
      <c r="H1348">
        <f>VLOOKUP(D1348,Товары!A:I,6,0)</f>
        <v>50</v>
      </c>
      <c r="I1348" t="str">
        <f>VLOOKUP(C1348,Магазины!A:C,3,0)</f>
        <v>Ставрополь</v>
      </c>
      <c r="J1348">
        <f>VLOOKUP(D1348,Товары!A:I,4,0)</f>
        <v>24810</v>
      </c>
      <c r="K1348">
        <f t="shared" si="21"/>
        <v>49620</v>
      </c>
    </row>
    <row r="1349" spans="1:11" hidden="1" x14ac:dyDescent="0.25">
      <c r="A1349">
        <v>1348</v>
      </c>
      <c r="B1349" s="1">
        <v>45749</v>
      </c>
      <c r="C1349" t="s">
        <v>92</v>
      </c>
      <c r="D1349" t="s">
        <v>62</v>
      </c>
      <c r="E1349" t="s">
        <v>8</v>
      </c>
      <c r="F1349">
        <v>3</v>
      </c>
      <c r="G1349" t="str">
        <f>VLOOKUP(D1349,Товары!A:I,3,0)</f>
        <v>Тумба с раковиной  напол. Альба 600 мята 2 ящика с умыв. Океан</v>
      </c>
      <c r="H1349">
        <f>VLOOKUP(D1349,Товары!A:I,6,0)</f>
        <v>80</v>
      </c>
      <c r="I1349" t="str">
        <f>VLOOKUP(C1349,Магазины!A:C,3,0)</f>
        <v>Кемерово</v>
      </c>
      <c r="J1349">
        <f>VLOOKUP(D1349,Товары!A:I,4,0)</f>
        <v>26370</v>
      </c>
      <c r="K1349">
        <f t="shared" si="21"/>
        <v>79110</v>
      </c>
    </row>
    <row r="1350" spans="1:11" hidden="1" x14ac:dyDescent="0.25">
      <c r="A1350">
        <v>1349</v>
      </c>
      <c r="B1350" s="1">
        <v>45756</v>
      </c>
      <c r="C1350" t="s">
        <v>16</v>
      </c>
      <c r="D1350" t="s">
        <v>107</v>
      </c>
      <c r="E1350" t="s">
        <v>8</v>
      </c>
      <c r="F1350">
        <v>1</v>
      </c>
      <c r="G1350" t="str">
        <f>VLOOKUP(D1350,Товары!A:I,3,0)</f>
        <v>Комод Аква 35 напольный 1 дверь белый правый</v>
      </c>
      <c r="H1350">
        <f>VLOOKUP(D1350,Товары!A:I,6,0)</f>
        <v>90</v>
      </c>
      <c r="I1350" t="str">
        <f>VLOOKUP(C1350,Магазины!A:C,3,0)</f>
        <v>Оренбург</v>
      </c>
      <c r="J1350">
        <f>VLOOKUP(D1350,Товары!A:I,4,0)</f>
        <v>6705</v>
      </c>
      <c r="K1350">
        <f t="shared" si="21"/>
        <v>6705</v>
      </c>
    </row>
    <row r="1351" spans="1:11" hidden="1" x14ac:dyDescent="0.25">
      <c r="A1351">
        <v>1350</v>
      </c>
      <c r="B1351" s="1">
        <v>45757</v>
      </c>
      <c r="C1351" t="s">
        <v>26</v>
      </c>
      <c r="D1351" t="s">
        <v>105</v>
      </c>
      <c r="E1351" t="s">
        <v>13</v>
      </c>
      <c r="F1351">
        <v>2</v>
      </c>
      <c r="G1351" t="str">
        <f>VLOOKUP(D1351,Товары!A:I,3,0)</f>
        <v>Тумба с раковиной  напол. Нева 600 белый 2 двери + 1 ящик с умыв. Como</v>
      </c>
      <c r="H1351">
        <f>VLOOKUP(D1351,Товары!A:I,6,0)</f>
        <v>80</v>
      </c>
      <c r="I1351" t="str">
        <f>VLOOKUP(C1351,Магазины!A:C,3,0)</f>
        <v>Оренбург</v>
      </c>
      <c r="J1351">
        <f>VLOOKUP(D1351,Товары!A:I,4,0)</f>
        <v>13470</v>
      </c>
      <c r="K1351">
        <f t="shared" si="21"/>
        <v>26940</v>
      </c>
    </row>
    <row r="1352" spans="1:11" hidden="1" x14ac:dyDescent="0.25">
      <c r="A1352">
        <v>1351</v>
      </c>
      <c r="B1352" s="1">
        <v>45754</v>
      </c>
      <c r="C1352" t="s">
        <v>18</v>
      </c>
      <c r="D1352" t="s">
        <v>108</v>
      </c>
      <c r="E1352" t="s">
        <v>8</v>
      </c>
      <c r="F1352">
        <v>3</v>
      </c>
      <c r="G1352" t="str">
        <f>VLOOKUP(D1352,Товары!A:I,3,0)</f>
        <v>Тумба с раковиной  навес. Виктория 1000 белый 2 ящика с умыв. Слим</v>
      </c>
      <c r="H1352">
        <f>VLOOKUP(D1352,Товары!A:I,6,0)</f>
        <v>60</v>
      </c>
      <c r="I1352" t="str">
        <f>VLOOKUP(C1352,Магазины!A:C,3,0)</f>
        <v>Набережные Челны</v>
      </c>
      <c r="J1352">
        <f>VLOOKUP(D1352,Товары!A:I,4,0)</f>
        <v>29205</v>
      </c>
      <c r="K1352">
        <f t="shared" si="21"/>
        <v>87615</v>
      </c>
    </row>
    <row r="1353" spans="1:11" hidden="1" x14ac:dyDescent="0.25">
      <c r="A1353">
        <v>1352</v>
      </c>
      <c r="B1353" s="1">
        <v>45751</v>
      </c>
      <c r="C1353" t="s">
        <v>57</v>
      </c>
      <c r="D1353" t="s">
        <v>119</v>
      </c>
      <c r="E1353" t="s">
        <v>13</v>
      </c>
      <c r="F1353">
        <v>3</v>
      </c>
      <c r="G1353" t="str">
        <f>VLOOKUP(D1353,Товары!A:I,3,0)</f>
        <v>Пенал навес./напол. Рица 350 cерый/керамика 2 двери</v>
      </c>
      <c r="H1353">
        <f>VLOOKUP(D1353,Товары!A:I,6,0)</f>
        <v>160</v>
      </c>
      <c r="I1353" t="str">
        <f>VLOOKUP(C1353,Магазины!A:C,3,0)</f>
        <v>Оренбург</v>
      </c>
      <c r="J1353">
        <f>VLOOKUP(D1353,Товары!A:I,4,0)</f>
        <v>11250</v>
      </c>
      <c r="K1353">
        <f t="shared" si="21"/>
        <v>33750</v>
      </c>
    </row>
    <row r="1354" spans="1:11" hidden="1" x14ac:dyDescent="0.25">
      <c r="A1354">
        <v>1353</v>
      </c>
      <c r="B1354" s="1">
        <v>45750</v>
      </c>
      <c r="C1354" t="s">
        <v>18</v>
      </c>
      <c r="D1354" t="s">
        <v>104</v>
      </c>
      <c r="E1354" t="s">
        <v>13</v>
      </c>
      <c r="F1354">
        <v>2</v>
      </c>
      <c r="G1354" t="str">
        <f>VLOOKUP(D1354,Товары!A:I,3,0)</f>
        <v>Тумба под стиральную машину Куба Риф 57 подвесная 2 ящика под ст/маш, без умывальника /под Marshall 120 Белый</v>
      </c>
      <c r="H1354">
        <f>VLOOKUP(D1354,Товары!A:I,6,0)</f>
        <v>50</v>
      </c>
      <c r="I1354" t="str">
        <f>VLOOKUP(C1354,Магазины!A:C,3,0)</f>
        <v>Набережные Челны</v>
      </c>
      <c r="J1354">
        <f>VLOOKUP(D1354,Товары!A:I,4,0)</f>
        <v>8505</v>
      </c>
      <c r="K1354">
        <f t="shared" si="21"/>
        <v>17010</v>
      </c>
    </row>
    <row r="1355" spans="1:11" hidden="1" x14ac:dyDescent="0.25">
      <c r="A1355">
        <v>1354</v>
      </c>
      <c r="B1355" s="1">
        <v>45752</v>
      </c>
      <c r="C1355" t="s">
        <v>43</v>
      </c>
      <c r="D1355" t="s">
        <v>82</v>
      </c>
      <c r="E1355" t="s">
        <v>13</v>
      </c>
      <c r="F1355">
        <v>2</v>
      </c>
      <c r="G1355" t="str">
        <f>VLOOKUP(D1355,Товары!A:I,3,0)</f>
        <v>Тумба с раковиной  навес. Леон 800 форест 2 ящика с умыв. Слим</v>
      </c>
      <c r="H1355">
        <f>VLOOKUP(D1355,Товары!A:I,6,0)</f>
        <v>60</v>
      </c>
      <c r="I1355" t="str">
        <f>VLOOKUP(C1355,Магазины!A:C,3,0)</f>
        <v>Набережные Челны</v>
      </c>
      <c r="J1355">
        <f>VLOOKUP(D1355,Товары!A:I,4,0)</f>
        <v>27930</v>
      </c>
      <c r="K1355">
        <f t="shared" si="21"/>
        <v>55860</v>
      </c>
    </row>
    <row r="1356" spans="1:11" hidden="1" x14ac:dyDescent="0.25">
      <c r="A1356">
        <v>1355</v>
      </c>
      <c r="B1356" s="1">
        <v>45749</v>
      </c>
      <c r="C1356" t="s">
        <v>35</v>
      </c>
      <c r="D1356" t="s">
        <v>7</v>
      </c>
      <c r="E1356" t="s">
        <v>13</v>
      </c>
      <c r="F1356">
        <v>3</v>
      </c>
      <c r="G1356" t="str">
        <f>VLOOKUP(D1356,Товары!A:I,3,0)</f>
        <v>Пенал напол. Леон Риф 400 солярис/белый риф 2 двери + 1 ящик</v>
      </c>
      <c r="H1356">
        <f>VLOOKUP(D1356,Товары!A:I,6,0)</f>
        <v>190</v>
      </c>
      <c r="I1356" t="str">
        <f>VLOOKUP(C1356,Магазины!A:C,3,0)</f>
        <v>Набережные Челны</v>
      </c>
      <c r="J1356">
        <f>VLOOKUP(D1356,Товары!A:I,4,0)</f>
        <v>14490</v>
      </c>
      <c r="K1356">
        <f t="shared" si="21"/>
        <v>43470</v>
      </c>
    </row>
    <row r="1357" spans="1:11" hidden="1" x14ac:dyDescent="0.25">
      <c r="A1357">
        <v>1356</v>
      </c>
      <c r="B1357" s="1">
        <v>45755</v>
      </c>
      <c r="C1357" t="s">
        <v>30</v>
      </c>
      <c r="D1357" t="s">
        <v>123</v>
      </c>
      <c r="E1357" t="s">
        <v>13</v>
      </c>
      <c r="F1357">
        <v>2</v>
      </c>
      <c r="G1357" t="str">
        <f>VLOOKUP(D1357,Товары!A:I,3,0)</f>
        <v>Тумба с раковиной  напол. Кристалл 800 суфле 2 ящика с умыв. Слим</v>
      </c>
      <c r="H1357">
        <f>VLOOKUP(D1357,Товары!A:I,6,0)</f>
        <v>80</v>
      </c>
      <c r="I1357" t="str">
        <f>VLOOKUP(C1357,Магазины!A:C,3,0)</f>
        <v>Кемерово</v>
      </c>
      <c r="J1357">
        <f>VLOOKUP(D1357,Товары!A:I,4,0)</f>
        <v>31125</v>
      </c>
      <c r="K1357">
        <f t="shared" si="21"/>
        <v>62250</v>
      </c>
    </row>
    <row r="1358" spans="1:11" hidden="1" x14ac:dyDescent="0.25">
      <c r="A1358">
        <v>1357</v>
      </c>
      <c r="B1358" s="1">
        <v>45757</v>
      </c>
      <c r="C1358" t="s">
        <v>43</v>
      </c>
      <c r="D1358" t="s">
        <v>81</v>
      </c>
      <c r="E1358" t="s">
        <v>8</v>
      </c>
      <c r="F1358">
        <v>1</v>
      </c>
      <c r="G1358" t="str">
        <f>VLOOKUP(D1358,Товары!A:I,3,0)</f>
        <v>Тумба с раковиной  навес. Рица 600 cерый/керамика 1 ящик + ниша 1 с умыв. Океан</v>
      </c>
      <c r="H1358">
        <f>VLOOKUP(D1358,Товары!A:I,6,0)</f>
        <v>60</v>
      </c>
      <c r="I1358" t="str">
        <f>VLOOKUP(C1358,Магазины!A:C,3,0)</f>
        <v>Набережные Челны</v>
      </c>
      <c r="J1358">
        <f>VLOOKUP(D1358,Товары!A:I,4,0)</f>
        <v>18900</v>
      </c>
      <c r="K1358">
        <f t="shared" si="21"/>
        <v>18900</v>
      </c>
    </row>
    <row r="1359" spans="1:11" hidden="1" x14ac:dyDescent="0.25">
      <c r="A1359">
        <v>1358</v>
      </c>
      <c r="B1359" s="1">
        <v>45756</v>
      </c>
      <c r="C1359" t="s">
        <v>30</v>
      </c>
      <c r="D1359" t="s">
        <v>56</v>
      </c>
      <c r="E1359" t="s">
        <v>8</v>
      </c>
      <c r="F1359">
        <v>2</v>
      </c>
      <c r="G1359" t="str">
        <f>VLOOKUP(D1359,Товары!A:I,3,0)</f>
        <v>Зеркальный шкаф Альба 80 со светильником правый цвет мята</v>
      </c>
      <c r="H1359">
        <f>VLOOKUP(D1359,Товары!A:I,6,0)</f>
        <v>75</v>
      </c>
      <c r="I1359" t="str">
        <f>VLOOKUP(C1359,Магазины!A:C,3,0)</f>
        <v>Кемерово</v>
      </c>
      <c r="J1359">
        <f>VLOOKUP(D1359,Товары!A:I,4,0)</f>
        <v>9930</v>
      </c>
      <c r="K1359">
        <f t="shared" si="21"/>
        <v>19860</v>
      </c>
    </row>
    <row r="1360" spans="1:11" hidden="1" x14ac:dyDescent="0.25">
      <c r="A1360">
        <v>1359</v>
      </c>
      <c r="B1360" s="1">
        <v>45757</v>
      </c>
      <c r="C1360" t="s">
        <v>103</v>
      </c>
      <c r="D1360" t="s">
        <v>77</v>
      </c>
      <c r="E1360" t="s">
        <v>13</v>
      </c>
      <c r="F1360">
        <v>2</v>
      </c>
      <c r="G1360" t="str">
        <f>VLOOKUP(D1360,Товары!A:I,3,0)</f>
        <v>Тумба с раковиной  напол. Куба Риф 600 белый 2 ящика с умыв. Como</v>
      </c>
      <c r="H1360">
        <f>VLOOKUP(D1360,Товары!A:I,6,0)</f>
        <v>85</v>
      </c>
      <c r="I1360" t="str">
        <f>VLOOKUP(C1360,Магазины!A:C,3,0)</f>
        <v>Ставрополь</v>
      </c>
      <c r="J1360">
        <f>VLOOKUP(D1360,Товары!A:I,4,0)</f>
        <v>15660</v>
      </c>
      <c r="K1360">
        <f t="shared" si="21"/>
        <v>31320</v>
      </c>
    </row>
    <row r="1361" spans="1:11" hidden="1" x14ac:dyDescent="0.25">
      <c r="A1361">
        <v>1360</v>
      </c>
      <c r="B1361" s="1">
        <v>45754</v>
      </c>
      <c r="C1361" t="s">
        <v>35</v>
      </c>
      <c r="D1361" t="s">
        <v>107</v>
      </c>
      <c r="E1361" t="s">
        <v>13</v>
      </c>
      <c r="F1361">
        <v>2</v>
      </c>
      <c r="G1361" t="str">
        <f>VLOOKUP(D1361,Товары!A:I,3,0)</f>
        <v>Комод Аква 35 напольный 1 дверь белый правый</v>
      </c>
      <c r="H1361">
        <f>VLOOKUP(D1361,Товары!A:I,6,0)</f>
        <v>90</v>
      </c>
      <c r="I1361" t="str">
        <f>VLOOKUP(C1361,Магазины!A:C,3,0)</f>
        <v>Набережные Челны</v>
      </c>
      <c r="J1361">
        <f>VLOOKUP(D1361,Товары!A:I,4,0)</f>
        <v>6705</v>
      </c>
      <c r="K1361">
        <f t="shared" si="21"/>
        <v>13410</v>
      </c>
    </row>
    <row r="1362" spans="1:11" hidden="1" x14ac:dyDescent="0.25">
      <c r="A1362">
        <v>1361</v>
      </c>
      <c r="B1362" s="1">
        <v>45752</v>
      </c>
      <c r="C1362" t="s">
        <v>30</v>
      </c>
      <c r="D1362" t="s">
        <v>101</v>
      </c>
      <c r="E1362" t="s">
        <v>13</v>
      </c>
      <c r="F1362">
        <v>1</v>
      </c>
      <c r="G1362" t="str">
        <f>VLOOKUP(D1362,Товары!A:I,3,0)</f>
        <v>Пенал напол. Сохо 400 белый 2 двери + 1 ящик</v>
      </c>
      <c r="H1362">
        <f>VLOOKUP(D1362,Товары!A:I,6,0)</f>
        <v>190</v>
      </c>
      <c r="I1362" t="str">
        <f>VLOOKUP(C1362,Магазины!A:C,3,0)</f>
        <v>Кемерово</v>
      </c>
      <c r="J1362">
        <f>VLOOKUP(D1362,Товары!A:I,4,0)</f>
        <v>11040</v>
      </c>
      <c r="K1362">
        <f t="shared" si="21"/>
        <v>11040</v>
      </c>
    </row>
    <row r="1363" spans="1:11" hidden="1" x14ac:dyDescent="0.25">
      <c r="A1363">
        <v>1362</v>
      </c>
      <c r="B1363" s="1">
        <v>45756</v>
      </c>
      <c r="C1363" t="s">
        <v>18</v>
      </c>
      <c r="D1363" t="s">
        <v>100</v>
      </c>
      <c r="E1363" t="s">
        <v>8</v>
      </c>
      <c r="F1363">
        <v>1</v>
      </c>
      <c r="G1363" t="str">
        <f>VLOOKUP(D1363,Товары!A:I,3,0)</f>
        <v>Тумба с раковиной  навес. Альба 800 мята 1 ящик с умыв. Слим</v>
      </c>
      <c r="H1363">
        <f>VLOOKUP(D1363,Товары!A:I,6,0)</f>
        <v>45</v>
      </c>
      <c r="I1363" t="str">
        <f>VLOOKUP(C1363,Магазины!A:C,3,0)</f>
        <v>Набережные Челны</v>
      </c>
      <c r="J1363">
        <f>VLOOKUP(D1363,Товары!A:I,4,0)</f>
        <v>21630</v>
      </c>
      <c r="K1363">
        <f t="shared" si="21"/>
        <v>21630</v>
      </c>
    </row>
    <row r="1364" spans="1:11" hidden="1" x14ac:dyDescent="0.25">
      <c r="A1364">
        <v>1363</v>
      </c>
      <c r="B1364" s="1">
        <v>45753</v>
      </c>
      <c r="C1364" t="s">
        <v>14</v>
      </c>
      <c r="D1364" t="s">
        <v>77</v>
      </c>
      <c r="E1364" t="s">
        <v>13</v>
      </c>
      <c r="F1364">
        <v>1</v>
      </c>
      <c r="G1364" t="str">
        <f>VLOOKUP(D1364,Товары!A:I,3,0)</f>
        <v>Тумба с раковиной  напол. Куба Риф 600 белый 2 ящика с умыв. Como</v>
      </c>
      <c r="H1364">
        <f>VLOOKUP(D1364,Товары!A:I,6,0)</f>
        <v>85</v>
      </c>
      <c r="I1364" t="str">
        <f>VLOOKUP(C1364,Магазины!A:C,3,0)</f>
        <v>Оренбург</v>
      </c>
      <c r="J1364">
        <f>VLOOKUP(D1364,Товары!A:I,4,0)</f>
        <v>15660</v>
      </c>
      <c r="K1364">
        <f t="shared" si="21"/>
        <v>15660</v>
      </c>
    </row>
    <row r="1365" spans="1:11" hidden="1" x14ac:dyDescent="0.25">
      <c r="A1365">
        <v>1364</v>
      </c>
      <c r="B1365" s="1">
        <v>45749</v>
      </c>
      <c r="C1365" t="s">
        <v>54</v>
      </c>
      <c r="D1365" t="s">
        <v>66</v>
      </c>
      <c r="E1365" t="s">
        <v>8</v>
      </c>
      <c r="F1365">
        <v>2</v>
      </c>
      <c r="G1365" t="str">
        <f>VLOOKUP(D1365,Товары!A:I,3,0)</f>
        <v>Тумба с раковиной  навес. Альба 800 мята 2 ящика с умыв. Слим</v>
      </c>
      <c r="H1365">
        <f>VLOOKUP(D1365,Товары!A:I,6,0)</f>
        <v>50</v>
      </c>
      <c r="I1365" t="str">
        <f>VLOOKUP(C1365,Магазины!A:C,3,0)</f>
        <v>Ставрополь</v>
      </c>
      <c r="J1365">
        <f>VLOOKUP(D1365,Товары!A:I,4,0)</f>
        <v>26070</v>
      </c>
      <c r="K1365">
        <f t="shared" si="21"/>
        <v>52140</v>
      </c>
    </row>
    <row r="1366" spans="1:11" hidden="1" x14ac:dyDescent="0.25">
      <c r="A1366">
        <v>1365</v>
      </c>
      <c r="B1366" s="1">
        <v>45748</v>
      </c>
      <c r="C1366" t="s">
        <v>92</v>
      </c>
      <c r="D1366" t="s">
        <v>27</v>
      </c>
      <c r="E1366" t="s">
        <v>13</v>
      </c>
      <c r="F1366">
        <v>3</v>
      </c>
      <c r="G1366" t="str">
        <f>VLOOKUP(D1366,Товары!A:I,3,0)</f>
        <v>Тумба с раковиной  навес. Виктория 800 белый 2 ящика с умыв. Слим</v>
      </c>
      <c r="H1366">
        <f>VLOOKUP(D1366,Товары!A:I,6,0)</f>
        <v>60</v>
      </c>
      <c r="I1366" t="str">
        <f>VLOOKUP(C1366,Магазины!A:C,3,0)</f>
        <v>Кемерово</v>
      </c>
      <c r="J1366">
        <f>VLOOKUP(D1366,Товары!A:I,4,0)</f>
        <v>25290</v>
      </c>
      <c r="K1366">
        <f t="shared" si="21"/>
        <v>75870</v>
      </c>
    </row>
    <row r="1367" spans="1:11" hidden="1" x14ac:dyDescent="0.25">
      <c r="A1367">
        <v>1366</v>
      </c>
      <c r="B1367" s="1">
        <v>45748</v>
      </c>
      <c r="C1367" t="s">
        <v>111</v>
      </c>
      <c r="D1367" t="s">
        <v>25</v>
      </c>
      <c r="E1367" t="s">
        <v>13</v>
      </c>
      <c r="F1367">
        <v>3</v>
      </c>
      <c r="G1367" t="str">
        <f>VLOOKUP(D1367,Товары!A:I,3,0)</f>
        <v>Пенал напол. Леон 400 оникс 2 двери + 1 ящик</v>
      </c>
      <c r="H1367">
        <f>VLOOKUP(D1367,Товары!A:I,6,0)</f>
        <v>190</v>
      </c>
      <c r="I1367" t="str">
        <f>VLOOKUP(C1367,Магазины!A:C,3,0)</f>
        <v>Набережные Челны</v>
      </c>
      <c r="J1367">
        <f>VLOOKUP(D1367,Товары!A:I,4,0)</f>
        <v>18450</v>
      </c>
      <c r="K1367">
        <f t="shared" si="21"/>
        <v>55350</v>
      </c>
    </row>
    <row r="1368" spans="1:11" hidden="1" x14ac:dyDescent="0.25">
      <c r="A1368">
        <v>1367</v>
      </c>
      <c r="B1368" s="1">
        <v>45751</v>
      </c>
      <c r="C1368" t="s">
        <v>35</v>
      </c>
      <c r="D1368" t="s">
        <v>67</v>
      </c>
      <c r="E1368" t="s">
        <v>13</v>
      </c>
      <c r="F1368">
        <v>2</v>
      </c>
      <c r="G1368" t="str">
        <f>VLOOKUP(D1368,Товары!A:I,3,0)</f>
        <v>Пенал навес./напол. Альба 350 суфле 2 двери</v>
      </c>
      <c r="H1368">
        <f>VLOOKUP(D1368,Товары!A:I,6,0)</f>
        <v>150</v>
      </c>
      <c r="I1368" t="str">
        <f>VLOOKUP(C1368,Магазины!A:C,3,0)</f>
        <v>Набережные Челны</v>
      </c>
      <c r="J1368">
        <f>VLOOKUP(D1368,Товары!A:I,4,0)</f>
        <v>11655</v>
      </c>
      <c r="K1368">
        <f t="shared" si="21"/>
        <v>23310</v>
      </c>
    </row>
    <row r="1369" spans="1:11" hidden="1" x14ac:dyDescent="0.25">
      <c r="A1369">
        <v>1368</v>
      </c>
      <c r="B1369" s="1">
        <v>45754</v>
      </c>
      <c r="C1369" t="s">
        <v>28</v>
      </c>
      <c r="D1369" t="s">
        <v>75</v>
      </c>
      <c r="E1369" t="s">
        <v>8</v>
      </c>
      <c r="F1369">
        <v>1</v>
      </c>
      <c r="G1369" t="str">
        <f>VLOOKUP(D1369,Товары!A:I,3,0)</f>
        <v>Тумба с раковиной  напол. Альба 600 суфле 2 ящика с умыв. Океан</v>
      </c>
      <c r="H1369">
        <f>VLOOKUP(D1369,Товары!A:I,6,0)</f>
        <v>80</v>
      </c>
      <c r="I1369" t="str">
        <f>VLOOKUP(C1369,Магазины!A:C,3,0)</f>
        <v>Набережные Челны</v>
      </c>
      <c r="J1369">
        <f>VLOOKUP(D1369,Товары!A:I,4,0)</f>
        <v>26370</v>
      </c>
      <c r="K1369">
        <f t="shared" si="21"/>
        <v>26370</v>
      </c>
    </row>
    <row r="1370" spans="1:11" hidden="1" x14ac:dyDescent="0.25">
      <c r="A1370">
        <v>1369</v>
      </c>
      <c r="B1370" s="1">
        <v>45749</v>
      </c>
      <c r="C1370" t="s">
        <v>6</v>
      </c>
      <c r="D1370" t="s">
        <v>70</v>
      </c>
      <c r="E1370" t="s">
        <v>8</v>
      </c>
      <c r="F1370">
        <v>3</v>
      </c>
      <c r="G1370" t="str">
        <f>VLOOKUP(D1370,Товары!A:I,3,0)</f>
        <v>Тумба с раковиной  напол. Кристалл 700 шато азур 2 ящика с умыв. Слим</v>
      </c>
      <c r="H1370">
        <f>VLOOKUP(D1370,Товары!A:I,6,0)</f>
        <v>85</v>
      </c>
      <c r="I1370" t="str">
        <f>VLOOKUP(C1370,Магазины!A:C,3,0)</f>
        <v>Оренбург</v>
      </c>
      <c r="J1370">
        <f>VLOOKUP(D1370,Товары!A:I,4,0)</f>
        <v>29910</v>
      </c>
      <c r="K1370">
        <f t="shared" si="21"/>
        <v>89730</v>
      </c>
    </row>
    <row r="1371" spans="1:11" hidden="1" x14ac:dyDescent="0.25">
      <c r="A1371">
        <v>1370</v>
      </c>
      <c r="B1371" s="1">
        <v>45749</v>
      </c>
      <c r="C1371" t="s">
        <v>14</v>
      </c>
      <c r="D1371" t="s">
        <v>62</v>
      </c>
      <c r="E1371" t="s">
        <v>13</v>
      </c>
      <c r="F1371">
        <v>2</v>
      </c>
      <c r="G1371" t="str">
        <f>VLOOKUP(D1371,Товары!A:I,3,0)</f>
        <v>Тумба с раковиной  напол. Альба 600 мята 2 ящика с умыв. Океан</v>
      </c>
      <c r="H1371">
        <f>VLOOKUP(D1371,Товары!A:I,6,0)</f>
        <v>80</v>
      </c>
      <c r="I1371" t="str">
        <f>VLOOKUP(C1371,Магазины!A:C,3,0)</f>
        <v>Оренбург</v>
      </c>
      <c r="J1371">
        <f>VLOOKUP(D1371,Товары!A:I,4,0)</f>
        <v>26370</v>
      </c>
      <c r="K1371">
        <f t="shared" si="21"/>
        <v>52740</v>
      </c>
    </row>
    <row r="1372" spans="1:11" hidden="1" x14ac:dyDescent="0.25">
      <c r="A1372">
        <v>1371</v>
      </c>
      <c r="B1372" s="1">
        <v>45753</v>
      </c>
      <c r="C1372" t="s">
        <v>30</v>
      </c>
      <c r="D1372" t="s">
        <v>12</v>
      </c>
      <c r="E1372" t="s">
        <v>8</v>
      </c>
      <c r="F1372">
        <v>1</v>
      </c>
      <c r="G1372" t="str">
        <f>VLOOKUP(D1372,Товары!A:I,3,0)</f>
        <v>Тумба с раковиной  напол. Сохо 700 белый 2 двери с умыв. Слим</v>
      </c>
      <c r="H1372">
        <f>VLOOKUP(D1372,Товары!A:I,6,0)</f>
        <v>85</v>
      </c>
      <c r="I1372" t="str">
        <f>VLOOKUP(C1372,Магазины!A:C,3,0)</f>
        <v>Кемерово</v>
      </c>
      <c r="J1372">
        <f>VLOOKUP(D1372,Товары!A:I,4,0)</f>
        <v>17160</v>
      </c>
      <c r="K1372">
        <f t="shared" si="21"/>
        <v>17160</v>
      </c>
    </row>
    <row r="1373" spans="1:11" hidden="1" x14ac:dyDescent="0.25">
      <c r="A1373">
        <v>1372</v>
      </c>
      <c r="B1373" s="1">
        <v>45752</v>
      </c>
      <c r="C1373" t="s">
        <v>16</v>
      </c>
      <c r="D1373" t="s">
        <v>127</v>
      </c>
      <c r="E1373" t="s">
        <v>8</v>
      </c>
      <c r="F1373">
        <v>2</v>
      </c>
      <c r="G1373" t="str">
        <f>VLOOKUP(D1373,Товары!A:I,3,0)</f>
        <v>Тумба с раковиной  навес. Альба 700 мята 1 ящик с умыв. Слим</v>
      </c>
      <c r="H1373">
        <f>VLOOKUP(D1373,Товары!A:I,6,0)</f>
        <v>45</v>
      </c>
      <c r="I1373" t="str">
        <f>VLOOKUP(C1373,Магазины!A:C,3,0)</f>
        <v>Оренбург</v>
      </c>
      <c r="J1373">
        <f>VLOOKUP(D1373,Товары!A:I,4,0)</f>
        <v>20130</v>
      </c>
      <c r="K1373">
        <f t="shared" si="21"/>
        <v>40260</v>
      </c>
    </row>
    <row r="1374" spans="1:11" hidden="1" x14ac:dyDescent="0.25">
      <c r="A1374">
        <v>1373</v>
      </c>
      <c r="B1374" s="1">
        <v>45748</v>
      </c>
      <c r="C1374" t="s">
        <v>103</v>
      </c>
      <c r="D1374" t="s">
        <v>52</v>
      </c>
      <c r="E1374" t="s">
        <v>8</v>
      </c>
      <c r="F1374">
        <v>3</v>
      </c>
      <c r="G1374" t="str">
        <f>VLOOKUP(D1374,Товары!A:I,3,0)</f>
        <v>Тумба с раковиной  напол. Кристалл 600 суфле 2 ящика с умыв. Океан</v>
      </c>
      <c r="H1374">
        <f>VLOOKUP(D1374,Товары!A:I,6,0)</f>
        <v>80</v>
      </c>
      <c r="I1374" t="str">
        <f>VLOOKUP(C1374,Магазины!A:C,3,0)</f>
        <v>Ставрополь</v>
      </c>
      <c r="J1374">
        <f>VLOOKUP(D1374,Товары!A:I,4,0)</f>
        <v>27600</v>
      </c>
      <c r="K1374">
        <f t="shared" si="21"/>
        <v>82800</v>
      </c>
    </row>
    <row r="1375" spans="1:11" hidden="1" x14ac:dyDescent="0.25">
      <c r="A1375">
        <v>1374</v>
      </c>
      <c r="B1375" s="1">
        <v>45751</v>
      </c>
      <c r="C1375" t="s">
        <v>16</v>
      </c>
      <c r="D1375" t="s">
        <v>45</v>
      </c>
      <c r="E1375" t="s">
        <v>8</v>
      </c>
      <c r="F1375">
        <v>3</v>
      </c>
      <c r="G1375" t="str">
        <f>VLOOKUP(D1375,Товары!A:I,3,0)</f>
        <v>Зеркальный шкаф Рица 80 со светильником правый цвет cерый/керамика</v>
      </c>
      <c r="H1375">
        <f>VLOOKUP(D1375,Товары!A:I,6,0)</f>
        <v>75</v>
      </c>
      <c r="I1375" t="str">
        <f>VLOOKUP(C1375,Магазины!A:C,3,0)</f>
        <v>Оренбург</v>
      </c>
      <c r="J1375">
        <f>VLOOKUP(D1375,Товары!A:I,4,0)</f>
        <v>9930</v>
      </c>
      <c r="K1375">
        <f t="shared" si="21"/>
        <v>29790</v>
      </c>
    </row>
    <row r="1376" spans="1:11" hidden="1" x14ac:dyDescent="0.25">
      <c r="A1376">
        <v>1375</v>
      </c>
      <c r="B1376" s="1">
        <v>45756</v>
      </c>
      <c r="C1376" t="s">
        <v>54</v>
      </c>
      <c r="D1376" t="s">
        <v>10</v>
      </c>
      <c r="E1376" t="s">
        <v>13</v>
      </c>
      <c r="F1376">
        <v>3</v>
      </c>
      <c r="G1376" t="str">
        <f>VLOOKUP(D1376,Товары!A:I,3,0)</f>
        <v>Тумба с раковиной  навес. Альба 700 антрацит 1 ящик с умыв. Слим</v>
      </c>
      <c r="H1376">
        <f>VLOOKUP(D1376,Товары!A:I,6,0)</f>
        <v>45</v>
      </c>
      <c r="I1376" t="str">
        <f>VLOOKUP(C1376,Магазины!A:C,3,0)</f>
        <v>Ставрополь</v>
      </c>
      <c r="J1376">
        <f>VLOOKUP(D1376,Товары!A:I,4,0)</f>
        <v>20130</v>
      </c>
      <c r="K1376">
        <f t="shared" si="21"/>
        <v>60390</v>
      </c>
    </row>
    <row r="1377" spans="1:11" hidden="1" x14ac:dyDescent="0.25">
      <c r="A1377">
        <v>1376</v>
      </c>
      <c r="B1377" s="1">
        <v>45752</v>
      </c>
      <c r="C1377" t="s">
        <v>35</v>
      </c>
      <c r="D1377" t="s">
        <v>116</v>
      </c>
      <c r="E1377" t="s">
        <v>8</v>
      </c>
      <c r="F1377">
        <v>2</v>
      </c>
      <c r="G1377" t="str">
        <f>VLOOKUP(D1377,Товары!A:I,3,0)</f>
        <v>Зеркало Нева 60 дуб/белый со светильником</v>
      </c>
      <c r="H1377">
        <f>VLOOKUP(D1377,Товары!A:I,6,0)</f>
        <v>80</v>
      </c>
      <c r="I1377" t="str">
        <f>VLOOKUP(C1377,Магазины!A:C,3,0)</f>
        <v>Набережные Челны</v>
      </c>
      <c r="J1377">
        <f>VLOOKUP(D1377,Товары!A:I,4,0)</f>
        <v>5100</v>
      </c>
      <c r="K1377">
        <f t="shared" si="21"/>
        <v>10200</v>
      </c>
    </row>
    <row r="1378" spans="1:11" hidden="1" x14ac:dyDescent="0.25">
      <c r="A1378">
        <v>1377</v>
      </c>
      <c r="B1378" s="1">
        <v>45754</v>
      </c>
      <c r="C1378" t="s">
        <v>63</v>
      </c>
      <c r="D1378" t="s">
        <v>84</v>
      </c>
      <c r="E1378" t="s">
        <v>13</v>
      </c>
      <c r="F1378">
        <v>1</v>
      </c>
      <c r="G1378" t="str">
        <f>VLOOKUP(D1378,Товары!A:I,3,0)</f>
        <v>Тумба с раковиной  напол. Куба Риф 800 белый 3 двери с умыв. Слим</v>
      </c>
      <c r="H1378">
        <f>VLOOKUP(D1378,Товары!A:I,6,0)</f>
        <v>85</v>
      </c>
      <c r="I1378" t="str">
        <f>VLOOKUP(C1378,Магазины!A:C,3,0)</f>
        <v>Ставрополь</v>
      </c>
      <c r="J1378">
        <f>VLOOKUP(D1378,Товары!A:I,4,0)</f>
        <v>19920</v>
      </c>
      <c r="K1378">
        <f t="shared" si="21"/>
        <v>19920</v>
      </c>
    </row>
    <row r="1379" spans="1:11" hidden="1" x14ac:dyDescent="0.25">
      <c r="A1379">
        <v>1378</v>
      </c>
      <c r="B1379" s="1">
        <v>45752</v>
      </c>
      <c r="C1379" t="s">
        <v>57</v>
      </c>
      <c r="D1379" t="s">
        <v>71</v>
      </c>
      <c r="E1379" t="s">
        <v>13</v>
      </c>
      <c r="F1379">
        <v>3</v>
      </c>
      <c r="G1379" t="str">
        <f>VLOOKUP(D1379,Товары!A:I,3,0)</f>
        <v>Тумба с раковиной  навес. Альба 600 мята 2 ящика с умыв. Океан</v>
      </c>
      <c r="H1379">
        <f>VLOOKUP(D1379,Товары!A:I,6,0)</f>
        <v>50</v>
      </c>
      <c r="I1379" t="str">
        <f>VLOOKUP(C1379,Магазины!A:C,3,0)</f>
        <v>Оренбург</v>
      </c>
      <c r="J1379">
        <f>VLOOKUP(D1379,Товары!A:I,4,0)</f>
        <v>24810</v>
      </c>
      <c r="K1379">
        <f t="shared" si="21"/>
        <v>74430</v>
      </c>
    </row>
    <row r="1380" spans="1:11" hidden="1" x14ac:dyDescent="0.25">
      <c r="A1380">
        <v>1379</v>
      </c>
      <c r="B1380" s="1">
        <v>45752</v>
      </c>
      <c r="C1380" t="s">
        <v>11</v>
      </c>
      <c r="D1380" t="s">
        <v>55</v>
      </c>
      <c r="E1380" t="s">
        <v>8</v>
      </c>
      <c r="F1380">
        <v>3</v>
      </c>
      <c r="G1380" t="str">
        <f>VLOOKUP(D1380,Товары!A:I,3,0)</f>
        <v>Тумба с раковиной  напол. Рица 600 cерый/керамика 2 ящика с умыв. Океан</v>
      </c>
      <c r="H1380">
        <f>VLOOKUP(D1380,Товары!A:I,6,0)</f>
        <v>80</v>
      </c>
      <c r="I1380" t="str">
        <f>VLOOKUP(C1380,Магазины!A:C,3,0)</f>
        <v>Кемерово</v>
      </c>
      <c r="J1380">
        <f>VLOOKUP(D1380,Товары!A:I,4,0)</f>
        <v>25560</v>
      </c>
      <c r="K1380">
        <f t="shared" si="21"/>
        <v>76680</v>
      </c>
    </row>
    <row r="1381" spans="1:11" hidden="1" x14ac:dyDescent="0.25">
      <c r="A1381">
        <v>1380</v>
      </c>
      <c r="B1381" s="1">
        <v>45757</v>
      </c>
      <c r="C1381" t="s">
        <v>9</v>
      </c>
      <c r="D1381" t="s">
        <v>66</v>
      </c>
      <c r="E1381" t="s">
        <v>13</v>
      </c>
      <c r="F1381">
        <v>1</v>
      </c>
      <c r="G1381" t="str">
        <f>VLOOKUP(D1381,Товары!A:I,3,0)</f>
        <v>Тумба с раковиной  навес. Альба 800 мята 2 ящика с умыв. Слим</v>
      </c>
      <c r="H1381">
        <f>VLOOKUP(D1381,Товары!A:I,6,0)</f>
        <v>50</v>
      </c>
      <c r="I1381" t="str">
        <f>VLOOKUP(C1381,Магазины!A:C,3,0)</f>
        <v>Кемерово</v>
      </c>
      <c r="J1381">
        <f>VLOOKUP(D1381,Товары!A:I,4,0)</f>
        <v>26070</v>
      </c>
      <c r="K1381">
        <f t="shared" si="21"/>
        <v>26070</v>
      </c>
    </row>
    <row r="1382" spans="1:11" hidden="1" x14ac:dyDescent="0.25">
      <c r="A1382">
        <v>1381</v>
      </c>
      <c r="B1382" s="1">
        <v>45748</v>
      </c>
      <c r="C1382" t="s">
        <v>18</v>
      </c>
      <c r="D1382" t="s">
        <v>15</v>
      </c>
      <c r="E1382" t="s">
        <v>13</v>
      </c>
      <c r="F1382">
        <v>1</v>
      </c>
      <c r="G1382" t="str">
        <f>VLOOKUP(D1382,Товары!A:I,3,0)</f>
        <v>Зеркальный шкаф Кристалл 60 со светильником правый, ручка кнопка дуб цвет Шато Азур</v>
      </c>
      <c r="H1382">
        <f>VLOOKUP(D1382,Товары!A:I,6,0)</f>
        <v>75</v>
      </c>
      <c r="I1382" t="str">
        <f>VLOOKUP(C1382,Магазины!A:C,3,0)</f>
        <v>Набережные Челны</v>
      </c>
      <c r="J1382">
        <f>VLOOKUP(D1382,Товары!A:I,4,0)</f>
        <v>9195</v>
      </c>
      <c r="K1382">
        <f t="shared" si="21"/>
        <v>9195</v>
      </c>
    </row>
    <row r="1383" spans="1:11" hidden="1" x14ac:dyDescent="0.25">
      <c r="A1383">
        <v>1382</v>
      </c>
      <c r="B1383" s="1">
        <v>45756</v>
      </c>
      <c r="C1383" t="s">
        <v>30</v>
      </c>
      <c r="D1383" t="s">
        <v>120</v>
      </c>
      <c r="E1383" t="s">
        <v>13</v>
      </c>
      <c r="F1383">
        <v>2</v>
      </c>
      <c r="G1383" t="str">
        <f>VLOOKUP(D1383,Товары!A:I,3,0)</f>
        <v>Зеркальный шкаф Альба 60 со светильником правый цвет антрацит</v>
      </c>
      <c r="H1383">
        <f>VLOOKUP(D1383,Товары!A:I,6,0)</f>
        <v>75</v>
      </c>
      <c r="I1383" t="str">
        <f>VLOOKUP(C1383,Магазины!A:C,3,0)</f>
        <v>Кемерово</v>
      </c>
      <c r="J1383">
        <f>VLOOKUP(D1383,Товары!A:I,4,0)</f>
        <v>8910</v>
      </c>
      <c r="K1383">
        <f t="shared" si="21"/>
        <v>17820</v>
      </c>
    </row>
    <row r="1384" spans="1:11" hidden="1" x14ac:dyDescent="0.25">
      <c r="A1384">
        <v>1383</v>
      </c>
      <c r="B1384" s="1">
        <v>45748</v>
      </c>
      <c r="C1384" t="s">
        <v>14</v>
      </c>
      <c r="D1384" t="s">
        <v>50</v>
      </c>
      <c r="E1384" t="s">
        <v>13</v>
      </c>
      <c r="F1384">
        <v>1</v>
      </c>
      <c r="G1384" t="str">
        <f>VLOOKUP(D1384,Товары!A:I,3,0)</f>
        <v>Тумба с раковиной  напол. Леон 800 оникс 2 ящика с умыв. Слим</v>
      </c>
      <c r="H1384">
        <f>VLOOKUP(D1384,Товары!A:I,6,0)</f>
        <v>80</v>
      </c>
      <c r="I1384" t="str">
        <f>VLOOKUP(C1384,Магазины!A:C,3,0)</f>
        <v>Оренбург</v>
      </c>
      <c r="J1384">
        <f>VLOOKUP(D1384,Товары!A:I,4,0)</f>
        <v>29400</v>
      </c>
      <c r="K1384">
        <f t="shared" si="21"/>
        <v>29400</v>
      </c>
    </row>
    <row r="1385" spans="1:11" hidden="1" x14ac:dyDescent="0.25">
      <c r="A1385">
        <v>1384</v>
      </c>
      <c r="B1385" s="1">
        <v>45749</v>
      </c>
      <c r="C1385" t="s">
        <v>28</v>
      </c>
      <c r="D1385" t="s">
        <v>17</v>
      </c>
      <c r="E1385" t="s">
        <v>13</v>
      </c>
      <c r="F1385">
        <v>1</v>
      </c>
      <c r="G1385" t="str">
        <f>VLOOKUP(D1385,Товары!A:I,3,0)</f>
        <v>Тумба с раковиной  навес. Альба 800 антрацит 1 ящик с умыв. Слим</v>
      </c>
      <c r="H1385">
        <f>VLOOKUP(D1385,Товары!A:I,6,0)</f>
        <v>45</v>
      </c>
      <c r="I1385" t="str">
        <f>VLOOKUP(C1385,Магазины!A:C,3,0)</f>
        <v>Набережные Челны</v>
      </c>
      <c r="J1385">
        <f>VLOOKUP(D1385,Товары!A:I,4,0)</f>
        <v>21630</v>
      </c>
      <c r="K1385">
        <f t="shared" si="21"/>
        <v>21630</v>
      </c>
    </row>
    <row r="1386" spans="1:11" hidden="1" x14ac:dyDescent="0.25">
      <c r="A1386">
        <v>1385</v>
      </c>
      <c r="B1386" s="1">
        <v>45755</v>
      </c>
      <c r="C1386" t="s">
        <v>16</v>
      </c>
      <c r="D1386" t="s">
        <v>75</v>
      </c>
      <c r="E1386" t="s">
        <v>8</v>
      </c>
      <c r="F1386">
        <v>1</v>
      </c>
      <c r="G1386" t="str">
        <f>VLOOKUP(D1386,Товары!A:I,3,0)</f>
        <v>Тумба с раковиной  напол. Альба 600 суфле 2 ящика с умыв. Океан</v>
      </c>
      <c r="H1386">
        <f>VLOOKUP(D1386,Товары!A:I,6,0)</f>
        <v>80</v>
      </c>
      <c r="I1386" t="str">
        <f>VLOOKUP(C1386,Магазины!A:C,3,0)</f>
        <v>Оренбург</v>
      </c>
      <c r="J1386">
        <f>VLOOKUP(D1386,Товары!A:I,4,0)</f>
        <v>26370</v>
      </c>
      <c r="K1386">
        <f t="shared" si="21"/>
        <v>26370</v>
      </c>
    </row>
    <row r="1387" spans="1:11" hidden="1" x14ac:dyDescent="0.25">
      <c r="A1387">
        <v>1386</v>
      </c>
      <c r="B1387" s="1">
        <v>45752</v>
      </c>
      <c r="C1387" t="s">
        <v>14</v>
      </c>
      <c r="D1387" t="s">
        <v>45</v>
      </c>
      <c r="E1387" t="s">
        <v>13</v>
      </c>
      <c r="F1387">
        <v>1</v>
      </c>
      <c r="G1387" t="str">
        <f>VLOOKUP(D1387,Товары!A:I,3,0)</f>
        <v>Зеркальный шкаф Рица 80 со светильником правый цвет cерый/керамика</v>
      </c>
      <c r="H1387">
        <f>VLOOKUP(D1387,Товары!A:I,6,0)</f>
        <v>75</v>
      </c>
      <c r="I1387" t="str">
        <f>VLOOKUP(C1387,Магазины!A:C,3,0)</f>
        <v>Оренбург</v>
      </c>
      <c r="J1387">
        <f>VLOOKUP(D1387,Товары!A:I,4,0)</f>
        <v>9930</v>
      </c>
      <c r="K1387">
        <f t="shared" si="21"/>
        <v>9930</v>
      </c>
    </row>
    <row r="1388" spans="1:11" hidden="1" x14ac:dyDescent="0.25">
      <c r="A1388">
        <v>1387</v>
      </c>
      <c r="B1388" s="1">
        <v>45750</v>
      </c>
      <c r="C1388" t="s">
        <v>92</v>
      </c>
      <c r="D1388" t="s">
        <v>49</v>
      </c>
      <c r="E1388" t="s">
        <v>8</v>
      </c>
      <c r="F1388">
        <v>3</v>
      </c>
      <c r="G1388" t="str">
        <f>VLOOKUP(D1388,Товары!A:I,3,0)</f>
        <v>Тумба с раковиной  напол. Леон 700 оникс 2 ящика с умыв. Слим</v>
      </c>
      <c r="H1388">
        <f>VLOOKUP(D1388,Товары!A:I,6,0)</f>
        <v>80</v>
      </c>
      <c r="I1388" t="str">
        <f>VLOOKUP(C1388,Магазины!A:C,3,0)</f>
        <v>Кемерово</v>
      </c>
      <c r="J1388">
        <f>VLOOKUP(D1388,Товары!A:I,4,0)</f>
        <v>28380</v>
      </c>
      <c r="K1388">
        <f t="shared" si="21"/>
        <v>85140</v>
      </c>
    </row>
    <row r="1389" spans="1:11" hidden="1" x14ac:dyDescent="0.25">
      <c r="A1389">
        <v>1388</v>
      </c>
      <c r="B1389" s="1">
        <v>45757</v>
      </c>
      <c r="C1389" t="s">
        <v>28</v>
      </c>
      <c r="D1389" t="s">
        <v>17</v>
      </c>
      <c r="E1389" t="s">
        <v>8</v>
      </c>
      <c r="F1389">
        <v>1</v>
      </c>
      <c r="G1389" t="str">
        <f>VLOOKUP(D1389,Товары!A:I,3,0)</f>
        <v>Тумба с раковиной  навес. Альба 800 антрацит 1 ящик с умыв. Слим</v>
      </c>
      <c r="H1389">
        <f>VLOOKUP(D1389,Товары!A:I,6,0)</f>
        <v>45</v>
      </c>
      <c r="I1389" t="str">
        <f>VLOOKUP(C1389,Магазины!A:C,3,0)</f>
        <v>Набережные Челны</v>
      </c>
      <c r="J1389">
        <f>VLOOKUP(D1389,Товары!A:I,4,0)</f>
        <v>21630</v>
      </c>
      <c r="K1389">
        <f t="shared" si="21"/>
        <v>21630</v>
      </c>
    </row>
    <row r="1390" spans="1:11" hidden="1" x14ac:dyDescent="0.25">
      <c r="A1390">
        <v>1389</v>
      </c>
      <c r="B1390" s="1">
        <v>45751</v>
      </c>
      <c r="C1390" t="s">
        <v>57</v>
      </c>
      <c r="D1390" t="s">
        <v>105</v>
      </c>
      <c r="E1390" t="s">
        <v>13</v>
      </c>
      <c r="F1390">
        <v>1</v>
      </c>
      <c r="G1390" t="str">
        <f>VLOOKUP(D1390,Товары!A:I,3,0)</f>
        <v>Тумба с раковиной  напол. Нева 600 белый 2 двери + 1 ящик с умыв. Como</v>
      </c>
      <c r="H1390">
        <f>VLOOKUP(D1390,Товары!A:I,6,0)</f>
        <v>80</v>
      </c>
      <c r="I1390" t="str">
        <f>VLOOKUP(C1390,Магазины!A:C,3,0)</f>
        <v>Оренбург</v>
      </c>
      <c r="J1390">
        <f>VLOOKUP(D1390,Товары!A:I,4,0)</f>
        <v>13470</v>
      </c>
      <c r="K1390">
        <f t="shared" si="21"/>
        <v>13470</v>
      </c>
    </row>
    <row r="1391" spans="1:11" hidden="1" x14ac:dyDescent="0.25">
      <c r="A1391">
        <v>1390</v>
      </c>
      <c r="B1391" s="1">
        <v>45748</v>
      </c>
      <c r="C1391" t="s">
        <v>92</v>
      </c>
      <c r="D1391" t="s">
        <v>88</v>
      </c>
      <c r="E1391" t="s">
        <v>8</v>
      </c>
      <c r="F1391">
        <v>1</v>
      </c>
      <c r="G1391" t="str">
        <f>VLOOKUP(D1391,Товары!A:I,3,0)</f>
        <v>Тумба с раковиной  навес. Альба 800 антрацит 2 ящика с умыв. Слим</v>
      </c>
      <c r="H1391">
        <f>VLOOKUP(D1391,Товары!A:I,6,0)</f>
        <v>50</v>
      </c>
      <c r="I1391" t="str">
        <f>VLOOKUP(C1391,Магазины!A:C,3,0)</f>
        <v>Кемерово</v>
      </c>
      <c r="J1391">
        <f>VLOOKUP(D1391,Товары!A:I,4,0)</f>
        <v>26070</v>
      </c>
      <c r="K1391">
        <f t="shared" si="21"/>
        <v>26070</v>
      </c>
    </row>
    <row r="1392" spans="1:11" hidden="1" x14ac:dyDescent="0.25">
      <c r="A1392">
        <v>1391</v>
      </c>
      <c r="B1392" s="1">
        <v>45749</v>
      </c>
      <c r="C1392" t="s">
        <v>26</v>
      </c>
      <c r="D1392" t="s">
        <v>70</v>
      </c>
      <c r="E1392" t="s">
        <v>8</v>
      </c>
      <c r="F1392">
        <v>3</v>
      </c>
      <c r="G1392" t="str">
        <f>VLOOKUP(D1392,Товары!A:I,3,0)</f>
        <v>Тумба с раковиной  напол. Кристалл 700 шато азур 2 ящика с умыв. Слим</v>
      </c>
      <c r="H1392">
        <f>VLOOKUP(D1392,Товары!A:I,6,0)</f>
        <v>85</v>
      </c>
      <c r="I1392" t="str">
        <f>VLOOKUP(C1392,Магазины!A:C,3,0)</f>
        <v>Оренбург</v>
      </c>
      <c r="J1392">
        <f>VLOOKUP(D1392,Товары!A:I,4,0)</f>
        <v>29910</v>
      </c>
      <c r="K1392">
        <f t="shared" si="21"/>
        <v>89730</v>
      </c>
    </row>
    <row r="1393" spans="1:11" hidden="1" x14ac:dyDescent="0.25">
      <c r="A1393">
        <v>1392</v>
      </c>
      <c r="B1393" s="1">
        <v>45749</v>
      </c>
      <c r="C1393" t="s">
        <v>111</v>
      </c>
      <c r="D1393" t="s">
        <v>15</v>
      </c>
      <c r="E1393" t="s">
        <v>8</v>
      </c>
      <c r="F1393">
        <v>3</v>
      </c>
      <c r="G1393" t="str">
        <f>VLOOKUP(D1393,Товары!A:I,3,0)</f>
        <v>Зеркальный шкаф Кристалл 60 со светильником правый, ручка кнопка дуб цвет Шато Азур</v>
      </c>
      <c r="H1393">
        <f>VLOOKUP(D1393,Товары!A:I,6,0)</f>
        <v>75</v>
      </c>
      <c r="I1393" t="str">
        <f>VLOOKUP(C1393,Магазины!A:C,3,0)</f>
        <v>Набережные Челны</v>
      </c>
      <c r="J1393">
        <f>VLOOKUP(D1393,Товары!A:I,4,0)</f>
        <v>9195</v>
      </c>
      <c r="K1393">
        <f t="shared" si="21"/>
        <v>27585</v>
      </c>
    </row>
    <row r="1394" spans="1:11" hidden="1" x14ac:dyDescent="0.25">
      <c r="A1394">
        <v>1393</v>
      </c>
      <c r="B1394" s="1">
        <v>45757</v>
      </c>
      <c r="C1394" t="s">
        <v>14</v>
      </c>
      <c r="D1394" t="s">
        <v>89</v>
      </c>
      <c r="E1394" t="s">
        <v>8</v>
      </c>
      <c r="F1394">
        <v>2</v>
      </c>
      <c r="G1394" t="str">
        <f>VLOOKUP(D1394,Товары!A:I,3,0)</f>
        <v>Тумба с раковиной  напол. Сохо 600 белый 2 двери с умыв. Океан</v>
      </c>
      <c r="H1394">
        <f>VLOOKUP(D1394,Товары!A:I,6,0)</f>
        <v>85</v>
      </c>
      <c r="I1394" t="str">
        <f>VLOOKUP(C1394,Магазины!A:C,3,0)</f>
        <v>Оренбург</v>
      </c>
      <c r="J1394">
        <f>VLOOKUP(D1394,Товары!A:I,4,0)</f>
        <v>14880</v>
      </c>
      <c r="K1394">
        <f t="shared" si="21"/>
        <v>29760</v>
      </c>
    </row>
    <row r="1395" spans="1:11" hidden="1" x14ac:dyDescent="0.25">
      <c r="A1395">
        <v>1394</v>
      </c>
      <c r="B1395" s="1">
        <v>45754</v>
      </c>
      <c r="C1395" t="s">
        <v>35</v>
      </c>
      <c r="D1395" t="s">
        <v>64</v>
      </c>
      <c r="E1395" t="s">
        <v>8</v>
      </c>
      <c r="F1395">
        <v>3</v>
      </c>
      <c r="G1395" t="str">
        <f>VLOOKUP(D1395,Товары!A:I,3,0)</f>
        <v>Тумба с раковиной  напол. Рица 800 антрацит 2 ящика с умыв. Слим</v>
      </c>
      <c r="H1395">
        <f>VLOOKUP(D1395,Товары!A:I,6,0)</f>
        <v>80</v>
      </c>
      <c r="I1395" t="str">
        <f>VLOOKUP(C1395,Магазины!A:C,3,0)</f>
        <v>Набережные Челны</v>
      </c>
      <c r="J1395">
        <f>VLOOKUP(D1395,Товары!A:I,4,0)</f>
        <v>28980</v>
      </c>
      <c r="K1395">
        <f t="shared" si="21"/>
        <v>86940</v>
      </c>
    </row>
    <row r="1396" spans="1:11" hidden="1" x14ac:dyDescent="0.25">
      <c r="A1396">
        <v>1395</v>
      </c>
      <c r="B1396" s="1">
        <v>45757</v>
      </c>
      <c r="C1396" t="s">
        <v>11</v>
      </c>
      <c r="D1396" t="s">
        <v>107</v>
      </c>
      <c r="E1396" t="s">
        <v>8</v>
      </c>
      <c r="F1396">
        <v>3</v>
      </c>
      <c r="G1396" t="str">
        <f>VLOOKUP(D1396,Товары!A:I,3,0)</f>
        <v>Комод Аква 35 напольный 1 дверь белый правый</v>
      </c>
      <c r="H1396">
        <f>VLOOKUP(D1396,Товары!A:I,6,0)</f>
        <v>90</v>
      </c>
      <c r="I1396" t="str">
        <f>VLOOKUP(C1396,Магазины!A:C,3,0)</f>
        <v>Кемерово</v>
      </c>
      <c r="J1396">
        <f>VLOOKUP(D1396,Товары!A:I,4,0)</f>
        <v>6705</v>
      </c>
      <c r="K1396">
        <f t="shared" si="21"/>
        <v>20115</v>
      </c>
    </row>
    <row r="1397" spans="1:11" hidden="1" x14ac:dyDescent="0.25">
      <c r="A1397">
        <v>1396</v>
      </c>
      <c r="B1397" s="1">
        <v>45751</v>
      </c>
      <c r="C1397" t="s">
        <v>58</v>
      </c>
      <c r="D1397" t="s">
        <v>21</v>
      </c>
      <c r="E1397" t="s">
        <v>13</v>
      </c>
      <c r="F1397">
        <v>1</v>
      </c>
      <c r="G1397" t="str">
        <f>VLOOKUP(D1397,Товары!A:I,3,0)</f>
        <v>Зеркальный шкаф Рица 60 со светильником правый цвет cерый/керамика</v>
      </c>
      <c r="H1397">
        <f>VLOOKUP(D1397,Товары!A:I,6,0)</f>
        <v>75</v>
      </c>
      <c r="I1397" t="str">
        <f>VLOOKUP(C1397,Магазины!A:C,3,0)</f>
        <v>Ставрополь</v>
      </c>
      <c r="J1397">
        <f>VLOOKUP(D1397,Товары!A:I,4,0)</f>
        <v>8910</v>
      </c>
      <c r="K1397">
        <f t="shared" si="21"/>
        <v>8910</v>
      </c>
    </row>
    <row r="1398" spans="1:11" hidden="1" x14ac:dyDescent="0.25">
      <c r="A1398">
        <v>1397</v>
      </c>
      <c r="B1398" s="1">
        <v>45756</v>
      </c>
      <c r="C1398" t="s">
        <v>26</v>
      </c>
      <c r="D1398" t="s">
        <v>78</v>
      </c>
      <c r="E1398" t="s">
        <v>8</v>
      </c>
      <c r="F1398">
        <v>2</v>
      </c>
      <c r="G1398" t="str">
        <f>VLOOKUP(D1398,Товары!A:I,3,0)</f>
        <v>Зеркальный шкаф Кристалл 70 со светильником правый, ручка кнопка дуб цвет Шато Азур</v>
      </c>
      <c r="H1398">
        <f>VLOOKUP(D1398,Товары!A:I,6,0)</f>
        <v>75</v>
      </c>
      <c r="I1398" t="str">
        <f>VLOOKUP(C1398,Магазины!A:C,3,0)</f>
        <v>Оренбург</v>
      </c>
      <c r="J1398">
        <f>VLOOKUP(D1398,Товары!A:I,4,0)</f>
        <v>9615</v>
      </c>
      <c r="K1398">
        <f t="shared" si="21"/>
        <v>19230</v>
      </c>
    </row>
    <row r="1399" spans="1:11" hidden="1" x14ac:dyDescent="0.25">
      <c r="A1399">
        <v>1398</v>
      </c>
      <c r="B1399" s="1">
        <v>45748</v>
      </c>
      <c r="C1399" t="s">
        <v>11</v>
      </c>
      <c r="D1399" t="s">
        <v>55</v>
      </c>
      <c r="E1399" t="s">
        <v>13</v>
      </c>
      <c r="F1399">
        <v>1</v>
      </c>
      <c r="G1399" t="str">
        <f>VLOOKUP(D1399,Товары!A:I,3,0)</f>
        <v>Тумба с раковиной  напол. Рица 600 cерый/керамика 2 ящика с умыв. Океан</v>
      </c>
      <c r="H1399">
        <f>VLOOKUP(D1399,Товары!A:I,6,0)</f>
        <v>80</v>
      </c>
      <c r="I1399" t="str">
        <f>VLOOKUP(C1399,Магазины!A:C,3,0)</f>
        <v>Кемерово</v>
      </c>
      <c r="J1399">
        <f>VLOOKUP(D1399,Товары!A:I,4,0)</f>
        <v>25560</v>
      </c>
      <c r="K1399">
        <f t="shared" si="21"/>
        <v>25560</v>
      </c>
    </row>
    <row r="1400" spans="1:11" hidden="1" x14ac:dyDescent="0.25">
      <c r="A1400">
        <v>1399</v>
      </c>
      <c r="B1400" s="1">
        <v>45756</v>
      </c>
      <c r="C1400" t="s">
        <v>48</v>
      </c>
      <c r="D1400" t="s">
        <v>69</v>
      </c>
      <c r="E1400" t="s">
        <v>13</v>
      </c>
      <c r="F1400">
        <v>3</v>
      </c>
      <c r="G1400" t="str">
        <f>VLOOKUP(D1400,Товары!A:I,3,0)</f>
        <v>Пенал навес./напол. Альба 350 антрацит 2 двери</v>
      </c>
      <c r="H1400">
        <f>VLOOKUP(D1400,Товары!A:I,6,0)</f>
        <v>150</v>
      </c>
      <c r="I1400" t="str">
        <f>VLOOKUP(C1400,Магазины!A:C,3,0)</f>
        <v>Ставрополь</v>
      </c>
      <c r="J1400">
        <f>VLOOKUP(D1400,Товары!A:I,4,0)</f>
        <v>11655</v>
      </c>
      <c r="K1400">
        <f t="shared" si="21"/>
        <v>34965</v>
      </c>
    </row>
    <row r="1401" spans="1:11" hidden="1" x14ac:dyDescent="0.25">
      <c r="A1401">
        <v>1400</v>
      </c>
      <c r="B1401" s="1">
        <v>45756</v>
      </c>
      <c r="C1401" t="s">
        <v>18</v>
      </c>
      <c r="D1401" t="s">
        <v>55</v>
      </c>
      <c r="E1401" t="s">
        <v>8</v>
      </c>
      <c r="F1401">
        <v>1</v>
      </c>
      <c r="G1401" t="str">
        <f>VLOOKUP(D1401,Товары!A:I,3,0)</f>
        <v>Тумба с раковиной  напол. Рица 600 cерый/керамика 2 ящика с умыв. Океан</v>
      </c>
      <c r="H1401">
        <f>VLOOKUP(D1401,Товары!A:I,6,0)</f>
        <v>80</v>
      </c>
      <c r="I1401" t="str">
        <f>VLOOKUP(C1401,Магазины!A:C,3,0)</f>
        <v>Набережные Челны</v>
      </c>
      <c r="J1401">
        <f>VLOOKUP(D1401,Товары!A:I,4,0)</f>
        <v>25560</v>
      </c>
      <c r="K1401">
        <f t="shared" si="21"/>
        <v>25560</v>
      </c>
    </row>
    <row r="1402" spans="1:11" hidden="1" x14ac:dyDescent="0.25">
      <c r="A1402">
        <v>1401</v>
      </c>
      <c r="B1402" s="1">
        <v>45748</v>
      </c>
      <c r="C1402" t="s">
        <v>43</v>
      </c>
      <c r="D1402" t="s">
        <v>100</v>
      </c>
      <c r="E1402" t="s">
        <v>8</v>
      </c>
      <c r="F1402">
        <v>1</v>
      </c>
      <c r="G1402" t="str">
        <f>VLOOKUP(D1402,Товары!A:I,3,0)</f>
        <v>Тумба с раковиной  навес. Альба 800 мята 1 ящик с умыв. Слим</v>
      </c>
      <c r="H1402">
        <f>VLOOKUP(D1402,Товары!A:I,6,0)</f>
        <v>45</v>
      </c>
      <c r="I1402" t="str">
        <f>VLOOKUP(C1402,Магазины!A:C,3,0)</f>
        <v>Набережные Челны</v>
      </c>
      <c r="J1402">
        <f>VLOOKUP(D1402,Товары!A:I,4,0)</f>
        <v>21630</v>
      </c>
      <c r="K1402">
        <f t="shared" si="21"/>
        <v>21630</v>
      </c>
    </row>
    <row r="1403" spans="1:11" hidden="1" x14ac:dyDescent="0.25">
      <c r="A1403">
        <v>1402</v>
      </c>
      <c r="B1403" s="1">
        <v>45754</v>
      </c>
      <c r="C1403" t="s">
        <v>35</v>
      </c>
      <c r="D1403" t="s">
        <v>25</v>
      </c>
      <c r="E1403" t="s">
        <v>8</v>
      </c>
      <c r="F1403">
        <v>3</v>
      </c>
      <c r="G1403" t="str">
        <f>VLOOKUP(D1403,Товары!A:I,3,0)</f>
        <v>Пенал напол. Леон 400 оникс 2 двери + 1 ящик</v>
      </c>
      <c r="H1403">
        <f>VLOOKUP(D1403,Товары!A:I,6,0)</f>
        <v>190</v>
      </c>
      <c r="I1403" t="str">
        <f>VLOOKUP(C1403,Магазины!A:C,3,0)</f>
        <v>Набережные Челны</v>
      </c>
      <c r="J1403">
        <f>VLOOKUP(D1403,Товары!A:I,4,0)</f>
        <v>18450</v>
      </c>
      <c r="K1403">
        <f t="shared" si="21"/>
        <v>55350</v>
      </c>
    </row>
    <row r="1404" spans="1:11" hidden="1" x14ac:dyDescent="0.25">
      <c r="A1404">
        <v>1403</v>
      </c>
      <c r="B1404" s="1">
        <v>45748</v>
      </c>
      <c r="C1404" t="s">
        <v>33</v>
      </c>
      <c r="D1404" t="s">
        <v>128</v>
      </c>
      <c r="E1404" t="s">
        <v>13</v>
      </c>
      <c r="F1404">
        <v>3</v>
      </c>
      <c r="G1404" t="str">
        <f>VLOOKUP(D1404,Товары!A:I,3,0)</f>
        <v>Тумба с раковиной  напол. Куба Риф 1000 белый 2 ящика с умыв. Слим</v>
      </c>
      <c r="H1404">
        <f>VLOOKUP(D1404,Товары!A:I,6,0)</f>
        <v>85</v>
      </c>
      <c r="I1404" t="str">
        <f>VLOOKUP(C1404,Магазины!A:C,3,0)</f>
        <v>Набережные Челны</v>
      </c>
      <c r="J1404">
        <f>VLOOKUP(D1404,Товары!A:I,4,0)</f>
        <v>22905</v>
      </c>
      <c r="K1404">
        <f t="shared" si="21"/>
        <v>68715</v>
      </c>
    </row>
    <row r="1405" spans="1:11" hidden="1" x14ac:dyDescent="0.25">
      <c r="A1405">
        <v>1404</v>
      </c>
      <c r="B1405" s="1">
        <v>45751</v>
      </c>
      <c r="C1405" t="s">
        <v>20</v>
      </c>
      <c r="D1405" t="s">
        <v>52</v>
      </c>
      <c r="E1405" t="s">
        <v>13</v>
      </c>
      <c r="F1405">
        <v>1</v>
      </c>
      <c r="G1405" t="str">
        <f>VLOOKUP(D1405,Товары!A:I,3,0)</f>
        <v>Тумба с раковиной  напол. Кристалл 600 суфле 2 ящика с умыв. Океан</v>
      </c>
      <c r="H1405">
        <f>VLOOKUP(D1405,Товары!A:I,6,0)</f>
        <v>80</v>
      </c>
      <c r="I1405" t="str">
        <f>VLOOKUP(C1405,Магазины!A:C,3,0)</f>
        <v>Оренбург</v>
      </c>
      <c r="J1405">
        <f>VLOOKUP(D1405,Товары!A:I,4,0)</f>
        <v>27600</v>
      </c>
      <c r="K1405">
        <f t="shared" si="21"/>
        <v>27600</v>
      </c>
    </row>
    <row r="1406" spans="1:11" hidden="1" x14ac:dyDescent="0.25">
      <c r="A1406">
        <v>1405</v>
      </c>
      <c r="B1406" s="1">
        <v>45748</v>
      </c>
      <c r="C1406" t="s">
        <v>48</v>
      </c>
      <c r="D1406" t="s">
        <v>68</v>
      </c>
      <c r="E1406" t="s">
        <v>13</v>
      </c>
      <c r="F1406">
        <v>3</v>
      </c>
      <c r="G1406" t="str">
        <f>VLOOKUP(D1406,Товары!A:I,3,0)</f>
        <v>Тумба с раковиной  навес. Альба 600 антрацит 1 ящик с умыв. Океан</v>
      </c>
      <c r="H1406">
        <f>VLOOKUP(D1406,Товары!A:I,6,0)</f>
        <v>85</v>
      </c>
      <c r="I1406" t="str">
        <f>VLOOKUP(C1406,Магазины!A:C,3,0)</f>
        <v>Ставрополь</v>
      </c>
      <c r="J1406">
        <f>VLOOKUP(D1406,Товары!A:I,4,0)</f>
        <v>17625</v>
      </c>
      <c r="K1406">
        <f t="shared" si="21"/>
        <v>52875</v>
      </c>
    </row>
    <row r="1407" spans="1:11" hidden="1" x14ac:dyDescent="0.25">
      <c r="A1407">
        <v>1406</v>
      </c>
      <c r="B1407" s="1">
        <v>45751</v>
      </c>
      <c r="C1407" t="s">
        <v>30</v>
      </c>
      <c r="D1407" t="s">
        <v>23</v>
      </c>
      <c r="E1407" t="s">
        <v>8</v>
      </c>
      <c r="F1407">
        <v>3</v>
      </c>
      <c r="G1407" t="str">
        <f>VLOOKUP(D1407,Товары!A:I,3,0)</f>
        <v>Тумба с раковиной  напол. Альба 800 антрацит 2 ящика с умыв. Слим</v>
      </c>
      <c r="H1407">
        <f>VLOOKUP(D1407,Товары!A:I,6,0)</f>
        <v>80</v>
      </c>
      <c r="I1407" t="str">
        <f>VLOOKUP(C1407,Магазины!A:C,3,0)</f>
        <v>Кемерово</v>
      </c>
      <c r="J1407">
        <f>VLOOKUP(D1407,Товары!A:I,4,0)</f>
        <v>29340</v>
      </c>
      <c r="K1407">
        <f t="shared" si="21"/>
        <v>88020</v>
      </c>
    </row>
    <row r="1408" spans="1:11" hidden="1" x14ac:dyDescent="0.25">
      <c r="A1408">
        <v>1407</v>
      </c>
      <c r="B1408" s="1">
        <v>45752</v>
      </c>
      <c r="C1408" t="s">
        <v>43</v>
      </c>
      <c r="D1408" t="s">
        <v>87</v>
      </c>
      <c r="E1408" t="s">
        <v>13</v>
      </c>
      <c r="F1408">
        <v>1</v>
      </c>
      <c r="G1408" t="str">
        <f>VLOOKUP(D1408,Товары!A:I,3,0)</f>
        <v>Тумба с раковиной  напол. Леон 700 форест 2 ящика с умыв. Слим</v>
      </c>
      <c r="H1408">
        <f>VLOOKUP(D1408,Товары!A:I,6,0)</f>
        <v>80</v>
      </c>
      <c r="I1408" t="str">
        <f>VLOOKUP(C1408,Магазины!A:C,3,0)</f>
        <v>Набережные Челны</v>
      </c>
      <c r="J1408">
        <f>VLOOKUP(D1408,Товары!A:I,4,0)</f>
        <v>28380</v>
      </c>
      <c r="K1408">
        <f t="shared" si="21"/>
        <v>28380</v>
      </c>
    </row>
    <row r="1409" spans="1:11" hidden="1" x14ac:dyDescent="0.25">
      <c r="A1409">
        <v>1408</v>
      </c>
      <c r="B1409" s="1">
        <v>45750</v>
      </c>
      <c r="C1409" t="s">
        <v>103</v>
      </c>
      <c r="D1409" t="s">
        <v>78</v>
      </c>
      <c r="E1409" t="s">
        <v>8</v>
      </c>
      <c r="F1409">
        <v>1</v>
      </c>
      <c r="G1409" t="str">
        <f>VLOOKUP(D1409,Товары!A:I,3,0)</f>
        <v>Зеркальный шкаф Кристалл 70 со светильником правый, ручка кнопка дуб цвет Шато Азур</v>
      </c>
      <c r="H1409">
        <f>VLOOKUP(D1409,Товары!A:I,6,0)</f>
        <v>75</v>
      </c>
      <c r="I1409" t="str">
        <f>VLOOKUP(C1409,Магазины!A:C,3,0)</f>
        <v>Ставрополь</v>
      </c>
      <c r="J1409">
        <f>VLOOKUP(D1409,Товары!A:I,4,0)</f>
        <v>9615</v>
      </c>
      <c r="K1409">
        <f t="shared" si="21"/>
        <v>9615</v>
      </c>
    </row>
    <row r="1410" spans="1:11" hidden="1" x14ac:dyDescent="0.25">
      <c r="A1410">
        <v>1409</v>
      </c>
      <c r="B1410" s="1">
        <v>45755</v>
      </c>
      <c r="C1410" t="s">
        <v>43</v>
      </c>
      <c r="D1410" t="s">
        <v>112</v>
      </c>
      <c r="E1410" t="s">
        <v>8</v>
      </c>
      <c r="F1410">
        <v>2</v>
      </c>
      <c r="G1410" t="str">
        <f>VLOOKUP(D1410,Товары!A:I,3,0)</f>
        <v>Тумба с раковиной  напол. Аква 560 белый 2 двери с умыв. Уют</v>
      </c>
      <c r="H1410">
        <f>VLOOKUP(D1410,Товары!A:I,6,0)</f>
        <v>85</v>
      </c>
      <c r="I1410" t="str">
        <f>VLOOKUP(C1410,Магазины!A:C,3,0)</f>
        <v>Набережные Челны</v>
      </c>
      <c r="J1410">
        <f>VLOOKUP(D1410,Товары!A:I,4,0)</f>
        <v>9330</v>
      </c>
      <c r="K1410">
        <f t="shared" si="21"/>
        <v>18660</v>
      </c>
    </row>
    <row r="1411" spans="1:11" hidden="1" x14ac:dyDescent="0.25">
      <c r="A1411">
        <v>1410</v>
      </c>
      <c r="B1411" s="1">
        <v>45756</v>
      </c>
      <c r="C1411" t="s">
        <v>58</v>
      </c>
      <c r="D1411" t="s">
        <v>75</v>
      </c>
      <c r="E1411" t="s">
        <v>8</v>
      </c>
      <c r="F1411">
        <v>2</v>
      </c>
      <c r="G1411" t="str">
        <f>VLOOKUP(D1411,Товары!A:I,3,0)</f>
        <v>Тумба с раковиной  напол. Альба 600 суфле 2 ящика с умыв. Океан</v>
      </c>
      <c r="H1411">
        <f>VLOOKUP(D1411,Товары!A:I,6,0)</f>
        <v>80</v>
      </c>
      <c r="I1411" t="str">
        <f>VLOOKUP(C1411,Магазины!A:C,3,0)</f>
        <v>Ставрополь</v>
      </c>
      <c r="J1411">
        <f>VLOOKUP(D1411,Товары!A:I,4,0)</f>
        <v>26370</v>
      </c>
      <c r="K1411">
        <f t="shared" ref="K1411:K1474" si="22">J1411*F1411</f>
        <v>52740</v>
      </c>
    </row>
    <row r="1412" spans="1:11" hidden="1" x14ac:dyDescent="0.25">
      <c r="A1412">
        <v>1411</v>
      </c>
      <c r="B1412" s="1">
        <v>45748</v>
      </c>
      <c r="C1412" t="s">
        <v>35</v>
      </c>
      <c r="D1412" t="s">
        <v>19</v>
      </c>
      <c r="E1412" t="s">
        <v>13</v>
      </c>
      <c r="F1412">
        <v>2</v>
      </c>
      <c r="G1412" t="str">
        <f>VLOOKUP(D1412,Товары!A:I,3,0)</f>
        <v>Тумба с раковиной  навес. Леон 800 оникс 2 ящика с умыв. Слим</v>
      </c>
      <c r="H1412">
        <f>VLOOKUP(D1412,Товары!A:I,6,0)</f>
        <v>60</v>
      </c>
      <c r="I1412" t="str">
        <f>VLOOKUP(C1412,Магазины!A:C,3,0)</f>
        <v>Набережные Челны</v>
      </c>
      <c r="J1412">
        <f>VLOOKUP(D1412,Товары!A:I,4,0)</f>
        <v>27930</v>
      </c>
      <c r="K1412">
        <f t="shared" si="22"/>
        <v>55860</v>
      </c>
    </row>
    <row r="1413" spans="1:11" hidden="1" x14ac:dyDescent="0.25">
      <c r="A1413">
        <v>1412</v>
      </c>
      <c r="B1413" s="1">
        <v>45753</v>
      </c>
      <c r="C1413" t="s">
        <v>20</v>
      </c>
      <c r="D1413" t="s">
        <v>99</v>
      </c>
      <c r="E1413" t="s">
        <v>13</v>
      </c>
      <c r="F1413">
        <v>3</v>
      </c>
      <c r="G1413" t="str">
        <f>VLOOKUP(D1413,Товары!A:I,3,0)</f>
        <v>Тумба с раковиной  навес. Леон 600 оникс 2 ящика с умыв. Слим</v>
      </c>
      <c r="H1413">
        <f>VLOOKUP(D1413,Товары!A:I,6,0)</f>
        <v>60</v>
      </c>
      <c r="I1413" t="str">
        <f>VLOOKUP(C1413,Магазины!A:C,3,0)</f>
        <v>Оренбург</v>
      </c>
      <c r="J1413">
        <f>VLOOKUP(D1413,Товары!A:I,4,0)</f>
        <v>25125</v>
      </c>
      <c r="K1413">
        <f t="shared" si="22"/>
        <v>75375</v>
      </c>
    </row>
    <row r="1414" spans="1:11" hidden="1" x14ac:dyDescent="0.25">
      <c r="A1414">
        <v>1413</v>
      </c>
      <c r="B1414" s="1">
        <v>45756</v>
      </c>
      <c r="C1414" t="s">
        <v>54</v>
      </c>
      <c r="D1414" t="s">
        <v>39</v>
      </c>
      <c r="E1414" t="s">
        <v>13</v>
      </c>
      <c r="F1414">
        <v>3</v>
      </c>
      <c r="G1414" t="str">
        <f>VLOOKUP(D1414,Товары!A:I,3,0)</f>
        <v>Тумба с раковиной  напол. Альба 700 мята 2 ящика с умыв. Слим</v>
      </c>
      <c r="H1414">
        <f>VLOOKUP(D1414,Товары!A:I,6,0)</f>
        <v>85</v>
      </c>
      <c r="I1414" t="str">
        <f>VLOOKUP(C1414,Магазины!A:C,3,0)</f>
        <v>Ставрополь</v>
      </c>
      <c r="J1414">
        <f>VLOOKUP(D1414,Товары!A:I,4,0)</f>
        <v>28695</v>
      </c>
      <c r="K1414">
        <f t="shared" si="22"/>
        <v>86085</v>
      </c>
    </row>
    <row r="1415" spans="1:11" hidden="1" x14ac:dyDescent="0.25">
      <c r="A1415">
        <v>1414</v>
      </c>
      <c r="B1415" s="1">
        <v>45755</v>
      </c>
      <c r="C1415" t="s">
        <v>111</v>
      </c>
      <c r="D1415" t="s">
        <v>62</v>
      </c>
      <c r="E1415" t="s">
        <v>8</v>
      </c>
      <c r="F1415">
        <v>2</v>
      </c>
      <c r="G1415" t="str">
        <f>VLOOKUP(D1415,Товары!A:I,3,0)</f>
        <v>Тумба с раковиной  напол. Альба 600 мята 2 ящика с умыв. Океан</v>
      </c>
      <c r="H1415">
        <f>VLOOKUP(D1415,Товары!A:I,6,0)</f>
        <v>80</v>
      </c>
      <c r="I1415" t="str">
        <f>VLOOKUP(C1415,Магазины!A:C,3,0)</f>
        <v>Набережные Челны</v>
      </c>
      <c r="J1415">
        <f>VLOOKUP(D1415,Товары!A:I,4,0)</f>
        <v>26370</v>
      </c>
      <c r="K1415">
        <f t="shared" si="22"/>
        <v>52740</v>
      </c>
    </row>
    <row r="1416" spans="1:11" hidden="1" x14ac:dyDescent="0.25">
      <c r="A1416">
        <v>1415</v>
      </c>
      <c r="B1416" s="1">
        <v>45755</v>
      </c>
      <c r="C1416" t="s">
        <v>20</v>
      </c>
      <c r="D1416" t="s">
        <v>74</v>
      </c>
      <c r="E1416" t="s">
        <v>8</v>
      </c>
      <c r="F1416">
        <v>2</v>
      </c>
      <c r="G1416" t="str">
        <f>VLOOKUP(D1416,Товары!A:I,3,0)</f>
        <v>Тумба с раковиной  напол. Альба 800 суфле 2 ящика с умыв. Слим</v>
      </c>
      <c r="H1416">
        <f>VLOOKUP(D1416,Товары!A:I,6,0)</f>
        <v>80</v>
      </c>
      <c r="I1416" t="str">
        <f>VLOOKUP(C1416,Магазины!A:C,3,0)</f>
        <v>Оренбург</v>
      </c>
      <c r="J1416">
        <f>VLOOKUP(D1416,Товары!A:I,4,0)</f>
        <v>29340</v>
      </c>
      <c r="K1416">
        <f t="shared" si="22"/>
        <v>58680</v>
      </c>
    </row>
    <row r="1417" spans="1:11" hidden="1" x14ac:dyDescent="0.25">
      <c r="A1417">
        <v>1416</v>
      </c>
      <c r="B1417" s="1">
        <v>45751</v>
      </c>
      <c r="C1417" t="s">
        <v>18</v>
      </c>
      <c r="D1417" t="s">
        <v>89</v>
      </c>
      <c r="E1417" t="s">
        <v>8</v>
      </c>
      <c r="F1417">
        <v>1</v>
      </c>
      <c r="G1417" t="str">
        <f>VLOOKUP(D1417,Товары!A:I,3,0)</f>
        <v>Тумба с раковиной  напол. Сохо 600 белый 2 двери с умыв. Океан</v>
      </c>
      <c r="H1417">
        <f>VLOOKUP(D1417,Товары!A:I,6,0)</f>
        <v>85</v>
      </c>
      <c r="I1417" t="str">
        <f>VLOOKUP(C1417,Магазины!A:C,3,0)</f>
        <v>Набережные Челны</v>
      </c>
      <c r="J1417">
        <f>VLOOKUP(D1417,Товары!A:I,4,0)</f>
        <v>14880</v>
      </c>
      <c r="K1417">
        <f t="shared" si="22"/>
        <v>14880</v>
      </c>
    </row>
    <row r="1418" spans="1:11" hidden="1" x14ac:dyDescent="0.25">
      <c r="A1418">
        <v>1417</v>
      </c>
      <c r="B1418" s="1">
        <v>45748</v>
      </c>
      <c r="C1418" t="s">
        <v>41</v>
      </c>
      <c r="D1418" t="s">
        <v>31</v>
      </c>
      <c r="E1418" t="s">
        <v>13</v>
      </c>
      <c r="F1418">
        <v>3</v>
      </c>
      <c r="G1418" t="str">
        <f>VLOOKUP(D1418,Товары!A:I,3,0)</f>
        <v>Пенал напол. Виктория 350 белый 2 двери</v>
      </c>
      <c r="H1418">
        <f>VLOOKUP(D1418,Товары!A:I,6,0)</f>
        <v>190</v>
      </c>
      <c r="I1418" t="str">
        <f>VLOOKUP(C1418,Магазины!A:C,3,0)</f>
        <v>Ставрополь</v>
      </c>
      <c r="J1418">
        <f>VLOOKUP(D1418,Товары!A:I,4,0)</f>
        <v>14085</v>
      </c>
      <c r="K1418">
        <f t="shared" si="22"/>
        <v>42255</v>
      </c>
    </row>
    <row r="1419" spans="1:11" hidden="1" x14ac:dyDescent="0.25">
      <c r="A1419">
        <v>1418</v>
      </c>
      <c r="B1419" s="1">
        <v>45752</v>
      </c>
      <c r="C1419" t="s">
        <v>111</v>
      </c>
      <c r="D1419" t="s">
        <v>114</v>
      </c>
      <c r="E1419" t="s">
        <v>13</v>
      </c>
      <c r="F1419">
        <v>2</v>
      </c>
      <c r="G1419" t="str">
        <f>VLOOKUP(D1419,Товары!A:I,3,0)</f>
        <v>Тумба с раковиной  навес. Альба 700 мята 2 ящика с умыв. Слим</v>
      </c>
      <c r="H1419">
        <f>VLOOKUP(D1419,Товары!A:I,6,0)</f>
        <v>60</v>
      </c>
      <c r="I1419" t="str">
        <f>VLOOKUP(C1419,Магазины!A:C,3,0)</f>
        <v>Набережные Челны</v>
      </c>
      <c r="J1419">
        <f>VLOOKUP(D1419,Товары!A:I,4,0)</f>
        <v>25095</v>
      </c>
      <c r="K1419">
        <f t="shared" si="22"/>
        <v>50190</v>
      </c>
    </row>
    <row r="1420" spans="1:11" hidden="1" x14ac:dyDescent="0.25">
      <c r="A1420">
        <v>1419</v>
      </c>
      <c r="B1420" s="1">
        <v>45753</v>
      </c>
      <c r="C1420" t="s">
        <v>6</v>
      </c>
      <c r="D1420" t="s">
        <v>117</v>
      </c>
      <c r="E1420" t="s">
        <v>13</v>
      </c>
      <c r="F1420">
        <v>2</v>
      </c>
      <c r="G1420" t="str">
        <f>VLOOKUP(D1420,Товары!A:I,3,0)</f>
        <v>Тумба с раковиной  навес. Альба 700 антрацит 2 ящика с умыв. Слим</v>
      </c>
      <c r="H1420">
        <f>VLOOKUP(D1420,Товары!A:I,6,0)</f>
        <v>60</v>
      </c>
      <c r="I1420" t="str">
        <f>VLOOKUP(C1420,Магазины!A:C,3,0)</f>
        <v>Оренбург</v>
      </c>
      <c r="J1420">
        <f>VLOOKUP(D1420,Товары!A:I,4,0)</f>
        <v>25095</v>
      </c>
      <c r="K1420">
        <f t="shared" si="22"/>
        <v>50190</v>
      </c>
    </row>
    <row r="1421" spans="1:11" hidden="1" x14ac:dyDescent="0.25">
      <c r="A1421">
        <v>1420</v>
      </c>
      <c r="B1421" s="1">
        <v>45752</v>
      </c>
      <c r="C1421" t="s">
        <v>35</v>
      </c>
      <c r="D1421" t="s">
        <v>113</v>
      </c>
      <c r="E1421" t="s">
        <v>13</v>
      </c>
      <c r="F1421">
        <v>2</v>
      </c>
      <c r="G1421" t="str">
        <f>VLOOKUP(D1421,Товары!A:I,3,0)</f>
        <v>Зеркальный шкаф Альба 60 со светильником правый цвет мята</v>
      </c>
      <c r="H1421">
        <f>VLOOKUP(D1421,Товары!A:I,6,0)</f>
        <v>75</v>
      </c>
      <c r="I1421" t="str">
        <f>VLOOKUP(C1421,Магазины!A:C,3,0)</f>
        <v>Набережные Челны</v>
      </c>
      <c r="J1421">
        <f>VLOOKUP(D1421,Товары!A:I,4,0)</f>
        <v>8910</v>
      </c>
      <c r="K1421">
        <f t="shared" si="22"/>
        <v>17820</v>
      </c>
    </row>
    <row r="1422" spans="1:11" hidden="1" x14ac:dyDescent="0.25">
      <c r="A1422">
        <v>1421</v>
      </c>
      <c r="B1422" s="1">
        <v>45750</v>
      </c>
      <c r="C1422" t="s">
        <v>92</v>
      </c>
      <c r="D1422" t="s">
        <v>64</v>
      </c>
      <c r="E1422" t="s">
        <v>13</v>
      </c>
      <c r="F1422">
        <v>3</v>
      </c>
      <c r="G1422" t="str">
        <f>VLOOKUP(D1422,Товары!A:I,3,0)</f>
        <v>Тумба с раковиной  напол. Рица 800 антрацит 2 ящика с умыв. Слим</v>
      </c>
      <c r="H1422">
        <f>VLOOKUP(D1422,Товары!A:I,6,0)</f>
        <v>80</v>
      </c>
      <c r="I1422" t="str">
        <f>VLOOKUP(C1422,Магазины!A:C,3,0)</f>
        <v>Кемерово</v>
      </c>
      <c r="J1422">
        <f>VLOOKUP(D1422,Товары!A:I,4,0)</f>
        <v>28980</v>
      </c>
      <c r="K1422">
        <f t="shared" si="22"/>
        <v>86940</v>
      </c>
    </row>
    <row r="1423" spans="1:11" hidden="1" x14ac:dyDescent="0.25">
      <c r="A1423">
        <v>1422</v>
      </c>
      <c r="B1423" s="1">
        <v>45751</v>
      </c>
      <c r="C1423" t="s">
        <v>33</v>
      </c>
      <c r="D1423" t="s">
        <v>127</v>
      </c>
      <c r="E1423" t="s">
        <v>8</v>
      </c>
      <c r="F1423">
        <v>2</v>
      </c>
      <c r="G1423" t="str">
        <f>VLOOKUP(D1423,Товары!A:I,3,0)</f>
        <v>Тумба с раковиной  навес. Альба 700 мята 1 ящик с умыв. Слим</v>
      </c>
      <c r="H1423">
        <f>VLOOKUP(D1423,Товары!A:I,6,0)</f>
        <v>45</v>
      </c>
      <c r="I1423" t="str">
        <f>VLOOKUP(C1423,Магазины!A:C,3,0)</f>
        <v>Набережные Челны</v>
      </c>
      <c r="J1423">
        <f>VLOOKUP(D1423,Товары!A:I,4,0)</f>
        <v>20130</v>
      </c>
      <c r="K1423">
        <f t="shared" si="22"/>
        <v>40260</v>
      </c>
    </row>
    <row r="1424" spans="1:11" hidden="1" x14ac:dyDescent="0.25">
      <c r="A1424">
        <v>1423</v>
      </c>
      <c r="B1424" s="1">
        <v>45757</v>
      </c>
      <c r="C1424" t="s">
        <v>54</v>
      </c>
      <c r="D1424" t="s">
        <v>88</v>
      </c>
      <c r="E1424" t="s">
        <v>13</v>
      </c>
      <c r="F1424">
        <v>2</v>
      </c>
      <c r="G1424" t="str">
        <f>VLOOKUP(D1424,Товары!A:I,3,0)</f>
        <v>Тумба с раковиной  навес. Альба 800 антрацит 2 ящика с умыв. Слим</v>
      </c>
      <c r="H1424">
        <f>VLOOKUP(D1424,Товары!A:I,6,0)</f>
        <v>50</v>
      </c>
      <c r="I1424" t="str">
        <f>VLOOKUP(C1424,Магазины!A:C,3,0)</f>
        <v>Ставрополь</v>
      </c>
      <c r="J1424">
        <f>VLOOKUP(D1424,Товары!A:I,4,0)</f>
        <v>26070</v>
      </c>
      <c r="K1424">
        <f t="shared" si="22"/>
        <v>52140</v>
      </c>
    </row>
    <row r="1425" spans="1:11" hidden="1" x14ac:dyDescent="0.25">
      <c r="A1425">
        <v>1424</v>
      </c>
      <c r="B1425" s="1">
        <v>45749</v>
      </c>
      <c r="C1425" t="s">
        <v>16</v>
      </c>
      <c r="D1425" t="s">
        <v>50</v>
      </c>
      <c r="E1425" t="s">
        <v>8</v>
      </c>
      <c r="F1425">
        <v>2</v>
      </c>
      <c r="G1425" t="str">
        <f>VLOOKUP(D1425,Товары!A:I,3,0)</f>
        <v>Тумба с раковиной  напол. Леон 800 оникс 2 ящика с умыв. Слим</v>
      </c>
      <c r="H1425">
        <f>VLOOKUP(D1425,Товары!A:I,6,0)</f>
        <v>80</v>
      </c>
      <c r="I1425" t="str">
        <f>VLOOKUP(C1425,Магазины!A:C,3,0)</f>
        <v>Оренбург</v>
      </c>
      <c r="J1425">
        <f>VLOOKUP(D1425,Товары!A:I,4,0)</f>
        <v>29400</v>
      </c>
      <c r="K1425">
        <f t="shared" si="22"/>
        <v>58800</v>
      </c>
    </row>
    <row r="1426" spans="1:11" hidden="1" x14ac:dyDescent="0.25">
      <c r="A1426">
        <v>1425</v>
      </c>
      <c r="B1426" s="1">
        <v>45754</v>
      </c>
      <c r="C1426" t="s">
        <v>6</v>
      </c>
      <c r="D1426" t="s">
        <v>101</v>
      </c>
      <c r="E1426" t="s">
        <v>13</v>
      </c>
      <c r="F1426">
        <v>3</v>
      </c>
      <c r="G1426" t="str">
        <f>VLOOKUP(D1426,Товары!A:I,3,0)</f>
        <v>Пенал напол. Сохо 400 белый 2 двери + 1 ящик</v>
      </c>
      <c r="H1426">
        <f>VLOOKUP(D1426,Товары!A:I,6,0)</f>
        <v>190</v>
      </c>
      <c r="I1426" t="str">
        <f>VLOOKUP(C1426,Магазины!A:C,3,0)</f>
        <v>Оренбург</v>
      </c>
      <c r="J1426">
        <f>VLOOKUP(D1426,Товары!A:I,4,0)</f>
        <v>11040</v>
      </c>
      <c r="K1426">
        <f t="shared" si="22"/>
        <v>33120</v>
      </c>
    </row>
    <row r="1427" spans="1:11" hidden="1" x14ac:dyDescent="0.25">
      <c r="A1427">
        <v>1426</v>
      </c>
      <c r="B1427" s="1">
        <v>45748</v>
      </c>
      <c r="C1427" t="s">
        <v>35</v>
      </c>
      <c r="D1427" t="s">
        <v>79</v>
      </c>
      <c r="E1427" t="s">
        <v>8</v>
      </c>
      <c r="F1427">
        <v>3</v>
      </c>
      <c r="G1427" t="str">
        <f>VLOOKUP(D1427,Товары!A:I,3,0)</f>
        <v>Зеркальный шкаф Альба 70 со светильником правый цвет мята</v>
      </c>
      <c r="H1427">
        <f>VLOOKUP(D1427,Товары!A:I,6,0)</f>
        <v>75</v>
      </c>
      <c r="I1427" t="str">
        <f>VLOOKUP(C1427,Магазины!A:C,3,0)</f>
        <v>Набережные Челны</v>
      </c>
      <c r="J1427">
        <f>VLOOKUP(D1427,Товары!A:I,4,0)</f>
        <v>9615</v>
      </c>
      <c r="K1427">
        <f t="shared" si="22"/>
        <v>28845</v>
      </c>
    </row>
    <row r="1428" spans="1:11" hidden="1" x14ac:dyDescent="0.25">
      <c r="A1428">
        <v>1427</v>
      </c>
      <c r="B1428" s="1">
        <v>45753</v>
      </c>
      <c r="C1428" t="s">
        <v>63</v>
      </c>
      <c r="D1428" t="s">
        <v>79</v>
      </c>
      <c r="E1428" t="s">
        <v>8</v>
      </c>
      <c r="F1428">
        <v>2</v>
      </c>
      <c r="G1428" t="str">
        <f>VLOOKUP(D1428,Товары!A:I,3,0)</f>
        <v>Зеркальный шкаф Альба 70 со светильником правый цвет мята</v>
      </c>
      <c r="H1428">
        <f>VLOOKUP(D1428,Товары!A:I,6,0)</f>
        <v>75</v>
      </c>
      <c r="I1428" t="str">
        <f>VLOOKUP(C1428,Магазины!A:C,3,0)</f>
        <v>Ставрополь</v>
      </c>
      <c r="J1428">
        <f>VLOOKUP(D1428,Товары!A:I,4,0)</f>
        <v>9615</v>
      </c>
      <c r="K1428">
        <f t="shared" si="22"/>
        <v>19230</v>
      </c>
    </row>
    <row r="1429" spans="1:11" hidden="1" x14ac:dyDescent="0.25">
      <c r="A1429">
        <v>1428</v>
      </c>
      <c r="B1429" s="1">
        <v>45757</v>
      </c>
      <c r="C1429" t="s">
        <v>11</v>
      </c>
      <c r="D1429" t="s">
        <v>81</v>
      </c>
      <c r="E1429" t="s">
        <v>8</v>
      </c>
      <c r="F1429">
        <v>3</v>
      </c>
      <c r="G1429" t="str">
        <f>VLOOKUP(D1429,Товары!A:I,3,0)</f>
        <v>Тумба с раковиной  навес. Рица 600 cерый/керамика 1 ящик + ниша 1 с умыв. Океан</v>
      </c>
      <c r="H1429">
        <f>VLOOKUP(D1429,Товары!A:I,6,0)</f>
        <v>60</v>
      </c>
      <c r="I1429" t="str">
        <f>VLOOKUP(C1429,Магазины!A:C,3,0)</f>
        <v>Кемерово</v>
      </c>
      <c r="J1429">
        <f>VLOOKUP(D1429,Товары!A:I,4,0)</f>
        <v>18900</v>
      </c>
      <c r="K1429">
        <f t="shared" si="22"/>
        <v>56700</v>
      </c>
    </row>
    <row r="1430" spans="1:11" hidden="1" x14ac:dyDescent="0.25">
      <c r="A1430">
        <v>1429</v>
      </c>
      <c r="B1430" s="1">
        <v>45757</v>
      </c>
      <c r="C1430" t="s">
        <v>11</v>
      </c>
      <c r="D1430" t="s">
        <v>45</v>
      </c>
      <c r="E1430" t="s">
        <v>13</v>
      </c>
      <c r="F1430">
        <v>1</v>
      </c>
      <c r="G1430" t="str">
        <f>VLOOKUP(D1430,Товары!A:I,3,0)</f>
        <v>Зеркальный шкаф Рица 80 со светильником правый цвет cерый/керамика</v>
      </c>
      <c r="H1430">
        <f>VLOOKUP(D1430,Товары!A:I,6,0)</f>
        <v>75</v>
      </c>
      <c r="I1430" t="str">
        <f>VLOOKUP(C1430,Магазины!A:C,3,0)</f>
        <v>Кемерово</v>
      </c>
      <c r="J1430">
        <f>VLOOKUP(D1430,Товары!A:I,4,0)</f>
        <v>9930</v>
      </c>
      <c r="K1430">
        <f t="shared" si="22"/>
        <v>9930</v>
      </c>
    </row>
    <row r="1431" spans="1:11" hidden="1" x14ac:dyDescent="0.25">
      <c r="A1431">
        <v>1430</v>
      </c>
      <c r="B1431" s="1">
        <v>45749</v>
      </c>
      <c r="C1431" t="s">
        <v>20</v>
      </c>
      <c r="D1431" t="s">
        <v>51</v>
      </c>
      <c r="E1431" t="s">
        <v>13</v>
      </c>
      <c r="F1431">
        <v>2</v>
      </c>
      <c r="G1431" t="str">
        <f>VLOOKUP(D1431,Товары!A:I,3,0)</f>
        <v>Зеркальный шкаф Альба 80 со светильником правый цвет суфле</v>
      </c>
      <c r="H1431">
        <f>VLOOKUP(D1431,Товары!A:I,6,0)</f>
        <v>75</v>
      </c>
      <c r="I1431" t="str">
        <f>VLOOKUP(C1431,Магазины!A:C,3,0)</f>
        <v>Оренбург</v>
      </c>
      <c r="J1431">
        <f>VLOOKUP(D1431,Товары!A:I,4,0)</f>
        <v>9930</v>
      </c>
      <c r="K1431">
        <f t="shared" si="22"/>
        <v>19860</v>
      </c>
    </row>
    <row r="1432" spans="1:11" hidden="1" x14ac:dyDescent="0.25">
      <c r="A1432">
        <v>1431</v>
      </c>
      <c r="B1432" s="1">
        <v>45753</v>
      </c>
      <c r="C1432" t="s">
        <v>9</v>
      </c>
      <c r="D1432" t="s">
        <v>56</v>
      </c>
      <c r="E1432" t="s">
        <v>8</v>
      </c>
      <c r="F1432">
        <v>1</v>
      </c>
      <c r="G1432" t="str">
        <f>VLOOKUP(D1432,Товары!A:I,3,0)</f>
        <v>Зеркальный шкаф Альба 80 со светильником правый цвет мята</v>
      </c>
      <c r="H1432">
        <f>VLOOKUP(D1432,Товары!A:I,6,0)</f>
        <v>75</v>
      </c>
      <c r="I1432" t="str">
        <f>VLOOKUP(C1432,Магазины!A:C,3,0)</f>
        <v>Кемерово</v>
      </c>
      <c r="J1432">
        <f>VLOOKUP(D1432,Товары!A:I,4,0)</f>
        <v>9930</v>
      </c>
      <c r="K1432">
        <f t="shared" si="22"/>
        <v>9930</v>
      </c>
    </row>
    <row r="1433" spans="1:11" hidden="1" x14ac:dyDescent="0.25">
      <c r="A1433">
        <v>1432</v>
      </c>
      <c r="B1433" s="1">
        <v>45755</v>
      </c>
      <c r="C1433" t="s">
        <v>30</v>
      </c>
      <c r="D1433" t="s">
        <v>52</v>
      </c>
      <c r="E1433" t="s">
        <v>8</v>
      </c>
      <c r="F1433">
        <v>3</v>
      </c>
      <c r="G1433" t="str">
        <f>VLOOKUP(D1433,Товары!A:I,3,0)</f>
        <v>Тумба с раковиной  напол. Кристалл 600 суфле 2 ящика с умыв. Океан</v>
      </c>
      <c r="H1433">
        <f>VLOOKUP(D1433,Товары!A:I,6,0)</f>
        <v>80</v>
      </c>
      <c r="I1433" t="str">
        <f>VLOOKUP(C1433,Магазины!A:C,3,0)</f>
        <v>Кемерово</v>
      </c>
      <c r="J1433">
        <f>VLOOKUP(D1433,Товары!A:I,4,0)</f>
        <v>27600</v>
      </c>
      <c r="K1433">
        <f t="shared" si="22"/>
        <v>82800</v>
      </c>
    </row>
    <row r="1434" spans="1:11" hidden="1" x14ac:dyDescent="0.25">
      <c r="A1434">
        <v>1433</v>
      </c>
      <c r="B1434" s="1">
        <v>45757</v>
      </c>
      <c r="C1434" t="s">
        <v>43</v>
      </c>
      <c r="D1434" t="s">
        <v>115</v>
      </c>
      <c r="E1434" t="s">
        <v>8</v>
      </c>
      <c r="F1434">
        <v>2</v>
      </c>
      <c r="G1434" t="str">
        <f>VLOOKUP(D1434,Товары!A:I,3,0)</f>
        <v>Тумба под стиральную машину Куба Риф 57 напольная 2 ящика под ст/маш, без умывальника /под Marshall 120 Белый</v>
      </c>
      <c r="H1434">
        <f>VLOOKUP(D1434,Товары!A:I,6,0)</f>
        <v>85</v>
      </c>
      <c r="I1434" t="str">
        <f>VLOOKUP(C1434,Магазины!A:C,3,0)</f>
        <v>Набережные Челны</v>
      </c>
      <c r="J1434">
        <f>VLOOKUP(D1434,Товары!A:I,4,0)</f>
        <v>10530</v>
      </c>
      <c r="K1434">
        <f t="shared" si="22"/>
        <v>21060</v>
      </c>
    </row>
    <row r="1435" spans="1:11" hidden="1" x14ac:dyDescent="0.25">
      <c r="A1435">
        <v>1434</v>
      </c>
      <c r="B1435" s="1">
        <v>45749</v>
      </c>
      <c r="C1435" t="s">
        <v>63</v>
      </c>
      <c r="D1435" t="s">
        <v>90</v>
      </c>
      <c r="E1435" t="s">
        <v>13</v>
      </c>
      <c r="F1435">
        <v>1</v>
      </c>
      <c r="G1435" t="str">
        <f>VLOOKUP(D1435,Товары!A:I,3,0)</f>
        <v>Пенал напол. Аква 350 белый 2 двери + 2 ящика</v>
      </c>
      <c r="H1435">
        <f>VLOOKUP(D1435,Товары!A:I,6,0)</f>
        <v>190</v>
      </c>
      <c r="I1435" t="str">
        <f>VLOOKUP(C1435,Магазины!A:C,3,0)</f>
        <v>Ставрополь</v>
      </c>
      <c r="J1435">
        <f>VLOOKUP(D1435,Товары!A:I,4,0)</f>
        <v>10650</v>
      </c>
      <c r="K1435">
        <f t="shared" si="22"/>
        <v>10650</v>
      </c>
    </row>
    <row r="1436" spans="1:11" hidden="1" x14ac:dyDescent="0.25">
      <c r="A1436">
        <v>1435</v>
      </c>
      <c r="B1436" s="1">
        <v>45751</v>
      </c>
      <c r="C1436" t="s">
        <v>58</v>
      </c>
      <c r="D1436" t="s">
        <v>108</v>
      </c>
      <c r="E1436" t="s">
        <v>13</v>
      </c>
      <c r="F1436">
        <v>2</v>
      </c>
      <c r="G1436" t="str">
        <f>VLOOKUP(D1436,Товары!A:I,3,0)</f>
        <v>Тумба с раковиной  навес. Виктория 1000 белый 2 ящика с умыв. Слим</v>
      </c>
      <c r="H1436">
        <f>VLOOKUP(D1436,Товары!A:I,6,0)</f>
        <v>60</v>
      </c>
      <c r="I1436" t="str">
        <f>VLOOKUP(C1436,Магазины!A:C,3,0)</f>
        <v>Ставрополь</v>
      </c>
      <c r="J1436">
        <f>VLOOKUP(D1436,Товары!A:I,4,0)</f>
        <v>29205</v>
      </c>
      <c r="K1436">
        <f t="shared" si="22"/>
        <v>58410</v>
      </c>
    </row>
    <row r="1437" spans="1:11" hidden="1" x14ac:dyDescent="0.25">
      <c r="A1437">
        <v>1436</v>
      </c>
      <c r="B1437" s="1">
        <v>45748</v>
      </c>
      <c r="C1437" t="s">
        <v>35</v>
      </c>
      <c r="D1437" t="s">
        <v>7</v>
      </c>
      <c r="E1437" t="s">
        <v>13</v>
      </c>
      <c r="F1437">
        <v>2</v>
      </c>
      <c r="G1437" t="str">
        <f>VLOOKUP(D1437,Товары!A:I,3,0)</f>
        <v>Пенал напол. Леон Риф 400 солярис/белый риф 2 двери + 1 ящик</v>
      </c>
      <c r="H1437">
        <f>VLOOKUP(D1437,Товары!A:I,6,0)</f>
        <v>190</v>
      </c>
      <c r="I1437" t="str">
        <f>VLOOKUP(C1437,Магазины!A:C,3,0)</f>
        <v>Набережные Челны</v>
      </c>
      <c r="J1437">
        <f>VLOOKUP(D1437,Товары!A:I,4,0)</f>
        <v>14490</v>
      </c>
      <c r="K1437">
        <f t="shared" si="22"/>
        <v>28980</v>
      </c>
    </row>
    <row r="1438" spans="1:11" hidden="1" x14ac:dyDescent="0.25">
      <c r="A1438">
        <v>1437</v>
      </c>
      <c r="B1438" s="1">
        <v>45754</v>
      </c>
      <c r="C1438" t="s">
        <v>33</v>
      </c>
      <c r="D1438" t="s">
        <v>19</v>
      </c>
      <c r="E1438" t="s">
        <v>13</v>
      </c>
      <c r="F1438">
        <v>3</v>
      </c>
      <c r="G1438" t="str">
        <f>VLOOKUP(D1438,Товары!A:I,3,0)</f>
        <v>Тумба с раковиной  навес. Леон 800 оникс 2 ящика с умыв. Слим</v>
      </c>
      <c r="H1438">
        <f>VLOOKUP(D1438,Товары!A:I,6,0)</f>
        <v>60</v>
      </c>
      <c r="I1438" t="str">
        <f>VLOOKUP(C1438,Магазины!A:C,3,0)</f>
        <v>Набережные Челны</v>
      </c>
      <c r="J1438">
        <f>VLOOKUP(D1438,Товары!A:I,4,0)</f>
        <v>27930</v>
      </c>
      <c r="K1438">
        <f t="shared" si="22"/>
        <v>83790</v>
      </c>
    </row>
    <row r="1439" spans="1:11" hidden="1" x14ac:dyDescent="0.25">
      <c r="A1439">
        <v>1438</v>
      </c>
      <c r="B1439" s="1">
        <v>45755</v>
      </c>
      <c r="C1439" t="s">
        <v>9</v>
      </c>
      <c r="D1439" t="s">
        <v>104</v>
      </c>
      <c r="E1439" t="s">
        <v>13</v>
      </c>
      <c r="F1439">
        <v>3</v>
      </c>
      <c r="G1439" t="str">
        <f>VLOOKUP(D1439,Товары!A:I,3,0)</f>
        <v>Тумба под стиральную машину Куба Риф 57 подвесная 2 ящика под ст/маш, без умывальника /под Marshall 120 Белый</v>
      </c>
      <c r="H1439">
        <f>VLOOKUP(D1439,Товары!A:I,6,0)</f>
        <v>50</v>
      </c>
      <c r="I1439" t="str">
        <f>VLOOKUP(C1439,Магазины!A:C,3,0)</f>
        <v>Кемерово</v>
      </c>
      <c r="J1439">
        <f>VLOOKUP(D1439,Товары!A:I,4,0)</f>
        <v>8505</v>
      </c>
      <c r="K1439">
        <f t="shared" si="22"/>
        <v>25515</v>
      </c>
    </row>
    <row r="1440" spans="1:11" hidden="1" x14ac:dyDescent="0.25">
      <c r="A1440">
        <v>1439</v>
      </c>
      <c r="B1440" s="1">
        <v>45756</v>
      </c>
      <c r="C1440" t="s">
        <v>14</v>
      </c>
      <c r="D1440" t="s">
        <v>101</v>
      </c>
      <c r="E1440" t="s">
        <v>8</v>
      </c>
      <c r="F1440">
        <v>2</v>
      </c>
      <c r="G1440" t="str">
        <f>VLOOKUP(D1440,Товары!A:I,3,0)</f>
        <v>Пенал напол. Сохо 400 белый 2 двери + 1 ящик</v>
      </c>
      <c r="H1440">
        <f>VLOOKUP(D1440,Товары!A:I,6,0)</f>
        <v>190</v>
      </c>
      <c r="I1440" t="str">
        <f>VLOOKUP(C1440,Магазины!A:C,3,0)</f>
        <v>Оренбург</v>
      </c>
      <c r="J1440">
        <f>VLOOKUP(D1440,Товары!A:I,4,0)</f>
        <v>11040</v>
      </c>
      <c r="K1440">
        <f t="shared" si="22"/>
        <v>22080</v>
      </c>
    </row>
    <row r="1441" spans="1:11" hidden="1" x14ac:dyDescent="0.25">
      <c r="A1441">
        <v>1440</v>
      </c>
      <c r="B1441" s="1">
        <v>45749</v>
      </c>
      <c r="C1441" t="s">
        <v>63</v>
      </c>
      <c r="D1441" t="s">
        <v>108</v>
      </c>
      <c r="E1441" t="s">
        <v>13</v>
      </c>
      <c r="F1441">
        <v>2</v>
      </c>
      <c r="G1441" t="str">
        <f>VLOOKUP(D1441,Товары!A:I,3,0)</f>
        <v>Тумба с раковиной  навес. Виктория 1000 белый 2 ящика с умыв. Слим</v>
      </c>
      <c r="H1441">
        <f>VLOOKUP(D1441,Товары!A:I,6,0)</f>
        <v>60</v>
      </c>
      <c r="I1441" t="str">
        <f>VLOOKUP(C1441,Магазины!A:C,3,0)</f>
        <v>Ставрополь</v>
      </c>
      <c r="J1441">
        <f>VLOOKUP(D1441,Товары!A:I,4,0)</f>
        <v>29205</v>
      </c>
      <c r="K1441">
        <f t="shared" si="22"/>
        <v>58410</v>
      </c>
    </row>
    <row r="1442" spans="1:11" hidden="1" x14ac:dyDescent="0.25">
      <c r="A1442">
        <v>1441</v>
      </c>
      <c r="B1442" s="1">
        <v>45749</v>
      </c>
      <c r="C1442" t="s">
        <v>11</v>
      </c>
      <c r="D1442" t="s">
        <v>72</v>
      </c>
      <c r="E1442" t="s">
        <v>8</v>
      </c>
      <c r="F1442">
        <v>2</v>
      </c>
      <c r="G1442" t="str">
        <f>VLOOKUP(D1442,Товары!A:I,3,0)</f>
        <v>Тумба с раковиной  напол. Сохо 600 белый 2 ящика с умыв. Океан</v>
      </c>
      <c r="H1442">
        <f>VLOOKUP(D1442,Товары!A:I,6,0)</f>
        <v>85</v>
      </c>
      <c r="I1442" t="str">
        <f>VLOOKUP(C1442,Магазины!A:C,3,0)</f>
        <v>Кемерово</v>
      </c>
      <c r="J1442">
        <f>VLOOKUP(D1442,Товары!A:I,4,0)</f>
        <v>16140</v>
      </c>
      <c r="K1442">
        <f t="shared" si="22"/>
        <v>32280</v>
      </c>
    </row>
    <row r="1443" spans="1:11" hidden="1" x14ac:dyDescent="0.25">
      <c r="A1443">
        <v>1442</v>
      </c>
      <c r="B1443" s="1">
        <v>45756</v>
      </c>
      <c r="C1443" t="s">
        <v>26</v>
      </c>
      <c r="D1443" t="s">
        <v>7</v>
      </c>
      <c r="E1443" t="s">
        <v>13</v>
      </c>
      <c r="F1443">
        <v>3</v>
      </c>
      <c r="G1443" t="str">
        <f>VLOOKUP(D1443,Товары!A:I,3,0)</f>
        <v>Пенал напол. Леон Риф 400 солярис/белый риф 2 двери + 1 ящик</v>
      </c>
      <c r="H1443">
        <f>VLOOKUP(D1443,Товары!A:I,6,0)</f>
        <v>190</v>
      </c>
      <c r="I1443" t="str">
        <f>VLOOKUP(C1443,Магазины!A:C,3,0)</f>
        <v>Оренбург</v>
      </c>
      <c r="J1443">
        <f>VLOOKUP(D1443,Товары!A:I,4,0)</f>
        <v>14490</v>
      </c>
      <c r="K1443">
        <f t="shared" si="22"/>
        <v>43470</v>
      </c>
    </row>
    <row r="1444" spans="1:11" hidden="1" x14ac:dyDescent="0.25">
      <c r="A1444">
        <v>1443</v>
      </c>
      <c r="B1444" s="1">
        <v>45751</v>
      </c>
      <c r="C1444" t="s">
        <v>16</v>
      </c>
      <c r="D1444" t="s">
        <v>122</v>
      </c>
      <c r="E1444" t="s">
        <v>8</v>
      </c>
      <c r="F1444">
        <v>2</v>
      </c>
      <c r="G1444" t="str">
        <f>VLOOKUP(D1444,Товары!A:I,3,0)</f>
        <v>Тумба с раковиной  навес. Кристалл 600 шато азур 2 ящика с умыв. Океан</v>
      </c>
      <c r="H1444">
        <f>VLOOKUP(D1444,Товары!A:I,6,0)</f>
        <v>55</v>
      </c>
      <c r="I1444" t="str">
        <f>VLOOKUP(C1444,Магазины!A:C,3,0)</f>
        <v>Оренбург</v>
      </c>
      <c r="J1444">
        <f>VLOOKUP(D1444,Товары!A:I,4,0)</f>
        <v>21960</v>
      </c>
      <c r="K1444">
        <f t="shared" si="22"/>
        <v>43920</v>
      </c>
    </row>
    <row r="1445" spans="1:11" hidden="1" x14ac:dyDescent="0.25">
      <c r="A1445">
        <v>1444</v>
      </c>
      <c r="B1445" s="1">
        <v>45748</v>
      </c>
      <c r="C1445" t="s">
        <v>33</v>
      </c>
      <c r="D1445" t="s">
        <v>83</v>
      </c>
      <c r="E1445" t="s">
        <v>8</v>
      </c>
      <c r="F1445">
        <v>1</v>
      </c>
      <c r="G1445" t="str">
        <f>VLOOKUP(D1445,Товары!A:I,3,0)</f>
        <v>Зеркальный шкаф Альба 60 со светильником правый цвет суфле</v>
      </c>
      <c r="H1445">
        <f>VLOOKUP(D1445,Товары!A:I,6,0)</f>
        <v>75</v>
      </c>
      <c r="I1445" t="str">
        <f>VLOOKUP(C1445,Магазины!A:C,3,0)</f>
        <v>Набережные Челны</v>
      </c>
      <c r="J1445">
        <f>VLOOKUP(D1445,Товары!A:I,4,0)</f>
        <v>8910</v>
      </c>
      <c r="K1445">
        <f t="shared" si="22"/>
        <v>8910</v>
      </c>
    </row>
    <row r="1446" spans="1:11" hidden="1" x14ac:dyDescent="0.25">
      <c r="A1446">
        <v>1445</v>
      </c>
      <c r="B1446" s="1">
        <v>45752</v>
      </c>
      <c r="C1446" t="s">
        <v>58</v>
      </c>
      <c r="D1446" t="s">
        <v>116</v>
      </c>
      <c r="E1446" t="s">
        <v>13</v>
      </c>
      <c r="F1446">
        <v>3</v>
      </c>
      <c r="G1446" t="str">
        <f>VLOOKUP(D1446,Товары!A:I,3,0)</f>
        <v>Зеркало Нева 60 дуб/белый со светильником</v>
      </c>
      <c r="H1446">
        <f>VLOOKUP(D1446,Товары!A:I,6,0)</f>
        <v>80</v>
      </c>
      <c r="I1446" t="str">
        <f>VLOOKUP(C1446,Магазины!A:C,3,0)</f>
        <v>Ставрополь</v>
      </c>
      <c r="J1446">
        <f>VLOOKUP(D1446,Товары!A:I,4,0)</f>
        <v>5100</v>
      </c>
      <c r="K1446">
        <f t="shared" si="22"/>
        <v>15300</v>
      </c>
    </row>
    <row r="1447" spans="1:11" hidden="1" x14ac:dyDescent="0.25">
      <c r="A1447">
        <v>1446</v>
      </c>
      <c r="B1447" s="1">
        <v>45754</v>
      </c>
      <c r="C1447" t="s">
        <v>6</v>
      </c>
      <c r="D1447" t="s">
        <v>52</v>
      </c>
      <c r="E1447" t="s">
        <v>13</v>
      </c>
      <c r="F1447">
        <v>1</v>
      </c>
      <c r="G1447" t="str">
        <f>VLOOKUP(D1447,Товары!A:I,3,0)</f>
        <v>Тумба с раковиной  напол. Кристалл 600 суфле 2 ящика с умыв. Океан</v>
      </c>
      <c r="H1447">
        <f>VLOOKUP(D1447,Товары!A:I,6,0)</f>
        <v>80</v>
      </c>
      <c r="I1447" t="str">
        <f>VLOOKUP(C1447,Магазины!A:C,3,0)</f>
        <v>Оренбург</v>
      </c>
      <c r="J1447">
        <f>VLOOKUP(D1447,Товары!A:I,4,0)</f>
        <v>27600</v>
      </c>
      <c r="K1447">
        <f t="shared" si="22"/>
        <v>27600</v>
      </c>
    </row>
    <row r="1448" spans="1:11" hidden="1" x14ac:dyDescent="0.25">
      <c r="A1448">
        <v>1447</v>
      </c>
      <c r="B1448" s="1">
        <v>45755</v>
      </c>
      <c r="C1448" t="s">
        <v>28</v>
      </c>
      <c r="D1448" t="s">
        <v>99</v>
      </c>
      <c r="E1448" t="s">
        <v>8</v>
      </c>
      <c r="F1448">
        <v>3</v>
      </c>
      <c r="G1448" t="str">
        <f>VLOOKUP(D1448,Товары!A:I,3,0)</f>
        <v>Тумба с раковиной  навес. Леон 600 оникс 2 ящика с умыв. Слим</v>
      </c>
      <c r="H1448">
        <f>VLOOKUP(D1448,Товары!A:I,6,0)</f>
        <v>60</v>
      </c>
      <c r="I1448" t="str">
        <f>VLOOKUP(C1448,Магазины!A:C,3,0)</f>
        <v>Набережные Челны</v>
      </c>
      <c r="J1448">
        <f>VLOOKUP(D1448,Товары!A:I,4,0)</f>
        <v>25125</v>
      </c>
      <c r="K1448">
        <f t="shared" si="22"/>
        <v>75375</v>
      </c>
    </row>
    <row r="1449" spans="1:11" hidden="1" x14ac:dyDescent="0.25">
      <c r="A1449">
        <v>1448</v>
      </c>
      <c r="B1449" s="1">
        <v>45756</v>
      </c>
      <c r="C1449" t="s">
        <v>9</v>
      </c>
      <c r="D1449" t="s">
        <v>59</v>
      </c>
      <c r="E1449" t="s">
        <v>13</v>
      </c>
      <c r="F1449">
        <v>1</v>
      </c>
      <c r="G1449" t="str">
        <f>VLOOKUP(D1449,Товары!A:I,3,0)</f>
        <v>Тумба с раковиной  навес. Куба Риф 600 белый 2 ящика с умыв. Океан</v>
      </c>
      <c r="H1449">
        <f>VLOOKUP(D1449,Товары!A:I,6,0)</f>
        <v>55</v>
      </c>
      <c r="I1449" t="str">
        <f>VLOOKUP(C1449,Магазины!A:C,3,0)</f>
        <v>Кемерово</v>
      </c>
      <c r="J1449">
        <f>VLOOKUP(D1449,Товары!A:I,4,0)</f>
        <v>15765</v>
      </c>
      <c r="K1449">
        <f t="shared" si="22"/>
        <v>15765</v>
      </c>
    </row>
    <row r="1450" spans="1:11" hidden="1" x14ac:dyDescent="0.25">
      <c r="A1450">
        <v>1449</v>
      </c>
      <c r="B1450" s="1">
        <v>45755</v>
      </c>
      <c r="C1450" t="s">
        <v>41</v>
      </c>
      <c r="D1450" t="s">
        <v>106</v>
      </c>
      <c r="E1450" t="s">
        <v>8</v>
      </c>
      <c r="F1450">
        <v>1</v>
      </c>
      <c r="G1450" t="str">
        <f>VLOOKUP(D1450,Товары!A:I,3,0)</f>
        <v>Тумба с раковиной  навес. Кристалл 700 шато азур 2 ящика с умыв. Слим</v>
      </c>
      <c r="H1450">
        <f>VLOOKUP(D1450,Товары!A:I,6,0)</f>
        <v>60</v>
      </c>
      <c r="I1450" t="str">
        <f>VLOOKUP(C1450,Магазины!A:C,3,0)</f>
        <v>Ставрополь</v>
      </c>
      <c r="J1450">
        <f>VLOOKUP(D1450,Товары!A:I,4,0)</f>
        <v>24150</v>
      </c>
      <c r="K1450">
        <f t="shared" si="22"/>
        <v>24150</v>
      </c>
    </row>
    <row r="1451" spans="1:11" hidden="1" x14ac:dyDescent="0.25">
      <c r="A1451">
        <v>1450</v>
      </c>
      <c r="B1451" s="1">
        <v>45749</v>
      </c>
      <c r="C1451" t="s">
        <v>14</v>
      </c>
      <c r="D1451" t="s">
        <v>85</v>
      </c>
      <c r="E1451" t="s">
        <v>8</v>
      </c>
      <c r="F1451">
        <v>1</v>
      </c>
      <c r="G1451" t="str">
        <f>VLOOKUP(D1451,Товары!A:I,3,0)</f>
        <v>Пенал напол. Аква 450 белый 2 двери + 2 ящика + корзина</v>
      </c>
      <c r="H1451">
        <f>VLOOKUP(D1451,Товары!A:I,6,0)</f>
        <v>190</v>
      </c>
      <c r="I1451" t="str">
        <f>VLOOKUP(C1451,Магазины!A:C,3,0)</f>
        <v>Оренбург</v>
      </c>
      <c r="J1451">
        <f>VLOOKUP(D1451,Товары!A:I,4,0)</f>
        <v>13335</v>
      </c>
      <c r="K1451">
        <f t="shared" si="22"/>
        <v>13335</v>
      </c>
    </row>
    <row r="1452" spans="1:11" hidden="1" x14ac:dyDescent="0.25">
      <c r="A1452">
        <v>1451</v>
      </c>
      <c r="B1452" s="1">
        <v>45753</v>
      </c>
      <c r="C1452" t="s">
        <v>6</v>
      </c>
      <c r="D1452" t="s">
        <v>87</v>
      </c>
      <c r="E1452" t="s">
        <v>13</v>
      </c>
      <c r="F1452">
        <v>2</v>
      </c>
      <c r="G1452" t="str">
        <f>VLOOKUP(D1452,Товары!A:I,3,0)</f>
        <v>Тумба с раковиной  напол. Леон 700 форест 2 ящика с умыв. Слим</v>
      </c>
      <c r="H1452">
        <f>VLOOKUP(D1452,Товары!A:I,6,0)</f>
        <v>80</v>
      </c>
      <c r="I1452" t="str">
        <f>VLOOKUP(C1452,Магазины!A:C,3,0)</f>
        <v>Оренбург</v>
      </c>
      <c r="J1452">
        <f>VLOOKUP(D1452,Товары!A:I,4,0)</f>
        <v>28380</v>
      </c>
      <c r="K1452">
        <f t="shared" si="22"/>
        <v>56760</v>
      </c>
    </row>
    <row r="1453" spans="1:11" hidden="1" x14ac:dyDescent="0.25">
      <c r="A1453">
        <v>1452</v>
      </c>
      <c r="B1453" s="1">
        <v>45750</v>
      </c>
      <c r="C1453" t="s">
        <v>33</v>
      </c>
      <c r="D1453" t="s">
        <v>27</v>
      </c>
      <c r="E1453" t="s">
        <v>8</v>
      </c>
      <c r="F1453">
        <v>1</v>
      </c>
      <c r="G1453" t="str">
        <f>VLOOKUP(D1453,Товары!A:I,3,0)</f>
        <v>Тумба с раковиной  навес. Виктория 800 белый 2 ящика с умыв. Слим</v>
      </c>
      <c r="H1453">
        <f>VLOOKUP(D1453,Товары!A:I,6,0)</f>
        <v>60</v>
      </c>
      <c r="I1453" t="str">
        <f>VLOOKUP(C1453,Магазины!A:C,3,0)</f>
        <v>Набережные Челны</v>
      </c>
      <c r="J1453">
        <f>VLOOKUP(D1453,Товары!A:I,4,0)</f>
        <v>25290</v>
      </c>
      <c r="K1453">
        <f t="shared" si="22"/>
        <v>25290</v>
      </c>
    </row>
    <row r="1454" spans="1:11" hidden="1" x14ac:dyDescent="0.25">
      <c r="A1454">
        <v>1453</v>
      </c>
      <c r="B1454" s="1">
        <v>45751</v>
      </c>
      <c r="C1454" t="s">
        <v>92</v>
      </c>
      <c r="D1454" t="s">
        <v>109</v>
      </c>
      <c r="E1454" t="s">
        <v>8</v>
      </c>
      <c r="F1454">
        <v>2</v>
      </c>
      <c r="G1454" t="str">
        <f>VLOOKUP(D1454,Товары!A:I,3,0)</f>
        <v>Тумба с раковиной  навес. Альба 600 антрацит 2 ящика с умыв. Океан</v>
      </c>
      <c r="H1454">
        <f>VLOOKUP(D1454,Товары!A:I,6,0)</f>
        <v>50</v>
      </c>
      <c r="I1454" t="str">
        <f>VLOOKUP(C1454,Магазины!A:C,3,0)</f>
        <v>Кемерово</v>
      </c>
      <c r="J1454">
        <f>VLOOKUP(D1454,Товары!A:I,4,0)</f>
        <v>24810</v>
      </c>
      <c r="K1454">
        <f t="shared" si="22"/>
        <v>49620</v>
      </c>
    </row>
    <row r="1455" spans="1:11" hidden="1" x14ac:dyDescent="0.25">
      <c r="A1455">
        <v>1454</v>
      </c>
      <c r="B1455" s="1">
        <v>45755</v>
      </c>
      <c r="C1455" t="s">
        <v>20</v>
      </c>
      <c r="D1455" t="s">
        <v>120</v>
      </c>
      <c r="E1455" t="s">
        <v>13</v>
      </c>
      <c r="F1455">
        <v>3</v>
      </c>
      <c r="G1455" t="str">
        <f>VLOOKUP(D1455,Товары!A:I,3,0)</f>
        <v>Зеркальный шкаф Альба 60 со светильником правый цвет антрацит</v>
      </c>
      <c r="H1455">
        <f>VLOOKUP(D1455,Товары!A:I,6,0)</f>
        <v>75</v>
      </c>
      <c r="I1455" t="str">
        <f>VLOOKUP(C1455,Магазины!A:C,3,0)</f>
        <v>Оренбург</v>
      </c>
      <c r="J1455">
        <f>VLOOKUP(D1455,Товары!A:I,4,0)</f>
        <v>8910</v>
      </c>
      <c r="K1455">
        <f t="shared" si="22"/>
        <v>26730</v>
      </c>
    </row>
    <row r="1456" spans="1:11" hidden="1" x14ac:dyDescent="0.25">
      <c r="A1456">
        <v>1455</v>
      </c>
      <c r="B1456" s="1">
        <v>45753</v>
      </c>
      <c r="C1456" t="s">
        <v>48</v>
      </c>
      <c r="D1456" t="s">
        <v>51</v>
      </c>
      <c r="E1456" t="s">
        <v>8</v>
      </c>
      <c r="F1456">
        <v>3</v>
      </c>
      <c r="G1456" t="str">
        <f>VLOOKUP(D1456,Товары!A:I,3,0)</f>
        <v>Зеркальный шкаф Альба 80 со светильником правый цвет суфле</v>
      </c>
      <c r="H1456">
        <f>VLOOKUP(D1456,Товары!A:I,6,0)</f>
        <v>75</v>
      </c>
      <c r="I1456" t="str">
        <f>VLOOKUP(C1456,Магазины!A:C,3,0)</f>
        <v>Ставрополь</v>
      </c>
      <c r="J1456">
        <f>VLOOKUP(D1456,Товары!A:I,4,0)</f>
        <v>9930</v>
      </c>
      <c r="K1456">
        <f t="shared" si="22"/>
        <v>29790</v>
      </c>
    </row>
    <row r="1457" spans="1:11" hidden="1" x14ac:dyDescent="0.25">
      <c r="A1457">
        <v>1456</v>
      </c>
      <c r="B1457" s="1">
        <v>45752</v>
      </c>
      <c r="C1457" t="s">
        <v>18</v>
      </c>
      <c r="D1457" t="s">
        <v>122</v>
      </c>
      <c r="E1457" t="s">
        <v>13</v>
      </c>
      <c r="F1457">
        <v>1</v>
      </c>
      <c r="G1457" t="str">
        <f>VLOOKUP(D1457,Товары!A:I,3,0)</f>
        <v>Тумба с раковиной  навес. Кристалл 600 шато азур 2 ящика с умыв. Океан</v>
      </c>
      <c r="H1457">
        <f>VLOOKUP(D1457,Товары!A:I,6,0)</f>
        <v>55</v>
      </c>
      <c r="I1457" t="str">
        <f>VLOOKUP(C1457,Магазины!A:C,3,0)</f>
        <v>Набережные Челны</v>
      </c>
      <c r="J1457">
        <f>VLOOKUP(D1457,Товары!A:I,4,0)</f>
        <v>21960</v>
      </c>
      <c r="K1457">
        <f t="shared" si="22"/>
        <v>21960</v>
      </c>
    </row>
    <row r="1458" spans="1:11" hidden="1" x14ac:dyDescent="0.25">
      <c r="A1458">
        <v>1457</v>
      </c>
      <c r="B1458" s="1">
        <v>45754</v>
      </c>
      <c r="C1458" t="s">
        <v>54</v>
      </c>
      <c r="D1458" t="s">
        <v>29</v>
      </c>
      <c r="E1458" t="s">
        <v>13</v>
      </c>
      <c r="F1458">
        <v>2</v>
      </c>
      <c r="G1458" t="str">
        <f>VLOOKUP(D1458,Товары!A:I,3,0)</f>
        <v>Тумба с раковиной  напол. Леон Риф 600 солярис/белый риф 2 ящика с умыв. Океан</v>
      </c>
      <c r="H1458">
        <f>VLOOKUP(D1458,Товары!A:I,6,0)</f>
        <v>80</v>
      </c>
      <c r="I1458" t="str">
        <f>VLOOKUP(C1458,Магазины!A:C,3,0)</f>
        <v>Ставрополь</v>
      </c>
      <c r="J1458">
        <f>VLOOKUP(D1458,Товары!A:I,4,0)</f>
        <v>24150</v>
      </c>
      <c r="K1458">
        <f t="shared" si="22"/>
        <v>48300</v>
      </c>
    </row>
    <row r="1459" spans="1:11" hidden="1" x14ac:dyDescent="0.25">
      <c r="A1459">
        <v>1458</v>
      </c>
      <c r="B1459" s="1">
        <v>45755</v>
      </c>
      <c r="C1459" t="s">
        <v>111</v>
      </c>
      <c r="D1459" t="s">
        <v>74</v>
      </c>
      <c r="E1459" t="s">
        <v>8</v>
      </c>
      <c r="F1459">
        <v>1</v>
      </c>
      <c r="G1459" t="str">
        <f>VLOOKUP(D1459,Товары!A:I,3,0)</f>
        <v>Тумба с раковиной  напол. Альба 800 суфле 2 ящика с умыв. Слим</v>
      </c>
      <c r="H1459">
        <f>VLOOKUP(D1459,Товары!A:I,6,0)</f>
        <v>80</v>
      </c>
      <c r="I1459" t="str">
        <f>VLOOKUP(C1459,Магазины!A:C,3,0)</f>
        <v>Набережные Челны</v>
      </c>
      <c r="J1459">
        <f>VLOOKUP(D1459,Товары!A:I,4,0)</f>
        <v>29340</v>
      </c>
      <c r="K1459">
        <f t="shared" si="22"/>
        <v>29340</v>
      </c>
    </row>
    <row r="1460" spans="1:11" hidden="1" x14ac:dyDescent="0.25">
      <c r="A1460">
        <v>1459</v>
      </c>
      <c r="B1460" s="1">
        <v>45753</v>
      </c>
      <c r="C1460" t="s">
        <v>20</v>
      </c>
      <c r="D1460" t="s">
        <v>123</v>
      </c>
      <c r="E1460" t="s">
        <v>8</v>
      </c>
      <c r="F1460">
        <v>2</v>
      </c>
      <c r="G1460" t="str">
        <f>VLOOKUP(D1460,Товары!A:I,3,0)</f>
        <v>Тумба с раковиной  напол. Кристалл 800 суфле 2 ящика с умыв. Слим</v>
      </c>
      <c r="H1460">
        <f>VLOOKUP(D1460,Товары!A:I,6,0)</f>
        <v>80</v>
      </c>
      <c r="I1460" t="str">
        <f>VLOOKUP(C1460,Магазины!A:C,3,0)</f>
        <v>Оренбург</v>
      </c>
      <c r="J1460">
        <f>VLOOKUP(D1460,Товары!A:I,4,0)</f>
        <v>31125</v>
      </c>
      <c r="K1460">
        <f t="shared" si="22"/>
        <v>62250</v>
      </c>
    </row>
    <row r="1461" spans="1:11" hidden="1" x14ac:dyDescent="0.25">
      <c r="A1461">
        <v>1460</v>
      </c>
      <c r="B1461" s="1">
        <v>45750</v>
      </c>
      <c r="C1461" t="s">
        <v>58</v>
      </c>
      <c r="D1461" t="s">
        <v>120</v>
      </c>
      <c r="E1461" t="s">
        <v>8</v>
      </c>
      <c r="F1461">
        <v>1</v>
      </c>
      <c r="G1461" t="str">
        <f>VLOOKUP(D1461,Товары!A:I,3,0)</f>
        <v>Зеркальный шкаф Альба 60 со светильником правый цвет антрацит</v>
      </c>
      <c r="H1461">
        <f>VLOOKUP(D1461,Товары!A:I,6,0)</f>
        <v>75</v>
      </c>
      <c r="I1461" t="str">
        <f>VLOOKUP(C1461,Магазины!A:C,3,0)</f>
        <v>Ставрополь</v>
      </c>
      <c r="J1461">
        <f>VLOOKUP(D1461,Товары!A:I,4,0)</f>
        <v>8910</v>
      </c>
      <c r="K1461">
        <f t="shared" si="22"/>
        <v>8910</v>
      </c>
    </row>
    <row r="1462" spans="1:11" hidden="1" x14ac:dyDescent="0.25">
      <c r="A1462">
        <v>1461</v>
      </c>
      <c r="B1462" s="1">
        <v>45753</v>
      </c>
      <c r="C1462" t="s">
        <v>58</v>
      </c>
      <c r="D1462" t="s">
        <v>100</v>
      </c>
      <c r="E1462" t="s">
        <v>8</v>
      </c>
      <c r="F1462">
        <v>2</v>
      </c>
      <c r="G1462" t="str">
        <f>VLOOKUP(D1462,Товары!A:I,3,0)</f>
        <v>Тумба с раковиной  навес. Альба 800 мята 1 ящик с умыв. Слим</v>
      </c>
      <c r="H1462">
        <f>VLOOKUP(D1462,Товары!A:I,6,0)</f>
        <v>45</v>
      </c>
      <c r="I1462" t="str">
        <f>VLOOKUP(C1462,Магазины!A:C,3,0)</f>
        <v>Ставрополь</v>
      </c>
      <c r="J1462">
        <f>VLOOKUP(D1462,Товары!A:I,4,0)</f>
        <v>21630</v>
      </c>
      <c r="K1462">
        <f t="shared" si="22"/>
        <v>43260</v>
      </c>
    </row>
    <row r="1463" spans="1:11" hidden="1" x14ac:dyDescent="0.25">
      <c r="A1463">
        <v>1462</v>
      </c>
      <c r="B1463" s="1">
        <v>45751</v>
      </c>
      <c r="C1463" t="s">
        <v>63</v>
      </c>
      <c r="D1463" t="s">
        <v>80</v>
      </c>
      <c r="E1463" t="s">
        <v>8</v>
      </c>
      <c r="F1463">
        <v>1</v>
      </c>
      <c r="G1463" t="str">
        <f>VLOOKUP(D1463,Товары!A:I,3,0)</f>
        <v>Тумба с раковиной  навес. Сохо 600 белый 2 ящика с умыв. Океан</v>
      </c>
      <c r="H1463">
        <f>VLOOKUP(D1463,Товары!A:I,6,0)</f>
        <v>55</v>
      </c>
      <c r="I1463" t="str">
        <f>VLOOKUP(C1463,Магазины!A:C,3,0)</f>
        <v>Ставрополь</v>
      </c>
      <c r="J1463">
        <f>VLOOKUP(D1463,Товары!A:I,4,0)</f>
        <v>13950</v>
      </c>
      <c r="K1463">
        <f t="shared" si="22"/>
        <v>13950</v>
      </c>
    </row>
    <row r="1464" spans="1:11" hidden="1" x14ac:dyDescent="0.25">
      <c r="A1464">
        <v>1463</v>
      </c>
      <c r="B1464" s="1">
        <v>45750</v>
      </c>
      <c r="C1464" t="s">
        <v>16</v>
      </c>
      <c r="D1464" t="s">
        <v>34</v>
      </c>
      <c r="E1464" t="s">
        <v>13</v>
      </c>
      <c r="F1464">
        <v>2</v>
      </c>
      <c r="G1464" t="str">
        <f>VLOOKUP(D1464,Товары!A:I,3,0)</f>
        <v>Тумба с раковиной  навес. Леон 700 форест 2 ящика с умыв. Слим</v>
      </c>
      <c r="H1464">
        <f>VLOOKUP(D1464,Товары!A:I,6,0)</f>
        <v>60</v>
      </c>
      <c r="I1464" t="str">
        <f>VLOOKUP(C1464,Магазины!A:C,3,0)</f>
        <v>Оренбург</v>
      </c>
      <c r="J1464">
        <f>VLOOKUP(D1464,Товары!A:I,4,0)</f>
        <v>26220</v>
      </c>
      <c r="K1464">
        <f t="shared" si="22"/>
        <v>52440</v>
      </c>
    </row>
    <row r="1465" spans="1:11" hidden="1" x14ac:dyDescent="0.25">
      <c r="A1465">
        <v>1464</v>
      </c>
      <c r="B1465" s="1">
        <v>45753</v>
      </c>
      <c r="C1465" t="s">
        <v>54</v>
      </c>
      <c r="D1465" t="s">
        <v>109</v>
      </c>
      <c r="E1465" t="s">
        <v>13</v>
      </c>
      <c r="F1465">
        <v>3</v>
      </c>
      <c r="G1465" t="str">
        <f>VLOOKUP(D1465,Товары!A:I,3,0)</f>
        <v>Тумба с раковиной  навес. Альба 600 антрацит 2 ящика с умыв. Океан</v>
      </c>
      <c r="H1465">
        <f>VLOOKUP(D1465,Товары!A:I,6,0)</f>
        <v>50</v>
      </c>
      <c r="I1465" t="str">
        <f>VLOOKUP(C1465,Магазины!A:C,3,0)</f>
        <v>Ставрополь</v>
      </c>
      <c r="J1465">
        <f>VLOOKUP(D1465,Товары!A:I,4,0)</f>
        <v>24810</v>
      </c>
      <c r="K1465">
        <f t="shared" si="22"/>
        <v>74430</v>
      </c>
    </row>
    <row r="1466" spans="1:11" hidden="1" x14ac:dyDescent="0.25">
      <c r="A1466">
        <v>1465</v>
      </c>
      <c r="B1466" s="1">
        <v>45751</v>
      </c>
      <c r="C1466" t="s">
        <v>9</v>
      </c>
      <c r="D1466" t="s">
        <v>74</v>
      </c>
      <c r="E1466" t="s">
        <v>8</v>
      </c>
      <c r="F1466">
        <v>2</v>
      </c>
      <c r="G1466" t="str">
        <f>VLOOKUP(D1466,Товары!A:I,3,0)</f>
        <v>Тумба с раковиной  напол. Альба 800 суфле 2 ящика с умыв. Слим</v>
      </c>
      <c r="H1466">
        <f>VLOOKUP(D1466,Товары!A:I,6,0)</f>
        <v>80</v>
      </c>
      <c r="I1466" t="str">
        <f>VLOOKUP(C1466,Магазины!A:C,3,0)</f>
        <v>Кемерово</v>
      </c>
      <c r="J1466">
        <f>VLOOKUP(D1466,Товары!A:I,4,0)</f>
        <v>29340</v>
      </c>
      <c r="K1466">
        <f t="shared" si="22"/>
        <v>58680</v>
      </c>
    </row>
    <row r="1467" spans="1:11" hidden="1" x14ac:dyDescent="0.25">
      <c r="A1467">
        <v>1466</v>
      </c>
      <c r="B1467" s="1">
        <v>45757</v>
      </c>
      <c r="C1467" t="s">
        <v>92</v>
      </c>
      <c r="D1467" t="s">
        <v>110</v>
      </c>
      <c r="E1467" t="s">
        <v>8</v>
      </c>
      <c r="F1467">
        <v>2</v>
      </c>
      <c r="G1467" t="str">
        <f>VLOOKUP(D1467,Товары!A:I,3,0)</f>
        <v>Тумба с раковиной  напол. Альба 600 антрацит 2 ящика с умыв. Океан</v>
      </c>
      <c r="H1467">
        <f>VLOOKUP(D1467,Товары!A:I,6,0)</f>
        <v>80</v>
      </c>
      <c r="I1467" t="str">
        <f>VLOOKUP(C1467,Магазины!A:C,3,0)</f>
        <v>Кемерово</v>
      </c>
      <c r="J1467">
        <f>VLOOKUP(D1467,Товары!A:I,4,0)</f>
        <v>26370</v>
      </c>
      <c r="K1467">
        <f t="shared" si="22"/>
        <v>52740</v>
      </c>
    </row>
    <row r="1468" spans="1:11" hidden="1" x14ac:dyDescent="0.25">
      <c r="A1468">
        <v>1467</v>
      </c>
      <c r="B1468" s="1">
        <v>45748</v>
      </c>
      <c r="C1468" t="s">
        <v>103</v>
      </c>
      <c r="D1468" t="s">
        <v>121</v>
      </c>
      <c r="E1468" t="s">
        <v>8</v>
      </c>
      <c r="F1468">
        <v>3</v>
      </c>
      <c r="G1468" t="str">
        <f>VLOOKUP(D1468,Товары!A:I,3,0)</f>
        <v>Тумба с раковиной  напол. Куба Риф 600 белый 2 двери с умыв. Como</v>
      </c>
      <c r="H1468">
        <f>VLOOKUP(D1468,Товары!A:I,6,0)</f>
        <v>85</v>
      </c>
      <c r="I1468" t="str">
        <f>VLOOKUP(C1468,Магазины!A:C,3,0)</f>
        <v>Ставрополь</v>
      </c>
      <c r="J1468">
        <f>VLOOKUP(D1468,Товары!A:I,4,0)</f>
        <v>13695</v>
      </c>
      <c r="K1468">
        <f t="shared" si="22"/>
        <v>41085</v>
      </c>
    </row>
    <row r="1469" spans="1:11" hidden="1" x14ac:dyDescent="0.25">
      <c r="A1469">
        <v>1468</v>
      </c>
      <c r="B1469" s="1">
        <v>45754</v>
      </c>
      <c r="C1469" t="s">
        <v>41</v>
      </c>
      <c r="D1469" t="s">
        <v>49</v>
      </c>
      <c r="E1469" t="s">
        <v>8</v>
      </c>
      <c r="F1469">
        <v>1</v>
      </c>
      <c r="G1469" t="str">
        <f>VLOOKUP(D1469,Товары!A:I,3,0)</f>
        <v>Тумба с раковиной  напол. Леон 700 оникс 2 ящика с умыв. Слим</v>
      </c>
      <c r="H1469">
        <f>VLOOKUP(D1469,Товары!A:I,6,0)</f>
        <v>80</v>
      </c>
      <c r="I1469" t="str">
        <f>VLOOKUP(C1469,Магазины!A:C,3,0)</f>
        <v>Ставрополь</v>
      </c>
      <c r="J1469">
        <f>VLOOKUP(D1469,Товары!A:I,4,0)</f>
        <v>28380</v>
      </c>
      <c r="K1469">
        <f t="shared" si="22"/>
        <v>28380</v>
      </c>
    </row>
    <row r="1470" spans="1:11" hidden="1" x14ac:dyDescent="0.25">
      <c r="A1470">
        <v>1469</v>
      </c>
      <c r="B1470" s="1">
        <v>45753</v>
      </c>
      <c r="C1470" t="s">
        <v>54</v>
      </c>
      <c r="D1470" t="s">
        <v>131</v>
      </c>
      <c r="E1470" t="s">
        <v>13</v>
      </c>
      <c r="F1470">
        <v>1</v>
      </c>
      <c r="G1470" t="str">
        <f>VLOOKUP(D1470,Товары!A:I,3,0)</f>
        <v>Тумба с раковиной  напол. Леон 800 форест 2 ящика с умыв. Слим</v>
      </c>
      <c r="H1470">
        <f>VLOOKUP(D1470,Товары!A:I,6,0)</f>
        <v>80</v>
      </c>
      <c r="I1470" t="str">
        <f>VLOOKUP(C1470,Магазины!A:C,3,0)</f>
        <v>Ставрополь</v>
      </c>
      <c r="J1470">
        <f>VLOOKUP(D1470,Товары!A:I,4,0)</f>
        <v>29400</v>
      </c>
      <c r="K1470">
        <f t="shared" si="22"/>
        <v>29400</v>
      </c>
    </row>
    <row r="1471" spans="1:11" hidden="1" x14ac:dyDescent="0.25">
      <c r="A1471">
        <v>1470</v>
      </c>
      <c r="B1471" s="1">
        <v>45753</v>
      </c>
      <c r="C1471" t="s">
        <v>111</v>
      </c>
      <c r="D1471" t="s">
        <v>78</v>
      </c>
      <c r="E1471" t="s">
        <v>13</v>
      </c>
      <c r="F1471">
        <v>2</v>
      </c>
      <c r="G1471" t="str">
        <f>VLOOKUP(D1471,Товары!A:I,3,0)</f>
        <v>Зеркальный шкаф Кристалл 70 со светильником правый, ручка кнопка дуб цвет Шато Азур</v>
      </c>
      <c r="H1471">
        <f>VLOOKUP(D1471,Товары!A:I,6,0)</f>
        <v>75</v>
      </c>
      <c r="I1471" t="str">
        <f>VLOOKUP(C1471,Магазины!A:C,3,0)</f>
        <v>Набережные Челны</v>
      </c>
      <c r="J1471">
        <f>VLOOKUP(D1471,Товары!A:I,4,0)</f>
        <v>9615</v>
      </c>
      <c r="K1471">
        <f t="shared" si="22"/>
        <v>19230</v>
      </c>
    </row>
    <row r="1472" spans="1:11" hidden="1" x14ac:dyDescent="0.25">
      <c r="A1472">
        <v>1471</v>
      </c>
      <c r="B1472" s="1">
        <v>45752</v>
      </c>
      <c r="C1472" t="s">
        <v>9</v>
      </c>
      <c r="D1472" t="s">
        <v>66</v>
      </c>
      <c r="E1472" t="s">
        <v>8</v>
      </c>
      <c r="F1472">
        <v>1</v>
      </c>
      <c r="G1472" t="str">
        <f>VLOOKUP(D1472,Товары!A:I,3,0)</f>
        <v>Тумба с раковиной  навес. Альба 800 мята 2 ящика с умыв. Слим</v>
      </c>
      <c r="H1472">
        <f>VLOOKUP(D1472,Товары!A:I,6,0)</f>
        <v>50</v>
      </c>
      <c r="I1472" t="str">
        <f>VLOOKUP(C1472,Магазины!A:C,3,0)</f>
        <v>Кемерово</v>
      </c>
      <c r="J1472">
        <f>VLOOKUP(D1472,Товары!A:I,4,0)</f>
        <v>26070</v>
      </c>
      <c r="K1472">
        <f t="shared" si="22"/>
        <v>26070</v>
      </c>
    </row>
    <row r="1473" spans="1:11" hidden="1" x14ac:dyDescent="0.25">
      <c r="A1473">
        <v>1472</v>
      </c>
      <c r="B1473" s="1">
        <v>45756</v>
      </c>
      <c r="C1473" t="s">
        <v>14</v>
      </c>
      <c r="D1473" t="s">
        <v>38</v>
      </c>
      <c r="E1473" t="s">
        <v>8</v>
      </c>
      <c r="F1473">
        <v>2</v>
      </c>
      <c r="G1473" t="str">
        <f>VLOOKUP(D1473,Товары!A:I,3,0)</f>
        <v>Тумба с раковиной  навес. Куба Риф 600 белый 2 ящика с умыв. Como</v>
      </c>
      <c r="H1473">
        <f>VLOOKUP(D1473,Товары!A:I,6,0)</f>
        <v>55</v>
      </c>
      <c r="I1473" t="str">
        <f>VLOOKUP(C1473,Магазины!A:C,3,0)</f>
        <v>Оренбург</v>
      </c>
      <c r="J1473">
        <f>VLOOKUP(D1473,Товары!A:I,4,0)</f>
        <v>14265</v>
      </c>
      <c r="K1473">
        <f t="shared" si="22"/>
        <v>28530</v>
      </c>
    </row>
    <row r="1474" spans="1:11" hidden="1" x14ac:dyDescent="0.25">
      <c r="A1474">
        <v>1473</v>
      </c>
      <c r="B1474" s="1">
        <v>45756</v>
      </c>
      <c r="C1474" t="s">
        <v>54</v>
      </c>
      <c r="D1474" t="s">
        <v>106</v>
      </c>
      <c r="E1474" t="s">
        <v>8</v>
      </c>
      <c r="F1474">
        <v>1</v>
      </c>
      <c r="G1474" t="str">
        <f>VLOOKUP(D1474,Товары!A:I,3,0)</f>
        <v>Тумба с раковиной  навес. Кристалл 700 шато азур 2 ящика с умыв. Слим</v>
      </c>
      <c r="H1474">
        <f>VLOOKUP(D1474,Товары!A:I,6,0)</f>
        <v>60</v>
      </c>
      <c r="I1474" t="str">
        <f>VLOOKUP(C1474,Магазины!A:C,3,0)</f>
        <v>Ставрополь</v>
      </c>
      <c r="J1474">
        <f>VLOOKUP(D1474,Товары!A:I,4,0)</f>
        <v>24150</v>
      </c>
      <c r="K1474">
        <f t="shared" si="22"/>
        <v>24150</v>
      </c>
    </row>
    <row r="1475" spans="1:11" hidden="1" x14ac:dyDescent="0.25">
      <c r="A1475">
        <v>1474</v>
      </c>
      <c r="B1475" s="1">
        <v>45752</v>
      </c>
      <c r="C1475" t="s">
        <v>30</v>
      </c>
      <c r="D1475" t="s">
        <v>64</v>
      </c>
      <c r="E1475" t="s">
        <v>13</v>
      </c>
      <c r="F1475">
        <v>2</v>
      </c>
      <c r="G1475" t="str">
        <f>VLOOKUP(D1475,Товары!A:I,3,0)</f>
        <v>Тумба с раковиной  напол. Рица 800 антрацит 2 ящика с умыв. Слим</v>
      </c>
      <c r="H1475">
        <f>VLOOKUP(D1475,Товары!A:I,6,0)</f>
        <v>80</v>
      </c>
      <c r="I1475" t="str">
        <f>VLOOKUP(C1475,Магазины!A:C,3,0)</f>
        <v>Кемерово</v>
      </c>
      <c r="J1475">
        <f>VLOOKUP(D1475,Товары!A:I,4,0)</f>
        <v>28980</v>
      </c>
      <c r="K1475">
        <f t="shared" ref="K1475:K1538" si="23">J1475*F1475</f>
        <v>57960</v>
      </c>
    </row>
    <row r="1476" spans="1:11" hidden="1" x14ac:dyDescent="0.25">
      <c r="A1476">
        <v>1475</v>
      </c>
      <c r="B1476" s="1">
        <v>45756</v>
      </c>
      <c r="C1476" t="s">
        <v>9</v>
      </c>
      <c r="D1476" t="s">
        <v>42</v>
      </c>
      <c r="E1476" t="s">
        <v>8</v>
      </c>
      <c r="F1476">
        <v>3</v>
      </c>
      <c r="G1476" t="str">
        <f>VLOOKUP(D1476,Товары!A:I,3,0)</f>
        <v>Тумба под стиральную машину Леон Риф 57 подвесная 2 ящика под ст/маш, без умывальника /под Marshall 120 Солярис/Белый Риф</v>
      </c>
      <c r="H1476">
        <f>VLOOKUP(D1476,Товары!A:I,6,0)</f>
        <v>60</v>
      </c>
      <c r="I1476" t="str">
        <f>VLOOKUP(C1476,Магазины!A:C,3,0)</f>
        <v>Кемерово</v>
      </c>
      <c r="J1476">
        <f>VLOOKUP(D1476,Товары!A:I,4,0)</f>
        <v>15495</v>
      </c>
      <c r="K1476">
        <f t="shared" si="23"/>
        <v>46485</v>
      </c>
    </row>
    <row r="1477" spans="1:11" hidden="1" x14ac:dyDescent="0.25">
      <c r="A1477">
        <v>1476</v>
      </c>
      <c r="B1477" s="1">
        <v>45757</v>
      </c>
      <c r="C1477" t="s">
        <v>9</v>
      </c>
      <c r="D1477" t="s">
        <v>32</v>
      </c>
      <c r="E1477" t="s">
        <v>13</v>
      </c>
      <c r="F1477">
        <v>1</v>
      </c>
      <c r="G1477" t="str">
        <f>VLOOKUP(D1477,Товары!A:I,3,0)</f>
        <v>Тумба с раковиной  напол. Леон Риф 700 солярис/белый риф 2 ящика с умыв. Слим</v>
      </c>
      <c r="H1477">
        <f>VLOOKUP(D1477,Товары!A:I,6,0)</f>
        <v>85</v>
      </c>
      <c r="I1477" t="str">
        <f>VLOOKUP(C1477,Магазины!A:C,3,0)</f>
        <v>Кемерово</v>
      </c>
      <c r="J1477">
        <f>VLOOKUP(D1477,Товары!A:I,4,0)</f>
        <v>26460</v>
      </c>
      <c r="K1477">
        <f t="shared" si="23"/>
        <v>26460</v>
      </c>
    </row>
    <row r="1478" spans="1:11" hidden="1" x14ac:dyDescent="0.25">
      <c r="A1478">
        <v>1477</v>
      </c>
      <c r="B1478" s="1">
        <v>45748</v>
      </c>
      <c r="C1478" t="s">
        <v>43</v>
      </c>
      <c r="D1478" t="s">
        <v>112</v>
      </c>
      <c r="E1478" t="s">
        <v>8</v>
      </c>
      <c r="F1478">
        <v>1</v>
      </c>
      <c r="G1478" t="str">
        <f>VLOOKUP(D1478,Товары!A:I,3,0)</f>
        <v>Тумба с раковиной  напол. Аква 560 белый 2 двери с умыв. Уют</v>
      </c>
      <c r="H1478">
        <f>VLOOKUP(D1478,Товары!A:I,6,0)</f>
        <v>85</v>
      </c>
      <c r="I1478" t="str">
        <f>VLOOKUP(C1478,Магазины!A:C,3,0)</f>
        <v>Набережные Челны</v>
      </c>
      <c r="J1478">
        <f>VLOOKUP(D1478,Товары!A:I,4,0)</f>
        <v>9330</v>
      </c>
      <c r="K1478">
        <f t="shared" si="23"/>
        <v>9330</v>
      </c>
    </row>
    <row r="1479" spans="1:11" hidden="1" x14ac:dyDescent="0.25">
      <c r="A1479">
        <v>1478</v>
      </c>
      <c r="B1479" s="1">
        <v>45750</v>
      </c>
      <c r="C1479" t="s">
        <v>41</v>
      </c>
      <c r="D1479" t="s">
        <v>56</v>
      </c>
      <c r="E1479" t="s">
        <v>13</v>
      </c>
      <c r="F1479">
        <v>2</v>
      </c>
      <c r="G1479" t="str">
        <f>VLOOKUP(D1479,Товары!A:I,3,0)</f>
        <v>Зеркальный шкаф Альба 80 со светильником правый цвет мята</v>
      </c>
      <c r="H1479">
        <f>VLOOKUP(D1479,Товары!A:I,6,0)</f>
        <v>75</v>
      </c>
      <c r="I1479" t="str">
        <f>VLOOKUP(C1479,Магазины!A:C,3,0)</f>
        <v>Ставрополь</v>
      </c>
      <c r="J1479">
        <f>VLOOKUP(D1479,Товары!A:I,4,0)</f>
        <v>9930</v>
      </c>
      <c r="K1479">
        <f t="shared" si="23"/>
        <v>19860</v>
      </c>
    </row>
    <row r="1480" spans="1:11" hidden="1" x14ac:dyDescent="0.25">
      <c r="A1480">
        <v>1479</v>
      </c>
      <c r="B1480" s="1">
        <v>45753</v>
      </c>
      <c r="C1480" t="s">
        <v>26</v>
      </c>
      <c r="D1480" t="s">
        <v>29</v>
      </c>
      <c r="E1480" t="s">
        <v>8</v>
      </c>
      <c r="F1480">
        <v>2</v>
      </c>
      <c r="G1480" t="str">
        <f>VLOOKUP(D1480,Товары!A:I,3,0)</f>
        <v>Тумба с раковиной  напол. Леон Риф 600 солярис/белый риф 2 ящика с умыв. Океан</v>
      </c>
      <c r="H1480">
        <f>VLOOKUP(D1480,Товары!A:I,6,0)</f>
        <v>80</v>
      </c>
      <c r="I1480" t="str">
        <f>VLOOKUP(C1480,Магазины!A:C,3,0)</f>
        <v>Оренбург</v>
      </c>
      <c r="J1480">
        <f>VLOOKUP(D1480,Товары!A:I,4,0)</f>
        <v>24150</v>
      </c>
      <c r="K1480">
        <f t="shared" si="23"/>
        <v>48300</v>
      </c>
    </row>
    <row r="1481" spans="1:11" hidden="1" x14ac:dyDescent="0.25">
      <c r="A1481">
        <v>1480</v>
      </c>
      <c r="B1481" s="1">
        <v>45748</v>
      </c>
      <c r="C1481" t="s">
        <v>43</v>
      </c>
      <c r="D1481" t="s">
        <v>27</v>
      </c>
      <c r="E1481" t="s">
        <v>8</v>
      </c>
      <c r="F1481">
        <v>3</v>
      </c>
      <c r="G1481" t="str">
        <f>VLOOKUP(D1481,Товары!A:I,3,0)</f>
        <v>Тумба с раковиной  навес. Виктория 800 белый 2 ящика с умыв. Слим</v>
      </c>
      <c r="H1481">
        <f>VLOOKUP(D1481,Товары!A:I,6,0)</f>
        <v>60</v>
      </c>
      <c r="I1481" t="str">
        <f>VLOOKUP(C1481,Магазины!A:C,3,0)</f>
        <v>Набережные Челны</v>
      </c>
      <c r="J1481">
        <f>VLOOKUP(D1481,Товары!A:I,4,0)</f>
        <v>25290</v>
      </c>
      <c r="K1481">
        <f t="shared" si="23"/>
        <v>75870</v>
      </c>
    </row>
    <row r="1482" spans="1:11" hidden="1" x14ac:dyDescent="0.25">
      <c r="A1482">
        <v>1481</v>
      </c>
      <c r="B1482" s="1">
        <v>45749</v>
      </c>
      <c r="C1482" t="s">
        <v>35</v>
      </c>
      <c r="D1482" t="s">
        <v>94</v>
      </c>
      <c r="E1482" t="s">
        <v>8</v>
      </c>
      <c r="F1482">
        <v>3</v>
      </c>
      <c r="G1482" t="str">
        <f>VLOOKUP(D1482,Товары!A:I,3,0)</f>
        <v>Зеркальный шкаф Альба 80 со светильником правый цвет антрацит</v>
      </c>
      <c r="H1482">
        <f>VLOOKUP(D1482,Товары!A:I,6,0)</f>
        <v>75</v>
      </c>
      <c r="I1482" t="str">
        <f>VLOOKUP(C1482,Магазины!A:C,3,0)</f>
        <v>Набережные Челны</v>
      </c>
      <c r="J1482">
        <f>VLOOKUP(D1482,Товары!A:I,4,0)</f>
        <v>9930</v>
      </c>
      <c r="K1482">
        <f t="shared" si="23"/>
        <v>29790</v>
      </c>
    </row>
    <row r="1483" spans="1:11" hidden="1" x14ac:dyDescent="0.25">
      <c r="A1483">
        <v>1482</v>
      </c>
      <c r="B1483" s="1">
        <v>45754</v>
      </c>
      <c r="C1483" t="s">
        <v>63</v>
      </c>
      <c r="D1483" t="s">
        <v>10</v>
      </c>
      <c r="E1483" t="s">
        <v>8</v>
      </c>
      <c r="F1483">
        <v>3</v>
      </c>
      <c r="G1483" t="str">
        <f>VLOOKUP(D1483,Товары!A:I,3,0)</f>
        <v>Тумба с раковиной  навес. Альба 700 антрацит 1 ящик с умыв. Слим</v>
      </c>
      <c r="H1483">
        <f>VLOOKUP(D1483,Товары!A:I,6,0)</f>
        <v>45</v>
      </c>
      <c r="I1483" t="str">
        <f>VLOOKUP(C1483,Магазины!A:C,3,0)</f>
        <v>Ставрополь</v>
      </c>
      <c r="J1483">
        <f>VLOOKUP(D1483,Товары!A:I,4,0)</f>
        <v>20130</v>
      </c>
      <c r="K1483">
        <f t="shared" si="23"/>
        <v>60390</v>
      </c>
    </row>
    <row r="1484" spans="1:11" hidden="1" x14ac:dyDescent="0.25">
      <c r="A1484">
        <v>1483</v>
      </c>
      <c r="B1484" s="1">
        <v>45748</v>
      </c>
      <c r="C1484" t="s">
        <v>57</v>
      </c>
      <c r="D1484" t="s">
        <v>19</v>
      </c>
      <c r="E1484" t="s">
        <v>8</v>
      </c>
      <c r="F1484">
        <v>1</v>
      </c>
      <c r="G1484" t="str">
        <f>VLOOKUP(D1484,Товары!A:I,3,0)</f>
        <v>Тумба с раковиной  навес. Леон 800 оникс 2 ящика с умыв. Слим</v>
      </c>
      <c r="H1484">
        <f>VLOOKUP(D1484,Товары!A:I,6,0)</f>
        <v>60</v>
      </c>
      <c r="I1484" t="str">
        <f>VLOOKUP(C1484,Магазины!A:C,3,0)</f>
        <v>Оренбург</v>
      </c>
      <c r="J1484">
        <f>VLOOKUP(D1484,Товары!A:I,4,0)</f>
        <v>27930</v>
      </c>
      <c r="K1484">
        <f t="shared" si="23"/>
        <v>27930</v>
      </c>
    </row>
    <row r="1485" spans="1:11" hidden="1" x14ac:dyDescent="0.25">
      <c r="A1485">
        <v>1484</v>
      </c>
      <c r="B1485" s="1">
        <v>45752</v>
      </c>
      <c r="C1485" t="s">
        <v>54</v>
      </c>
      <c r="D1485" t="s">
        <v>122</v>
      </c>
      <c r="E1485" t="s">
        <v>13</v>
      </c>
      <c r="F1485">
        <v>3</v>
      </c>
      <c r="G1485" t="str">
        <f>VLOOKUP(D1485,Товары!A:I,3,0)</f>
        <v>Тумба с раковиной  навес. Кристалл 600 шато азур 2 ящика с умыв. Океан</v>
      </c>
      <c r="H1485">
        <f>VLOOKUP(D1485,Товары!A:I,6,0)</f>
        <v>55</v>
      </c>
      <c r="I1485" t="str">
        <f>VLOOKUP(C1485,Магазины!A:C,3,0)</f>
        <v>Ставрополь</v>
      </c>
      <c r="J1485">
        <f>VLOOKUP(D1485,Товары!A:I,4,0)</f>
        <v>21960</v>
      </c>
      <c r="K1485">
        <f t="shared" si="23"/>
        <v>65880</v>
      </c>
    </row>
    <row r="1486" spans="1:11" hidden="1" x14ac:dyDescent="0.25">
      <c r="A1486">
        <v>1485</v>
      </c>
      <c r="B1486" s="1">
        <v>45749</v>
      </c>
      <c r="C1486" t="s">
        <v>9</v>
      </c>
      <c r="D1486" t="s">
        <v>95</v>
      </c>
      <c r="E1486" t="s">
        <v>13</v>
      </c>
      <c r="F1486">
        <v>2</v>
      </c>
      <c r="G1486" t="str">
        <f>VLOOKUP(D1486,Товары!A:I,3,0)</f>
        <v>Тумба с раковиной  напол. Рица 600 антрацит 2 ящика с умыв. Океан</v>
      </c>
      <c r="H1486">
        <f>VLOOKUP(D1486,Товары!A:I,6,0)</f>
        <v>80</v>
      </c>
      <c r="I1486" t="str">
        <f>VLOOKUP(C1486,Магазины!A:C,3,0)</f>
        <v>Кемерово</v>
      </c>
      <c r="J1486">
        <f>VLOOKUP(D1486,Товары!A:I,4,0)</f>
        <v>25560</v>
      </c>
      <c r="K1486">
        <f t="shared" si="23"/>
        <v>51120</v>
      </c>
    </row>
    <row r="1487" spans="1:11" hidden="1" x14ac:dyDescent="0.25">
      <c r="A1487">
        <v>1486</v>
      </c>
      <c r="B1487" s="1">
        <v>45748</v>
      </c>
      <c r="C1487" t="s">
        <v>92</v>
      </c>
      <c r="D1487" t="s">
        <v>122</v>
      </c>
      <c r="E1487" t="s">
        <v>13</v>
      </c>
      <c r="F1487">
        <v>1</v>
      </c>
      <c r="G1487" t="str">
        <f>VLOOKUP(D1487,Товары!A:I,3,0)</f>
        <v>Тумба с раковиной  навес. Кристалл 600 шато азур 2 ящика с умыв. Океан</v>
      </c>
      <c r="H1487">
        <f>VLOOKUP(D1487,Товары!A:I,6,0)</f>
        <v>55</v>
      </c>
      <c r="I1487" t="str">
        <f>VLOOKUP(C1487,Магазины!A:C,3,0)</f>
        <v>Кемерово</v>
      </c>
      <c r="J1487">
        <f>VLOOKUP(D1487,Товары!A:I,4,0)</f>
        <v>21960</v>
      </c>
      <c r="K1487">
        <f t="shared" si="23"/>
        <v>21960</v>
      </c>
    </row>
    <row r="1488" spans="1:11" hidden="1" x14ac:dyDescent="0.25">
      <c r="A1488">
        <v>1487</v>
      </c>
      <c r="B1488" s="1">
        <v>45755</v>
      </c>
      <c r="C1488" t="s">
        <v>48</v>
      </c>
      <c r="D1488" t="s">
        <v>47</v>
      </c>
      <c r="E1488" t="s">
        <v>13</v>
      </c>
      <c r="F1488">
        <v>1</v>
      </c>
      <c r="G1488" t="str">
        <f>VLOOKUP(D1488,Товары!A:I,3,0)</f>
        <v>Пенал напол. Кристалл 350 шато азур 2 двери</v>
      </c>
      <c r="H1488">
        <f>VLOOKUP(D1488,Товары!A:I,6,0)</f>
        <v>190</v>
      </c>
      <c r="I1488" t="str">
        <f>VLOOKUP(C1488,Магазины!A:C,3,0)</f>
        <v>Ставрополь</v>
      </c>
      <c r="J1488">
        <f>VLOOKUP(D1488,Товары!A:I,4,0)</f>
        <v>15810</v>
      </c>
      <c r="K1488">
        <f t="shared" si="23"/>
        <v>15810</v>
      </c>
    </row>
    <row r="1489" spans="1:11" hidden="1" x14ac:dyDescent="0.25">
      <c r="A1489">
        <v>1488</v>
      </c>
      <c r="B1489" s="1">
        <v>45753</v>
      </c>
      <c r="C1489" t="s">
        <v>18</v>
      </c>
      <c r="D1489" t="s">
        <v>46</v>
      </c>
      <c r="E1489" t="s">
        <v>13</v>
      </c>
      <c r="F1489">
        <v>3</v>
      </c>
      <c r="G1489" t="str">
        <f>VLOOKUP(D1489,Товары!A:I,3,0)</f>
        <v>Тумба с раковиной  напол. Сохо 700 белый 2 ящика с умыв. Слим</v>
      </c>
      <c r="H1489">
        <f>VLOOKUP(D1489,Товары!A:I,6,0)</f>
        <v>85</v>
      </c>
      <c r="I1489" t="str">
        <f>VLOOKUP(C1489,Магазины!A:C,3,0)</f>
        <v>Набережные Челны</v>
      </c>
      <c r="J1489">
        <f>VLOOKUP(D1489,Товары!A:I,4,0)</f>
        <v>18405</v>
      </c>
      <c r="K1489">
        <f t="shared" si="23"/>
        <v>55215</v>
      </c>
    </row>
    <row r="1490" spans="1:11" hidden="1" x14ac:dyDescent="0.25">
      <c r="A1490">
        <v>1489</v>
      </c>
      <c r="B1490" s="1">
        <v>45756</v>
      </c>
      <c r="C1490" t="s">
        <v>111</v>
      </c>
      <c r="D1490" t="s">
        <v>128</v>
      </c>
      <c r="E1490" t="s">
        <v>13</v>
      </c>
      <c r="F1490">
        <v>1</v>
      </c>
      <c r="G1490" t="str">
        <f>VLOOKUP(D1490,Товары!A:I,3,0)</f>
        <v>Тумба с раковиной  напол. Куба Риф 1000 белый 2 ящика с умыв. Слим</v>
      </c>
      <c r="H1490">
        <f>VLOOKUP(D1490,Товары!A:I,6,0)</f>
        <v>85</v>
      </c>
      <c r="I1490" t="str">
        <f>VLOOKUP(C1490,Магазины!A:C,3,0)</f>
        <v>Набережные Челны</v>
      </c>
      <c r="J1490">
        <f>VLOOKUP(D1490,Товары!A:I,4,0)</f>
        <v>22905</v>
      </c>
      <c r="K1490">
        <f t="shared" si="23"/>
        <v>22905</v>
      </c>
    </row>
    <row r="1491" spans="1:11" hidden="1" x14ac:dyDescent="0.25">
      <c r="A1491">
        <v>1490</v>
      </c>
      <c r="B1491" s="1">
        <v>45749</v>
      </c>
      <c r="C1491" t="s">
        <v>14</v>
      </c>
      <c r="D1491" t="s">
        <v>55</v>
      </c>
      <c r="E1491" t="s">
        <v>13</v>
      </c>
      <c r="F1491">
        <v>3</v>
      </c>
      <c r="G1491" t="str">
        <f>VLOOKUP(D1491,Товары!A:I,3,0)</f>
        <v>Тумба с раковиной  напол. Рица 600 cерый/керамика 2 ящика с умыв. Океан</v>
      </c>
      <c r="H1491">
        <f>VLOOKUP(D1491,Товары!A:I,6,0)</f>
        <v>80</v>
      </c>
      <c r="I1491" t="str">
        <f>VLOOKUP(C1491,Магазины!A:C,3,0)</f>
        <v>Оренбург</v>
      </c>
      <c r="J1491">
        <f>VLOOKUP(D1491,Товары!A:I,4,0)</f>
        <v>25560</v>
      </c>
      <c r="K1491">
        <f t="shared" si="23"/>
        <v>76680</v>
      </c>
    </row>
    <row r="1492" spans="1:11" hidden="1" x14ac:dyDescent="0.25">
      <c r="A1492">
        <v>1491</v>
      </c>
      <c r="B1492" s="1">
        <v>45754</v>
      </c>
      <c r="C1492" t="s">
        <v>41</v>
      </c>
      <c r="D1492" t="s">
        <v>61</v>
      </c>
      <c r="E1492" t="s">
        <v>13</v>
      </c>
      <c r="F1492">
        <v>3</v>
      </c>
      <c r="G1492" t="str">
        <f>VLOOKUP(D1492,Товары!A:I,3,0)</f>
        <v>Тумба под стиральную машину Леон Риф 57 напольная 2 ящика под ст/маш, без умывальника /под Marshall 120 Солярис/Белый Риф</v>
      </c>
      <c r="H1492">
        <f>VLOOKUP(D1492,Товары!A:I,6,0)</f>
        <v>85</v>
      </c>
      <c r="I1492" t="str">
        <f>VLOOKUP(C1492,Магазины!A:C,3,0)</f>
        <v>Ставрополь</v>
      </c>
      <c r="J1492">
        <f>VLOOKUP(D1492,Товары!A:I,4,0)</f>
        <v>17430</v>
      </c>
      <c r="K1492">
        <f t="shared" si="23"/>
        <v>52290</v>
      </c>
    </row>
    <row r="1493" spans="1:11" hidden="1" x14ac:dyDescent="0.25">
      <c r="A1493">
        <v>1492</v>
      </c>
      <c r="B1493" s="1">
        <v>45751</v>
      </c>
      <c r="C1493" t="s">
        <v>22</v>
      </c>
      <c r="D1493" t="s">
        <v>124</v>
      </c>
      <c r="E1493" t="s">
        <v>8</v>
      </c>
      <c r="F1493">
        <v>2</v>
      </c>
      <c r="G1493" t="str">
        <f>VLOOKUP(D1493,Товары!A:I,3,0)</f>
        <v>Тумба с раковиной  напол. Леон 600 оникс 2 ящика с умыв. Океан</v>
      </c>
      <c r="H1493">
        <f>VLOOKUP(D1493,Товары!A:I,6,0)</f>
        <v>80</v>
      </c>
      <c r="I1493" t="str">
        <f>VLOOKUP(C1493,Магазины!A:C,3,0)</f>
        <v>Кемерово</v>
      </c>
      <c r="J1493">
        <f>VLOOKUP(D1493,Товары!A:I,4,0)</f>
        <v>25860</v>
      </c>
      <c r="K1493">
        <f t="shared" si="23"/>
        <v>51720</v>
      </c>
    </row>
    <row r="1494" spans="1:11" hidden="1" x14ac:dyDescent="0.25">
      <c r="A1494">
        <v>1493</v>
      </c>
      <c r="B1494" s="1">
        <v>45754</v>
      </c>
      <c r="C1494" t="s">
        <v>20</v>
      </c>
      <c r="D1494" t="s">
        <v>69</v>
      </c>
      <c r="E1494" t="s">
        <v>8</v>
      </c>
      <c r="F1494">
        <v>2</v>
      </c>
      <c r="G1494" t="str">
        <f>VLOOKUP(D1494,Товары!A:I,3,0)</f>
        <v>Пенал навес./напол. Альба 350 антрацит 2 двери</v>
      </c>
      <c r="H1494">
        <f>VLOOKUP(D1494,Товары!A:I,6,0)</f>
        <v>150</v>
      </c>
      <c r="I1494" t="str">
        <f>VLOOKUP(C1494,Магазины!A:C,3,0)</f>
        <v>Оренбург</v>
      </c>
      <c r="J1494">
        <f>VLOOKUP(D1494,Товары!A:I,4,0)</f>
        <v>11655</v>
      </c>
      <c r="K1494">
        <f t="shared" si="23"/>
        <v>23310</v>
      </c>
    </row>
    <row r="1495" spans="1:11" hidden="1" x14ac:dyDescent="0.25">
      <c r="A1495">
        <v>1494</v>
      </c>
      <c r="B1495" s="1">
        <v>45752</v>
      </c>
      <c r="C1495" t="s">
        <v>111</v>
      </c>
      <c r="D1495" t="s">
        <v>25</v>
      </c>
      <c r="E1495" t="s">
        <v>13</v>
      </c>
      <c r="F1495">
        <v>3</v>
      </c>
      <c r="G1495" t="str">
        <f>VLOOKUP(D1495,Товары!A:I,3,0)</f>
        <v>Пенал напол. Леон 400 оникс 2 двери + 1 ящик</v>
      </c>
      <c r="H1495">
        <f>VLOOKUP(D1495,Товары!A:I,6,0)</f>
        <v>190</v>
      </c>
      <c r="I1495" t="str">
        <f>VLOOKUP(C1495,Магазины!A:C,3,0)</f>
        <v>Набережные Челны</v>
      </c>
      <c r="J1495">
        <f>VLOOKUP(D1495,Товары!A:I,4,0)</f>
        <v>18450</v>
      </c>
      <c r="K1495">
        <f t="shared" si="23"/>
        <v>55350</v>
      </c>
    </row>
    <row r="1496" spans="1:11" hidden="1" x14ac:dyDescent="0.25">
      <c r="A1496">
        <v>1495</v>
      </c>
      <c r="B1496" s="1">
        <v>45757</v>
      </c>
      <c r="C1496" t="s">
        <v>92</v>
      </c>
      <c r="D1496" t="s">
        <v>80</v>
      </c>
      <c r="E1496" t="s">
        <v>8</v>
      </c>
      <c r="F1496">
        <v>2</v>
      </c>
      <c r="G1496" t="str">
        <f>VLOOKUP(D1496,Товары!A:I,3,0)</f>
        <v>Тумба с раковиной  навес. Сохо 600 белый 2 ящика с умыв. Океан</v>
      </c>
      <c r="H1496">
        <f>VLOOKUP(D1496,Товары!A:I,6,0)</f>
        <v>55</v>
      </c>
      <c r="I1496" t="str">
        <f>VLOOKUP(C1496,Магазины!A:C,3,0)</f>
        <v>Кемерово</v>
      </c>
      <c r="J1496">
        <f>VLOOKUP(D1496,Товары!A:I,4,0)</f>
        <v>13950</v>
      </c>
      <c r="K1496">
        <f t="shared" si="23"/>
        <v>27900</v>
      </c>
    </row>
    <row r="1497" spans="1:11" hidden="1" x14ac:dyDescent="0.25">
      <c r="A1497">
        <v>1496</v>
      </c>
      <c r="B1497" s="1">
        <v>45757</v>
      </c>
      <c r="C1497" t="s">
        <v>43</v>
      </c>
      <c r="D1497" t="s">
        <v>61</v>
      </c>
      <c r="E1497" t="s">
        <v>13</v>
      </c>
      <c r="F1497">
        <v>1</v>
      </c>
      <c r="G1497" t="str">
        <f>VLOOKUP(D1497,Товары!A:I,3,0)</f>
        <v>Тумба под стиральную машину Леон Риф 57 напольная 2 ящика под ст/маш, без умывальника /под Marshall 120 Солярис/Белый Риф</v>
      </c>
      <c r="H1497">
        <f>VLOOKUP(D1497,Товары!A:I,6,0)</f>
        <v>85</v>
      </c>
      <c r="I1497" t="str">
        <f>VLOOKUP(C1497,Магазины!A:C,3,0)</f>
        <v>Набережные Челны</v>
      </c>
      <c r="J1497">
        <f>VLOOKUP(D1497,Товары!A:I,4,0)</f>
        <v>17430</v>
      </c>
      <c r="K1497">
        <f t="shared" si="23"/>
        <v>17430</v>
      </c>
    </row>
    <row r="1498" spans="1:11" hidden="1" x14ac:dyDescent="0.25">
      <c r="A1498">
        <v>1497</v>
      </c>
      <c r="B1498" s="1">
        <v>45754</v>
      </c>
      <c r="C1498" t="s">
        <v>18</v>
      </c>
      <c r="D1498" t="s">
        <v>114</v>
      </c>
      <c r="E1498" t="s">
        <v>13</v>
      </c>
      <c r="F1498">
        <v>1</v>
      </c>
      <c r="G1498" t="str">
        <f>VLOOKUP(D1498,Товары!A:I,3,0)</f>
        <v>Тумба с раковиной  навес. Альба 700 мята 2 ящика с умыв. Слим</v>
      </c>
      <c r="H1498">
        <f>VLOOKUP(D1498,Товары!A:I,6,0)</f>
        <v>60</v>
      </c>
      <c r="I1498" t="str">
        <f>VLOOKUP(C1498,Магазины!A:C,3,0)</f>
        <v>Набережные Челны</v>
      </c>
      <c r="J1498">
        <f>VLOOKUP(D1498,Товары!A:I,4,0)</f>
        <v>25095</v>
      </c>
      <c r="K1498">
        <f t="shared" si="23"/>
        <v>25095</v>
      </c>
    </row>
    <row r="1499" spans="1:11" hidden="1" x14ac:dyDescent="0.25">
      <c r="A1499">
        <v>1498</v>
      </c>
      <c r="B1499" s="1">
        <v>45756</v>
      </c>
      <c r="C1499" t="s">
        <v>14</v>
      </c>
      <c r="D1499" t="s">
        <v>47</v>
      </c>
      <c r="E1499" t="s">
        <v>13</v>
      </c>
      <c r="F1499">
        <v>1</v>
      </c>
      <c r="G1499" t="str">
        <f>VLOOKUP(D1499,Товары!A:I,3,0)</f>
        <v>Пенал напол. Кристалл 350 шато азур 2 двери</v>
      </c>
      <c r="H1499">
        <f>VLOOKUP(D1499,Товары!A:I,6,0)</f>
        <v>190</v>
      </c>
      <c r="I1499" t="str">
        <f>VLOOKUP(C1499,Магазины!A:C,3,0)</f>
        <v>Оренбург</v>
      </c>
      <c r="J1499">
        <f>VLOOKUP(D1499,Товары!A:I,4,0)</f>
        <v>15810</v>
      </c>
      <c r="K1499">
        <f t="shared" si="23"/>
        <v>15810</v>
      </c>
    </row>
    <row r="1500" spans="1:11" hidden="1" x14ac:dyDescent="0.25">
      <c r="A1500">
        <v>1499</v>
      </c>
      <c r="B1500" s="1">
        <v>45757</v>
      </c>
      <c r="C1500" t="s">
        <v>58</v>
      </c>
      <c r="D1500" t="s">
        <v>112</v>
      </c>
      <c r="E1500" t="s">
        <v>13</v>
      </c>
      <c r="F1500">
        <v>1</v>
      </c>
      <c r="G1500" t="str">
        <f>VLOOKUP(D1500,Товары!A:I,3,0)</f>
        <v>Тумба с раковиной  напол. Аква 560 белый 2 двери с умыв. Уют</v>
      </c>
      <c r="H1500">
        <f>VLOOKUP(D1500,Товары!A:I,6,0)</f>
        <v>85</v>
      </c>
      <c r="I1500" t="str">
        <f>VLOOKUP(C1500,Магазины!A:C,3,0)</f>
        <v>Ставрополь</v>
      </c>
      <c r="J1500">
        <f>VLOOKUP(D1500,Товары!A:I,4,0)</f>
        <v>9330</v>
      </c>
      <c r="K1500">
        <f t="shared" si="23"/>
        <v>9330</v>
      </c>
    </row>
    <row r="1501" spans="1:11" hidden="1" x14ac:dyDescent="0.25">
      <c r="A1501">
        <v>1500</v>
      </c>
      <c r="B1501" s="1">
        <v>45752</v>
      </c>
      <c r="C1501" t="s">
        <v>54</v>
      </c>
      <c r="D1501" t="s">
        <v>66</v>
      </c>
      <c r="E1501" t="s">
        <v>13</v>
      </c>
      <c r="F1501">
        <v>1</v>
      </c>
      <c r="G1501" t="str">
        <f>VLOOKUP(D1501,Товары!A:I,3,0)</f>
        <v>Тумба с раковиной  навес. Альба 800 мята 2 ящика с умыв. Слим</v>
      </c>
      <c r="H1501">
        <f>VLOOKUP(D1501,Товары!A:I,6,0)</f>
        <v>50</v>
      </c>
      <c r="I1501" t="str">
        <f>VLOOKUP(C1501,Магазины!A:C,3,0)</f>
        <v>Ставрополь</v>
      </c>
      <c r="J1501">
        <f>VLOOKUP(D1501,Товары!A:I,4,0)</f>
        <v>26070</v>
      </c>
      <c r="K1501">
        <f t="shared" si="23"/>
        <v>26070</v>
      </c>
    </row>
    <row r="1502" spans="1:11" hidden="1" x14ac:dyDescent="0.25">
      <c r="A1502">
        <v>1501</v>
      </c>
      <c r="B1502" s="1">
        <v>45754</v>
      </c>
      <c r="C1502" t="s">
        <v>22</v>
      </c>
      <c r="D1502" t="s">
        <v>110</v>
      </c>
      <c r="E1502" t="s">
        <v>8</v>
      </c>
      <c r="F1502">
        <v>2</v>
      </c>
      <c r="G1502" t="str">
        <f>VLOOKUP(D1502,Товары!A:I,3,0)</f>
        <v>Тумба с раковиной  напол. Альба 600 антрацит 2 ящика с умыв. Океан</v>
      </c>
      <c r="H1502">
        <f>VLOOKUP(D1502,Товары!A:I,6,0)</f>
        <v>80</v>
      </c>
      <c r="I1502" t="str">
        <f>VLOOKUP(C1502,Магазины!A:C,3,0)</f>
        <v>Кемерово</v>
      </c>
      <c r="J1502">
        <f>VLOOKUP(D1502,Товары!A:I,4,0)</f>
        <v>26370</v>
      </c>
      <c r="K1502">
        <f t="shared" si="23"/>
        <v>52740</v>
      </c>
    </row>
    <row r="1503" spans="1:11" hidden="1" x14ac:dyDescent="0.25">
      <c r="A1503">
        <v>1502</v>
      </c>
      <c r="B1503" s="1">
        <v>45750</v>
      </c>
      <c r="C1503" t="s">
        <v>6</v>
      </c>
      <c r="D1503" t="s">
        <v>123</v>
      </c>
      <c r="E1503" t="s">
        <v>8</v>
      </c>
      <c r="F1503">
        <v>3</v>
      </c>
      <c r="G1503" t="str">
        <f>VLOOKUP(D1503,Товары!A:I,3,0)</f>
        <v>Тумба с раковиной  напол. Кристалл 800 суфле 2 ящика с умыв. Слим</v>
      </c>
      <c r="H1503">
        <f>VLOOKUP(D1503,Товары!A:I,6,0)</f>
        <v>80</v>
      </c>
      <c r="I1503" t="str">
        <f>VLOOKUP(C1503,Магазины!A:C,3,0)</f>
        <v>Оренбург</v>
      </c>
      <c r="J1503">
        <f>VLOOKUP(D1503,Товары!A:I,4,0)</f>
        <v>31125</v>
      </c>
      <c r="K1503">
        <f t="shared" si="23"/>
        <v>93375</v>
      </c>
    </row>
    <row r="1504" spans="1:11" hidden="1" x14ac:dyDescent="0.25">
      <c r="A1504">
        <v>1503</v>
      </c>
      <c r="B1504" s="1">
        <v>45757</v>
      </c>
      <c r="C1504" t="s">
        <v>20</v>
      </c>
      <c r="D1504" t="s">
        <v>59</v>
      </c>
      <c r="E1504" t="s">
        <v>8</v>
      </c>
      <c r="F1504">
        <v>2</v>
      </c>
      <c r="G1504" t="str">
        <f>VLOOKUP(D1504,Товары!A:I,3,0)</f>
        <v>Тумба с раковиной  навес. Куба Риф 600 белый 2 ящика с умыв. Океан</v>
      </c>
      <c r="H1504">
        <f>VLOOKUP(D1504,Товары!A:I,6,0)</f>
        <v>55</v>
      </c>
      <c r="I1504" t="str">
        <f>VLOOKUP(C1504,Магазины!A:C,3,0)</f>
        <v>Оренбург</v>
      </c>
      <c r="J1504">
        <f>VLOOKUP(D1504,Товары!A:I,4,0)</f>
        <v>15765</v>
      </c>
      <c r="K1504">
        <f t="shared" si="23"/>
        <v>31530</v>
      </c>
    </row>
    <row r="1505" spans="1:11" hidden="1" x14ac:dyDescent="0.25">
      <c r="A1505">
        <v>1504</v>
      </c>
      <c r="B1505" s="1">
        <v>45749</v>
      </c>
      <c r="C1505" t="s">
        <v>35</v>
      </c>
      <c r="D1505" t="s">
        <v>107</v>
      </c>
      <c r="E1505" t="s">
        <v>8</v>
      </c>
      <c r="F1505">
        <v>3</v>
      </c>
      <c r="G1505" t="str">
        <f>VLOOKUP(D1505,Товары!A:I,3,0)</f>
        <v>Комод Аква 35 напольный 1 дверь белый правый</v>
      </c>
      <c r="H1505">
        <f>VLOOKUP(D1505,Товары!A:I,6,0)</f>
        <v>90</v>
      </c>
      <c r="I1505" t="str">
        <f>VLOOKUP(C1505,Магазины!A:C,3,0)</f>
        <v>Набережные Челны</v>
      </c>
      <c r="J1505">
        <f>VLOOKUP(D1505,Товары!A:I,4,0)</f>
        <v>6705</v>
      </c>
      <c r="K1505">
        <f t="shared" si="23"/>
        <v>20115</v>
      </c>
    </row>
    <row r="1506" spans="1:11" hidden="1" x14ac:dyDescent="0.25">
      <c r="A1506">
        <v>1505</v>
      </c>
      <c r="B1506" s="1">
        <v>45750</v>
      </c>
      <c r="C1506" t="s">
        <v>30</v>
      </c>
      <c r="D1506" t="s">
        <v>31</v>
      </c>
      <c r="E1506" t="s">
        <v>8</v>
      </c>
      <c r="F1506">
        <v>2</v>
      </c>
      <c r="G1506" t="str">
        <f>VLOOKUP(D1506,Товары!A:I,3,0)</f>
        <v>Пенал напол. Виктория 350 белый 2 двери</v>
      </c>
      <c r="H1506">
        <f>VLOOKUP(D1506,Товары!A:I,6,0)</f>
        <v>190</v>
      </c>
      <c r="I1506" t="str">
        <f>VLOOKUP(C1506,Магазины!A:C,3,0)</f>
        <v>Кемерово</v>
      </c>
      <c r="J1506">
        <f>VLOOKUP(D1506,Товары!A:I,4,0)</f>
        <v>14085</v>
      </c>
      <c r="K1506">
        <f t="shared" si="23"/>
        <v>28170</v>
      </c>
    </row>
    <row r="1507" spans="1:11" hidden="1" x14ac:dyDescent="0.25">
      <c r="A1507">
        <v>1506</v>
      </c>
      <c r="B1507" s="1">
        <v>45755</v>
      </c>
      <c r="C1507" t="s">
        <v>28</v>
      </c>
      <c r="D1507" t="s">
        <v>50</v>
      </c>
      <c r="E1507" t="s">
        <v>8</v>
      </c>
      <c r="F1507">
        <v>3</v>
      </c>
      <c r="G1507" t="str">
        <f>VLOOKUP(D1507,Товары!A:I,3,0)</f>
        <v>Тумба с раковиной  напол. Леон 800 оникс 2 ящика с умыв. Слим</v>
      </c>
      <c r="H1507">
        <f>VLOOKUP(D1507,Товары!A:I,6,0)</f>
        <v>80</v>
      </c>
      <c r="I1507" t="str">
        <f>VLOOKUP(C1507,Магазины!A:C,3,0)</f>
        <v>Набережные Челны</v>
      </c>
      <c r="J1507">
        <f>VLOOKUP(D1507,Товары!A:I,4,0)</f>
        <v>29400</v>
      </c>
      <c r="K1507">
        <f t="shared" si="23"/>
        <v>88200</v>
      </c>
    </row>
    <row r="1508" spans="1:11" hidden="1" x14ac:dyDescent="0.25">
      <c r="A1508">
        <v>1507</v>
      </c>
      <c r="B1508" s="1">
        <v>45752</v>
      </c>
      <c r="C1508" t="s">
        <v>20</v>
      </c>
      <c r="D1508" t="s">
        <v>119</v>
      </c>
      <c r="E1508" t="s">
        <v>8</v>
      </c>
      <c r="F1508">
        <v>2</v>
      </c>
      <c r="G1508" t="str">
        <f>VLOOKUP(D1508,Товары!A:I,3,0)</f>
        <v>Пенал навес./напол. Рица 350 cерый/керамика 2 двери</v>
      </c>
      <c r="H1508">
        <f>VLOOKUP(D1508,Товары!A:I,6,0)</f>
        <v>160</v>
      </c>
      <c r="I1508" t="str">
        <f>VLOOKUP(C1508,Магазины!A:C,3,0)</f>
        <v>Оренбург</v>
      </c>
      <c r="J1508">
        <f>VLOOKUP(D1508,Товары!A:I,4,0)</f>
        <v>11250</v>
      </c>
      <c r="K1508">
        <f t="shared" si="23"/>
        <v>22500</v>
      </c>
    </row>
    <row r="1509" spans="1:11" hidden="1" x14ac:dyDescent="0.25">
      <c r="A1509">
        <v>1508</v>
      </c>
      <c r="B1509" s="1">
        <v>45757</v>
      </c>
      <c r="C1509" t="s">
        <v>14</v>
      </c>
      <c r="D1509" t="s">
        <v>24</v>
      </c>
      <c r="E1509" t="s">
        <v>8</v>
      </c>
      <c r="F1509">
        <v>2</v>
      </c>
      <c r="G1509" t="str">
        <f>VLOOKUP(D1509,Товары!A:I,3,0)</f>
        <v>Тумба с раковиной  напол. Леон 600 форест 2 ящика с умыв. Слим</v>
      </c>
      <c r="H1509">
        <f>VLOOKUP(D1509,Товары!A:I,6,0)</f>
        <v>80</v>
      </c>
      <c r="I1509" t="str">
        <f>VLOOKUP(C1509,Магазины!A:C,3,0)</f>
        <v>Оренбург</v>
      </c>
      <c r="J1509">
        <f>VLOOKUP(D1509,Товары!A:I,4,0)</f>
        <v>27150</v>
      </c>
      <c r="K1509">
        <f t="shared" si="23"/>
        <v>54300</v>
      </c>
    </row>
    <row r="1510" spans="1:11" hidden="1" x14ac:dyDescent="0.25">
      <c r="A1510">
        <v>1509</v>
      </c>
      <c r="B1510" s="1">
        <v>45755</v>
      </c>
      <c r="C1510" t="s">
        <v>58</v>
      </c>
      <c r="D1510" t="s">
        <v>17</v>
      </c>
      <c r="E1510" t="s">
        <v>13</v>
      </c>
      <c r="F1510">
        <v>3</v>
      </c>
      <c r="G1510" t="str">
        <f>VLOOKUP(D1510,Товары!A:I,3,0)</f>
        <v>Тумба с раковиной  навес. Альба 800 антрацит 1 ящик с умыв. Слим</v>
      </c>
      <c r="H1510">
        <f>VLOOKUP(D1510,Товары!A:I,6,0)</f>
        <v>45</v>
      </c>
      <c r="I1510" t="str">
        <f>VLOOKUP(C1510,Магазины!A:C,3,0)</f>
        <v>Ставрополь</v>
      </c>
      <c r="J1510">
        <f>VLOOKUP(D1510,Товары!A:I,4,0)</f>
        <v>21630</v>
      </c>
      <c r="K1510">
        <f t="shared" si="23"/>
        <v>64890</v>
      </c>
    </row>
    <row r="1511" spans="1:11" hidden="1" x14ac:dyDescent="0.25">
      <c r="A1511">
        <v>1510</v>
      </c>
      <c r="B1511" s="1">
        <v>45750</v>
      </c>
      <c r="C1511" t="s">
        <v>30</v>
      </c>
      <c r="D1511" t="s">
        <v>71</v>
      </c>
      <c r="E1511" t="s">
        <v>13</v>
      </c>
      <c r="F1511">
        <v>2</v>
      </c>
      <c r="G1511" t="str">
        <f>VLOOKUP(D1511,Товары!A:I,3,0)</f>
        <v>Тумба с раковиной  навес. Альба 600 мята 2 ящика с умыв. Океан</v>
      </c>
      <c r="H1511">
        <f>VLOOKUP(D1511,Товары!A:I,6,0)</f>
        <v>50</v>
      </c>
      <c r="I1511" t="str">
        <f>VLOOKUP(C1511,Магазины!A:C,3,0)</f>
        <v>Кемерово</v>
      </c>
      <c r="J1511">
        <f>VLOOKUP(D1511,Товары!A:I,4,0)</f>
        <v>24810</v>
      </c>
      <c r="K1511">
        <f t="shared" si="23"/>
        <v>49620</v>
      </c>
    </row>
    <row r="1512" spans="1:11" hidden="1" x14ac:dyDescent="0.25">
      <c r="A1512">
        <v>1511</v>
      </c>
      <c r="B1512" s="1">
        <v>45752</v>
      </c>
      <c r="C1512" t="s">
        <v>11</v>
      </c>
      <c r="D1512" t="s">
        <v>61</v>
      </c>
      <c r="E1512" t="s">
        <v>8</v>
      </c>
      <c r="F1512">
        <v>3</v>
      </c>
      <c r="G1512" t="str">
        <f>VLOOKUP(D1512,Товары!A:I,3,0)</f>
        <v>Тумба под стиральную машину Леон Риф 57 напольная 2 ящика под ст/маш, без умывальника /под Marshall 120 Солярис/Белый Риф</v>
      </c>
      <c r="H1512">
        <f>VLOOKUP(D1512,Товары!A:I,6,0)</f>
        <v>85</v>
      </c>
      <c r="I1512" t="str">
        <f>VLOOKUP(C1512,Магазины!A:C,3,0)</f>
        <v>Кемерово</v>
      </c>
      <c r="J1512">
        <f>VLOOKUP(D1512,Товары!A:I,4,0)</f>
        <v>17430</v>
      </c>
      <c r="K1512">
        <f t="shared" si="23"/>
        <v>52290</v>
      </c>
    </row>
    <row r="1513" spans="1:11" hidden="1" x14ac:dyDescent="0.25">
      <c r="A1513">
        <v>1512</v>
      </c>
      <c r="B1513" s="1">
        <v>45755</v>
      </c>
      <c r="C1513" t="s">
        <v>22</v>
      </c>
      <c r="D1513" t="s">
        <v>7</v>
      </c>
      <c r="E1513" t="s">
        <v>8</v>
      </c>
      <c r="F1513">
        <v>2</v>
      </c>
      <c r="G1513" t="str">
        <f>VLOOKUP(D1513,Товары!A:I,3,0)</f>
        <v>Пенал напол. Леон Риф 400 солярис/белый риф 2 двери + 1 ящик</v>
      </c>
      <c r="H1513">
        <f>VLOOKUP(D1513,Товары!A:I,6,0)</f>
        <v>190</v>
      </c>
      <c r="I1513" t="str">
        <f>VLOOKUP(C1513,Магазины!A:C,3,0)</f>
        <v>Кемерово</v>
      </c>
      <c r="J1513">
        <f>VLOOKUP(D1513,Товары!A:I,4,0)</f>
        <v>14490</v>
      </c>
      <c r="K1513">
        <f t="shared" si="23"/>
        <v>28980</v>
      </c>
    </row>
    <row r="1514" spans="1:11" hidden="1" x14ac:dyDescent="0.25">
      <c r="A1514">
        <v>1513</v>
      </c>
      <c r="B1514" s="1">
        <v>45756</v>
      </c>
      <c r="C1514" t="s">
        <v>103</v>
      </c>
      <c r="D1514" t="s">
        <v>61</v>
      </c>
      <c r="E1514" t="s">
        <v>8</v>
      </c>
      <c r="F1514">
        <v>1</v>
      </c>
      <c r="G1514" t="str">
        <f>VLOOKUP(D1514,Товары!A:I,3,0)</f>
        <v>Тумба под стиральную машину Леон Риф 57 напольная 2 ящика под ст/маш, без умывальника /под Marshall 120 Солярис/Белый Риф</v>
      </c>
      <c r="H1514">
        <f>VLOOKUP(D1514,Товары!A:I,6,0)</f>
        <v>85</v>
      </c>
      <c r="I1514" t="str">
        <f>VLOOKUP(C1514,Магазины!A:C,3,0)</f>
        <v>Ставрополь</v>
      </c>
      <c r="J1514">
        <f>VLOOKUP(D1514,Товары!A:I,4,0)</f>
        <v>17430</v>
      </c>
      <c r="K1514">
        <f t="shared" si="23"/>
        <v>17430</v>
      </c>
    </row>
    <row r="1515" spans="1:11" hidden="1" x14ac:dyDescent="0.25">
      <c r="A1515">
        <v>1514</v>
      </c>
      <c r="B1515" s="1">
        <v>45749</v>
      </c>
      <c r="C1515" t="s">
        <v>16</v>
      </c>
      <c r="D1515" t="s">
        <v>47</v>
      </c>
      <c r="E1515" t="s">
        <v>13</v>
      </c>
      <c r="F1515">
        <v>3</v>
      </c>
      <c r="G1515" t="str">
        <f>VLOOKUP(D1515,Товары!A:I,3,0)</f>
        <v>Пенал напол. Кристалл 350 шато азур 2 двери</v>
      </c>
      <c r="H1515">
        <f>VLOOKUP(D1515,Товары!A:I,6,0)</f>
        <v>190</v>
      </c>
      <c r="I1515" t="str">
        <f>VLOOKUP(C1515,Магазины!A:C,3,0)</f>
        <v>Оренбург</v>
      </c>
      <c r="J1515">
        <f>VLOOKUP(D1515,Товары!A:I,4,0)</f>
        <v>15810</v>
      </c>
      <c r="K1515">
        <f t="shared" si="23"/>
        <v>47430</v>
      </c>
    </row>
    <row r="1516" spans="1:11" hidden="1" x14ac:dyDescent="0.25">
      <c r="A1516">
        <v>1515</v>
      </c>
      <c r="B1516" s="1">
        <v>45752</v>
      </c>
      <c r="C1516" t="s">
        <v>6</v>
      </c>
      <c r="D1516" t="s">
        <v>110</v>
      </c>
      <c r="E1516" t="s">
        <v>8</v>
      </c>
      <c r="F1516">
        <v>2</v>
      </c>
      <c r="G1516" t="str">
        <f>VLOOKUP(D1516,Товары!A:I,3,0)</f>
        <v>Тумба с раковиной  напол. Альба 600 антрацит 2 ящика с умыв. Океан</v>
      </c>
      <c r="H1516">
        <f>VLOOKUP(D1516,Товары!A:I,6,0)</f>
        <v>80</v>
      </c>
      <c r="I1516" t="str">
        <f>VLOOKUP(C1516,Магазины!A:C,3,0)</f>
        <v>Оренбург</v>
      </c>
      <c r="J1516">
        <f>VLOOKUP(D1516,Товары!A:I,4,0)</f>
        <v>26370</v>
      </c>
      <c r="K1516">
        <f t="shared" si="23"/>
        <v>52740</v>
      </c>
    </row>
    <row r="1517" spans="1:11" hidden="1" x14ac:dyDescent="0.25">
      <c r="A1517">
        <v>1516</v>
      </c>
      <c r="B1517" s="1">
        <v>45750</v>
      </c>
      <c r="C1517" t="s">
        <v>20</v>
      </c>
      <c r="D1517" t="s">
        <v>87</v>
      </c>
      <c r="E1517" t="s">
        <v>8</v>
      </c>
      <c r="F1517">
        <v>2</v>
      </c>
      <c r="G1517" t="str">
        <f>VLOOKUP(D1517,Товары!A:I,3,0)</f>
        <v>Тумба с раковиной  напол. Леон 700 форест 2 ящика с умыв. Слим</v>
      </c>
      <c r="H1517">
        <f>VLOOKUP(D1517,Товары!A:I,6,0)</f>
        <v>80</v>
      </c>
      <c r="I1517" t="str">
        <f>VLOOKUP(C1517,Магазины!A:C,3,0)</f>
        <v>Оренбург</v>
      </c>
      <c r="J1517">
        <f>VLOOKUP(D1517,Товары!A:I,4,0)</f>
        <v>28380</v>
      </c>
      <c r="K1517">
        <f t="shared" si="23"/>
        <v>56760</v>
      </c>
    </row>
    <row r="1518" spans="1:11" hidden="1" x14ac:dyDescent="0.25">
      <c r="A1518">
        <v>1517</v>
      </c>
      <c r="B1518" s="1">
        <v>45757</v>
      </c>
      <c r="C1518" t="s">
        <v>28</v>
      </c>
      <c r="D1518" t="s">
        <v>120</v>
      </c>
      <c r="E1518" t="s">
        <v>13</v>
      </c>
      <c r="F1518">
        <v>2</v>
      </c>
      <c r="G1518" t="str">
        <f>VLOOKUP(D1518,Товары!A:I,3,0)</f>
        <v>Зеркальный шкаф Альба 60 со светильником правый цвет антрацит</v>
      </c>
      <c r="H1518">
        <f>VLOOKUP(D1518,Товары!A:I,6,0)</f>
        <v>75</v>
      </c>
      <c r="I1518" t="str">
        <f>VLOOKUP(C1518,Магазины!A:C,3,0)</f>
        <v>Набережные Челны</v>
      </c>
      <c r="J1518">
        <f>VLOOKUP(D1518,Товары!A:I,4,0)</f>
        <v>8910</v>
      </c>
      <c r="K1518">
        <f t="shared" si="23"/>
        <v>17820</v>
      </c>
    </row>
    <row r="1519" spans="1:11" hidden="1" x14ac:dyDescent="0.25">
      <c r="A1519">
        <v>1518</v>
      </c>
      <c r="B1519" s="1">
        <v>45752</v>
      </c>
      <c r="C1519" t="s">
        <v>9</v>
      </c>
      <c r="D1519" t="s">
        <v>44</v>
      </c>
      <c r="E1519" t="s">
        <v>8</v>
      </c>
      <c r="F1519">
        <v>1</v>
      </c>
      <c r="G1519" t="str">
        <f>VLOOKUP(D1519,Товары!A:I,3,0)</f>
        <v>Тумба с раковиной  навес. Кристалл 800 шато азур 2 ящика с умыв. Комфорт</v>
      </c>
      <c r="H1519">
        <f>VLOOKUP(D1519,Товары!A:I,6,0)</f>
        <v>55</v>
      </c>
      <c r="I1519" t="str">
        <f>VLOOKUP(C1519,Магазины!A:C,3,0)</f>
        <v>Кемерово</v>
      </c>
      <c r="J1519">
        <f>VLOOKUP(D1519,Товары!A:I,4,0)</f>
        <v>25080</v>
      </c>
      <c r="K1519">
        <f t="shared" si="23"/>
        <v>25080</v>
      </c>
    </row>
    <row r="1520" spans="1:11" hidden="1" x14ac:dyDescent="0.25">
      <c r="A1520">
        <v>1519</v>
      </c>
      <c r="B1520" s="1">
        <v>45753</v>
      </c>
      <c r="C1520" t="s">
        <v>26</v>
      </c>
      <c r="D1520" t="s">
        <v>66</v>
      </c>
      <c r="E1520" t="s">
        <v>8</v>
      </c>
      <c r="F1520">
        <v>3</v>
      </c>
      <c r="G1520" t="str">
        <f>VLOOKUP(D1520,Товары!A:I,3,0)</f>
        <v>Тумба с раковиной  навес. Альба 800 мята 2 ящика с умыв. Слим</v>
      </c>
      <c r="H1520">
        <f>VLOOKUP(D1520,Товары!A:I,6,0)</f>
        <v>50</v>
      </c>
      <c r="I1520" t="str">
        <f>VLOOKUP(C1520,Магазины!A:C,3,0)</f>
        <v>Оренбург</v>
      </c>
      <c r="J1520">
        <f>VLOOKUP(D1520,Товары!A:I,4,0)</f>
        <v>26070</v>
      </c>
      <c r="K1520">
        <f t="shared" si="23"/>
        <v>78210</v>
      </c>
    </row>
    <row r="1521" spans="1:11" hidden="1" x14ac:dyDescent="0.25">
      <c r="A1521">
        <v>1520</v>
      </c>
      <c r="B1521" s="1">
        <v>45750</v>
      </c>
      <c r="C1521" t="s">
        <v>33</v>
      </c>
      <c r="D1521" t="s">
        <v>25</v>
      </c>
      <c r="E1521" t="s">
        <v>13</v>
      </c>
      <c r="F1521">
        <v>2</v>
      </c>
      <c r="G1521" t="str">
        <f>VLOOKUP(D1521,Товары!A:I,3,0)</f>
        <v>Пенал напол. Леон 400 оникс 2 двери + 1 ящик</v>
      </c>
      <c r="H1521">
        <f>VLOOKUP(D1521,Товары!A:I,6,0)</f>
        <v>190</v>
      </c>
      <c r="I1521" t="str">
        <f>VLOOKUP(C1521,Магазины!A:C,3,0)</f>
        <v>Набережные Челны</v>
      </c>
      <c r="J1521">
        <f>VLOOKUP(D1521,Товары!A:I,4,0)</f>
        <v>18450</v>
      </c>
      <c r="K1521">
        <f t="shared" si="23"/>
        <v>36900</v>
      </c>
    </row>
    <row r="1522" spans="1:11" hidden="1" x14ac:dyDescent="0.25">
      <c r="A1522">
        <v>1521</v>
      </c>
      <c r="B1522" s="1">
        <v>45749</v>
      </c>
      <c r="C1522" t="s">
        <v>6</v>
      </c>
      <c r="D1522" t="s">
        <v>36</v>
      </c>
      <c r="E1522" t="s">
        <v>13</v>
      </c>
      <c r="F1522">
        <v>2</v>
      </c>
      <c r="G1522" t="str">
        <f>VLOOKUP(D1522,Товары!A:I,3,0)</f>
        <v>Тумба с раковиной  напол. Альба 800 мята 2 ящика с умыв. Слим</v>
      </c>
      <c r="H1522">
        <f>VLOOKUP(D1522,Товары!A:I,6,0)</f>
        <v>80</v>
      </c>
      <c r="I1522" t="str">
        <f>VLOOKUP(C1522,Магазины!A:C,3,0)</f>
        <v>Оренбург</v>
      </c>
      <c r="J1522">
        <f>VLOOKUP(D1522,Товары!A:I,4,0)</f>
        <v>29340</v>
      </c>
      <c r="K1522">
        <f t="shared" si="23"/>
        <v>58680</v>
      </c>
    </row>
    <row r="1523" spans="1:11" hidden="1" x14ac:dyDescent="0.25">
      <c r="A1523">
        <v>1522</v>
      </c>
      <c r="B1523" s="1">
        <v>45757</v>
      </c>
      <c r="C1523" t="s">
        <v>20</v>
      </c>
      <c r="D1523" t="s">
        <v>10</v>
      </c>
      <c r="E1523" t="s">
        <v>13</v>
      </c>
      <c r="F1523">
        <v>2</v>
      </c>
      <c r="G1523" t="str">
        <f>VLOOKUP(D1523,Товары!A:I,3,0)</f>
        <v>Тумба с раковиной  навес. Альба 700 антрацит 1 ящик с умыв. Слим</v>
      </c>
      <c r="H1523">
        <f>VLOOKUP(D1523,Товары!A:I,6,0)</f>
        <v>45</v>
      </c>
      <c r="I1523" t="str">
        <f>VLOOKUP(C1523,Магазины!A:C,3,0)</f>
        <v>Оренбург</v>
      </c>
      <c r="J1523">
        <f>VLOOKUP(D1523,Товары!A:I,4,0)</f>
        <v>20130</v>
      </c>
      <c r="K1523">
        <f t="shared" si="23"/>
        <v>40260</v>
      </c>
    </row>
    <row r="1524" spans="1:11" hidden="1" x14ac:dyDescent="0.25">
      <c r="A1524">
        <v>1523</v>
      </c>
      <c r="B1524" s="1">
        <v>45755</v>
      </c>
      <c r="C1524" t="s">
        <v>92</v>
      </c>
      <c r="D1524" t="s">
        <v>65</v>
      </c>
      <c r="E1524" t="s">
        <v>8</v>
      </c>
      <c r="F1524">
        <v>2</v>
      </c>
      <c r="G1524" t="str">
        <f>VLOOKUP(D1524,Товары!A:I,3,0)</f>
        <v>Тумба с раковиной  навес. Альба 800 суфле 2 ящика с умыв. Слим</v>
      </c>
      <c r="H1524">
        <f>VLOOKUP(D1524,Товары!A:I,6,0)</f>
        <v>50</v>
      </c>
      <c r="I1524" t="str">
        <f>VLOOKUP(C1524,Магазины!A:C,3,0)</f>
        <v>Кемерово</v>
      </c>
      <c r="J1524">
        <f>VLOOKUP(D1524,Товары!A:I,4,0)</f>
        <v>26070</v>
      </c>
      <c r="K1524">
        <f t="shared" si="23"/>
        <v>52140</v>
      </c>
    </row>
    <row r="1525" spans="1:11" hidden="1" x14ac:dyDescent="0.25">
      <c r="A1525">
        <v>1524</v>
      </c>
      <c r="B1525" s="1">
        <v>45749</v>
      </c>
      <c r="C1525" t="s">
        <v>92</v>
      </c>
      <c r="D1525" t="s">
        <v>124</v>
      </c>
      <c r="E1525" t="s">
        <v>8</v>
      </c>
      <c r="F1525">
        <v>2</v>
      </c>
      <c r="G1525" t="str">
        <f>VLOOKUP(D1525,Товары!A:I,3,0)</f>
        <v>Тумба с раковиной  напол. Леон 600 оникс 2 ящика с умыв. Океан</v>
      </c>
      <c r="H1525">
        <f>VLOOKUP(D1525,Товары!A:I,6,0)</f>
        <v>80</v>
      </c>
      <c r="I1525" t="str">
        <f>VLOOKUP(C1525,Магазины!A:C,3,0)</f>
        <v>Кемерово</v>
      </c>
      <c r="J1525">
        <f>VLOOKUP(D1525,Товары!A:I,4,0)</f>
        <v>25860</v>
      </c>
      <c r="K1525">
        <f t="shared" si="23"/>
        <v>51720</v>
      </c>
    </row>
    <row r="1526" spans="1:11" hidden="1" x14ac:dyDescent="0.25">
      <c r="A1526">
        <v>1525</v>
      </c>
      <c r="B1526" s="1">
        <v>45751</v>
      </c>
      <c r="C1526" t="s">
        <v>54</v>
      </c>
      <c r="D1526" t="s">
        <v>65</v>
      </c>
      <c r="E1526" t="s">
        <v>8</v>
      </c>
      <c r="F1526">
        <v>2</v>
      </c>
      <c r="G1526" t="str">
        <f>VLOOKUP(D1526,Товары!A:I,3,0)</f>
        <v>Тумба с раковиной  навес. Альба 800 суфле 2 ящика с умыв. Слим</v>
      </c>
      <c r="H1526">
        <f>VLOOKUP(D1526,Товары!A:I,6,0)</f>
        <v>50</v>
      </c>
      <c r="I1526" t="str">
        <f>VLOOKUP(C1526,Магазины!A:C,3,0)</f>
        <v>Ставрополь</v>
      </c>
      <c r="J1526">
        <f>VLOOKUP(D1526,Товары!A:I,4,0)</f>
        <v>26070</v>
      </c>
      <c r="K1526">
        <f t="shared" si="23"/>
        <v>52140</v>
      </c>
    </row>
    <row r="1527" spans="1:11" hidden="1" x14ac:dyDescent="0.25">
      <c r="A1527">
        <v>1526</v>
      </c>
      <c r="B1527" s="1">
        <v>45749</v>
      </c>
      <c r="C1527" t="s">
        <v>92</v>
      </c>
      <c r="D1527" t="s">
        <v>75</v>
      </c>
      <c r="E1527" t="s">
        <v>8</v>
      </c>
      <c r="F1527">
        <v>2</v>
      </c>
      <c r="G1527" t="str">
        <f>VLOOKUP(D1527,Товары!A:I,3,0)</f>
        <v>Тумба с раковиной  напол. Альба 600 суфле 2 ящика с умыв. Океан</v>
      </c>
      <c r="H1527">
        <f>VLOOKUP(D1527,Товары!A:I,6,0)</f>
        <v>80</v>
      </c>
      <c r="I1527" t="str">
        <f>VLOOKUP(C1527,Магазины!A:C,3,0)</f>
        <v>Кемерово</v>
      </c>
      <c r="J1527">
        <f>VLOOKUP(D1527,Товары!A:I,4,0)</f>
        <v>26370</v>
      </c>
      <c r="K1527">
        <f t="shared" si="23"/>
        <v>52740</v>
      </c>
    </row>
    <row r="1528" spans="1:11" hidden="1" x14ac:dyDescent="0.25">
      <c r="A1528">
        <v>1527</v>
      </c>
      <c r="B1528" s="1">
        <v>45755</v>
      </c>
      <c r="C1528" t="s">
        <v>6</v>
      </c>
      <c r="D1528" t="s">
        <v>60</v>
      </c>
      <c r="E1528" t="s">
        <v>13</v>
      </c>
      <c r="F1528">
        <v>3</v>
      </c>
      <c r="G1528" t="str">
        <f>VLOOKUP(D1528,Товары!A:I,3,0)</f>
        <v>Пенал навес. Куба Риф 350 белый 2 двери</v>
      </c>
      <c r="H1528">
        <f>VLOOKUP(D1528,Товары!A:I,6,0)</f>
        <v>150</v>
      </c>
      <c r="I1528" t="str">
        <f>VLOOKUP(C1528,Магазины!A:C,3,0)</f>
        <v>Оренбург</v>
      </c>
      <c r="J1528">
        <f>VLOOKUP(D1528,Товары!A:I,4,0)</f>
        <v>9720</v>
      </c>
      <c r="K1528">
        <f t="shared" si="23"/>
        <v>29160</v>
      </c>
    </row>
    <row r="1529" spans="1:11" hidden="1" x14ac:dyDescent="0.25">
      <c r="A1529">
        <v>1528</v>
      </c>
      <c r="B1529" s="1">
        <v>45756</v>
      </c>
      <c r="C1529" t="s">
        <v>103</v>
      </c>
      <c r="D1529" t="s">
        <v>23</v>
      </c>
      <c r="E1529" t="s">
        <v>8</v>
      </c>
      <c r="F1529">
        <v>3</v>
      </c>
      <c r="G1529" t="str">
        <f>VLOOKUP(D1529,Товары!A:I,3,0)</f>
        <v>Тумба с раковиной  напол. Альба 800 антрацит 2 ящика с умыв. Слим</v>
      </c>
      <c r="H1529">
        <f>VLOOKUP(D1529,Товары!A:I,6,0)</f>
        <v>80</v>
      </c>
      <c r="I1529" t="str">
        <f>VLOOKUP(C1529,Магазины!A:C,3,0)</f>
        <v>Ставрополь</v>
      </c>
      <c r="J1529">
        <f>VLOOKUP(D1529,Товары!A:I,4,0)</f>
        <v>29340</v>
      </c>
      <c r="K1529">
        <f t="shared" si="23"/>
        <v>88020</v>
      </c>
    </row>
    <row r="1530" spans="1:11" hidden="1" x14ac:dyDescent="0.25">
      <c r="A1530">
        <v>1529</v>
      </c>
      <c r="B1530" s="1">
        <v>45748</v>
      </c>
      <c r="C1530" t="s">
        <v>58</v>
      </c>
      <c r="D1530" t="s">
        <v>76</v>
      </c>
      <c r="E1530" t="s">
        <v>13</v>
      </c>
      <c r="F1530">
        <v>2</v>
      </c>
      <c r="G1530" t="str">
        <f>VLOOKUP(D1530,Товары!A:I,3,0)</f>
        <v>Тумба с раковиной  напол. Леон 600 оникс 2 ящика с умыв. Слим</v>
      </c>
      <c r="H1530">
        <f>VLOOKUP(D1530,Товары!A:I,6,0)</f>
        <v>80</v>
      </c>
      <c r="I1530" t="str">
        <f>VLOOKUP(C1530,Магазины!A:C,3,0)</f>
        <v>Ставрополь</v>
      </c>
      <c r="J1530">
        <f>VLOOKUP(D1530,Товары!A:I,4,0)</f>
        <v>25860</v>
      </c>
      <c r="K1530">
        <f t="shared" si="23"/>
        <v>51720</v>
      </c>
    </row>
    <row r="1531" spans="1:11" hidden="1" x14ac:dyDescent="0.25">
      <c r="A1531">
        <v>1530</v>
      </c>
      <c r="B1531" s="1">
        <v>45755</v>
      </c>
      <c r="C1531" t="s">
        <v>58</v>
      </c>
      <c r="D1531" t="s">
        <v>76</v>
      </c>
      <c r="E1531" t="s">
        <v>8</v>
      </c>
      <c r="F1531">
        <v>3</v>
      </c>
      <c r="G1531" t="str">
        <f>VLOOKUP(D1531,Товары!A:I,3,0)</f>
        <v>Тумба с раковиной  напол. Леон 600 оникс 2 ящика с умыв. Слим</v>
      </c>
      <c r="H1531">
        <f>VLOOKUP(D1531,Товары!A:I,6,0)</f>
        <v>80</v>
      </c>
      <c r="I1531" t="str">
        <f>VLOOKUP(C1531,Магазины!A:C,3,0)</f>
        <v>Ставрополь</v>
      </c>
      <c r="J1531">
        <f>VLOOKUP(D1531,Товары!A:I,4,0)</f>
        <v>25860</v>
      </c>
      <c r="K1531">
        <f t="shared" si="23"/>
        <v>77580</v>
      </c>
    </row>
    <row r="1532" spans="1:11" hidden="1" x14ac:dyDescent="0.25">
      <c r="A1532">
        <v>1531</v>
      </c>
      <c r="B1532" s="1">
        <v>45754</v>
      </c>
      <c r="C1532" t="s">
        <v>54</v>
      </c>
      <c r="D1532" t="s">
        <v>62</v>
      </c>
      <c r="E1532" t="s">
        <v>8</v>
      </c>
      <c r="F1532">
        <v>3</v>
      </c>
      <c r="G1532" t="str">
        <f>VLOOKUP(D1532,Товары!A:I,3,0)</f>
        <v>Тумба с раковиной  напол. Альба 600 мята 2 ящика с умыв. Океан</v>
      </c>
      <c r="H1532">
        <f>VLOOKUP(D1532,Товары!A:I,6,0)</f>
        <v>80</v>
      </c>
      <c r="I1532" t="str">
        <f>VLOOKUP(C1532,Магазины!A:C,3,0)</f>
        <v>Ставрополь</v>
      </c>
      <c r="J1532">
        <f>VLOOKUP(D1532,Товары!A:I,4,0)</f>
        <v>26370</v>
      </c>
      <c r="K1532">
        <f t="shared" si="23"/>
        <v>79110</v>
      </c>
    </row>
    <row r="1533" spans="1:11" hidden="1" x14ac:dyDescent="0.25">
      <c r="A1533">
        <v>1532</v>
      </c>
      <c r="B1533" s="1">
        <v>45752</v>
      </c>
      <c r="C1533" t="s">
        <v>20</v>
      </c>
      <c r="D1533" t="s">
        <v>87</v>
      </c>
      <c r="E1533" t="s">
        <v>8</v>
      </c>
      <c r="F1533">
        <v>1</v>
      </c>
      <c r="G1533" t="str">
        <f>VLOOKUP(D1533,Товары!A:I,3,0)</f>
        <v>Тумба с раковиной  напол. Леон 700 форест 2 ящика с умыв. Слим</v>
      </c>
      <c r="H1533">
        <f>VLOOKUP(D1533,Товары!A:I,6,0)</f>
        <v>80</v>
      </c>
      <c r="I1533" t="str">
        <f>VLOOKUP(C1533,Магазины!A:C,3,0)</f>
        <v>Оренбург</v>
      </c>
      <c r="J1533">
        <f>VLOOKUP(D1533,Товары!A:I,4,0)</f>
        <v>28380</v>
      </c>
      <c r="K1533">
        <f t="shared" si="23"/>
        <v>28380</v>
      </c>
    </row>
    <row r="1534" spans="1:11" hidden="1" x14ac:dyDescent="0.25">
      <c r="A1534">
        <v>1533</v>
      </c>
      <c r="B1534" s="1">
        <v>45750</v>
      </c>
      <c r="C1534" t="s">
        <v>18</v>
      </c>
      <c r="D1534" t="s">
        <v>106</v>
      </c>
      <c r="E1534" t="s">
        <v>8</v>
      </c>
      <c r="F1534">
        <v>3</v>
      </c>
      <c r="G1534" t="str">
        <f>VLOOKUP(D1534,Товары!A:I,3,0)</f>
        <v>Тумба с раковиной  навес. Кристалл 700 шато азур 2 ящика с умыв. Слим</v>
      </c>
      <c r="H1534">
        <f>VLOOKUP(D1534,Товары!A:I,6,0)</f>
        <v>60</v>
      </c>
      <c r="I1534" t="str">
        <f>VLOOKUP(C1534,Магазины!A:C,3,0)</f>
        <v>Набережные Челны</v>
      </c>
      <c r="J1534">
        <f>VLOOKUP(D1534,Товары!A:I,4,0)</f>
        <v>24150</v>
      </c>
      <c r="K1534">
        <f t="shared" si="23"/>
        <v>72450</v>
      </c>
    </row>
    <row r="1535" spans="1:11" hidden="1" x14ac:dyDescent="0.25">
      <c r="A1535">
        <v>1534</v>
      </c>
      <c r="B1535" s="1">
        <v>45752</v>
      </c>
      <c r="C1535" t="s">
        <v>35</v>
      </c>
      <c r="D1535" t="s">
        <v>10</v>
      </c>
      <c r="E1535" t="s">
        <v>8</v>
      </c>
      <c r="F1535">
        <v>2</v>
      </c>
      <c r="G1535" t="str">
        <f>VLOOKUP(D1535,Товары!A:I,3,0)</f>
        <v>Тумба с раковиной  навес. Альба 700 антрацит 1 ящик с умыв. Слим</v>
      </c>
      <c r="H1535">
        <f>VLOOKUP(D1535,Товары!A:I,6,0)</f>
        <v>45</v>
      </c>
      <c r="I1535" t="str">
        <f>VLOOKUP(C1535,Магазины!A:C,3,0)</f>
        <v>Набережные Челны</v>
      </c>
      <c r="J1535">
        <f>VLOOKUP(D1535,Товары!A:I,4,0)</f>
        <v>20130</v>
      </c>
      <c r="K1535">
        <f t="shared" si="23"/>
        <v>40260</v>
      </c>
    </row>
    <row r="1536" spans="1:11" hidden="1" x14ac:dyDescent="0.25">
      <c r="A1536">
        <v>1535</v>
      </c>
      <c r="B1536" s="1">
        <v>45755</v>
      </c>
      <c r="C1536" t="s">
        <v>41</v>
      </c>
      <c r="D1536" t="s">
        <v>106</v>
      </c>
      <c r="E1536" t="s">
        <v>8</v>
      </c>
      <c r="F1536">
        <v>3</v>
      </c>
      <c r="G1536" t="str">
        <f>VLOOKUP(D1536,Товары!A:I,3,0)</f>
        <v>Тумба с раковиной  навес. Кристалл 700 шато азур 2 ящика с умыв. Слим</v>
      </c>
      <c r="H1536">
        <f>VLOOKUP(D1536,Товары!A:I,6,0)</f>
        <v>60</v>
      </c>
      <c r="I1536" t="str">
        <f>VLOOKUP(C1536,Магазины!A:C,3,0)</f>
        <v>Ставрополь</v>
      </c>
      <c r="J1536">
        <f>VLOOKUP(D1536,Товары!A:I,4,0)</f>
        <v>24150</v>
      </c>
      <c r="K1536">
        <f t="shared" si="23"/>
        <v>72450</v>
      </c>
    </row>
    <row r="1537" spans="1:11" hidden="1" x14ac:dyDescent="0.25">
      <c r="A1537">
        <v>1536</v>
      </c>
      <c r="B1537" s="1">
        <v>45752</v>
      </c>
      <c r="C1537" t="s">
        <v>54</v>
      </c>
      <c r="D1537" t="s">
        <v>36</v>
      </c>
      <c r="E1537" t="s">
        <v>13</v>
      </c>
      <c r="F1537">
        <v>2</v>
      </c>
      <c r="G1537" t="str">
        <f>VLOOKUP(D1537,Товары!A:I,3,0)</f>
        <v>Тумба с раковиной  напол. Альба 800 мята 2 ящика с умыв. Слим</v>
      </c>
      <c r="H1537">
        <f>VLOOKUP(D1537,Товары!A:I,6,0)</f>
        <v>80</v>
      </c>
      <c r="I1537" t="str">
        <f>VLOOKUP(C1537,Магазины!A:C,3,0)</f>
        <v>Ставрополь</v>
      </c>
      <c r="J1537">
        <f>VLOOKUP(D1537,Товары!A:I,4,0)</f>
        <v>29340</v>
      </c>
      <c r="K1537">
        <f t="shared" si="23"/>
        <v>58680</v>
      </c>
    </row>
    <row r="1538" spans="1:11" hidden="1" x14ac:dyDescent="0.25">
      <c r="A1538">
        <v>1537</v>
      </c>
      <c r="B1538" s="1">
        <v>45750</v>
      </c>
      <c r="C1538" t="s">
        <v>28</v>
      </c>
      <c r="D1538" t="s">
        <v>59</v>
      </c>
      <c r="E1538" t="s">
        <v>13</v>
      </c>
      <c r="F1538">
        <v>1</v>
      </c>
      <c r="G1538" t="str">
        <f>VLOOKUP(D1538,Товары!A:I,3,0)</f>
        <v>Тумба с раковиной  навес. Куба Риф 600 белый 2 ящика с умыв. Океан</v>
      </c>
      <c r="H1538">
        <f>VLOOKUP(D1538,Товары!A:I,6,0)</f>
        <v>55</v>
      </c>
      <c r="I1538" t="str">
        <f>VLOOKUP(C1538,Магазины!A:C,3,0)</f>
        <v>Набережные Челны</v>
      </c>
      <c r="J1538">
        <f>VLOOKUP(D1538,Товары!A:I,4,0)</f>
        <v>15765</v>
      </c>
      <c r="K1538">
        <f t="shared" si="23"/>
        <v>15765</v>
      </c>
    </row>
    <row r="1539" spans="1:11" hidden="1" x14ac:dyDescent="0.25">
      <c r="A1539">
        <v>1538</v>
      </c>
      <c r="B1539" s="1">
        <v>45756</v>
      </c>
      <c r="C1539" t="s">
        <v>26</v>
      </c>
      <c r="D1539" t="s">
        <v>21</v>
      </c>
      <c r="E1539" t="s">
        <v>13</v>
      </c>
      <c r="F1539">
        <v>2</v>
      </c>
      <c r="G1539" t="str">
        <f>VLOOKUP(D1539,Товары!A:I,3,0)</f>
        <v>Зеркальный шкаф Рица 60 со светильником правый цвет cерый/керамика</v>
      </c>
      <c r="H1539">
        <f>VLOOKUP(D1539,Товары!A:I,6,0)</f>
        <v>75</v>
      </c>
      <c r="I1539" t="str">
        <f>VLOOKUP(C1539,Магазины!A:C,3,0)</f>
        <v>Оренбург</v>
      </c>
      <c r="J1539">
        <f>VLOOKUP(D1539,Товары!A:I,4,0)</f>
        <v>8910</v>
      </c>
      <c r="K1539">
        <f t="shared" ref="K1539:K1602" si="24">J1539*F1539</f>
        <v>17820</v>
      </c>
    </row>
    <row r="1540" spans="1:11" hidden="1" x14ac:dyDescent="0.25">
      <c r="A1540">
        <v>1539</v>
      </c>
      <c r="B1540" s="1">
        <v>45754</v>
      </c>
      <c r="C1540" t="s">
        <v>58</v>
      </c>
      <c r="D1540" t="s">
        <v>32</v>
      </c>
      <c r="E1540" t="s">
        <v>13</v>
      </c>
      <c r="F1540">
        <v>2</v>
      </c>
      <c r="G1540" t="str">
        <f>VLOOKUP(D1540,Товары!A:I,3,0)</f>
        <v>Тумба с раковиной  напол. Леон Риф 700 солярис/белый риф 2 ящика с умыв. Слим</v>
      </c>
      <c r="H1540">
        <f>VLOOKUP(D1540,Товары!A:I,6,0)</f>
        <v>85</v>
      </c>
      <c r="I1540" t="str">
        <f>VLOOKUP(C1540,Магазины!A:C,3,0)</f>
        <v>Ставрополь</v>
      </c>
      <c r="J1540">
        <f>VLOOKUP(D1540,Товары!A:I,4,0)</f>
        <v>26460</v>
      </c>
      <c r="K1540">
        <f t="shared" si="24"/>
        <v>52920</v>
      </c>
    </row>
    <row r="1541" spans="1:11" hidden="1" x14ac:dyDescent="0.25">
      <c r="A1541">
        <v>1540</v>
      </c>
      <c r="B1541" s="1">
        <v>45756</v>
      </c>
      <c r="C1541" t="s">
        <v>92</v>
      </c>
      <c r="D1541" t="s">
        <v>62</v>
      </c>
      <c r="E1541" t="s">
        <v>13</v>
      </c>
      <c r="F1541">
        <v>1</v>
      </c>
      <c r="G1541" t="str">
        <f>VLOOKUP(D1541,Товары!A:I,3,0)</f>
        <v>Тумба с раковиной  напол. Альба 600 мята 2 ящика с умыв. Океан</v>
      </c>
      <c r="H1541">
        <f>VLOOKUP(D1541,Товары!A:I,6,0)</f>
        <v>80</v>
      </c>
      <c r="I1541" t="str">
        <f>VLOOKUP(C1541,Магазины!A:C,3,0)</f>
        <v>Кемерово</v>
      </c>
      <c r="J1541">
        <f>VLOOKUP(D1541,Товары!A:I,4,0)</f>
        <v>26370</v>
      </c>
      <c r="K1541">
        <f t="shared" si="24"/>
        <v>26370</v>
      </c>
    </row>
    <row r="1542" spans="1:11" hidden="1" x14ac:dyDescent="0.25">
      <c r="A1542">
        <v>1541</v>
      </c>
      <c r="B1542" s="1">
        <v>45751</v>
      </c>
      <c r="C1542" t="s">
        <v>11</v>
      </c>
      <c r="D1542" t="s">
        <v>117</v>
      </c>
      <c r="E1542" t="s">
        <v>13</v>
      </c>
      <c r="F1542">
        <v>1</v>
      </c>
      <c r="G1542" t="str">
        <f>VLOOKUP(D1542,Товары!A:I,3,0)</f>
        <v>Тумба с раковиной  навес. Альба 700 антрацит 2 ящика с умыв. Слим</v>
      </c>
      <c r="H1542">
        <f>VLOOKUP(D1542,Товары!A:I,6,0)</f>
        <v>60</v>
      </c>
      <c r="I1542" t="str">
        <f>VLOOKUP(C1542,Магазины!A:C,3,0)</f>
        <v>Кемерово</v>
      </c>
      <c r="J1542">
        <f>VLOOKUP(D1542,Товары!A:I,4,0)</f>
        <v>25095</v>
      </c>
      <c r="K1542">
        <f t="shared" si="24"/>
        <v>25095</v>
      </c>
    </row>
    <row r="1543" spans="1:11" hidden="1" x14ac:dyDescent="0.25">
      <c r="A1543">
        <v>1542</v>
      </c>
      <c r="B1543" s="1">
        <v>45754</v>
      </c>
      <c r="C1543" t="s">
        <v>58</v>
      </c>
      <c r="D1543" t="s">
        <v>76</v>
      </c>
      <c r="E1543" t="s">
        <v>8</v>
      </c>
      <c r="F1543">
        <v>1</v>
      </c>
      <c r="G1543" t="str">
        <f>VLOOKUP(D1543,Товары!A:I,3,0)</f>
        <v>Тумба с раковиной  напол. Леон 600 оникс 2 ящика с умыв. Слим</v>
      </c>
      <c r="H1543">
        <f>VLOOKUP(D1543,Товары!A:I,6,0)</f>
        <v>80</v>
      </c>
      <c r="I1543" t="str">
        <f>VLOOKUP(C1543,Магазины!A:C,3,0)</f>
        <v>Ставрополь</v>
      </c>
      <c r="J1543">
        <f>VLOOKUP(D1543,Товары!A:I,4,0)</f>
        <v>25860</v>
      </c>
      <c r="K1543">
        <f t="shared" si="24"/>
        <v>25860</v>
      </c>
    </row>
    <row r="1544" spans="1:11" hidden="1" x14ac:dyDescent="0.25">
      <c r="A1544">
        <v>1543</v>
      </c>
      <c r="B1544" s="1">
        <v>45751</v>
      </c>
      <c r="C1544" t="s">
        <v>18</v>
      </c>
      <c r="D1544" t="s">
        <v>76</v>
      </c>
      <c r="E1544" t="s">
        <v>8</v>
      </c>
      <c r="F1544">
        <v>1</v>
      </c>
      <c r="G1544" t="str">
        <f>VLOOKUP(D1544,Товары!A:I,3,0)</f>
        <v>Тумба с раковиной  напол. Леон 600 оникс 2 ящика с умыв. Слим</v>
      </c>
      <c r="H1544">
        <f>VLOOKUP(D1544,Товары!A:I,6,0)</f>
        <v>80</v>
      </c>
      <c r="I1544" t="str">
        <f>VLOOKUP(C1544,Магазины!A:C,3,0)</f>
        <v>Набережные Челны</v>
      </c>
      <c r="J1544">
        <f>VLOOKUP(D1544,Товары!A:I,4,0)</f>
        <v>25860</v>
      </c>
      <c r="K1544">
        <f t="shared" si="24"/>
        <v>25860</v>
      </c>
    </row>
    <row r="1545" spans="1:11" hidden="1" x14ac:dyDescent="0.25">
      <c r="A1545">
        <v>1544</v>
      </c>
      <c r="B1545" s="1">
        <v>45753</v>
      </c>
      <c r="C1545" t="s">
        <v>57</v>
      </c>
      <c r="D1545" t="s">
        <v>97</v>
      </c>
      <c r="E1545" t="s">
        <v>8</v>
      </c>
      <c r="F1545">
        <v>3</v>
      </c>
      <c r="G1545" t="str">
        <f>VLOOKUP(D1545,Товары!A:I,3,0)</f>
        <v>Пенал напол. Кристалл 350 суфле 2 двери</v>
      </c>
      <c r="H1545">
        <f>VLOOKUP(D1545,Товары!A:I,6,0)</f>
        <v>190</v>
      </c>
      <c r="I1545" t="str">
        <f>VLOOKUP(C1545,Магазины!A:C,3,0)</f>
        <v>Оренбург</v>
      </c>
      <c r="J1545">
        <f>VLOOKUP(D1545,Товары!A:I,4,0)</f>
        <v>15810</v>
      </c>
      <c r="K1545">
        <f t="shared" si="24"/>
        <v>47430</v>
      </c>
    </row>
    <row r="1546" spans="1:11" hidden="1" x14ac:dyDescent="0.25">
      <c r="A1546">
        <v>1545</v>
      </c>
      <c r="B1546" s="1">
        <v>45749</v>
      </c>
      <c r="C1546" t="s">
        <v>14</v>
      </c>
      <c r="D1546" t="s">
        <v>53</v>
      </c>
      <c r="E1546" t="s">
        <v>8</v>
      </c>
      <c r="F1546">
        <v>3</v>
      </c>
      <c r="G1546" t="str">
        <f>VLOOKUP(D1546,Товары!A:I,3,0)</f>
        <v>Тумба с раковиной  напол. Кристалл 600 шато азур 2 ящика с умыв. Океан</v>
      </c>
      <c r="H1546">
        <f>VLOOKUP(D1546,Товары!A:I,6,0)</f>
        <v>85</v>
      </c>
      <c r="I1546" t="str">
        <f>VLOOKUP(C1546,Магазины!A:C,3,0)</f>
        <v>Оренбург</v>
      </c>
      <c r="J1546">
        <f>VLOOKUP(D1546,Товары!A:I,4,0)</f>
        <v>27600</v>
      </c>
      <c r="K1546">
        <f t="shared" si="24"/>
        <v>82800</v>
      </c>
    </row>
    <row r="1547" spans="1:11" hidden="1" x14ac:dyDescent="0.25">
      <c r="A1547">
        <v>1546</v>
      </c>
      <c r="B1547" s="1">
        <v>45748</v>
      </c>
      <c r="C1547" t="s">
        <v>26</v>
      </c>
      <c r="D1547" t="s">
        <v>126</v>
      </c>
      <c r="E1547" t="s">
        <v>13</v>
      </c>
      <c r="F1547">
        <v>2</v>
      </c>
      <c r="G1547" t="str">
        <f>VLOOKUP(D1547,Товары!A:I,3,0)</f>
        <v>Тумба с раковиной  напол. Кристалл 800 шато азур 2 ящика с умыв. Комфорт</v>
      </c>
      <c r="H1547">
        <f>VLOOKUP(D1547,Товары!A:I,6,0)</f>
        <v>85</v>
      </c>
      <c r="I1547" t="str">
        <f>VLOOKUP(C1547,Магазины!A:C,3,0)</f>
        <v>Оренбург</v>
      </c>
      <c r="J1547">
        <f>VLOOKUP(D1547,Товары!A:I,4,0)</f>
        <v>31125</v>
      </c>
      <c r="K1547">
        <f t="shared" si="24"/>
        <v>62250</v>
      </c>
    </row>
    <row r="1548" spans="1:11" hidden="1" x14ac:dyDescent="0.25">
      <c r="A1548">
        <v>1547</v>
      </c>
      <c r="B1548" s="1">
        <v>45751</v>
      </c>
      <c r="C1548" t="s">
        <v>35</v>
      </c>
      <c r="D1548" t="s">
        <v>70</v>
      </c>
      <c r="E1548" t="s">
        <v>8</v>
      </c>
      <c r="F1548">
        <v>1</v>
      </c>
      <c r="G1548" t="str">
        <f>VLOOKUP(D1548,Товары!A:I,3,0)</f>
        <v>Тумба с раковиной  напол. Кристалл 700 шато азур 2 ящика с умыв. Слим</v>
      </c>
      <c r="H1548">
        <f>VLOOKUP(D1548,Товары!A:I,6,0)</f>
        <v>85</v>
      </c>
      <c r="I1548" t="str">
        <f>VLOOKUP(C1548,Магазины!A:C,3,0)</f>
        <v>Набережные Челны</v>
      </c>
      <c r="J1548">
        <f>VLOOKUP(D1548,Товары!A:I,4,0)</f>
        <v>29910</v>
      </c>
      <c r="K1548">
        <f t="shared" si="24"/>
        <v>29910</v>
      </c>
    </row>
    <row r="1549" spans="1:11" hidden="1" x14ac:dyDescent="0.25">
      <c r="A1549">
        <v>1548</v>
      </c>
      <c r="B1549" s="1">
        <v>45748</v>
      </c>
      <c r="C1549" t="s">
        <v>9</v>
      </c>
      <c r="D1549" t="s">
        <v>65</v>
      </c>
      <c r="E1549" t="s">
        <v>8</v>
      </c>
      <c r="F1549">
        <v>1</v>
      </c>
      <c r="G1549" t="str">
        <f>VLOOKUP(D1549,Товары!A:I,3,0)</f>
        <v>Тумба с раковиной  навес. Альба 800 суфле 2 ящика с умыв. Слим</v>
      </c>
      <c r="H1549">
        <f>VLOOKUP(D1549,Товары!A:I,6,0)</f>
        <v>50</v>
      </c>
      <c r="I1549" t="str">
        <f>VLOOKUP(C1549,Магазины!A:C,3,0)</f>
        <v>Кемерово</v>
      </c>
      <c r="J1549">
        <f>VLOOKUP(D1549,Товары!A:I,4,0)</f>
        <v>26070</v>
      </c>
      <c r="K1549">
        <f t="shared" si="24"/>
        <v>26070</v>
      </c>
    </row>
    <row r="1550" spans="1:11" hidden="1" x14ac:dyDescent="0.25">
      <c r="A1550">
        <v>1549</v>
      </c>
      <c r="B1550" s="1">
        <v>45749</v>
      </c>
      <c r="C1550" t="s">
        <v>18</v>
      </c>
      <c r="D1550" t="s">
        <v>80</v>
      </c>
      <c r="E1550" t="s">
        <v>8</v>
      </c>
      <c r="F1550">
        <v>2</v>
      </c>
      <c r="G1550" t="str">
        <f>VLOOKUP(D1550,Товары!A:I,3,0)</f>
        <v>Тумба с раковиной  навес. Сохо 600 белый 2 ящика с умыв. Океан</v>
      </c>
      <c r="H1550">
        <f>VLOOKUP(D1550,Товары!A:I,6,0)</f>
        <v>55</v>
      </c>
      <c r="I1550" t="str">
        <f>VLOOKUP(C1550,Магазины!A:C,3,0)</f>
        <v>Набережные Челны</v>
      </c>
      <c r="J1550">
        <f>VLOOKUP(D1550,Товары!A:I,4,0)</f>
        <v>13950</v>
      </c>
      <c r="K1550">
        <f t="shared" si="24"/>
        <v>27900</v>
      </c>
    </row>
    <row r="1551" spans="1:11" hidden="1" x14ac:dyDescent="0.25">
      <c r="A1551">
        <v>1550</v>
      </c>
      <c r="B1551" s="1">
        <v>45754</v>
      </c>
      <c r="C1551" t="s">
        <v>30</v>
      </c>
      <c r="D1551" t="s">
        <v>112</v>
      </c>
      <c r="E1551" t="s">
        <v>13</v>
      </c>
      <c r="F1551">
        <v>3</v>
      </c>
      <c r="G1551" t="str">
        <f>VLOOKUP(D1551,Товары!A:I,3,0)</f>
        <v>Тумба с раковиной  напол. Аква 560 белый 2 двери с умыв. Уют</v>
      </c>
      <c r="H1551">
        <f>VLOOKUP(D1551,Товары!A:I,6,0)</f>
        <v>85</v>
      </c>
      <c r="I1551" t="str">
        <f>VLOOKUP(C1551,Магазины!A:C,3,0)</f>
        <v>Кемерово</v>
      </c>
      <c r="J1551">
        <f>VLOOKUP(D1551,Товары!A:I,4,0)</f>
        <v>9330</v>
      </c>
      <c r="K1551">
        <f t="shared" si="24"/>
        <v>27990</v>
      </c>
    </row>
    <row r="1552" spans="1:11" hidden="1" x14ac:dyDescent="0.25">
      <c r="A1552">
        <v>1551</v>
      </c>
      <c r="B1552" s="1">
        <v>45755</v>
      </c>
      <c r="C1552" t="s">
        <v>6</v>
      </c>
      <c r="D1552" t="s">
        <v>27</v>
      </c>
      <c r="E1552" t="s">
        <v>13</v>
      </c>
      <c r="F1552">
        <v>3</v>
      </c>
      <c r="G1552" t="str">
        <f>VLOOKUP(D1552,Товары!A:I,3,0)</f>
        <v>Тумба с раковиной  навес. Виктория 800 белый 2 ящика с умыв. Слим</v>
      </c>
      <c r="H1552">
        <f>VLOOKUP(D1552,Товары!A:I,6,0)</f>
        <v>60</v>
      </c>
      <c r="I1552" t="str">
        <f>VLOOKUP(C1552,Магазины!A:C,3,0)</f>
        <v>Оренбург</v>
      </c>
      <c r="J1552">
        <f>VLOOKUP(D1552,Товары!A:I,4,0)</f>
        <v>25290</v>
      </c>
      <c r="K1552">
        <f t="shared" si="24"/>
        <v>75870</v>
      </c>
    </row>
    <row r="1553" spans="1:11" hidden="1" x14ac:dyDescent="0.25">
      <c r="A1553">
        <v>1552</v>
      </c>
      <c r="B1553" s="1">
        <v>45749</v>
      </c>
      <c r="C1553" t="s">
        <v>43</v>
      </c>
      <c r="D1553" t="s">
        <v>107</v>
      </c>
      <c r="E1553" t="s">
        <v>8</v>
      </c>
      <c r="F1553">
        <v>3</v>
      </c>
      <c r="G1553" t="str">
        <f>VLOOKUP(D1553,Товары!A:I,3,0)</f>
        <v>Комод Аква 35 напольный 1 дверь белый правый</v>
      </c>
      <c r="H1553">
        <f>VLOOKUP(D1553,Товары!A:I,6,0)</f>
        <v>90</v>
      </c>
      <c r="I1553" t="str">
        <f>VLOOKUP(C1553,Магазины!A:C,3,0)</f>
        <v>Набережные Челны</v>
      </c>
      <c r="J1553">
        <f>VLOOKUP(D1553,Товары!A:I,4,0)</f>
        <v>6705</v>
      </c>
      <c r="K1553">
        <f t="shared" si="24"/>
        <v>20115</v>
      </c>
    </row>
    <row r="1554" spans="1:11" hidden="1" x14ac:dyDescent="0.25">
      <c r="A1554">
        <v>1553</v>
      </c>
      <c r="B1554" s="1">
        <v>45753</v>
      </c>
      <c r="C1554" t="s">
        <v>22</v>
      </c>
      <c r="D1554" t="s">
        <v>10</v>
      </c>
      <c r="E1554" t="s">
        <v>13</v>
      </c>
      <c r="F1554">
        <v>2</v>
      </c>
      <c r="G1554" t="str">
        <f>VLOOKUP(D1554,Товары!A:I,3,0)</f>
        <v>Тумба с раковиной  навес. Альба 700 антрацит 1 ящик с умыв. Слим</v>
      </c>
      <c r="H1554">
        <f>VLOOKUP(D1554,Товары!A:I,6,0)</f>
        <v>45</v>
      </c>
      <c r="I1554" t="str">
        <f>VLOOKUP(C1554,Магазины!A:C,3,0)</f>
        <v>Кемерово</v>
      </c>
      <c r="J1554">
        <f>VLOOKUP(D1554,Товары!A:I,4,0)</f>
        <v>20130</v>
      </c>
      <c r="K1554">
        <f t="shared" si="24"/>
        <v>40260</v>
      </c>
    </row>
    <row r="1555" spans="1:11" hidden="1" x14ac:dyDescent="0.25">
      <c r="A1555">
        <v>1554</v>
      </c>
      <c r="B1555" s="1">
        <v>45754</v>
      </c>
      <c r="C1555" t="s">
        <v>43</v>
      </c>
      <c r="D1555" t="s">
        <v>29</v>
      </c>
      <c r="E1555" t="s">
        <v>8</v>
      </c>
      <c r="F1555">
        <v>1</v>
      </c>
      <c r="G1555" t="str">
        <f>VLOOKUP(D1555,Товары!A:I,3,0)</f>
        <v>Тумба с раковиной  напол. Леон Риф 600 солярис/белый риф 2 ящика с умыв. Океан</v>
      </c>
      <c r="H1555">
        <f>VLOOKUP(D1555,Товары!A:I,6,0)</f>
        <v>80</v>
      </c>
      <c r="I1555" t="str">
        <f>VLOOKUP(C1555,Магазины!A:C,3,0)</f>
        <v>Набережные Челны</v>
      </c>
      <c r="J1555">
        <f>VLOOKUP(D1555,Товары!A:I,4,0)</f>
        <v>24150</v>
      </c>
      <c r="K1555">
        <f t="shared" si="24"/>
        <v>24150</v>
      </c>
    </row>
    <row r="1556" spans="1:11" hidden="1" x14ac:dyDescent="0.25">
      <c r="A1556">
        <v>1555</v>
      </c>
      <c r="B1556" s="1">
        <v>45756</v>
      </c>
      <c r="C1556" t="s">
        <v>11</v>
      </c>
      <c r="D1556" t="s">
        <v>129</v>
      </c>
      <c r="E1556" t="s">
        <v>8</v>
      </c>
      <c r="F1556">
        <v>3</v>
      </c>
      <c r="G1556" t="str">
        <f>VLOOKUP(D1556,Товары!A:I,3,0)</f>
        <v>Тумба с раковиной  напол. Альба 700 антрацит 2 ящика с умыв. Слим</v>
      </c>
      <c r="H1556">
        <f>VLOOKUP(D1556,Товары!A:I,6,0)</f>
        <v>85</v>
      </c>
      <c r="I1556" t="str">
        <f>VLOOKUP(C1556,Магазины!A:C,3,0)</f>
        <v>Кемерово</v>
      </c>
      <c r="J1556">
        <f>VLOOKUP(D1556,Товары!A:I,4,0)</f>
        <v>28695</v>
      </c>
      <c r="K1556">
        <f t="shared" si="24"/>
        <v>86085</v>
      </c>
    </row>
    <row r="1557" spans="1:11" hidden="1" x14ac:dyDescent="0.25">
      <c r="A1557">
        <v>1556</v>
      </c>
      <c r="B1557" s="1">
        <v>45755</v>
      </c>
      <c r="C1557" t="s">
        <v>28</v>
      </c>
      <c r="D1557" t="s">
        <v>83</v>
      </c>
      <c r="E1557" t="s">
        <v>13</v>
      </c>
      <c r="F1557">
        <v>1</v>
      </c>
      <c r="G1557" t="str">
        <f>VLOOKUP(D1557,Товары!A:I,3,0)</f>
        <v>Зеркальный шкаф Альба 60 со светильником правый цвет суфле</v>
      </c>
      <c r="H1557">
        <f>VLOOKUP(D1557,Товары!A:I,6,0)</f>
        <v>75</v>
      </c>
      <c r="I1557" t="str">
        <f>VLOOKUP(C1557,Магазины!A:C,3,0)</f>
        <v>Набережные Челны</v>
      </c>
      <c r="J1557">
        <f>VLOOKUP(D1557,Товары!A:I,4,0)</f>
        <v>8910</v>
      </c>
      <c r="K1557">
        <f t="shared" si="24"/>
        <v>8910</v>
      </c>
    </row>
    <row r="1558" spans="1:11" hidden="1" x14ac:dyDescent="0.25">
      <c r="A1558">
        <v>1557</v>
      </c>
      <c r="B1558" s="1">
        <v>45753</v>
      </c>
      <c r="C1558" t="s">
        <v>35</v>
      </c>
      <c r="D1558" t="s">
        <v>117</v>
      </c>
      <c r="E1558" t="s">
        <v>8</v>
      </c>
      <c r="F1558">
        <v>3</v>
      </c>
      <c r="G1558" t="str">
        <f>VLOOKUP(D1558,Товары!A:I,3,0)</f>
        <v>Тумба с раковиной  навес. Альба 700 антрацит 2 ящика с умыв. Слим</v>
      </c>
      <c r="H1558">
        <f>VLOOKUP(D1558,Товары!A:I,6,0)</f>
        <v>60</v>
      </c>
      <c r="I1558" t="str">
        <f>VLOOKUP(C1558,Магазины!A:C,3,0)</f>
        <v>Набережные Челны</v>
      </c>
      <c r="J1558">
        <f>VLOOKUP(D1558,Товары!A:I,4,0)</f>
        <v>25095</v>
      </c>
      <c r="K1558">
        <f t="shared" si="24"/>
        <v>75285</v>
      </c>
    </row>
    <row r="1559" spans="1:11" hidden="1" x14ac:dyDescent="0.25">
      <c r="A1559">
        <v>1558</v>
      </c>
      <c r="B1559" s="1">
        <v>45756</v>
      </c>
      <c r="C1559" t="s">
        <v>111</v>
      </c>
      <c r="D1559" t="s">
        <v>131</v>
      </c>
      <c r="E1559" t="s">
        <v>8</v>
      </c>
      <c r="F1559">
        <v>2</v>
      </c>
      <c r="G1559" t="str">
        <f>VLOOKUP(D1559,Товары!A:I,3,0)</f>
        <v>Тумба с раковиной  напол. Леон 800 форест 2 ящика с умыв. Слим</v>
      </c>
      <c r="H1559">
        <f>VLOOKUP(D1559,Товары!A:I,6,0)</f>
        <v>80</v>
      </c>
      <c r="I1559" t="str">
        <f>VLOOKUP(C1559,Магазины!A:C,3,0)</f>
        <v>Набережные Челны</v>
      </c>
      <c r="J1559">
        <f>VLOOKUP(D1559,Товары!A:I,4,0)</f>
        <v>29400</v>
      </c>
      <c r="K1559">
        <f t="shared" si="24"/>
        <v>58800</v>
      </c>
    </row>
    <row r="1560" spans="1:11" hidden="1" x14ac:dyDescent="0.25">
      <c r="A1560">
        <v>1559</v>
      </c>
      <c r="B1560" s="1">
        <v>45753</v>
      </c>
      <c r="C1560" t="s">
        <v>28</v>
      </c>
      <c r="D1560" t="s">
        <v>88</v>
      </c>
      <c r="E1560" t="s">
        <v>8</v>
      </c>
      <c r="F1560">
        <v>1</v>
      </c>
      <c r="G1560" t="str">
        <f>VLOOKUP(D1560,Товары!A:I,3,0)</f>
        <v>Тумба с раковиной  навес. Альба 800 антрацит 2 ящика с умыв. Слим</v>
      </c>
      <c r="H1560">
        <f>VLOOKUP(D1560,Товары!A:I,6,0)</f>
        <v>50</v>
      </c>
      <c r="I1560" t="str">
        <f>VLOOKUP(C1560,Магазины!A:C,3,0)</f>
        <v>Набережные Челны</v>
      </c>
      <c r="J1560">
        <f>VLOOKUP(D1560,Товары!A:I,4,0)</f>
        <v>26070</v>
      </c>
      <c r="K1560">
        <f t="shared" si="24"/>
        <v>26070</v>
      </c>
    </row>
    <row r="1561" spans="1:11" hidden="1" x14ac:dyDescent="0.25">
      <c r="A1561">
        <v>1560</v>
      </c>
      <c r="B1561" s="1">
        <v>45751</v>
      </c>
      <c r="C1561" t="s">
        <v>14</v>
      </c>
      <c r="D1561" t="s">
        <v>96</v>
      </c>
      <c r="E1561" t="s">
        <v>8</v>
      </c>
      <c r="F1561">
        <v>1</v>
      </c>
      <c r="G1561" t="str">
        <f>VLOOKUP(D1561,Товары!A:I,3,0)</f>
        <v>Тумба с раковиной  навес. Альба 600 мята 1 ящик с умыв. Океан</v>
      </c>
      <c r="H1561">
        <f>VLOOKUP(D1561,Товары!A:I,6,0)</f>
        <v>85</v>
      </c>
      <c r="I1561" t="str">
        <f>VLOOKUP(C1561,Магазины!A:C,3,0)</f>
        <v>Оренбург</v>
      </c>
      <c r="J1561">
        <f>VLOOKUP(D1561,Товары!A:I,4,0)</f>
        <v>17625</v>
      </c>
      <c r="K1561">
        <f t="shared" si="24"/>
        <v>17625</v>
      </c>
    </row>
    <row r="1562" spans="1:11" hidden="1" x14ac:dyDescent="0.25">
      <c r="A1562">
        <v>1561</v>
      </c>
      <c r="B1562" s="1">
        <v>45752</v>
      </c>
      <c r="C1562" t="s">
        <v>54</v>
      </c>
      <c r="D1562" t="s">
        <v>126</v>
      </c>
      <c r="E1562" t="s">
        <v>8</v>
      </c>
      <c r="F1562">
        <v>1</v>
      </c>
      <c r="G1562" t="str">
        <f>VLOOKUP(D1562,Товары!A:I,3,0)</f>
        <v>Тумба с раковиной  напол. Кристалл 800 шато азур 2 ящика с умыв. Комфорт</v>
      </c>
      <c r="H1562">
        <f>VLOOKUP(D1562,Товары!A:I,6,0)</f>
        <v>85</v>
      </c>
      <c r="I1562" t="str">
        <f>VLOOKUP(C1562,Магазины!A:C,3,0)</f>
        <v>Ставрополь</v>
      </c>
      <c r="J1562">
        <f>VLOOKUP(D1562,Товары!A:I,4,0)</f>
        <v>31125</v>
      </c>
      <c r="K1562">
        <f t="shared" si="24"/>
        <v>31125</v>
      </c>
    </row>
    <row r="1563" spans="1:11" hidden="1" x14ac:dyDescent="0.25">
      <c r="A1563">
        <v>1562</v>
      </c>
      <c r="B1563" s="1">
        <v>45749</v>
      </c>
      <c r="C1563" t="s">
        <v>9</v>
      </c>
      <c r="D1563" t="s">
        <v>23</v>
      </c>
      <c r="E1563" t="s">
        <v>8</v>
      </c>
      <c r="F1563">
        <v>1</v>
      </c>
      <c r="G1563" t="str">
        <f>VLOOKUP(D1563,Товары!A:I,3,0)</f>
        <v>Тумба с раковиной  напол. Альба 800 антрацит 2 ящика с умыв. Слим</v>
      </c>
      <c r="H1563">
        <f>VLOOKUP(D1563,Товары!A:I,6,0)</f>
        <v>80</v>
      </c>
      <c r="I1563" t="str">
        <f>VLOOKUP(C1563,Магазины!A:C,3,0)</f>
        <v>Кемерово</v>
      </c>
      <c r="J1563">
        <f>VLOOKUP(D1563,Товары!A:I,4,0)</f>
        <v>29340</v>
      </c>
      <c r="K1563">
        <f t="shared" si="24"/>
        <v>29340</v>
      </c>
    </row>
    <row r="1564" spans="1:11" hidden="1" x14ac:dyDescent="0.25">
      <c r="A1564">
        <v>1563</v>
      </c>
      <c r="B1564" s="1">
        <v>45752</v>
      </c>
      <c r="C1564" t="s">
        <v>18</v>
      </c>
      <c r="D1564" t="s">
        <v>96</v>
      </c>
      <c r="E1564" t="s">
        <v>8</v>
      </c>
      <c r="F1564">
        <v>3</v>
      </c>
      <c r="G1564" t="str">
        <f>VLOOKUP(D1564,Товары!A:I,3,0)</f>
        <v>Тумба с раковиной  навес. Альба 600 мята 1 ящик с умыв. Океан</v>
      </c>
      <c r="H1564">
        <f>VLOOKUP(D1564,Товары!A:I,6,0)</f>
        <v>85</v>
      </c>
      <c r="I1564" t="str">
        <f>VLOOKUP(C1564,Магазины!A:C,3,0)</f>
        <v>Набережные Челны</v>
      </c>
      <c r="J1564">
        <f>VLOOKUP(D1564,Товары!A:I,4,0)</f>
        <v>17625</v>
      </c>
      <c r="K1564">
        <f t="shared" si="24"/>
        <v>52875</v>
      </c>
    </row>
    <row r="1565" spans="1:11" hidden="1" x14ac:dyDescent="0.25">
      <c r="A1565">
        <v>1564</v>
      </c>
      <c r="B1565" s="1">
        <v>45750</v>
      </c>
      <c r="C1565" t="s">
        <v>28</v>
      </c>
      <c r="D1565" t="s">
        <v>90</v>
      </c>
      <c r="E1565" t="s">
        <v>8</v>
      </c>
      <c r="F1565">
        <v>3</v>
      </c>
      <c r="G1565" t="str">
        <f>VLOOKUP(D1565,Товары!A:I,3,0)</f>
        <v>Пенал напол. Аква 350 белый 2 двери + 2 ящика</v>
      </c>
      <c r="H1565">
        <f>VLOOKUP(D1565,Товары!A:I,6,0)</f>
        <v>190</v>
      </c>
      <c r="I1565" t="str">
        <f>VLOOKUP(C1565,Магазины!A:C,3,0)</f>
        <v>Набережные Челны</v>
      </c>
      <c r="J1565">
        <f>VLOOKUP(D1565,Товары!A:I,4,0)</f>
        <v>10650</v>
      </c>
      <c r="K1565">
        <f t="shared" si="24"/>
        <v>31950</v>
      </c>
    </row>
    <row r="1566" spans="1:11" hidden="1" x14ac:dyDescent="0.25">
      <c r="A1566">
        <v>1565</v>
      </c>
      <c r="B1566" s="1">
        <v>45753</v>
      </c>
      <c r="C1566" t="s">
        <v>43</v>
      </c>
      <c r="D1566" t="s">
        <v>100</v>
      </c>
      <c r="E1566" t="s">
        <v>13</v>
      </c>
      <c r="F1566">
        <v>2</v>
      </c>
      <c r="G1566" t="str">
        <f>VLOOKUP(D1566,Товары!A:I,3,0)</f>
        <v>Тумба с раковиной  навес. Альба 800 мята 1 ящик с умыв. Слим</v>
      </c>
      <c r="H1566">
        <f>VLOOKUP(D1566,Товары!A:I,6,0)</f>
        <v>45</v>
      </c>
      <c r="I1566" t="str">
        <f>VLOOKUP(C1566,Магазины!A:C,3,0)</f>
        <v>Набережные Челны</v>
      </c>
      <c r="J1566">
        <f>VLOOKUP(D1566,Товары!A:I,4,0)</f>
        <v>21630</v>
      </c>
      <c r="K1566">
        <f t="shared" si="24"/>
        <v>43260</v>
      </c>
    </row>
    <row r="1567" spans="1:11" hidden="1" x14ac:dyDescent="0.25">
      <c r="A1567">
        <v>1566</v>
      </c>
      <c r="B1567" s="1">
        <v>45751</v>
      </c>
      <c r="C1567" t="s">
        <v>48</v>
      </c>
      <c r="D1567" t="s">
        <v>95</v>
      </c>
      <c r="E1567" t="s">
        <v>13</v>
      </c>
      <c r="F1567">
        <v>2</v>
      </c>
      <c r="G1567" t="str">
        <f>VLOOKUP(D1567,Товары!A:I,3,0)</f>
        <v>Тумба с раковиной  напол. Рица 600 антрацит 2 ящика с умыв. Океан</v>
      </c>
      <c r="H1567">
        <f>VLOOKUP(D1567,Товары!A:I,6,0)</f>
        <v>80</v>
      </c>
      <c r="I1567" t="str">
        <f>VLOOKUP(C1567,Магазины!A:C,3,0)</f>
        <v>Ставрополь</v>
      </c>
      <c r="J1567">
        <f>VLOOKUP(D1567,Товары!A:I,4,0)</f>
        <v>25560</v>
      </c>
      <c r="K1567">
        <f t="shared" si="24"/>
        <v>51120</v>
      </c>
    </row>
    <row r="1568" spans="1:11" hidden="1" x14ac:dyDescent="0.25">
      <c r="A1568">
        <v>1567</v>
      </c>
      <c r="B1568" s="1">
        <v>45754</v>
      </c>
      <c r="C1568" t="s">
        <v>22</v>
      </c>
      <c r="D1568" t="s">
        <v>116</v>
      </c>
      <c r="E1568" t="s">
        <v>13</v>
      </c>
      <c r="F1568">
        <v>3</v>
      </c>
      <c r="G1568" t="str">
        <f>VLOOKUP(D1568,Товары!A:I,3,0)</f>
        <v>Зеркало Нева 60 дуб/белый со светильником</v>
      </c>
      <c r="H1568">
        <f>VLOOKUP(D1568,Товары!A:I,6,0)</f>
        <v>80</v>
      </c>
      <c r="I1568" t="str">
        <f>VLOOKUP(C1568,Магазины!A:C,3,0)</f>
        <v>Кемерово</v>
      </c>
      <c r="J1568">
        <f>VLOOKUP(D1568,Товары!A:I,4,0)</f>
        <v>5100</v>
      </c>
      <c r="K1568">
        <f t="shared" si="24"/>
        <v>15300</v>
      </c>
    </row>
    <row r="1569" spans="1:11" hidden="1" x14ac:dyDescent="0.25">
      <c r="A1569">
        <v>1568</v>
      </c>
      <c r="B1569" s="1">
        <v>45751</v>
      </c>
      <c r="C1569" t="s">
        <v>11</v>
      </c>
      <c r="D1569" t="s">
        <v>59</v>
      </c>
      <c r="E1569" t="s">
        <v>8</v>
      </c>
      <c r="F1569">
        <v>1</v>
      </c>
      <c r="G1569" t="str">
        <f>VLOOKUP(D1569,Товары!A:I,3,0)</f>
        <v>Тумба с раковиной  навес. Куба Риф 600 белый 2 ящика с умыв. Океан</v>
      </c>
      <c r="H1569">
        <f>VLOOKUP(D1569,Товары!A:I,6,0)</f>
        <v>55</v>
      </c>
      <c r="I1569" t="str">
        <f>VLOOKUP(C1569,Магазины!A:C,3,0)</f>
        <v>Кемерово</v>
      </c>
      <c r="J1569">
        <f>VLOOKUP(D1569,Товары!A:I,4,0)</f>
        <v>15765</v>
      </c>
      <c r="K1569">
        <f t="shared" si="24"/>
        <v>15765</v>
      </c>
    </row>
    <row r="1570" spans="1:11" hidden="1" x14ac:dyDescent="0.25">
      <c r="A1570">
        <v>1569</v>
      </c>
      <c r="B1570" s="1">
        <v>45755</v>
      </c>
      <c r="C1570" t="s">
        <v>26</v>
      </c>
      <c r="D1570" t="s">
        <v>114</v>
      </c>
      <c r="E1570" t="s">
        <v>8</v>
      </c>
      <c r="F1570">
        <v>2</v>
      </c>
      <c r="G1570" t="str">
        <f>VLOOKUP(D1570,Товары!A:I,3,0)</f>
        <v>Тумба с раковиной  навес. Альба 700 мята 2 ящика с умыв. Слим</v>
      </c>
      <c r="H1570">
        <f>VLOOKUP(D1570,Товары!A:I,6,0)</f>
        <v>60</v>
      </c>
      <c r="I1570" t="str">
        <f>VLOOKUP(C1570,Магазины!A:C,3,0)</f>
        <v>Оренбург</v>
      </c>
      <c r="J1570">
        <f>VLOOKUP(D1570,Товары!A:I,4,0)</f>
        <v>25095</v>
      </c>
      <c r="K1570">
        <f t="shared" si="24"/>
        <v>50190</v>
      </c>
    </row>
    <row r="1571" spans="1:11" hidden="1" x14ac:dyDescent="0.25">
      <c r="A1571">
        <v>1570</v>
      </c>
      <c r="B1571" s="1">
        <v>45757</v>
      </c>
      <c r="C1571" t="s">
        <v>26</v>
      </c>
      <c r="D1571" t="s">
        <v>121</v>
      </c>
      <c r="E1571" t="s">
        <v>13</v>
      </c>
      <c r="F1571">
        <v>1</v>
      </c>
      <c r="G1571" t="str">
        <f>VLOOKUP(D1571,Товары!A:I,3,0)</f>
        <v>Тумба с раковиной  напол. Куба Риф 600 белый 2 двери с умыв. Como</v>
      </c>
      <c r="H1571">
        <f>VLOOKUP(D1571,Товары!A:I,6,0)</f>
        <v>85</v>
      </c>
      <c r="I1571" t="str">
        <f>VLOOKUP(C1571,Магазины!A:C,3,0)</f>
        <v>Оренбург</v>
      </c>
      <c r="J1571">
        <f>VLOOKUP(D1571,Товары!A:I,4,0)</f>
        <v>13695</v>
      </c>
      <c r="K1571">
        <f t="shared" si="24"/>
        <v>13695</v>
      </c>
    </row>
    <row r="1572" spans="1:11" hidden="1" x14ac:dyDescent="0.25">
      <c r="A1572">
        <v>1571</v>
      </c>
      <c r="B1572" s="1">
        <v>45756</v>
      </c>
      <c r="C1572" t="s">
        <v>26</v>
      </c>
      <c r="D1572" t="s">
        <v>105</v>
      </c>
      <c r="E1572" t="s">
        <v>8</v>
      </c>
      <c r="F1572">
        <v>3</v>
      </c>
      <c r="G1572" t="str">
        <f>VLOOKUP(D1572,Товары!A:I,3,0)</f>
        <v>Тумба с раковиной  напол. Нева 600 белый 2 двери + 1 ящик с умыв. Como</v>
      </c>
      <c r="H1572">
        <f>VLOOKUP(D1572,Товары!A:I,6,0)</f>
        <v>80</v>
      </c>
      <c r="I1572" t="str">
        <f>VLOOKUP(C1572,Магазины!A:C,3,0)</f>
        <v>Оренбург</v>
      </c>
      <c r="J1572">
        <f>VLOOKUP(D1572,Товары!A:I,4,0)</f>
        <v>13470</v>
      </c>
      <c r="K1572">
        <f t="shared" si="24"/>
        <v>40410</v>
      </c>
    </row>
    <row r="1573" spans="1:11" hidden="1" x14ac:dyDescent="0.25">
      <c r="A1573">
        <v>1572</v>
      </c>
      <c r="B1573" s="1">
        <v>45751</v>
      </c>
      <c r="C1573" t="s">
        <v>54</v>
      </c>
      <c r="D1573" t="s">
        <v>118</v>
      </c>
      <c r="E1573" t="s">
        <v>13</v>
      </c>
      <c r="F1573">
        <v>3</v>
      </c>
      <c r="G1573" t="str">
        <f>VLOOKUP(D1573,Товары!A:I,3,0)</f>
        <v>Тумба с раковиной  напол. Сохо 800 белый 2 ящика с умыв. Слим</v>
      </c>
      <c r="H1573">
        <f>VLOOKUP(D1573,Товары!A:I,6,0)</f>
        <v>85</v>
      </c>
      <c r="I1573" t="str">
        <f>VLOOKUP(C1573,Магазины!A:C,3,0)</f>
        <v>Ставрополь</v>
      </c>
      <c r="J1573">
        <f>VLOOKUP(D1573,Товары!A:I,4,0)</f>
        <v>19575</v>
      </c>
      <c r="K1573">
        <f t="shared" si="24"/>
        <v>58725</v>
      </c>
    </row>
    <row r="1574" spans="1:11" hidden="1" x14ac:dyDescent="0.25">
      <c r="A1574">
        <v>1573</v>
      </c>
      <c r="B1574" s="1">
        <v>45756</v>
      </c>
      <c r="C1574" t="s">
        <v>11</v>
      </c>
      <c r="D1574" t="s">
        <v>99</v>
      </c>
      <c r="E1574" t="s">
        <v>8</v>
      </c>
      <c r="F1574">
        <v>1</v>
      </c>
      <c r="G1574" t="str">
        <f>VLOOKUP(D1574,Товары!A:I,3,0)</f>
        <v>Тумба с раковиной  навес. Леон 600 оникс 2 ящика с умыв. Слим</v>
      </c>
      <c r="H1574">
        <f>VLOOKUP(D1574,Товары!A:I,6,0)</f>
        <v>60</v>
      </c>
      <c r="I1574" t="str">
        <f>VLOOKUP(C1574,Магазины!A:C,3,0)</f>
        <v>Кемерово</v>
      </c>
      <c r="J1574">
        <f>VLOOKUP(D1574,Товары!A:I,4,0)</f>
        <v>25125</v>
      </c>
      <c r="K1574">
        <f t="shared" si="24"/>
        <v>25125</v>
      </c>
    </row>
    <row r="1575" spans="1:11" hidden="1" x14ac:dyDescent="0.25">
      <c r="A1575">
        <v>1574</v>
      </c>
      <c r="B1575" s="1">
        <v>45753</v>
      </c>
      <c r="C1575" t="s">
        <v>92</v>
      </c>
      <c r="D1575" t="s">
        <v>34</v>
      </c>
      <c r="E1575" t="s">
        <v>13</v>
      </c>
      <c r="F1575">
        <v>3</v>
      </c>
      <c r="G1575" t="str">
        <f>VLOOKUP(D1575,Товары!A:I,3,0)</f>
        <v>Тумба с раковиной  навес. Леон 700 форест 2 ящика с умыв. Слим</v>
      </c>
      <c r="H1575">
        <f>VLOOKUP(D1575,Товары!A:I,6,0)</f>
        <v>60</v>
      </c>
      <c r="I1575" t="str">
        <f>VLOOKUP(C1575,Магазины!A:C,3,0)</f>
        <v>Кемерово</v>
      </c>
      <c r="J1575">
        <f>VLOOKUP(D1575,Товары!A:I,4,0)</f>
        <v>26220</v>
      </c>
      <c r="K1575">
        <f t="shared" si="24"/>
        <v>78660</v>
      </c>
    </row>
    <row r="1576" spans="1:11" hidden="1" x14ac:dyDescent="0.25">
      <c r="A1576">
        <v>1575</v>
      </c>
      <c r="B1576" s="1">
        <v>45756</v>
      </c>
      <c r="C1576" t="s">
        <v>22</v>
      </c>
      <c r="D1576" t="s">
        <v>115</v>
      </c>
      <c r="E1576" t="s">
        <v>13</v>
      </c>
      <c r="F1576">
        <v>3</v>
      </c>
      <c r="G1576" t="str">
        <f>VLOOKUP(D1576,Товары!A:I,3,0)</f>
        <v>Тумба под стиральную машину Куба Риф 57 напольная 2 ящика под ст/маш, без умывальника /под Marshall 120 Белый</v>
      </c>
      <c r="H1576">
        <f>VLOOKUP(D1576,Товары!A:I,6,0)</f>
        <v>85</v>
      </c>
      <c r="I1576" t="str">
        <f>VLOOKUP(C1576,Магазины!A:C,3,0)</f>
        <v>Кемерово</v>
      </c>
      <c r="J1576">
        <f>VLOOKUP(D1576,Товары!A:I,4,0)</f>
        <v>10530</v>
      </c>
      <c r="K1576">
        <f t="shared" si="24"/>
        <v>31590</v>
      </c>
    </row>
    <row r="1577" spans="1:11" hidden="1" x14ac:dyDescent="0.25">
      <c r="A1577">
        <v>1576</v>
      </c>
      <c r="B1577" s="1">
        <v>45756</v>
      </c>
      <c r="C1577" t="s">
        <v>30</v>
      </c>
      <c r="D1577" t="s">
        <v>15</v>
      </c>
      <c r="E1577" t="s">
        <v>8</v>
      </c>
      <c r="F1577">
        <v>3</v>
      </c>
      <c r="G1577" t="str">
        <f>VLOOKUP(D1577,Товары!A:I,3,0)</f>
        <v>Зеркальный шкаф Кристалл 60 со светильником правый, ручка кнопка дуб цвет Шато Азур</v>
      </c>
      <c r="H1577">
        <f>VLOOKUP(D1577,Товары!A:I,6,0)</f>
        <v>75</v>
      </c>
      <c r="I1577" t="str">
        <f>VLOOKUP(C1577,Магазины!A:C,3,0)</f>
        <v>Кемерово</v>
      </c>
      <c r="J1577">
        <f>VLOOKUP(D1577,Товары!A:I,4,0)</f>
        <v>9195</v>
      </c>
      <c r="K1577">
        <f t="shared" si="24"/>
        <v>27585</v>
      </c>
    </row>
    <row r="1578" spans="1:11" hidden="1" x14ac:dyDescent="0.25">
      <c r="A1578">
        <v>1577</v>
      </c>
      <c r="B1578" s="1">
        <v>45754</v>
      </c>
      <c r="C1578" t="s">
        <v>11</v>
      </c>
      <c r="D1578" t="s">
        <v>55</v>
      </c>
      <c r="E1578" t="s">
        <v>8</v>
      </c>
      <c r="F1578">
        <v>1</v>
      </c>
      <c r="G1578" t="str">
        <f>VLOOKUP(D1578,Товары!A:I,3,0)</f>
        <v>Тумба с раковиной  напол. Рица 600 cерый/керамика 2 ящика с умыв. Океан</v>
      </c>
      <c r="H1578">
        <f>VLOOKUP(D1578,Товары!A:I,6,0)</f>
        <v>80</v>
      </c>
      <c r="I1578" t="str">
        <f>VLOOKUP(C1578,Магазины!A:C,3,0)</f>
        <v>Кемерово</v>
      </c>
      <c r="J1578">
        <f>VLOOKUP(D1578,Товары!A:I,4,0)</f>
        <v>25560</v>
      </c>
      <c r="K1578">
        <f t="shared" si="24"/>
        <v>25560</v>
      </c>
    </row>
    <row r="1579" spans="1:11" hidden="1" x14ac:dyDescent="0.25">
      <c r="A1579">
        <v>1578</v>
      </c>
      <c r="B1579" s="1">
        <v>45752</v>
      </c>
      <c r="C1579" t="s">
        <v>22</v>
      </c>
      <c r="D1579" t="s">
        <v>66</v>
      </c>
      <c r="E1579" t="s">
        <v>13</v>
      </c>
      <c r="F1579">
        <v>2</v>
      </c>
      <c r="G1579" t="str">
        <f>VLOOKUP(D1579,Товары!A:I,3,0)</f>
        <v>Тумба с раковиной  навес. Альба 800 мята 2 ящика с умыв. Слим</v>
      </c>
      <c r="H1579">
        <f>VLOOKUP(D1579,Товары!A:I,6,0)</f>
        <v>50</v>
      </c>
      <c r="I1579" t="str">
        <f>VLOOKUP(C1579,Магазины!A:C,3,0)</f>
        <v>Кемерово</v>
      </c>
      <c r="J1579">
        <f>VLOOKUP(D1579,Товары!A:I,4,0)</f>
        <v>26070</v>
      </c>
      <c r="K1579">
        <f t="shared" si="24"/>
        <v>52140</v>
      </c>
    </row>
    <row r="1580" spans="1:11" hidden="1" x14ac:dyDescent="0.25">
      <c r="A1580">
        <v>1579</v>
      </c>
      <c r="B1580" s="1">
        <v>45757</v>
      </c>
      <c r="C1580" t="s">
        <v>63</v>
      </c>
      <c r="D1580" t="s">
        <v>124</v>
      </c>
      <c r="E1580" t="s">
        <v>8</v>
      </c>
      <c r="F1580">
        <v>3</v>
      </c>
      <c r="G1580" t="str">
        <f>VLOOKUP(D1580,Товары!A:I,3,0)</f>
        <v>Тумба с раковиной  напол. Леон 600 оникс 2 ящика с умыв. Океан</v>
      </c>
      <c r="H1580">
        <f>VLOOKUP(D1580,Товары!A:I,6,0)</f>
        <v>80</v>
      </c>
      <c r="I1580" t="str">
        <f>VLOOKUP(C1580,Магазины!A:C,3,0)</f>
        <v>Ставрополь</v>
      </c>
      <c r="J1580">
        <f>VLOOKUP(D1580,Товары!A:I,4,0)</f>
        <v>25860</v>
      </c>
      <c r="K1580">
        <f t="shared" si="24"/>
        <v>77580</v>
      </c>
    </row>
    <row r="1581" spans="1:11" hidden="1" x14ac:dyDescent="0.25">
      <c r="A1581">
        <v>1580</v>
      </c>
      <c r="B1581" s="1">
        <v>45751</v>
      </c>
      <c r="C1581" t="s">
        <v>9</v>
      </c>
      <c r="D1581" t="s">
        <v>65</v>
      </c>
      <c r="E1581" t="s">
        <v>13</v>
      </c>
      <c r="F1581">
        <v>1</v>
      </c>
      <c r="G1581" t="str">
        <f>VLOOKUP(D1581,Товары!A:I,3,0)</f>
        <v>Тумба с раковиной  навес. Альба 800 суфле 2 ящика с умыв. Слим</v>
      </c>
      <c r="H1581">
        <f>VLOOKUP(D1581,Товары!A:I,6,0)</f>
        <v>50</v>
      </c>
      <c r="I1581" t="str">
        <f>VLOOKUP(C1581,Магазины!A:C,3,0)</f>
        <v>Кемерово</v>
      </c>
      <c r="J1581">
        <f>VLOOKUP(D1581,Товары!A:I,4,0)</f>
        <v>26070</v>
      </c>
      <c r="K1581">
        <f t="shared" si="24"/>
        <v>26070</v>
      </c>
    </row>
    <row r="1582" spans="1:11" hidden="1" x14ac:dyDescent="0.25">
      <c r="A1582">
        <v>1581</v>
      </c>
      <c r="B1582" s="1">
        <v>45754</v>
      </c>
      <c r="C1582" t="s">
        <v>14</v>
      </c>
      <c r="D1582" t="s">
        <v>94</v>
      </c>
      <c r="E1582" t="s">
        <v>13</v>
      </c>
      <c r="F1582">
        <v>3</v>
      </c>
      <c r="G1582" t="str">
        <f>VLOOKUP(D1582,Товары!A:I,3,0)</f>
        <v>Зеркальный шкаф Альба 80 со светильником правый цвет антрацит</v>
      </c>
      <c r="H1582">
        <f>VLOOKUP(D1582,Товары!A:I,6,0)</f>
        <v>75</v>
      </c>
      <c r="I1582" t="str">
        <f>VLOOKUP(C1582,Магазины!A:C,3,0)</f>
        <v>Оренбург</v>
      </c>
      <c r="J1582">
        <f>VLOOKUP(D1582,Товары!A:I,4,0)</f>
        <v>9930</v>
      </c>
      <c r="K1582">
        <f t="shared" si="24"/>
        <v>29790</v>
      </c>
    </row>
    <row r="1583" spans="1:11" hidden="1" x14ac:dyDescent="0.25">
      <c r="A1583">
        <v>1582</v>
      </c>
      <c r="B1583" s="1">
        <v>45753</v>
      </c>
      <c r="C1583" t="s">
        <v>57</v>
      </c>
      <c r="D1583" t="s">
        <v>42</v>
      </c>
      <c r="E1583" t="s">
        <v>13</v>
      </c>
      <c r="F1583">
        <v>1</v>
      </c>
      <c r="G1583" t="str">
        <f>VLOOKUP(D1583,Товары!A:I,3,0)</f>
        <v>Тумба под стиральную машину Леон Риф 57 подвесная 2 ящика под ст/маш, без умывальника /под Marshall 120 Солярис/Белый Риф</v>
      </c>
      <c r="H1583">
        <f>VLOOKUP(D1583,Товары!A:I,6,0)</f>
        <v>60</v>
      </c>
      <c r="I1583" t="str">
        <f>VLOOKUP(C1583,Магазины!A:C,3,0)</f>
        <v>Оренбург</v>
      </c>
      <c r="J1583">
        <f>VLOOKUP(D1583,Товары!A:I,4,0)</f>
        <v>15495</v>
      </c>
      <c r="K1583">
        <f t="shared" si="24"/>
        <v>15495</v>
      </c>
    </row>
    <row r="1584" spans="1:11" hidden="1" x14ac:dyDescent="0.25">
      <c r="A1584">
        <v>1583</v>
      </c>
      <c r="B1584" s="1">
        <v>45756</v>
      </c>
      <c r="C1584" t="s">
        <v>30</v>
      </c>
      <c r="D1584" t="s">
        <v>112</v>
      </c>
      <c r="E1584" t="s">
        <v>8</v>
      </c>
      <c r="F1584">
        <v>2</v>
      </c>
      <c r="G1584" t="str">
        <f>VLOOKUP(D1584,Товары!A:I,3,0)</f>
        <v>Тумба с раковиной  напол. Аква 560 белый 2 двери с умыв. Уют</v>
      </c>
      <c r="H1584">
        <f>VLOOKUP(D1584,Товары!A:I,6,0)</f>
        <v>85</v>
      </c>
      <c r="I1584" t="str">
        <f>VLOOKUP(C1584,Магазины!A:C,3,0)</f>
        <v>Кемерово</v>
      </c>
      <c r="J1584">
        <f>VLOOKUP(D1584,Товары!A:I,4,0)</f>
        <v>9330</v>
      </c>
      <c r="K1584">
        <f t="shared" si="24"/>
        <v>18660</v>
      </c>
    </row>
    <row r="1585" spans="1:11" hidden="1" x14ac:dyDescent="0.25">
      <c r="A1585">
        <v>1584</v>
      </c>
      <c r="B1585" s="1">
        <v>45755</v>
      </c>
      <c r="C1585" t="s">
        <v>9</v>
      </c>
      <c r="D1585" t="s">
        <v>127</v>
      </c>
      <c r="E1585" t="s">
        <v>8</v>
      </c>
      <c r="F1585">
        <v>2</v>
      </c>
      <c r="G1585" t="str">
        <f>VLOOKUP(D1585,Товары!A:I,3,0)</f>
        <v>Тумба с раковиной  навес. Альба 700 мята 1 ящик с умыв. Слим</v>
      </c>
      <c r="H1585">
        <f>VLOOKUP(D1585,Товары!A:I,6,0)</f>
        <v>45</v>
      </c>
      <c r="I1585" t="str">
        <f>VLOOKUP(C1585,Магазины!A:C,3,0)</f>
        <v>Кемерово</v>
      </c>
      <c r="J1585">
        <f>VLOOKUP(D1585,Товары!A:I,4,0)</f>
        <v>20130</v>
      </c>
      <c r="K1585">
        <f t="shared" si="24"/>
        <v>40260</v>
      </c>
    </row>
    <row r="1586" spans="1:11" hidden="1" x14ac:dyDescent="0.25">
      <c r="A1586">
        <v>1585</v>
      </c>
      <c r="B1586" s="1">
        <v>45754</v>
      </c>
      <c r="C1586" t="s">
        <v>41</v>
      </c>
      <c r="D1586" t="s">
        <v>96</v>
      </c>
      <c r="E1586" t="s">
        <v>13</v>
      </c>
      <c r="F1586">
        <v>3</v>
      </c>
      <c r="G1586" t="str">
        <f>VLOOKUP(D1586,Товары!A:I,3,0)</f>
        <v>Тумба с раковиной  навес. Альба 600 мята 1 ящик с умыв. Океан</v>
      </c>
      <c r="H1586">
        <f>VLOOKUP(D1586,Товары!A:I,6,0)</f>
        <v>85</v>
      </c>
      <c r="I1586" t="str">
        <f>VLOOKUP(C1586,Магазины!A:C,3,0)</f>
        <v>Ставрополь</v>
      </c>
      <c r="J1586">
        <f>VLOOKUP(D1586,Товары!A:I,4,0)</f>
        <v>17625</v>
      </c>
      <c r="K1586">
        <f t="shared" si="24"/>
        <v>52875</v>
      </c>
    </row>
    <row r="1587" spans="1:11" hidden="1" x14ac:dyDescent="0.25">
      <c r="A1587">
        <v>1586</v>
      </c>
      <c r="B1587" s="1">
        <v>45757</v>
      </c>
      <c r="C1587" t="s">
        <v>28</v>
      </c>
      <c r="D1587" t="s">
        <v>61</v>
      </c>
      <c r="E1587" t="s">
        <v>13</v>
      </c>
      <c r="F1587">
        <v>2</v>
      </c>
      <c r="G1587" t="str">
        <f>VLOOKUP(D1587,Товары!A:I,3,0)</f>
        <v>Тумба под стиральную машину Леон Риф 57 напольная 2 ящика под ст/маш, без умывальника /под Marshall 120 Солярис/Белый Риф</v>
      </c>
      <c r="H1587">
        <f>VLOOKUP(D1587,Товары!A:I,6,0)</f>
        <v>85</v>
      </c>
      <c r="I1587" t="str">
        <f>VLOOKUP(C1587,Магазины!A:C,3,0)</f>
        <v>Набережные Челны</v>
      </c>
      <c r="J1587">
        <f>VLOOKUP(D1587,Товары!A:I,4,0)</f>
        <v>17430</v>
      </c>
      <c r="K1587">
        <f t="shared" si="24"/>
        <v>34860</v>
      </c>
    </row>
    <row r="1588" spans="1:11" hidden="1" x14ac:dyDescent="0.25">
      <c r="A1588">
        <v>1587</v>
      </c>
      <c r="B1588" s="1">
        <v>45749</v>
      </c>
      <c r="C1588" t="s">
        <v>11</v>
      </c>
      <c r="D1588" t="s">
        <v>130</v>
      </c>
      <c r="E1588" t="s">
        <v>8</v>
      </c>
      <c r="F1588">
        <v>2</v>
      </c>
      <c r="G1588" t="str">
        <f>VLOOKUP(D1588,Товары!A:I,3,0)</f>
        <v>Пенал напол. Леон 400 форест 2 двери + 1 ящик</v>
      </c>
      <c r="H1588">
        <f>VLOOKUP(D1588,Товары!A:I,6,0)</f>
        <v>190</v>
      </c>
      <c r="I1588" t="str">
        <f>VLOOKUP(C1588,Магазины!A:C,3,0)</f>
        <v>Кемерово</v>
      </c>
      <c r="J1588">
        <f>VLOOKUP(D1588,Товары!A:I,4,0)</f>
        <v>18450</v>
      </c>
      <c r="K1588">
        <f t="shared" si="24"/>
        <v>36900</v>
      </c>
    </row>
    <row r="1589" spans="1:11" hidden="1" x14ac:dyDescent="0.25">
      <c r="A1589">
        <v>1588</v>
      </c>
      <c r="B1589" s="1">
        <v>45752</v>
      </c>
      <c r="C1589" t="s">
        <v>35</v>
      </c>
      <c r="D1589" t="s">
        <v>118</v>
      </c>
      <c r="E1589" t="s">
        <v>8</v>
      </c>
      <c r="F1589">
        <v>3</v>
      </c>
      <c r="G1589" t="str">
        <f>VLOOKUP(D1589,Товары!A:I,3,0)</f>
        <v>Тумба с раковиной  напол. Сохо 800 белый 2 ящика с умыв. Слим</v>
      </c>
      <c r="H1589">
        <f>VLOOKUP(D1589,Товары!A:I,6,0)</f>
        <v>85</v>
      </c>
      <c r="I1589" t="str">
        <f>VLOOKUP(C1589,Магазины!A:C,3,0)</f>
        <v>Набережные Челны</v>
      </c>
      <c r="J1589">
        <f>VLOOKUP(D1589,Товары!A:I,4,0)</f>
        <v>19575</v>
      </c>
      <c r="K1589">
        <f t="shared" si="24"/>
        <v>58725</v>
      </c>
    </row>
    <row r="1590" spans="1:11" hidden="1" x14ac:dyDescent="0.25">
      <c r="A1590">
        <v>1589</v>
      </c>
      <c r="B1590" s="1">
        <v>45752</v>
      </c>
      <c r="C1590" t="s">
        <v>54</v>
      </c>
      <c r="D1590" t="s">
        <v>51</v>
      </c>
      <c r="E1590" t="s">
        <v>13</v>
      </c>
      <c r="F1590">
        <v>2</v>
      </c>
      <c r="G1590" t="str">
        <f>VLOOKUP(D1590,Товары!A:I,3,0)</f>
        <v>Зеркальный шкаф Альба 80 со светильником правый цвет суфле</v>
      </c>
      <c r="H1590">
        <f>VLOOKUP(D1590,Товары!A:I,6,0)</f>
        <v>75</v>
      </c>
      <c r="I1590" t="str">
        <f>VLOOKUP(C1590,Магазины!A:C,3,0)</f>
        <v>Ставрополь</v>
      </c>
      <c r="J1590">
        <f>VLOOKUP(D1590,Товары!A:I,4,0)</f>
        <v>9930</v>
      </c>
      <c r="K1590">
        <f t="shared" si="24"/>
        <v>19860</v>
      </c>
    </row>
    <row r="1591" spans="1:11" hidden="1" x14ac:dyDescent="0.25">
      <c r="A1591">
        <v>1590</v>
      </c>
      <c r="B1591" s="1">
        <v>45755</v>
      </c>
      <c r="C1591" t="s">
        <v>14</v>
      </c>
      <c r="D1591" t="s">
        <v>100</v>
      </c>
      <c r="E1591" t="s">
        <v>8</v>
      </c>
      <c r="F1591">
        <v>2</v>
      </c>
      <c r="G1591" t="str">
        <f>VLOOKUP(D1591,Товары!A:I,3,0)</f>
        <v>Тумба с раковиной  навес. Альба 800 мята 1 ящик с умыв. Слим</v>
      </c>
      <c r="H1591">
        <f>VLOOKUP(D1591,Товары!A:I,6,0)</f>
        <v>45</v>
      </c>
      <c r="I1591" t="str">
        <f>VLOOKUP(C1591,Магазины!A:C,3,0)</f>
        <v>Оренбург</v>
      </c>
      <c r="J1591">
        <f>VLOOKUP(D1591,Товары!A:I,4,0)</f>
        <v>21630</v>
      </c>
      <c r="K1591">
        <f t="shared" si="24"/>
        <v>43260</v>
      </c>
    </row>
    <row r="1592" spans="1:11" hidden="1" x14ac:dyDescent="0.25">
      <c r="A1592">
        <v>1591</v>
      </c>
      <c r="B1592" s="1">
        <v>45757</v>
      </c>
      <c r="C1592" t="s">
        <v>103</v>
      </c>
      <c r="D1592" t="s">
        <v>39</v>
      </c>
      <c r="E1592" t="s">
        <v>13</v>
      </c>
      <c r="F1592">
        <v>1</v>
      </c>
      <c r="G1592" t="str">
        <f>VLOOKUP(D1592,Товары!A:I,3,0)</f>
        <v>Тумба с раковиной  напол. Альба 700 мята 2 ящика с умыв. Слим</v>
      </c>
      <c r="H1592">
        <f>VLOOKUP(D1592,Товары!A:I,6,0)</f>
        <v>85</v>
      </c>
      <c r="I1592" t="str">
        <f>VLOOKUP(C1592,Магазины!A:C,3,0)</f>
        <v>Ставрополь</v>
      </c>
      <c r="J1592">
        <f>VLOOKUP(D1592,Товары!A:I,4,0)</f>
        <v>28695</v>
      </c>
      <c r="K1592">
        <f t="shared" si="24"/>
        <v>28695</v>
      </c>
    </row>
    <row r="1593" spans="1:11" hidden="1" x14ac:dyDescent="0.25">
      <c r="A1593">
        <v>1592</v>
      </c>
      <c r="B1593" s="1">
        <v>45757</v>
      </c>
      <c r="C1593" t="s">
        <v>41</v>
      </c>
      <c r="D1593" t="s">
        <v>131</v>
      </c>
      <c r="E1593" t="s">
        <v>13</v>
      </c>
      <c r="F1593">
        <v>3</v>
      </c>
      <c r="G1593" t="str">
        <f>VLOOKUP(D1593,Товары!A:I,3,0)</f>
        <v>Тумба с раковиной  напол. Леон 800 форест 2 ящика с умыв. Слим</v>
      </c>
      <c r="H1593">
        <f>VLOOKUP(D1593,Товары!A:I,6,0)</f>
        <v>80</v>
      </c>
      <c r="I1593" t="str">
        <f>VLOOKUP(C1593,Магазины!A:C,3,0)</f>
        <v>Ставрополь</v>
      </c>
      <c r="J1593">
        <f>VLOOKUP(D1593,Товары!A:I,4,0)</f>
        <v>29400</v>
      </c>
      <c r="K1593">
        <f t="shared" si="24"/>
        <v>88200</v>
      </c>
    </row>
    <row r="1594" spans="1:11" hidden="1" x14ac:dyDescent="0.25">
      <c r="A1594">
        <v>1593</v>
      </c>
      <c r="B1594" s="1">
        <v>45750</v>
      </c>
      <c r="C1594" t="s">
        <v>9</v>
      </c>
      <c r="D1594" t="s">
        <v>83</v>
      </c>
      <c r="E1594" t="s">
        <v>8</v>
      </c>
      <c r="F1594">
        <v>1</v>
      </c>
      <c r="G1594" t="str">
        <f>VLOOKUP(D1594,Товары!A:I,3,0)</f>
        <v>Зеркальный шкаф Альба 60 со светильником правый цвет суфле</v>
      </c>
      <c r="H1594">
        <f>VLOOKUP(D1594,Товары!A:I,6,0)</f>
        <v>75</v>
      </c>
      <c r="I1594" t="str">
        <f>VLOOKUP(C1594,Магазины!A:C,3,0)</f>
        <v>Кемерово</v>
      </c>
      <c r="J1594">
        <f>VLOOKUP(D1594,Товары!A:I,4,0)</f>
        <v>8910</v>
      </c>
      <c r="K1594">
        <f t="shared" si="24"/>
        <v>8910</v>
      </c>
    </row>
    <row r="1595" spans="1:11" hidden="1" x14ac:dyDescent="0.25">
      <c r="A1595">
        <v>1594</v>
      </c>
      <c r="B1595" s="1">
        <v>45755</v>
      </c>
      <c r="C1595" t="s">
        <v>58</v>
      </c>
      <c r="D1595" t="s">
        <v>21</v>
      </c>
      <c r="E1595" t="s">
        <v>13</v>
      </c>
      <c r="F1595">
        <v>1</v>
      </c>
      <c r="G1595" t="str">
        <f>VLOOKUP(D1595,Товары!A:I,3,0)</f>
        <v>Зеркальный шкаф Рица 60 со светильником правый цвет cерый/керамика</v>
      </c>
      <c r="H1595">
        <f>VLOOKUP(D1595,Товары!A:I,6,0)</f>
        <v>75</v>
      </c>
      <c r="I1595" t="str">
        <f>VLOOKUP(C1595,Магазины!A:C,3,0)</f>
        <v>Ставрополь</v>
      </c>
      <c r="J1595">
        <f>VLOOKUP(D1595,Товары!A:I,4,0)</f>
        <v>8910</v>
      </c>
      <c r="K1595">
        <f t="shared" si="24"/>
        <v>8910</v>
      </c>
    </row>
    <row r="1596" spans="1:11" hidden="1" x14ac:dyDescent="0.25">
      <c r="A1596">
        <v>1595</v>
      </c>
      <c r="B1596" s="1">
        <v>45755</v>
      </c>
      <c r="C1596" t="s">
        <v>41</v>
      </c>
      <c r="D1596" t="s">
        <v>71</v>
      </c>
      <c r="E1596" t="s">
        <v>13</v>
      </c>
      <c r="F1596">
        <v>3</v>
      </c>
      <c r="G1596" t="str">
        <f>VLOOKUP(D1596,Товары!A:I,3,0)</f>
        <v>Тумба с раковиной  навес. Альба 600 мята 2 ящика с умыв. Океан</v>
      </c>
      <c r="H1596">
        <f>VLOOKUP(D1596,Товары!A:I,6,0)</f>
        <v>50</v>
      </c>
      <c r="I1596" t="str">
        <f>VLOOKUP(C1596,Магазины!A:C,3,0)</f>
        <v>Ставрополь</v>
      </c>
      <c r="J1596">
        <f>VLOOKUP(D1596,Товары!A:I,4,0)</f>
        <v>24810</v>
      </c>
      <c r="K1596">
        <f t="shared" si="24"/>
        <v>74430</v>
      </c>
    </row>
    <row r="1597" spans="1:11" hidden="1" x14ac:dyDescent="0.25">
      <c r="A1597">
        <v>1596</v>
      </c>
      <c r="B1597" s="1">
        <v>45751</v>
      </c>
      <c r="C1597" t="s">
        <v>63</v>
      </c>
      <c r="D1597" t="s">
        <v>7</v>
      </c>
      <c r="E1597" t="s">
        <v>8</v>
      </c>
      <c r="F1597">
        <v>2</v>
      </c>
      <c r="G1597" t="str">
        <f>VLOOKUP(D1597,Товары!A:I,3,0)</f>
        <v>Пенал напол. Леон Риф 400 солярис/белый риф 2 двери + 1 ящик</v>
      </c>
      <c r="H1597">
        <f>VLOOKUP(D1597,Товары!A:I,6,0)</f>
        <v>190</v>
      </c>
      <c r="I1597" t="str">
        <f>VLOOKUP(C1597,Магазины!A:C,3,0)</f>
        <v>Ставрополь</v>
      </c>
      <c r="J1597">
        <f>VLOOKUP(D1597,Товары!A:I,4,0)</f>
        <v>14490</v>
      </c>
      <c r="K1597">
        <f t="shared" si="24"/>
        <v>28980</v>
      </c>
    </row>
    <row r="1598" spans="1:11" hidden="1" x14ac:dyDescent="0.25">
      <c r="A1598">
        <v>1597</v>
      </c>
      <c r="B1598" s="1">
        <v>45748</v>
      </c>
      <c r="C1598" t="s">
        <v>111</v>
      </c>
      <c r="D1598" t="s">
        <v>95</v>
      </c>
      <c r="E1598" t="s">
        <v>13</v>
      </c>
      <c r="F1598">
        <v>2</v>
      </c>
      <c r="G1598" t="str">
        <f>VLOOKUP(D1598,Товары!A:I,3,0)</f>
        <v>Тумба с раковиной  напол. Рица 600 антрацит 2 ящика с умыв. Океан</v>
      </c>
      <c r="H1598">
        <f>VLOOKUP(D1598,Товары!A:I,6,0)</f>
        <v>80</v>
      </c>
      <c r="I1598" t="str">
        <f>VLOOKUP(C1598,Магазины!A:C,3,0)</f>
        <v>Набережные Челны</v>
      </c>
      <c r="J1598">
        <f>VLOOKUP(D1598,Товары!A:I,4,0)</f>
        <v>25560</v>
      </c>
      <c r="K1598">
        <f t="shared" si="24"/>
        <v>51120</v>
      </c>
    </row>
    <row r="1599" spans="1:11" hidden="1" x14ac:dyDescent="0.25">
      <c r="A1599">
        <v>1598</v>
      </c>
      <c r="B1599" s="1">
        <v>45750</v>
      </c>
      <c r="C1599" t="s">
        <v>11</v>
      </c>
      <c r="D1599" t="s">
        <v>39</v>
      </c>
      <c r="E1599" t="s">
        <v>13</v>
      </c>
      <c r="F1599">
        <v>1</v>
      </c>
      <c r="G1599" t="str">
        <f>VLOOKUP(D1599,Товары!A:I,3,0)</f>
        <v>Тумба с раковиной  напол. Альба 700 мята 2 ящика с умыв. Слим</v>
      </c>
      <c r="H1599">
        <f>VLOOKUP(D1599,Товары!A:I,6,0)</f>
        <v>85</v>
      </c>
      <c r="I1599" t="str">
        <f>VLOOKUP(C1599,Магазины!A:C,3,0)</f>
        <v>Кемерово</v>
      </c>
      <c r="J1599">
        <f>VLOOKUP(D1599,Товары!A:I,4,0)</f>
        <v>28695</v>
      </c>
      <c r="K1599">
        <f t="shared" si="24"/>
        <v>28695</v>
      </c>
    </row>
    <row r="1600" spans="1:11" hidden="1" x14ac:dyDescent="0.25">
      <c r="A1600">
        <v>1599</v>
      </c>
      <c r="B1600" s="1">
        <v>45753</v>
      </c>
      <c r="C1600" t="s">
        <v>30</v>
      </c>
      <c r="D1600" t="s">
        <v>114</v>
      </c>
      <c r="E1600" t="s">
        <v>8</v>
      </c>
      <c r="F1600">
        <v>1</v>
      </c>
      <c r="G1600" t="str">
        <f>VLOOKUP(D1600,Товары!A:I,3,0)</f>
        <v>Тумба с раковиной  навес. Альба 700 мята 2 ящика с умыв. Слим</v>
      </c>
      <c r="H1600">
        <f>VLOOKUP(D1600,Товары!A:I,6,0)</f>
        <v>60</v>
      </c>
      <c r="I1600" t="str">
        <f>VLOOKUP(C1600,Магазины!A:C,3,0)</f>
        <v>Кемерово</v>
      </c>
      <c r="J1600">
        <f>VLOOKUP(D1600,Товары!A:I,4,0)</f>
        <v>25095</v>
      </c>
      <c r="K1600">
        <f t="shared" si="24"/>
        <v>25095</v>
      </c>
    </row>
    <row r="1601" spans="1:11" hidden="1" x14ac:dyDescent="0.25">
      <c r="A1601">
        <v>1600</v>
      </c>
      <c r="B1601" s="1">
        <v>45752</v>
      </c>
      <c r="C1601" t="s">
        <v>16</v>
      </c>
      <c r="D1601" t="s">
        <v>95</v>
      </c>
      <c r="E1601" t="s">
        <v>13</v>
      </c>
      <c r="F1601">
        <v>1</v>
      </c>
      <c r="G1601" t="str">
        <f>VLOOKUP(D1601,Товары!A:I,3,0)</f>
        <v>Тумба с раковиной  напол. Рица 600 антрацит 2 ящика с умыв. Океан</v>
      </c>
      <c r="H1601">
        <f>VLOOKUP(D1601,Товары!A:I,6,0)</f>
        <v>80</v>
      </c>
      <c r="I1601" t="str">
        <f>VLOOKUP(C1601,Магазины!A:C,3,0)</f>
        <v>Оренбург</v>
      </c>
      <c r="J1601">
        <f>VLOOKUP(D1601,Товары!A:I,4,0)</f>
        <v>25560</v>
      </c>
      <c r="K1601">
        <f t="shared" si="24"/>
        <v>25560</v>
      </c>
    </row>
    <row r="1602" spans="1:11" hidden="1" x14ac:dyDescent="0.25">
      <c r="A1602">
        <v>1601</v>
      </c>
      <c r="B1602" s="1">
        <v>45756</v>
      </c>
      <c r="C1602" t="s">
        <v>41</v>
      </c>
      <c r="D1602" t="s">
        <v>68</v>
      </c>
      <c r="E1602" t="s">
        <v>13</v>
      </c>
      <c r="F1602">
        <v>1</v>
      </c>
      <c r="G1602" t="str">
        <f>VLOOKUP(D1602,Товары!A:I,3,0)</f>
        <v>Тумба с раковиной  навес. Альба 600 антрацит 1 ящик с умыв. Океан</v>
      </c>
      <c r="H1602">
        <f>VLOOKUP(D1602,Товары!A:I,6,0)</f>
        <v>85</v>
      </c>
      <c r="I1602" t="str">
        <f>VLOOKUP(C1602,Магазины!A:C,3,0)</f>
        <v>Ставрополь</v>
      </c>
      <c r="J1602">
        <f>VLOOKUP(D1602,Товары!A:I,4,0)</f>
        <v>17625</v>
      </c>
      <c r="K1602">
        <f t="shared" si="24"/>
        <v>17625</v>
      </c>
    </row>
    <row r="1603" spans="1:11" hidden="1" x14ac:dyDescent="0.25">
      <c r="A1603">
        <v>1602</v>
      </c>
      <c r="B1603" s="1">
        <v>45755</v>
      </c>
      <c r="C1603" t="s">
        <v>9</v>
      </c>
      <c r="D1603" t="s">
        <v>61</v>
      </c>
      <c r="E1603" t="s">
        <v>13</v>
      </c>
      <c r="F1603">
        <v>1</v>
      </c>
      <c r="G1603" t="str">
        <f>VLOOKUP(D1603,Товары!A:I,3,0)</f>
        <v>Тумба под стиральную машину Леон Риф 57 напольная 2 ящика под ст/маш, без умывальника /под Marshall 120 Солярис/Белый Риф</v>
      </c>
      <c r="H1603">
        <f>VLOOKUP(D1603,Товары!A:I,6,0)</f>
        <v>85</v>
      </c>
      <c r="I1603" t="str">
        <f>VLOOKUP(C1603,Магазины!A:C,3,0)</f>
        <v>Кемерово</v>
      </c>
      <c r="J1603">
        <f>VLOOKUP(D1603,Товары!A:I,4,0)</f>
        <v>17430</v>
      </c>
      <c r="K1603">
        <f t="shared" ref="K1603:K1666" si="25">J1603*F1603</f>
        <v>17430</v>
      </c>
    </row>
    <row r="1604" spans="1:11" hidden="1" x14ac:dyDescent="0.25">
      <c r="A1604">
        <v>1603</v>
      </c>
      <c r="B1604" s="1">
        <v>45750</v>
      </c>
      <c r="C1604" t="s">
        <v>20</v>
      </c>
      <c r="D1604" t="s">
        <v>66</v>
      </c>
      <c r="E1604" t="s">
        <v>8</v>
      </c>
      <c r="F1604">
        <v>3</v>
      </c>
      <c r="G1604" t="str">
        <f>VLOOKUP(D1604,Товары!A:I,3,0)</f>
        <v>Тумба с раковиной  навес. Альба 800 мята 2 ящика с умыв. Слим</v>
      </c>
      <c r="H1604">
        <f>VLOOKUP(D1604,Товары!A:I,6,0)</f>
        <v>50</v>
      </c>
      <c r="I1604" t="str">
        <f>VLOOKUP(C1604,Магазины!A:C,3,0)</f>
        <v>Оренбург</v>
      </c>
      <c r="J1604">
        <f>VLOOKUP(D1604,Товары!A:I,4,0)</f>
        <v>26070</v>
      </c>
      <c r="K1604">
        <f t="shared" si="25"/>
        <v>78210</v>
      </c>
    </row>
    <row r="1605" spans="1:11" hidden="1" x14ac:dyDescent="0.25">
      <c r="A1605">
        <v>1604</v>
      </c>
      <c r="B1605" s="1">
        <v>45757</v>
      </c>
      <c r="C1605" t="s">
        <v>48</v>
      </c>
      <c r="D1605" t="s">
        <v>123</v>
      </c>
      <c r="E1605" t="s">
        <v>8</v>
      </c>
      <c r="F1605">
        <v>1</v>
      </c>
      <c r="G1605" t="str">
        <f>VLOOKUP(D1605,Товары!A:I,3,0)</f>
        <v>Тумба с раковиной  напол. Кристалл 800 суфле 2 ящика с умыв. Слим</v>
      </c>
      <c r="H1605">
        <f>VLOOKUP(D1605,Товары!A:I,6,0)</f>
        <v>80</v>
      </c>
      <c r="I1605" t="str">
        <f>VLOOKUP(C1605,Магазины!A:C,3,0)</f>
        <v>Ставрополь</v>
      </c>
      <c r="J1605">
        <f>VLOOKUP(D1605,Товары!A:I,4,0)</f>
        <v>31125</v>
      </c>
      <c r="K1605">
        <f t="shared" si="25"/>
        <v>31125</v>
      </c>
    </row>
    <row r="1606" spans="1:11" hidden="1" x14ac:dyDescent="0.25">
      <c r="A1606">
        <v>1605</v>
      </c>
      <c r="B1606" s="1">
        <v>45755</v>
      </c>
      <c r="C1606" t="s">
        <v>57</v>
      </c>
      <c r="D1606" t="s">
        <v>49</v>
      </c>
      <c r="E1606" t="s">
        <v>8</v>
      </c>
      <c r="F1606">
        <v>2</v>
      </c>
      <c r="G1606" t="str">
        <f>VLOOKUP(D1606,Товары!A:I,3,0)</f>
        <v>Тумба с раковиной  напол. Леон 700 оникс 2 ящика с умыв. Слим</v>
      </c>
      <c r="H1606">
        <f>VLOOKUP(D1606,Товары!A:I,6,0)</f>
        <v>80</v>
      </c>
      <c r="I1606" t="str">
        <f>VLOOKUP(C1606,Магазины!A:C,3,0)</f>
        <v>Оренбург</v>
      </c>
      <c r="J1606">
        <f>VLOOKUP(D1606,Товары!A:I,4,0)</f>
        <v>28380</v>
      </c>
      <c r="K1606">
        <f t="shared" si="25"/>
        <v>56760</v>
      </c>
    </row>
    <row r="1607" spans="1:11" hidden="1" x14ac:dyDescent="0.25">
      <c r="A1607">
        <v>1606</v>
      </c>
      <c r="B1607" s="1">
        <v>45756</v>
      </c>
      <c r="C1607" t="s">
        <v>54</v>
      </c>
      <c r="D1607" t="s">
        <v>27</v>
      </c>
      <c r="E1607" t="s">
        <v>8</v>
      </c>
      <c r="F1607">
        <v>3</v>
      </c>
      <c r="G1607" t="str">
        <f>VLOOKUP(D1607,Товары!A:I,3,0)</f>
        <v>Тумба с раковиной  навес. Виктория 800 белый 2 ящика с умыв. Слим</v>
      </c>
      <c r="H1607">
        <f>VLOOKUP(D1607,Товары!A:I,6,0)</f>
        <v>60</v>
      </c>
      <c r="I1607" t="str">
        <f>VLOOKUP(C1607,Магазины!A:C,3,0)</f>
        <v>Ставрополь</v>
      </c>
      <c r="J1607">
        <f>VLOOKUP(D1607,Товары!A:I,4,0)</f>
        <v>25290</v>
      </c>
      <c r="K1607">
        <f t="shared" si="25"/>
        <v>75870</v>
      </c>
    </row>
    <row r="1608" spans="1:11" hidden="1" x14ac:dyDescent="0.25">
      <c r="A1608">
        <v>1607</v>
      </c>
      <c r="B1608" s="1">
        <v>45756</v>
      </c>
      <c r="C1608" t="s">
        <v>30</v>
      </c>
      <c r="D1608" t="s">
        <v>125</v>
      </c>
      <c r="E1608" t="s">
        <v>13</v>
      </c>
      <c r="F1608">
        <v>2</v>
      </c>
      <c r="G1608" t="str">
        <f>VLOOKUP(D1608,Товары!A:I,3,0)</f>
        <v>Зеркальный шкаф Сохо 60 белый со светильником правый цвет Белый глянец</v>
      </c>
      <c r="H1608">
        <f>VLOOKUP(D1608,Товары!A:I,6,0)</f>
        <v>75</v>
      </c>
      <c r="I1608" t="str">
        <f>VLOOKUP(C1608,Магазины!A:C,3,0)</f>
        <v>Кемерово</v>
      </c>
      <c r="J1608">
        <f>VLOOKUP(D1608,Товары!A:I,4,0)</f>
        <v>7395</v>
      </c>
      <c r="K1608">
        <f t="shared" si="25"/>
        <v>14790</v>
      </c>
    </row>
    <row r="1609" spans="1:11" hidden="1" x14ac:dyDescent="0.25">
      <c r="A1609">
        <v>1608</v>
      </c>
      <c r="B1609" s="1">
        <v>45755</v>
      </c>
      <c r="C1609" t="s">
        <v>28</v>
      </c>
      <c r="D1609" t="s">
        <v>40</v>
      </c>
      <c r="E1609" t="s">
        <v>13</v>
      </c>
      <c r="F1609">
        <v>1</v>
      </c>
      <c r="G1609" t="str">
        <f>VLOOKUP(D1609,Товары!A:I,3,0)</f>
        <v>Тумба с раковиной  навес. Рица 800 cерый/керамика 1 ящик + ниша 1 с умыв. Слим</v>
      </c>
      <c r="H1609">
        <f>VLOOKUP(D1609,Товары!A:I,6,0)</f>
        <v>60</v>
      </c>
      <c r="I1609" t="str">
        <f>VLOOKUP(C1609,Магазины!A:C,3,0)</f>
        <v>Набережные Челны</v>
      </c>
      <c r="J1609">
        <f>VLOOKUP(D1609,Товары!A:I,4,0)</f>
        <v>22425</v>
      </c>
      <c r="K1609">
        <f t="shared" si="25"/>
        <v>22425</v>
      </c>
    </row>
    <row r="1610" spans="1:11" hidden="1" x14ac:dyDescent="0.25">
      <c r="A1610">
        <v>1609</v>
      </c>
      <c r="B1610" s="1">
        <v>45752</v>
      </c>
      <c r="C1610" t="s">
        <v>33</v>
      </c>
      <c r="D1610" t="s">
        <v>49</v>
      </c>
      <c r="E1610" t="s">
        <v>13</v>
      </c>
      <c r="F1610">
        <v>1</v>
      </c>
      <c r="G1610" t="str">
        <f>VLOOKUP(D1610,Товары!A:I,3,0)</f>
        <v>Тумба с раковиной  напол. Леон 700 оникс 2 ящика с умыв. Слим</v>
      </c>
      <c r="H1610">
        <f>VLOOKUP(D1610,Товары!A:I,6,0)</f>
        <v>80</v>
      </c>
      <c r="I1610" t="str">
        <f>VLOOKUP(C1610,Магазины!A:C,3,0)</f>
        <v>Набережные Челны</v>
      </c>
      <c r="J1610">
        <f>VLOOKUP(D1610,Товары!A:I,4,0)</f>
        <v>28380</v>
      </c>
      <c r="K1610">
        <f t="shared" si="25"/>
        <v>28380</v>
      </c>
    </row>
    <row r="1611" spans="1:11" hidden="1" x14ac:dyDescent="0.25">
      <c r="A1611">
        <v>1610</v>
      </c>
      <c r="B1611" s="1">
        <v>45751</v>
      </c>
      <c r="C1611" t="s">
        <v>16</v>
      </c>
      <c r="D1611" t="s">
        <v>90</v>
      </c>
      <c r="E1611" t="s">
        <v>13</v>
      </c>
      <c r="F1611">
        <v>1</v>
      </c>
      <c r="G1611" t="str">
        <f>VLOOKUP(D1611,Товары!A:I,3,0)</f>
        <v>Пенал напол. Аква 350 белый 2 двери + 2 ящика</v>
      </c>
      <c r="H1611">
        <f>VLOOKUP(D1611,Товары!A:I,6,0)</f>
        <v>190</v>
      </c>
      <c r="I1611" t="str">
        <f>VLOOKUP(C1611,Магазины!A:C,3,0)</f>
        <v>Оренбург</v>
      </c>
      <c r="J1611">
        <f>VLOOKUP(D1611,Товары!A:I,4,0)</f>
        <v>10650</v>
      </c>
      <c r="K1611">
        <f t="shared" si="25"/>
        <v>10650</v>
      </c>
    </row>
    <row r="1612" spans="1:11" hidden="1" x14ac:dyDescent="0.25">
      <c r="A1612">
        <v>1611</v>
      </c>
      <c r="B1612" s="1">
        <v>45752</v>
      </c>
      <c r="C1612" t="s">
        <v>92</v>
      </c>
      <c r="D1612" t="s">
        <v>91</v>
      </c>
      <c r="E1612" t="s">
        <v>8</v>
      </c>
      <c r="F1612">
        <v>1</v>
      </c>
      <c r="G1612" t="str">
        <f>VLOOKUP(D1612,Товары!A:I,3,0)</f>
        <v>Пенал навес./напол. Альба 350 мята 2 двери</v>
      </c>
      <c r="H1612">
        <f>VLOOKUP(D1612,Товары!A:I,6,0)</f>
        <v>150</v>
      </c>
      <c r="I1612" t="str">
        <f>VLOOKUP(C1612,Магазины!A:C,3,0)</f>
        <v>Кемерово</v>
      </c>
      <c r="J1612">
        <f>VLOOKUP(D1612,Товары!A:I,4,0)</f>
        <v>11655</v>
      </c>
      <c r="K1612">
        <f t="shared" si="25"/>
        <v>11655</v>
      </c>
    </row>
    <row r="1613" spans="1:11" hidden="1" x14ac:dyDescent="0.25">
      <c r="A1613">
        <v>1612</v>
      </c>
      <c r="B1613" s="1">
        <v>45757</v>
      </c>
      <c r="C1613" t="s">
        <v>57</v>
      </c>
      <c r="D1613" t="s">
        <v>17</v>
      </c>
      <c r="E1613" t="s">
        <v>13</v>
      </c>
      <c r="F1613">
        <v>1</v>
      </c>
      <c r="G1613" t="str">
        <f>VLOOKUP(D1613,Товары!A:I,3,0)</f>
        <v>Тумба с раковиной  навес. Альба 800 антрацит 1 ящик с умыв. Слим</v>
      </c>
      <c r="H1613">
        <f>VLOOKUP(D1613,Товары!A:I,6,0)</f>
        <v>45</v>
      </c>
      <c r="I1613" t="str">
        <f>VLOOKUP(C1613,Магазины!A:C,3,0)</f>
        <v>Оренбург</v>
      </c>
      <c r="J1613">
        <f>VLOOKUP(D1613,Товары!A:I,4,0)</f>
        <v>21630</v>
      </c>
      <c r="K1613">
        <f t="shared" si="25"/>
        <v>21630</v>
      </c>
    </row>
    <row r="1614" spans="1:11" hidden="1" x14ac:dyDescent="0.25">
      <c r="A1614">
        <v>1613</v>
      </c>
      <c r="B1614" s="1">
        <v>45755</v>
      </c>
      <c r="C1614" t="s">
        <v>30</v>
      </c>
      <c r="D1614" t="s">
        <v>119</v>
      </c>
      <c r="E1614" t="s">
        <v>13</v>
      </c>
      <c r="F1614">
        <v>2</v>
      </c>
      <c r="G1614" t="str">
        <f>VLOOKUP(D1614,Товары!A:I,3,0)</f>
        <v>Пенал навес./напол. Рица 350 cерый/керамика 2 двери</v>
      </c>
      <c r="H1614">
        <f>VLOOKUP(D1614,Товары!A:I,6,0)</f>
        <v>160</v>
      </c>
      <c r="I1614" t="str">
        <f>VLOOKUP(C1614,Магазины!A:C,3,0)</f>
        <v>Кемерово</v>
      </c>
      <c r="J1614">
        <f>VLOOKUP(D1614,Товары!A:I,4,0)</f>
        <v>11250</v>
      </c>
      <c r="K1614">
        <f t="shared" si="25"/>
        <v>22500</v>
      </c>
    </row>
    <row r="1615" spans="1:11" hidden="1" x14ac:dyDescent="0.25">
      <c r="A1615">
        <v>1614</v>
      </c>
      <c r="B1615" s="1">
        <v>45756</v>
      </c>
      <c r="C1615" t="s">
        <v>14</v>
      </c>
      <c r="D1615" t="s">
        <v>69</v>
      </c>
      <c r="E1615" t="s">
        <v>8</v>
      </c>
      <c r="F1615">
        <v>3</v>
      </c>
      <c r="G1615" t="str">
        <f>VLOOKUP(D1615,Товары!A:I,3,0)</f>
        <v>Пенал навес./напол. Альба 350 антрацит 2 двери</v>
      </c>
      <c r="H1615">
        <f>VLOOKUP(D1615,Товары!A:I,6,0)</f>
        <v>150</v>
      </c>
      <c r="I1615" t="str">
        <f>VLOOKUP(C1615,Магазины!A:C,3,0)</f>
        <v>Оренбург</v>
      </c>
      <c r="J1615">
        <f>VLOOKUP(D1615,Товары!A:I,4,0)</f>
        <v>11655</v>
      </c>
      <c r="K1615">
        <f t="shared" si="25"/>
        <v>34965</v>
      </c>
    </row>
    <row r="1616" spans="1:11" hidden="1" x14ac:dyDescent="0.25">
      <c r="A1616">
        <v>1615</v>
      </c>
      <c r="B1616" s="1">
        <v>45748</v>
      </c>
      <c r="C1616" t="s">
        <v>35</v>
      </c>
      <c r="D1616" t="s">
        <v>110</v>
      </c>
      <c r="E1616" t="s">
        <v>13</v>
      </c>
      <c r="F1616">
        <v>2</v>
      </c>
      <c r="G1616" t="str">
        <f>VLOOKUP(D1616,Товары!A:I,3,0)</f>
        <v>Тумба с раковиной  напол. Альба 600 антрацит 2 ящика с умыв. Океан</v>
      </c>
      <c r="H1616">
        <f>VLOOKUP(D1616,Товары!A:I,6,0)</f>
        <v>80</v>
      </c>
      <c r="I1616" t="str">
        <f>VLOOKUP(C1616,Магазины!A:C,3,0)</f>
        <v>Набережные Челны</v>
      </c>
      <c r="J1616">
        <f>VLOOKUP(D1616,Товары!A:I,4,0)</f>
        <v>26370</v>
      </c>
      <c r="K1616">
        <f t="shared" si="25"/>
        <v>52740</v>
      </c>
    </row>
    <row r="1617" spans="1:11" hidden="1" x14ac:dyDescent="0.25">
      <c r="A1617">
        <v>1616</v>
      </c>
      <c r="B1617" s="1">
        <v>45748</v>
      </c>
      <c r="C1617" t="s">
        <v>58</v>
      </c>
      <c r="D1617" t="s">
        <v>40</v>
      </c>
      <c r="E1617" t="s">
        <v>13</v>
      </c>
      <c r="F1617">
        <v>1</v>
      </c>
      <c r="G1617" t="str">
        <f>VLOOKUP(D1617,Товары!A:I,3,0)</f>
        <v>Тумба с раковиной  навес. Рица 800 cерый/керамика 1 ящик + ниша 1 с умыв. Слим</v>
      </c>
      <c r="H1617">
        <f>VLOOKUP(D1617,Товары!A:I,6,0)</f>
        <v>60</v>
      </c>
      <c r="I1617" t="str">
        <f>VLOOKUP(C1617,Магазины!A:C,3,0)</f>
        <v>Ставрополь</v>
      </c>
      <c r="J1617">
        <f>VLOOKUP(D1617,Товары!A:I,4,0)</f>
        <v>22425</v>
      </c>
      <c r="K1617">
        <f t="shared" si="25"/>
        <v>22425</v>
      </c>
    </row>
    <row r="1618" spans="1:11" hidden="1" x14ac:dyDescent="0.25">
      <c r="A1618">
        <v>1617</v>
      </c>
      <c r="B1618" s="1">
        <v>45752</v>
      </c>
      <c r="C1618" t="s">
        <v>103</v>
      </c>
      <c r="D1618" t="s">
        <v>52</v>
      </c>
      <c r="E1618" t="s">
        <v>8</v>
      </c>
      <c r="F1618">
        <v>2</v>
      </c>
      <c r="G1618" t="str">
        <f>VLOOKUP(D1618,Товары!A:I,3,0)</f>
        <v>Тумба с раковиной  напол. Кристалл 600 суфле 2 ящика с умыв. Океан</v>
      </c>
      <c r="H1618">
        <f>VLOOKUP(D1618,Товары!A:I,6,0)</f>
        <v>80</v>
      </c>
      <c r="I1618" t="str">
        <f>VLOOKUP(C1618,Магазины!A:C,3,0)</f>
        <v>Ставрополь</v>
      </c>
      <c r="J1618">
        <f>VLOOKUP(D1618,Товары!A:I,4,0)</f>
        <v>27600</v>
      </c>
      <c r="K1618">
        <f t="shared" si="25"/>
        <v>55200</v>
      </c>
    </row>
    <row r="1619" spans="1:11" hidden="1" x14ac:dyDescent="0.25">
      <c r="A1619">
        <v>1618</v>
      </c>
      <c r="B1619" s="1">
        <v>45756</v>
      </c>
      <c r="C1619" t="s">
        <v>57</v>
      </c>
      <c r="D1619" t="s">
        <v>94</v>
      </c>
      <c r="E1619" t="s">
        <v>8</v>
      </c>
      <c r="F1619">
        <v>2</v>
      </c>
      <c r="G1619" t="str">
        <f>VLOOKUP(D1619,Товары!A:I,3,0)</f>
        <v>Зеркальный шкаф Альба 80 со светильником правый цвет антрацит</v>
      </c>
      <c r="H1619">
        <f>VLOOKUP(D1619,Товары!A:I,6,0)</f>
        <v>75</v>
      </c>
      <c r="I1619" t="str">
        <f>VLOOKUP(C1619,Магазины!A:C,3,0)</f>
        <v>Оренбург</v>
      </c>
      <c r="J1619">
        <f>VLOOKUP(D1619,Товары!A:I,4,0)</f>
        <v>9930</v>
      </c>
      <c r="K1619">
        <f t="shared" si="25"/>
        <v>19860</v>
      </c>
    </row>
    <row r="1620" spans="1:11" hidden="1" x14ac:dyDescent="0.25">
      <c r="A1620">
        <v>1619</v>
      </c>
      <c r="B1620" s="1">
        <v>45756</v>
      </c>
      <c r="C1620" t="s">
        <v>57</v>
      </c>
      <c r="D1620" t="s">
        <v>56</v>
      </c>
      <c r="E1620" t="s">
        <v>13</v>
      </c>
      <c r="F1620">
        <v>1</v>
      </c>
      <c r="G1620" t="str">
        <f>VLOOKUP(D1620,Товары!A:I,3,0)</f>
        <v>Зеркальный шкаф Альба 80 со светильником правый цвет мята</v>
      </c>
      <c r="H1620">
        <f>VLOOKUP(D1620,Товары!A:I,6,0)</f>
        <v>75</v>
      </c>
      <c r="I1620" t="str">
        <f>VLOOKUP(C1620,Магазины!A:C,3,0)</f>
        <v>Оренбург</v>
      </c>
      <c r="J1620">
        <f>VLOOKUP(D1620,Товары!A:I,4,0)</f>
        <v>9930</v>
      </c>
      <c r="K1620">
        <f t="shared" si="25"/>
        <v>9930</v>
      </c>
    </row>
    <row r="1621" spans="1:11" hidden="1" x14ac:dyDescent="0.25">
      <c r="A1621">
        <v>1620</v>
      </c>
      <c r="B1621" s="1">
        <v>45756</v>
      </c>
      <c r="C1621" t="s">
        <v>54</v>
      </c>
      <c r="D1621" t="s">
        <v>40</v>
      </c>
      <c r="E1621" t="s">
        <v>13</v>
      </c>
      <c r="F1621">
        <v>2</v>
      </c>
      <c r="G1621" t="str">
        <f>VLOOKUP(D1621,Товары!A:I,3,0)</f>
        <v>Тумба с раковиной  навес. Рица 800 cерый/керамика 1 ящик + ниша 1 с умыв. Слим</v>
      </c>
      <c r="H1621">
        <f>VLOOKUP(D1621,Товары!A:I,6,0)</f>
        <v>60</v>
      </c>
      <c r="I1621" t="str">
        <f>VLOOKUP(C1621,Магазины!A:C,3,0)</f>
        <v>Ставрополь</v>
      </c>
      <c r="J1621">
        <f>VLOOKUP(D1621,Товары!A:I,4,0)</f>
        <v>22425</v>
      </c>
      <c r="K1621">
        <f t="shared" si="25"/>
        <v>44850</v>
      </c>
    </row>
    <row r="1622" spans="1:11" hidden="1" x14ac:dyDescent="0.25">
      <c r="A1622">
        <v>1621</v>
      </c>
      <c r="B1622" s="1">
        <v>45755</v>
      </c>
      <c r="C1622" t="s">
        <v>20</v>
      </c>
      <c r="D1622" t="s">
        <v>74</v>
      </c>
      <c r="E1622" t="s">
        <v>8</v>
      </c>
      <c r="F1622">
        <v>3</v>
      </c>
      <c r="G1622" t="str">
        <f>VLOOKUP(D1622,Товары!A:I,3,0)</f>
        <v>Тумба с раковиной  напол. Альба 800 суфле 2 ящика с умыв. Слим</v>
      </c>
      <c r="H1622">
        <f>VLOOKUP(D1622,Товары!A:I,6,0)</f>
        <v>80</v>
      </c>
      <c r="I1622" t="str">
        <f>VLOOKUP(C1622,Магазины!A:C,3,0)</f>
        <v>Оренбург</v>
      </c>
      <c r="J1622">
        <f>VLOOKUP(D1622,Товары!A:I,4,0)</f>
        <v>29340</v>
      </c>
      <c r="K1622">
        <f t="shared" si="25"/>
        <v>88020</v>
      </c>
    </row>
    <row r="1623" spans="1:11" hidden="1" x14ac:dyDescent="0.25">
      <c r="A1623">
        <v>1622</v>
      </c>
      <c r="B1623" s="1">
        <v>45755</v>
      </c>
      <c r="C1623" t="s">
        <v>28</v>
      </c>
      <c r="D1623" t="s">
        <v>98</v>
      </c>
      <c r="E1623" t="s">
        <v>8</v>
      </c>
      <c r="F1623">
        <v>1</v>
      </c>
      <c r="G1623" t="str">
        <f>VLOOKUP(D1623,Товары!A:I,3,0)</f>
        <v>Тумба с раковиной  напол. Рица 800 cерый/керамика 2 ящика с умыв. Слим</v>
      </c>
      <c r="H1623">
        <f>VLOOKUP(D1623,Товары!A:I,6,0)</f>
        <v>80</v>
      </c>
      <c r="I1623" t="str">
        <f>VLOOKUP(C1623,Магазины!A:C,3,0)</f>
        <v>Набережные Челны</v>
      </c>
      <c r="J1623">
        <f>VLOOKUP(D1623,Товары!A:I,4,0)</f>
        <v>28980</v>
      </c>
      <c r="K1623">
        <f t="shared" si="25"/>
        <v>28980</v>
      </c>
    </row>
    <row r="1624" spans="1:11" hidden="1" x14ac:dyDescent="0.25">
      <c r="A1624">
        <v>1623</v>
      </c>
      <c r="B1624" s="1">
        <v>45757</v>
      </c>
      <c r="C1624" t="s">
        <v>30</v>
      </c>
      <c r="D1624" t="s">
        <v>67</v>
      </c>
      <c r="E1624" t="s">
        <v>8</v>
      </c>
      <c r="F1624">
        <v>3</v>
      </c>
      <c r="G1624" t="str">
        <f>VLOOKUP(D1624,Товары!A:I,3,0)</f>
        <v>Пенал навес./напол. Альба 350 суфле 2 двери</v>
      </c>
      <c r="H1624">
        <f>VLOOKUP(D1624,Товары!A:I,6,0)</f>
        <v>150</v>
      </c>
      <c r="I1624" t="str">
        <f>VLOOKUP(C1624,Магазины!A:C,3,0)</f>
        <v>Кемерово</v>
      </c>
      <c r="J1624">
        <f>VLOOKUP(D1624,Товары!A:I,4,0)</f>
        <v>11655</v>
      </c>
      <c r="K1624">
        <f t="shared" si="25"/>
        <v>34965</v>
      </c>
    </row>
    <row r="1625" spans="1:11" hidden="1" x14ac:dyDescent="0.25">
      <c r="A1625">
        <v>1624</v>
      </c>
      <c r="B1625" s="1">
        <v>45751</v>
      </c>
      <c r="C1625" t="s">
        <v>35</v>
      </c>
      <c r="D1625" t="s">
        <v>97</v>
      </c>
      <c r="E1625" t="s">
        <v>8</v>
      </c>
      <c r="F1625">
        <v>3</v>
      </c>
      <c r="G1625" t="str">
        <f>VLOOKUP(D1625,Товары!A:I,3,0)</f>
        <v>Пенал напол. Кристалл 350 суфле 2 двери</v>
      </c>
      <c r="H1625">
        <f>VLOOKUP(D1625,Товары!A:I,6,0)</f>
        <v>190</v>
      </c>
      <c r="I1625" t="str">
        <f>VLOOKUP(C1625,Магазины!A:C,3,0)</f>
        <v>Набережные Челны</v>
      </c>
      <c r="J1625">
        <f>VLOOKUP(D1625,Товары!A:I,4,0)</f>
        <v>15810</v>
      </c>
      <c r="K1625">
        <f t="shared" si="25"/>
        <v>47430</v>
      </c>
    </row>
    <row r="1626" spans="1:11" hidden="1" x14ac:dyDescent="0.25">
      <c r="A1626">
        <v>1625</v>
      </c>
      <c r="B1626" s="1">
        <v>45749</v>
      </c>
      <c r="C1626" t="s">
        <v>30</v>
      </c>
      <c r="D1626" t="s">
        <v>121</v>
      </c>
      <c r="E1626" t="s">
        <v>8</v>
      </c>
      <c r="F1626">
        <v>3</v>
      </c>
      <c r="G1626" t="str">
        <f>VLOOKUP(D1626,Товары!A:I,3,0)</f>
        <v>Тумба с раковиной  напол. Куба Риф 600 белый 2 двери с умыв. Como</v>
      </c>
      <c r="H1626">
        <f>VLOOKUP(D1626,Товары!A:I,6,0)</f>
        <v>85</v>
      </c>
      <c r="I1626" t="str">
        <f>VLOOKUP(C1626,Магазины!A:C,3,0)</f>
        <v>Кемерово</v>
      </c>
      <c r="J1626">
        <f>VLOOKUP(D1626,Товары!A:I,4,0)</f>
        <v>13695</v>
      </c>
      <c r="K1626">
        <f t="shared" si="25"/>
        <v>41085</v>
      </c>
    </row>
    <row r="1627" spans="1:11" hidden="1" x14ac:dyDescent="0.25">
      <c r="A1627">
        <v>1626</v>
      </c>
      <c r="B1627" s="1">
        <v>45756</v>
      </c>
      <c r="C1627" t="s">
        <v>43</v>
      </c>
      <c r="D1627" t="s">
        <v>24</v>
      </c>
      <c r="E1627" t="s">
        <v>8</v>
      </c>
      <c r="F1627">
        <v>2</v>
      </c>
      <c r="G1627" t="str">
        <f>VLOOKUP(D1627,Товары!A:I,3,0)</f>
        <v>Тумба с раковиной  напол. Леон 600 форест 2 ящика с умыв. Слим</v>
      </c>
      <c r="H1627">
        <f>VLOOKUP(D1627,Товары!A:I,6,0)</f>
        <v>80</v>
      </c>
      <c r="I1627" t="str">
        <f>VLOOKUP(C1627,Магазины!A:C,3,0)</f>
        <v>Набережные Челны</v>
      </c>
      <c r="J1627">
        <f>VLOOKUP(D1627,Товары!A:I,4,0)</f>
        <v>27150</v>
      </c>
      <c r="K1627">
        <f t="shared" si="25"/>
        <v>54300</v>
      </c>
    </row>
    <row r="1628" spans="1:11" hidden="1" x14ac:dyDescent="0.25">
      <c r="A1628">
        <v>1627</v>
      </c>
      <c r="B1628" s="1">
        <v>45757</v>
      </c>
      <c r="C1628" t="s">
        <v>18</v>
      </c>
      <c r="D1628" t="s">
        <v>104</v>
      </c>
      <c r="E1628" t="s">
        <v>13</v>
      </c>
      <c r="F1628">
        <v>1</v>
      </c>
      <c r="G1628" t="str">
        <f>VLOOKUP(D1628,Товары!A:I,3,0)</f>
        <v>Тумба под стиральную машину Куба Риф 57 подвесная 2 ящика под ст/маш, без умывальника /под Marshall 120 Белый</v>
      </c>
      <c r="H1628">
        <f>VLOOKUP(D1628,Товары!A:I,6,0)</f>
        <v>50</v>
      </c>
      <c r="I1628" t="str">
        <f>VLOOKUP(C1628,Магазины!A:C,3,0)</f>
        <v>Набережные Челны</v>
      </c>
      <c r="J1628">
        <f>VLOOKUP(D1628,Товары!A:I,4,0)</f>
        <v>8505</v>
      </c>
      <c r="K1628">
        <f t="shared" si="25"/>
        <v>8505</v>
      </c>
    </row>
    <row r="1629" spans="1:11" hidden="1" x14ac:dyDescent="0.25">
      <c r="A1629">
        <v>1628</v>
      </c>
      <c r="B1629" s="1">
        <v>45752</v>
      </c>
      <c r="C1629" t="s">
        <v>30</v>
      </c>
      <c r="D1629" t="s">
        <v>27</v>
      </c>
      <c r="E1629" t="s">
        <v>8</v>
      </c>
      <c r="F1629">
        <v>2</v>
      </c>
      <c r="G1629" t="str">
        <f>VLOOKUP(D1629,Товары!A:I,3,0)</f>
        <v>Тумба с раковиной  навес. Виктория 800 белый 2 ящика с умыв. Слим</v>
      </c>
      <c r="H1629">
        <f>VLOOKUP(D1629,Товары!A:I,6,0)</f>
        <v>60</v>
      </c>
      <c r="I1629" t="str">
        <f>VLOOKUP(C1629,Магазины!A:C,3,0)</f>
        <v>Кемерово</v>
      </c>
      <c r="J1629">
        <f>VLOOKUP(D1629,Товары!A:I,4,0)</f>
        <v>25290</v>
      </c>
      <c r="K1629">
        <f t="shared" si="25"/>
        <v>50580</v>
      </c>
    </row>
    <row r="1630" spans="1:11" hidden="1" x14ac:dyDescent="0.25">
      <c r="A1630">
        <v>1629</v>
      </c>
      <c r="B1630" s="1">
        <v>45750</v>
      </c>
      <c r="C1630" t="s">
        <v>9</v>
      </c>
      <c r="D1630" t="s">
        <v>102</v>
      </c>
      <c r="E1630" t="s">
        <v>8</v>
      </c>
      <c r="F1630">
        <v>1</v>
      </c>
      <c r="G1630" t="str">
        <f>VLOOKUP(D1630,Товары!A:I,3,0)</f>
        <v>Тумба с раковиной  напол. Леон Риф 1000 солярис/белый риф 2 ящика с умыв. Слим</v>
      </c>
      <c r="H1630">
        <f>VLOOKUP(D1630,Товары!A:I,6,0)</f>
        <v>85</v>
      </c>
      <c r="I1630" t="str">
        <f>VLOOKUP(C1630,Магазины!A:C,3,0)</f>
        <v>Кемерово</v>
      </c>
      <c r="J1630">
        <f>VLOOKUP(D1630,Товары!A:I,4,0)</f>
        <v>32085</v>
      </c>
      <c r="K1630">
        <f t="shared" si="25"/>
        <v>32085</v>
      </c>
    </row>
    <row r="1631" spans="1:11" hidden="1" x14ac:dyDescent="0.25">
      <c r="A1631">
        <v>1630</v>
      </c>
      <c r="B1631" s="1">
        <v>45751</v>
      </c>
      <c r="C1631" t="s">
        <v>11</v>
      </c>
      <c r="D1631" t="s">
        <v>31</v>
      </c>
      <c r="E1631" t="s">
        <v>13</v>
      </c>
      <c r="F1631">
        <v>3</v>
      </c>
      <c r="G1631" t="str">
        <f>VLOOKUP(D1631,Товары!A:I,3,0)</f>
        <v>Пенал напол. Виктория 350 белый 2 двери</v>
      </c>
      <c r="H1631">
        <f>VLOOKUP(D1631,Товары!A:I,6,0)</f>
        <v>190</v>
      </c>
      <c r="I1631" t="str">
        <f>VLOOKUP(C1631,Магазины!A:C,3,0)</f>
        <v>Кемерово</v>
      </c>
      <c r="J1631">
        <f>VLOOKUP(D1631,Товары!A:I,4,0)</f>
        <v>14085</v>
      </c>
      <c r="K1631">
        <f t="shared" si="25"/>
        <v>42255</v>
      </c>
    </row>
    <row r="1632" spans="1:11" hidden="1" x14ac:dyDescent="0.25">
      <c r="A1632">
        <v>1631</v>
      </c>
      <c r="B1632" s="1">
        <v>45757</v>
      </c>
      <c r="C1632" t="s">
        <v>6</v>
      </c>
      <c r="D1632" t="s">
        <v>76</v>
      </c>
      <c r="E1632" t="s">
        <v>8</v>
      </c>
      <c r="F1632">
        <v>1</v>
      </c>
      <c r="G1632" t="str">
        <f>VLOOKUP(D1632,Товары!A:I,3,0)</f>
        <v>Тумба с раковиной  напол. Леон 600 оникс 2 ящика с умыв. Слим</v>
      </c>
      <c r="H1632">
        <f>VLOOKUP(D1632,Товары!A:I,6,0)</f>
        <v>80</v>
      </c>
      <c r="I1632" t="str">
        <f>VLOOKUP(C1632,Магазины!A:C,3,0)</f>
        <v>Оренбург</v>
      </c>
      <c r="J1632">
        <f>VLOOKUP(D1632,Товары!A:I,4,0)</f>
        <v>25860</v>
      </c>
      <c r="K1632">
        <f t="shared" si="25"/>
        <v>25860</v>
      </c>
    </row>
    <row r="1633" spans="1:11" hidden="1" x14ac:dyDescent="0.25">
      <c r="A1633">
        <v>1632</v>
      </c>
      <c r="B1633" s="1">
        <v>45755</v>
      </c>
      <c r="C1633" t="s">
        <v>57</v>
      </c>
      <c r="D1633" t="s">
        <v>109</v>
      </c>
      <c r="E1633" t="s">
        <v>13</v>
      </c>
      <c r="F1633">
        <v>1</v>
      </c>
      <c r="G1633" t="str">
        <f>VLOOKUP(D1633,Товары!A:I,3,0)</f>
        <v>Тумба с раковиной  навес. Альба 600 антрацит 2 ящика с умыв. Океан</v>
      </c>
      <c r="H1633">
        <f>VLOOKUP(D1633,Товары!A:I,6,0)</f>
        <v>50</v>
      </c>
      <c r="I1633" t="str">
        <f>VLOOKUP(C1633,Магазины!A:C,3,0)</f>
        <v>Оренбург</v>
      </c>
      <c r="J1633">
        <f>VLOOKUP(D1633,Товары!A:I,4,0)</f>
        <v>24810</v>
      </c>
      <c r="K1633">
        <f t="shared" si="25"/>
        <v>24810</v>
      </c>
    </row>
    <row r="1634" spans="1:11" hidden="1" x14ac:dyDescent="0.25">
      <c r="A1634">
        <v>1633</v>
      </c>
      <c r="B1634" s="1">
        <v>45756</v>
      </c>
      <c r="C1634" t="s">
        <v>16</v>
      </c>
      <c r="D1634" t="s">
        <v>38</v>
      </c>
      <c r="E1634" t="s">
        <v>13</v>
      </c>
      <c r="F1634">
        <v>1</v>
      </c>
      <c r="G1634" t="str">
        <f>VLOOKUP(D1634,Товары!A:I,3,0)</f>
        <v>Тумба с раковиной  навес. Куба Риф 600 белый 2 ящика с умыв. Como</v>
      </c>
      <c r="H1634">
        <f>VLOOKUP(D1634,Товары!A:I,6,0)</f>
        <v>55</v>
      </c>
      <c r="I1634" t="str">
        <f>VLOOKUP(C1634,Магазины!A:C,3,0)</f>
        <v>Оренбург</v>
      </c>
      <c r="J1634">
        <f>VLOOKUP(D1634,Товары!A:I,4,0)</f>
        <v>14265</v>
      </c>
      <c r="K1634">
        <f t="shared" si="25"/>
        <v>14265</v>
      </c>
    </row>
    <row r="1635" spans="1:11" hidden="1" x14ac:dyDescent="0.25">
      <c r="A1635">
        <v>1634</v>
      </c>
      <c r="B1635" s="1">
        <v>45752</v>
      </c>
      <c r="C1635" t="s">
        <v>11</v>
      </c>
      <c r="D1635" t="s">
        <v>77</v>
      </c>
      <c r="E1635" t="s">
        <v>8</v>
      </c>
      <c r="F1635">
        <v>2</v>
      </c>
      <c r="G1635" t="str">
        <f>VLOOKUP(D1635,Товары!A:I,3,0)</f>
        <v>Тумба с раковиной  напол. Куба Риф 600 белый 2 ящика с умыв. Como</v>
      </c>
      <c r="H1635">
        <f>VLOOKUP(D1635,Товары!A:I,6,0)</f>
        <v>85</v>
      </c>
      <c r="I1635" t="str">
        <f>VLOOKUP(C1635,Магазины!A:C,3,0)</f>
        <v>Кемерово</v>
      </c>
      <c r="J1635">
        <f>VLOOKUP(D1635,Товары!A:I,4,0)</f>
        <v>15660</v>
      </c>
      <c r="K1635">
        <f t="shared" si="25"/>
        <v>31320</v>
      </c>
    </row>
    <row r="1636" spans="1:11" hidden="1" x14ac:dyDescent="0.25">
      <c r="A1636">
        <v>1635</v>
      </c>
      <c r="B1636" s="1">
        <v>45751</v>
      </c>
      <c r="C1636" t="s">
        <v>30</v>
      </c>
      <c r="D1636" t="s">
        <v>66</v>
      </c>
      <c r="E1636" t="s">
        <v>8</v>
      </c>
      <c r="F1636">
        <v>3</v>
      </c>
      <c r="G1636" t="str">
        <f>VLOOKUP(D1636,Товары!A:I,3,0)</f>
        <v>Тумба с раковиной  навес. Альба 800 мята 2 ящика с умыв. Слим</v>
      </c>
      <c r="H1636">
        <f>VLOOKUP(D1636,Товары!A:I,6,0)</f>
        <v>50</v>
      </c>
      <c r="I1636" t="str">
        <f>VLOOKUP(C1636,Магазины!A:C,3,0)</f>
        <v>Кемерово</v>
      </c>
      <c r="J1636">
        <f>VLOOKUP(D1636,Товары!A:I,4,0)</f>
        <v>26070</v>
      </c>
      <c r="K1636">
        <f t="shared" si="25"/>
        <v>78210</v>
      </c>
    </row>
    <row r="1637" spans="1:11" hidden="1" x14ac:dyDescent="0.25">
      <c r="A1637">
        <v>1636</v>
      </c>
      <c r="B1637" s="1">
        <v>45754</v>
      </c>
      <c r="C1637" t="s">
        <v>58</v>
      </c>
      <c r="D1637" t="s">
        <v>66</v>
      </c>
      <c r="E1637" t="s">
        <v>13</v>
      </c>
      <c r="F1637">
        <v>1</v>
      </c>
      <c r="G1637" t="str">
        <f>VLOOKUP(D1637,Товары!A:I,3,0)</f>
        <v>Тумба с раковиной  навес. Альба 800 мята 2 ящика с умыв. Слим</v>
      </c>
      <c r="H1637">
        <f>VLOOKUP(D1637,Товары!A:I,6,0)</f>
        <v>50</v>
      </c>
      <c r="I1637" t="str">
        <f>VLOOKUP(C1637,Магазины!A:C,3,0)</f>
        <v>Ставрополь</v>
      </c>
      <c r="J1637">
        <f>VLOOKUP(D1637,Товары!A:I,4,0)</f>
        <v>26070</v>
      </c>
      <c r="K1637">
        <f t="shared" si="25"/>
        <v>26070</v>
      </c>
    </row>
    <row r="1638" spans="1:11" hidden="1" x14ac:dyDescent="0.25">
      <c r="A1638">
        <v>1637</v>
      </c>
      <c r="B1638" s="1">
        <v>45755</v>
      </c>
      <c r="C1638" t="s">
        <v>54</v>
      </c>
      <c r="D1638" t="s">
        <v>88</v>
      </c>
      <c r="E1638" t="s">
        <v>8</v>
      </c>
      <c r="F1638">
        <v>3</v>
      </c>
      <c r="G1638" t="str">
        <f>VLOOKUP(D1638,Товары!A:I,3,0)</f>
        <v>Тумба с раковиной  навес. Альба 800 антрацит 2 ящика с умыв. Слим</v>
      </c>
      <c r="H1638">
        <f>VLOOKUP(D1638,Товары!A:I,6,0)</f>
        <v>50</v>
      </c>
      <c r="I1638" t="str">
        <f>VLOOKUP(C1638,Магазины!A:C,3,0)</f>
        <v>Ставрополь</v>
      </c>
      <c r="J1638">
        <f>VLOOKUP(D1638,Товары!A:I,4,0)</f>
        <v>26070</v>
      </c>
      <c r="K1638">
        <f t="shared" si="25"/>
        <v>78210</v>
      </c>
    </row>
    <row r="1639" spans="1:11" hidden="1" x14ac:dyDescent="0.25">
      <c r="A1639">
        <v>1638</v>
      </c>
      <c r="B1639" s="1">
        <v>45753</v>
      </c>
      <c r="C1639" t="s">
        <v>30</v>
      </c>
      <c r="D1639" t="s">
        <v>118</v>
      </c>
      <c r="E1639" t="s">
        <v>13</v>
      </c>
      <c r="F1639">
        <v>3</v>
      </c>
      <c r="G1639" t="str">
        <f>VLOOKUP(D1639,Товары!A:I,3,0)</f>
        <v>Тумба с раковиной  напол. Сохо 800 белый 2 ящика с умыв. Слим</v>
      </c>
      <c r="H1639">
        <f>VLOOKUP(D1639,Товары!A:I,6,0)</f>
        <v>85</v>
      </c>
      <c r="I1639" t="str">
        <f>VLOOKUP(C1639,Магазины!A:C,3,0)</f>
        <v>Кемерово</v>
      </c>
      <c r="J1639">
        <f>VLOOKUP(D1639,Товары!A:I,4,0)</f>
        <v>19575</v>
      </c>
      <c r="K1639">
        <f t="shared" si="25"/>
        <v>58725</v>
      </c>
    </row>
    <row r="1640" spans="1:11" hidden="1" x14ac:dyDescent="0.25">
      <c r="A1640">
        <v>1639</v>
      </c>
      <c r="B1640" s="1">
        <v>45750</v>
      </c>
      <c r="C1640" t="s">
        <v>63</v>
      </c>
      <c r="D1640" t="s">
        <v>19</v>
      </c>
      <c r="E1640" t="s">
        <v>8</v>
      </c>
      <c r="F1640">
        <v>3</v>
      </c>
      <c r="G1640" t="str">
        <f>VLOOKUP(D1640,Товары!A:I,3,0)</f>
        <v>Тумба с раковиной  навес. Леон 800 оникс 2 ящика с умыв. Слим</v>
      </c>
      <c r="H1640">
        <f>VLOOKUP(D1640,Товары!A:I,6,0)</f>
        <v>60</v>
      </c>
      <c r="I1640" t="str">
        <f>VLOOKUP(C1640,Магазины!A:C,3,0)</f>
        <v>Ставрополь</v>
      </c>
      <c r="J1640">
        <f>VLOOKUP(D1640,Товары!A:I,4,0)</f>
        <v>27930</v>
      </c>
      <c r="K1640">
        <f t="shared" si="25"/>
        <v>83790</v>
      </c>
    </row>
    <row r="1641" spans="1:11" hidden="1" x14ac:dyDescent="0.25">
      <c r="A1641">
        <v>1640</v>
      </c>
      <c r="B1641" s="1">
        <v>45752</v>
      </c>
      <c r="C1641" t="s">
        <v>92</v>
      </c>
      <c r="D1641" t="s">
        <v>118</v>
      </c>
      <c r="E1641" t="s">
        <v>8</v>
      </c>
      <c r="F1641">
        <v>1</v>
      </c>
      <c r="G1641" t="str">
        <f>VLOOKUP(D1641,Товары!A:I,3,0)</f>
        <v>Тумба с раковиной  напол. Сохо 800 белый 2 ящика с умыв. Слим</v>
      </c>
      <c r="H1641">
        <f>VLOOKUP(D1641,Товары!A:I,6,0)</f>
        <v>85</v>
      </c>
      <c r="I1641" t="str">
        <f>VLOOKUP(C1641,Магазины!A:C,3,0)</f>
        <v>Кемерово</v>
      </c>
      <c r="J1641">
        <f>VLOOKUP(D1641,Товары!A:I,4,0)</f>
        <v>19575</v>
      </c>
      <c r="K1641">
        <f t="shared" si="25"/>
        <v>19575</v>
      </c>
    </row>
    <row r="1642" spans="1:11" hidden="1" x14ac:dyDescent="0.25">
      <c r="A1642">
        <v>1641</v>
      </c>
      <c r="B1642" s="1">
        <v>45756</v>
      </c>
      <c r="C1642" t="s">
        <v>92</v>
      </c>
      <c r="D1642" t="s">
        <v>110</v>
      </c>
      <c r="E1642" t="s">
        <v>8</v>
      </c>
      <c r="F1642">
        <v>2</v>
      </c>
      <c r="G1642" t="str">
        <f>VLOOKUP(D1642,Товары!A:I,3,0)</f>
        <v>Тумба с раковиной  напол. Альба 600 антрацит 2 ящика с умыв. Океан</v>
      </c>
      <c r="H1642">
        <f>VLOOKUP(D1642,Товары!A:I,6,0)</f>
        <v>80</v>
      </c>
      <c r="I1642" t="str">
        <f>VLOOKUP(C1642,Магазины!A:C,3,0)</f>
        <v>Кемерово</v>
      </c>
      <c r="J1642">
        <f>VLOOKUP(D1642,Товары!A:I,4,0)</f>
        <v>26370</v>
      </c>
      <c r="K1642">
        <f t="shared" si="25"/>
        <v>52740</v>
      </c>
    </row>
    <row r="1643" spans="1:11" hidden="1" x14ac:dyDescent="0.25">
      <c r="A1643">
        <v>1642</v>
      </c>
      <c r="B1643" s="1">
        <v>45750</v>
      </c>
      <c r="C1643" t="s">
        <v>16</v>
      </c>
      <c r="D1643" t="s">
        <v>27</v>
      </c>
      <c r="E1643" t="s">
        <v>8</v>
      </c>
      <c r="F1643">
        <v>2</v>
      </c>
      <c r="G1643" t="str">
        <f>VLOOKUP(D1643,Товары!A:I,3,0)</f>
        <v>Тумба с раковиной  навес. Виктория 800 белый 2 ящика с умыв. Слим</v>
      </c>
      <c r="H1643">
        <f>VLOOKUP(D1643,Товары!A:I,6,0)</f>
        <v>60</v>
      </c>
      <c r="I1643" t="str">
        <f>VLOOKUP(C1643,Магазины!A:C,3,0)</f>
        <v>Оренбург</v>
      </c>
      <c r="J1643">
        <f>VLOOKUP(D1643,Товары!A:I,4,0)</f>
        <v>25290</v>
      </c>
      <c r="K1643">
        <f t="shared" si="25"/>
        <v>50580</v>
      </c>
    </row>
    <row r="1644" spans="1:11" hidden="1" x14ac:dyDescent="0.25">
      <c r="A1644">
        <v>1643</v>
      </c>
      <c r="B1644" s="1">
        <v>45748</v>
      </c>
      <c r="C1644" t="s">
        <v>18</v>
      </c>
      <c r="D1644" t="s">
        <v>47</v>
      </c>
      <c r="E1644" t="s">
        <v>8</v>
      </c>
      <c r="F1644">
        <v>2</v>
      </c>
      <c r="G1644" t="str">
        <f>VLOOKUP(D1644,Товары!A:I,3,0)</f>
        <v>Пенал напол. Кристалл 350 шато азур 2 двери</v>
      </c>
      <c r="H1644">
        <f>VLOOKUP(D1644,Товары!A:I,6,0)</f>
        <v>190</v>
      </c>
      <c r="I1644" t="str">
        <f>VLOOKUP(C1644,Магазины!A:C,3,0)</f>
        <v>Набережные Челны</v>
      </c>
      <c r="J1644">
        <f>VLOOKUP(D1644,Товары!A:I,4,0)</f>
        <v>15810</v>
      </c>
      <c r="K1644">
        <f t="shared" si="25"/>
        <v>31620</v>
      </c>
    </row>
    <row r="1645" spans="1:11" hidden="1" x14ac:dyDescent="0.25">
      <c r="A1645">
        <v>1644</v>
      </c>
      <c r="B1645" s="1">
        <v>45749</v>
      </c>
      <c r="C1645" t="s">
        <v>30</v>
      </c>
      <c r="D1645" t="s">
        <v>108</v>
      </c>
      <c r="E1645" t="s">
        <v>8</v>
      </c>
      <c r="F1645">
        <v>3</v>
      </c>
      <c r="G1645" t="str">
        <f>VLOOKUP(D1645,Товары!A:I,3,0)</f>
        <v>Тумба с раковиной  навес. Виктория 1000 белый 2 ящика с умыв. Слим</v>
      </c>
      <c r="H1645">
        <f>VLOOKUP(D1645,Товары!A:I,6,0)</f>
        <v>60</v>
      </c>
      <c r="I1645" t="str">
        <f>VLOOKUP(C1645,Магазины!A:C,3,0)</f>
        <v>Кемерово</v>
      </c>
      <c r="J1645">
        <f>VLOOKUP(D1645,Товары!A:I,4,0)</f>
        <v>29205</v>
      </c>
      <c r="K1645">
        <f t="shared" si="25"/>
        <v>87615</v>
      </c>
    </row>
    <row r="1646" spans="1:11" hidden="1" x14ac:dyDescent="0.25">
      <c r="A1646">
        <v>1645</v>
      </c>
      <c r="B1646" s="1">
        <v>45754</v>
      </c>
      <c r="C1646" t="s">
        <v>63</v>
      </c>
      <c r="D1646" t="s">
        <v>70</v>
      </c>
      <c r="E1646" t="s">
        <v>8</v>
      </c>
      <c r="F1646">
        <v>3</v>
      </c>
      <c r="G1646" t="str">
        <f>VLOOKUP(D1646,Товары!A:I,3,0)</f>
        <v>Тумба с раковиной  напол. Кристалл 700 шато азур 2 ящика с умыв. Слим</v>
      </c>
      <c r="H1646">
        <f>VLOOKUP(D1646,Товары!A:I,6,0)</f>
        <v>85</v>
      </c>
      <c r="I1646" t="str">
        <f>VLOOKUP(C1646,Магазины!A:C,3,0)</f>
        <v>Ставрополь</v>
      </c>
      <c r="J1646">
        <f>VLOOKUP(D1646,Товары!A:I,4,0)</f>
        <v>29910</v>
      </c>
      <c r="K1646">
        <f t="shared" si="25"/>
        <v>89730</v>
      </c>
    </row>
    <row r="1647" spans="1:11" hidden="1" x14ac:dyDescent="0.25">
      <c r="A1647">
        <v>1646</v>
      </c>
      <c r="B1647" s="1">
        <v>45755</v>
      </c>
      <c r="C1647" t="s">
        <v>11</v>
      </c>
      <c r="D1647" t="s">
        <v>21</v>
      </c>
      <c r="E1647" t="s">
        <v>8</v>
      </c>
      <c r="F1647">
        <v>1</v>
      </c>
      <c r="G1647" t="str">
        <f>VLOOKUP(D1647,Товары!A:I,3,0)</f>
        <v>Зеркальный шкаф Рица 60 со светильником правый цвет cерый/керамика</v>
      </c>
      <c r="H1647">
        <f>VLOOKUP(D1647,Товары!A:I,6,0)</f>
        <v>75</v>
      </c>
      <c r="I1647" t="str">
        <f>VLOOKUP(C1647,Магазины!A:C,3,0)</f>
        <v>Кемерово</v>
      </c>
      <c r="J1647">
        <f>VLOOKUP(D1647,Товары!A:I,4,0)</f>
        <v>8910</v>
      </c>
      <c r="K1647">
        <f t="shared" si="25"/>
        <v>8910</v>
      </c>
    </row>
    <row r="1648" spans="1:11" hidden="1" x14ac:dyDescent="0.25">
      <c r="A1648">
        <v>1647</v>
      </c>
      <c r="B1648" s="1">
        <v>45755</v>
      </c>
      <c r="C1648" t="s">
        <v>14</v>
      </c>
      <c r="D1648" t="s">
        <v>51</v>
      </c>
      <c r="E1648" t="s">
        <v>13</v>
      </c>
      <c r="F1648">
        <v>3</v>
      </c>
      <c r="G1648" t="str">
        <f>VLOOKUP(D1648,Товары!A:I,3,0)</f>
        <v>Зеркальный шкаф Альба 80 со светильником правый цвет суфле</v>
      </c>
      <c r="H1648">
        <f>VLOOKUP(D1648,Товары!A:I,6,0)</f>
        <v>75</v>
      </c>
      <c r="I1648" t="str">
        <f>VLOOKUP(C1648,Магазины!A:C,3,0)</f>
        <v>Оренбург</v>
      </c>
      <c r="J1648">
        <f>VLOOKUP(D1648,Товары!A:I,4,0)</f>
        <v>9930</v>
      </c>
      <c r="K1648">
        <f t="shared" si="25"/>
        <v>29790</v>
      </c>
    </row>
    <row r="1649" spans="1:11" hidden="1" x14ac:dyDescent="0.25">
      <c r="A1649">
        <v>1648</v>
      </c>
      <c r="B1649" s="1">
        <v>45756</v>
      </c>
      <c r="C1649" t="s">
        <v>9</v>
      </c>
      <c r="D1649" t="s">
        <v>47</v>
      </c>
      <c r="E1649" t="s">
        <v>13</v>
      </c>
      <c r="F1649">
        <v>1</v>
      </c>
      <c r="G1649" t="str">
        <f>VLOOKUP(D1649,Товары!A:I,3,0)</f>
        <v>Пенал напол. Кристалл 350 шато азур 2 двери</v>
      </c>
      <c r="H1649">
        <f>VLOOKUP(D1649,Товары!A:I,6,0)</f>
        <v>190</v>
      </c>
      <c r="I1649" t="str">
        <f>VLOOKUP(C1649,Магазины!A:C,3,0)</f>
        <v>Кемерово</v>
      </c>
      <c r="J1649">
        <f>VLOOKUP(D1649,Товары!A:I,4,0)</f>
        <v>15810</v>
      </c>
      <c r="K1649">
        <f t="shared" si="25"/>
        <v>15810</v>
      </c>
    </row>
    <row r="1650" spans="1:11" hidden="1" x14ac:dyDescent="0.25">
      <c r="A1650">
        <v>1649</v>
      </c>
      <c r="B1650" s="1">
        <v>45752</v>
      </c>
      <c r="C1650" t="s">
        <v>35</v>
      </c>
      <c r="D1650" t="s">
        <v>19</v>
      </c>
      <c r="E1650" t="s">
        <v>13</v>
      </c>
      <c r="F1650">
        <v>2</v>
      </c>
      <c r="G1650" t="str">
        <f>VLOOKUP(D1650,Товары!A:I,3,0)</f>
        <v>Тумба с раковиной  навес. Леон 800 оникс 2 ящика с умыв. Слим</v>
      </c>
      <c r="H1650">
        <f>VLOOKUP(D1650,Товары!A:I,6,0)</f>
        <v>60</v>
      </c>
      <c r="I1650" t="str">
        <f>VLOOKUP(C1650,Магазины!A:C,3,0)</f>
        <v>Набережные Челны</v>
      </c>
      <c r="J1650">
        <f>VLOOKUP(D1650,Товары!A:I,4,0)</f>
        <v>27930</v>
      </c>
      <c r="K1650">
        <f t="shared" si="25"/>
        <v>55860</v>
      </c>
    </row>
    <row r="1651" spans="1:11" hidden="1" x14ac:dyDescent="0.25">
      <c r="A1651">
        <v>1650</v>
      </c>
      <c r="B1651" s="1">
        <v>45756</v>
      </c>
      <c r="C1651" t="s">
        <v>11</v>
      </c>
      <c r="D1651" t="s">
        <v>45</v>
      </c>
      <c r="E1651" t="s">
        <v>8</v>
      </c>
      <c r="F1651">
        <v>2</v>
      </c>
      <c r="G1651" t="str">
        <f>VLOOKUP(D1651,Товары!A:I,3,0)</f>
        <v>Зеркальный шкаф Рица 80 со светильником правый цвет cерый/керамика</v>
      </c>
      <c r="H1651">
        <f>VLOOKUP(D1651,Товары!A:I,6,0)</f>
        <v>75</v>
      </c>
      <c r="I1651" t="str">
        <f>VLOOKUP(C1651,Магазины!A:C,3,0)</f>
        <v>Кемерово</v>
      </c>
      <c r="J1651">
        <f>VLOOKUP(D1651,Товары!A:I,4,0)</f>
        <v>9930</v>
      </c>
      <c r="K1651">
        <f t="shared" si="25"/>
        <v>19860</v>
      </c>
    </row>
    <row r="1652" spans="1:11" hidden="1" x14ac:dyDescent="0.25">
      <c r="A1652">
        <v>1651</v>
      </c>
      <c r="B1652" s="1">
        <v>45755</v>
      </c>
      <c r="C1652" t="s">
        <v>6</v>
      </c>
      <c r="D1652" t="s">
        <v>79</v>
      </c>
      <c r="E1652" t="s">
        <v>13</v>
      </c>
      <c r="F1652">
        <v>1</v>
      </c>
      <c r="G1652" t="str">
        <f>VLOOKUP(D1652,Товары!A:I,3,0)</f>
        <v>Зеркальный шкаф Альба 70 со светильником правый цвет мята</v>
      </c>
      <c r="H1652">
        <f>VLOOKUP(D1652,Товары!A:I,6,0)</f>
        <v>75</v>
      </c>
      <c r="I1652" t="str">
        <f>VLOOKUP(C1652,Магазины!A:C,3,0)</f>
        <v>Оренбург</v>
      </c>
      <c r="J1652">
        <f>VLOOKUP(D1652,Товары!A:I,4,0)</f>
        <v>9615</v>
      </c>
      <c r="K1652">
        <f t="shared" si="25"/>
        <v>9615</v>
      </c>
    </row>
    <row r="1653" spans="1:11" hidden="1" x14ac:dyDescent="0.25">
      <c r="A1653">
        <v>1652</v>
      </c>
      <c r="B1653" s="1">
        <v>45752</v>
      </c>
      <c r="C1653" t="s">
        <v>43</v>
      </c>
      <c r="D1653" t="s">
        <v>52</v>
      </c>
      <c r="E1653" t="s">
        <v>8</v>
      </c>
      <c r="F1653">
        <v>2</v>
      </c>
      <c r="G1653" t="str">
        <f>VLOOKUP(D1653,Товары!A:I,3,0)</f>
        <v>Тумба с раковиной  напол. Кристалл 600 суфле 2 ящика с умыв. Океан</v>
      </c>
      <c r="H1653">
        <f>VLOOKUP(D1653,Товары!A:I,6,0)</f>
        <v>80</v>
      </c>
      <c r="I1653" t="str">
        <f>VLOOKUP(C1653,Магазины!A:C,3,0)</f>
        <v>Набережные Челны</v>
      </c>
      <c r="J1653">
        <f>VLOOKUP(D1653,Товары!A:I,4,0)</f>
        <v>27600</v>
      </c>
      <c r="K1653">
        <f t="shared" si="25"/>
        <v>55200</v>
      </c>
    </row>
    <row r="1654" spans="1:11" hidden="1" x14ac:dyDescent="0.25">
      <c r="A1654">
        <v>1653</v>
      </c>
      <c r="B1654" s="1">
        <v>45755</v>
      </c>
      <c r="C1654" t="s">
        <v>63</v>
      </c>
      <c r="D1654" t="s">
        <v>99</v>
      </c>
      <c r="E1654" t="s">
        <v>8</v>
      </c>
      <c r="F1654">
        <v>3</v>
      </c>
      <c r="G1654" t="str">
        <f>VLOOKUP(D1654,Товары!A:I,3,0)</f>
        <v>Тумба с раковиной  навес. Леон 600 оникс 2 ящика с умыв. Слим</v>
      </c>
      <c r="H1654">
        <f>VLOOKUP(D1654,Товары!A:I,6,0)</f>
        <v>60</v>
      </c>
      <c r="I1654" t="str">
        <f>VLOOKUP(C1654,Магазины!A:C,3,0)</f>
        <v>Ставрополь</v>
      </c>
      <c r="J1654">
        <f>VLOOKUP(D1654,Товары!A:I,4,0)</f>
        <v>25125</v>
      </c>
      <c r="K1654">
        <f t="shared" si="25"/>
        <v>75375</v>
      </c>
    </row>
    <row r="1655" spans="1:11" hidden="1" x14ac:dyDescent="0.25">
      <c r="A1655">
        <v>1654</v>
      </c>
      <c r="B1655" s="1">
        <v>45748</v>
      </c>
      <c r="C1655" t="s">
        <v>111</v>
      </c>
      <c r="D1655" t="s">
        <v>119</v>
      </c>
      <c r="E1655" t="s">
        <v>8</v>
      </c>
      <c r="F1655">
        <v>1</v>
      </c>
      <c r="G1655" t="str">
        <f>VLOOKUP(D1655,Товары!A:I,3,0)</f>
        <v>Пенал навес./напол. Рица 350 cерый/керамика 2 двери</v>
      </c>
      <c r="H1655">
        <f>VLOOKUP(D1655,Товары!A:I,6,0)</f>
        <v>160</v>
      </c>
      <c r="I1655" t="str">
        <f>VLOOKUP(C1655,Магазины!A:C,3,0)</f>
        <v>Набережные Челны</v>
      </c>
      <c r="J1655">
        <f>VLOOKUP(D1655,Товары!A:I,4,0)</f>
        <v>11250</v>
      </c>
      <c r="K1655">
        <f t="shared" si="25"/>
        <v>11250</v>
      </c>
    </row>
    <row r="1656" spans="1:11" hidden="1" x14ac:dyDescent="0.25">
      <c r="A1656">
        <v>1655</v>
      </c>
      <c r="B1656" s="1">
        <v>45751</v>
      </c>
      <c r="C1656" t="s">
        <v>54</v>
      </c>
      <c r="D1656" t="s">
        <v>67</v>
      </c>
      <c r="E1656" t="s">
        <v>8</v>
      </c>
      <c r="F1656">
        <v>3</v>
      </c>
      <c r="G1656" t="str">
        <f>VLOOKUP(D1656,Товары!A:I,3,0)</f>
        <v>Пенал навес./напол. Альба 350 суфле 2 двери</v>
      </c>
      <c r="H1656">
        <f>VLOOKUP(D1656,Товары!A:I,6,0)</f>
        <v>150</v>
      </c>
      <c r="I1656" t="str">
        <f>VLOOKUP(C1656,Магазины!A:C,3,0)</f>
        <v>Ставрополь</v>
      </c>
      <c r="J1656">
        <f>VLOOKUP(D1656,Товары!A:I,4,0)</f>
        <v>11655</v>
      </c>
      <c r="K1656">
        <f t="shared" si="25"/>
        <v>34965</v>
      </c>
    </row>
    <row r="1657" spans="1:11" hidden="1" x14ac:dyDescent="0.25">
      <c r="A1657">
        <v>1656</v>
      </c>
      <c r="B1657" s="1">
        <v>45748</v>
      </c>
      <c r="C1657" t="s">
        <v>33</v>
      </c>
      <c r="D1657" t="s">
        <v>128</v>
      </c>
      <c r="E1657" t="s">
        <v>13</v>
      </c>
      <c r="F1657">
        <v>3</v>
      </c>
      <c r="G1657" t="str">
        <f>VLOOKUP(D1657,Товары!A:I,3,0)</f>
        <v>Тумба с раковиной  напол. Куба Риф 1000 белый 2 ящика с умыв. Слим</v>
      </c>
      <c r="H1657">
        <f>VLOOKUP(D1657,Товары!A:I,6,0)</f>
        <v>85</v>
      </c>
      <c r="I1657" t="str">
        <f>VLOOKUP(C1657,Магазины!A:C,3,0)</f>
        <v>Набережные Челны</v>
      </c>
      <c r="J1657">
        <f>VLOOKUP(D1657,Товары!A:I,4,0)</f>
        <v>22905</v>
      </c>
      <c r="K1657">
        <f t="shared" si="25"/>
        <v>68715</v>
      </c>
    </row>
    <row r="1658" spans="1:11" hidden="1" x14ac:dyDescent="0.25">
      <c r="A1658">
        <v>1657</v>
      </c>
      <c r="B1658" s="1">
        <v>45755</v>
      </c>
      <c r="C1658" t="s">
        <v>20</v>
      </c>
      <c r="D1658" t="s">
        <v>34</v>
      </c>
      <c r="E1658" t="s">
        <v>8</v>
      </c>
      <c r="F1658">
        <v>2</v>
      </c>
      <c r="G1658" t="str">
        <f>VLOOKUP(D1658,Товары!A:I,3,0)</f>
        <v>Тумба с раковиной  навес. Леон 700 форест 2 ящика с умыв. Слим</v>
      </c>
      <c r="H1658">
        <f>VLOOKUP(D1658,Товары!A:I,6,0)</f>
        <v>60</v>
      </c>
      <c r="I1658" t="str">
        <f>VLOOKUP(C1658,Магазины!A:C,3,0)</f>
        <v>Оренбург</v>
      </c>
      <c r="J1658">
        <f>VLOOKUP(D1658,Товары!A:I,4,0)</f>
        <v>26220</v>
      </c>
      <c r="K1658">
        <f t="shared" si="25"/>
        <v>52440</v>
      </c>
    </row>
    <row r="1659" spans="1:11" hidden="1" x14ac:dyDescent="0.25">
      <c r="A1659">
        <v>1658</v>
      </c>
      <c r="B1659" s="1">
        <v>45754</v>
      </c>
      <c r="C1659" t="s">
        <v>63</v>
      </c>
      <c r="D1659" t="s">
        <v>68</v>
      </c>
      <c r="E1659" t="s">
        <v>8</v>
      </c>
      <c r="F1659">
        <v>3</v>
      </c>
      <c r="G1659" t="str">
        <f>VLOOKUP(D1659,Товары!A:I,3,0)</f>
        <v>Тумба с раковиной  навес. Альба 600 антрацит 1 ящик с умыв. Океан</v>
      </c>
      <c r="H1659">
        <f>VLOOKUP(D1659,Товары!A:I,6,0)</f>
        <v>85</v>
      </c>
      <c r="I1659" t="str">
        <f>VLOOKUP(C1659,Магазины!A:C,3,0)</f>
        <v>Ставрополь</v>
      </c>
      <c r="J1659">
        <f>VLOOKUP(D1659,Товары!A:I,4,0)</f>
        <v>17625</v>
      </c>
      <c r="K1659">
        <f t="shared" si="25"/>
        <v>52875</v>
      </c>
    </row>
    <row r="1660" spans="1:11" hidden="1" x14ac:dyDescent="0.25">
      <c r="A1660">
        <v>1659</v>
      </c>
      <c r="B1660" s="1">
        <v>45753</v>
      </c>
      <c r="C1660" t="s">
        <v>111</v>
      </c>
      <c r="D1660" t="s">
        <v>65</v>
      </c>
      <c r="E1660" t="s">
        <v>8</v>
      </c>
      <c r="F1660">
        <v>3</v>
      </c>
      <c r="G1660" t="str">
        <f>VLOOKUP(D1660,Товары!A:I,3,0)</f>
        <v>Тумба с раковиной  навес. Альба 800 суфле 2 ящика с умыв. Слим</v>
      </c>
      <c r="H1660">
        <f>VLOOKUP(D1660,Товары!A:I,6,0)</f>
        <v>50</v>
      </c>
      <c r="I1660" t="str">
        <f>VLOOKUP(C1660,Магазины!A:C,3,0)</f>
        <v>Набережные Челны</v>
      </c>
      <c r="J1660">
        <f>VLOOKUP(D1660,Товары!A:I,4,0)</f>
        <v>26070</v>
      </c>
      <c r="K1660">
        <f t="shared" si="25"/>
        <v>78210</v>
      </c>
    </row>
    <row r="1661" spans="1:11" hidden="1" x14ac:dyDescent="0.25">
      <c r="A1661">
        <v>1660</v>
      </c>
      <c r="B1661" s="1">
        <v>45756</v>
      </c>
      <c r="C1661" t="s">
        <v>9</v>
      </c>
      <c r="D1661" t="s">
        <v>66</v>
      </c>
      <c r="E1661" t="s">
        <v>8</v>
      </c>
      <c r="F1661">
        <v>3</v>
      </c>
      <c r="G1661" t="str">
        <f>VLOOKUP(D1661,Товары!A:I,3,0)</f>
        <v>Тумба с раковиной  навес. Альба 800 мята 2 ящика с умыв. Слим</v>
      </c>
      <c r="H1661">
        <f>VLOOKUP(D1661,Товары!A:I,6,0)</f>
        <v>50</v>
      </c>
      <c r="I1661" t="str">
        <f>VLOOKUP(C1661,Магазины!A:C,3,0)</f>
        <v>Кемерово</v>
      </c>
      <c r="J1661">
        <f>VLOOKUP(D1661,Товары!A:I,4,0)</f>
        <v>26070</v>
      </c>
      <c r="K1661">
        <f t="shared" si="25"/>
        <v>78210</v>
      </c>
    </row>
    <row r="1662" spans="1:11" hidden="1" x14ac:dyDescent="0.25">
      <c r="A1662">
        <v>1661</v>
      </c>
      <c r="B1662" s="1">
        <v>45756</v>
      </c>
      <c r="C1662" t="s">
        <v>11</v>
      </c>
      <c r="D1662" t="s">
        <v>117</v>
      </c>
      <c r="E1662" t="s">
        <v>8</v>
      </c>
      <c r="F1662">
        <v>1</v>
      </c>
      <c r="G1662" t="str">
        <f>VLOOKUP(D1662,Товары!A:I,3,0)</f>
        <v>Тумба с раковиной  навес. Альба 700 антрацит 2 ящика с умыв. Слим</v>
      </c>
      <c r="H1662">
        <f>VLOOKUP(D1662,Товары!A:I,6,0)</f>
        <v>60</v>
      </c>
      <c r="I1662" t="str">
        <f>VLOOKUP(C1662,Магазины!A:C,3,0)</f>
        <v>Кемерово</v>
      </c>
      <c r="J1662">
        <f>VLOOKUP(D1662,Товары!A:I,4,0)</f>
        <v>25095</v>
      </c>
      <c r="K1662">
        <f t="shared" si="25"/>
        <v>25095</v>
      </c>
    </row>
    <row r="1663" spans="1:11" hidden="1" x14ac:dyDescent="0.25">
      <c r="A1663">
        <v>1662</v>
      </c>
      <c r="B1663" s="1">
        <v>45756</v>
      </c>
      <c r="C1663" t="s">
        <v>6</v>
      </c>
      <c r="D1663" t="s">
        <v>64</v>
      </c>
      <c r="E1663" t="s">
        <v>13</v>
      </c>
      <c r="F1663">
        <v>1</v>
      </c>
      <c r="G1663" t="str">
        <f>VLOOKUP(D1663,Товары!A:I,3,0)</f>
        <v>Тумба с раковиной  напол. Рица 800 антрацит 2 ящика с умыв. Слим</v>
      </c>
      <c r="H1663">
        <f>VLOOKUP(D1663,Товары!A:I,6,0)</f>
        <v>80</v>
      </c>
      <c r="I1663" t="str">
        <f>VLOOKUP(C1663,Магазины!A:C,3,0)</f>
        <v>Оренбург</v>
      </c>
      <c r="J1663">
        <f>VLOOKUP(D1663,Товары!A:I,4,0)</f>
        <v>28980</v>
      </c>
      <c r="K1663">
        <f t="shared" si="25"/>
        <v>28980</v>
      </c>
    </row>
    <row r="1664" spans="1:11" hidden="1" x14ac:dyDescent="0.25">
      <c r="A1664">
        <v>1663</v>
      </c>
      <c r="B1664" s="1">
        <v>45749</v>
      </c>
      <c r="C1664" t="s">
        <v>30</v>
      </c>
      <c r="D1664" t="s">
        <v>44</v>
      </c>
      <c r="E1664" t="s">
        <v>8</v>
      </c>
      <c r="F1664">
        <v>2</v>
      </c>
      <c r="G1664" t="str">
        <f>VLOOKUP(D1664,Товары!A:I,3,0)</f>
        <v>Тумба с раковиной  навес. Кристалл 800 шато азур 2 ящика с умыв. Комфорт</v>
      </c>
      <c r="H1664">
        <f>VLOOKUP(D1664,Товары!A:I,6,0)</f>
        <v>55</v>
      </c>
      <c r="I1664" t="str">
        <f>VLOOKUP(C1664,Магазины!A:C,3,0)</f>
        <v>Кемерово</v>
      </c>
      <c r="J1664">
        <f>VLOOKUP(D1664,Товары!A:I,4,0)</f>
        <v>25080</v>
      </c>
      <c r="K1664">
        <f t="shared" si="25"/>
        <v>50160</v>
      </c>
    </row>
    <row r="1665" spans="1:11" hidden="1" x14ac:dyDescent="0.25">
      <c r="A1665">
        <v>1664</v>
      </c>
      <c r="B1665" s="1">
        <v>45752</v>
      </c>
      <c r="C1665" t="s">
        <v>43</v>
      </c>
      <c r="D1665" t="s">
        <v>106</v>
      </c>
      <c r="E1665" t="s">
        <v>13</v>
      </c>
      <c r="F1665">
        <v>2</v>
      </c>
      <c r="G1665" t="str">
        <f>VLOOKUP(D1665,Товары!A:I,3,0)</f>
        <v>Тумба с раковиной  навес. Кристалл 700 шато азур 2 ящика с умыв. Слим</v>
      </c>
      <c r="H1665">
        <f>VLOOKUP(D1665,Товары!A:I,6,0)</f>
        <v>60</v>
      </c>
      <c r="I1665" t="str">
        <f>VLOOKUP(C1665,Магазины!A:C,3,0)</f>
        <v>Набережные Челны</v>
      </c>
      <c r="J1665">
        <f>VLOOKUP(D1665,Товары!A:I,4,0)</f>
        <v>24150</v>
      </c>
      <c r="K1665">
        <f t="shared" si="25"/>
        <v>48300</v>
      </c>
    </row>
    <row r="1666" spans="1:11" hidden="1" x14ac:dyDescent="0.25">
      <c r="A1666">
        <v>1665</v>
      </c>
      <c r="B1666" s="1">
        <v>45749</v>
      </c>
      <c r="C1666" t="s">
        <v>28</v>
      </c>
      <c r="D1666" t="s">
        <v>106</v>
      </c>
      <c r="E1666" t="s">
        <v>13</v>
      </c>
      <c r="F1666">
        <v>1</v>
      </c>
      <c r="G1666" t="str">
        <f>VLOOKUP(D1666,Товары!A:I,3,0)</f>
        <v>Тумба с раковиной  навес. Кристалл 700 шато азур 2 ящика с умыв. Слим</v>
      </c>
      <c r="H1666">
        <f>VLOOKUP(D1666,Товары!A:I,6,0)</f>
        <v>60</v>
      </c>
      <c r="I1666" t="str">
        <f>VLOOKUP(C1666,Магазины!A:C,3,0)</f>
        <v>Набережные Челны</v>
      </c>
      <c r="J1666">
        <f>VLOOKUP(D1666,Товары!A:I,4,0)</f>
        <v>24150</v>
      </c>
      <c r="K1666">
        <f t="shared" si="25"/>
        <v>24150</v>
      </c>
    </row>
    <row r="1667" spans="1:11" hidden="1" x14ac:dyDescent="0.25">
      <c r="A1667">
        <v>1666</v>
      </c>
      <c r="B1667" s="1">
        <v>45753</v>
      </c>
      <c r="C1667" t="s">
        <v>63</v>
      </c>
      <c r="D1667" t="s">
        <v>80</v>
      </c>
      <c r="E1667" t="s">
        <v>8</v>
      </c>
      <c r="F1667">
        <v>2</v>
      </c>
      <c r="G1667" t="str">
        <f>VLOOKUP(D1667,Товары!A:I,3,0)</f>
        <v>Тумба с раковиной  навес. Сохо 600 белый 2 ящика с умыв. Океан</v>
      </c>
      <c r="H1667">
        <f>VLOOKUP(D1667,Товары!A:I,6,0)</f>
        <v>55</v>
      </c>
      <c r="I1667" t="str">
        <f>VLOOKUP(C1667,Магазины!A:C,3,0)</f>
        <v>Ставрополь</v>
      </c>
      <c r="J1667">
        <f>VLOOKUP(D1667,Товары!A:I,4,0)</f>
        <v>13950</v>
      </c>
      <c r="K1667">
        <f t="shared" ref="K1667:K1730" si="26">J1667*F1667</f>
        <v>27900</v>
      </c>
    </row>
    <row r="1668" spans="1:11" hidden="1" x14ac:dyDescent="0.25">
      <c r="A1668">
        <v>1667</v>
      </c>
      <c r="B1668" s="1">
        <v>45750</v>
      </c>
      <c r="C1668" t="s">
        <v>28</v>
      </c>
      <c r="D1668" t="s">
        <v>89</v>
      </c>
      <c r="E1668" t="s">
        <v>13</v>
      </c>
      <c r="F1668">
        <v>3</v>
      </c>
      <c r="G1668" t="str">
        <f>VLOOKUP(D1668,Товары!A:I,3,0)</f>
        <v>Тумба с раковиной  напол. Сохо 600 белый 2 двери с умыв. Океан</v>
      </c>
      <c r="H1668">
        <f>VLOOKUP(D1668,Товары!A:I,6,0)</f>
        <v>85</v>
      </c>
      <c r="I1668" t="str">
        <f>VLOOKUP(C1668,Магазины!A:C,3,0)</f>
        <v>Набережные Челны</v>
      </c>
      <c r="J1668">
        <f>VLOOKUP(D1668,Товары!A:I,4,0)</f>
        <v>14880</v>
      </c>
      <c r="K1668">
        <f t="shared" si="26"/>
        <v>44640</v>
      </c>
    </row>
    <row r="1669" spans="1:11" hidden="1" x14ac:dyDescent="0.25">
      <c r="A1669">
        <v>1668</v>
      </c>
      <c r="B1669" s="1">
        <v>45754</v>
      </c>
      <c r="C1669" t="s">
        <v>16</v>
      </c>
      <c r="D1669" t="s">
        <v>15</v>
      </c>
      <c r="E1669" t="s">
        <v>13</v>
      </c>
      <c r="F1669">
        <v>3</v>
      </c>
      <c r="G1669" t="str">
        <f>VLOOKUP(D1669,Товары!A:I,3,0)</f>
        <v>Зеркальный шкаф Кристалл 60 со светильником правый, ручка кнопка дуб цвет Шато Азур</v>
      </c>
      <c r="H1669">
        <f>VLOOKUP(D1669,Товары!A:I,6,0)</f>
        <v>75</v>
      </c>
      <c r="I1669" t="str">
        <f>VLOOKUP(C1669,Магазины!A:C,3,0)</f>
        <v>Оренбург</v>
      </c>
      <c r="J1669">
        <f>VLOOKUP(D1669,Товары!A:I,4,0)</f>
        <v>9195</v>
      </c>
      <c r="K1669">
        <f t="shared" si="26"/>
        <v>27585</v>
      </c>
    </row>
    <row r="1670" spans="1:11" hidden="1" x14ac:dyDescent="0.25">
      <c r="A1670">
        <v>1669</v>
      </c>
      <c r="B1670" s="1">
        <v>45750</v>
      </c>
      <c r="C1670" t="s">
        <v>48</v>
      </c>
      <c r="D1670" t="s">
        <v>19</v>
      </c>
      <c r="E1670" t="s">
        <v>13</v>
      </c>
      <c r="F1670">
        <v>2</v>
      </c>
      <c r="G1670" t="str">
        <f>VLOOKUP(D1670,Товары!A:I,3,0)</f>
        <v>Тумба с раковиной  навес. Леон 800 оникс 2 ящика с умыв. Слим</v>
      </c>
      <c r="H1670">
        <f>VLOOKUP(D1670,Товары!A:I,6,0)</f>
        <v>60</v>
      </c>
      <c r="I1670" t="str">
        <f>VLOOKUP(C1670,Магазины!A:C,3,0)</f>
        <v>Ставрополь</v>
      </c>
      <c r="J1670">
        <f>VLOOKUP(D1670,Товары!A:I,4,0)</f>
        <v>27930</v>
      </c>
      <c r="K1670">
        <f t="shared" si="26"/>
        <v>55860</v>
      </c>
    </row>
    <row r="1671" spans="1:11" hidden="1" x14ac:dyDescent="0.25">
      <c r="A1671">
        <v>1670</v>
      </c>
      <c r="B1671" s="1">
        <v>45754</v>
      </c>
      <c r="C1671" t="s">
        <v>26</v>
      </c>
      <c r="D1671" t="s">
        <v>96</v>
      </c>
      <c r="E1671" t="s">
        <v>13</v>
      </c>
      <c r="F1671">
        <v>3</v>
      </c>
      <c r="G1671" t="str">
        <f>VLOOKUP(D1671,Товары!A:I,3,0)</f>
        <v>Тумба с раковиной  навес. Альба 600 мята 1 ящик с умыв. Океан</v>
      </c>
      <c r="H1671">
        <f>VLOOKUP(D1671,Товары!A:I,6,0)</f>
        <v>85</v>
      </c>
      <c r="I1671" t="str">
        <f>VLOOKUP(C1671,Магазины!A:C,3,0)</f>
        <v>Оренбург</v>
      </c>
      <c r="J1671">
        <f>VLOOKUP(D1671,Товары!A:I,4,0)</f>
        <v>17625</v>
      </c>
      <c r="K1671">
        <f t="shared" si="26"/>
        <v>52875</v>
      </c>
    </row>
    <row r="1672" spans="1:11" hidden="1" x14ac:dyDescent="0.25">
      <c r="A1672">
        <v>1671</v>
      </c>
      <c r="B1672" s="1">
        <v>45751</v>
      </c>
      <c r="C1672" t="s">
        <v>35</v>
      </c>
      <c r="D1672" t="s">
        <v>44</v>
      </c>
      <c r="E1672" t="s">
        <v>13</v>
      </c>
      <c r="F1672">
        <v>1</v>
      </c>
      <c r="G1672" t="str">
        <f>VLOOKUP(D1672,Товары!A:I,3,0)</f>
        <v>Тумба с раковиной  навес. Кристалл 800 шато азур 2 ящика с умыв. Комфорт</v>
      </c>
      <c r="H1672">
        <f>VLOOKUP(D1672,Товары!A:I,6,0)</f>
        <v>55</v>
      </c>
      <c r="I1672" t="str">
        <f>VLOOKUP(C1672,Магазины!A:C,3,0)</f>
        <v>Набережные Челны</v>
      </c>
      <c r="J1672">
        <f>VLOOKUP(D1672,Товары!A:I,4,0)</f>
        <v>25080</v>
      </c>
      <c r="K1672">
        <f t="shared" si="26"/>
        <v>25080</v>
      </c>
    </row>
    <row r="1673" spans="1:11" hidden="1" x14ac:dyDescent="0.25">
      <c r="A1673">
        <v>1672</v>
      </c>
      <c r="B1673" s="1">
        <v>45757</v>
      </c>
      <c r="C1673" t="s">
        <v>30</v>
      </c>
      <c r="D1673" t="s">
        <v>76</v>
      </c>
      <c r="E1673" t="s">
        <v>13</v>
      </c>
      <c r="F1673">
        <v>2</v>
      </c>
      <c r="G1673" t="str">
        <f>VLOOKUP(D1673,Товары!A:I,3,0)</f>
        <v>Тумба с раковиной  напол. Леон 600 оникс 2 ящика с умыв. Слим</v>
      </c>
      <c r="H1673">
        <f>VLOOKUP(D1673,Товары!A:I,6,0)</f>
        <v>80</v>
      </c>
      <c r="I1673" t="str">
        <f>VLOOKUP(C1673,Магазины!A:C,3,0)</f>
        <v>Кемерово</v>
      </c>
      <c r="J1673">
        <f>VLOOKUP(D1673,Товары!A:I,4,0)</f>
        <v>25860</v>
      </c>
      <c r="K1673">
        <f t="shared" si="26"/>
        <v>51720</v>
      </c>
    </row>
    <row r="1674" spans="1:11" hidden="1" x14ac:dyDescent="0.25">
      <c r="A1674">
        <v>1673</v>
      </c>
      <c r="B1674" s="1">
        <v>45753</v>
      </c>
      <c r="C1674" t="s">
        <v>9</v>
      </c>
      <c r="D1674" t="s">
        <v>82</v>
      </c>
      <c r="E1674" t="s">
        <v>13</v>
      </c>
      <c r="F1674">
        <v>2</v>
      </c>
      <c r="G1674" t="str">
        <f>VLOOKUP(D1674,Товары!A:I,3,0)</f>
        <v>Тумба с раковиной  навес. Леон 800 форест 2 ящика с умыв. Слим</v>
      </c>
      <c r="H1674">
        <f>VLOOKUP(D1674,Товары!A:I,6,0)</f>
        <v>60</v>
      </c>
      <c r="I1674" t="str">
        <f>VLOOKUP(C1674,Магазины!A:C,3,0)</f>
        <v>Кемерово</v>
      </c>
      <c r="J1674">
        <f>VLOOKUP(D1674,Товары!A:I,4,0)</f>
        <v>27930</v>
      </c>
      <c r="K1674">
        <f t="shared" si="26"/>
        <v>55860</v>
      </c>
    </row>
    <row r="1675" spans="1:11" hidden="1" x14ac:dyDescent="0.25">
      <c r="A1675">
        <v>1674</v>
      </c>
      <c r="B1675" s="1">
        <v>45748</v>
      </c>
      <c r="C1675" t="s">
        <v>41</v>
      </c>
      <c r="D1675" t="s">
        <v>125</v>
      </c>
      <c r="E1675" t="s">
        <v>8</v>
      </c>
      <c r="F1675">
        <v>1</v>
      </c>
      <c r="G1675" t="str">
        <f>VLOOKUP(D1675,Товары!A:I,3,0)</f>
        <v>Зеркальный шкаф Сохо 60 белый со светильником правый цвет Белый глянец</v>
      </c>
      <c r="H1675">
        <f>VLOOKUP(D1675,Товары!A:I,6,0)</f>
        <v>75</v>
      </c>
      <c r="I1675" t="str">
        <f>VLOOKUP(C1675,Магазины!A:C,3,0)</f>
        <v>Ставрополь</v>
      </c>
      <c r="J1675">
        <f>VLOOKUP(D1675,Товары!A:I,4,0)</f>
        <v>7395</v>
      </c>
      <c r="K1675">
        <f t="shared" si="26"/>
        <v>7395</v>
      </c>
    </row>
    <row r="1676" spans="1:11" hidden="1" x14ac:dyDescent="0.25">
      <c r="A1676">
        <v>1675</v>
      </c>
      <c r="B1676" s="1">
        <v>45751</v>
      </c>
      <c r="C1676" t="s">
        <v>103</v>
      </c>
      <c r="D1676" t="s">
        <v>19</v>
      </c>
      <c r="E1676" t="s">
        <v>13</v>
      </c>
      <c r="F1676">
        <v>2</v>
      </c>
      <c r="G1676" t="str">
        <f>VLOOKUP(D1676,Товары!A:I,3,0)</f>
        <v>Тумба с раковиной  навес. Леон 800 оникс 2 ящика с умыв. Слим</v>
      </c>
      <c r="H1676">
        <f>VLOOKUP(D1676,Товары!A:I,6,0)</f>
        <v>60</v>
      </c>
      <c r="I1676" t="str">
        <f>VLOOKUP(C1676,Магазины!A:C,3,0)</f>
        <v>Ставрополь</v>
      </c>
      <c r="J1676">
        <f>VLOOKUP(D1676,Товары!A:I,4,0)</f>
        <v>27930</v>
      </c>
      <c r="K1676">
        <f t="shared" si="26"/>
        <v>55860</v>
      </c>
    </row>
    <row r="1677" spans="1:11" hidden="1" x14ac:dyDescent="0.25">
      <c r="A1677">
        <v>1676</v>
      </c>
      <c r="B1677" s="1">
        <v>45751</v>
      </c>
      <c r="C1677" t="s">
        <v>14</v>
      </c>
      <c r="D1677" t="s">
        <v>75</v>
      </c>
      <c r="E1677" t="s">
        <v>13</v>
      </c>
      <c r="F1677">
        <v>1</v>
      </c>
      <c r="G1677" t="str">
        <f>VLOOKUP(D1677,Товары!A:I,3,0)</f>
        <v>Тумба с раковиной  напол. Альба 600 суфле 2 ящика с умыв. Океан</v>
      </c>
      <c r="H1677">
        <f>VLOOKUP(D1677,Товары!A:I,6,0)</f>
        <v>80</v>
      </c>
      <c r="I1677" t="str">
        <f>VLOOKUP(C1677,Магазины!A:C,3,0)</f>
        <v>Оренбург</v>
      </c>
      <c r="J1677">
        <f>VLOOKUP(D1677,Товары!A:I,4,0)</f>
        <v>26370</v>
      </c>
      <c r="K1677">
        <f t="shared" si="26"/>
        <v>26370</v>
      </c>
    </row>
    <row r="1678" spans="1:11" hidden="1" x14ac:dyDescent="0.25">
      <c r="A1678">
        <v>1677</v>
      </c>
      <c r="B1678" s="1">
        <v>45754</v>
      </c>
      <c r="C1678" t="s">
        <v>22</v>
      </c>
      <c r="D1678" t="s">
        <v>23</v>
      </c>
      <c r="E1678" t="s">
        <v>8</v>
      </c>
      <c r="F1678">
        <v>1</v>
      </c>
      <c r="G1678" t="str">
        <f>VLOOKUP(D1678,Товары!A:I,3,0)</f>
        <v>Тумба с раковиной  напол. Альба 800 антрацит 2 ящика с умыв. Слим</v>
      </c>
      <c r="H1678">
        <f>VLOOKUP(D1678,Товары!A:I,6,0)</f>
        <v>80</v>
      </c>
      <c r="I1678" t="str">
        <f>VLOOKUP(C1678,Магазины!A:C,3,0)</f>
        <v>Кемерово</v>
      </c>
      <c r="J1678">
        <f>VLOOKUP(D1678,Товары!A:I,4,0)</f>
        <v>29340</v>
      </c>
      <c r="K1678">
        <f t="shared" si="26"/>
        <v>29340</v>
      </c>
    </row>
    <row r="1679" spans="1:11" hidden="1" x14ac:dyDescent="0.25">
      <c r="A1679">
        <v>1678</v>
      </c>
      <c r="B1679" s="1">
        <v>45755</v>
      </c>
      <c r="C1679" t="s">
        <v>14</v>
      </c>
      <c r="D1679" t="s">
        <v>123</v>
      </c>
      <c r="E1679" t="s">
        <v>8</v>
      </c>
      <c r="F1679">
        <v>3</v>
      </c>
      <c r="G1679" t="str">
        <f>VLOOKUP(D1679,Товары!A:I,3,0)</f>
        <v>Тумба с раковиной  напол. Кристалл 800 суфле 2 ящика с умыв. Слим</v>
      </c>
      <c r="H1679">
        <f>VLOOKUP(D1679,Товары!A:I,6,0)</f>
        <v>80</v>
      </c>
      <c r="I1679" t="str">
        <f>VLOOKUP(C1679,Магазины!A:C,3,0)</f>
        <v>Оренбург</v>
      </c>
      <c r="J1679">
        <f>VLOOKUP(D1679,Товары!A:I,4,0)</f>
        <v>31125</v>
      </c>
      <c r="K1679">
        <f t="shared" si="26"/>
        <v>93375</v>
      </c>
    </row>
    <row r="1680" spans="1:11" hidden="1" x14ac:dyDescent="0.25">
      <c r="A1680">
        <v>1679</v>
      </c>
      <c r="B1680" s="1">
        <v>45751</v>
      </c>
      <c r="C1680" t="s">
        <v>43</v>
      </c>
      <c r="D1680" t="s">
        <v>69</v>
      </c>
      <c r="E1680" t="s">
        <v>8</v>
      </c>
      <c r="F1680">
        <v>1</v>
      </c>
      <c r="G1680" t="str">
        <f>VLOOKUP(D1680,Товары!A:I,3,0)</f>
        <v>Пенал навес./напол. Альба 350 антрацит 2 двери</v>
      </c>
      <c r="H1680">
        <f>VLOOKUP(D1680,Товары!A:I,6,0)</f>
        <v>150</v>
      </c>
      <c r="I1680" t="str">
        <f>VLOOKUP(C1680,Магазины!A:C,3,0)</f>
        <v>Набережные Челны</v>
      </c>
      <c r="J1680">
        <f>VLOOKUP(D1680,Товары!A:I,4,0)</f>
        <v>11655</v>
      </c>
      <c r="K1680">
        <f t="shared" si="26"/>
        <v>11655</v>
      </c>
    </row>
    <row r="1681" spans="1:11" hidden="1" x14ac:dyDescent="0.25">
      <c r="A1681">
        <v>1680</v>
      </c>
      <c r="B1681" s="1">
        <v>45756</v>
      </c>
      <c r="C1681" t="s">
        <v>63</v>
      </c>
      <c r="D1681" t="s">
        <v>95</v>
      </c>
      <c r="E1681" t="s">
        <v>8</v>
      </c>
      <c r="F1681">
        <v>2</v>
      </c>
      <c r="G1681" t="str">
        <f>VLOOKUP(D1681,Товары!A:I,3,0)</f>
        <v>Тумба с раковиной  напол. Рица 600 антрацит 2 ящика с умыв. Океан</v>
      </c>
      <c r="H1681">
        <f>VLOOKUP(D1681,Товары!A:I,6,0)</f>
        <v>80</v>
      </c>
      <c r="I1681" t="str">
        <f>VLOOKUP(C1681,Магазины!A:C,3,0)</f>
        <v>Ставрополь</v>
      </c>
      <c r="J1681">
        <f>VLOOKUP(D1681,Товары!A:I,4,0)</f>
        <v>25560</v>
      </c>
      <c r="K1681">
        <f t="shared" si="26"/>
        <v>51120</v>
      </c>
    </row>
    <row r="1682" spans="1:11" hidden="1" x14ac:dyDescent="0.25">
      <c r="A1682">
        <v>1681</v>
      </c>
      <c r="B1682" s="1">
        <v>45752</v>
      </c>
      <c r="C1682" t="s">
        <v>28</v>
      </c>
      <c r="D1682" t="s">
        <v>96</v>
      </c>
      <c r="E1682" t="s">
        <v>13</v>
      </c>
      <c r="F1682">
        <v>2</v>
      </c>
      <c r="G1682" t="str">
        <f>VLOOKUP(D1682,Товары!A:I,3,0)</f>
        <v>Тумба с раковиной  навес. Альба 600 мята 1 ящик с умыв. Океан</v>
      </c>
      <c r="H1682">
        <f>VLOOKUP(D1682,Товары!A:I,6,0)</f>
        <v>85</v>
      </c>
      <c r="I1682" t="str">
        <f>VLOOKUP(C1682,Магазины!A:C,3,0)</f>
        <v>Набережные Челны</v>
      </c>
      <c r="J1682">
        <f>VLOOKUP(D1682,Товары!A:I,4,0)</f>
        <v>17625</v>
      </c>
      <c r="K1682">
        <f t="shared" si="26"/>
        <v>35250</v>
      </c>
    </row>
    <row r="1683" spans="1:11" hidden="1" x14ac:dyDescent="0.25">
      <c r="A1683">
        <v>1682</v>
      </c>
      <c r="B1683" s="1">
        <v>45751</v>
      </c>
      <c r="C1683" t="s">
        <v>63</v>
      </c>
      <c r="D1683" t="s">
        <v>85</v>
      </c>
      <c r="E1683" t="s">
        <v>13</v>
      </c>
      <c r="F1683">
        <v>1</v>
      </c>
      <c r="G1683" t="str">
        <f>VLOOKUP(D1683,Товары!A:I,3,0)</f>
        <v>Пенал напол. Аква 450 белый 2 двери + 2 ящика + корзина</v>
      </c>
      <c r="H1683">
        <f>VLOOKUP(D1683,Товары!A:I,6,0)</f>
        <v>190</v>
      </c>
      <c r="I1683" t="str">
        <f>VLOOKUP(C1683,Магазины!A:C,3,0)</f>
        <v>Ставрополь</v>
      </c>
      <c r="J1683">
        <f>VLOOKUP(D1683,Товары!A:I,4,0)</f>
        <v>13335</v>
      </c>
      <c r="K1683">
        <f t="shared" si="26"/>
        <v>13335</v>
      </c>
    </row>
    <row r="1684" spans="1:11" hidden="1" x14ac:dyDescent="0.25">
      <c r="A1684">
        <v>1683</v>
      </c>
      <c r="B1684" s="1">
        <v>45754</v>
      </c>
      <c r="C1684" t="s">
        <v>14</v>
      </c>
      <c r="D1684" t="s">
        <v>62</v>
      </c>
      <c r="E1684" t="s">
        <v>13</v>
      </c>
      <c r="F1684">
        <v>1</v>
      </c>
      <c r="G1684" t="str">
        <f>VLOOKUP(D1684,Товары!A:I,3,0)</f>
        <v>Тумба с раковиной  напол. Альба 600 мята 2 ящика с умыв. Океан</v>
      </c>
      <c r="H1684">
        <f>VLOOKUP(D1684,Товары!A:I,6,0)</f>
        <v>80</v>
      </c>
      <c r="I1684" t="str">
        <f>VLOOKUP(C1684,Магазины!A:C,3,0)</f>
        <v>Оренбург</v>
      </c>
      <c r="J1684">
        <f>VLOOKUP(D1684,Товары!A:I,4,0)</f>
        <v>26370</v>
      </c>
      <c r="K1684">
        <f t="shared" si="26"/>
        <v>26370</v>
      </c>
    </row>
    <row r="1685" spans="1:11" hidden="1" x14ac:dyDescent="0.25">
      <c r="A1685">
        <v>1684</v>
      </c>
      <c r="B1685" s="1">
        <v>45754</v>
      </c>
      <c r="C1685" t="s">
        <v>54</v>
      </c>
      <c r="D1685" t="s">
        <v>124</v>
      </c>
      <c r="E1685" t="s">
        <v>8</v>
      </c>
      <c r="F1685">
        <v>2</v>
      </c>
      <c r="G1685" t="str">
        <f>VLOOKUP(D1685,Товары!A:I,3,0)</f>
        <v>Тумба с раковиной  напол. Леон 600 оникс 2 ящика с умыв. Океан</v>
      </c>
      <c r="H1685">
        <f>VLOOKUP(D1685,Товары!A:I,6,0)</f>
        <v>80</v>
      </c>
      <c r="I1685" t="str">
        <f>VLOOKUP(C1685,Магазины!A:C,3,0)</f>
        <v>Ставрополь</v>
      </c>
      <c r="J1685">
        <f>VLOOKUP(D1685,Товары!A:I,4,0)</f>
        <v>25860</v>
      </c>
      <c r="K1685">
        <f t="shared" si="26"/>
        <v>51720</v>
      </c>
    </row>
    <row r="1686" spans="1:11" hidden="1" x14ac:dyDescent="0.25">
      <c r="A1686">
        <v>1685</v>
      </c>
      <c r="B1686" s="1">
        <v>45748</v>
      </c>
      <c r="C1686" t="s">
        <v>103</v>
      </c>
      <c r="D1686" t="s">
        <v>12</v>
      </c>
      <c r="E1686" t="s">
        <v>13</v>
      </c>
      <c r="F1686">
        <v>3</v>
      </c>
      <c r="G1686" t="str">
        <f>VLOOKUP(D1686,Товары!A:I,3,0)</f>
        <v>Тумба с раковиной  напол. Сохо 700 белый 2 двери с умыв. Слим</v>
      </c>
      <c r="H1686">
        <f>VLOOKUP(D1686,Товары!A:I,6,0)</f>
        <v>85</v>
      </c>
      <c r="I1686" t="str">
        <f>VLOOKUP(C1686,Магазины!A:C,3,0)</f>
        <v>Ставрополь</v>
      </c>
      <c r="J1686">
        <f>VLOOKUP(D1686,Товары!A:I,4,0)</f>
        <v>17160</v>
      </c>
      <c r="K1686">
        <f t="shared" si="26"/>
        <v>51480</v>
      </c>
    </row>
    <row r="1687" spans="1:11" hidden="1" x14ac:dyDescent="0.25">
      <c r="A1687">
        <v>1686</v>
      </c>
      <c r="B1687" s="1">
        <v>45755</v>
      </c>
      <c r="C1687" t="s">
        <v>22</v>
      </c>
      <c r="D1687" t="s">
        <v>81</v>
      </c>
      <c r="E1687" t="s">
        <v>13</v>
      </c>
      <c r="F1687">
        <v>2</v>
      </c>
      <c r="G1687" t="str">
        <f>VLOOKUP(D1687,Товары!A:I,3,0)</f>
        <v>Тумба с раковиной  навес. Рица 600 cерый/керамика 1 ящик + ниша 1 с умыв. Океан</v>
      </c>
      <c r="H1687">
        <f>VLOOKUP(D1687,Товары!A:I,6,0)</f>
        <v>60</v>
      </c>
      <c r="I1687" t="str">
        <f>VLOOKUP(C1687,Магазины!A:C,3,0)</f>
        <v>Кемерово</v>
      </c>
      <c r="J1687">
        <f>VLOOKUP(D1687,Товары!A:I,4,0)</f>
        <v>18900</v>
      </c>
      <c r="K1687">
        <f t="shared" si="26"/>
        <v>37800</v>
      </c>
    </row>
    <row r="1688" spans="1:11" hidden="1" x14ac:dyDescent="0.25">
      <c r="A1688">
        <v>1687</v>
      </c>
      <c r="B1688" s="1">
        <v>45748</v>
      </c>
      <c r="C1688" t="s">
        <v>43</v>
      </c>
      <c r="D1688" t="s">
        <v>104</v>
      </c>
      <c r="E1688" t="s">
        <v>8</v>
      </c>
      <c r="F1688">
        <v>2</v>
      </c>
      <c r="G1688" t="str">
        <f>VLOOKUP(D1688,Товары!A:I,3,0)</f>
        <v>Тумба под стиральную машину Куба Риф 57 подвесная 2 ящика под ст/маш, без умывальника /под Marshall 120 Белый</v>
      </c>
      <c r="H1688">
        <f>VLOOKUP(D1688,Товары!A:I,6,0)</f>
        <v>50</v>
      </c>
      <c r="I1688" t="str">
        <f>VLOOKUP(C1688,Магазины!A:C,3,0)</f>
        <v>Набережные Челны</v>
      </c>
      <c r="J1688">
        <f>VLOOKUP(D1688,Товары!A:I,4,0)</f>
        <v>8505</v>
      </c>
      <c r="K1688">
        <f t="shared" si="26"/>
        <v>17010</v>
      </c>
    </row>
    <row r="1689" spans="1:11" hidden="1" x14ac:dyDescent="0.25">
      <c r="A1689">
        <v>1688</v>
      </c>
      <c r="B1689" s="1">
        <v>45752</v>
      </c>
      <c r="C1689" t="s">
        <v>9</v>
      </c>
      <c r="D1689" t="s">
        <v>32</v>
      </c>
      <c r="E1689" t="s">
        <v>8</v>
      </c>
      <c r="F1689">
        <v>2</v>
      </c>
      <c r="G1689" t="str">
        <f>VLOOKUP(D1689,Товары!A:I,3,0)</f>
        <v>Тумба с раковиной  напол. Леон Риф 700 солярис/белый риф 2 ящика с умыв. Слим</v>
      </c>
      <c r="H1689">
        <f>VLOOKUP(D1689,Товары!A:I,6,0)</f>
        <v>85</v>
      </c>
      <c r="I1689" t="str">
        <f>VLOOKUP(C1689,Магазины!A:C,3,0)</f>
        <v>Кемерово</v>
      </c>
      <c r="J1689">
        <f>VLOOKUP(D1689,Товары!A:I,4,0)</f>
        <v>26460</v>
      </c>
      <c r="K1689">
        <f t="shared" si="26"/>
        <v>52920</v>
      </c>
    </row>
    <row r="1690" spans="1:11" hidden="1" x14ac:dyDescent="0.25">
      <c r="A1690">
        <v>1689</v>
      </c>
      <c r="B1690" s="1">
        <v>45753</v>
      </c>
      <c r="C1690" t="s">
        <v>63</v>
      </c>
      <c r="D1690" t="s">
        <v>71</v>
      </c>
      <c r="E1690" t="s">
        <v>13</v>
      </c>
      <c r="F1690">
        <v>3</v>
      </c>
      <c r="G1690" t="str">
        <f>VLOOKUP(D1690,Товары!A:I,3,0)</f>
        <v>Тумба с раковиной  навес. Альба 600 мята 2 ящика с умыв. Океан</v>
      </c>
      <c r="H1690">
        <f>VLOOKUP(D1690,Товары!A:I,6,0)</f>
        <v>50</v>
      </c>
      <c r="I1690" t="str">
        <f>VLOOKUP(C1690,Магазины!A:C,3,0)</f>
        <v>Ставрополь</v>
      </c>
      <c r="J1690">
        <f>VLOOKUP(D1690,Товары!A:I,4,0)</f>
        <v>24810</v>
      </c>
      <c r="K1690">
        <f t="shared" si="26"/>
        <v>74430</v>
      </c>
    </row>
    <row r="1691" spans="1:11" hidden="1" x14ac:dyDescent="0.25">
      <c r="A1691">
        <v>1690</v>
      </c>
      <c r="B1691" s="1">
        <v>45755</v>
      </c>
      <c r="C1691" t="s">
        <v>103</v>
      </c>
      <c r="D1691" t="s">
        <v>52</v>
      </c>
      <c r="E1691" t="s">
        <v>8</v>
      </c>
      <c r="F1691">
        <v>1</v>
      </c>
      <c r="G1691" t="str">
        <f>VLOOKUP(D1691,Товары!A:I,3,0)</f>
        <v>Тумба с раковиной  напол. Кристалл 600 суфле 2 ящика с умыв. Океан</v>
      </c>
      <c r="H1691">
        <f>VLOOKUP(D1691,Товары!A:I,6,0)</f>
        <v>80</v>
      </c>
      <c r="I1691" t="str">
        <f>VLOOKUP(C1691,Магазины!A:C,3,0)</f>
        <v>Ставрополь</v>
      </c>
      <c r="J1691">
        <f>VLOOKUP(D1691,Товары!A:I,4,0)</f>
        <v>27600</v>
      </c>
      <c r="K1691">
        <f t="shared" si="26"/>
        <v>27600</v>
      </c>
    </row>
    <row r="1692" spans="1:11" hidden="1" x14ac:dyDescent="0.25">
      <c r="A1692">
        <v>1691</v>
      </c>
      <c r="B1692" s="1">
        <v>45757</v>
      </c>
      <c r="C1692" t="s">
        <v>6</v>
      </c>
      <c r="D1692" t="s">
        <v>70</v>
      </c>
      <c r="E1692" t="s">
        <v>13</v>
      </c>
      <c r="F1692">
        <v>1</v>
      </c>
      <c r="G1692" t="str">
        <f>VLOOKUP(D1692,Товары!A:I,3,0)</f>
        <v>Тумба с раковиной  напол. Кристалл 700 шато азур 2 ящика с умыв. Слим</v>
      </c>
      <c r="H1692">
        <f>VLOOKUP(D1692,Товары!A:I,6,0)</f>
        <v>85</v>
      </c>
      <c r="I1692" t="str">
        <f>VLOOKUP(C1692,Магазины!A:C,3,0)</f>
        <v>Оренбург</v>
      </c>
      <c r="J1692">
        <f>VLOOKUP(D1692,Товары!A:I,4,0)</f>
        <v>29910</v>
      </c>
      <c r="K1692">
        <f t="shared" si="26"/>
        <v>29910</v>
      </c>
    </row>
    <row r="1693" spans="1:11" hidden="1" x14ac:dyDescent="0.25">
      <c r="A1693">
        <v>1692</v>
      </c>
      <c r="B1693" s="1">
        <v>45755</v>
      </c>
      <c r="C1693" t="s">
        <v>14</v>
      </c>
      <c r="D1693" t="s">
        <v>38</v>
      </c>
      <c r="E1693" t="s">
        <v>8</v>
      </c>
      <c r="F1693">
        <v>3</v>
      </c>
      <c r="G1693" t="str">
        <f>VLOOKUP(D1693,Товары!A:I,3,0)</f>
        <v>Тумба с раковиной  навес. Куба Риф 600 белый 2 ящика с умыв. Como</v>
      </c>
      <c r="H1693">
        <f>VLOOKUP(D1693,Товары!A:I,6,0)</f>
        <v>55</v>
      </c>
      <c r="I1693" t="str">
        <f>VLOOKUP(C1693,Магазины!A:C,3,0)</f>
        <v>Оренбург</v>
      </c>
      <c r="J1693">
        <f>VLOOKUP(D1693,Товары!A:I,4,0)</f>
        <v>14265</v>
      </c>
      <c r="K1693">
        <f t="shared" si="26"/>
        <v>42795</v>
      </c>
    </row>
    <row r="1694" spans="1:11" hidden="1" x14ac:dyDescent="0.25">
      <c r="A1694">
        <v>1693</v>
      </c>
      <c r="B1694" s="1">
        <v>45752</v>
      </c>
      <c r="C1694" t="s">
        <v>6</v>
      </c>
      <c r="D1694" t="s">
        <v>119</v>
      </c>
      <c r="E1694" t="s">
        <v>8</v>
      </c>
      <c r="F1694">
        <v>3</v>
      </c>
      <c r="G1694" t="str">
        <f>VLOOKUP(D1694,Товары!A:I,3,0)</f>
        <v>Пенал навес./напол. Рица 350 cерый/керамика 2 двери</v>
      </c>
      <c r="H1694">
        <f>VLOOKUP(D1694,Товары!A:I,6,0)</f>
        <v>160</v>
      </c>
      <c r="I1694" t="str">
        <f>VLOOKUP(C1694,Магазины!A:C,3,0)</f>
        <v>Оренбург</v>
      </c>
      <c r="J1694">
        <f>VLOOKUP(D1694,Товары!A:I,4,0)</f>
        <v>11250</v>
      </c>
      <c r="K1694">
        <f t="shared" si="26"/>
        <v>33750</v>
      </c>
    </row>
    <row r="1695" spans="1:11" hidden="1" x14ac:dyDescent="0.25">
      <c r="A1695">
        <v>1694</v>
      </c>
      <c r="B1695" s="1">
        <v>45755</v>
      </c>
      <c r="C1695" t="s">
        <v>18</v>
      </c>
      <c r="D1695" t="s">
        <v>74</v>
      </c>
      <c r="E1695" t="s">
        <v>13</v>
      </c>
      <c r="F1695">
        <v>2</v>
      </c>
      <c r="G1695" t="str">
        <f>VLOOKUP(D1695,Товары!A:I,3,0)</f>
        <v>Тумба с раковиной  напол. Альба 800 суфле 2 ящика с умыв. Слим</v>
      </c>
      <c r="H1695">
        <f>VLOOKUP(D1695,Товары!A:I,6,0)</f>
        <v>80</v>
      </c>
      <c r="I1695" t="str">
        <f>VLOOKUP(C1695,Магазины!A:C,3,0)</f>
        <v>Набережные Челны</v>
      </c>
      <c r="J1695">
        <f>VLOOKUP(D1695,Товары!A:I,4,0)</f>
        <v>29340</v>
      </c>
      <c r="K1695">
        <f t="shared" si="26"/>
        <v>58680</v>
      </c>
    </row>
    <row r="1696" spans="1:11" hidden="1" x14ac:dyDescent="0.25">
      <c r="A1696">
        <v>1695</v>
      </c>
      <c r="B1696" s="1">
        <v>45752</v>
      </c>
      <c r="C1696" t="s">
        <v>6</v>
      </c>
      <c r="D1696" t="s">
        <v>32</v>
      </c>
      <c r="E1696" t="s">
        <v>13</v>
      </c>
      <c r="F1696">
        <v>2</v>
      </c>
      <c r="G1696" t="str">
        <f>VLOOKUP(D1696,Товары!A:I,3,0)</f>
        <v>Тумба с раковиной  напол. Леон Риф 700 солярис/белый риф 2 ящика с умыв. Слим</v>
      </c>
      <c r="H1696">
        <f>VLOOKUP(D1696,Товары!A:I,6,0)</f>
        <v>85</v>
      </c>
      <c r="I1696" t="str">
        <f>VLOOKUP(C1696,Магазины!A:C,3,0)</f>
        <v>Оренбург</v>
      </c>
      <c r="J1696">
        <f>VLOOKUP(D1696,Товары!A:I,4,0)</f>
        <v>26460</v>
      </c>
      <c r="K1696">
        <f t="shared" si="26"/>
        <v>52920</v>
      </c>
    </row>
    <row r="1697" spans="1:11" hidden="1" x14ac:dyDescent="0.25">
      <c r="A1697">
        <v>1696</v>
      </c>
      <c r="B1697" s="1">
        <v>45753</v>
      </c>
      <c r="C1697" t="s">
        <v>26</v>
      </c>
      <c r="D1697" t="s">
        <v>117</v>
      </c>
      <c r="E1697" t="s">
        <v>13</v>
      </c>
      <c r="F1697">
        <v>3</v>
      </c>
      <c r="G1697" t="str">
        <f>VLOOKUP(D1697,Товары!A:I,3,0)</f>
        <v>Тумба с раковиной  навес. Альба 700 антрацит 2 ящика с умыв. Слим</v>
      </c>
      <c r="H1697">
        <f>VLOOKUP(D1697,Товары!A:I,6,0)</f>
        <v>60</v>
      </c>
      <c r="I1697" t="str">
        <f>VLOOKUP(C1697,Магазины!A:C,3,0)</f>
        <v>Оренбург</v>
      </c>
      <c r="J1697">
        <f>VLOOKUP(D1697,Товары!A:I,4,0)</f>
        <v>25095</v>
      </c>
      <c r="K1697">
        <f t="shared" si="26"/>
        <v>75285</v>
      </c>
    </row>
    <row r="1698" spans="1:11" hidden="1" x14ac:dyDescent="0.25">
      <c r="A1698">
        <v>1697</v>
      </c>
      <c r="B1698" s="1">
        <v>45756</v>
      </c>
      <c r="C1698" t="s">
        <v>9</v>
      </c>
      <c r="D1698" t="s">
        <v>109</v>
      </c>
      <c r="E1698" t="s">
        <v>13</v>
      </c>
      <c r="F1698">
        <v>2</v>
      </c>
      <c r="G1698" t="str">
        <f>VLOOKUP(D1698,Товары!A:I,3,0)</f>
        <v>Тумба с раковиной  навес. Альба 600 антрацит 2 ящика с умыв. Океан</v>
      </c>
      <c r="H1698">
        <f>VLOOKUP(D1698,Товары!A:I,6,0)</f>
        <v>50</v>
      </c>
      <c r="I1698" t="str">
        <f>VLOOKUP(C1698,Магазины!A:C,3,0)</f>
        <v>Кемерово</v>
      </c>
      <c r="J1698">
        <f>VLOOKUP(D1698,Товары!A:I,4,0)</f>
        <v>24810</v>
      </c>
      <c r="K1698">
        <f t="shared" si="26"/>
        <v>49620</v>
      </c>
    </row>
    <row r="1699" spans="1:11" hidden="1" x14ac:dyDescent="0.25">
      <c r="A1699">
        <v>1698</v>
      </c>
      <c r="B1699" s="1">
        <v>45748</v>
      </c>
      <c r="C1699" t="s">
        <v>103</v>
      </c>
      <c r="D1699" t="s">
        <v>83</v>
      </c>
      <c r="E1699" t="s">
        <v>13</v>
      </c>
      <c r="F1699">
        <v>3</v>
      </c>
      <c r="G1699" t="str">
        <f>VLOOKUP(D1699,Товары!A:I,3,0)</f>
        <v>Зеркальный шкаф Альба 60 со светильником правый цвет суфле</v>
      </c>
      <c r="H1699">
        <f>VLOOKUP(D1699,Товары!A:I,6,0)</f>
        <v>75</v>
      </c>
      <c r="I1699" t="str">
        <f>VLOOKUP(C1699,Магазины!A:C,3,0)</f>
        <v>Ставрополь</v>
      </c>
      <c r="J1699">
        <f>VLOOKUP(D1699,Товары!A:I,4,0)</f>
        <v>8910</v>
      </c>
      <c r="K1699">
        <f t="shared" si="26"/>
        <v>26730</v>
      </c>
    </row>
    <row r="1700" spans="1:11" hidden="1" x14ac:dyDescent="0.25">
      <c r="A1700">
        <v>1699</v>
      </c>
      <c r="B1700" s="1">
        <v>45753</v>
      </c>
      <c r="C1700" t="s">
        <v>20</v>
      </c>
      <c r="D1700" t="s">
        <v>59</v>
      </c>
      <c r="E1700" t="s">
        <v>13</v>
      </c>
      <c r="F1700">
        <v>2</v>
      </c>
      <c r="G1700" t="str">
        <f>VLOOKUP(D1700,Товары!A:I,3,0)</f>
        <v>Тумба с раковиной  навес. Куба Риф 600 белый 2 ящика с умыв. Океан</v>
      </c>
      <c r="H1700">
        <f>VLOOKUP(D1700,Товары!A:I,6,0)</f>
        <v>55</v>
      </c>
      <c r="I1700" t="str">
        <f>VLOOKUP(C1700,Магазины!A:C,3,0)</f>
        <v>Оренбург</v>
      </c>
      <c r="J1700">
        <f>VLOOKUP(D1700,Товары!A:I,4,0)</f>
        <v>15765</v>
      </c>
      <c r="K1700">
        <f t="shared" si="26"/>
        <v>31530</v>
      </c>
    </row>
    <row r="1701" spans="1:11" hidden="1" x14ac:dyDescent="0.25">
      <c r="A1701">
        <v>1700</v>
      </c>
      <c r="B1701" s="1">
        <v>45748</v>
      </c>
      <c r="C1701" t="s">
        <v>28</v>
      </c>
      <c r="D1701" t="s">
        <v>34</v>
      </c>
      <c r="E1701" t="s">
        <v>8</v>
      </c>
      <c r="F1701">
        <v>3</v>
      </c>
      <c r="G1701" t="str">
        <f>VLOOKUP(D1701,Товары!A:I,3,0)</f>
        <v>Тумба с раковиной  навес. Леон 700 форест 2 ящика с умыв. Слим</v>
      </c>
      <c r="H1701">
        <f>VLOOKUP(D1701,Товары!A:I,6,0)</f>
        <v>60</v>
      </c>
      <c r="I1701" t="str">
        <f>VLOOKUP(C1701,Магазины!A:C,3,0)</f>
        <v>Набережные Челны</v>
      </c>
      <c r="J1701">
        <f>VLOOKUP(D1701,Товары!A:I,4,0)</f>
        <v>26220</v>
      </c>
      <c r="K1701">
        <f t="shared" si="26"/>
        <v>78660</v>
      </c>
    </row>
    <row r="1702" spans="1:11" hidden="1" x14ac:dyDescent="0.25">
      <c r="A1702">
        <v>1701</v>
      </c>
      <c r="B1702" s="1">
        <v>45756</v>
      </c>
      <c r="C1702" t="s">
        <v>26</v>
      </c>
      <c r="D1702" t="s">
        <v>72</v>
      </c>
      <c r="E1702" t="s">
        <v>8</v>
      </c>
      <c r="F1702">
        <v>2</v>
      </c>
      <c r="G1702" t="str">
        <f>VLOOKUP(D1702,Товары!A:I,3,0)</f>
        <v>Тумба с раковиной  напол. Сохо 600 белый 2 ящика с умыв. Океан</v>
      </c>
      <c r="H1702">
        <f>VLOOKUP(D1702,Товары!A:I,6,0)</f>
        <v>85</v>
      </c>
      <c r="I1702" t="str">
        <f>VLOOKUP(C1702,Магазины!A:C,3,0)</f>
        <v>Оренбург</v>
      </c>
      <c r="J1702">
        <f>VLOOKUP(D1702,Товары!A:I,4,0)</f>
        <v>16140</v>
      </c>
      <c r="K1702">
        <f t="shared" si="26"/>
        <v>32280</v>
      </c>
    </row>
    <row r="1703" spans="1:11" hidden="1" x14ac:dyDescent="0.25">
      <c r="A1703">
        <v>1702</v>
      </c>
      <c r="B1703" s="1">
        <v>45751</v>
      </c>
      <c r="C1703" t="s">
        <v>43</v>
      </c>
      <c r="D1703" t="s">
        <v>115</v>
      </c>
      <c r="E1703" t="s">
        <v>13</v>
      </c>
      <c r="F1703">
        <v>3</v>
      </c>
      <c r="G1703" t="str">
        <f>VLOOKUP(D1703,Товары!A:I,3,0)</f>
        <v>Тумба под стиральную машину Куба Риф 57 напольная 2 ящика под ст/маш, без умывальника /под Marshall 120 Белый</v>
      </c>
      <c r="H1703">
        <f>VLOOKUP(D1703,Товары!A:I,6,0)</f>
        <v>85</v>
      </c>
      <c r="I1703" t="str">
        <f>VLOOKUP(C1703,Магазины!A:C,3,0)</f>
        <v>Набережные Челны</v>
      </c>
      <c r="J1703">
        <f>VLOOKUP(D1703,Товары!A:I,4,0)</f>
        <v>10530</v>
      </c>
      <c r="K1703">
        <f t="shared" si="26"/>
        <v>31590</v>
      </c>
    </row>
    <row r="1704" spans="1:11" hidden="1" x14ac:dyDescent="0.25">
      <c r="A1704">
        <v>1703</v>
      </c>
      <c r="B1704" s="1">
        <v>45756</v>
      </c>
      <c r="C1704" t="s">
        <v>20</v>
      </c>
      <c r="D1704" t="s">
        <v>77</v>
      </c>
      <c r="E1704" t="s">
        <v>8</v>
      </c>
      <c r="F1704">
        <v>1</v>
      </c>
      <c r="G1704" t="str">
        <f>VLOOKUP(D1704,Товары!A:I,3,0)</f>
        <v>Тумба с раковиной  напол. Куба Риф 600 белый 2 ящика с умыв. Como</v>
      </c>
      <c r="H1704">
        <f>VLOOKUP(D1704,Товары!A:I,6,0)</f>
        <v>85</v>
      </c>
      <c r="I1704" t="str">
        <f>VLOOKUP(C1704,Магазины!A:C,3,0)</f>
        <v>Оренбург</v>
      </c>
      <c r="J1704">
        <f>VLOOKUP(D1704,Товары!A:I,4,0)</f>
        <v>15660</v>
      </c>
      <c r="K1704">
        <f t="shared" si="26"/>
        <v>15660</v>
      </c>
    </row>
    <row r="1705" spans="1:11" hidden="1" x14ac:dyDescent="0.25">
      <c r="A1705">
        <v>1704</v>
      </c>
      <c r="B1705" s="1">
        <v>45748</v>
      </c>
      <c r="C1705" t="s">
        <v>103</v>
      </c>
      <c r="D1705" t="s">
        <v>106</v>
      </c>
      <c r="E1705" t="s">
        <v>8</v>
      </c>
      <c r="F1705">
        <v>1</v>
      </c>
      <c r="G1705" t="str">
        <f>VLOOKUP(D1705,Товары!A:I,3,0)</f>
        <v>Тумба с раковиной  навес. Кристалл 700 шато азур 2 ящика с умыв. Слим</v>
      </c>
      <c r="H1705">
        <f>VLOOKUP(D1705,Товары!A:I,6,0)</f>
        <v>60</v>
      </c>
      <c r="I1705" t="str">
        <f>VLOOKUP(C1705,Магазины!A:C,3,0)</f>
        <v>Ставрополь</v>
      </c>
      <c r="J1705">
        <f>VLOOKUP(D1705,Товары!A:I,4,0)</f>
        <v>24150</v>
      </c>
      <c r="K1705">
        <f t="shared" si="26"/>
        <v>24150</v>
      </c>
    </row>
    <row r="1706" spans="1:11" hidden="1" x14ac:dyDescent="0.25">
      <c r="A1706">
        <v>1705</v>
      </c>
      <c r="B1706" s="1">
        <v>45754</v>
      </c>
      <c r="C1706" t="s">
        <v>11</v>
      </c>
      <c r="D1706" t="s">
        <v>113</v>
      </c>
      <c r="E1706" t="s">
        <v>8</v>
      </c>
      <c r="F1706">
        <v>1</v>
      </c>
      <c r="G1706" t="str">
        <f>VLOOKUP(D1706,Товары!A:I,3,0)</f>
        <v>Зеркальный шкаф Альба 60 со светильником правый цвет мята</v>
      </c>
      <c r="H1706">
        <f>VLOOKUP(D1706,Товары!A:I,6,0)</f>
        <v>75</v>
      </c>
      <c r="I1706" t="str">
        <f>VLOOKUP(C1706,Магазины!A:C,3,0)</f>
        <v>Кемерово</v>
      </c>
      <c r="J1706">
        <f>VLOOKUP(D1706,Товары!A:I,4,0)</f>
        <v>8910</v>
      </c>
      <c r="K1706">
        <f t="shared" si="26"/>
        <v>8910</v>
      </c>
    </row>
    <row r="1707" spans="1:11" hidden="1" x14ac:dyDescent="0.25">
      <c r="A1707">
        <v>1706</v>
      </c>
      <c r="B1707" s="1">
        <v>45755</v>
      </c>
      <c r="C1707" t="s">
        <v>43</v>
      </c>
      <c r="D1707" t="s">
        <v>61</v>
      </c>
      <c r="E1707" t="s">
        <v>8</v>
      </c>
      <c r="F1707">
        <v>1</v>
      </c>
      <c r="G1707" t="str">
        <f>VLOOKUP(D1707,Товары!A:I,3,0)</f>
        <v>Тумба под стиральную машину Леон Риф 57 напольная 2 ящика под ст/маш, без умывальника /под Marshall 120 Солярис/Белый Риф</v>
      </c>
      <c r="H1707">
        <f>VLOOKUP(D1707,Товары!A:I,6,0)</f>
        <v>85</v>
      </c>
      <c r="I1707" t="str">
        <f>VLOOKUP(C1707,Магазины!A:C,3,0)</f>
        <v>Набережные Челны</v>
      </c>
      <c r="J1707">
        <f>VLOOKUP(D1707,Товары!A:I,4,0)</f>
        <v>17430</v>
      </c>
      <c r="K1707">
        <f t="shared" si="26"/>
        <v>17430</v>
      </c>
    </row>
    <row r="1708" spans="1:11" hidden="1" x14ac:dyDescent="0.25">
      <c r="A1708">
        <v>1707</v>
      </c>
      <c r="B1708" s="1">
        <v>45752</v>
      </c>
      <c r="C1708" t="s">
        <v>63</v>
      </c>
      <c r="D1708" t="s">
        <v>7</v>
      </c>
      <c r="E1708" t="s">
        <v>13</v>
      </c>
      <c r="F1708">
        <v>3</v>
      </c>
      <c r="G1708" t="str">
        <f>VLOOKUP(D1708,Товары!A:I,3,0)</f>
        <v>Пенал напол. Леон Риф 400 солярис/белый риф 2 двери + 1 ящик</v>
      </c>
      <c r="H1708">
        <f>VLOOKUP(D1708,Товары!A:I,6,0)</f>
        <v>190</v>
      </c>
      <c r="I1708" t="str">
        <f>VLOOKUP(C1708,Магазины!A:C,3,0)</f>
        <v>Ставрополь</v>
      </c>
      <c r="J1708">
        <f>VLOOKUP(D1708,Товары!A:I,4,0)</f>
        <v>14490</v>
      </c>
      <c r="K1708">
        <f t="shared" si="26"/>
        <v>43470</v>
      </c>
    </row>
    <row r="1709" spans="1:11" hidden="1" x14ac:dyDescent="0.25">
      <c r="A1709">
        <v>1708</v>
      </c>
      <c r="B1709" s="1">
        <v>45754</v>
      </c>
      <c r="C1709" t="s">
        <v>111</v>
      </c>
      <c r="D1709" t="s">
        <v>86</v>
      </c>
      <c r="E1709" t="s">
        <v>13</v>
      </c>
      <c r="F1709">
        <v>2</v>
      </c>
      <c r="G1709" t="str">
        <f>VLOOKUP(D1709,Товары!A:I,3,0)</f>
        <v>Комод Аква 50 напольный 1 ящик 2 двери белый</v>
      </c>
      <c r="H1709">
        <f>VLOOKUP(D1709,Товары!A:I,6,0)</f>
        <v>90</v>
      </c>
      <c r="I1709" t="str">
        <f>VLOOKUP(C1709,Магазины!A:C,3,0)</f>
        <v>Набережные Челны</v>
      </c>
      <c r="J1709">
        <f>VLOOKUP(D1709,Товары!A:I,4,0)</f>
        <v>7260</v>
      </c>
      <c r="K1709">
        <f t="shared" si="26"/>
        <v>14520</v>
      </c>
    </row>
    <row r="1710" spans="1:11" hidden="1" x14ac:dyDescent="0.25">
      <c r="A1710">
        <v>1709</v>
      </c>
      <c r="B1710" s="1">
        <v>45757</v>
      </c>
      <c r="C1710" t="s">
        <v>9</v>
      </c>
      <c r="D1710" t="s">
        <v>31</v>
      </c>
      <c r="E1710" t="s">
        <v>13</v>
      </c>
      <c r="F1710">
        <v>3</v>
      </c>
      <c r="G1710" t="str">
        <f>VLOOKUP(D1710,Товары!A:I,3,0)</f>
        <v>Пенал напол. Виктория 350 белый 2 двери</v>
      </c>
      <c r="H1710">
        <f>VLOOKUP(D1710,Товары!A:I,6,0)</f>
        <v>190</v>
      </c>
      <c r="I1710" t="str">
        <f>VLOOKUP(C1710,Магазины!A:C,3,0)</f>
        <v>Кемерово</v>
      </c>
      <c r="J1710">
        <f>VLOOKUP(D1710,Товары!A:I,4,0)</f>
        <v>14085</v>
      </c>
      <c r="K1710">
        <f t="shared" si="26"/>
        <v>42255</v>
      </c>
    </row>
    <row r="1711" spans="1:11" hidden="1" x14ac:dyDescent="0.25">
      <c r="A1711">
        <v>1710</v>
      </c>
      <c r="B1711" s="1">
        <v>45751</v>
      </c>
      <c r="C1711" t="s">
        <v>20</v>
      </c>
      <c r="D1711" t="s">
        <v>130</v>
      </c>
      <c r="E1711" t="s">
        <v>13</v>
      </c>
      <c r="F1711">
        <v>1</v>
      </c>
      <c r="G1711" t="str">
        <f>VLOOKUP(D1711,Товары!A:I,3,0)</f>
        <v>Пенал напол. Леон 400 форест 2 двери + 1 ящик</v>
      </c>
      <c r="H1711">
        <f>VLOOKUP(D1711,Товары!A:I,6,0)</f>
        <v>190</v>
      </c>
      <c r="I1711" t="str">
        <f>VLOOKUP(C1711,Магазины!A:C,3,0)</f>
        <v>Оренбург</v>
      </c>
      <c r="J1711">
        <f>VLOOKUP(D1711,Товары!A:I,4,0)</f>
        <v>18450</v>
      </c>
      <c r="K1711">
        <f t="shared" si="26"/>
        <v>18450</v>
      </c>
    </row>
    <row r="1712" spans="1:11" hidden="1" x14ac:dyDescent="0.25">
      <c r="A1712">
        <v>1711</v>
      </c>
      <c r="B1712" s="1">
        <v>45750</v>
      </c>
      <c r="C1712" t="s">
        <v>30</v>
      </c>
      <c r="D1712" t="s">
        <v>110</v>
      </c>
      <c r="E1712" t="s">
        <v>13</v>
      </c>
      <c r="F1712">
        <v>2</v>
      </c>
      <c r="G1712" t="str">
        <f>VLOOKUP(D1712,Товары!A:I,3,0)</f>
        <v>Тумба с раковиной  напол. Альба 600 антрацит 2 ящика с умыв. Океан</v>
      </c>
      <c r="H1712">
        <f>VLOOKUP(D1712,Товары!A:I,6,0)</f>
        <v>80</v>
      </c>
      <c r="I1712" t="str">
        <f>VLOOKUP(C1712,Магазины!A:C,3,0)</f>
        <v>Кемерово</v>
      </c>
      <c r="J1712">
        <f>VLOOKUP(D1712,Товары!A:I,4,0)</f>
        <v>26370</v>
      </c>
      <c r="K1712">
        <f t="shared" si="26"/>
        <v>52740</v>
      </c>
    </row>
    <row r="1713" spans="1:11" hidden="1" x14ac:dyDescent="0.25">
      <c r="A1713">
        <v>1712</v>
      </c>
      <c r="B1713" s="1">
        <v>45755</v>
      </c>
      <c r="C1713" t="s">
        <v>18</v>
      </c>
      <c r="D1713" t="s">
        <v>72</v>
      </c>
      <c r="E1713" t="s">
        <v>13</v>
      </c>
      <c r="F1713">
        <v>3</v>
      </c>
      <c r="G1713" t="str">
        <f>VLOOKUP(D1713,Товары!A:I,3,0)</f>
        <v>Тумба с раковиной  напол. Сохо 600 белый 2 ящика с умыв. Океан</v>
      </c>
      <c r="H1713">
        <f>VLOOKUP(D1713,Товары!A:I,6,0)</f>
        <v>85</v>
      </c>
      <c r="I1713" t="str">
        <f>VLOOKUP(C1713,Магазины!A:C,3,0)</f>
        <v>Набережные Челны</v>
      </c>
      <c r="J1713">
        <f>VLOOKUP(D1713,Товары!A:I,4,0)</f>
        <v>16140</v>
      </c>
      <c r="K1713">
        <f t="shared" si="26"/>
        <v>48420</v>
      </c>
    </row>
    <row r="1714" spans="1:11" hidden="1" x14ac:dyDescent="0.25">
      <c r="A1714">
        <v>1713</v>
      </c>
      <c r="B1714" s="1">
        <v>45756</v>
      </c>
      <c r="C1714" t="s">
        <v>26</v>
      </c>
      <c r="D1714" t="s">
        <v>25</v>
      </c>
      <c r="E1714" t="s">
        <v>13</v>
      </c>
      <c r="F1714">
        <v>3</v>
      </c>
      <c r="G1714" t="str">
        <f>VLOOKUP(D1714,Товары!A:I,3,0)</f>
        <v>Пенал напол. Леон 400 оникс 2 двери + 1 ящик</v>
      </c>
      <c r="H1714">
        <f>VLOOKUP(D1714,Товары!A:I,6,0)</f>
        <v>190</v>
      </c>
      <c r="I1714" t="str">
        <f>VLOOKUP(C1714,Магазины!A:C,3,0)</f>
        <v>Оренбург</v>
      </c>
      <c r="J1714">
        <f>VLOOKUP(D1714,Товары!A:I,4,0)</f>
        <v>18450</v>
      </c>
      <c r="K1714">
        <f t="shared" si="26"/>
        <v>55350</v>
      </c>
    </row>
    <row r="1715" spans="1:11" hidden="1" x14ac:dyDescent="0.25">
      <c r="A1715">
        <v>1714</v>
      </c>
      <c r="B1715" s="1">
        <v>45752</v>
      </c>
      <c r="C1715" t="s">
        <v>48</v>
      </c>
      <c r="D1715" t="s">
        <v>78</v>
      </c>
      <c r="E1715" t="s">
        <v>8</v>
      </c>
      <c r="F1715">
        <v>3</v>
      </c>
      <c r="G1715" t="str">
        <f>VLOOKUP(D1715,Товары!A:I,3,0)</f>
        <v>Зеркальный шкаф Кристалл 70 со светильником правый, ручка кнопка дуб цвет Шато Азур</v>
      </c>
      <c r="H1715">
        <f>VLOOKUP(D1715,Товары!A:I,6,0)</f>
        <v>75</v>
      </c>
      <c r="I1715" t="str">
        <f>VLOOKUP(C1715,Магазины!A:C,3,0)</f>
        <v>Ставрополь</v>
      </c>
      <c r="J1715">
        <f>VLOOKUP(D1715,Товары!A:I,4,0)</f>
        <v>9615</v>
      </c>
      <c r="K1715">
        <f t="shared" si="26"/>
        <v>28845</v>
      </c>
    </row>
    <row r="1716" spans="1:11" hidden="1" x14ac:dyDescent="0.25">
      <c r="A1716">
        <v>1715</v>
      </c>
      <c r="B1716" s="1">
        <v>45757</v>
      </c>
      <c r="C1716" t="s">
        <v>111</v>
      </c>
      <c r="D1716" t="s">
        <v>36</v>
      </c>
      <c r="E1716" t="s">
        <v>13</v>
      </c>
      <c r="F1716">
        <v>2</v>
      </c>
      <c r="G1716" t="str">
        <f>VLOOKUP(D1716,Товары!A:I,3,0)</f>
        <v>Тумба с раковиной  напол. Альба 800 мята 2 ящика с умыв. Слим</v>
      </c>
      <c r="H1716">
        <f>VLOOKUP(D1716,Товары!A:I,6,0)</f>
        <v>80</v>
      </c>
      <c r="I1716" t="str">
        <f>VLOOKUP(C1716,Магазины!A:C,3,0)</f>
        <v>Набережные Челны</v>
      </c>
      <c r="J1716">
        <f>VLOOKUP(D1716,Товары!A:I,4,0)</f>
        <v>29340</v>
      </c>
      <c r="K1716">
        <f t="shared" si="26"/>
        <v>58680</v>
      </c>
    </row>
    <row r="1717" spans="1:11" hidden="1" x14ac:dyDescent="0.25">
      <c r="A1717">
        <v>1716</v>
      </c>
      <c r="B1717" s="1">
        <v>45754</v>
      </c>
      <c r="C1717" t="s">
        <v>30</v>
      </c>
      <c r="D1717" t="s">
        <v>107</v>
      </c>
      <c r="E1717" t="s">
        <v>8</v>
      </c>
      <c r="F1717">
        <v>3</v>
      </c>
      <c r="G1717" t="str">
        <f>VLOOKUP(D1717,Товары!A:I,3,0)</f>
        <v>Комод Аква 35 напольный 1 дверь белый правый</v>
      </c>
      <c r="H1717">
        <f>VLOOKUP(D1717,Товары!A:I,6,0)</f>
        <v>90</v>
      </c>
      <c r="I1717" t="str">
        <f>VLOOKUP(C1717,Магазины!A:C,3,0)</f>
        <v>Кемерово</v>
      </c>
      <c r="J1717">
        <f>VLOOKUP(D1717,Товары!A:I,4,0)</f>
        <v>6705</v>
      </c>
      <c r="K1717">
        <f t="shared" si="26"/>
        <v>20115</v>
      </c>
    </row>
    <row r="1718" spans="1:11" hidden="1" x14ac:dyDescent="0.25">
      <c r="A1718">
        <v>1717</v>
      </c>
      <c r="B1718" s="1">
        <v>45751</v>
      </c>
      <c r="C1718" t="s">
        <v>92</v>
      </c>
      <c r="D1718" t="s">
        <v>84</v>
      </c>
      <c r="E1718" t="s">
        <v>13</v>
      </c>
      <c r="F1718">
        <v>2</v>
      </c>
      <c r="G1718" t="str">
        <f>VLOOKUP(D1718,Товары!A:I,3,0)</f>
        <v>Тумба с раковиной  напол. Куба Риф 800 белый 3 двери с умыв. Слим</v>
      </c>
      <c r="H1718">
        <f>VLOOKUP(D1718,Товары!A:I,6,0)</f>
        <v>85</v>
      </c>
      <c r="I1718" t="str">
        <f>VLOOKUP(C1718,Магазины!A:C,3,0)</f>
        <v>Кемерово</v>
      </c>
      <c r="J1718">
        <f>VLOOKUP(D1718,Товары!A:I,4,0)</f>
        <v>19920</v>
      </c>
      <c r="K1718">
        <f t="shared" si="26"/>
        <v>39840</v>
      </c>
    </row>
    <row r="1719" spans="1:11" hidden="1" x14ac:dyDescent="0.25">
      <c r="A1719">
        <v>1718</v>
      </c>
      <c r="B1719" s="1">
        <v>45756</v>
      </c>
      <c r="C1719" t="s">
        <v>26</v>
      </c>
      <c r="D1719" t="s">
        <v>85</v>
      </c>
      <c r="E1719" t="s">
        <v>13</v>
      </c>
      <c r="F1719">
        <v>3</v>
      </c>
      <c r="G1719" t="str">
        <f>VLOOKUP(D1719,Товары!A:I,3,0)</f>
        <v>Пенал напол. Аква 450 белый 2 двери + 2 ящика + корзина</v>
      </c>
      <c r="H1719">
        <f>VLOOKUP(D1719,Товары!A:I,6,0)</f>
        <v>190</v>
      </c>
      <c r="I1719" t="str">
        <f>VLOOKUP(C1719,Магазины!A:C,3,0)</f>
        <v>Оренбург</v>
      </c>
      <c r="J1719">
        <f>VLOOKUP(D1719,Товары!A:I,4,0)</f>
        <v>13335</v>
      </c>
      <c r="K1719">
        <f t="shared" si="26"/>
        <v>40005</v>
      </c>
    </row>
    <row r="1720" spans="1:11" hidden="1" x14ac:dyDescent="0.25">
      <c r="A1720">
        <v>1719</v>
      </c>
      <c r="B1720" s="1">
        <v>45755</v>
      </c>
      <c r="C1720" t="s">
        <v>18</v>
      </c>
      <c r="D1720" t="s">
        <v>39</v>
      </c>
      <c r="E1720" t="s">
        <v>13</v>
      </c>
      <c r="F1720">
        <v>3</v>
      </c>
      <c r="G1720" t="str">
        <f>VLOOKUP(D1720,Товары!A:I,3,0)</f>
        <v>Тумба с раковиной  напол. Альба 700 мята 2 ящика с умыв. Слим</v>
      </c>
      <c r="H1720">
        <f>VLOOKUP(D1720,Товары!A:I,6,0)</f>
        <v>85</v>
      </c>
      <c r="I1720" t="str">
        <f>VLOOKUP(C1720,Магазины!A:C,3,0)</f>
        <v>Набережные Челны</v>
      </c>
      <c r="J1720">
        <f>VLOOKUP(D1720,Товары!A:I,4,0)</f>
        <v>28695</v>
      </c>
      <c r="K1720">
        <f t="shared" si="26"/>
        <v>86085</v>
      </c>
    </row>
    <row r="1721" spans="1:11" hidden="1" x14ac:dyDescent="0.25">
      <c r="A1721">
        <v>1720</v>
      </c>
      <c r="B1721" s="1">
        <v>45757</v>
      </c>
      <c r="C1721" t="s">
        <v>63</v>
      </c>
      <c r="D1721" t="s">
        <v>113</v>
      </c>
      <c r="E1721" t="s">
        <v>8</v>
      </c>
      <c r="F1721">
        <v>3</v>
      </c>
      <c r="G1721" t="str">
        <f>VLOOKUP(D1721,Товары!A:I,3,0)</f>
        <v>Зеркальный шкаф Альба 60 со светильником правый цвет мята</v>
      </c>
      <c r="H1721">
        <f>VLOOKUP(D1721,Товары!A:I,6,0)</f>
        <v>75</v>
      </c>
      <c r="I1721" t="str">
        <f>VLOOKUP(C1721,Магазины!A:C,3,0)</f>
        <v>Ставрополь</v>
      </c>
      <c r="J1721">
        <f>VLOOKUP(D1721,Товары!A:I,4,0)</f>
        <v>8910</v>
      </c>
      <c r="K1721">
        <f t="shared" si="26"/>
        <v>26730</v>
      </c>
    </row>
    <row r="1722" spans="1:11" hidden="1" x14ac:dyDescent="0.25">
      <c r="A1722">
        <v>1721</v>
      </c>
      <c r="B1722" s="1">
        <v>45752</v>
      </c>
      <c r="C1722" t="s">
        <v>92</v>
      </c>
      <c r="D1722" t="s">
        <v>123</v>
      </c>
      <c r="E1722" t="s">
        <v>8</v>
      </c>
      <c r="F1722">
        <v>2</v>
      </c>
      <c r="G1722" t="str">
        <f>VLOOKUP(D1722,Товары!A:I,3,0)</f>
        <v>Тумба с раковиной  напол. Кристалл 800 суфле 2 ящика с умыв. Слим</v>
      </c>
      <c r="H1722">
        <f>VLOOKUP(D1722,Товары!A:I,6,0)</f>
        <v>80</v>
      </c>
      <c r="I1722" t="str">
        <f>VLOOKUP(C1722,Магазины!A:C,3,0)</f>
        <v>Кемерово</v>
      </c>
      <c r="J1722">
        <f>VLOOKUP(D1722,Товары!A:I,4,0)</f>
        <v>31125</v>
      </c>
      <c r="K1722">
        <f t="shared" si="26"/>
        <v>62250</v>
      </c>
    </row>
    <row r="1723" spans="1:11" hidden="1" x14ac:dyDescent="0.25">
      <c r="A1723">
        <v>1722</v>
      </c>
      <c r="B1723" s="1">
        <v>45749</v>
      </c>
      <c r="C1723" t="s">
        <v>57</v>
      </c>
      <c r="D1723" t="s">
        <v>117</v>
      </c>
      <c r="E1723" t="s">
        <v>13</v>
      </c>
      <c r="F1723">
        <v>1</v>
      </c>
      <c r="G1723" t="str">
        <f>VLOOKUP(D1723,Товары!A:I,3,0)</f>
        <v>Тумба с раковиной  навес. Альба 700 антрацит 2 ящика с умыв. Слим</v>
      </c>
      <c r="H1723">
        <f>VLOOKUP(D1723,Товары!A:I,6,0)</f>
        <v>60</v>
      </c>
      <c r="I1723" t="str">
        <f>VLOOKUP(C1723,Магазины!A:C,3,0)</f>
        <v>Оренбург</v>
      </c>
      <c r="J1723">
        <f>VLOOKUP(D1723,Товары!A:I,4,0)</f>
        <v>25095</v>
      </c>
      <c r="K1723">
        <f t="shared" si="26"/>
        <v>25095</v>
      </c>
    </row>
    <row r="1724" spans="1:11" hidden="1" x14ac:dyDescent="0.25">
      <c r="A1724">
        <v>1723</v>
      </c>
      <c r="B1724" s="1">
        <v>45755</v>
      </c>
      <c r="C1724" t="s">
        <v>30</v>
      </c>
      <c r="D1724" t="s">
        <v>105</v>
      </c>
      <c r="E1724" t="s">
        <v>8</v>
      </c>
      <c r="F1724">
        <v>2</v>
      </c>
      <c r="G1724" t="str">
        <f>VLOOKUP(D1724,Товары!A:I,3,0)</f>
        <v>Тумба с раковиной  напол. Нева 600 белый 2 двери + 1 ящик с умыв. Como</v>
      </c>
      <c r="H1724">
        <f>VLOOKUP(D1724,Товары!A:I,6,0)</f>
        <v>80</v>
      </c>
      <c r="I1724" t="str">
        <f>VLOOKUP(C1724,Магазины!A:C,3,0)</f>
        <v>Кемерово</v>
      </c>
      <c r="J1724">
        <f>VLOOKUP(D1724,Товары!A:I,4,0)</f>
        <v>13470</v>
      </c>
      <c r="K1724">
        <f t="shared" si="26"/>
        <v>26940</v>
      </c>
    </row>
    <row r="1725" spans="1:11" hidden="1" x14ac:dyDescent="0.25">
      <c r="A1725">
        <v>1724</v>
      </c>
      <c r="B1725" s="1">
        <v>45754</v>
      </c>
      <c r="C1725" t="s">
        <v>43</v>
      </c>
      <c r="D1725" t="s">
        <v>32</v>
      </c>
      <c r="E1725" t="s">
        <v>13</v>
      </c>
      <c r="F1725">
        <v>2</v>
      </c>
      <c r="G1725" t="str">
        <f>VLOOKUP(D1725,Товары!A:I,3,0)</f>
        <v>Тумба с раковиной  напол. Леон Риф 700 солярис/белый риф 2 ящика с умыв. Слим</v>
      </c>
      <c r="H1725">
        <f>VLOOKUP(D1725,Товары!A:I,6,0)</f>
        <v>85</v>
      </c>
      <c r="I1725" t="str">
        <f>VLOOKUP(C1725,Магазины!A:C,3,0)</f>
        <v>Набережные Челны</v>
      </c>
      <c r="J1725">
        <f>VLOOKUP(D1725,Товары!A:I,4,0)</f>
        <v>26460</v>
      </c>
      <c r="K1725">
        <f t="shared" si="26"/>
        <v>52920</v>
      </c>
    </row>
    <row r="1726" spans="1:11" hidden="1" x14ac:dyDescent="0.25">
      <c r="A1726">
        <v>1725</v>
      </c>
      <c r="B1726" s="1">
        <v>45750</v>
      </c>
      <c r="C1726" t="s">
        <v>58</v>
      </c>
      <c r="D1726" t="s">
        <v>49</v>
      </c>
      <c r="E1726" t="s">
        <v>8</v>
      </c>
      <c r="F1726">
        <v>3</v>
      </c>
      <c r="G1726" t="str">
        <f>VLOOKUP(D1726,Товары!A:I,3,0)</f>
        <v>Тумба с раковиной  напол. Леон 700 оникс 2 ящика с умыв. Слим</v>
      </c>
      <c r="H1726">
        <f>VLOOKUP(D1726,Товары!A:I,6,0)</f>
        <v>80</v>
      </c>
      <c r="I1726" t="str">
        <f>VLOOKUP(C1726,Магазины!A:C,3,0)</f>
        <v>Ставрополь</v>
      </c>
      <c r="J1726">
        <f>VLOOKUP(D1726,Товары!A:I,4,0)</f>
        <v>28380</v>
      </c>
      <c r="K1726">
        <f t="shared" si="26"/>
        <v>85140</v>
      </c>
    </row>
    <row r="1727" spans="1:11" hidden="1" x14ac:dyDescent="0.25">
      <c r="A1727">
        <v>1726</v>
      </c>
      <c r="B1727" s="1">
        <v>45748</v>
      </c>
      <c r="C1727" t="s">
        <v>111</v>
      </c>
      <c r="D1727" t="s">
        <v>121</v>
      </c>
      <c r="E1727" t="s">
        <v>8</v>
      </c>
      <c r="F1727">
        <v>2</v>
      </c>
      <c r="G1727" t="str">
        <f>VLOOKUP(D1727,Товары!A:I,3,0)</f>
        <v>Тумба с раковиной  напол. Куба Риф 600 белый 2 двери с умыв. Como</v>
      </c>
      <c r="H1727">
        <f>VLOOKUP(D1727,Товары!A:I,6,0)</f>
        <v>85</v>
      </c>
      <c r="I1727" t="str">
        <f>VLOOKUP(C1727,Магазины!A:C,3,0)</f>
        <v>Набережные Челны</v>
      </c>
      <c r="J1727">
        <f>VLOOKUP(D1727,Товары!A:I,4,0)</f>
        <v>13695</v>
      </c>
      <c r="K1727">
        <f t="shared" si="26"/>
        <v>27390</v>
      </c>
    </row>
    <row r="1728" spans="1:11" hidden="1" x14ac:dyDescent="0.25">
      <c r="A1728">
        <v>1727</v>
      </c>
      <c r="B1728" s="1">
        <v>45749</v>
      </c>
      <c r="C1728" t="s">
        <v>28</v>
      </c>
      <c r="D1728" t="s">
        <v>109</v>
      </c>
      <c r="E1728" t="s">
        <v>13</v>
      </c>
      <c r="F1728">
        <v>2</v>
      </c>
      <c r="G1728" t="str">
        <f>VLOOKUP(D1728,Товары!A:I,3,0)</f>
        <v>Тумба с раковиной  навес. Альба 600 антрацит 2 ящика с умыв. Океан</v>
      </c>
      <c r="H1728">
        <f>VLOOKUP(D1728,Товары!A:I,6,0)</f>
        <v>50</v>
      </c>
      <c r="I1728" t="str">
        <f>VLOOKUP(C1728,Магазины!A:C,3,0)</f>
        <v>Набережные Челны</v>
      </c>
      <c r="J1728">
        <f>VLOOKUP(D1728,Товары!A:I,4,0)</f>
        <v>24810</v>
      </c>
      <c r="K1728">
        <f t="shared" si="26"/>
        <v>49620</v>
      </c>
    </row>
    <row r="1729" spans="1:11" hidden="1" x14ac:dyDescent="0.25">
      <c r="A1729">
        <v>1728</v>
      </c>
      <c r="B1729" s="1">
        <v>45755</v>
      </c>
      <c r="C1729" t="s">
        <v>57</v>
      </c>
      <c r="D1729" t="s">
        <v>39</v>
      </c>
      <c r="E1729" t="s">
        <v>8</v>
      </c>
      <c r="F1729">
        <v>1</v>
      </c>
      <c r="G1729" t="str">
        <f>VLOOKUP(D1729,Товары!A:I,3,0)</f>
        <v>Тумба с раковиной  напол. Альба 700 мята 2 ящика с умыв. Слим</v>
      </c>
      <c r="H1729">
        <f>VLOOKUP(D1729,Товары!A:I,6,0)</f>
        <v>85</v>
      </c>
      <c r="I1729" t="str">
        <f>VLOOKUP(C1729,Магазины!A:C,3,0)</f>
        <v>Оренбург</v>
      </c>
      <c r="J1729">
        <f>VLOOKUP(D1729,Товары!A:I,4,0)</f>
        <v>28695</v>
      </c>
      <c r="K1729">
        <f t="shared" si="26"/>
        <v>28695</v>
      </c>
    </row>
    <row r="1730" spans="1:11" hidden="1" x14ac:dyDescent="0.25">
      <c r="A1730">
        <v>1729</v>
      </c>
      <c r="B1730" s="1">
        <v>45750</v>
      </c>
      <c r="C1730" t="s">
        <v>18</v>
      </c>
      <c r="D1730" t="s">
        <v>67</v>
      </c>
      <c r="E1730" t="s">
        <v>8</v>
      </c>
      <c r="F1730">
        <v>3</v>
      </c>
      <c r="G1730" t="str">
        <f>VLOOKUP(D1730,Товары!A:I,3,0)</f>
        <v>Пенал навес./напол. Альба 350 суфле 2 двери</v>
      </c>
      <c r="H1730">
        <f>VLOOKUP(D1730,Товары!A:I,6,0)</f>
        <v>150</v>
      </c>
      <c r="I1730" t="str">
        <f>VLOOKUP(C1730,Магазины!A:C,3,0)</f>
        <v>Набережные Челны</v>
      </c>
      <c r="J1730">
        <f>VLOOKUP(D1730,Товары!A:I,4,0)</f>
        <v>11655</v>
      </c>
      <c r="K1730">
        <f t="shared" si="26"/>
        <v>34965</v>
      </c>
    </row>
    <row r="1731" spans="1:11" hidden="1" x14ac:dyDescent="0.25">
      <c r="A1731">
        <v>1730</v>
      </c>
      <c r="B1731" s="1">
        <v>45751</v>
      </c>
      <c r="C1731" t="s">
        <v>92</v>
      </c>
      <c r="D1731" t="s">
        <v>90</v>
      </c>
      <c r="E1731" t="s">
        <v>8</v>
      </c>
      <c r="F1731">
        <v>1</v>
      </c>
      <c r="G1731" t="str">
        <f>VLOOKUP(D1731,Товары!A:I,3,0)</f>
        <v>Пенал напол. Аква 350 белый 2 двери + 2 ящика</v>
      </c>
      <c r="H1731">
        <f>VLOOKUP(D1731,Товары!A:I,6,0)</f>
        <v>190</v>
      </c>
      <c r="I1731" t="str">
        <f>VLOOKUP(C1731,Магазины!A:C,3,0)</f>
        <v>Кемерово</v>
      </c>
      <c r="J1731">
        <f>VLOOKUP(D1731,Товары!A:I,4,0)</f>
        <v>10650</v>
      </c>
      <c r="K1731">
        <f t="shared" ref="K1731:K1794" si="27">J1731*F1731</f>
        <v>10650</v>
      </c>
    </row>
    <row r="1732" spans="1:11" hidden="1" x14ac:dyDescent="0.25">
      <c r="A1732">
        <v>1731</v>
      </c>
      <c r="B1732" s="1">
        <v>45756</v>
      </c>
      <c r="C1732" t="s">
        <v>16</v>
      </c>
      <c r="D1732" t="s">
        <v>67</v>
      </c>
      <c r="E1732" t="s">
        <v>8</v>
      </c>
      <c r="F1732">
        <v>3</v>
      </c>
      <c r="G1732" t="str">
        <f>VLOOKUP(D1732,Товары!A:I,3,0)</f>
        <v>Пенал навес./напол. Альба 350 суфле 2 двери</v>
      </c>
      <c r="H1732">
        <f>VLOOKUP(D1732,Товары!A:I,6,0)</f>
        <v>150</v>
      </c>
      <c r="I1732" t="str">
        <f>VLOOKUP(C1732,Магазины!A:C,3,0)</f>
        <v>Оренбург</v>
      </c>
      <c r="J1732">
        <f>VLOOKUP(D1732,Товары!A:I,4,0)</f>
        <v>11655</v>
      </c>
      <c r="K1732">
        <f t="shared" si="27"/>
        <v>34965</v>
      </c>
    </row>
    <row r="1733" spans="1:11" hidden="1" x14ac:dyDescent="0.25">
      <c r="A1733">
        <v>1732</v>
      </c>
      <c r="B1733" s="1">
        <v>45752</v>
      </c>
      <c r="C1733" t="s">
        <v>16</v>
      </c>
      <c r="D1733" t="s">
        <v>110</v>
      </c>
      <c r="E1733" t="s">
        <v>13</v>
      </c>
      <c r="F1733">
        <v>3</v>
      </c>
      <c r="G1733" t="str">
        <f>VLOOKUP(D1733,Товары!A:I,3,0)</f>
        <v>Тумба с раковиной  напол. Альба 600 антрацит 2 ящика с умыв. Океан</v>
      </c>
      <c r="H1733">
        <f>VLOOKUP(D1733,Товары!A:I,6,0)</f>
        <v>80</v>
      </c>
      <c r="I1733" t="str">
        <f>VLOOKUP(C1733,Магазины!A:C,3,0)</f>
        <v>Оренбург</v>
      </c>
      <c r="J1733">
        <f>VLOOKUP(D1733,Товары!A:I,4,0)</f>
        <v>26370</v>
      </c>
      <c r="K1733">
        <f t="shared" si="27"/>
        <v>79110</v>
      </c>
    </row>
    <row r="1734" spans="1:11" hidden="1" x14ac:dyDescent="0.25">
      <c r="A1734">
        <v>1733</v>
      </c>
      <c r="B1734" s="1">
        <v>45754</v>
      </c>
      <c r="C1734" t="s">
        <v>9</v>
      </c>
      <c r="D1734" t="s">
        <v>64</v>
      </c>
      <c r="E1734" t="s">
        <v>8</v>
      </c>
      <c r="F1734">
        <v>3</v>
      </c>
      <c r="G1734" t="str">
        <f>VLOOKUP(D1734,Товары!A:I,3,0)</f>
        <v>Тумба с раковиной  напол. Рица 800 антрацит 2 ящика с умыв. Слим</v>
      </c>
      <c r="H1734">
        <f>VLOOKUP(D1734,Товары!A:I,6,0)</f>
        <v>80</v>
      </c>
      <c r="I1734" t="str">
        <f>VLOOKUP(C1734,Магазины!A:C,3,0)</f>
        <v>Кемерово</v>
      </c>
      <c r="J1734">
        <f>VLOOKUP(D1734,Товары!A:I,4,0)</f>
        <v>28980</v>
      </c>
      <c r="K1734">
        <f t="shared" si="27"/>
        <v>86940</v>
      </c>
    </row>
    <row r="1735" spans="1:11" hidden="1" x14ac:dyDescent="0.25">
      <c r="A1735">
        <v>1734</v>
      </c>
      <c r="B1735" s="1">
        <v>45750</v>
      </c>
      <c r="C1735" t="s">
        <v>111</v>
      </c>
      <c r="D1735" t="s">
        <v>96</v>
      </c>
      <c r="E1735" t="s">
        <v>8</v>
      </c>
      <c r="F1735">
        <v>2</v>
      </c>
      <c r="G1735" t="str">
        <f>VLOOKUP(D1735,Товары!A:I,3,0)</f>
        <v>Тумба с раковиной  навес. Альба 600 мята 1 ящик с умыв. Океан</v>
      </c>
      <c r="H1735">
        <f>VLOOKUP(D1735,Товары!A:I,6,0)</f>
        <v>85</v>
      </c>
      <c r="I1735" t="str">
        <f>VLOOKUP(C1735,Магазины!A:C,3,0)</f>
        <v>Набережные Челны</v>
      </c>
      <c r="J1735">
        <f>VLOOKUP(D1735,Товары!A:I,4,0)</f>
        <v>17625</v>
      </c>
      <c r="K1735">
        <f t="shared" si="27"/>
        <v>35250</v>
      </c>
    </row>
    <row r="1736" spans="1:11" hidden="1" x14ac:dyDescent="0.25">
      <c r="A1736">
        <v>1735</v>
      </c>
      <c r="B1736" s="1">
        <v>45753</v>
      </c>
      <c r="C1736" t="s">
        <v>11</v>
      </c>
      <c r="D1736" t="s">
        <v>131</v>
      </c>
      <c r="E1736" t="s">
        <v>8</v>
      </c>
      <c r="F1736">
        <v>2</v>
      </c>
      <c r="G1736" t="str">
        <f>VLOOKUP(D1736,Товары!A:I,3,0)</f>
        <v>Тумба с раковиной  напол. Леон 800 форест 2 ящика с умыв. Слим</v>
      </c>
      <c r="H1736">
        <f>VLOOKUP(D1736,Товары!A:I,6,0)</f>
        <v>80</v>
      </c>
      <c r="I1736" t="str">
        <f>VLOOKUP(C1736,Магазины!A:C,3,0)</f>
        <v>Кемерово</v>
      </c>
      <c r="J1736">
        <f>VLOOKUP(D1736,Товары!A:I,4,0)</f>
        <v>29400</v>
      </c>
      <c r="K1736">
        <f t="shared" si="27"/>
        <v>58800</v>
      </c>
    </row>
    <row r="1737" spans="1:11" hidden="1" x14ac:dyDescent="0.25">
      <c r="A1737">
        <v>1736</v>
      </c>
      <c r="B1737" s="1">
        <v>45755</v>
      </c>
      <c r="C1737" t="s">
        <v>16</v>
      </c>
      <c r="D1737" t="s">
        <v>88</v>
      </c>
      <c r="E1737" t="s">
        <v>13</v>
      </c>
      <c r="F1737">
        <v>1</v>
      </c>
      <c r="G1737" t="str">
        <f>VLOOKUP(D1737,Товары!A:I,3,0)</f>
        <v>Тумба с раковиной  навес. Альба 800 антрацит 2 ящика с умыв. Слим</v>
      </c>
      <c r="H1737">
        <f>VLOOKUP(D1737,Товары!A:I,6,0)</f>
        <v>50</v>
      </c>
      <c r="I1737" t="str">
        <f>VLOOKUP(C1737,Магазины!A:C,3,0)</f>
        <v>Оренбург</v>
      </c>
      <c r="J1737">
        <f>VLOOKUP(D1737,Товары!A:I,4,0)</f>
        <v>26070</v>
      </c>
      <c r="K1737">
        <f t="shared" si="27"/>
        <v>26070</v>
      </c>
    </row>
    <row r="1738" spans="1:11" hidden="1" x14ac:dyDescent="0.25">
      <c r="A1738">
        <v>1737</v>
      </c>
      <c r="B1738" s="1">
        <v>45754</v>
      </c>
      <c r="C1738" t="s">
        <v>57</v>
      </c>
      <c r="D1738" t="s">
        <v>108</v>
      </c>
      <c r="E1738" t="s">
        <v>8</v>
      </c>
      <c r="F1738">
        <v>1</v>
      </c>
      <c r="G1738" t="str">
        <f>VLOOKUP(D1738,Товары!A:I,3,0)</f>
        <v>Тумба с раковиной  навес. Виктория 1000 белый 2 ящика с умыв. Слим</v>
      </c>
      <c r="H1738">
        <f>VLOOKUP(D1738,Товары!A:I,6,0)</f>
        <v>60</v>
      </c>
      <c r="I1738" t="str">
        <f>VLOOKUP(C1738,Магазины!A:C,3,0)</f>
        <v>Оренбург</v>
      </c>
      <c r="J1738">
        <f>VLOOKUP(D1738,Товары!A:I,4,0)</f>
        <v>29205</v>
      </c>
      <c r="K1738">
        <f t="shared" si="27"/>
        <v>29205</v>
      </c>
    </row>
    <row r="1739" spans="1:11" hidden="1" x14ac:dyDescent="0.25">
      <c r="A1739">
        <v>1738</v>
      </c>
      <c r="B1739" s="1">
        <v>45754</v>
      </c>
      <c r="C1739" t="s">
        <v>28</v>
      </c>
      <c r="D1739" t="s">
        <v>119</v>
      </c>
      <c r="E1739" t="s">
        <v>13</v>
      </c>
      <c r="F1739">
        <v>3</v>
      </c>
      <c r="G1739" t="str">
        <f>VLOOKUP(D1739,Товары!A:I,3,0)</f>
        <v>Пенал навес./напол. Рица 350 cерый/керамика 2 двери</v>
      </c>
      <c r="H1739">
        <f>VLOOKUP(D1739,Товары!A:I,6,0)</f>
        <v>160</v>
      </c>
      <c r="I1739" t="str">
        <f>VLOOKUP(C1739,Магазины!A:C,3,0)</f>
        <v>Набережные Челны</v>
      </c>
      <c r="J1739">
        <f>VLOOKUP(D1739,Товары!A:I,4,0)</f>
        <v>11250</v>
      </c>
      <c r="K1739">
        <f t="shared" si="27"/>
        <v>33750</v>
      </c>
    </row>
    <row r="1740" spans="1:11" hidden="1" x14ac:dyDescent="0.25">
      <c r="A1740">
        <v>1739</v>
      </c>
      <c r="B1740" s="1">
        <v>45755</v>
      </c>
      <c r="C1740" t="s">
        <v>26</v>
      </c>
      <c r="D1740" t="s">
        <v>70</v>
      </c>
      <c r="E1740" t="s">
        <v>8</v>
      </c>
      <c r="F1740">
        <v>1</v>
      </c>
      <c r="G1740" t="str">
        <f>VLOOKUP(D1740,Товары!A:I,3,0)</f>
        <v>Тумба с раковиной  напол. Кристалл 700 шато азур 2 ящика с умыв. Слим</v>
      </c>
      <c r="H1740">
        <f>VLOOKUP(D1740,Товары!A:I,6,0)</f>
        <v>85</v>
      </c>
      <c r="I1740" t="str">
        <f>VLOOKUP(C1740,Магазины!A:C,3,0)</f>
        <v>Оренбург</v>
      </c>
      <c r="J1740">
        <f>VLOOKUP(D1740,Товары!A:I,4,0)</f>
        <v>29910</v>
      </c>
      <c r="K1740">
        <f t="shared" si="27"/>
        <v>29910</v>
      </c>
    </row>
    <row r="1741" spans="1:11" hidden="1" x14ac:dyDescent="0.25">
      <c r="A1741">
        <v>1740</v>
      </c>
      <c r="B1741" s="1">
        <v>45751</v>
      </c>
      <c r="C1741" t="s">
        <v>57</v>
      </c>
      <c r="D1741" t="s">
        <v>86</v>
      </c>
      <c r="E1741" t="s">
        <v>13</v>
      </c>
      <c r="F1741">
        <v>3</v>
      </c>
      <c r="G1741" t="str">
        <f>VLOOKUP(D1741,Товары!A:I,3,0)</f>
        <v>Комод Аква 50 напольный 1 ящик 2 двери белый</v>
      </c>
      <c r="H1741">
        <f>VLOOKUP(D1741,Товары!A:I,6,0)</f>
        <v>90</v>
      </c>
      <c r="I1741" t="str">
        <f>VLOOKUP(C1741,Магазины!A:C,3,0)</f>
        <v>Оренбург</v>
      </c>
      <c r="J1741">
        <f>VLOOKUP(D1741,Товары!A:I,4,0)</f>
        <v>7260</v>
      </c>
      <c r="K1741">
        <f t="shared" si="27"/>
        <v>21780</v>
      </c>
    </row>
    <row r="1742" spans="1:11" hidden="1" x14ac:dyDescent="0.25">
      <c r="A1742">
        <v>1741</v>
      </c>
      <c r="B1742" s="1">
        <v>45757</v>
      </c>
      <c r="C1742" t="s">
        <v>58</v>
      </c>
      <c r="D1742" t="s">
        <v>105</v>
      </c>
      <c r="E1742" t="s">
        <v>13</v>
      </c>
      <c r="F1742">
        <v>2</v>
      </c>
      <c r="G1742" t="str">
        <f>VLOOKUP(D1742,Товары!A:I,3,0)</f>
        <v>Тумба с раковиной  напол. Нева 600 белый 2 двери + 1 ящик с умыв. Como</v>
      </c>
      <c r="H1742">
        <f>VLOOKUP(D1742,Товары!A:I,6,0)</f>
        <v>80</v>
      </c>
      <c r="I1742" t="str">
        <f>VLOOKUP(C1742,Магазины!A:C,3,0)</f>
        <v>Ставрополь</v>
      </c>
      <c r="J1742">
        <f>VLOOKUP(D1742,Товары!A:I,4,0)</f>
        <v>13470</v>
      </c>
      <c r="K1742">
        <f t="shared" si="27"/>
        <v>26940</v>
      </c>
    </row>
    <row r="1743" spans="1:11" hidden="1" x14ac:dyDescent="0.25">
      <c r="A1743">
        <v>1742</v>
      </c>
      <c r="B1743" s="1">
        <v>45757</v>
      </c>
      <c r="C1743" t="s">
        <v>54</v>
      </c>
      <c r="D1743" t="s">
        <v>21</v>
      </c>
      <c r="E1743" t="s">
        <v>8</v>
      </c>
      <c r="F1743">
        <v>2</v>
      </c>
      <c r="G1743" t="str">
        <f>VLOOKUP(D1743,Товары!A:I,3,0)</f>
        <v>Зеркальный шкаф Рица 60 со светильником правый цвет cерый/керамика</v>
      </c>
      <c r="H1743">
        <f>VLOOKUP(D1743,Товары!A:I,6,0)</f>
        <v>75</v>
      </c>
      <c r="I1743" t="str">
        <f>VLOOKUP(C1743,Магазины!A:C,3,0)</f>
        <v>Ставрополь</v>
      </c>
      <c r="J1743">
        <f>VLOOKUP(D1743,Товары!A:I,4,0)</f>
        <v>8910</v>
      </c>
      <c r="K1743">
        <f t="shared" si="27"/>
        <v>17820</v>
      </c>
    </row>
    <row r="1744" spans="1:11" hidden="1" x14ac:dyDescent="0.25">
      <c r="A1744">
        <v>1743</v>
      </c>
      <c r="B1744" s="1">
        <v>45754</v>
      </c>
      <c r="C1744" t="s">
        <v>48</v>
      </c>
      <c r="D1744" t="s">
        <v>77</v>
      </c>
      <c r="E1744" t="s">
        <v>13</v>
      </c>
      <c r="F1744">
        <v>3</v>
      </c>
      <c r="G1744" t="str">
        <f>VLOOKUP(D1744,Товары!A:I,3,0)</f>
        <v>Тумба с раковиной  напол. Куба Риф 600 белый 2 ящика с умыв. Como</v>
      </c>
      <c r="H1744">
        <f>VLOOKUP(D1744,Товары!A:I,6,0)</f>
        <v>85</v>
      </c>
      <c r="I1744" t="str">
        <f>VLOOKUP(C1744,Магазины!A:C,3,0)</f>
        <v>Ставрополь</v>
      </c>
      <c r="J1744">
        <f>VLOOKUP(D1744,Товары!A:I,4,0)</f>
        <v>15660</v>
      </c>
      <c r="K1744">
        <f t="shared" si="27"/>
        <v>46980</v>
      </c>
    </row>
    <row r="1745" spans="1:11" hidden="1" x14ac:dyDescent="0.25">
      <c r="A1745">
        <v>1744</v>
      </c>
      <c r="B1745" s="1">
        <v>45754</v>
      </c>
      <c r="C1745" t="s">
        <v>14</v>
      </c>
      <c r="D1745" t="s">
        <v>85</v>
      </c>
      <c r="E1745" t="s">
        <v>13</v>
      </c>
      <c r="F1745">
        <v>1</v>
      </c>
      <c r="G1745" t="str">
        <f>VLOOKUP(D1745,Товары!A:I,3,0)</f>
        <v>Пенал напол. Аква 450 белый 2 двери + 2 ящика + корзина</v>
      </c>
      <c r="H1745">
        <f>VLOOKUP(D1745,Товары!A:I,6,0)</f>
        <v>190</v>
      </c>
      <c r="I1745" t="str">
        <f>VLOOKUP(C1745,Магазины!A:C,3,0)</f>
        <v>Оренбург</v>
      </c>
      <c r="J1745">
        <f>VLOOKUP(D1745,Товары!A:I,4,0)</f>
        <v>13335</v>
      </c>
      <c r="K1745">
        <f t="shared" si="27"/>
        <v>13335</v>
      </c>
    </row>
    <row r="1746" spans="1:11" hidden="1" x14ac:dyDescent="0.25">
      <c r="A1746">
        <v>1745</v>
      </c>
      <c r="B1746" s="1">
        <v>45750</v>
      </c>
      <c r="C1746" t="s">
        <v>16</v>
      </c>
      <c r="D1746" t="s">
        <v>114</v>
      </c>
      <c r="E1746" t="s">
        <v>13</v>
      </c>
      <c r="F1746">
        <v>2</v>
      </c>
      <c r="G1746" t="str">
        <f>VLOOKUP(D1746,Товары!A:I,3,0)</f>
        <v>Тумба с раковиной  навес. Альба 700 мята 2 ящика с умыв. Слим</v>
      </c>
      <c r="H1746">
        <f>VLOOKUP(D1746,Товары!A:I,6,0)</f>
        <v>60</v>
      </c>
      <c r="I1746" t="str">
        <f>VLOOKUP(C1746,Магазины!A:C,3,0)</f>
        <v>Оренбург</v>
      </c>
      <c r="J1746">
        <f>VLOOKUP(D1746,Товары!A:I,4,0)</f>
        <v>25095</v>
      </c>
      <c r="K1746">
        <f t="shared" si="27"/>
        <v>50190</v>
      </c>
    </row>
    <row r="1747" spans="1:11" hidden="1" x14ac:dyDescent="0.25">
      <c r="A1747">
        <v>1746</v>
      </c>
      <c r="B1747" s="1">
        <v>45752</v>
      </c>
      <c r="C1747" t="s">
        <v>6</v>
      </c>
      <c r="D1747" t="s">
        <v>61</v>
      </c>
      <c r="E1747" t="s">
        <v>8</v>
      </c>
      <c r="F1747">
        <v>1</v>
      </c>
      <c r="G1747" t="str">
        <f>VLOOKUP(D1747,Товары!A:I,3,0)</f>
        <v>Тумба под стиральную машину Леон Риф 57 напольная 2 ящика под ст/маш, без умывальника /под Marshall 120 Солярис/Белый Риф</v>
      </c>
      <c r="H1747">
        <f>VLOOKUP(D1747,Товары!A:I,6,0)</f>
        <v>85</v>
      </c>
      <c r="I1747" t="str">
        <f>VLOOKUP(C1747,Магазины!A:C,3,0)</f>
        <v>Оренбург</v>
      </c>
      <c r="J1747">
        <f>VLOOKUP(D1747,Товары!A:I,4,0)</f>
        <v>17430</v>
      </c>
      <c r="K1747">
        <f t="shared" si="27"/>
        <v>17430</v>
      </c>
    </row>
    <row r="1748" spans="1:11" hidden="1" x14ac:dyDescent="0.25">
      <c r="A1748">
        <v>1747</v>
      </c>
      <c r="B1748" s="1">
        <v>45750</v>
      </c>
      <c r="C1748" t="s">
        <v>14</v>
      </c>
      <c r="D1748" t="s">
        <v>87</v>
      </c>
      <c r="E1748" t="s">
        <v>8</v>
      </c>
      <c r="F1748">
        <v>1</v>
      </c>
      <c r="G1748" t="str">
        <f>VLOOKUP(D1748,Товары!A:I,3,0)</f>
        <v>Тумба с раковиной  напол. Леон 700 форест 2 ящика с умыв. Слим</v>
      </c>
      <c r="H1748">
        <f>VLOOKUP(D1748,Товары!A:I,6,0)</f>
        <v>80</v>
      </c>
      <c r="I1748" t="str">
        <f>VLOOKUP(C1748,Магазины!A:C,3,0)</f>
        <v>Оренбург</v>
      </c>
      <c r="J1748">
        <f>VLOOKUP(D1748,Товары!A:I,4,0)</f>
        <v>28380</v>
      </c>
      <c r="K1748">
        <f t="shared" si="27"/>
        <v>28380</v>
      </c>
    </row>
    <row r="1749" spans="1:11" hidden="1" x14ac:dyDescent="0.25">
      <c r="A1749">
        <v>1748</v>
      </c>
      <c r="B1749" s="1">
        <v>45748</v>
      </c>
      <c r="C1749" t="s">
        <v>35</v>
      </c>
      <c r="D1749" t="s">
        <v>122</v>
      </c>
      <c r="E1749" t="s">
        <v>8</v>
      </c>
      <c r="F1749">
        <v>3</v>
      </c>
      <c r="G1749" t="str">
        <f>VLOOKUP(D1749,Товары!A:I,3,0)</f>
        <v>Тумба с раковиной  навес. Кристалл 600 шато азур 2 ящика с умыв. Океан</v>
      </c>
      <c r="H1749">
        <f>VLOOKUP(D1749,Товары!A:I,6,0)</f>
        <v>55</v>
      </c>
      <c r="I1749" t="str">
        <f>VLOOKUP(C1749,Магазины!A:C,3,0)</f>
        <v>Набережные Челны</v>
      </c>
      <c r="J1749">
        <f>VLOOKUP(D1749,Товары!A:I,4,0)</f>
        <v>21960</v>
      </c>
      <c r="K1749">
        <f t="shared" si="27"/>
        <v>65880</v>
      </c>
    </row>
    <row r="1750" spans="1:11" hidden="1" x14ac:dyDescent="0.25">
      <c r="A1750">
        <v>1749</v>
      </c>
      <c r="B1750" s="1">
        <v>45748</v>
      </c>
      <c r="C1750" t="s">
        <v>22</v>
      </c>
      <c r="D1750" t="s">
        <v>37</v>
      </c>
      <c r="E1750" t="s">
        <v>8</v>
      </c>
      <c r="F1750">
        <v>2</v>
      </c>
      <c r="G1750" t="str">
        <f>VLOOKUP(D1750,Товары!A:I,3,0)</f>
        <v>Зеркальный шкаф Сохо 70 белый со светильником правый цвет Белый глянец</v>
      </c>
      <c r="H1750">
        <f>VLOOKUP(D1750,Товары!A:I,6,0)</f>
        <v>75</v>
      </c>
      <c r="I1750" t="str">
        <f>VLOOKUP(C1750,Магазины!A:C,3,0)</f>
        <v>Кемерово</v>
      </c>
      <c r="J1750">
        <f>VLOOKUP(D1750,Товары!A:I,4,0)</f>
        <v>7935</v>
      </c>
      <c r="K1750">
        <f t="shared" si="27"/>
        <v>15870</v>
      </c>
    </row>
    <row r="1751" spans="1:11" hidden="1" x14ac:dyDescent="0.25">
      <c r="A1751">
        <v>1750</v>
      </c>
      <c r="B1751" s="1">
        <v>45752</v>
      </c>
      <c r="C1751" t="s">
        <v>18</v>
      </c>
      <c r="D1751" t="s">
        <v>38</v>
      </c>
      <c r="E1751" t="s">
        <v>8</v>
      </c>
      <c r="F1751">
        <v>3</v>
      </c>
      <c r="G1751" t="str">
        <f>VLOOKUP(D1751,Товары!A:I,3,0)</f>
        <v>Тумба с раковиной  навес. Куба Риф 600 белый 2 ящика с умыв. Como</v>
      </c>
      <c r="H1751">
        <f>VLOOKUP(D1751,Товары!A:I,6,0)</f>
        <v>55</v>
      </c>
      <c r="I1751" t="str">
        <f>VLOOKUP(C1751,Магазины!A:C,3,0)</f>
        <v>Набережные Челны</v>
      </c>
      <c r="J1751">
        <f>VLOOKUP(D1751,Товары!A:I,4,0)</f>
        <v>14265</v>
      </c>
      <c r="K1751">
        <f t="shared" si="27"/>
        <v>42795</v>
      </c>
    </row>
    <row r="1752" spans="1:11" hidden="1" x14ac:dyDescent="0.25">
      <c r="A1752">
        <v>1751</v>
      </c>
      <c r="B1752" s="1">
        <v>45749</v>
      </c>
      <c r="C1752" t="s">
        <v>28</v>
      </c>
      <c r="D1752" t="s">
        <v>121</v>
      </c>
      <c r="E1752" t="s">
        <v>8</v>
      </c>
      <c r="F1752">
        <v>2</v>
      </c>
      <c r="G1752" t="str">
        <f>VLOOKUP(D1752,Товары!A:I,3,0)</f>
        <v>Тумба с раковиной  напол. Куба Риф 600 белый 2 двери с умыв. Como</v>
      </c>
      <c r="H1752">
        <f>VLOOKUP(D1752,Товары!A:I,6,0)</f>
        <v>85</v>
      </c>
      <c r="I1752" t="str">
        <f>VLOOKUP(C1752,Магазины!A:C,3,0)</f>
        <v>Набережные Челны</v>
      </c>
      <c r="J1752">
        <f>VLOOKUP(D1752,Товары!A:I,4,0)</f>
        <v>13695</v>
      </c>
      <c r="K1752">
        <f t="shared" si="27"/>
        <v>27390</v>
      </c>
    </row>
    <row r="1753" spans="1:11" hidden="1" x14ac:dyDescent="0.25">
      <c r="A1753">
        <v>1752</v>
      </c>
      <c r="B1753" s="1">
        <v>45754</v>
      </c>
      <c r="C1753" t="s">
        <v>20</v>
      </c>
      <c r="D1753" t="s">
        <v>59</v>
      </c>
      <c r="E1753" t="s">
        <v>8</v>
      </c>
      <c r="F1753">
        <v>3</v>
      </c>
      <c r="G1753" t="str">
        <f>VLOOKUP(D1753,Товары!A:I,3,0)</f>
        <v>Тумба с раковиной  навес. Куба Риф 600 белый 2 ящика с умыв. Океан</v>
      </c>
      <c r="H1753">
        <f>VLOOKUP(D1753,Товары!A:I,6,0)</f>
        <v>55</v>
      </c>
      <c r="I1753" t="str">
        <f>VLOOKUP(C1753,Магазины!A:C,3,0)</f>
        <v>Оренбург</v>
      </c>
      <c r="J1753">
        <f>VLOOKUP(D1753,Товары!A:I,4,0)</f>
        <v>15765</v>
      </c>
      <c r="K1753">
        <f t="shared" si="27"/>
        <v>47295</v>
      </c>
    </row>
    <row r="1754" spans="1:11" hidden="1" x14ac:dyDescent="0.25">
      <c r="A1754">
        <v>1753</v>
      </c>
      <c r="B1754" s="1">
        <v>45748</v>
      </c>
      <c r="C1754" t="s">
        <v>11</v>
      </c>
      <c r="D1754" t="s">
        <v>12</v>
      </c>
      <c r="E1754" t="s">
        <v>8</v>
      </c>
      <c r="F1754">
        <v>2</v>
      </c>
      <c r="G1754" t="str">
        <f>VLOOKUP(D1754,Товары!A:I,3,0)</f>
        <v>Тумба с раковиной  напол. Сохо 700 белый 2 двери с умыв. Слим</v>
      </c>
      <c r="H1754">
        <f>VLOOKUP(D1754,Товары!A:I,6,0)</f>
        <v>85</v>
      </c>
      <c r="I1754" t="str">
        <f>VLOOKUP(C1754,Магазины!A:C,3,0)</f>
        <v>Кемерово</v>
      </c>
      <c r="J1754">
        <f>VLOOKUP(D1754,Товары!A:I,4,0)</f>
        <v>17160</v>
      </c>
      <c r="K1754">
        <f t="shared" si="27"/>
        <v>34320</v>
      </c>
    </row>
    <row r="1755" spans="1:11" hidden="1" x14ac:dyDescent="0.25">
      <c r="A1755">
        <v>1754</v>
      </c>
      <c r="B1755" s="1">
        <v>45749</v>
      </c>
      <c r="C1755" t="s">
        <v>33</v>
      </c>
      <c r="D1755" t="s">
        <v>76</v>
      </c>
      <c r="E1755" t="s">
        <v>13</v>
      </c>
      <c r="F1755">
        <v>3</v>
      </c>
      <c r="G1755" t="str">
        <f>VLOOKUP(D1755,Товары!A:I,3,0)</f>
        <v>Тумба с раковиной  напол. Леон 600 оникс 2 ящика с умыв. Слим</v>
      </c>
      <c r="H1755">
        <f>VLOOKUP(D1755,Товары!A:I,6,0)</f>
        <v>80</v>
      </c>
      <c r="I1755" t="str">
        <f>VLOOKUP(C1755,Магазины!A:C,3,0)</f>
        <v>Набережные Челны</v>
      </c>
      <c r="J1755">
        <f>VLOOKUP(D1755,Товары!A:I,4,0)</f>
        <v>25860</v>
      </c>
      <c r="K1755">
        <f t="shared" si="27"/>
        <v>77580</v>
      </c>
    </row>
    <row r="1756" spans="1:11" hidden="1" x14ac:dyDescent="0.25">
      <c r="A1756">
        <v>1755</v>
      </c>
      <c r="B1756" s="1">
        <v>45755</v>
      </c>
      <c r="C1756" t="s">
        <v>54</v>
      </c>
      <c r="D1756" t="s">
        <v>53</v>
      </c>
      <c r="E1756" t="s">
        <v>13</v>
      </c>
      <c r="F1756">
        <v>1</v>
      </c>
      <c r="G1756" t="str">
        <f>VLOOKUP(D1756,Товары!A:I,3,0)</f>
        <v>Тумба с раковиной  напол. Кристалл 600 шато азур 2 ящика с умыв. Океан</v>
      </c>
      <c r="H1756">
        <f>VLOOKUP(D1756,Товары!A:I,6,0)</f>
        <v>85</v>
      </c>
      <c r="I1756" t="str">
        <f>VLOOKUP(C1756,Магазины!A:C,3,0)</f>
        <v>Ставрополь</v>
      </c>
      <c r="J1756">
        <f>VLOOKUP(D1756,Товары!A:I,4,0)</f>
        <v>27600</v>
      </c>
      <c r="K1756">
        <f t="shared" si="27"/>
        <v>27600</v>
      </c>
    </row>
    <row r="1757" spans="1:11" hidden="1" x14ac:dyDescent="0.25">
      <c r="A1757">
        <v>1756</v>
      </c>
      <c r="B1757" s="1">
        <v>45754</v>
      </c>
      <c r="C1757" t="s">
        <v>28</v>
      </c>
      <c r="D1757" t="s">
        <v>125</v>
      </c>
      <c r="E1757" t="s">
        <v>13</v>
      </c>
      <c r="F1757">
        <v>2</v>
      </c>
      <c r="G1757" t="str">
        <f>VLOOKUP(D1757,Товары!A:I,3,0)</f>
        <v>Зеркальный шкаф Сохо 60 белый со светильником правый цвет Белый глянец</v>
      </c>
      <c r="H1757">
        <f>VLOOKUP(D1757,Товары!A:I,6,0)</f>
        <v>75</v>
      </c>
      <c r="I1757" t="str">
        <f>VLOOKUP(C1757,Магазины!A:C,3,0)</f>
        <v>Набережные Челны</v>
      </c>
      <c r="J1757">
        <f>VLOOKUP(D1757,Товары!A:I,4,0)</f>
        <v>7395</v>
      </c>
      <c r="K1757">
        <f t="shared" si="27"/>
        <v>14790</v>
      </c>
    </row>
    <row r="1758" spans="1:11" hidden="1" x14ac:dyDescent="0.25">
      <c r="A1758">
        <v>1757</v>
      </c>
      <c r="B1758" s="1">
        <v>45751</v>
      </c>
      <c r="C1758" t="s">
        <v>14</v>
      </c>
      <c r="D1758" t="s">
        <v>80</v>
      </c>
      <c r="E1758" t="s">
        <v>13</v>
      </c>
      <c r="F1758">
        <v>2</v>
      </c>
      <c r="G1758" t="str">
        <f>VLOOKUP(D1758,Товары!A:I,3,0)</f>
        <v>Тумба с раковиной  навес. Сохо 600 белый 2 ящика с умыв. Океан</v>
      </c>
      <c r="H1758">
        <f>VLOOKUP(D1758,Товары!A:I,6,0)</f>
        <v>55</v>
      </c>
      <c r="I1758" t="str">
        <f>VLOOKUP(C1758,Магазины!A:C,3,0)</f>
        <v>Оренбург</v>
      </c>
      <c r="J1758">
        <f>VLOOKUP(D1758,Товары!A:I,4,0)</f>
        <v>13950</v>
      </c>
      <c r="K1758">
        <f t="shared" si="27"/>
        <v>27900</v>
      </c>
    </row>
    <row r="1759" spans="1:11" hidden="1" x14ac:dyDescent="0.25">
      <c r="A1759">
        <v>1758</v>
      </c>
      <c r="B1759" s="1">
        <v>45749</v>
      </c>
      <c r="C1759" t="s">
        <v>58</v>
      </c>
      <c r="D1759" t="s">
        <v>122</v>
      </c>
      <c r="E1759" t="s">
        <v>8</v>
      </c>
      <c r="F1759">
        <v>3</v>
      </c>
      <c r="G1759" t="str">
        <f>VLOOKUP(D1759,Товары!A:I,3,0)</f>
        <v>Тумба с раковиной  навес. Кристалл 600 шато азур 2 ящика с умыв. Океан</v>
      </c>
      <c r="H1759">
        <f>VLOOKUP(D1759,Товары!A:I,6,0)</f>
        <v>55</v>
      </c>
      <c r="I1759" t="str">
        <f>VLOOKUP(C1759,Магазины!A:C,3,0)</f>
        <v>Ставрополь</v>
      </c>
      <c r="J1759">
        <f>VLOOKUP(D1759,Товары!A:I,4,0)</f>
        <v>21960</v>
      </c>
      <c r="K1759">
        <f t="shared" si="27"/>
        <v>65880</v>
      </c>
    </row>
    <row r="1760" spans="1:11" hidden="1" x14ac:dyDescent="0.25">
      <c r="A1760">
        <v>1759</v>
      </c>
      <c r="B1760" s="1">
        <v>45749</v>
      </c>
      <c r="C1760" t="s">
        <v>30</v>
      </c>
      <c r="D1760" t="s">
        <v>25</v>
      </c>
      <c r="E1760" t="s">
        <v>8</v>
      </c>
      <c r="F1760">
        <v>1</v>
      </c>
      <c r="G1760" t="str">
        <f>VLOOKUP(D1760,Товары!A:I,3,0)</f>
        <v>Пенал напол. Леон 400 оникс 2 двери + 1 ящик</v>
      </c>
      <c r="H1760">
        <f>VLOOKUP(D1760,Товары!A:I,6,0)</f>
        <v>190</v>
      </c>
      <c r="I1760" t="str">
        <f>VLOOKUP(C1760,Магазины!A:C,3,0)</f>
        <v>Кемерово</v>
      </c>
      <c r="J1760">
        <f>VLOOKUP(D1760,Товары!A:I,4,0)</f>
        <v>18450</v>
      </c>
      <c r="K1760">
        <f t="shared" si="27"/>
        <v>18450</v>
      </c>
    </row>
    <row r="1761" spans="1:11" hidden="1" x14ac:dyDescent="0.25">
      <c r="A1761">
        <v>1760</v>
      </c>
      <c r="B1761" s="1">
        <v>45756</v>
      </c>
      <c r="C1761" t="s">
        <v>54</v>
      </c>
      <c r="D1761" t="s">
        <v>73</v>
      </c>
      <c r="E1761" t="s">
        <v>13</v>
      </c>
      <c r="F1761">
        <v>2</v>
      </c>
      <c r="G1761" t="str">
        <f>VLOOKUP(D1761,Товары!A:I,3,0)</f>
        <v>Зеркальный шкаф Альба 70 со светильником правый цвет антрацит</v>
      </c>
      <c r="H1761">
        <f>VLOOKUP(D1761,Товары!A:I,6,0)</f>
        <v>75</v>
      </c>
      <c r="I1761" t="str">
        <f>VLOOKUP(C1761,Магазины!A:C,3,0)</f>
        <v>Ставрополь</v>
      </c>
      <c r="J1761">
        <f>VLOOKUP(D1761,Товары!A:I,4,0)</f>
        <v>9615</v>
      </c>
      <c r="K1761">
        <f t="shared" si="27"/>
        <v>19230</v>
      </c>
    </row>
    <row r="1762" spans="1:11" hidden="1" x14ac:dyDescent="0.25">
      <c r="A1762">
        <v>1761</v>
      </c>
      <c r="B1762" s="1">
        <v>45750</v>
      </c>
      <c r="C1762" t="s">
        <v>26</v>
      </c>
      <c r="D1762" t="s">
        <v>118</v>
      </c>
      <c r="E1762" t="s">
        <v>13</v>
      </c>
      <c r="F1762">
        <v>2</v>
      </c>
      <c r="G1762" t="str">
        <f>VLOOKUP(D1762,Товары!A:I,3,0)</f>
        <v>Тумба с раковиной  напол. Сохо 800 белый 2 ящика с умыв. Слим</v>
      </c>
      <c r="H1762">
        <f>VLOOKUP(D1762,Товары!A:I,6,0)</f>
        <v>85</v>
      </c>
      <c r="I1762" t="str">
        <f>VLOOKUP(C1762,Магазины!A:C,3,0)</f>
        <v>Оренбург</v>
      </c>
      <c r="J1762">
        <f>VLOOKUP(D1762,Товары!A:I,4,0)</f>
        <v>19575</v>
      </c>
      <c r="K1762">
        <f t="shared" si="27"/>
        <v>39150</v>
      </c>
    </row>
    <row r="1763" spans="1:11" hidden="1" x14ac:dyDescent="0.25">
      <c r="A1763">
        <v>1762</v>
      </c>
      <c r="B1763" s="1">
        <v>45752</v>
      </c>
      <c r="C1763" t="s">
        <v>30</v>
      </c>
      <c r="D1763" t="s">
        <v>126</v>
      </c>
      <c r="E1763" t="s">
        <v>8</v>
      </c>
      <c r="F1763">
        <v>2</v>
      </c>
      <c r="G1763" t="str">
        <f>VLOOKUP(D1763,Товары!A:I,3,0)</f>
        <v>Тумба с раковиной  напол. Кристалл 800 шато азур 2 ящика с умыв. Комфорт</v>
      </c>
      <c r="H1763">
        <f>VLOOKUP(D1763,Товары!A:I,6,0)</f>
        <v>85</v>
      </c>
      <c r="I1763" t="str">
        <f>VLOOKUP(C1763,Магазины!A:C,3,0)</f>
        <v>Кемерово</v>
      </c>
      <c r="J1763">
        <f>VLOOKUP(D1763,Товары!A:I,4,0)</f>
        <v>31125</v>
      </c>
      <c r="K1763">
        <f t="shared" si="27"/>
        <v>62250</v>
      </c>
    </row>
    <row r="1764" spans="1:11" hidden="1" x14ac:dyDescent="0.25">
      <c r="A1764">
        <v>1763</v>
      </c>
      <c r="B1764" s="1">
        <v>45757</v>
      </c>
      <c r="C1764" t="s">
        <v>28</v>
      </c>
      <c r="D1764" t="s">
        <v>62</v>
      </c>
      <c r="E1764" t="s">
        <v>8</v>
      </c>
      <c r="F1764">
        <v>2</v>
      </c>
      <c r="G1764" t="str">
        <f>VLOOKUP(D1764,Товары!A:I,3,0)</f>
        <v>Тумба с раковиной  напол. Альба 600 мята 2 ящика с умыв. Океан</v>
      </c>
      <c r="H1764">
        <f>VLOOKUP(D1764,Товары!A:I,6,0)</f>
        <v>80</v>
      </c>
      <c r="I1764" t="str">
        <f>VLOOKUP(C1764,Магазины!A:C,3,0)</f>
        <v>Набережные Челны</v>
      </c>
      <c r="J1764">
        <f>VLOOKUP(D1764,Товары!A:I,4,0)</f>
        <v>26370</v>
      </c>
      <c r="K1764">
        <f t="shared" si="27"/>
        <v>52740</v>
      </c>
    </row>
    <row r="1765" spans="1:11" hidden="1" x14ac:dyDescent="0.25">
      <c r="A1765">
        <v>1764</v>
      </c>
      <c r="B1765" s="1">
        <v>45751</v>
      </c>
      <c r="C1765" t="s">
        <v>14</v>
      </c>
      <c r="D1765" t="s">
        <v>79</v>
      </c>
      <c r="E1765" t="s">
        <v>13</v>
      </c>
      <c r="F1765">
        <v>1</v>
      </c>
      <c r="G1765" t="str">
        <f>VLOOKUP(D1765,Товары!A:I,3,0)</f>
        <v>Зеркальный шкаф Альба 70 со светильником правый цвет мята</v>
      </c>
      <c r="H1765">
        <f>VLOOKUP(D1765,Товары!A:I,6,0)</f>
        <v>75</v>
      </c>
      <c r="I1765" t="str">
        <f>VLOOKUP(C1765,Магазины!A:C,3,0)</f>
        <v>Оренбург</v>
      </c>
      <c r="J1765">
        <f>VLOOKUP(D1765,Товары!A:I,4,0)</f>
        <v>9615</v>
      </c>
      <c r="K1765">
        <f t="shared" si="27"/>
        <v>9615</v>
      </c>
    </row>
    <row r="1766" spans="1:11" hidden="1" x14ac:dyDescent="0.25">
      <c r="A1766">
        <v>1765</v>
      </c>
      <c r="B1766" s="1">
        <v>45754</v>
      </c>
      <c r="C1766" t="s">
        <v>33</v>
      </c>
      <c r="D1766" t="s">
        <v>125</v>
      </c>
      <c r="E1766" t="s">
        <v>13</v>
      </c>
      <c r="F1766">
        <v>2</v>
      </c>
      <c r="G1766" t="str">
        <f>VLOOKUP(D1766,Товары!A:I,3,0)</f>
        <v>Зеркальный шкаф Сохо 60 белый со светильником правый цвет Белый глянец</v>
      </c>
      <c r="H1766">
        <f>VLOOKUP(D1766,Товары!A:I,6,0)</f>
        <v>75</v>
      </c>
      <c r="I1766" t="str">
        <f>VLOOKUP(C1766,Магазины!A:C,3,0)</f>
        <v>Набережные Челны</v>
      </c>
      <c r="J1766">
        <f>VLOOKUP(D1766,Товары!A:I,4,0)</f>
        <v>7395</v>
      </c>
      <c r="K1766">
        <f t="shared" si="27"/>
        <v>14790</v>
      </c>
    </row>
    <row r="1767" spans="1:11" hidden="1" x14ac:dyDescent="0.25">
      <c r="A1767">
        <v>1766</v>
      </c>
      <c r="B1767" s="1">
        <v>45755</v>
      </c>
      <c r="C1767" t="s">
        <v>22</v>
      </c>
      <c r="D1767" t="s">
        <v>36</v>
      </c>
      <c r="E1767" t="s">
        <v>13</v>
      </c>
      <c r="F1767">
        <v>3</v>
      </c>
      <c r="G1767" t="str">
        <f>VLOOKUP(D1767,Товары!A:I,3,0)</f>
        <v>Тумба с раковиной  напол. Альба 800 мята 2 ящика с умыв. Слим</v>
      </c>
      <c r="H1767">
        <f>VLOOKUP(D1767,Товары!A:I,6,0)</f>
        <v>80</v>
      </c>
      <c r="I1767" t="str">
        <f>VLOOKUP(C1767,Магазины!A:C,3,0)</f>
        <v>Кемерово</v>
      </c>
      <c r="J1767">
        <f>VLOOKUP(D1767,Товары!A:I,4,0)</f>
        <v>29340</v>
      </c>
      <c r="K1767">
        <f t="shared" si="27"/>
        <v>88020</v>
      </c>
    </row>
    <row r="1768" spans="1:11" hidden="1" x14ac:dyDescent="0.25">
      <c r="A1768">
        <v>1767</v>
      </c>
      <c r="B1768" s="1">
        <v>45755</v>
      </c>
      <c r="C1768" t="s">
        <v>92</v>
      </c>
      <c r="D1768" t="s">
        <v>65</v>
      </c>
      <c r="E1768" t="s">
        <v>13</v>
      </c>
      <c r="F1768">
        <v>1</v>
      </c>
      <c r="G1768" t="str">
        <f>VLOOKUP(D1768,Товары!A:I,3,0)</f>
        <v>Тумба с раковиной  навес. Альба 800 суфле 2 ящика с умыв. Слим</v>
      </c>
      <c r="H1768">
        <f>VLOOKUP(D1768,Товары!A:I,6,0)</f>
        <v>50</v>
      </c>
      <c r="I1768" t="str">
        <f>VLOOKUP(C1768,Магазины!A:C,3,0)</f>
        <v>Кемерово</v>
      </c>
      <c r="J1768">
        <f>VLOOKUP(D1768,Товары!A:I,4,0)</f>
        <v>26070</v>
      </c>
      <c r="K1768">
        <f t="shared" si="27"/>
        <v>26070</v>
      </c>
    </row>
    <row r="1769" spans="1:11" hidden="1" x14ac:dyDescent="0.25">
      <c r="A1769">
        <v>1768</v>
      </c>
      <c r="B1769" s="1">
        <v>45750</v>
      </c>
      <c r="C1769" t="s">
        <v>63</v>
      </c>
      <c r="D1769" t="s">
        <v>110</v>
      </c>
      <c r="E1769" t="s">
        <v>13</v>
      </c>
      <c r="F1769">
        <v>3</v>
      </c>
      <c r="G1769" t="str">
        <f>VLOOKUP(D1769,Товары!A:I,3,0)</f>
        <v>Тумба с раковиной  напол. Альба 600 антрацит 2 ящика с умыв. Океан</v>
      </c>
      <c r="H1769">
        <f>VLOOKUP(D1769,Товары!A:I,6,0)</f>
        <v>80</v>
      </c>
      <c r="I1769" t="str">
        <f>VLOOKUP(C1769,Магазины!A:C,3,0)</f>
        <v>Ставрополь</v>
      </c>
      <c r="J1769">
        <f>VLOOKUP(D1769,Товары!A:I,4,0)</f>
        <v>26370</v>
      </c>
      <c r="K1769">
        <f t="shared" si="27"/>
        <v>79110</v>
      </c>
    </row>
    <row r="1770" spans="1:11" hidden="1" x14ac:dyDescent="0.25">
      <c r="A1770">
        <v>1769</v>
      </c>
      <c r="B1770" s="1">
        <v>45749</v>
      </c>
      <c r="C1770" t="s">
        <v>57</v>
      </c>
      <c r="D1770" t="s">
        <v>29</v>
      </c>
      <c r="E1770" t="s">
        <v>8</v>
      </c>
      <c r="F1770">
        <v>3</v>
      </c>
      <c r="G1770" t="str">
        <f>VLOOKUP(D1770,Товары!A:I,3,0)</f>
        <v>Тумба с раковиной  напол. Леон Риф 600 солярис/белый риф 2 ящика с умыв. Океан</v>
      </c>
      <c r="H1770">
        <f>VLOOKUP(D1770,Товары!A:I,6,0)</f>
        <v>80</v>
      </c>
      <c r="I1770" t="str">
        <f>VLOOKUP(C1770,Магазины!A:C,3,0)</f>
        <v>Оренбург</v>
      </c>
      <c r="J1770">
        <f>VLOOKUP(D1770,Товары!A:I,4,0)</f>
        <v>24150</v>
      </c>
      <c r="K1770">
        <f t="shared" si="27"/>
        <v>72450</v>
      </c>
    </row>
    <row r="1771" spans="1:11" hidden="1" x14ac:dyDescent="0.25">
      <c r="A1771">
        <v>1770</v>
      </c>
      <c r="B1771" s="1">
        <v>45754</v>
      </c>
      <c r="C1771" t="s">
        <v>26</v>
      </c>
      <c r="D1771" t="s">
        <v>84</v>
      </c>
      <c r="E1771" t="s">
        <v>13</v>
      </c>
      <c r="F1771">
        <v>1</v>
      </c>
      <c r="G1771" t="str">
        <f>VLOOKUP(D1771,Товары!A:I,3,0)</f>
        <v>Тумба с раковиной  напол. Куба Риф 800 белый 3 двери с умыв. Слим</v>
      </c>
      <c r="H1771">
        <f>VLOOKUP(D1771,Товары!A:I,6,0)</f>
        <v>85</v>
      </c>
      <c r="I1771" t="str">
        <f>VLOOKUP(C1771,Магазины!A:C,3,0)</f>
        <v>Оренбург</v>
      </c>
      <c r="J1771">
        <f>VLOOKUP(D1771,Товары!A:I,4,0)</f>
        <v>19920</v>
      </c>
      <c r="K1771">
        <f t="shared" si="27"/>
        <v>19920</v>
      </c>
    </row>
    <row r="1772" spans="1:11" hidden="1" x14ac:dyDescent="0.25">
      <c r="A1772">
        <v>1771</v>
      </c>
      <c r="B1772" s="1">
        <v>45748</v>
      </c>
      <c r="C1772" t="s">
        <v>20</v>
      </c>
      <c r="D1772" t="s">
        <v>52</v>
      </c>
      <c r="E1772" t="s">
        <v>13</v>
      </c>
      <c r="F1772">
        <v>3</v>
      </c>
      <c r="G1772" t="str">
        <f>VLOOKUP(D1772,Товары!A:I,3,0)</f>
        <v>Тумба с раковиной  напол. Кристалл 600 суфле 2 ящика с умыв. Океан</v>
      </c>
      <c r="H1772">
        <f>VLOOKUP(D1772,Товары!A:I,6,0)</f>
        <v>80</v>
      </c>
      <c r="I1772" t="str">
        <f>VLOOKUP(C1772,Магазины!A:C,3,0)</f>
        <v>Оренбург</v>
      </c>
      <c r="J1772">
        <f>VLOOKUP(D1772,Товары!A:I,4,0)</f>
        <v>27600</v>
      </c>
      <c r="K1772">
        <f t="shared" si="27"/>
        <v>82800</v>
      </c>
    </row>
    <row r="1773" spans="1:11" hidden="1" x14ac:dyDescent="0.25">
      <c r="A1773">
        <v>1772</v>
      </c>
      <c r="B1773" s="1">
        <v>45748</v>
      </c>
      <c r="C1773" t="s">
        <v>9</v>
      </c>
      <c r="D1773" t="s">
        <v>19</v>
      </c>
      <c r="E1773" t="s">
        <v>8</v>
      </c>
      <c r="F1773">
        <v>3</v>
      </c>
      <c r="G1773" t="str">
        <f>VLOOKUP(D1773,Товары!A:I,3,0)</f>
        <v>Тумба с раковиной  навес. Леон 800 оникс 2 ящика с умыв. Слим</v>
      </c>
      <c r="H1773">
        <f>VLOOKUP(D1773,Товары!A:I,6,0)</f>
        <v>60</v>
      </c>
      <c r="I1773" t="str">
        <f>VLOOKUP(C1773,Магазины!A:C,3,0)</f>
        <v>Кемерово</v>
      </c>
      <c r="J1773">
        <f>VLOOKUP(D1773,Товары!A:I,4,0)</f>
        <v>27930</v>
      </c>
      <c r="K1773">
        <f t="shared" si="27"/>
        <v>83790</v>
      </c>
    </row>
    <row r="1774" spans="1:11" hidden="1" x14ac:dyDescent="0.25">
      <c r="A1774">
        <v>1773</v>
      </c>
      <c r="B1774" s="1">
        <v>45753</v>
      </c>
      <c r="C1774" t="s">
        <v>111</v>
      </c>
      <c r="D1774" t="s">
        <v>15</v>
      </c>
      <c r="E1774" t="s">
        <v>13</v>
      </c>
      <c r="F1774">
        <v>2</v>
      </c>
      <c r="G1774" t="str">
        <f>VLOOKUP(D1774,Товары!A:I,3,0)</f>
        <v>Зеркальный шкаф Кристалл 60 со светильником правый, ручка кнопка дуб цвет Шато Азур</v>
      </c>
      <c r="H1774">
        <f>VLOOKUP(D1774,Товары!A:I,6,0)</f>
        <v>75</v>
      </c>
      <c r="I1774" t="str">
        <f>VLOOKUP(C1774,Магазины!A:C,3,0)</f>
        <v>Набережные Челны</v>
      </c>
      <c r="J1774">
        <f>VLOOKUP(D1774,Товары!A:I,4,0)</f>
        <v>9195</v>
      </c>
      <c r="K1774">
        <f t="shared" si="27"/>
        <v>18390</v>
      </c>
    </row>
    <row r="1775" spans="1:11" hidden="1" x14ac:dyDescent="0.25">
      <c r="A1775">
        <v>1774</v>
      </c>
      <c r="B1775" s="1">
        <v>45754</v>
      </c>
      <c r="C1775" t="s">
        <v>20</v>
      </c>
      <c r="D1775" t="s">
        <v>91</v>
      </c>
      <c r="E1775" t="s">
        <v>13</v>
      </c>
      <c r="F1775">
        <v>3</v>
      </c>
      <c r="G1775" t="str">
        <f>VLOOKUP(D1775,Товары!A:I,3,0)</f>
        <v>Пенал навес./напол. Альба 350 мята 2 двери</v>
      </c>
      <c r="H1775">
        <f>VLOOKUP(D1775,Товары!A:I,6,0)</f>
        <v>150</v>
      </c>
      <c r="I1775" t="str">
        <f>VLOOKUP(C1775,Магазины!A:C,3,0)</f>
        <v>Оренбург</v>
      </c>
      <c r="J1775">
        <f>VLOOKUP(D1775,Товары!A:I,4,0)</f>
        <v>11655</v>
      </c>
      <c r="K1775">
        <f t="shared" si="27"/>
        <v>34965</v>
      </c>
    </row>
    <row r="1776" spans="1:11" hidden="1" x14ac:dyDescent="0.25">
      <c r="A1776">
        <v>1775</v>
      </c>
      <c r="B1776" s="1">
        <v>45757</v>
      </c>
      <c r="C1776" t="s">
        <v>41</v>
      </c>
      <c r="D1776" t="s">
        <v>117</v>
      </c>
      <c r="E1776" t="s">
        <v>8</v>
      </c>
      <c r="F1776">
        <v>1</v>
      </c>
      <c r="G1776" t="str">
        <f>VLOOKUP(D1776,Товары!A:I,3,0)</f>
        <v>Тумба с раковиной  навес. Альба 700 антрацит 2 ящика с умыв. Слим</v>
      </c>
      <c r="H1776">
        <f>VLOOKUP(D1776,Товары!A:I,6,0)</f>
        <v>60</v>
      </c>
      <c r="I1776" t="str">
        <f>VLOOKUP(C1776,Магазины!A:C,3,0)</f>
        <v>Ставрополь</v>
      </c>
      <c r="J1776">
        <f>VLOOKUP(D1776,Товары!A:I,4,0)</f>
        <v>25095</v>
      </c>
      <c r="K1776">
        <f t="shared" si="27"/>
        <v>25095</v>
      </c>
    </row>
    <row r="1777" spans="1:11" hidden="1" x14ac:dyDescent="0.25">
      <c r="A1777">
        <v>1776</v>
      </c>
      <c r="B1777" s="1">
        <v>45754</v>
      </c>
      <c r="C1777" t="s">
        <v>54</v>
      </c>
      <c r="D1777" t="s">
        <v>42</v>
      </c>
      <c r="E1777" t="s">
        <v>13</v>
      </c>
      <c r="F1777">
        <v>1</v>
      </c>
      <c r="G1777" t="str">
        <f>VLOOKUP(D1777,Товары!A:I,3,0)</f>
        <v>Тумба под стиральную машину Леон Риф 57 подвесная 2 ящика под ст/маш, без умывальника /под Marshall 120 Солярис/Белый Риф</v>
      </c>
      <c r="H1777">
        <f>VLOOKUP(D1777,Товары!A:I,6,0)</f>
        <v>60</v>
      </c>
      <c r="I1777" t="str">
        <f>VLOOKUP(C1777,Магазины!A:C,3,0)</f>
        <v>Ставрополь</v>
      </c>
      <c r="J1777">
        <f>VLOOKUP(D1777,Товары!A:I,4,0)</f>
        <v>15495</v>
      </c>
      <c r="K1777">
        <f t="shared" si="27"/>
        <v>15495</v>
      </c>
    </row>
    <row r="1778" spans="1:11" hidden="1" x14ac:dyDescent="0.25">
      <c r="A1778">
        <v>1777</v>
      </c>
      <c r="B1778" s="1">
        <v>45756</v>
      </c>
      <c r="C1778" t="s">
        <v>11</v>
      </c>
      <c r="D1778" t="s">
        <v>32</v>
      </c>
      <c r="E1778" t="s">
        <v>13</v>
      </c>
      <c r="F1778">
        <v>3</v>
      </c>
      <c r="G1778" t="str">
        <f>VLOOKUP(D1778,Товары!A:I,3,0)</f>
        <v>Тумба с раковиной  напол. Леон Риф 700 солярис/белый риф 2 ящика с умыв. Слим</v>
      </c>
      <c r="H1778">
        <f>VLOOKUP(D1778,Товары!A:I,6,0)</f>
        <v>85</v>
      </c>
      <c r="I1778" t="str">
        <f>VLOOKUP(C1778,Магазины!A:C,3,0)</f>
        <v>Кемерово</v>
      </c>
      <c r="J1778">
        <f>VLOOKUP(D1778,Товары!A:I,4,0)</f>
        <v>26460</v>
      </c>
      <c r="K1778">
        <f t="shared" si="27"/>
        <v>79380</v>
      </c>
    </row>
    <row r="1779" spans="1:11" hidden="1" x14ac:dyDescent="0.25">
      <c r="A1779">
        <v>1778</v>
      </c>
      <c r="B1779" s="1">
        <v>45754</v>
      </c>
      <c r="C1779" t="s">
        <v>9</v>
      </c>
      <c r="D1779" t="s">
        <v>85</v>
      </c>
      <c r="E1779" t="s">
        <v>8</v>
      </c>
      <c r="F1779">
        <v>3</v>
      </c>
      <c r="G1779" t="str">
        <f>VLOOKUP(D1779,Товары!A:I,3,0)</f>
        <v>Пенал напол. Аква 450 белый 2 двери + 2 ящика + корзина</v>
      </c>
      <c r="H1779">
        <f>VLOOKUP(D1779,Товары!A:I,6,0)</f>
        <v>190</v>
      </c>
      <c r="I1779" t="str">
        <f>VLOOKUP(C1779,Магазины!A:C,3,0)</f>
        <v>Кемерово</v>
      </c>
      <c r="J1779">
        <f>VLOOKUP(D1779,Товары!A:I,4,0)</f>
        <v>13335</v>
      </c>
      <c r="K1779">
        <f t="shared" si="27"/>
        <v>40005</v>
      </c>
    </row>
    <row r="1780" spans="1:11" hidden="1" x14ac:dyDescent="0.25">
      <c r="A1780">
        <v>1779</v>
      </c>
      <c r="B1780" s="1">
        <v>45751</v>
      </c>
      <c r="C1780" t="s">
        <v>54</v>
      </c>
      <c r="D1780" t="s">
        <v>45</v>
      </c>
      <c r="E1780" t="s">
        <v>8</v>
      </c>
      <c r="F1780">
        <v>2</v>
      </c>
      <c r="G1780" t="str">
        <f>VLOOKUP(D1780,Товары!A:I,3,0)</f>
        <v>Зеркальный шкаф Рица 80 со светильником правый цвет cерый/керамика</v>
      </c>
      <c r="H1780">
        <f>VLOOKUP(D1780,Товары!A:I,6,0)</f>
        <v>75</v>
      </c>
      <c r="I1780" t="str">
        <f>VLOOKUP(C1780,Магазины!A:C,3,0)</f>
        <v>Ставрополь</v>
      </c>
      <c r="J1780">
        <f>VLOOKUP(D1780,Товары!A:I,4,0)</f>
        <v>9930</v>
      </c>
      <c r="K1780">
        <f t="shared" si="27"/>
        <v>19860</v>
      </c>
    </row>
    <row r="1781" spans="1:11" hidden="1" x14ac:dyDescent="0.25">
      <c r="A1781">
        <v>1780</v>
      </c>
      <c r="B1781" s="1">
        <v>45755</v>
      </c>
      <c r="C1781" t="s">
        <v>43</v>
      </c>
      <c r="D1781" t="s">
        <v>51</v>
      </c>
      <c r="E1781" t="s">
        <v>13</v>
      </c>
      <c r="F1781">
        <v>3</v>
      </c>
      <c r="G1781" t="str">
        <f>VLOOKUP(D1781,Товары!A:I,3,0)</f>
        <v>Зеркальный шкаф Альба 80 со светильником правый цвет суфле</v>
      </c>
      <c r="H1781">
        <f>VLOOKUP(D1781,Товары!A:I,6,0)</f>
        <v>75</v>
      </c>
      <c r="I1781" t="str">
        <f>VLOOKUP(C1781,Магазины!A:C,3,0)</f>
        <v>Набережные Челны</v>
      </c>
      <c r="J1781">
        <f>VLOOKUP(D1781,Товары!A:I,4,0)</f>
        <v>9930</v>
      </c>
      <c r="K1781">
        <f t="shared" si="27"/>
        <v>29790</v>
      </c>
    </row>
    <row r="1782" spans="1:11" hidden="1" x14ac:dyDescent="0.25">
      <c r="A1782">
        <v>1781</v>
      </c>
      <c r="B1782" s="1">
        <v>45749</v>
      </c>
      <c r="C1782" t="s">
        <v>20</v>
      </c>
      <c r="D1782" t="s">
        <v>44</v>
      </c>
      <c r="E1782" t="s">
        <v>13</v>
      </c>
      <c r="F1782">
        <v>2</v>
      </c>
      <c r="G1782" t="str">
        <f>VLOOKUP(D1782,Товары!A:I,3,0)</f>
        <v>Тумба с раковиной  навес. Кристалл 800 шато азур 2 ящика с умыв. Комфорт</v>
      </c>
      <c r="H1782">
        <f>VLOOKUP(D1782,Товары!A:I,6,0)</f>
        <v>55</v>
      </c>
      <c r="I1782" t="str">
        <f>VLOOKUP(C1782,Магазины!A:C,3,0)</f>
        <v>Оренбург</v>
      </c>
      <c r="J1782">
        <f>VLOOKUP(D1782,Товары!A:I,4,0)</f>
        <v>25080</v>
      </c>
      <c r="K1782">
        <f t="shared" si="27"/>
        <v>50160</v>
      </c>
    </row>
    <row r="1783" spans="1:11" hidden="1" x14ac:dyDescent="0.25">
      <c r="A1783">
        <v>1782</v>
      </c>
      <c r="B1783" s="1">
        <v>45756</v>
      </c>
      <c r="C1783" t="s">
        <v>26</v>
      </c>
      <c r="D1783" t="s">
        <v>79</v>
      </c>
      <c r="E1783" t="s">
        <v>8</v>
      </c>
      <c r="F1783">
        <v>2</v>
      </c>
      <c r="G1783" t="str">
        <f>VLOOKUP(D1783,Товары!A:I,3,0)</f>
        <v>Зеркальный шкаф Альба 70 со светильником правый цвет мята</v>
      </c>
      <c r="H1783">
        <f>VLOOKUP(D1783,Товары!A:I,6,0)</f>
        <v>75</v>
      </c>
      <c r="I1783" t="str">
        <f>VLOOKUP(C1783,Магазины!A:C,3,0)</f>
        <v>Оренбург</v>
      </c>
      <c r="J1783">
        <f>VLOOKUP(D1783,Товары!A:I,4,0)</f>
        <v>9615</v>
      </c>
      <c r="K1783">
        <f t="shared" si="27"/>
        <v>19230</v>
      </c>
    </row>
    <row r="1784" spans="1:11" hidden="1" x14ac:dyDescent="0.25">
      <c r="A1784">
        <v>1783</v>
      </c>
      <c r="B1784" s="1">
        <v>45749</v>
      </c>
      <c r="C1784" t="s">
        <v>28</v>
      </c>
      <c r="D1784" t="s">
        <v>87</v>
      </c>
      <c r="E1784" t="s">
        <v>8</v>
      </c>
      <c r="F1784">
        <v>3</v>
      </c>
      <c r="G1784" t="str">
        <f>VLOOKUP(D1784,Товары!A:I,3,0)</f>
        <v>Тумба с раковиной  напол. Леон 700 форест 2 ящика с умыв. Слим</v>
      </c>
      <c r="H1784">
        <f>VLOOKUP(D1784,Товары!A:I,6,0)</f>
        <v>80</v>
      </c>
      <c r="I1784" t="str">
        <f>VLOOKUP(C1784,Магазины!A:C,3,0)</f>
        <v>Набережные Челны</v>
      </c>
      <c r="J1784">
        <f>VLOOKUP(D1784,Товары!A:I,4,0)</f>
        <v>28380</v>
      </c>
      <c r="K1784">
        <f t="shared" si="27"/>
        <v>85140</v>
      </c>
    </row>
    <row r="1785" spans="1:11" hidden="1" x14ac:dyDescent="0.25">
      <c r="A1785">
        <v>1784</v>
      </c>
      <c r="B1785" s="1">
        <v>45753</v>
      </c>
      <c r="C1785" t="s">
        <v>14</v>
      </c>
      <c r="D1785" t="s">
        <v>102</v>
      </c>
      <c r="E1785" t="s">
        <v>13</v>
      </c>
      <c r="F1785">
        <v>3</v>
      </c>
      <c r="G1785" t="str">
        <f>VLOOKUP(D1785,Товары!A:I,3,0)</f>
        <v>Тумба с раковиной  напол. Леон Риф 1000 солярис/белый риф 2 ящика с умыв. Слим</v>
      </c>
      <c r="H1785">
        <f>VLOOKUP(D1785,Товары!A:I,6,0)</f>
        <v>85</v>
      </c>
      <c r="I1785" t="str">
        <f>VLOOKUP(C1785,Магазины!A:C,3,0)</f>
        <v>Оренбург</v>
      </c>
      <c r="J1785">
        <f>VLOOKUP(D1785,Товары!A:I,4,0)</f>
        <v>32085</v>
      </c>
      <c r="K1785">
        <f t="shared" si="27"/>
        <v>96255</v>
      </c>
    </row>
    <row r="1786" spans="1:11" hidden="1" x14ac:dyDescent="0.25">
      <c r="A1786">
        <v>1785</v>
      </c>
      <c r="B1786" s="1">
        <v>45757</v>
      </c>
      <c r="C1786" t="s">
        <v>92</v>
      </c>
      <c r="D1786" t="s">
        <v>68</v>
      </c>
      <c r="E1786" t="s">
        <v>13</v>
      </c>
      <c r="F1786">
        <v>2</v>
      </c>
      <c r="G1786" t="str">
        <f>VLOOKUP(D1786,Товары!A:I,3,0)</f>
        <v>Тумба с раковиной  навес. Альба 600 антрацит 1 ящик с умыв. Океан</v>
      </c>
      <c r="H1786">
        <f>VLOOKUP(D1786,Товары!A:I,6,0)</f>
        <v>85</v>
      </c>
      <c r="I1786" t="str">
        <f>VLOOKUP(C1786,Магазины!A:C,3,0)</f>
        <v>Кемерово</v>
      </c>
      <c r="J1786">
        <f>VLOOKUP(D1786,Товары!A:I,4,0)</f>
        <v>17625</v>
      </c>
      <c r="K1786">
        <f t="shared" si="27"/>
        <v>35250</v>
      </c>
    </row>
    <row r="1787" spans="1:11" hidden="1" x14ac:dyDescent="0.25">
      <c r="A1787">
        <v>1786</v>
      </c>
      <c r="B1787" s="1">
        <v>45753</v>
      </c>
      <c r="C1787" t="s">
        <v>28</v>
      </c>
      <c r="D1787" t="s">
        <v>60</v>
      </c>
      <c r="E1787" t="s">
        <v>13</v>
      </c>
      <c r="F1787">
        <v>3</v>
      </c>
      <c r="G1787" t="str">
        <f>VLOOKUP(D1787,Товары!A:I,3,0)</f>
        <v>Пенал навес. Куба Риф 350 белый 2 двери</v>
      </c>
      <c r="H1787">
        <f>VLOOKUP(D1787,Товары!A:I,6,0)</f>
        <v>150</v>
      </c>
      <c r="I1787" t="str">
        <f>VLOOKUP(C1787,Магазины!A:C,3,0)</f>
        <v>Набережные Челны</v>
      </c>
      <c r="J1787">
        <f>VLOOKUP(D1787,Товары!A:I,4,0)</f>
        <v>9720</v>
      </c>
      <c r="K1787">
        <f t="shared" si="27"/>
        <v>29160</v>
      </c>
    </row>
    <row r="1788" spans="1:11" hidden="1" x14ac:dyDescent="0.25">
      <c r="A1788">
        <v>1787</v>
      </c>
      <c r="B1788" s="1">
        <v>45752</v>
      </c>
      <c r="C1788" t="s">
        <v>9</v>
      </c>
      <c r="D1788" t="s">
        <v>90</v>
      </c>
      <c r="E1788" t="s">
        <v>8</v>
      </c>
      <c r="F1788">
        <v>2</v>
      </c>
      <c r="G1788" t="str">
        <f>VLOOKUP(D1788,Товары!A:I,3,0)</f>
        <v>Пенал напол. Аква 350 белый 2 двери + 2 ящика</v>
      </c>
      <c r="H1788">
        <f>VLOOKUP(D1788,Товары!A:I,6,0)</f>
        <v>190</v>
      </c>
      <c r="I1788" t="str">
        <f>VLOOKUP(C1788,Магазины!A:C,3,0)</f>
        <v>Кемерово</v>
      </c>
      <c r="J1788">
        <f>VLOOKUP(D1788,Товары!A:I,4,0)</f>
        <v>10650</v>
      </c>
      <c r="K1788">
        <f t="shared" si="27"/>
        <v>21300</v>
      </c>
    </row>
    <row r="1789" spans="1:11" hidden="1" x14ac:dyDescent="0.25">
      <c r="A1789">
        <v>1788</v>
      </c>
      <c r="B1789" s="1">
        <v>45749</v>
      </c>
      <c r="C1789" t="s">
        <v>18</v>
      </c>
      <c r="D1789" t="s">
        <v>91</v>
      </c>
      <c r="E1789" t="s">
        <v>8</v>
      </c>
      <c r="F1789">
        <v>1</v>
      </c>
      <c r="G1789" t="str">
        <f>VLOOKUP(D1789,Товары!A:I,3,0)</f>
        <v>Пенал навес./напол. Альба 350 мята 2 двери</v>
      </c>
      <c r="H1789">
        <f>VLOOKUP(D1789,Товары!A:I,6,0)</f>
        <v>150</v>
      </c>
      <c r="I1789" t="str">
        <f>VLOOKUP(C1789,Магазины!A:C,3,0)</f>
        <v>Набережные Челны</v>
      </c>
      <c r="J1789">
        <f>VLOOKUP(D1789,Товары!A:I,4,0)</f>
        <v>11655</v>
      </c>
      <c r="K1789">
        <f t="shared" si="27"/>
        <v>11655</v>
      </c>
    </row>
    <row r="1790" spans="1:11" hidden="1" x14ac:dyDescent="0.25">
      <c r="A1790">
        <v>1789</v>
      </c>
      <c r="B1790" s="1">
        <v>45755</v>
      </c>
      <c r="C1790" t="s">
        <v>28</v>
      </c>
      <c r="D1790" t="s">
        <v>39</v>
      </c>
      <c r="E1790" t="s">
        <v>8</v>
      </c>
      <c r="F1790">
        <v>3</v>
      </c>
      <c r="G1790" t="str">
        <f>VLOOKUP(D1790,Товары!A:I,3,0)</f>
        <v>Тумба с раковиной  напол. Альба 700 мята 2 ящика с умыв. Слим</v>
      </c>
      <c r="H1790">
        <f>VLOOKUP(D1790,Товары!A:I,6,0)</f>
        <v>85</v>
      </c>
      <c r="I1790" t="str">
        <f>VLOOKUP(C1790,Магазины!A:C,3,0)</f>
        <v>Набережные Челны</v>
      </c>
      <c r="J1790">
        <f>VLOOKUP(D1790,Товары!A:I,4,0)</f>
        <v>28695</v>
      </c>
      <c r="K1790">
        <f t="shared" si="27"/>
        <v>86085</v>
      </c>
    </row>
    <row r="1791" spans="1:11" hidden="1" x14ac:dyDescent="0.25">
      <c r="A1791">
        <v>1790</v>
      </c>
      <c r="B1791" s="1">
        <v>45751</v>
      </c>
      <c r="C1791" t="s">
        <v>92</v>
      </c>
      <c r="D1791" t="s">
        <v>119</v>
      </c>
      <c r="E1791" t="s">
        <v>8</v>
      </c>
      <c r="F1791">
        <v>2</v>
      </c>
      <c r="G1791" t="str">
        <f>VLOOKUP(D1791,Товары!A:I,3,0)</f>
        <v>Пенал навес./напол. Рица 350 cерый/керамика 2 двери</v>
      </c>
      <c r="H1791">
        <f>VLOOKUP(D1791,Товары!A:I,6,0)</f>
        <v>160</v>
      </c>
      <c r="I1791" t="str">
        <f>VLOOKUP(C1791,Магазины!A:C,3,0)</f>
        <v>Кемерово</v>
      </c>
      <c r="J1791">
        <f>VLOOKUP(D1791,Товары!A:I,4,0)</f>
        <v>11250</v>
      </c>
      <c r="K1791">
        <f t="shared" si="27"/>
        <v>22500</v>
      </c>
    </row>
    <row r="1792" spans="1:11" hidden="1" x14ac:dyDescent="0.25">
      <c r="A1792">
        <v>1791</v>
      </c>
      <c r="B1792" s="1">
        <v>45754</v>
      </c>
      <c r="C1792" t="s">
        <v>6</v>
      </c>
      <c r="D1792" t="s">
        <v>114</v>
      </c>
      <c r="E1792" t="s">
        <v>13</v>
      </c>
      <c r="F1792">
        <v>3</v>
      </c>
      <c r="G1792" t="str">
        <f>VLOOKUP(D1792,Товары!A:I,3,0)</f>
        <v>Тумба с раковиной  навес. Альба 700 мята 2 ящика с умыв. Слим</v>
      </c>
      <c r="H1792">
        <f>VLOOKUP(D1792,Товары!A:I,6,0)</f>
        <v>60</v>
      </c>
      <c r="I1792" t="str">
        <f>VLOOKUP(C1792,Магазины!A:C,3,0)</f>
        <v>Оренбург</v>
      </c>
      <c r="J1792">
        <f>VLOOKUP(D1792,Товары!A:I,4,0)</f>
        <v>25095</v>
      </c>
      <c r="K1792">
        <f t="shared" si="27"/>
        <v>75285</v>
      </c>
    </row>
    <row r="1793" spans="1:11" hidden="1" x14ac:dyDescent="0.25">
      <c r="A1793">
        <v>1792</v>
      </c>
      <c r="B1793" s="1">
        <v>45751</v>
      </c>
      <c r="C1793" t="s">
        <v>103</v>
      </c>
      <c r="D1793" t="s">
        <v>108</v>
      </c>
      <c r="E1793" t="s">
        <v>8</v>
      </c>
      <c r="F1793">
        <v>3</v>
      </c>
      <c r="G1793" t="str">
        <f>VLOOKUP(D1793,Товары!A:I,3,0)</f>
        <v>Тумба с раковиной  навес. Виктория 1000 белый 2 ящика с умыв. Слим</v>
      </c>
      <c r="H1793">
        <f>VLOOKUP(D1793,Товары!A:I,6,0)</f>
        <v>60</v>
      </c>
      <c r="I1793" t="str">
        <f>VLOOKUP(C1793,Магазины!A:C,3,0)</f>
        <v>Ставрополь</v>
      </c>
      <c r="J1793">
        <f>VLOOKUP(D1793,Товары!A:I,4,0)</f>
        <v>29205</v>
      </c>
      <c r="K1793">
        <f t="shared" si="27"/>
        <v>87615</v>
      </c>
    </row>
    <row r="1794" spans="1:11" hidden="1" x14ac:dyDescent="0.25">
      <c r="A1794">
        <v>1793</v>
      </c>
      <c r="B1794" s="1">
        <v>45750</v>
      </c>
      <c r="C1794" t="s">
        <v>18</v>
      </c>
      <c r="D1794" t="s">
        <v>55</v>
      </c>
      <c r="E1794" t="s">
        <v>8</v>
      </c>
      <c r="F1794">
        <v>3</v>
      </c>
      <c r="G1794" t="str">
        <f>VLOOKUP(D1794,Товары!A:I,3,0)</f>
        <v>Тумба с раковиной  напол. Рица 600 cерый/керамика 2 ящика с умыв. Океан</v>
      </c>
      <c r="H1794">
        <f>VLOOKUP(D1794,Товары!A:I,6,0)</f>
        <v>80</v>
      </c>
      <c r="I1794" t="str">
        <f>VLOOKUP(C1794,Магазины!A:C,3,0)</f>
        <v>Набережные Челны</v>
      </c>
      <c r="J1794">
        <f>VLOOKUP(D1794,Товары!A:I,4,0)</f>
        <v>25560</v>
      </c>
      <c r="K1794">
        <f t="shared" si="27"/>
        <v>76680</v>
      </c>
    </row>
    <row r="1795" spans="1:11" hidden="1" x14ac:dyDescent="0.25">
      <c r="A1795">
        <v>1794</v>
      </c>
      <c r="B1795" s="1">
        <v>45751</v>
      </c>
      <c r="C1795" t="s">
        <v>92</v>
      </c>
      <c r="D1795" t="s">
        <v>7</v>
      </c>
      <c r="E1795" t="s">
        <v>8</v>
      </c>
      <c r="F1795">
        <v>2</v>
      </c>
      <c r="G1795" t="str">
        <f>VLOOKUP(D1795,Товары!A:I,3,0)</f>
        <v>Пенал напол. Леон Риф 400 солярис/белый риф 2 двери + 1 ящик</v>
      </c>
      <c r="H1795">
        <f>VLOOKUP(D1795,Товары!A:I,6,0)</f>
        <v>190</v>
      </c>
      <c r="I1795" t="str">
        <f>VLOOKUP(C1795,Магазины!A:C,3,0)</f>
        <v>Кемерово</v>
      </c>
      <c r="J1795">
        <f>VLOOKUP(D1795,Товары!A:I,4,0)</f>
        <v>14490</v>
      </c>
      <c r="K1795">
        <f t="shared" ref="K1795:K1858" si="28">J1795*F1795</f>
        <v>28980</v>
      </c>
    </row>
    <row r="1796" spans="1:11" hidden="1" x14ac:dyDescent="0.25">
      <c r="A1796">
        <v>1795</v>
      </c>
      <c r="B1796" s="1">
        <v>45748</v>
      </c>
      <c r="C1796" t="s">
        <v>48</v>
      </c>
      <c r="D1796" t="s">
        <v>125</v>
      </c>
      <c r="E1796" t="s">
        <v>13</v>
      </c>
      <c r="F1796">
        <v>2</v>
      </c>
      <c r="G1796" t="str">
        <f>VLOOKUP(D1796,Товары!A:I,3,0)</f>
        <v>Зеркальный шкаф Сохо 60 белый со светильником правый цвет Белый глянец</v>
      </c>
      <c r="H1796">
        <f>VLOOKUP(D1796,Товары!A:I,6,0)</f>
        <v>75</v>
      </c>
      <c r="I1796" t="str">
        <f>VLOOKUP(C1796,Магазины!A:C,3,0)</f>
        <v>Ставрополь</v>
      </c>
      <c r="J1796">
        <f>VLOOKUP(D1796,Товары!A:I,4,0)</f>
        <v>7395</v>
      </c>
      <c r="K1796">
        <f t="shared" si="28"/>
        <v>14790</v>
      </c>
    </row>
    <row r="1797" spans="1:11" hidden="1" x14ac:dyDescent="0.25">
      <c r="A1797">
        <v>1796</v>
      </c>
      <c r="B1797" s="1">
        <v>45757</v>
      </c>
      <c r="C1797" t="s">
        <v>9</v>
      </c>
      <c r="D1797" t="s">
        <v>32</v>
      </c>
      <c r="E1797" t="s">
        <v>13</v>
      </c>
      <c r="F1797">
        <v>3</v>
      </c>
      <c r="G1797" t="str">
        <f>VLOOKUP(D1797,Товары!A:I,3,0)</f>
        <v>Тумба с раковиной  напол. Леон Риф 700 солярис/белый риф 2 ящика с умыв. Слим</v>
      </c>
      <c r="H1797">
        <f>VLOOKUP(D1797,Товары!A:I,6,0)</f>
        <v>85</v>
      </c>
      <c r="I1797" t="str">
        <f>VLOOKUP(C1797,Магазины!A:C,3,0)</f>
        <v>Кемерово</v>
      </c>
      <c r="J1797">
        <f>VLOOKUP(D1797,Товары!A:I,4,0)</f>
        <v>26460</v>
      </c>
      <c r="K1797">
        <f t="shared" si="28"/>
        <v>79380</v>
      </c>
    </row>
    <row r="1798" spans="1:11" hidden="1" x14ac:dyDescent="0.25">
      <c r="A1798">
        <v>1797</v>
      </c>
      <c r="B1798" s="1">
        <v>45751</v>
      </c>
      <c r="C1798" t="s">
        <v>57</v>
      </c>
      <c r="D1798" t="s">
        <v>126</v>
      </c>
      <c r="E1798" t="s">
        <v>8</v>
      </c>
      <c r="F1798">
        <v>2</v>
      </c>
      <c r="G1798" t="str">
        <f>VLOOKUP(D1798,Товары!A:I,3,0)</f>
        <v>Тумба с раковиной  напол. Кристалл 800 шато азур 2 ящика с умыв. Комфорт</v>
      </c>
      <c r="H1798">
        <f>VLOOKUP(D1798,Товары!A:I,6,0)</f>
        <v>85</v>
      </c>
      <c r="I1798" t="str">
        <f>VLOOKUP(C1798,Магазины!A:C,3,0)</f>
        <v>Оренбург</v>
      </c>
      <c r="J1798">
        <f>VLOOKUP(D1798,Товары!A:I,4,0)</f>
        <v>31125</v>
      </c>
      <c r="K1798">
        <f t="shared" si="28"/>
        <v>62250</v>
      </c>
    </row>
    <row r="1799" spans="1:11" hidden="1" x14ac:dyDescent="0.25">
      <c r="A1799">
        <v>1798</v>
      </c>
      <c r="B1799" s="1">
        <v>45748</v>
      </c>
      <c r="C1799" t="s">
        <v>30</v>
      </c>
      <c r="D1799" t="s">
        <v>50</v>
      </c>
      <c r="E1799" t="s">
        <v>8</v>
      </c>
      <c r="F1799">
        <v>2</v>
      </c>
      <c r="G1799" t="str">
        <f>VLOOKUP(D1799,Товары!A:I,3,0)</f>
        <v>Тумба с раковиной  напол. Леон 800 оникс 2 ящика с умыв. Слим</v>
      </c>
      <c r="H1799">
        <f>VLOOKUP(D1799,Товары!A:I,6,0)</f>
        <v>80</v>
      </c>
      <c r="I1799" t="str">
        <f>VLOOKUP(C1799,Магазины!A:C,3,0)</f>
        <v>Кемерово</v>
      </c>
      <c r="J1799">
        <f>VLOOKUP(D1799,Товары!A:I,4,0)</f>
        <v>29400</v>
      </c>
      <c r="K1799">
        <f t="shared" si="28"/>
        <v>58800</v>
      </c>
    </row>
    <row r="1800" spans="1:11" hidden="1" x14ac:dyDescent="0.25">
      <c r="A1800">
        <v>1799</v>
      </c>
      <c r="B1800" s="1">
        <v>45753</v>
      </c>
      <c r="C1800" t="s">
        <v>58</v>
      </c>
      <c r="D1800" t="s">
        <v>128</v>
      </c>
      <c r="E1800" t="s">
        <v>13</v>
      </c>
      <c r="F1800">
        <v>3</v>
      </c>
      <c r="G1800" t="str">
        <f>VLOOKUP(D1800,Товары!A:I,3,0)</f>
        <v>Тумба с раковиной  напол. Куба Риф 1000 белый 2 ящика с умыв. Слим</v>
      </c>
      <c r="H1800">
        <f>VLOOKUP(D1800,Товары!A:I,6,0)</f>
        <v>85</v>
      </c>
      <c r="I1800" t="str">
        <f>VLOOKUP(C1800,Магазины!A:C,3,0)</f>
        <v>Ставрополь</v>
      </c>
      <c r="J1800">
        <f>VLOOKUP(D1800,Товары!A:I,4,0)</f>
        <v>22905</v>
      </c>
      <c r="K1800">
        <f t="shared" si="28"/>
        <v>68715</v>
      </c>
    </row>
    <row r="1801" spans="1:11" hidden="1" x14ac:dyDescent="0.25">
      <c r="A1801">
        <v>1800</v>
      </c>
      <c r="B1801" s="1">
        <v>45751</v>
      </c>
      <c r="C1801" t="s">
        <v>16</v>
      </c>
      <c r="D1801" t="s">
        <v>106</v>
      </c>
      <c r="E1801" t="s">
        <v>8</v>
      </c>
      <c r="F1801">
        <v>1</v>
      </c>
      <c r="G1801" t="str">
        <f>VLOOKUP(D1801,Товары!A:I,3,0)</f>
        <v>Тумба с раковиной  навес. Кристалл 700 шато азур 2 ящика с умыв. Слим</v>
      </c>
      <c r="H1801">
        <f>VLOOKUP(D1801,Товары!A:I,6,0)</f>
        <v>60</v>
      </c>
      <c r="I1801" t="str">
        <f>VLOOKUP(C1801,Магазины!A:C,3,0)</f>
        <v>Оренбург</v>
      </c>
      <c r="J1801">
        <f>VLOOKUP(D1801,Товары!A:I,4,0)</f>
        <v>24150</v>
      </c>
      <c r="K1801">
        <f t="shared" si="28"/>
        <v>24150</v>
      </c>
    </row>
    <row r="1802" spans="1:11" hidden="1" x14ac:dyDescent="0.25">
      <c r="A1802">
        <v>1801</v>
      </c>
      <c r="B1802" s="1">
        <v>45754</v>
      </c>
      <c r="C1802" t="s">
        <v>35</v>
      </c>
      <c r="D1802" t="s">
        <v>90</v>
      </c>
      <c r="E1802" t="s">
        <v>13</v>
      </c>
      <c r="F1802">
        <v>1</v>
      </c>
      <c r="G1802" t="str">
        <f>VLOOKUP(D1802,Товары!A:I,3,0)</f>
        <v>Пенал напол. Аква 350 белый 2 двери + 2 ящика</v>
      </c>
      <c r="H1802">
        <f>VLOOKUP(D1802,Товары!A:I,6,0)</f>
        <v>190</v>
      </c>
      <c r="I1802" t="str">
        <f>VLOOKUP(C1802,Магазины!A:C,3,0)</f>
        <v>Набережные Челны</v>
      </c>
      <c r="J1802">
        <f>VLOOKUP(D1802,Товары!A:I,4,0)</f>
        <v>10650</v>
      </c>
      <c r="K1802">
        <f t="shared" si="28"/>
        <v>10650</v>
      </c>
    </row>
    <row r="1803" spans="1:11" hidden="1" x14ac:dyDescent="0.25">
      <c r="A1803">
        <v>1802</v>
      </c>
      <c r="B1803" s="1">
        <v>45755</v>
      </c>
      <c r="C1803" t="s">
        <v>41</v>
      </c>
      <c r="D1803" t="s">
        <v>86</v>
      </c>
      <c r="E1803" t="s">
        <v>8</v>
      </c>
      <c r="F1803">
        <v>2</v>
      </c>
      <c r="G1803" t="str">
        <f>VLOOKUP(D1803,Товары!A:I,3,0)</f>
        <v>Комод Аква 50 напольный 1 ящик 2 двери белый</v>
      </c>
      <c r="H1803">
        <f>VLOOKUP(D1803,Товары!A:I,6,0)</f>
        <v>90</v>
      </c>
      <c r="I1803" t="str">
        <f>VLOOKUP(C1803,Магазины!A:C,3,0)</f>
        <v>Ставрополь</v>
      </c>
      <c r="J1803">
        <f>VLOOKUP(D1803,Товары!A:I,4,0)</f>
        <v>7260</v>
      </c>
      <c r="K1803">
        <f t="shared" si="28"/>
        <v>14520</v>
      </c>
    </row>
    <row r="1804" spans="1:11" hidden="1" x14ac:dyDescent="0.25">
      <c r="A1804">
        <v>1803</v>
      </c>
      <c r="B1804" s="1">
        <v>45748</v>
      </c>
      <c r="C1804" t="s">
        <v>30</v>
      </c>
      <c r="D1804" t="s">
        <v>51</v>
      </c>
      <c r="E1804" t="s">
        <v>8</v>
      </c>
      <c r="F1804">
        <v>2</v>
      </c>
      <c r="G1804" t="str">
        <f>VLOOKUP(D1804,Товары!A:I,3,0)</f>
        <v>Зеркальный шкаф Альба 80 со светильником правый цвет суфле</v>
      </c>
      <c r="H1804">
        <f>VLOOKUP(D1804,Товары!A:I,6,0)</f>
        <v>75</v>
      </c>
      <c r="I1804" t="str">
        <f>VLOOKUP(C1804,Магазины!A:C,3,0)</f>
        <v>Кемерово</v>
      </c>
      <c r="J1804">
        <f>VLOOKUP(D1804,Товары!A:I,4,0)</f>
        <v>9930</v>
      </c>
      <c r="K1804">
        <f t="shared" si="28"/>
        <v>19860</v>
      </c>
    </row>
    <row r="1805" spans="1:11" hidden="1" x14ac:dyDescent="0.25">
      <c r="A1805">
        <v>1804</v>
      </c>
      <c r="B1805" s="1">
        <v>45755</v>
      </c>
      <c r="C1805" t="s">
        <v>28</v>
      </c>
      <c r="D1805" t="s">
        <v>15</v>
      </c>
      <c r="E1805" t="s">
        <v>8</v>
      </c>
      <c r="F1805">
        <v>2</v>
      </c>
      <c r="G1805" t="str">
        <f>VLOOKUP(D1805,Товары!A:I,3,0)</f>
        <v>Зеркальный шкаф Кристалл 60 со светильником правый, ручка кнопка дуб цвет Шато Азур</v>
      </c>
      <c r="H1805">
        <f>VLOOKUP(D1805,Товары!A:I,6,0)</f>
        <v>75</v>
      </c>
      <c r="I1805" t="str">
        <f>VLOOKUP(C1805,Магазины!A:C,3,0)</f>
        <v>Набережные Челны</v>
      </c>
      <c r="J1805">
        <f>VLOOKUP(D1805,Товары!A:I,4,0)</f>
        <v>9195</v>
      </c>
      <c r="K1805">
        <f t="shared" si="28"/>
        <v>18390</v>
      </c>
    </row>
    <row r="1806" spans="1:11" hidden="1" x14ac:dyDescent="0.25">
      <c r="A1806">
        <v>1805</v>
      </c>
      <c r="B1806" s="1">
        <v>45749</v>
      </c>
      <c r="C1806" t="s">
        <v>28</v>
      </c>
      <c r="D1806" t="s">
        <v>118</v>
      </c>
      <c r="E1806" t="s">
        <v>13</v>
      </c>
      <c r="F1806">
        <v>3</v>
      </c>
      <c r="G1806" t="str">
        <f>VLOOKUP(D1806,Товары!A:I,3,0)</f>
        <v>Тумба с раковиной  напол. Сохо 800 белый 2 ящика с умыв. Слим</v>
      </c>
      <c r="H1806">
        <f>VLOOKUP(D1806,Товары!A:I,6,0)</f>
        <v>85</v>
      </c>
      <c r="I1806" t="str">
        <f>VLOOKUP(C1806,Магазины!A:C,3,0)</f>
        <v>Набережные Челны</v>
      </c>
      <c r="J1806">
        <f>VLOOKUP(D1806,Товары!A:I,4,0)</f>
        <v>19575</v>
      </c>
      <c r="K1806">
        <f t="shared" si="28"/>
        <v>58725</v>
      </c>
    </row>
    <row r="1807" spans="1:11" hidden="1" x14ac:dyDescent="0.25">
      <c r="A1807">
        <v>1806</v>
      </c>
      <c r="B1807" s="1">
        <v>45755</v>
      </c>
      <c r="C1807" t="s">
        <v>103</v>
      </c>
      <c r="D1807" t="s">
        <v>100</v>
      </c>
      <c r="E1807" t="s">
        <v>8</v>
      </c>
      <c r="F1807">
        <v>2</v>
      </c>
      <c r="G1807" t="str">
        <f>VLOOKUP(D1807,Товары!A:I,3,0)</f>
        <v>Тумба с раковиной  навес. Альба 800 мята 1 ящик с умыв. Слим</v>
      </c>
      <c r="H1807">
        <f>VLOOKUP(D1807,Товары!A:I,6,0)</f>
        <v>45</v>
      </c>
      <c r="I1807" t="str">
        <f>VLOOKUP(C1807,Магазины!A:C,3,0)</f>
        <v>Ставрополь</v>
      </c>
      <c r="J1807">
        <f>VLOOKUP(D1807,Товары!A:I,4,0)</f>
        <v>21630</v>
      </c>
      <c r="K1807">
        <f t="shared" si="28"/>
        <v>43260</v>
      </c>
    </row>
    <row r="1808" spans="1:11" hidden="1" x14ac:dyDescent="0.25">
      <c r="A1808">
        <v>1807</v>
      </c>
      <c r="B1808" s="1">
        <v>45756</v>
      </c>
      <c r="C1808" t="s">
        <v>22</v>
      </c>
      <c r="D1808" t="s">
        <v>102</v>
      </c>
      <c r="E1808" t="s">
        <v>8</v>
      </c>
      <c r="F1808">
        <v>2</v>
      </c>
      <c r="G1808" t="str">
        <f>VLOOKUP(D1808,Товары!A:I,3,0)</f>
        <v>Тумба с раковиной  напол. Леон Риф 1000 солярис/белый риф 2 ящика с умыв. Слим</v>
      </c>
      <c r="H1808">
        <f>VLOOKUP(D1808,Товары!A:I,6,0)</f>
        <v>85</v>
      </c>
      <c r="I1808" t="str">
        <f>VLOOKUP(C1808,Магазины!A:C,3,0)</f>
        <v>Кемерово</v>
      </c>
      <c r="J1808">
        <f>VLOOKUP(D1808,Товары!A:I,4,0)</f>
        <v>32085</v>
      </c>
      <c r="K1808">
        <f t="shared" si="28"/>
        <v>64170</v>
      </c>
    </row>
    <row r="1809" spans="1:11" hidden="1" x14ac:dyDescent="0.25">
      <c r="A1809">
        <v>1808</v>
      </c>
      <c r="B1809" s="1">
        <v>45751</v>
      </c>
      <c r="C1809" t="s">
        <v>92</v>
      </c>
      <c r="D1809" t="s">
        <v>79</v>
      </c>
      <c r="E1809" t="s">
        <v>13</v>
      </c>
      <c r="F1809">
        <v>3</v>
      </c>
      <c r="G1809" t="str">
        <f>VLOOKUP(D1809,Товары!A:I,3,0)</f>
        <v>Зеркальный шкаф Альба 70 со светильником правый цвет мята</v>
      </c>
      <c r="H1809">
        <f>VLOOKUP(D1809,Товары!A:I,6,0)</f>
        <v>75</v>
      </c>
      <c r="I1809" t="str">
        <f>VLOOKUP(C1809,Магазины!A:C,3,0)</f>
        <v>Кемерово</v>
      </c>
      <c r="J1809">
        <f>VLOOKUP(D1809,Товары!A:I,4,0)</f>
        <v>9615</v>
      </c>
      <c r="K1809">
        <f t="shared" si="28"/>
        <v>28845</v>
      </c>
    </row>
    <row r="1810" spans="1:11" hidden="1" x14ac:dyDescent="0.25">
      <c r="A1810">
        <v>1809</v>
      </c>
      <c r="B1810" s="1">
        <v>45750</v>
      </c>
      <c r="C1810" t="s">
        <v>111</v>
      </c>
      <c r="D1810" t="s">
        <v>126</v>
      </c>
      <c r="E1810" t="s">
        <v>13</v>
      </c>
      <c r="F1810">
        <v>3</v>
      </c>
      <c r="G1810" t="str">
        <f>VLOOKUP(D1810,Товары!A:I,3,0)</f>
        <v>Тумба с раковиной  напол. Кристалл 800 шато азур 2 ящика с умыв. Комфорт</v>
      </c>
      <c r="H1810">
        <f>VLOOKUP(D1810,Товары!A:I,6,0)</f>
        <v>85</v>
      </c>
      <c r="I1810" t="str">
        <f>VLOOKUP(C1810,Магазины!A:C,3,0)</f>
        <v>Набережные Челны</v>
      </c>
      <c r="J1810">
        <f>VLOOKUP(D1810,Товары!A:I,4,0)</f>
        <v>31125</v>
      </c>
      <c r="K1810">
        <f t="shared" si="28"/>
        <v>93375</v>
      </c>
    </row>
    <row r="1811" spans="1:11" hidden="1" x14ac:dyDescent="0.25">
      <c r="A1811">
        <v>1810</v>
      </c>
      <c r="B1811" s="1">
        <v>45749</v>
      </c>
      <c r="C1811" t="s">
        <v>48</v>
      </c>
      <c r="D1811" t="s">
        <v>31</v>
      </c>
      <c r="E1811" t="s">
        <v>13</v>
      </c>
      <c r="F1811">
        <v>2</v>
      </c>
      <c r="G1811" t="str">
        <f>VLOOKUP(D1811,Товары!A:I,3,0)</f>
        <v>Пенал напол. Виктория 350 белый 2 двери</v>
      </c>
      <c r="H1811">
        <f>VLOOKUP(D1811,Товары!A:I,6,0)</f>
        <v>190</v>
      </c>
      <c r="I1811" t="str">
        <f>VLOOKUP(C1811,Магазины!A:C,3,0)</f>
        <v>Ставрополь</v>
      </c>
      <c r="J1811">
        <f>VLOOKUP(D1811,Товары!A:I,4,0)</f>
        <v>14085</v>
      </c>
      <c r="K1811">
        <f t="shared" si="28"/>
        <v>28170</v>
      </c>
    </row>
    <row r="1812" spans="1:11" hidden="1" x14ac:dyDescent="0.25">
      <c r="A1812">
        <v>1811</v>
      </c>
      <c r="B1812" s="1">
        <v>45748</v>
      </c>
      <c r="C1812" t="s">
        <v>48</v>
      </c>
      <c r="D1812" t="s">
        <v>17</v>
      </c>
      <c r="E1812" t="s">
        <v>13</v>
      </c>
      <c r="F1812">
        <v>3</v>
      </c>
      <c r="G1812" t="str">
        <f>VLOOKUP(D1812,Товары!A:I,3,0)</f>
        <v>Тумба с раковиной  навес. Альба 800 антрацит 1 ящик с умыв. Слим</v>
      </c>
      <c r="H1812">
        <f>VLOOKUP(D1812,Товары!A:I,6,0)</f>
        <v>45</v>
      </c>
      <c r="I1812" t="str">
        <f>VLOOKUP(C1812,Магазины!A:C,3,0)</f>
        <v>Ставрополь</v>
      </c>
      <c r="J1812">
        <f>VLOOKUP(D1812,Товары!A:I,4,0)</f>
        <v>21630</v>
      </c>
      <c r="K1812">
        <f t="shared" si="28"/>
        <v>64890</v>
      </c>
    </row>
    <row r="1813" spans="1:11" hidden="1" x14ac:dyDescent="0.25">
      <c r="A1813">
        <v>1812</v>
      </c>
      <c r="B1813" s="1">
        <v>45755</v>
      </c>
      <c r="C1813" t="s">
        <v>16</v>
      </c>
      <c r="D1813" t="s">
        <v>71</v>
      </c>
      <c r="E1813" t="s">
        <v>8</v>
      </c>
      <c r="F1813">
        <v>3</v>
      </c>
      <c r="G1813" t="str">
        <f>VLOOKUP(D1813,Товары!A:I,3,0)</f>
        <v>Тумба с раковиной  навес. Альба 600 мята 2 ящика с умыв. Океан</v>
      </c>
      <c r="H1813">
        <f>VLOOKUP(D1813,Товары!A:I,6,0)</f>
        <v>50</v>
      </c>
      <c r="I1813" t="str">
        <f>VLOOKUP(C1813,Магазины!A:C,3,0)</f>
        <v>Оренбург</v>
      </c>
      <c r="J1813">
        <f>VLOOKUP(D1813,Товары!A:I,4,0)</f>
        <v>24810</v>
      </c>
      <c r="K1813">
        <f t="shared" si="28"/>
        <v>74430</v>
      </c>
    </row>
    <row r="1814" spans="1:11" hidden="1" x14ac:dyDescent="0.25">
      <c r="A1814">
        <v>1813</v>
      </c>
      <c r="B1814" s="1">
        <v>45754</v>
      </c>
      <c r="C1814" t="s">
        <v>28</v>
      </c>
      <c r="D1814" t="s">
        <v>34</v>
      </c>
      <c r="E1814" t="s">
        <v>13</v>
      </c>
      <c r="F1814">
        <v>2</v>
      </c>
      <c r="G1814" t="str">
        <f>VLOOKUP(D1814,Товары!A:I,3,0)</f>
        <v>Тумба с раковиной  навес. Леон 700 форест 2 ящика с умыв. Слим</v>
      </c>
      <c r="H1814">
        <f>VLOOKUP(D1814,Товары!A:I,6,0)</f>
        <v>60</v>
      </c>
      <c r="I1814" t="str">
        <f>VLOOKUP(C1814,Магазины!A:C,3,0)</f>
        <v>Набережные Челны</v>
      </c>
      <c r="J1814">
        <f>VLOOKUP(D1814,Товары!A:I,4,0)</f>
        <v>26220</v>
      </c>
      <c r="K1814">
        <f t="shared" si="28"/>
        <v>52440</v>
      </c>
    </row>
    <row r="1815" spans="1:11" hidden="1" x14ac:dyDescent="0.25">
      <c r="A1815">
        <v>1814</v>
      </c>
      <c r="B1815" s="1">
        <v>45750</v>
      </c>
      <c r="C1815" t="s">
        <v>18</v>
      </c>
      <c r="D1815" t="s">
        <v>75</v>
      </c>
      <c r="E1815" t="s">
        <v>8</v>
      </c>
      <c r="F1815">
        <v>3</v>
      </c>
      <c r="G1815" t="str">
        <f>VLOOKUP(D1815,Товары!A:I,3,0)</f>
        <v>Тумба с раковиной  напол. Альба 600 суфле 2 ящика с умыв. Океан</v>
      </c>
      <c r="H1815">
        <f>VLOOKUP(D1815,Товары!A:I,6,0)</f>
        <v>80</v>
      </c>
      <c r="I1815" t="str">
        <f>VLOOKUP(C1815,Магазины!A:C,3,0)</f>
        <v>Набережные Челны</v>
      </c>
      <c r="J1815">
        <f>VLOOKUP(D1815,Товары!A:I,4,0)</f>
        <v>26370</v>
      </c>
      <c r="K1815">
        <f t="shared" si="28"/>
        <v>79110</v>
      </c>
    </row>
    <row r="1816" spans="1:11" hidden="1" x14ac:dyDescent="0.25">
      <c r="A1816">
        <v>1815</v>
      </c>
      <c r="B1816" s="1">
        <v>45751</v>
      </c>
      <c r="C1816" t="s">
        <v>6</v>
      </c>
      <c r="D1816" t="s">
        <v>65</v>
      </c>
      <c r="E1816" t="s">
        <v>13</v>
      </c>
      <c r="F1816">
        <v>1</v>
      </c>
      <c r="G1816" t="str">
        <f>VLOOKUP(D1816,Товары!A:I,3,0)</f>
        <v>Тумба с раковиной  навес. Альба 800 суфле 2 ящика с умыв. Слим</v>
      </c>
      <c r="H1816">
        <f>VLOOKUP(D1816,Товары!A:I,6,0)</f>
        <v>50</v>
      </c>
      <c r="I1816" t="str">
        <f>VLOOKUP(C1816,Магазины!A:C,3,0)</f>
        <v>Оренбург</v>
      </c>
      <c r="J1816">
        <f>VLOOKUP(D1816,Товары!A:I,4,0)</f>
        <v>26070</v>
      </c>
      <c r="K1816">
        <f t="shared" si="28"/>
        <v>26070</v>
      </c>
    </row>
    <row r="1817" spans="1:11" hidden="1" x14ac:dyDescent="0.25">
      <c r="A1817">
        <v>1816</v>
      </c>
      <c r="B1817" s="1">
        <v>45749</v>
      </c>
      <c r="C1817" t="s">
        <v>28</v>
      </c>
      <c r="D1817" t="s">
        <v>66</v>
      </c>
      <c r="E1817" t="s">
        <v>8</v>
      </c>
      <c r="F1817">
        <v>2</v>
      </c>
      <c r="G1817" t="str">
        <f>VLOOKUP(D1817,Товары!A:I,3,0)</f>
        <v>Тумба с раковиной  навес. Альба 800 мята 2 ящика с умыв. Слим</v>
      </c>
      <c r="H1817">
        <f>VLOOKUP(D1817,Товары!A:I,6,0)</f>
        <v>50</v>
      </c>
      <c r="I1817" t="str">
        <f>VLOOKUP(C1817,Магазины!A:C,3,0)</f>
        <v>Набережные Челны</v>
      </c>
      <c r="J1817">
        <f>VLOOKUP(D1817,Товары!A:I,4,0)</f>
        <v>26070</v>
      </c>
      <c r="K1817">
        <f t="shared" si="28"/>
        <v>52140</v>
      </c>
    </row>
    <row r="1818" spans="1:11" hidden="1" x14ac:dyDescent="0.25">
      <c r="A1818">
        <v>1817</v>
      </c>
      <c r="B1818" s="1">
        <v>45751</v>
      </c>
      <c r="C1818" t="s">
        <v>63</v>
      </c>
      <c r="D1818" t="s">
        <v>10</v>
      </c>
      <c r="E1818" t="s">
        <v>13</v>
      </c>
      <c r="F1818">
        <v>3</v>
      </c>
      <c r="G1818" t="str">
        <f>VLOOKUP(D1818,Товары!A:I,3,0)</f>
        <v>Тумба с раковиной  навес. Альба 700 антрацит 1 ящик с умыв. Слим</v>
      </c>
      <c r="H1818">
        <f>VLOOKUP(D1818,Товары!A:I,6,0)</f>
        <v>45</v>
      </c>
      <c r="I1818" t="str">
        <f>VLOOKUP(C1818,Магазины!A:C,3,0)</f>
        <v>Ставрополь</v>
      </c>
      <c r="J1818">
        <f>VLOOKUP(D1818,Товары!A:I,4,0)</f>
        <v>20130</v>
      </c>
      <c r="K1818">
        <f t="shared" si="28"/>
        <v>60390</v>
      </c>
    </row>
    <row r="1819" spans="1:11" hidden="1" x14ac:dyDescent="0.25">
      <c r="A1819">
        <v>1818</v>
      </c>
      <c r="B1819" s="1">
        <v>45754</v>
      </c>
      <c r="C1819" t="s">
        <v>43</v>
      </c>
      <c r="D1819" t="s">
        <v>129</v>
      </c>
      <c r="E1819" t="s">
        <v>13</v>
      </c>
      <c r="F1819">
        <v>1</v>
      </c>
      <c r="G1819" t="str">
        <f>VLOOKUP(D1819,Товары!A:I,3,0)</f>
        <v>Тумба с раковиной  напол. Альба 700 антрацит 2 ящика с умыв. Слим</v>
      </c>
      <c r="H1819">
        <f>VLOOKUP(D1819,Товары!A:I,6,0)</f>
        <v>85</v>
      </c>
      <c r="I1819" t="str">
        <f>VLOOKUP(C1819,Магазины!A:C,3,0)</f>
        <v>Набережные Челны</v>
      </c>
      <c r="J1819">
        <f>VLOOKUP(D1819,Товары!A:I,4,0)</f>
        <v>28695</v>
      </c>
      <c r="K1819">
        <f t="shared" si="28"/>
        <v>28695</v>
      </c>
    </row>
    <row r="1820" spans="1:11" hidden="1" x14ac:dyDescent="0.25">
      <c r="A1820">
        <v>1819</v>
      </c>
      <c r="B1820" s="1">
        <v>45756</v>
      </c>
      <c r="C1820" t="s">
        <v>48</v>
      </c>
      <c r="D1820" t="s">
        <v>99</v>
      </c>
      <c r="E1820" t="s">
        <v>13</v>
      </c>
      <c r="F1820">
        <v>2</v>
      </c>
      <c r="G1820" t="str">
        <f>VLOOKUP(D1820,Товары!A:I,3,0)</f>
        <v>Тумба с раковиной  навес. Леон 600 оникс 2 ящика с умыв. Слим</v>
      </c>
      <c r="H1820">
        <f>VLOOKUP(D1820,Товары!A:I,6,0)</f>
        <v>60</v>
      </c>
      <c r="I1820" t="str">
        <f>VLOOKUP(C1820,Магазины!A:C,3,0)</f>
        <v>Ставрополь</v>
      </c>
      <c r="J1820">
        <f>VLOOKUP(D1820,Товары!A:I,4,0)</f>
        <v>25125</v>
      </c>
      <c r="K1820">
        <f t="shared" si="28"/>
        <v>50250</v>
      </c>
    </row>
    <row r="1821" spans="1:11" hidden="1" x14ac:dyDescent="0.25">
      <c r="A1821">
        <v>1820</v>
      </c>
      <c r="B1821" s="1">
        <v>45750</v>
      </c>
      <c r="C1821" t="s">
        <v>6</v>
      </c>
      <c r="D1821" t="s">
        <v>10</v>
      </c>
      <c r="E1821" t="s">
        <v>8</v>
      </c>
      <c r="F1821">
        <v>3</v>
      </c>
      <c r="G1821" t="str">
        <f>VLOOKUP(D1821,Товары!A:I,3,0)</f>
        <v>Тумба с раковиной  навес. Альба 700 антрацит 1 ящик с умыв. Слим</v>
      </c>
      <c r="H1821">
        <f>VLOOKUP(D1821,Товары!A:I,6,0)</f>
        <v>45</v>
      </c>
      <c r="I1821" t="str">
        <f>VLOOKUP(C1821,Магазины!A:C,3,0)</f>
        <v>Оренбург</v>
      </c>
      <c r="J1821">
        <f>VLOOKUP(D1821,Товары!A:I,4,0)</f>
        <v>20130</v>
      </c>
      <c r="K1821">
        <f t="shared" si="28"/>
        <v>60390</v>
      </c>
    </row>
    <row r="1822" spans="1:11" hidden="1" x14ac:dyDescent="0.25">
      <c r="A1822">
        <v>1821</v>
      </c>
      <c r="B1822" s="1">
        <v>45751</v>
      </c>
      <c r="C1822" t="s">
        <v>22</v>
      </c>
      <c r="D1822" t="s">
        <v>47</v>
      </c>
      <c r="E1822" t="s">
        <v>13</v>
      </c>
      <c r="F1822">
        <v>2</v>
      </c>
      <c r="G1822" t="str">
        <f>VLOOKUP(D1822,Товары!A:I,3,0)</f>
        <v>Пенал напол. Кристалл 350 шато азур 2 двери</v>
      </c>
      <c r="H1822">
        <f>VLOOKUP(D1822,Товары!A:I,6,0)</f>
        <v>190</v>
      </c>
      <c r="I1822" t="str">
        <f>VLOOKUP(C1822,Магазины!A:C,3,0)</f>
        <v>Кемерово</v>
      </c>
      <c r="J1822">
        <f>VLOOKUP(D1822,Товары!A:I,4,0)</f>
        <v>15810</v>
      </c>
      <c r="K1822">
        <f t="shared" si="28"/>
        <v>31620</v>
      </c>
    </row>
    <row r="1823" spans="1:11" hidden="1" x14ac:dyDescent="0.25">
      <c r="A1823">
        <v>1822</v>
      </c>
      <c r="B1823" s="1">
        <v>45757</v>
      </c>
      <c r="C1823" t="s">
        <v>54</v>
      </c>
      <c r="D1823" t="s">
        <v>31</v>
      </c>
      <c r="E1823" t="s">
        <v>13</v>
      </c>
      <c r="F1823">
        <v>2</v>
      </c>
      <c r="G1823" t="str">
        <f>VLOOKUP(D1823,Товары!A:I,3,0)</f>
        <v>Пенал напол. Виктория 350 белый 2 двери</v>
      </c>
      <c r="H1823">
        <f>VLOOKUP(D1823,Товары!A:I,6,0)</f>
        <v>190</v>
      </c>
      <c r="I1823" t="str">
        <f>VLOOKUP(C1823,Магазины!A:C,3,0)</f>
        <v>Ставрополь</v>
      </c>
      <c r="J1823">
        <f>VLOOKUP(D1823,Товары!A:I,4,0)</f>
        <v>14085</v>
      </c>
      <c r="K1823">
        <f t="shared" si="28"/>
        <v>28170</v>
      </c>
    </row>
    <row r="1824" spans="1:11" hidden="1" x14ac:dyDescent="0.25">
      <c r="A1824">
        <v>1823</v>
      </c>
      <c r="B1824" s="1">
        <v>45751</v>
      </c>
      <c r="C1824" t="s">
        <v>18</v>
      </c>
      <c r="D1824" t="s">
        <v>38</v>
      </c>
      <c r="E1824" t="s">
        <v>13</v>
      </c>
      <c r="F1824">
        <v>2</v>
      </c>
      <c r="G1824" t="str">
        <f>VLOOKUP(D1824,Товары!A:I,3,0)</f>
        <v>Тумба с раковиной  навес. Куба Риф 600 белый 2 ящика с умыв. Como</v>
      </c>
      <c r="H1824">
        <f>VLOOKUP(D1824,Товары!A:I,6,0)</f>
        <v>55</v>
      </c>
      <c r="I1824" t="str">
        <f>VLOOKUP(C1824,Магазины!A:C,3,0)</f>
        <v>Набережные Челны</v>
      </c>
      <c r="J1824">
        <f>VLOOKUP(D1824,Товары!A:I,4,0)</f>
        <v>14265</v>
      </c>
      <c r="K1824">
        <f t="shared" si="28"/>
        <v>28530</v>
      </c>
    </row>
    <row r="1825" spans="1:11" hidden="1" x14ac:dyDescent="0.25">
      <c r="A1825">
        <v>1824</v>
      </c>
      <c r="B1825" s="1">
        <v>45754</v>
      </c>
      <c r="C1825" t="s">
        <v>20</v>
      </c>
      <c r="D1825" t="s">
        <v>85</v>
      </c>
      <c r="E1825" t="s">
        <v>13</v>
      </c>
      <c r="F1825">
        <v>3</v>
      </c>
      <c r="G1825" t="str">
        <f>VLOOKUP(D1825,Товары!A:I,3,0)</f>
        <v>Пенал напол. Аква 450 белый 2 двери + 2 ящика + корзина</v>
      </c>
      <c r="H1825">
        <f>VLOOKUP(D1825,Товары!A:I,6,0)</f>
        <v>190</v>
      </c>
      <c r="I1825" t="str">
        <f>VLOOKUP(C1825,Магазины!A:C,3,0)</f>
        <v>Оренбург</v>
      </c>
      <c r="J1825">
        <f>VLOOKUP(D1825,Товары!A:I,4,0)</f>
        <v>13335</v>
      </c>
      <c r="K1825">
        <f t="shared" si="28"/>
        <v>40005</v>
      </c>
    </row>
    <row r="1826" spans="1:11" hidden="1" x14ac:dyDescent="0.25">
      <c r="A1826">
        <v>1825</v>
      </c>
      <c r="B1826" s="1">
        <v>45748</v>
      </c>
      <c r="C1826" t="s">
        <v>9</v>
      </c>
      <c r="D1826" t="s">
        <v>23</v>
      </c>
      <c r="E1826" t="s">
        <v>13</v>
      </c>
      <c r="F1826">
        <v>2</v>
      </c>
      <c r="G1826" t="str">
        <f>VLOOKUP(D1826,Товары!A:I,3,0)</f>
        <v>Тумба с раковиной  напол. Альба 800 антрацит 2 ящика с умыв. Слим</v>
      </c>
      <c r="H1826">
        <f>VLOOKUP(D1826,Товары!A:I,6,0)</f>
        <v>80</v>
      </c>
      <c r="I1826" t="str">
        <f>VLOOKUP(C1826,Магазины!A:C,3,0)</f>
        <v>Кемерово</v>
      </c>
      <c r="J1826">
        <f>VLOOKUP(D1826,Товары!A:I,4,0)</f>
        <v>29340</v>
      </c>
      <c r="K1826">
        <f t="shared" si="28"/>
        <v>58680</v>
      </c>
    </row>
    <row r="1827" spans="1:11" hidden="1" x14ac:dyDescent="0.25">
      <c r="A1827">
        <v>1826</v>
      </c>
      <c r="B1827" s="1">
        <v>45754</v>
      </c>
      <c r="C1827" t="s">
        <v>103</v>
      </c>
      <c r="D1827" t="s">
        <v>110</v>
      </c>
      <c r="E1827" t="s">
        <v>8</v>
      </c>
      <c r="F1827">
        <v>3</v>
      </c>
      <c r="G1827" t="str">
        <f>VLOOKUP(D1827,Товары!A:I,3,0)</f>
        <v>Тумба с раковиной  напол. Альба 600 антрацит 2 ящика с умыв. Океан</v>
      </c>
      <c r="H1827">
        <f>VLOOKUP(D1827,Товары!A:I,6,0)</f>
        <v>80</v>
      </c>
      <c r="I1827" t="str">
        <f>VLOOKUP(C1827,Магазины!A:C,3,0)</f>
        <v>Ставрополь</v>
      </c>
      <c r="J1827">
        <f>VLOOKUP(D1827,Товары!A:I,4,0)</f>
        <v>26370</v>
      </c>
      <c r="K1827">
        <f t="shared" si="28"/>
        <v>79110</v>
      </c>
    </row>
    <row r="1828" spans="1:11" hidden="1" x14ac:dyDescent="0.25">
      <c r="A1828">
        <v>1827</v>
      </c>
      <c r="B1828" s="1">
        <v>45752</v>
      </c>
      <c r="C1828" t="s">
        <v>26</v>
      </c>
      <c r="D1828" t="s">
        <v>37</v>
      </c>
      <c r="E1828" t="s">
        <v>8</v>
      </c>
      <c r="F1828">
        <v>3</v>
      </c>
      <c r="G1828" t="str">
        <f>VLOOKUP(D1828,Товары!A:I,3,0)</f>
        <v>Зеркальный шкаф Сохо 70 белый со светильником правый цвет Белый глянец</v>
      </c>
      <c r="H1828">
        <f>VLOOKUP(D1828,Товары!A:I,6,0)</f>
        <v>75</v>
      </c>
      <c r="I1828" t="str">
        <f>VLOOKUP(C1828,Магазины!A:C,3,0)</f>
        <v>Оренбург</v>
      </c>
      <c r="J1828">
        <f>VLOOKUP(D1828,Товары!A:I,4,0)</f>
        <v>7935</v>
      </c>
      <c r="K1828">
        <f t="shared" si="28"/>
        <v>23805</v>
      </c>
    </row>
    <row r="1829" spans="1:11" hidden="1" x14ac:dyDescent="0.25">
      <c r="A1829">
        <v>1828</v>
      </c>
      <c r="B1829" s="1">
        <v>45757</v>
      </c>
      <c r="C1829" t="s">
        <v>22</v>
      </c>
      <c r="D1829" t="s">
        <v>68</v>
      </c>
      <c r="E1829" t="s">
        <v>13</v>
      </c>
      <c r="F1829">
        <v>3</v>
      </c>
      <c r="G1829" t="str">
        <f>VLOOKUP(D1829,Товары!A:I,3,0)</f>
        <v>Тумба с раковиной  навес. Альба 600 антрацит 1 ящик с умыв. Океан</v>
      </c>
      <c r="H1829">
        <f>VLOOKUP(D1829,Товары!A:I,6,0)</f>
        <v>85</v>
      </c>
      <c r="I1829" t="str">
        <f>VLOOKUP(C1829,Магазины!A:C,3,0)</f>
        <v>Кемерово</v>
      </c>
      <c r="J1829">
        <f>VLOOKUP(D1829,Товары!A:I,4,0)</f>
        <v>17625</v>
      </c>
      <c r="K1829">
        <f t="shared" si="28"/>
        <v>52875</v>
      </c>
    </row>
    <row r="1830" spans="1:11" hidden="1" x14ac:dyDescent="0.25">
      <c r="A1830">
        <v>1829</v>
      </c>
      <c r="B1830" s="1">
        <v>45752</v>
      </c>
      <c r="C1830" t="s">
        <v>14</v>
      </c>
      <c r="D1830" t="s">
        <v>89</v>
      </c>
      <c r="E1830" t="s">
        <v>13</v>
      </c>
      <c r="F1830">
        <v>2</v>
      </c>
      <c r="G1830" t="str">
        <f>VLOOKUP(D1830,Товары!A:I,3,0)</f>
        <v>Тумба с раковиной  напол. Сохо 600 белый 2 двери с умыв. Океан</v>
      </c>
      <c r="H1830">
        <f>VLOOKUP(D1830,Товары!A:I,6,0)</f>
        <v>85</v>
      </c>
      <c r="I1830" t="str">
        <f>VLOOKUP(C1830,Магазины!A:C,3,0)</f>
        <v>Оренбург</v>
      </c>
      <c r="J1830">
        <f>VLOOKUP(D1830,Товары!A:I,4,0)</f>
        <v>14880</v>
      </c>
      <c r="K1830">
        <f t="shared" si="28"/>
        <v>29760</v>
      </c>
    </row>
    <row r="1831" spans="1:11" hidden="1" x14ac:dyDescent="0.25">
      <c r="A1831">
        <v>1830</v>
      </c>
      <c r="B1831" s="1">
        <v>45753</v>
      </c>
      <c r="C1831" t="s">
        <v>111</v>
      </c>
      <c r="D1831" t="s">
        <v>108</v>
      </c>
      <c r="E1831" t="s">
        <v>13</v>
      </c>
      <c r="F1831">
        <v>1</v>
      </c>
      <c r="G1831" t="str">
        <f>VLOOKUP(D1831,Товары!A:I,3,0)</f>
        <v>Тумба с раковиной  навес. Виктория 1000 белый 2 ящика с умыв. Слим</v>
      </c>
      <c r="H1831">
        <f>VLOOKUP(D1831,Товары!A:I,6,0)</f>
        <v>60</v>
      </c>
      <c r="I1831" t="str">
        <f>VLOOKUP(C1831,Магазины!A:C,3,0)</f>
        <v>Набережные Челны</v>
      </c>
      <c r="J1831">
        <f>VLOOKUP(D1831,Товары!A:I,4,0)</f>
        <v>29205</v>
      </c>
      <c r="K1831">
        <f t="shared" si="28"/>
        <v>29205</v>
      </c>
    </row>
    <row r="1832" spans="1:11" hidden="1" x14ac:dyDescent="0.25">
      <c r="A1832">
        <v>1831</v>
      </c>
      <c r="B1832" s="1">
        <v>45754</v>
      </c>
      <c r="C1832" t="s">
        <v>16</v>
      </c>
      <c r="D1832" t="s">
        <v>60</v>
      </c>
      <c r="E1832" t="s">
        <v>13</v>
      </c>
      <c r="F1832">
        <v>3</v>
      </c>
      <c r="G1832" t="str">
        <f>VLOOKUP(D1832,Товары!A:I,3,0)</f>
        <v>Пенал навес. Куба Риф 350 белый 2 двери</v>
      </c>
      <c r="H1832">
        <f>VLOOKUP(D1832,Товары!A:I,6,0)</f>
        <v>150</v>
      </c>
      <c r="I1832" t="str">
        <f>VLOOKUP(C1832,Магазины!A:C,3,0)</f>
        <v>Оренбург</v>
      </c>
      <c r="J1832">
        <f>VLOOKUP(D1832,Товары!A:I,4,0)</f>
        <v>9720</v>
      </c>
      <c r="K1832">
        <f t="shared" si="28"/>
        <v>29160</v>
      </c>
    </row>
    <row r="1833" spans="1:11" hidden="1" x14ac:dyDescent="0.25">
      <c r="A1833">
        <v>1832</v>
      </c>
      <c r="B1833" s="1">
        <v>45751</v>
      </c>
      <c r="C1833" t="s">
        <v>54</v>
      </c>
      <c r="D1833" t="s">
        <v>104</v>
      </c>
      <c r="E1833" t="s">
        <v>8</v>
      </c>
      <c r="F1833">
        <v>1</v>
      </c>
      <c r="G1833" t="str">
        <f>VLOOKUP(D1833,Товары!A:I,3,0)</f>
        <v>Тумба под стиральную машину Куба Риф 57 подвесная 2 ящика под ст/маш, без умывальника /под Marshall 120 Белый</v>
      </c>
      <c r="H1833">
        <f>VLOOKUP(D1833,Товары!A:I,6,0)</f>
        <v>50</v>
      </c>
      <c r="I1833" t="str">
        <f>VLOOKUP(C1833,Магазины!A:C,3,0)</f>
        <v>Ставрополь</v>
      </c>
      <c r="J1833">
        <f>VLOOKUP(D1833,Товары!A:I,4,0)</f>
        <v>8505</v>
      </c>
      <c r="K1833">
        <f t="shared" si="28"/>
        <v>8505</v>
      </c>
    </row>
    <row r="1834" spans="1:11" hidden="1" x14ac:dyDescent="0.25">
      <c r="A1834">
        <v>1833</v>
      </c>
      <c r="B1834" s="1">
        <v>45749</v>
      </c>
      <c r="C1834" t="s">
        <v>63</v>
      </c>
      <c r="D1834" t="s">
        <v>118</v>
      </c>
      <c r="E1834" t="s">
        <v>8</v>
      </c>
      <c r="F1834">
        <v>2</v>
      </c>
      <c r="G1834" t="str">
        <f>VLOOKUP(D1834,Товары!A:I,3,0)</f>
        <v>Тумба с раковиной  напол. Сохо 800 белый 2 ящика с умыв. Слим</v>
      </c>
      <c r="H1834">
        <f>VLOOKUP(D1834,Товары!A:I,6,0)</f>
        <v>85</v>
      </c>
      <c r="I1834" t="str">
        <f>VLOOKUP(C1834,Магазины!A:C,3,0)</f>
        <v>Ставрополь</v>
      </c>
      <c r="J1834">
        <f>VLOOKUP(D1834,Товары!A:I,4,0)</f>
        <v>19575</v>
      </c>
      <c r="K1834">
        <f t="shared" si="28"/>
        <v>39150</v>
      </c>
    </row>
    <row r="1835" spans="1:11" hidden="1" x14ac:dyDescent="0.25">
      <c r="A1835">
        <v>1834</v>
      </c>
      <c r="B1835" s="1">
        <v>45754</v>
      </c>
      <c r="C1835" t="s">
        <v>63</v>
      </c>
      <c r="D1835" t="s">
        <v>69</v>
      </c>
      <c r="E1835" t="s">
        <v>13</v>
      </c>
      <c r="F1835">
        <v>1</v>
      </c>
      <c r="G1835" t="str">
        <f>VLOOKUP(D1835,Товары!A:I,3,0)</f>
        <v>Пенал навес./напол. Альба 350 антрацит 2 двери</v>
      </c>
      <c r="H1835">
        <f>VLOOKUP(D1835,Товары!A:I,6,0)</f>
        <v>150</v>
      </c>
      <c r="I1835" t="str">
        <f>VLOOKUP(C1835,Магазины!A:C,3,0)</f>
        <v>Ставрополь</v>
      </c>
      <c r="J1835">
        <f>VLOOKUP(D1835,Товары!A:I,4,0)</f>
        <v>11655</v>
      </c>
      <c r="K1835">
        <f t="shared" si="28"/>
        <v>11655</v>
      </c>
    </row>
    <row r="1836" spans="1:11" hidden="1" x14ac:dyDescent="0.25">
      <c r="A1836">
        <v>1835</v>
      </c>
      <c r="B1836" s="1">
        <v>45749</v>
      </c>
      <c r="C1836" t="s">
        <v>9</v>
      </c>
      <c r="D1836" t="s">
        <v>55</v>
      </c>
      <c r="E1836" t="s">
        <v>8</v>
      </c>
      <c r="F1836">
        <v>3</v>
      </c>
      <c r="G1836" t="str">
        <f>VLOOKUP(D1836,Товары!A:I,3,0)</f>
        <v>Тумба с раковиной  напол. Рица 600 cерый/керамика 2 ящика с умыв. Океан</v>
      </c>
      <c r="H1836">
        <f>VLOOKUP(D1836,Товары!A:I,6,0)</f>
        <v>80</v>
      </c>
      <c r="I1836" t="str">
        <f>VLOOKUP(C1836,Магазины!A:C,3,0)</f>
        <v>Кемерово</v>
      </c>
      <c r="J1836">
        <f>VLOOKUP(D1836,Товары!A:I,4,0)</f>
        <v>25560</v>
      </c>
      <c r="K1836">
        <f t="shared" si="28"/>
        <v>76680</v>
      </c>
    </row>
    <row r="1837" spans="1:11" hidden="1" x14ac:dyDescent="0.25">
      <c r="A1837">
        <v>1836</v>
      </c>
      <c r="B1837" s="1">
        <v>45749</v>
      </c>
      <c r="C1837" t="s">
        <v>28</v>
      </c>
      <c r="D1837" t="s">
        <v>109</v>
      </c>
      <c r="E1837" t="s">
        <v>8</v>
      </c>
      <c r="F1837">
        <v>3</v>
      </c>
      <c r="G1837" t="str">
        <f>VLOOKUP(D1837,Товары!A:I,3,0)</f>
        <v>Тумба с раковиной  навес. Альба 600 антрацит 2 ящика с умыв. Океан</v>
      </c>
      <c r="H1837">
        <f>VLOOKUP(D1837,Товары!A:I,6,0)</f>
        <v>50</v>
      </c>
      <c r="I1837" t="str">
        <f>VLOOKUP(C1837,Магазины!A:C,3,0)</f>
        <v>Набережные Челны</v>
      </c>
      <c r="J1837">
        <f>VLOOKUP(D1837,Товары!A:I,4,0)</f>
        <v>24810</v>
      </c>
      <c r="K1837">
        <f t="shared" si="28"/>
        <v>74430</v>
      </c>
    </row>
    <row r="1838" spans="1:11" hidden="1" x14ac:dyDescent="0.25">
      <c r="A1838">
        <v>1837</v>
      </c>
      <c r="B1838" s="1">
        <v>45756</v>
      </c>
      <c r="C1838" t="s">
        <v>63</v>
      </c>
      <c r="D1838" t="s">
        <v>125</v>
      </c>
      <c r="E1838" t="s">
        <v>13</v>
      </c>
      <c r="F1838">
        <v>3</v>
      </c>
      <c r="G1838" t="str">
        <f>VLOOKUP(D1838,Товары!A:I,3,0)</f>
        <v>Зеркальный шкаф Сохо 60 белый со светильником правый цвет Белый глянец</v>
      </c>
      <c r="H1838">
        <f>VLOOKUP(D1838,Товары!A:I,6,0)</f>
        <v>75</v>
      </c>
      <c r="I1838" t="str">
        <f>VLOOKUP(C1838,Магазины!A:C,3,0)</f>
        <v>Ставрополь</v>
      </c>
      <c r="J1838">
        <f>VLOOKUP(D1838,Товары!A:I,4,0)</f>
        <v>7395</v>
      </c>
      <c r="K1838">
        <f t="shared" si="28"/>
        <v>22185</v>
      </c>
    </row>
    <row r="1839" spans="1:11" hidden="1" x14ac:dyDescent="0.25">
      <c r="A1839">
        <v>1838</v>
      </c>
      <c r="B1839" s="1">
        <v>45753</v>
      </c>
      <c r="C1839" t="s">
        <v>30</v>
      </c>
      <c r="D1839" t="s">
        <v>77</v>
      </c>
      <c r="E1839" t="s">
        <v>8</v>
      </c>
      <c r="F1839">
        <v>2</v>
      </c>
      <c r="G1839" t="str">
        <f>VLOOKUP(D1839,Товары!A:I,3,0)</f>
        <v>Тумба с раковиной  напол. Куба Риф 600 белый 2 ящика с умыв. Como</v>
      </c>
      <c r="H1839">
        <f>VLOOKUP(D1839,Товары!A:I,6,0)</f>
        <v>85</v>
      </c>
      <c r="I1839" t="str">
        <f>VLOOKUP(C1839,Магазины!A:C,3,0)</f>
        <v>Кемерово</v>
      </c>
      <c r="J1839">
        <f>VLOOKUP(D1839,Товары!A:I,4,0)</f>
        <v>15660</v>
      </c>
      <c r="K1839">
        <f t="shared" si="28"/>
        <v>31320</v>
      </c>
    </row>
    <row r="1840" spans="1:11" hidden="1" x14ac:dyDescent="0.25">
      <c r="A1840">
        <v>1839</v>
      </c>
      <c r="B1840" s="1">
        <v>45749</v>
      </c>
      <c r="C1840" t="s">
        <v>9</v>
      </c>
      <c r="D1840" t="s">
        <v>125</v>
      </c>
      <c r="E1840" t="s">
        <v>8</v>
      </c>
      <c r="F1840">
        <v>1</v>
      </c>
      <c r="G1840" t="str">
        <f>VLOOKUP(D1840,Товары!A:I,3,0)</f>
        <v>Зеркальный шкаф Сохо 60 белый со светильником правый цвет Белый глянец</v>
      </c>
      <c r="H1840">
        <f>VLOOKUP(D1840,Товары!A:I,6,0)</f>
        <v>75</v>
      </c>
      <c r="I1840" t="str">
        <f>VLOOKUP(C1840,Магазины!A:C,3,0)</f>
        <v>Кемерово</v>
      </c>
      <c r="J1840">
        <f>VLOOKUP(D1840,Товары!A:I,4,0)</f>
        <v>7395</v>
      </c>
      <c r="K1840">
        <f t="shared" si="28"/>
        <v>7395</v>
      </c>
    </row>
    <row r="1841" spans="1:11" hidden="1" x14ac:dyDescent="0.25">
      <c r="A1841">
        <v>1840</v>
      </c>
      <c r="B1841" s="1">
        <v>45757</v>
      </c>
      <c r="C1841" t="s">
        <v>11</v>
      </c>
      <c r="D1841" t="s">
        <v>25</v>
      </c>
      <c r="E1841" t="s">
        <v>8</v>
      </c>
      <c r="F1841">
        <v>1</v>
      </c>
      <c r="G1841" t="str">
        <f>VLOOKUP(D1841,Товары!A:I,3,0)</f>
        <v>Пенал напол. Леон 400 оникс 2 двери + 1 ящик</v>
      </c>
      <c r="H1841">
        <f>VLOOKUP(D1841,Товары!A:I,6,0)</f>
        <v>190</v>
      </c>
      <c r="I1841" t="str">
        <f>VLOOKUP(C1841,Магазины!A:C,3,0)</f>
        <v>Кемерово</v>
      </c>
      <c r="J1841">
        <f>VLOOKUP(D1841,Товары!A:I,4,0)</f>
        <v>18450</v>
      </c>
      <c r="K1841">
        <f t="shared" si="28"/>
        <v>18450</v>
      </c>
    </row>
    <row r="1842" spans="1:11" hidden="1" x14ac:dyDescent="0.25">
      <c r="A1842">
        <v>1841</v>
      </c>
      <c r="B1842" s="1">
        <v>45757</v>
      </c>
      <c r="C1842" t="s">
        <v>14</v>
      </c>
      <c r="D1842" t="s">
        <v>110</v>
      </c>
      <c r="E1842" t="s">
        <v>8</v>
      </c>
      <c r="F1842">
        <v>2</v>
      </c>
      <c r="G1842" t="str">
        <f>VLOOKUP(D1842,Товары!A:I,3,0)</f>
        <v>Тумба с раковиной  напол. Альба 600 антрацит 2 ящика с умыв. Океан</v>
      </c>
      <c r="H1842">
        <f>VLOOKUP(D1842,Товары!A:I,6,0)</f>
        <v>80</v>
      </c>
      <c r="I1842" t="str">
        <f>VLOOKUP(C1842,Магазины!A:C,3,0)</f>
        <v>Оренбург</v>
      </c>
      <c r="J1842">
        <f>VLOOKUP(D1842,Товары!A:I,4,0)</f>
        <v>26370</v>
      </c>
      <c r="K1842">
        <f t="shared" si="28"/>
        <v>52740</v>
      </c>
    </row>
    <row r="1843" spans="1:11" hidden="1" x14ac:dyDescent="0.25">
      <c r="A1843">
        <v>1842</v>
      </c>
      <c r="B1843" s="1">
        <v>45753</v>
      </c>
      <c r="C1843" t="s">
        <v>103</v>
      </c>
      <c r="D1843" t="s">
        <v>120</v>
      </c>
      <c r="E1843" t="s">
        <v>8</v>
      </c>
      <c r="F1843">
        <v>1</v>
      </c>
      <c r="G1843" t="str">
        <f>VLOOKUP(D1843,Товары!A:I,3,0)</f>
        <v>Зеркальный шкаф Альба 60 со светильником правый цвет антрацит</v>
      </c>
      <c r="H1843">
        <f>VLOOKUP(D1843,Товары!A:I,6,0)</f>
        <v>75</v>
      </c>
      <c r="I1843" t="str">
        <f>VLOOKUP(C1843,Магазины!A:C,3,0)</f>
        <v>Ставрополь</v>
      </c>
      <c r="J1843">
        <f>VLOOKUP(D1843,Товары!A:I,4,0)</f>
        <v>8910</v>
      </c>
      <c r="K1843">
        <f t="shared" si="28"/>
        <v>8910</v>
      </c>
    </row>
    <row r="1844" spans="1:11" hidden="1" x14ac:dyDescent="0.25">
      <c r="A1844">
        <v>1843</v>
      </c>
      <c r="B1844" s="1">
        <v>45748</v>
      </c>
      <c r="C1844" t="s">
        <v>28</v>
      </c>
      <c r="D1844" t="s">
        <v>52</v>
      </c>
      <c r="E1844" t="s">
        <v>13</v>
      </c>
      <c r="F1844">
        <v>3</v>
      </c>
      <c r="G1844" t="str">
        <f>VLOOKUP(D1844,Товары!A:I,3,0)</f>
        <v>Тумба с раковиной  напол. Кристалл 600 суфле 2 ящика с умыв. Океан</v>
      </c>
      <c r="H1844">
        <f>VLOOKUP(D1844,Товары!A:I,6,0)</f>
        <v>80</v>
      </c>
      <c r="I1844" t="str">
        <f>VLOOKUP(C1844,Магазины!A:C,3,0)</f>
        <v>Набережные Челны</v>
      </c>
      <c r="J1844">
        <f>VLOOKUP(D1844,Товары!A:I,4,0)</f>
        <v>27600</v>
      </c>
      <c r="K1844">
        <f t="shared" si="28"/>
        <v>82800</v>
      </c>
    </row>
    <row r="1845" spans="1:11" hidden="1" x14ac:dyDescent="0.25">
      <c r="A1845">
        <v>1844</v>
      </c>
      <c r="B1845" s="1">
        <v>45748</v>
      </c>
      <c r="C1845" t="s">
        <v>18</v>
      </c>
      <c r="D1845" t="s">
        <v>100</v>
      </c>
      <c r="E1845" t="s">
        <v>13</v>
      </c>
      <c r="F1845">
        <v>2</v>
      </c>
      <c r="G1845" t="str">
        <f>VLOOKUP(D1845,Товары!A:I,3,0)</f>
        <v>Тумба с раковиной  навес. Альба 800 мята 1 ящик с умыв. Слим</v>
      </c>
      <c r="H1845">
        <f>VLOOKUP(D1845,Товары!A:I,6,0)</f>
        <v>45</v>
      </c>
      <c r="I1845" t="str">
        <f>VLOOKUP(C1845,Магазины!A:C,3,0)</f>
        <v>Набережные Челны</v>
      </c>
      <c r="J1845">
        <f>VLOOKUP(D1845,Товары!A:I,4,0)</f>
        <v>21630</v>
      </c>
      <c r="K1845">
        <f t="shared" si="28"/>
        <v>43260</v>
      </c>
    </row>
    <row r="1846" spans="1:11" hidden="1" x14ac:dyDescent="0.25">
      <c r="A1846">
        <v>1845</v>
      </c>
      <c r="B1846" s="1">
        <v>45750</v>
      </c>
      <c r="C1846" t="s">
        <v>16</v>
      </c>
      <c r="D1846" t="s">
        <v>114</v>
      </c>
      <c r="E1846" t="s">
        <v>8</v>
      </c>
      <c r="F1846">
        <v>3</v>
      </c>
      <c r="G1846" t="str">
        <f>VLOOKUP(D1846,Товары!A:I,3,0)</f>
        <v>Тумба с раковиной  навес. Альба 700 мята 2 ящика с умыв. Слим</v>
      </c>
      <c r="H1846">
        <f>VLOOKUP(D1846,Товары!A:I,6,0)</f>
        <v>60</v>
      </c>
      <c r="I1846" t="str">
        <f>VLOOKUP(C1846,Магазины!A:C,3,0)</f>
        <v>Оренбург</v>
      </c>
      <c r="J1846">
        <f>VLOOKUP(D1846,Товары!A:I,4,0)</f>
        <v>25095</v>
      </c>
      <c r="K1846">
        <f t="shared" si="28"/>
        <v>75285</v>
      </c>
    </row>
    <row r="1847" spans="1:11" hidden="1" x14ac:dyDescent="0.25">
      <c r="A1847">
        <v>1846</v>
      </c>
      <c r="B1847" s="1">
        <v>45748</v>
      </c>
      <c r="C1847" t="s">
        <v>26</v>
      </c>
      <c r="D1847" t="s">
        <v>21</v>
      </c>
      <c r="E1847" t="s">
        <v>13</v>
      </c>
      <c r="F1847">
        <v>3</v>
      </c>
      <c r="G1847" t="str">
        <f>VLOOKUP(D1847,Товары!A:I,3,0)</f>
        <v>Зеркальный шкаф Рица 60 со светильником правый цвет cерый/керамика</v>
      </c>
      <c r="H1847">
        <f>VLOOKUP(D1847,Товары!A:I,6,0)</f>
        <v>75</v>
      </c>
      <c r="I1847" t="str">
        <f>VLOOKUP(C1847,Магазины!A:C,3,0)</f>
        <v>Оренбург</v>
      </c>
      <c r="J1847">
        <f>VLOOKUP(D1847,Товары!A:I,4,0)</f>
        <v>8910</v>
      </c>
      <c r="K1847">
        <f t="shared" si="28"/>
        <v>26730</v>
      </c>
    </row>
    <row r="1848" spans="1:11" hidden="1" x14ac:dyDescent="0.25">
      <c r="A1848">
        <v>1847</v>
      </c>
      <c r="B1848" s="1">
        <v>45751</v>
      </c>
      <c r="C1848" t="s">
        <v>6</v>
      </c>
      <c r="D1848" t="s">
        <v>96</v>
      </c>
      <c r="E1848" t="s">
        <v>8</v>
      </c>
      <c r="F1848">
        <v>3</v>
      </c>
      <c r="G1848" t="str">
        <f>VLOOKUP(D1848,Товары!A:I,3,0)</f>
        <v>Тумба с раковиной  навес. Альба 600 мята 1 ящик с умыв. Океан</v>
      </c>
      <c r="H1848">
        <f>VLOOKUP(D1848,Товары!A:I,6,0)</f>
        <v>85</v>
      </c>
      <c r="I1848" t="str">
        <f>VLOOKUP(C1848,Магазины!A:C,3,0)</f>
        <v>Оренбург</v>
      </c>
      <c r="J1848">
        <f>VLOOKUP(D1848,Товары!A:I,4,0)</f>
        <v>17625</v>
      </c>
      <c r="K1848">
        <f t="shared" si="28"/>
        <v>52875</v>
      </c>
    </row>
    <row r="1849" spans="1:11" hidden="1" x14ac:dyDescent="0.25">
      <c r="A1849">
        <v>1848</v>
      </c>
      <c r="B1849" s="1">
        <v>45751</v>
      </c>
      <c r="C1849" t="s">
        <v>63</v>
      </c>
      <c r="D1849" t="s">
        <v>52</v>
      </c>
      <c r="E1849" t="s">
        <v>13</v>
      </c>
      <c r="F1849">
        <v>3</v>
      </c>
      <c r="G1849" t="str">
        <f>VLOOKUP(D1849,Товары!A:I,3,0)</f>
        <v>Тумба с раковиной  напол. Кристалл 600 суфле 2 ящика с умыв. Океан</v>
      </c>
      <c r="H1849">
        <f>VLOOKUP(D1849,Товары!A:I,6,0)</f>
        <v>80</v>
      </c>
      <c r="I1849" t="str">
        <f>VLOOKUP(C1849,Магазины!A:C,3,0)</f>
        <v>Ставрополь</v>
      </c>
      <c r="J1849">
        <f>VLOOKUP(D1849,Товары!A:I,4,0)</f>
        <v>27600</v>
      </c>
      <c r="K1849">
        <f t="shared" si="28"/>
        <v>82800</v>
      </c>
    </row>
    <row r="1850" spans="1:11" hidden="1" x14ac:dyDescent="0.25">
      <c r="A1850">
        <v>1849</v>
      </c>
      <c r="B1850" s="1">
        <v>45756</v>
      </c>
      <c r="C1850" t="s">
        <v>6</v>
      </c>
      <c r="D1850" t="s">
        <v>97</v>
      </c>
      <c r="E1850" t="s">
        <v>13</v>
      </c>
      <c r="F1850">
        <v>1</v>
      </c>
      <c r="G1850" t="str">
        <f>VLOOKUP(D1850,Товары!A:I,3,0)</f>
        <v>Пенал напол. Кристалл 350 суфле 2 двери</v>
      </c>
      <c r="H1850">
        <f>VLOOKUP(D1850,Товары!A:I,6,0)</f>
        <v>190</v>
      </c>
      <c r="I1850" t="str">
        <f>VLOOKUP(C1850,Магазины!A:C,3,0)</f>
        <v>Оренбург</v>
      </c>
      <c r="J1850">
        <f>VLOOKUP(D1850,Товары!A:I,4,0)</f>
        <v>15810</v>
      </c>
      <c r="K1850">
        <f t="shared" si="28"/>
        <v>15810</v>
      </c>
    </row>
    <row r="1851" spans="1:11" hidden="1" x14ac:dyDescent="0.25">
      <c r="A1851">
        <v>1850</v>
      </c>
      <c r="B1851" s="1">
        <v>45749</v>
      </c>
      <c r="C1851" t="s">
        <v>63</v>
      </c>
      <c r="D1851" t="s">
        <v>115</v>
      </c>
      <c r="E1851" t="s">
        <v>8</v>
      </c>
      <c r="F1851">
        <v>3</v>
      </c>
      <c r="G1851" t="str">
        <f>VLOOKUP(D1851,Товары!A:I,3,0)</f>
        <v>Тумба под стиральную машину Куба Риф 57 напольная 2 ящика под ст/маш, без умывальника /под Marshall 120 Белый</v>
      </c>
      <c r="H1851">
        <f>VLOOKUP(D1851,Товары!A:I,6,0)</f>
        <v>85</v>
      </c>
      <c r="I1851" t="str">
        <f>VLOOKUP(C1851,Магазины!A:C,3,0)</f>
        <v>Ставрополь</v>
      </c>
      <c r="J1851">
        <f>VLOOKUP(D1851,Товары!A:I,4,0)</f>
        <v>10530</v>
      </c>
      <c r="K1851">
        <f t="shared" si="28"/>
        <v>31590</v>
      </c>
    </row>
    <row r="1852" spans="1:11" hidden="1" x14ac:dyDescent="0.25">
      <c r="A1852">
        <v>1851</v>
      </c>
      <c r="B1852" s="1">
        <v>45751</v>
      </c>
      <c r="C1852" t="s">
        <v>28</v>
      </c>
      <c r="D1852" t="s">
        <v>102</v>
      </c>
      <c r="E1852" t="s">
        <v>8</v>
      </c>
      <c r="F1852">
        <v>2</v>
      </c>
      <c r="G1852" t="str">
        <f>VLOOKUP(D1852,Товары!A:I,3,0)</f>
        <v>Тумба с раковиной  напол. Леон Риф 1000 солярис/белый риф 2 ящика с умыв. Слим</v>
      </c>
      <c r="H1852">
        <f>VLOOKUP(D1852,Товары!A:I,6,0)</f>
        <v>85</v>
      </c>
      <c r="I1852" t="str">
        <f>VLOOKUP(C1852,Магазины!A:C,3,0)</f>
        <v>Набережные Челны</v>
      </c>
      <c r="J1852">
        <f>VLOOKUP(D1852,Товары!A:I,4,0)</f>
        <v>32085</v>
      </c>
      <c r="K1852">
        <f t="shared" si="28"/>
        <v>64170</v>
      </c>
    </row>
    <row r="1853" spans="1:11" hidden="1" x14ac:dyDescent="0.25">
      <c r="A1853">
        <v>1852</v>
      </c>
      <c r="B1853" s="1">
        <v>45752</v>
      </c>
      <c r="C1853" t="s">
        <v>48</v>
      </c>
      <c r="D1853" t="s">
        <v>82</v>
      </c>
      <c r="E1853" t="s">
        <v>13</v>
      </c>
      <c r="F1853">
        <v>2</v>
      </c>
      <c r="G1853" t="str">
        <f>VLOOKUP(D1853,Товары!A:I,3,0)</f>
        <v>Тумба с раковиной  навес. Леон 800 форест 2 ящика с умыв. Слим</v>
      </c>
      <c r="H1853">
        <f>VLOOKUP(D1853,Товары!A:I,6,0)</f>
        <v>60</v>
      </c>
      <c r="I1853" t="str">
        <f>VLOOKUP(C1853,Магазины!A:C,3,0)</f>
        <v>Ставрополь</v>
      </c>
      <c r="J1853">
        <f>VLOOKUP(D1853,Товары!A:I,4,0)</f>
        <v>27930</v>
      </c>
      <c r="K1853">
        <f t="shared" si="28"/>
        <v>55860</v>
      </c>
    </row>
    <row r="1854" spans="1:11" hidden="1" x14ac:dyDescent="0.25">
      <c r="A1854">
        <v>1853</v>
      </c>
      <c r="B1854" s="1">
        <v>45751</v>
      </c>
      <c r="C1854" t="s">
        <v>6</v>
      </c>
      <c r="D1854" t="s">
        <v>15</v>
      </c>
      <c r="E1854" t="s">
        <v>13</v>
      </c>
      <c r="F1854">
        <v>1</v>
      </c>
      <c r="G1854" t="str">
        <f>VLOOKUP(D1854,Товары!A:I,3,0)</f>
        <v>Зеркальный шкаф Кристалл 60 со светильником правый, ручка кнопка дуб цвет Шато Азур</v>
      </c>
      <c r="H1854">
        <f>VLOOKUP(D1854,Товары!A:I,6,0)</f>
        <v>75</v>
      </c>
      <c r="I1854" t="str">
        <f>VLOOKUP(C1854,Магазины!A:C,3,0)</f>
        <v>Оренбург</v>
      </c>
      <c r="J1854">
        <f>VLOOKUP(D1854,Товары!A:I,4,0)</f>
        <v>9195</v>
      </c>
      <c r="K1854">
        <f t="shared" si="28"/>
        <v>9195</v>
      </c>
    </row>
    <row r="1855" spans="1:11" hidden="1" x14ac:dyDescent="0.25">
      <c r="A1855">
        <v>1854</v>
      </c>
      <c r="B1855" s="1">
        <v>45754</v>
      </c>
      <c r="C1855" t="s">
        <v>18</v>
      </c>
      <c r="D1855" t="s">
        <v>49</v>
      </c>
      <c r="E1855" t="s">
        <v>8</v>
      </c>
      <c r="F1855">
        <v>2</v>
      </c>
      <c r="G1855" t="str">
        <f>VLOOKUP(D1855,Товары!A:I,3,0)</f>
        <v>Тумба с раковиной  напол. Леон 700 оникс 2 ящика с умыв. Слим</v>
      </c>
      <c r="H1855">
        <f>VLOOKUP(D1855,Товары!A:I,6,0)</f>
        <v>80</v>
      </c>
      <c r="I1855" t="str">
        <f>VLOOKUP(C1855,Магазины!A:C,3,0)</f>
        <v>Набережные Челны</v>
      </c>
      <c r="J1855">
        <f>VLOOKUP(D1855,Товары!A:I,4,0)</f>
        <v>28380</v>
      </c>
      <c r="K1855">
        <f t="shared" si="28"/>
        <v>56760</v>
      </c>
    </row>
    <row r="1856" spans="1:11" hidden="1" x14ac:dyDescent="0.25">
      <c r="A1856">
        <v>1855</v>
      </c>
      <c r="B1856" s="1">
        <v>45754</v>
      </c>
      <c r="C1856" t="s">
        <v>16</v>
      </c>
      <c r="D1856" t="s">
        <v>55</v>
      </c>
      <c r="E1856" t="s">
        <v>13</v>
      </c>
      <c r="F1856">
        <v>2</v>
      </c>
      <c r="G1856" t="str">
        <f>VLOOKUP(D1856,Товары!A:I,3,0)</f>
        <v>Тумба с раковиной  напол. Рица 600 cерый/керамика 2 ящика с умыв. Океан</v>
      </c>
      <c r="H1856">
        <f>VLOOKUP(D1856,Товары!A:I,6,0)</f>
        <v>80</v>
      </c>
      <c r="I1856" t="str">
        <f>VLOOKUP(C1856,Магазины!A:C,3,0)</f>
        <v>Оренбург</v>
      </c>
      <c r="J1856">
        <f>VLOOKUP(D1856,Товары!A:I,4,0)</f>
        <v>25560</v>
      </c>
      <c r="K1856">
        <f t="shared" si="28"/>
        <v>51120</v>
      </c>
    </row>
    <row r="1857" spans="1:11" hidden="1" x14ac:dyDescent="0.25">
      <c r="A1857">
        <v>1856</v>
      </c>
      <c r="B1857" s="1">
        <v>45750</v>
      </c>
      <c r="C1857" t="s">
        <v>41</v>
      </c>
      <c r="D1857" t="s">
        <v>56</v>
      </c>
      <c r="E1857" t="s">
        <v>13</v>
      </c>
      <c r="F1857">
        <v>1</v>
      </c>
      <c r="G1857" t="str">
        <f>VLOOKUP(D1857,Товары!A:I,3,0)</f>
        <v>Зеркальный шкаф Альба 80 со светильником правый цвет мята</v>
      </c>
      <c r="H1857">
        <f>VLOOKUP(D1857,Товары!A:I,6,0)</f>
        <v>75</v>
      </c>
      <c r="I1857" t="str">
        <f>VLOOKUP(C1857,Магазины!A:C,3,0)</f>
        <v>Ставрополь</v>
      </c>
      <c r="J1857">
        <f>VLOOKUP(D1857,Товары!A:I,4,0)</f>
        <v>9930</v>
      </c>
      <c r="K1857">
        <f t="shared" si="28"/>
        <v>9930</v>
      </c>
    </row>
    <row r="1858" spans="1:11" hidden="1" x14ac:dyDescent="0.25">
      <c r="A1858">
        <v>1857</v>
      </c>
      <c r="B1858" s="1">
        <v>45751</v>
      </c>
      <c r="C1858" t="s">
        <v>103</v>
      </c>
      <c r="D1858" t="s">
        <v>127</v>
      </c>
      <c r="E1858" t="s">
        <v>8</v>
      </c>
      <c r="F1858">
        <v>1</v>
      </c>
      <c r="G1858" t="str">
        <f>VLOOKUP(D1858,Товары!A:I,3,0)</f>
        <v>Тумба с раковиной  навес. Альба 700 мята 1 ящик с умыв. Слим</v>
      </c>
      <c r="H1858">
        <f>VLOOKUP(D1858,Товары!A:I,6,0)</f>
        <v>45</v>
      </c>
      <c r="I1858" t="str">
        <f>VLOOKUP(C1858,Магазины!A:C,3,0)</f>
        <v>Ставрополь</v>
      </c>
      <c r="J1858">
        <f>VLOOKUP(D1858,Товары!A:I,4,0)</f>
        <v>20130</v>
      </c>
      <c r="K1858">
        <f t="shared" si="28"/>
        <v>20130</v>
      </c>
    </row>
    <row r="1859" spans="1:11" hidden="1" x14ac:dyDescent="0.25">
      <c r="A1859">
        <v>1858</v>
      </c>
      <c r="B1859" s="1">
        <v>45749</v>
      </c>
      <c r="C1859" t="s">
        <v>16</v>
      </c>
      <c r="D1859" t="s">
        <v>87</v>
      </c>
      <c r="E1859" t="s">
        <v>13</v>
      </c>
      <c r="F1859">
        <v>2</v>
      </c>
      <c r="G1859" t="str">
        <f>VLOOKUP(D1859,Товары!A:I,3,0)</f>
        <v>Тумба с раковиной  напол. Леон 700 форест 2 ящика с умыв. Слим</v>
      </c>
      <c r="H1859">
        <f>VLOOKUP(D1859,Товары!A:I,6,0)</f>
        <v>80</v>
      </c>
      <c r="I1859" t="str">
        <f>VLOOKUP(C1859,Магазины!A:C,3,0)</f>
        <v>Оренбург</v>
      </c>
      <c r="J1859">
        <f>VLOOKUP(D1859,Товары!A:I,4,0)</f>
        <v>28380</v>
      </c>
      <c r="K1859">
        <f t="shared" ref="K1859:K1922" si="29">J1859*F1859</f>
        <v>56760</v>
      </c>
    </row>
    <row r="1860" spans="1:11" hidden="1" x14ac:dyDescent="0.25">
      <c r="A1860">
        <v>1859</v>
      </c>
      <c r="B1860" s="1">
        <v>45750</v>
      </c>
      <c r="C1860" t="s">
        <v>35</v>
      </c>
      <c r="D1860" t="s">
        <v>56</v>
      </c>
      <c r="E1860" t="s">
        <v>8</v>
      </c>
      <c r="F1860">
        <v>2</v>
      </c>
      <c r="G1860" t="str">
        <f>VLOOKUP(D1860,Товары!A:I,3,0)</f>
        <v>Зеркальный шкаф Альба 80 со светильником правый цвет мята</v>
      </c>
      <c r="H1860">
        <f>VLOOKUP(D1860,Товары!A:I,6,0)</f>
        <v>75</v>
      </c>
      <c r="I1860" t="str">
        <f>VLOOKUP(C1860,Магазины!A:C,3,0)</f>
        <v>Набережные Челны</v>
      </c>
      <c r="J1860">
        <f>VLOOKUP(D1860,Товары!A:I,4,0)</f>
        <v>9930</v>
      </c>
      <c r="K1860">
        <f t="shared" si="29"/>
        <v>19860</v>
      </c>
    </row>
    <row r="1861" spans="1:11" hidden="1" x14ac:dyDescent="0.25">
      <c r="A1861">
        <v>1860</v>
      </c>
      <c r="B1861" s="1">
        <v>45748</v>
      </c>
      <c r="C1861" t="s">
        <v>33</v>
      </c>
      <c r="D1861" t="s">
        <v>24</v>
      </c>
      <c r="E1861" t="s">
        <v>13</v>
      </c>
      <c r="F1861">
        <v>2</v>
      </c>
      <c r="G1861" t="str">
        <f>VLOOKUP(D1861,Товары!A:I,3,0)</f>
        <v>Тумба с раковиной  напол. Леон 600 форест 2 ящика с умыв. Слим</v>
      </c>
      <c r="H1861">
        <f>VLOOKUP(D1861,Товары!A:I,6,0)</f>
        <v>80</v>
      </c>
      <c r="I1861" t="str">
        <f>VLOOKUP(C1861,Магазины!A:C,3,0)</f>
        <v>Набережные Челны</v>
      </c>
      <c r="J1861">
        <f>VLOOKUP(D1861,Товары!A:I,4,0)</f>
        <v>27150</v>
      </c>
      <c r="K1861">
        <f t="shared" si="29"/>
        <v>54300</v>
      </c>
    </row>
    <row r="1862" spans="1:11" hidden="1" x14ac:dyDescent="0.25">
      <c r="A1862">
        <v>1861</v>
      </c>
      <c r="B1862" s="1">
        <v>45752</v>
      </c>
      <c r="C1862" t="s">
        <v>26</v>
      </c>
      <c r="D1862" t="s">
        <v>129</v>
      </c>
      <c r="E1862" t="s">
        <v>8</v>
      </c>
      <c r="F1862">
        <v>2</v>
      </c>
      <c r="G1862" t="str">
        <f>VLOOKUP(D1862,Товары!A:I,3,0)</f>
        <v>Тумба с раковиной  напол. Альба 700 антрацит 2 ящика с умыв. Слим</v>
      </c>
      <c r="H1862">
        <f>VLOOKUP(D1862,Товары!A:I,6,0)</f>
        <v>85</v>
      </c>
      <c r="I1862" t="str">
        <f>VLOOKUP(C1862,Магазины!A:C,3,0)</f>
        <v>Оренбург</v>
      </c>
      <c r="J1862">
        <f>VLOOKUP(D1862,Товары!A:I,4,0)</f>
        <v>28695</v>
      </c>
      <c r="K1862">
        <f t="shared" si="29"/>
        <v>57390</v>
      </c>
    </row>
    <row r="1863" spans="1:11" hidden="1" x14ac:dyDescent="0.25">
      <c r="A1863">
        <v>1862</v>
      </c>
      <c r="B1863" s="1">
        <v>45749</v>
      </c>
      <c r="C1863" t="s">
        <v>30</v>
      </c>
      <c r="D1863" t="s">
        <v>44</v>
      </c>
      <c r="E1863" t="s">
        <v>13</v>
      </c>
      <c r="F1863">
        <v>3</v>
      </c>
      <c r="G1863" t="str">
        <f>VLOOKUP(D1863,Товары!A:I,3,0)</f>
        <v>Тумба с раковиной  навес. Кристалл 800 шато азур 2 ящика с умыв. Комфорт</v>
      </c>
      <c r="H1863">
        <f>VLOOKUP(D1863,Товары!A:I,6,0)</f>
        <v>55</v>
      </c>
      <c r="I1863" t="str">
        <f>VLOOKUP(C1863,Магазины!A:C,3,0)</f>
        <v>Кемерово</v>
      </c>
      <c r="J1863">
        <f>VLOOKUP(D1863,Товары!A:I,4,0)</f>
        <v>25080</v>
      </c>
      <c r="K1863">
        <f t="shared" si="29"/>
        <v>75240</v>
      </c>
    </row>
    <row r="1864" spans="1:11" hidden="1" x14ac:dyDescent="0.25">
      <c r="A1864">
        <v>1863</v>
      </c>
      <c r="B1864" s="1">
        <v>45750</v>
      </c>
      <c r="C1864" t="s">
        <v>26</v>
      </c>
      <c r="D1864" t="s">
        <v>39</v>
      </c>
      <c r="E1864" t="s">
        <v>8</v>
      </c>
      <c r="F1864">
        <v>2</v>
      </c>
      <c r="G1864" t="str">
        <f>VLOOKUP(D1864,Товары!A:I,3,0)</f>
        <v>Тумба с раковиной  напол. Альба 700 мята 2 ящика с умыв. Слим</v>
      </c>
      <c r="H1864">
        <f>VLOOKUP(D1864,Товары!A:I,6,0)</f>
        <v>85</v>
      </c>
      <c r="I1864" t="str">
        <f>VLOOKUP(C1864,Магазины!A:C,3,0)</f>
        <v>Оренбург</v>
      </c>
      <c r="J1864">
        <f>VLOOKUP(D1864,Товары!A:I,4,0)</f>
        <v>28695</v>
      </c>
      <c r="K1864">
        <f t="shared" si="29"/>
        <v>57390</v>
      </c>
    </row>
    <row r="1865" spans="1:11" hidden="1" x14ac:dyDescent="0.25">
      <c r="A1865">
        <v>1864</v>
      </c>
      <c r="B1865" s="1">
        <v>45749</v>
      </c>
      <c r="C1865" t="s">
        <v>58</v>
      </c>
      <c r="D1865" t="s">
        <v>96</v>
      </c>
      <c r="E1865" t="s">
        <v>8</v>
      </c>
      <c r="F1865">
        <v>2</v>
      </c>
      <c r="G1865" t="str">
        <f>VLOOKUP(D1865,Товары!A:I,3,0)</f>
        <v>Тумба с раковиной  навес. Альба 600 мята 1 ящик с умыв. Океан</v>
      </c>
      <c r="H1865">
        <f>VLOOKUP(D1865,Товары!A:I,6,0)</f>
        <v>85</v>
      </c>
      <c r="I1865" t="str">
        <f>VLOOKUP(C1865,Магазины!A:C,3,0)</f>
        <v>Ставрополь</v>
      </c>
      <c r="J1865">
        <f>VLOOKUP(D1865,Товары!A:I,4,0)</f>
        <v>17625</v>
      </c>
      <c r="K1865">
        <f t="shared" si="29"/>
        <v>35250</v>
      </c>
    </row>
    <row r="1866" spans="1:11" hidden="1" x14ac:dyDescent="0.25">
      <c r="A1866">
        <v>1865</v>
      </c>
      <c r="B1866" s="1">
        <v>45749</v>
      </c>
      <c r="C1866" t="s">
        <v>33</v>
      </c>
      <c r="D1866" t="s">
        <v>113</v>
      </c>
      <c r="E1866" t="s">
        <v>8</v>
      </c>
      <c r="F1866">
        <v>3</v>
      </c>
      <c r="G1866" t="str">
        <f>VLOOKUP(D1866,Товары!A:I,3,0)</f>
        <v>Зеркальный шкаф Альба 60 со светильником правый цвет мята</v>
      </c>
      <c r="H1866">
        <f>VLOOKUP(D1866,Товары!A:I,6,0)</f>
        <v>75</v>
      </c>
      <c r="I1866" t="str">
        <f>VLOOKUP(C1866,Магазины!A:C,3,0)</f>
        <v>Набережные Челны</v>
      </c>
      <c r="J1866">
        <f>VLOOKUP(D1866,Товары!A:I,4,0)</f>
        <v>8910</v>
      </c>
      <c r="K1866">
        <f t="shared" si="29"/>
        <v>26730</v>
      </c>
    </row>
    <row r="1867" spans="1:11" hidden="1" x14ac:dyDescent="0.25">
      <c r="A1867">
        <v>1866</v>
      </c>
      <c r="B1867" s="1">
        <v>45756</v>
      </c>
      <c r="C1867" t="s">
        <v>33</v>
      </c>
      <c r="D1867" t="s">
        <v>88</v>
      </c>
      <c r="E1867" t="s">
        <v>8</v>
      </c>
      <c r="F1867">
        <v>2</v>
      </c>
      <c r="G1867" t="str">
        <f>VLOOKUP(D1867,Товары!A:I,3,0)</f>
        <v>Тумба с раковиной  навес. Альба 800 антрацит 2 ящика с умыв. Слим</v>
      </c>
      <c r="H1867">
        <f>VLOOKUP(D1867,Товары!A:I,6,0)</f>
        <v>50</v>
      </c>
      <c r="I1867" t="str">
        <f>VLOOKUP(C1867,Магазины!A:C,3,0)</f>
        <v>Набережные Челны</v>
      </c>
      <c r="J1867">
        <f>VLOOKUP(D1867,Товары!A:I,4,0)</f>
        <v>26070</v>
      </c>
      <c r="K1867">
        <f t="shared" si="29"/>
        <v>52140</v>
      </c>
    </row>
    <row r="1868" spans="1:11" hidden="1" x14ac:dyDescent="0.25">
      <c r="A1868">
        <v>1867</v>
      </c>
      <c r="B1868" s="1">
        <v>45756</v>
      </c>
      <c r="C1868" t="s">
        <v>33</v>
      </c>
      <c r="D1868" t="s">
        <v>96</v>
      </c>
      <c r="E1868" t="s">
        <v>13</v>
      </c>
      <c r="F1868">
        <v>2</v>
      </c>
      <c r="G1868" t="str">
        <f>VLOOKUP(D1868,Товары!A:I,3,0)</f>
        <v>Тумба с раковиной  навес. Альба 600 мята 1 ящик с умыв. Океан</v>
      </c>
      <c r="H1868">
        <f>VLOOKUP(D1868,Товары!A:I,6,0)</f>
        <v>85</v>
      </c>
      <c r="I1868" t="str">
        <f>VLOOKUP(C1868,Магазины!A:C,3,0)</f>
        <v>Набережные Челны</v>
      </c>
      <c r="J1868">
        <f>VLOOKUP(D1868,Товары!A:I,4,0)</f>
        <v>17625</v>
      </c>
      <c r="K1868">
        <f t="shared" si="29"/>
        <v>35250</v>
      </c>
    </row>
    <row r="1869" spans="1:11" hidden="1" x14ac:dyDescent="0.25">
      <c r="A1869">
        <v>1868</v>
      </c>
      <c r="B1869" s="1">
        <v>45754</v>
      </c>
      <c r="C1869" t="s">
        <v>58</v>
      </c>
      <c r="D1869" t="s">
        <v>70</v>
      </c>
      <c r="E1869" t="s">
        <v>13</v>
      </c>
      <c r="F1869">
        <v>1</v>
      </c>
      <c r="G1869" t="str">
        <f>VLOOKUP(D1869,Товары!A:I,3,0)</f>
        <v>Тумба с раковиной  напол. Кристалл 700 шато азур 2 ящика с умыв. Слим</v>
      </c>
      <c r="H1869">
        <f>VLOOKUP(D1869,Товары!A:I,6,0)</f>
        <v>85</v>
      </c>
      <c r="I1869" t="str">
        <f>VLOOKUP(C1869,Магазины!A:C,3,0)</f>
        <v>Ставрополь</v>
      </c>
      <c r="J1869">
        <f>VLOOKUP(D1869,Товары!A:I,4,0)</f>
        <v>29910</v>
      </c>
      <c r="K1869">
        <f t="shared" si="29"/>
        <v>29910</v>
      </c>
    </row>
    <row r="1870" spans="1:11" hidden="1" x14ac:dyDescent="0.25">
      <c r="A1870">
        <v>1869</v>
      </c>
      <c r="B1870" s="1">
        <v>45755</v>
      </c>
      <c r="C1870" t="s">
        <v>92</v>
      </c>
      <c r="D1870" t="s">
        <v>98</v>
      </c>
      <c r="E1870" t="s">
        <v>8</v>
      </c>
      <c r="F1870">
        <v>2</v>
      </c>
      <c r="G1870" t="str">
        <f>VLOOKUP(D1870,Товары!A:I,3,0)</f>
        <v>Тумба с раковиной  напол. Рица 800 cерый/керамика 2 ящика с умыв. Слим</v>
      </c>
      <c r="H1870">
        <f>VLOOKUP(D1870,Товары!A:I,6,0)</f>
        <v>80</v>
      </c>
      <c r="I1870" t="str">
        <f>VLOOKUP(C1870,Магазины!A:C,3,0)</f>
        <v>Кемерово</v>
      </c>
      <c r="J1870">
        <f>VLOOKUP(D1870,Товары!A:I,4,0)</f>
        <v>28980</v>
      </c>
      <c r="K1870">
        <f t="shared" si="29"/>
        <v>57960</v>
      </c>
    </row>
    <row r="1871" spans="1:11" hidden="1" x14ac:dyDescent="0.25">
      <c r="A1871">
        <v>1870</v>
      </c>
      <c r="B1871" s="1">
        <v>45752</v>
      </c>
      <c r="C1871" t="s">
        <v>63</v>
      </c>
      <c r="D1871" t="s">
        <v>19</v>
      </c>
      <c r="E1871" t="s">
        <v>13</v>
      </c>
      <c r="F1871">
        <v>2</v>
      </c>
      <c r="G1871" t="str">
        <f>VLOOKUP(D1871,Товары!A:I,3,0)</f>
        <v>Тумба с раковиной  навес. Леон 800 оникс 2 ящика с умыв. Слим</v>
      </c>
      <c r="H1871">
        <f>VLOOKUP(D1871,Товары!A:I,6,0)</f>
        <v>60</v>
      </c>
      <c r="I1871" t="str">
        <f>VLOOKUP(C1871,Магазины!A:C,3,0)</f>
        <v>Ставрополь</v>
      </c>
      <c r="J1871">
        <f>VLOOKUP(D1871,Товары!A:I,4,0)</f>
        <v>27930</v>
      </c>
      <c r="K1871">
        <f t="shared" si="29"/>
        <v>55860</v>
      </c>
    </row>
    <row r="1872" spans="1:11" hidden="1" x14ac:dyDescent="0.25">
      <c r="A1872">
        <v>1871</v>
      </c>
      <c r="B1872" s="1">
        <v>45757</v>
      </c>
      <c r="C1872" t="s">
        <v>11</v>
      </c>
      <c r="D1872" t="s">
        <v>121</v>
      </c>
      <c r="E1872" t="s">
        <v>8</v>
      </c>
      <c r="F1872">
        <v>3</v>
      </c>
      <c r="G1872" t="str">
        <f>VLOOKUP(D1872,Товары!A:I,3,0)</f>
        <v>Тумба с раковиной  напол. Куба Риф 600 белый 2 двери с умыв. Como</v>
      </c>
      <c r="H1872">
        <f>VLOOKUP(D1872,Товары!A:I,6,0)</f>
        <v>85</v>
      </c>
      <c r="I1872" t="str">
        <f>VLOOKUP(C1872,Магазины!A:C,3,0)</f>
        <v>Кемерово</v>
      </c>
      <c r="J1872">
        <f>VLOOKUP(D1872,Товары!A:I,4,0)</f>
        <v>13695</v>
      </c>
      <c r="K1872">
        <f t="shared" si="29"/>
        <v>41085</v>
      </c>
    </row>
    <row r="1873" spans="1:11" hidden="1" x14ac:dyDescent="0.25">
      <c r="A1873">
        <v>1872</v>
      </c>
      <c r="B1873" s="1">
        <v>45757</v>
      </c>
      <c r="C1873" t="s">
        <v>30</v>
      </c>
      <c r="D1873" t="s">
        <v>93</v>
      </c>
      <c r="E1873" t="s">
        <v>8</v>
      </c>
      <c r="F1873">
        <v>3</v>
      </c>
      <c r="G1873" t="str">
        <f>VLOOKUP(D1873,Товары!A:I,3,0)</f>
        <v>Тумба с раковиной  напол. Леон Риф 800 солярис/белый риф 2 ящика с умыв. Слим</v>
      </c>
      <c r="H1873">
        <f>VLOOKUP(D1873,Товары!A:I,6,0)</f>
        <v>80</v>
      </c>
      <c r="I1873" t="str">
        <f>VLOOKUP(C1873,Магазины!A:C,3,0)</f>
        <v>Кемерово</v>
      </c>
      <c r="J1873">
        <f>VLOOKUP(D1873,Товары!A:I,4,0)</f>
        <v>29340</v>
      </c>
      <c r="K1873">
        <f t="shared" si="29"/>
        <v>88020</v>
      </c>
    </row>
    <row r="1874" spans="1:11" hidden="1" x14ac:dyDescent="0.25">
      <c r="A1874">
        <v>1873</v>
      </c>
      <c r="B1874" s="1">
        <v>45754</v>
      </c>
      <c r="C1874" t="s">
        <v>111</v>
      </c>
      <c r="D1874" t="s">
        <v>108</v>
      </c>
      <c r="E1874" t="s">
        <v>13</v>
      </c>
      <c r="F1874">
        <v>2</v>
      </c>
      <c r="G1874" t="str">
        <f>VLOOKUP(D1874,Товары!A:I,3,0)</f>
        <v>Тумба с раковиной  навес. Виктория 1000 белый 2 ящика с умыв. Слим</v>
      </c>
      <c r="H1874">
        <f>VLOOKUP(D1874,Товары!A:I,6,0)</f>
        <v>60</v>
      </c>
      <c r="I1874" t="str">
        <f>VLOOKUP(C1874,Магазины!A:C,3,0)</f>
        <v>Набережные Челны</v>
      </c>
      <c r="J1874">
        <f>VLOOKUP(D1874,Товары!A:I,4,0)</f>
        <v>29205</v>
      </c>
      <c r="K1874">
        <f t="shared" si="29"/>
        <v>58410</v>
      </c>
    </row>
    <row r="1875" spans="1:11" hidden="1" x14ac:dyDescent="0.25">
      <c r="A1875">
        <v>1874</v>
      </c>
      <c r="B1875" s="1">
        <v>45751</v>
      </c>
      <c r="C1875" t="s">
        <v>11</v>
      </c>
      <c r="D1875" t="s">
        <v>84</v>
      </c>
      <c r="E1875" t="s">
        <v>8</v>
      </c>
      <c r="F1875">
        <v>2</v>
      </c>
      <c r="G1875" t="str">
        <f>VLOOKUP(D1875,Товары!A:I,3,0)</f>
        <v>Тумба с раковиной  напол. Куба Риф 800 белый 3 двери с умыв. Слим</v>
      </c>
      <c r="H1875">
        <f>VLOOKUP(D1875,Товары!A:I,6,0)</f>
        <v>85</v>
      </c>
      <c r="I1875" t="str">
        <f>VLOOKUP(C1875,Магазины!A:C,3,0)</f>
        <v>Кемерово</v>
      </c>
      <c r="J1875">
        <f>VLOOKUP(D1875,Товары!A:I,4,0)</f>
        <v>19920</v>
      </c>
      <c r="K1875">
        <f t="shared" si="29"/>
        <v>39840</v>
      </c>
    </row>
    <row r="1876" spans="1:11" hidden="1" x14ac:dyDescent="0.25">
      <c r="A1876">
        <v>1875</v>
      </c>
      <c r="B1876" s="1">
        <v>45753</v>
      </c>
      <c r="C1876" t="s">
        <v>35</v>
      </c>
      <c r="D1876" t="s">
        <v>93</v>
      </c>
      <c r="E1876" t="s">
        <v>13</v>
      </c>
      <c r="F1876">
        <v>3</v>
      </c>
      <c r="G1876" t="str">
        <f>VLOOKUP(D1876,Товары!A:I,3,0)</f>
        <v>Тумба с раковиной  напол. Леон Риф 800 солярис/белый риф 2 ящика с умыв. Слим</v>
      </c>
      <c r="H1876">
        <f>VLOOKUP(D1876,Товары!A:I,6,0)</f>
        <v>80</v>
      </c>
      <c r="I1876" t="str">
        <f>VLOOKUP(C1876,Магазины!A:C,3,0)</f>
        <v>Набережные Челны</v>
      </c>
      <c r="J1876">
        <f>VLOOKUP(D1876,Товары!A:I,4,0)</f>
        <v>29340</v>
      </c>
      <c r="K1876">
        <f t="shared" si="29"/>
        <v>88020</v>
      </c>
    </row>
    <row r="1877" spans="1:11" hidden="1" x14ac:dyDescent="0.25">
      <c r="A1877">
        <v>1876</v>
      </c>
      <c r="B1877" s="1">
        <v>45750</v>
      </c>
      <c r="C1877" t="s">
        <v>11</v>
      </c>
      <c r="D1877" t="s">
        <v>106</v>
      </c>
      <c r="E1877" t="s">
        <v>8</v>
      </c>
      <c r="F1877">
        <v>3</v>
      </c>
      <c r="G1877" t="str">
        <f>VLOOKUP(D1877,Товары!A:I,3,0)</f>
        <v>Тумба с раковиной  навес. Кристалл 700 шато азур 2 ящика с умыв. Слим</v>
      </c>
      <c r="H1877">
        <f>VLOOKUP(D1877,Товары!A:I,6,0)</f>
        <v>60</v>
      </c>
      <c r="I1877" t="str">
        <f>VLOOKUP(C1877,Магазины!A:C,3,0)</f>
        <v>Кемерово</v>
      </c>
      <c r="J1877">
        <f>VLOOKUP(D1877,Товары!A:I,4,0)</f>
        <v>24150</v>
      </c>
      <c r="K1877">
        <f t="shared" si="29"/>
        <v>72450</v>
      </c>
    </row>
    <row r="1878" spans="1:11" hidden="1" x14ac:dyDescent="0.25">
      <c r="A1878">
        <v>1877</v>
      </c>
      <c r="B1878" s="1">
        <v>45750</v>
      </c>
      <c r="C1878" t="s">
        <v>26</v>
      </c>
      <c r="D1878" t="s">
        <v>36</v>
      </c>
      <c r="E1878" t="s">
        <v>13</v>
      </c>
      <c r="F1878">
        <v>1</v>
      </c>
      <c r="G1878" t="str">
        <f>VLOOKUP(D1878,Товары!A:I,3,0)</f>
        <v>Тумба с раковиной  напол. Альба 800 мята 2 ящика с умыв. Слим</v>
      </c>
      <c r="H1878">
        <f>VLOOKUP(D1878,Товары!A:I,6,0)</f>
        <v>80</v>
      </c>
      <c r="I1878" t="str">
        <f>VLOOKUP(C1878,Магазины!A:C,3,0)</f>
        <v>Оренбург</v>
      </c>
      <c r="J1878">
        <f>VLOOKUP(D1878,Товары!A:I,4,0)</f>
        <v>29340</v>
      </c>
      <c r="K1878">
        <f t="shared" si="29"/>
        <v>29340</v>
      </c>
    </row>
    <row r="1879" spans="1:11" hidden="1" x14ac:dyDescent="0.25">
      <c r="A1879">
        <v>1878</v>
      </c>
      <c r="B1879" s="1">
        <v>45751</v>
      </c>
      <c r="C1879" t="s">
        <v>20</v>
      </c>
      <c r="D1879" t="s">
        <v>80</v>
      </c>
      <c r="E1879" t="s">
        <v>13</v>
      </c>
      <c r="F1879">
        <v>3</v>
      </c>
      <c r="G1879" t="str">
        <f>VLOOKUP(D1879,Товары!A:I,3,0)</f>
        <v>Тумба с раковиной  навес. Сохо 600 белый 2 ящика с умыв. Океан</v>
      </c>
      <c r="H1879">
        <f>VLOOKUP(D1879,Товары!A:I,6,0)</f>
        <v>55</v>
      </c>
      <c r="I1879" t="str">
        <f>VLOOKUP(C1879,Магазины!A:C,3,0)</f>
        <v>Оренбург</v>
      </c>
      <c r="J1879">
        <f>VLOOKUP(D1879,Товары!A:I,4,0)</f>
        <v>13950</v>
      </c>
      <c r="K1879">
        <f t="shared" si="29"/>
        <v>41850</v>
      </c>
    </row>
    <row r="1880" spans="1:11" hidden="1" x14ac:dyDescent="0.25">
      <c r="A1880">
        <v>1879</v>
      </c>
      <c r="B1880" s="1">
        <v>45757</v>
      </c>
      <c r="C1880" t="s">
        <v>35</v>
      </c>
      <c r="D1880" t="s">
        <v>49</v>
      </c>
      <c r="E1880" t="s">
        <v>13</v>
      </c>
      <c r="F1880">
        <v>3</v>
      </c>
      <c r="G1880" t="str">
        <f>VLOOKUP(D1880,Товары!A:I,3,0)</f>
        <v>Тумба с раковиной  напол. Леон 700 оникс 2 ящика с умыв. Слим</v>
      </c>
      <c r="H1880">
        <f>VLOOKUP(D1880,Товары!A:I,6,0)</f>
        <v>80</v>
      </c>
      <c r="I1880" t="str">
        <f>VLOOKUP(C1880,Магазины!A:C,3,0)</f>
        <v>Набережные Челны</v>
      </c>
      <c r="J1880">
        <f>VLOOKUP(D1880,Товары!A:I,4,0)</f>
        <v>28380</v>
      </c>
      <c r="K1880">
        <f t="shared" si="29"/>
        <v>85140</v>
      </c>
    </row>
    <row r="1881" spans="1:11" hidden="1" x14ac:dyDescent="0.25">
      <c r="A1881">
        <v>1880</v>
      </c>
      <c r="B1881" s="1">
        <v>45754</v>
      </c>
      <c r="C1881" t="s">
        <v>6</v>
      </c>
      <c r="D1881" t="s">
        <v>38</v>
      </c>
      <c r="E1881" t="s">
        <v>13</v>
      </c>
      <c r="F1881">
        <v>3</v>
      </c>
      <c r="G1881" t="str">
        <f>VLOOKUP(D1881,Товары!A:I,3,0)</f>
        <v>Тумба с раковиной  навес. Куба Риф 600 белый 2 ящика с умыв. Como</v>
      </c>
      <c r="H1881">
        <f>VLOOKUP(D1881,Товары!A:I,6,0)</f>
        <v>55</v>
      </c>
      <c r="I1881" t="str">
        <f>VLOOKUP(C1881,Магазины!A:C,3,0)</f>
        <v>Оренбург</v>
      </c>
      <c r="J1881">
        <f>VLOOKUP(D1881,Товары!A:I,4,0)</f>
        <v>14265</v>
      </c>
      <c r="K1881">
        <f t="shared" si="29"/>
        <v>42795</v>
      </c>
    </row>
    <row r="1882" spans="1:11" hidden="1" x14ac:dyDescent="0.25">
      <c r="A1882">
        <v>1881</v>
      </c>
      <c r="B1882" s="1">
        <v>45748</v>
      </c>
      <c r="C1882" t="s">
        <v>14</v>
      </c>
      <c r="D1882" t="s">
        <v>32</v>
      </c>
      <c r="E1882" t="s">
        <v>8</v>
      </c>
      <c r="F1882">
        <v>3</v>
      </c>
      <c r="G1882" t="str">
        <f>VLOOKUP(D1882,Товары!A:I,3,0)</f>
        <v>Тумба с раковиной  напол. Леон Риф 700 солярис/белый риф 2 ящика с умыв. Слим</v>
      </c>
      <c r="H1882">
        <f>VLOOKUP(D1882,Товары!A:I,6,0)</f>
        <v>85</v>
      </c>
      <c r="I1882" t="str">
        <f>VLOOKUP(C1882,Магазины!A:C,3,0)</f>
        <v>Оренбург</v>
      </c>
      <c r="J1882">
        <f>VLOOKUP(D1882,Товары!A:I,4,0)</f>
        <v>26460</v>
      </c>
      <c r="K1882">
        <f t="shared" si="29"/>
        <v>79380</v>
      </c>
    </row>
    <row r="1883" spans="1:11" hidden="1" x14ac:dyDescent="0.25">
      <c r="A1883">
        <v>1882</v>
      </c>
      <c r="B1883" s="1">
        <v>45757</v>
      </c>
      <c r="C1883" t="s">
        <v>33</v>
      </c>
      <c r="D1883" t="s">
        <v>59</v>
      </c>
      <c r="E1883" t="s">
        <v>8</v>
      </c>
      <c r="F1883">
        <v>1</v>
      </c>
      <c r="G1883" t="str">
        <f>VLOOKUP(D1883,Товары!A:I,3,0)</f>
        <v>Тумба с раковиной  навес. Куба Риф 600 белый 2 ящика с умыв. Океан</v>
      </c>
      <c r="H1883">
        <f>VLOOKUP(D1883,Товары!A:I,6,0)</f>
        <v>55</v>
      </c>
      <c r="I1883" t="str">
        <f>VLOOKUP(C1883,Магазины!A:C,3,0)</f>
        <v>Набережные Челны</v>
      </c>
      <c r="J1883">
        <f>VLOOKUP(D1883,Товары!A:I,4,0)</f>
        <v>15765</v>
      </c>
      <c r="K1883">
        <f t="shared" si="29"/>
        <v>15765</v>
      </c>
    </row>
    <row r="1884" spans="1:11" hidden="1" x14ac:dyDescent="0.25">
      <c r="A1884">
        <v>1883</v>
      </c>
      <c r="B1884" s="1">
        <v>45754</v>
      </c>
      <c r="C1884" t="s">
        <v>22</v>
      </c>
      <c r="D1884" t="s">
        <v>120</v>
      </c>
      <c r="E1884" t="s">
        <v>13</v>
      </c>
      <c r="F1884">
        <v>3</v>
      </c>
      <c r="G1884" t="str">
        <f>VLOOKUP(D1884,Товары!A:I,3,0)</f>
        <v>Зеркальный шкаф Альба 60 со светильником правый цвет антрацит</v>
      </c>
      <c r="H1884">
        <f>VLOOKUP(D1884,Товары!A:I,6,0)</f>
        <v>75</v>
      </c>
      <c r="I1884" t="str">
        <f>VLOOKUP(C1884,Магазины!A:C,3,0)</f>
        <v>Кемерово</v>
      </c>
      <c r="J1884">
        <f>VLOOKUP(D1884,Товары!A:I,4,0)</f>
        <v>8910</v>
      </c>
      <c r="K1884">
        <f t="shared" si="29"/>
        <v>26730</v>
      </c>
    </row>
    <row r="1885" spans="1:11" hidden="1" x14ac:dyDescent="0.25">
      <c r="A1885">
        <v>1884</v>
      </c>
      <c r="B1885" s="1">
        <v>45752</v>
      </c>
      <c r="C1885" t="s">
        <v>22</v>
      </c>
      <c r="D1885" t="s">
        <v>55</v>
      </c>
      <c r="E1885" t="s">
        <v>13</v>
      </c>
      <c r="F1885">
        <v>3</v>
      </c>
      <c r="G1885" t="str">
        <f>VLOOKUP(D1885,Товары!A:I,3,0)</f>
        <v>Тумба с раковиной  напол. Рица 600 cерый/керамика 2 ящика с умыв. Океан</v>
      </c>
      <c r="H1885">
        <f>VLOOKUP(D1885,Товары!A:I,6,0)</f>
        <v>80</v>
      </c>
      <c r="I1885" t="str">
        <f>VLOOKUP(C1885,Магазины!A:C,3,0)</f>
        <v>Кемерово</v>
      </c>
      <c r="J1885">
        <f>VLOOKUP(D1885,Товары!A:I,4,0)</f>
        <v>25560</v>
      </c>
      <c r="K1885">
        <f t="shared" si="29"/>
        <v>76680</v>
      </c>
    </row>
    <row r="1886" spans="1:11" hidden="1" x14ac:dyDescent="0.25">
      <c r="A1886">
        <v>1885</v>
      </c>
      <c r="B1886" s="1">
        <v>45753</v>
      </c>
      <c r="C1886" t="s">
        <v>30</v>
      </c>
      <c r="D1886" t="s">
        <v>131</v>
      </c>
      <c r="E1886" t="s">
        <v>13</v>
      </c>
      <c r="F1886">
        <v>1</v>
      </c>
      <c r="G1886" t="str">
        <f>VLOOKUP(D1886,Товары!A:I,3,0)</f>
        <v>Тумба с раковиной  напол. Леон 800 форест 2 ящика с умыв. Слим</v>
      </c>
      <c r="H1886">
        <f>VLOOKUP(D1886,Товары!A:I,6,0)</f>
        <v>80</v>
      </c>
      <c r="I1886" t="str">
        <f>VLOOKUP(C1886,Магазины!A:C,3,0)</f>
        <v>Кемерово</v>
      </c>
      <c r="J1886">
        <f>VLOOKUP(D1886,Товары!A:I,4,0)</f>
        <v>29400</v>
      </c>
      <c r="K1886">
        <f t="shared" si="29"/>
        <v>29400</v>
      </c>
    </row>
    <row r="1887" spans="1:11" hidden="1" x14ac:dyDescent="0.25">
      <c r="A1887">
        <v>1886</v>
      </c>
      <c r="B1887" s="1">
        <v>45748</v>
      </c>
      <c r="C1887" t="s">
        <v>16</v>
      </c>
      <c r="D1887" t="s">
        <v>90</v>
      </c>
      <c r="E1887" t="s">
        <v>8</v>
      </c>
      <c r="F1887">
        <v>2</v>
      </c>
      <c r="G1887" t="str">
        <f>VLOOKUP(D1887,Товары!A:I,3,0)</f>
        <v>Пенал напол. Аква 350 белый 2 двери + 2 ящика</v>
      </c>
      <c r="H1887">
        <f>VLOOKUP(D1887,Товары!A:I,6,0)</f>
        <v>190</v>
      </c>
      <c r="I1887" t="str">
        <f>VLOOKUP(C1887,Магазины!A:C,3,0)</f>
        <v>Оренбург</v>
      </c>
      <c r="J1887">
        <f>VLOOKUP(D1887,Товары!A:I,4,0)</f>
        <v>10650</v>
      </c>
      <c r="K1887">
        <f t="shared" si="29"/>
        <v>21300</v>
      </c>
    </row>
    <row r="1888" spans="1:11" hidden="1" x14ac:dyDescent="0.25">
      <c r="A1888">
        <v>1887</v>
      </c>
      <c r="B1888" s="1">
        <v>45751</v>
      </c>
      <c r="C1888" t="s">
        <v>16</v>
      </c>
      <c r="D1888" t="s">
        <v>76</v>
      </c>
      <c r="E1888" t="s">
        <v>13</v>
      </c>
      <c r="F1888">
        <v>2</v>
      </c>
      <c r="G1888" t="str">
        <f>VLOOKUP(D1888,Товары!A:I,3,0)</f>
        <v>Тумба с раковиной  напол. Леон 600 оникс 2 ящика с умыв. Слим</v>
      </c>
      <c r="H1888">
        <f>VLOOKUP(D1888,Товары!A:I,6,0)</f>
        <v>80</v>
      </c>
      <c r="I1888" t="str">
        <f>VLOOKUP(C1888,Магазины!A:C,3,0)</f>
        <v>Оренбург</v>
      </c>
      <c r="J1888">
        <f>VLOOKUP(D1888,Товары!A:I,4,0)</f>
        <v>25860</v>
      </c>
      <c r="K1888">
        <f t="shared" si="29"/>
        <v>51720</v>
      </c>
    </row>
    <row r="1889" spans="1:11" hidden="1" x14ac:dyDescent="0.25">
      <c r="A1889">
        <v>1888</v>
      </c>
      <c r="B1889" s="1">
        <v>45752</v>
      </c>
      <c r="C1889" t="s">
        <v>20</v>
      </c>
      <c r="D1889" t="s">
        <v>86</v>
      </c>
      <c r="E1889" t="s">
        <v>13</v>
      </c>
      <c r="F1889">
        <v>2</v>
      </c>
      <c r="G1889" t="str">
        <f>VLOOKUP(D1889,Товары!A:I,3,0)</f>
        <v>Комод Аква 50 напольный 1 ящик 2 двери белый</v>
      </c>
      <c r="H1889">
        <f>VLOOKUP(D1889,Товары!A:I,6,0)</f>
        <v>90</v>
      </c>
      <c r="I1889" t="str">
        <f>VLOOKUP(C1889,Магазины!A:C,3,0)</f>
        <v>Оренбург</v>
      </c>
      <c r="J1889">
        <f>VLOOKUP(D1889,Товары!A:I,4,0)</f>
        <v>7260</v>
      </c>
      <c r="K1889">
        <f t="shared" si="29"/>
        <v>14520</v>
      </c>
    </row>
    <row r="1890" spans="1:11" hidden="1" x14ac:dyDescent="0.25">
      <c r="A1890">
        <v>1889</v>
      </c>
      <c r="B1890" s="1">
        <v>45754</v>
      </c>
      <c r="C1890" t="s">
        <v>54</v>
      </c>
      <c r="D1890" t="s">
        <v>74</v>
      </c>
      <c r="E1890" t="s">
        <v>8</v>
      </c>
      <c r="F1890">
        <v>3</v>
      </c>
      <c r="G1890" t="str">
        <f>VLOOKUP(D1890,Товары!A:I,3,0)</f>
        <v>Тумба с раковиной  напол. Альба 800 суфле 2 ящика с умыв. Слим</v>
      </c>
      <c r="H1890">
        <f>VLOOKUP(D1890,Товары!A:I,6,0)</f>
        <v>80</v>
      </c>
      <c r="I1890" t="str">
        <f>VLOOKUP(C1890,Магазины!A:C,3,0)</f>
        <v>Ставрополь</v>
      </c>
      <c r="J1890">
        <f>VLOOKUP(D1890,Товары!A:I,4,0)</f>
        <v>29340</v>
      </c>
      <c r="K1890">
        <f t="shared" si="29"/>
        <v>88020</v>
      </c>
    </row>
    <row r="1891" spans="1:11" hidden="1" x14ac:dyDescent="0.25">
      <c r="A1891">
        <v>1890</v>
      </c>
      <c r="B1891" s="1">
        <v>45754</v>
      </c>
      <c r="C1891" t="s">
        <v>41</v>
      </c>
      <c r="D1891" t="s">
        <v>117</v>
      </c>
      <c r="E1891" t="s">
        <v>13</v>
      </c>
      <c r="F1891">
        <v>3</v>
      </c>
      <c r="G1891" t="str">
        <f>VLOOKUP(D1891,Товары!A:I,3,0)</f>
        <v>Тумба с раковиной  навес. Альба 700 антрацит 2 ящика с умыв. Слим</v>
      </c>
      <c r="H1891">
        <f>VLOOKUP(D1891,Товары!A:I,6,0)</f>
        <v>60</v>
      </c>
      <c r="I1891" t="str">
        <f>VLOOKUP(C1891,Магазины!A:C,3,0)</f>
        <v>Ставрополь</v>
      </c>
      <c r="J1891">
        <f>VLOOKUP(D1891,Товары!A:I,4,0)</f>
        <v>25095</v>
      </c>
      <c r="K1891">
        <f t="shared" si="29"/>
        <v>75285</v>
      </c>
    </row>
    <row r="1892" spans="1:11" hidden="1" x14ac:dyDescent="0.25">
      <c r="A1892">
        <v>1891</v>
      </c>
      <c r="B1892" s="1">
        <v>45754</v>
      </c>
      <c r="C1892" t="s">
        <v>48</v>
      </c>
      <c r="D1892" t="s">
        <v>7</v>
      </c>
      <c r="E1892" t="s">
        <v>13</v>
      </c>
      <c r="F1892">
        <v>1</v>
      </c>
      <c r="G1892" t="str">
        <f>VLOOKUP(D1892,Товары!A:I,3,0)</f>
        <v>Пенал напол. Леон Риф 400 солярис/белый риф 2 двери + 1 ящик</v>
      </c>
      <c r="H1892">
        <f>VLOOKUP(D1892,Товары!A:I,6,0)</f>
        <v>190</v>
      </c>
      <c r="I1892" t="str">
        <f>VLOOKUP(C1892,Магазины!A:C,3,0)</f>
        <v>Ставрополь</v>
      </c>
      <c r="J1892">
        <f>VLOOKUP(D1892,Товары!A:I,4,0)</f>
        <v>14490</v>
      </c>
      <c r="K1892">
        <f t="shared" si="29"/>
        <v>14490</v>
      </c>
    </row>
    <row r="1893" spans="1:11" hidden="1" x14ac:dyDescent="0.25">
      <c r="A1893">
        <v>1892</v>
      </c>
      <c r="B1893" s="1">
        <v>45754</v>
      </c>
      <c r="C1893" t="s">
        <v>26</v>
      </c>
      <c r="D1893" t="s">
        <v>115</v>
      </c>
      <c r="E1893" t="s">
        <v>8</v>
      </c>
      <c r="F1893">
        <v>1</v>
      </c>
      <c r="G1893" t="str">
        <f>VLOOKUP(D1893,Товары!A:I,3,0)</f>
        <v>Тумба под стиральную машину Куба Риф 57 напольная 2 ящика под ст/маш, без умывальника /под Marshall 120 Белый</v>
      </c>
      <c r="H1893">
        <f>VLOOKUP(D1893,Товары!A:I,6,0)</f>
        <v>85</v>
      </c>
      <c r="I1893" t="str">
        <f>VLOOKUP(C1893,Магазины!A:C,3,0)</f>
        <v>Оренбург</v>
      </c>
      <c r="J1893">
        <f>VLOOKUP(D1893,Товары!A:I,4,0)</f>
        <v>10530</v>
      </c>
      <c r="K1893">
        <f t="shared" si="29"/>
        <v>10530</v>
      </c>
    </row>
    <row r="1894" spans="1:11" hidden="1" x14ac:dyDescent="0.25">
      <c r="A1894">
        <v>1893</v>
      </c>
      <c r="B1894" s="1">
        <v>45748</v>
      </c>
      <c r="C1894" t="s">
        <v>92</v>
      </c>
      <c r="D1894" t="s">
        <v>45</v>
      </c>
      <c r="E1894" t="s">
        <v>8</v>
      </c>
      <c r="F1894">
        <v>3</v>
      </c>
      <c r="G1894" t="str">
        <f>VLOOKUP(D1894,Товары!A:I,3,0)</f>
        <v>Зеркальный шкаф Рица 80 со светильником правый цвет cерый/керамика</v>
      </c>
      <c r="H1894">
        <f>VLOOKUP(D1894,Товары!A:I,6,0)</f>
        <v>75</v>
      </c>
      <c r="I1894" t="str">
        <f>VLOOKUP(C1894,Магазины!A:C,3,0)</f>
        <v>Кемерово</v>
      </c>
      <c r="J1894">
        <f>VLOOKUP(D1894,Товары!A:I,4,0)</f>
        <v>9930</v>
      </c>
      <c r="K1894">
        <f t="shared" si="29"/>
        <v>29790</v>
      </c>
    </row>
    <row r="1895" spans="1:11" hidden="1" x14ac:dyDescent="0.25">
      <c r="A1895">
        <v>1894</v>
      </c>
      <c r="B1895" s="1">
        <v>45749</v>
      </c>
      <c r="C1895" t="s">
        <v>16</v>
      </c>
      <c r="D1895" t="s">
        <v>79</v>
      </c>
      <c r="E1895" t="s">
        <v>8</v>
      </c>
      <c r="F1895">
        <v>1</v>
      </c>
      <c r="G1895" t="str">
        <f>VLOOKUP(D1895,Товары!A:I,3,0)</f>
        <v>Зеркальный шкаф Альба 70 со светильником правый цвет мята</v>
      </c>
      <c r="H1895">
        <f>VLOOKUP(D1895,Товары!A:I,6,0)</f>
        <v>75</v>
      </c>
      <c r="I1895" t="str">
        <f>VLOOKUP(C1895,Магазины!A:C,3,0)</f>
        <v>Оренбург</v>
      </c>
      <c r="J1895">
        <f>VLOOKUP(D1895,Товары!A:I,4,0)</f>
        <v>9615</v>
      </c>
      <c r="K1895">
        <f t="shared" si="29"/>
        <v>9615</v>
      </c>
    </row>
    <row r="1896" spans="1:11" hidden="1" x14ac:dyDescent="0.25">
      <c r="A1896">
        <v>1895</v>
      </c>
      <c r="B1896" s="1">
        <v>45754</v>
      </c>
      <c r="C1896" t="s">
        <v>58</v>
      </c>
      <c r="D1896" t="s">
        <v>108</v>
      </c>
      <c r="E1896" t="s">
        <v>8</v>
      </c>
      <c r="F1896">
        <v>3</v>
      </c>
      <c r="G1896" t="str">
        <f>VLOOKUP(D1896,Товары!A:I,3,0)</f>
        <v>Тумба с раковиной  навес. Виктория 1000 белый 2 ящика с умыв. Слим</v>
      </c>
      <c r="H1896">
        <f>VLOOKUP(D1896,Товары!A:I,6,0)</f>
        <v>60</v>
      </c>
      <c r="I1896" t="str">
        <f>VLOOKUP(C1896,Магазины!A:C,3,0)</f>
        <v>Ставрополь</v>
      </c>
      <c r="J1896">
        <f>VLOOKUP(D1896,Товары!A:I,4,0)</f>
        <v>29205</v>
      </c>
      <c r="K1896">
        <f t="shared" si="29"/>
        <v>87615</v>
      </c>
    </row>
    <row r="1897" spans="1:11" hidden="1" x14ac:dyDescent="0.25">
      <c r="A1897">
        <v>1896</v>
      </c>
      <c r="B1897" s="1">
        <v>45753</v>
      </c>
      <c r="C1897" t="s">
        <v>63</v>
      </c>
      <c r="D1897" t="s">
        <v>59</v>
      </c>
      <c r="E1897" t="s">
        <v>8</v>
      </c>
      <c r="F1897">
        <v>2</v>
      </c>
      <c r="G1897" t="str">
        <f>VLOOKUP(D1897,Товары!A:I,3,0)</f>
        <v>Тумба с раковиной  навес. Куба Риф 600 белый 2 ящика с умыв. Океан</v>
      </c>
      <c r="H1897">
        <f>VLOOKUP(D1897,Товары!A:I,6,0)</f>
        <v>55</v>
      </c>
      <c r="I1897" t="str">
        <f>VLOOKUP(C1897,Магазины!A:C,3,0)</f>
        <v>Ставрополь</v>
      </c>
      <c r="J1897">
        <f>VLOOKUP(D1897,Товары!A:I,4,0)</f>
        <v>15765</v>
      </c>
      <c r="K1897">
        <f t="shared" si="29"/>
        <v>31530</v>
      </c>
    </row>
    <row r="1898" spans="1:11" hidden="1" x14ac:dyDescent="0.25">
      <c r="A1898">
        <v>1897</v>
      </c>
      <c r="B1898" s="1">
        <v>45750</v>
      </c>
      <c r="C1898" t="s">
        <v>22</v>
      </c>
      <c r="D1898" t="s">
        <v>66</v>
      </c>
      <c r="E1898" t="s">
        <v>8</v>
      </c>
      <c r="F1898">
        <v>3</v>
      </c>
      <c r="G1898" t="str">
        <f>VLOOKUP(D1898,Товары!A:I,3,0)</f>
        <v>Тумба с раковиной  навес. Альба 800 мята 2 ящика с умыв. Слим</v>
      </c>
      <c r="H1898">
        <f>VLOOKUP(D1898,Товары!A:I,6,0)</f>
        <v>50</v>
      </c>
      <c r="I1898" t="str">
        <f>VLOOKUP(C1898,Магазины!A:C,3,0)</f>
        <v>Кемерово</v>
      </c>
      <c r="J1898">
        <f>VLOOKUP(D1898,Товары!A:I,4,0)</f>
        <v>26070</v>
      </c>
      <c r="K1898">
        <f t="shared" si="29"/>
        <v>78210</v>
      </c>
    </row>
    <row r="1899" spans="1:11" hidden="1" x14ac:dyDescent="0.25">
      <c r="A1899">
        <v>1898</v>
      </c>
      <c r="B1899" s="1">
        <v>45756</v>
      </c>
      <c r="C1899" t="s">
        <v>18</v>
      </c>
      <c r="D1899" t="s">
        <v>25</v>
      </c>
      <c r="E1899" t="s">
        <v>8</v>
      </c>
      <c r="F1899">
        <v>2</v>
      </c>
      <c r="G1899" t="str">
        <f>VLOOKUP(D1899,Товары!A:I,3,0)</f>
        <v>Пенал напол. Леон 400 оникс 2 двери + 1 ящик</v>
      </c>
      <c r="H1899">
        <f>VLOOKUP(D1899,Товары!A:I,6,0)</f>
        <v>190</v>
      </c>
      <c r="I1899" t="str">
        <f>VLOOKUP(C1899,Магазины!A:C,3,0)</f>
        <v>Набережные Челны</v>
      </c>
      <c r="J1899">
        <f>VLOOKUP(D1899,Товары!A:I,4,0)</f>
        <v>18450</v>
      </c>
      <c r="K1899">
        <f t="shared" si="29"/>
        <v>36900</v>
      </c>
    </row>
    <row r="1900" spans="1:11" hidden="1" x14ac:dyDescent="0.25">
      <c r="A1900">
        <v>1899</v>
      </c>
      <c r="B1900" s="1">
        <v>45752</v>
      </c>
      <c r="C1900" t="s">
        <v>22</v>
      </c>
      <c r="D1900" t="s">
        <v>27</v>
      </c>
      <c r="E1900" t="s">
        <v>13</v>
      </c>
      <c r="F1900">
        <v>1</v>
      </c>
      <c r="G1900" t="str">
        <f>VLOOKUP(D1900,Товары!A:I,3,0)</f>
        <v>Тумба с раковиной  навес. Виктория 800 белый 2 ящика с умыв. Слим</v>
      </c>
      <c r="H1900">
        <f>VLOOKUP(D1900,Товары!A:I,6,0)</f>
        <v>60</v>
      </c>
      <c r="I1900" t="str">
        <f>VLOOKUP(C1900,Магазины!A:C,3,0)</f>
        <v>Кемерово</v>
      </c>
      <c r="J1900">
        <f>VLOOKUP(D1900,Товары!A:I,4,0)</f>
        <v>25290</v>
      </c>
      <c r="K1900">
        <f t="shared" si="29"/>
        <v>25290</v>
      </c>
    </row>
    <row r="1901" spans="1:11" hidden="1" x14ac:dyDescent="0.25">
      <c r="A1901">
        <v>1900</v>
      </c>
      <c r="B1901" s="1">
        <v>45757</v>
      </c>
      <c r="C1901" t="s">
        <v>43</v>
      </c>
      <c r="D1901" t="s">
        <v>112</v>
      </c>
      <c r="E1901" t="s">
        <v>13</v>
      </c>
      <c r="F1901">
        <v>2</v>
      </c>
      <c r="G1901" t="str">
        <f>VLOOKUP(D1901,Товары!A:I,3,0)</f>
        <v>Тумба с раковиной  напол. Аква 560 белый 2 двери с умыв. Уют</v>
      </c>
      <c r="H1901">
        <f>VLOOKUP(D1901,Товары!A:I,6,0)</f>
        <v>85</v>
      </c>
      <c r="I1901" t="str">
        <f>VLOOKUP(C1901,Магазины!A:C,3,0)</f>
        <v>Набережные Челны</v>
      </c>
      <c r="J1901">
        <f>VLOOKUP(D1901,Товары!A:I,4,0)</f>
        <v>9330</v>
      </c>
      <c r="K1901">
        <f t="shared" si="29"/>
        <v>18660</v>
      </c>
    </row>
    <row r="1902" spans="1:11" hidden="1" x14ac:dyDescent="0.25">
      <c r="A1902">
        <v>1901</v>
      </c>
      <c r="B1902" s="1">
        <v>45748</v>
      </c>
      <c r="C1902" t="s">
        <v>43</v>
      </c>
      <c r="D1902" t="s">
        <v>102</v>
      </c>
      <c r="E1902" t="s">
        <v>13</v>
      </c>
      <c r="F1902">
        <v>2</v>
      </c>
      <c r="G1902" t="str">
        <f>VLOOKUP(D1902,Товары!A:I,3,0)</f>
        <v>Тумба с раковиной  напол. Леон Риф 1000 солярис/белый риф 2 ящика с умыв. Слим</v>
      </c>
      <c r="H1902">
        <f>VLOOKUP(D1902,Товары!A:I,6,0)</f>
        <v>85</v>
      </c>
      <c r="I1902" t="str">
        <f>VLOOKUP(C1902,Магазины!A:C,3,0)</f>
        <v>Набережные Челны</v>
      </c>
      <c r="J1902">
        <f>VLOOKUP(D1902,Товары!A:I,4,0)</f>
        <v>32085</v>
      </c>
      <c r="K1902">
        <f t="shared" si="29"/>
        <v>64170</v>
      </c>
    </row>
    <row r="1903" spans="1:11" hidden="1" x14ac:dyDescent="0.25">
      <c r="A1903">
        <v>1902</v>
      </c>
      <c r="B1903" s="1">
        <v>45753</v>
      </c>
      <c r="C1903" t="s">
        <v>48</v>
      </c>
      <c r="D1903" t="s">
        <v>107</v>
      </c>
      <c r="E1903" t="s">
        <v>8</v>
      </c>
      <c r="F1903">
        <v>2</v>
      </c>
      <c r="G1903" t="str">
        <f>VLOOKUP(D1903,Товары!A:I,3,0)</f>
        <v>Комод Аква 35 напольный 1 дверь белый правый</v>
      </c>
      <c r="H1903">
        <f>VLOOKUP(D1903,Товары!A:I,6,0)</f>
        <v>90</v>
      </c>
      <c r="I1903" t="str">
        <f>VLOOKUP(C1903,Магазины!A:C,3,0)</f>
        <v>Ставрополь</v>
      </c>
      <c r="J1903">
        <f>VLOOKUP(D1903,Товары!A:I,4,0)</f>
        <v>6705</v>
      </c>
      <c r="K1903">
        <f t="shared" si="29"/>
        <v>13410</v>
      </c>
    </row>
    <row r="1904" spans="1:11" hidden="1" x14ac:dyDescent="0.25">
      <c r="A1904">
        <v>1903</v>
      </c>
      <c r="B1904" s="1">
        <v>45754</v>
      </c>
      <c r="C1904" t="s">
        <v>41</v>
      </c>
      <c r="D1904" t="s">
        <v>102</v>
      </c>
      <c r="E1904" t="s">
        <v>8</v>
      </c>
      <c r="F1904">
        <v>3</v>
      </c>
      <c r="G1904" t="str">
        <f>VLOOKUP(D1904,Товары!A:I,3,0)</f>
        <v>Тумба с раковиной  напол. Леон Риф 1000 солярис/белый риф 2 ящика с умыв. Слим</v>
      </c>
      <c r="H1904">
        <f>VLOOKUP(D1904,Товары!A:I,6,0)</f>
        <v>85</v>
      </c>
      <c r="I1904" t="str">
        <f>VLOOKUP(C1904,Магазины!A:C,3,0)</f>
        <v>Ставрополь</v>
      </c>
      <c r="J1904">
        <f>VLOOKUP(D1904,Товары!A:I,4,0)</f>
        <v>32085</v>
      </c>
      <c r="K1904">
        <f t="shared" si="29"/>
        <v>96255</v>
      </c>
    </row>
    <row r="1905" spans="1:11" hidden="1" x14ac:dyDescent="0.25">
      <c r="A1905">
        <v>1904</v>
      </c>
      <c r="B1905" s="1">
        <v>45751</v>
      </c>
      <c r="C1905" t="s">
        <v>14</v>
      </c>
      <c r="D1905" t="s">
        <v>67</v>
      </c>
      <c r="E1905" t="s">
        <v>13</v>
      </c>
      <c r="F1905">
        <v>2</v>
      </c>
      <c r="G1905" t="str">
        <f>VLOOKUP(D1905,Товары!A:I,3,0)</f>
        <v>Пенал навес./напол. Альба 350 суфле 2 двери</v>
      </c>
      <c r="H1905">
        <f>VLOOKUP(D1905,Товары!A:I,6,0)</f>
        <v>150</v>
      </c>
      <c r="I1905" t="str">
        <f>VLOOKUP(C1905,Магазины!A:C,3,0)</f>
        <v>Оренбург</v>
      </c>
      <c r="J1905">
        <f>VLOOKUP(D1905,Товары!A:I,4,0)</f>
        <v>11655</v>
      </c>
      <c r="K1905">
        <f t="shared" si="29"/>
        <v>23310</v>
      </c>
    </row>
    <row r="1906" spans="1:11" hidden="1" x14ac:dyDescent="0.25">
      <c r="A1906">
        <v>1905</v>
      </c>
      <c r="B1906" s="1">
        <v>45750</v>
      </c>
      <c r="C1906" t="s">
        <v>63</v>
      </c>
      <c r="D1906" t="s">
        <v>17</v>
      </c>
      <c r="E1906" t="s">
        <v>8</v>
      </c>
      <c r="F1906">
        <v>2</v>
      </c>
      <c r="G1906" t="str">
        <f>VLOOKUP(D1906,Товары!A:I,3,0)</f>
        <v>Тумба с раковиной  навес. Альба 800 антрацит 1 ящик с умыв. Слим</v>
      </c>
      <c r="H1906">
        <f>VLOOKUP(D1906,Товары!A:I,6,0)</f>
        <v>45</v>
      </c>
      <c r="I1906" t="str">
        <f>VLOOKUP(C1906,Магазины!A:C,3,0)</f>
        <v>Ставрополь</v>
      </c>
      <c r="J1906">
        <f>VLOOKUP(D1906,Товары!A:I,4,0)</f>
        <v>21630</v>
      </c>
      <c r="K1906">
        <f t="shared" si="29"/>
        <v>43260</v>
      </c>
    </row>
    <row r="1907" spans="1:11" hidden="1" x14ac:dyDescent="0.25">
      <c r="A1907">
        <v>1906</v>
      </c>
      <c r="B1907" s="1">
        <v>45749</v>
      </c>
      <c r="C1907" t="s">
        <v>35</v>
      </c>
      <c r="D1907" t="s">
        <v>39</v>
      </c>
      <c r="E1907" t="s">
        <v>13</v>
      </c>
      <c r="F1907">
        <v>3</v>
      </c>
      <c r="G1907" t="str">
        <f>VLOOKUP(D1907,Товары!A:I,3,0)</f>
        <v>Тумба с раковиной  напол. Альба 700 мята 2 ящика с умыв. Слим</v>
      </c>
      <c r="H1907">
        <f>VLOOKUP(D1907,Товары!A:I,6,0)</f>
        <v>85</v>
      </c>
      <c r="I1907" t="str">
        <f>VLOOKUP(C1907,Магазины!A:C,3,0)</f>
        <v>Набережные Челны</v>
      </c>
      <c r="J1907">
        <f>VLOOKUP(D1907,Товары!A:I,4,0)</f>
        <v>28695</v>
      </c>
      <c r="K1907">
        <f t="shared" si="29"/>
        <v>86085</v>
      </c>
    </row>
    <row r="1908" spans="1:11" hidden="1" x14ac:dyDescent="0.25">
      <c r="A1908">
        <v>1907</v>
      </c>
      <c r="B1908" s="1">
        <v>45753</v>
      </c>
      <c r="C1908" t="s">
        <v>58</v>
      </c>
      <c r="D1908" t="s">
        <v>79</v>
      </c>
      <c r="E1908" t="s">
        <v>8</v>
      </c>
      <c r="F1908">
        <v>1</v>
      </c>
      <c r="G1908" t="str">
        <f>VLOOKUP(D1908,Товары!A:I,3,0)</f>
        <v>Зеркальный шкаф Альба 70 со светильником правый цвет мята</v>
      </c>
      <c r="H1908">
        <f>VLOOKUP(D1908,Товары!A:I,6,0)</f>
        <v>75</v>
      </c>
      <c r="I1908" t="str">
        <f>VLOOKUP(C1908,Магазины!A:C,3,0)</f>
        <v>Ставрополь</v>
      </c>
      <c r="J1908">
        <f>VLOOKUP(D1908,Товары!A:I,4,0)</f>
        <v>9615</v>
      </c>
      <c r="K1908">
        <f t="shared" si="29"/>
        <v>9615</v>
      </c>
    </row>
    <row r="1909" spans="1:11" hidden="1" x14ac:dyDescent="0.25">
      <c r="A1909">
        <v>1908</v>
      </c>
      <c r="B1909" s="1">
        <v>45750</v>
      </c>
      <c r="C1909" t="s">
        <v>9</v>
      </c>
      <c r="D1909" t="s">
        <v>75</v>
      </c>
      <c r="E1909" t="s">
        <v>13</v>
      </c>
      <c r="F1909">
        <v>3</v>
      </c>
      <c r="G1909" t="str">
        <f>VLOOKUP(D1909,Товары!A:I,3,0)</f>
        <v>Тумба с раковиной  напол. Альба 600 суфле 2 ящика с умыв. Океан</v>
      </c>
      <c r="H1909">
        <f>VLOOKUP(D1909,Товары!A:I,6,0)</f>
        <v>80</v>
      </c>
      <c r="I1909" t="str">
        <f>VLOOKUP(C1909,Магазины!A:C,3,0)</f>
        <v>Кемерово</v>
      </c>
      <c r="J1909">
        <f>VLOOKUP(D1909,Товары!A:I,4,0)</f>
        <v>26370</v>
      </c>
      <c r="K1909">
        <f t="shared" si="29"/>
        <v>79110</v>
      </c>
    </row>
    <row r="1910" spans="1:11" hidden="1" x14ac:dyDescent="0.25">
      <c r="A1910">
        <v>1909</v>
      </c>
      <c r="B1910" s="1">
        <v>45753</v>
      </c>
      <c r="C1910" t="s">
        <v>14</v>
      </c>
      <c r="D1910" t="s">
        <v>123</v>
      </c>
      <c r="E1910" t="s">
        <v>13</v>
      </c>
      <c r="F1910">
        <v>3</v>
      </c>
      <c r="G1910" t="str">
        <f>VLOOKUP(D1910,Товары!A:I,3,0)</f>
        <v>Тумба с раковиной  напол. Кристалл 800 суфле 2 ящика с умыв. Слим</v>
      </c>
      <c r="H1910">
        <f>VLOOKUP(D1910,Товары!A:I,6,0)</f>
        <v>80</v>
      </c>
      <c r="I1910" t="str">
        <f>VLOOKUP(C1910,Магазины!A:C,3,0)</f>
        <v>Оренбург</v>
      </c>
      <c r="J1910">
        <f>VLOOKUP(D1910,Товары!A:I,4,0)</f>
        <v>31125</v>
      </c>
      <c r="K1910">
        <f t="shared" si="29"/>
        <v>93375</v>
      </c>
    </row>
    <row r="1911" spans="1:11" hidden="1" x14ac:dyDescent="0.25">
      <c r="A1911">
        <v>1910</v>
      </c>
      <c r="B1911" s="1">
        <v>45750</v>
      </c>
      <c r="C1911" t="s">
        <v>57</v>
      </c>
      <c r="D1911" t="s">
        <v>112</v>
      </c>
      <c r="E1911" t="s">
        <v>13</v>
      </c>
      <c r="F1911">
        <v>1</v>
      </c>
      <c r="G1911" t="str">
        <f>VLOOKUP(D1911,Товары!A:I,3,0)</f>
        <v>Тумба с раковиной  напол. Аква 560 белый 2 двери с умыв. Уют</v>
      </c>
      <c r="H1911">
        <f>VLOOKUP(D1911,Товары!A:I,6,0)</f>
        <v>85</v>
      </c>
      <c r="I1911" t="str">
        <f>VLOOKUP(C1911,Магазины!A:C,3,0)</f>
        <v>Оренбург</v>
      </c>
      <c r="J1911">
        <f>VLOOKUP(D1911,Товары!A:I,4,0)</f>
        <v>9330</v>
      </c>
      <c r="K1911">
        <f t="shared" si="29"/>
        <v>9330</v>
      </c>
    </row>
    <row r="1912" spans="1:11" hidden="1" x14ac:dyDescent="0.25">
      <c r="A1912">
        <v>1911</v>
      </c>
      <c r="B1912" s="1">
        <v>45751</v>
      </c>
      <c r="C1912" t="s">
        <v>57</v>
      </c>
      <c r="D1912" t="s">
        <v>55</v>
      </c>
      <c r="E1912" t="s">
        <v>13</v>
      </c>
      <c r="F1912">
        <v>3</v>
      </c>
      <c r="G1912" t="str">
        <f>VLOOKUP(D1912,Товары!A:I,3,0)</f>
        <v>Тумба с раковиной  напол. Рица 600 cерый/керамика 2 ящика с умыв. Океан</v>
      </c>
      <c r="H1912">
        <f>VLOOKUP(D1912,Товары!A:I,6,0)</f>
        <v>80</v>
      </c>
      <c r="I1912" t="str">
        <f>VLOOKUP(C1912,Магазины!A:C,3,0)</f>
        <v>Оренбург</v>
      </c>
      <c r="J1912">
        <f>VLOOKUP(D1912,Товары!A:I,4,0)</f>
        <v>25560</v>
      </c>
      <c r="K1912">
        <f t="shared" si="29"/>
        <v>76680</v>
      </c>
    </row>
    <row r="1913" spans="1:11" hidden="1" x14ac:dyDescent="0.25">
      <c r="A1913">
        <v>1912</v>
      </c>
      <c r="B1913" s="1">
        <v>45749</v>
      </c>
      <c r="C1913" t="s">
        <v>6</v>
      </c>
      <c r="D1913" t="s">
        <v>105</v>
      </c>
      <c r="E1913" t="s">
        <v>8</v>
      </c>
      <c r="F1913">
        <v>3</v>
      </c>
      <c r="G1913" t="str">
        <f>VLOOKUP(D1913,Товары!A:I,3,0)</f>
        <v>Тумба с раковиной  напол. Нева 600 белый 2 двери + 1 ящик с умыв. Como</v>
      </c>
      <c r="H1913">
        <f>VLOOKUP(D1913,Товары!A:I,6,0)</f>
        <v>80</v>
      </c>
      <c r="I1913" t="str">
        <f>VLOOKUP(C1913,Магазины!A:C,3,0)</f>
        <v>Оренбург</v>
      </c>
      <c r="J1913">
        <f>VLOOKUP(D1913,Товары!A:I,4,0)</f>
        <v>13470</v>
      </c>
      <c r="K1913">
        <f t="shared" si="29"/>
        <v>40410</v>
      </c>
    </row>
    <row r="1914" spans="1:11" hidden="1" x14ac:dyDescent="0.25">
      <c r="A1914">
        <v>1913</v>
      </c>
      <c r="B1914" s="1">
        <v>45753</v>
      </c>
      <c r="C1914" t="s">
        <v>58</v>
      </c>
      <c r="D1914" t="s">
        <v>69</v>
      </c>
      <c r="E1914" t="s">
        <v>8</v>
      </c>
      <c r="F1914">
        <v>1</v>
      </c>
      <c r="G1914" t="str">
        <f>VLOOKUP(D1914,Товары!A:I,3,0)</f>
        <v>Пенал навес./напол. Альба 350 антрацит 2 двери</v>
      </c>
      <c r="H1914">
        <f>VLOOKUP(D1914,Товары!A:I,6,0)</f>
        <v>150</v>
      </c>
      <c r="I1914" t="str">
        <f>VLOOKUP(C1914,Магазины!A:C,3,0)</f>
        <v>Ставрополь</v>
      </c>
      <c r="J1914">
        <f>VLOOKUP(D1914,Товары!A:I,4,0)</f>
        <v>11655</v>
      </c>
      <c r="K1914">
        <f t="shared" si="29"/>
        <v>11655</v>
      </c>
    </row>
    <row r="1915" spans="1:11" hidden="1" x14ac:dyDescent="0.25">
      <c r="A1915">
        <v>1914</v>
      </c>
      <c r="B1915" s="1">
        <v>45753</v>
      </c>
      <c r="C1915" t="s">
        <v>48</v>
      </c>
      <c r="D1915" t="s">
        <v>31</v>
      </c>
      <c r="E1915" t="s">
        <v>8</v>
      </c>
      <c r="F1915">
        <v>3</v>
      </c>
      <c r="G1915" t="str">
        <f>VLOOKUP(D1915,Товары!A:I,3,0)</f>
        <v>Пенал напол. Виктория 350 белый 2 двери</v>
      </c>
      <c r="H1915">
        <f>VLOOKUP(D1915,Товары!A:I,6,0)</f>
        <v>190</v>
      </c>
      <c r="I1915" t="str">
        <f>VLOOKUP(C1915,Магазины!A:C,3,0)</f>
        <v>Ставрополь</v>
      </c>
      <c r="J1915">
        <f>VLOOKUP(D1915,Товары!A:I,4,0)</f>
        <v>14085</v>
      </c>
      <c r="K1915">
        <f t="shared" si="29"/>
        <v>42255</v>
      </c>
    </row>
    <row r="1916" spans="1:11" hidden="1" x14ac:dyDescent="0.25">
      <c r="A1916">
        <v>1915</v>
      </c>
      <c r="B1916" s="1">
        <v>45757</v>
      </c>
      <c r="C1916" t="s">
        <v>48</v>
      </c>
      <c r="D1916" t="s">
        <v>114</v>
      </c>
      <c r="E1916" t="s">
        <v>8</v>
      </c>
      <c r="F1916">
        <v>3</v>
      </c>
      <c r="G1916" t="str">
        <f>VLOOKUP(D1916,Товары!A:I,3,0)</f>
        <v>Тумба с раковиной  навес. Альба 700 мята 2 ящика с умыв. Слим</v>
      </c>
      <c r="H1916">
        <f>VLOOKUP(D1916,Товары!A:I,6,0)</f>
        <v>60</v>
      </c>
      <c r="I1916" t="str">
        <f>VLOOKUP(C1916,Магазины!A:C,3,0)</f>
        <v>Ставрополь</v>
      </c>
      <c r="J1916">
        <f>VLOOKUP(D1916,Товары!A:I,4,0)</f>
        <v>25095</v>
      </c>
      <c r="K1916">
        <f t="shared" si="29"/>
        <v>75285</v>
      </c>
    </row>
    <row r="1917" spans="1:11" hidden="1" x14ac:dyDescent="0.25">
      <c r="A1917">
        <v>1916</v>
      </c>
      <c r="B1917" s="1">
        <v>45753</v>
      </c>
      <c r="C1917" t="s">
        <v>41</v>
      </c>
      <c r="D1917" t="s">
        <v>126</v>
      </c>
      <c r="E1917" t="s">
        <v>13</v>
      </c>
      <c r="F1917">
        <v>2</v>
      </c>
      <c r="G1917" t="str">
        <f>VLOOKUP(D1917,Товары!A:I,3,0)</f>
        <v>Тумба с раковиной  напол. Кристалл 800 шато азур 2 ящика с умыв. Комфорт</v>
      </c>
      <c r="H1917">
        <f>VLOOKUP(D1917,Товары!A:I,6,0)</f>
        <v>85</v>
      </c>
      <c r="I1917" t="str">
        <f>VLOOKUP(C1917,Магазины!A:C,3,0)</f>
        <v>Ставрополь</v>
      </c>
      <c r="J1917">
        <f>VLOOKUP(D1917,Товары!A:I,4,0)</f>
        <v>31125</v>
      </c>
      <c r="K1917">
        <f t="shared" si="29"/>
        <v>62250</v>
      </c>
    </row>
    <row r="1918" spans="1:11" x14ac:dyDescent="0.25">
      <c r="A1918">
        <v>1917</v>
      </c>
      <c r="B1918" s="1">
        <v>45751</v>
      </c>
      <c r="C1918" t="s">
        <v>9</v>
      </c>
      <c r="D1918" t="s">
        <v>91</v>
      </c>
      <c r="E1918" t="s">
        <v>13</v>
      </c>
      <c r="F1918">
        <v>3</v>
      </c>
      <c r="G1918" t="str">
        <f>VLOOKUP(D1918,Товары!A:I,3,0)</f>
        <v>Пенал навес./напол. Альба 350 мята 2 двери</v>
      </c>
      <c r="H1918">
        <f>VLOOKUP(D1918,Товары!A:I,6,0)</f>
        <v>150</v>
      </c>
      <c r="I1918" t="str">
        <f>VLOOKUP(C1918,Магазины!A:C,3,0)</f>
        <v>Кемерово</v>
      </c>
      <c r="J1918">
        <f>VLOOKUP(D1918,Товары!A:I,4,0)</f>
        <v>11655</v>
      </c>
      <c r="K1918">
        <f t="shared" si="29"/>
        <v>34965</v>
      </c>
    </row>
    <row r="1919" spans="1:11" hidden="1" x14ac:dyDescent="0.25">
      <c r="A1919">
        <v>1918</v>
      </c>
      <c r="B1919" s="1">
        <v>45748</v>
      </c>
      <c r="C1919" t="s">
        <v>18</v>
      </c>
      <c r="D1919" t="s">
        <v>82</v>
      </c>
      <c r="E1919" t="s">
        <v>13</v>
      </c>
      <c r="F1919">
        <v>2</v>
      </c>
      <c r="G1919" t="str">
        <f>VLOOKUP(D1919,Товары!A:I,3,0)</f>
        <v>Тумба с раковиной  навес. Леон 800 форест 2 ящика с умыв. Слим</v>
      </c>
      <c r="H1919">
        <f>VLOOKUP(D1919,Товары!A:I,6,0)</f>
        <v>60</v>
      </c>
      <c r="I1919" t="str">
        <f>VLOOKUP(C1919,Магазины!A:C,3,0)</f>
        <v>Набережные Челны</v>
      </c>
      <c r="J1919">
        <f>VLOOKUP(D1919,Товары!A:I,4,0)</f>
        <v>27930</v>
      </c>
      <c r="K1919">
        <f t="shared" si="29"/>
        <v>55860</v>
      </c>
    </row>
    <row r="1920" spans="1:11" hidden="1" x14ac:dyDescent="0.25">
      <c r="A1920">
        <v>1919</v>
      </c>
      <c r="B1920" s="1">
        <v>45751</v>
      </c>
      <c r="C1920" t="s">
        <v>57</v>
      </c>
      <c r="D1920" t="s">
        <v>65</v>
      </c>
      <c r="E1920" t="s">
        <v>13</v>
      </c>
      <c r="F1920">
        <v>3</v>
      </c>
      <c r="G1920" t="str">
        <f>VLOOKUP(D1920,Товары!A:I,3,0)</f>
        <v>Тумба с раковиной  навес. Альба 800 суфле 2 ящика с умыв. Слим</v>
      </c>
      <c r="H1920">
        <f>VLOOKUP(D1920,Товары!A:I,6,0)</f>
        <v>50</v>
      </c>
      <c r="I1920" t="str">
        <f>VLOOKUP(C1920,Магазины!A:C,3,0)</f>
        <v>Оренбург</v>
      </c>
      <c r="J1920">
        <f>VLOOKUP(D1920,Товары!A:I,4,0)</f>
        <v>26070</v>
      </c>
      <c r="K1920">
        <f t="shared" si="29"/>
        <v>78210</v>
      </c>
    </row>
    <row r="1921" spans="1:11" hidden="1" x14ac:dyDescent="0.25">
      <c r="A1921">
        <v>1920</v>
      </c>
      <c r="B1921" s="1">
        <v>45748</v>
      </c>
      <c r="C1921" t="s">
        <v>41</v>
      </c>
      <c r="D1921" t="s">
        <v>124</v>
      </c>
      <c r="E1921" t="s">
        <v>8</v>
      </c>
      <c r="F1921">
        <v>1</v>
      </c>
      <c r="G1921" t="str">
        <f>VLOOKUP(D1921,Товары!A:I,3,0)</f>
        <v>Тумба с раковиной  напол. Леон 600 оникс 2 ящика с умыв. Океан</v>
      </c>
      <c r="H1921">
        <f>VLOOKUP(D1921,Товары!A:I,6,0)</f>
        <v>80</v>
      </c>
      <c r="I1921" t="str">
        <f>VLOOKUP(C1921,Магазины!A:C,3,0)</f>
        <v>Ставрополь</v>
      </c>
      <c r="J1921">
        <f>VLOOKUP(D1921,Товары!A:I,4,0)</f>
        <v>25860</v>
      </c>
      <c r="K1921">
        <f t="shared" si="29"/>
        <v>25860</v>
      </c>
    </row>
    <row r="1922" spans="1:11" hidden="1" x14ac:dyDescent="0.25">
      <c r="A1922">
        <v>1921</v>
      </c>
      <c r="B1922" s="1">
        <v>45755</v>
      </c>
      <c r="C1922" t="s">
        <v>35</v>
      </c>
      <c r="D1922" t="s">
        <v>91</v>
      </c>
      <c r="E1922" t="s">
        <v>8</v>
      </c>
      <c r="F1922">
        <v>2</v>
      </c>
      <c r="G1922" t="str">
        <f>VLOOKUP(D1922,Товары!A:I,3,0)</f>
        <v>Пенал навес./напол. Альба 350 мята 2 двери</v>
      </c>
      <c r="H1922">
        <f>VLOOKUP(D1922,Товары!A:I,6,0)</f>
        <v>150</v>
      </c>
      <c r="I1922" t="str">
        <f>VLOOKUP(C1922,Магазины!A:C,3,0)</f>
        <v>Набережные Челны</v>
      </c>
      <c r="J1922">
        <f>VLOOKUP(D1922,Товары!A:I,4,0)</f>
        <v>11655</v>
      </c>
      <c r="K1922">
        <f t="shared" si="29"/>
        <v>23310</v>
      </c>
    </row>
    <row r="1923" spans="1:11" hidden="1" x14ac:dyDescent="0.25">
      <c r="A1923">
        <v>1922</v>
      </c>
      <c r="B1923" s="1">
        <v>45755</v>
      </c>
      <c r="C1923" t="s">
        <v>11</v>
      </c>
      <c r="D1923" t="s">
        <v>73</v>
      </c>
      <c r="E1923" t="s">
        <v>13</v>
      </c>
      <c r="F1923">
        <v>1</v>
      </c>
      <c r="G1923" t="str">
        <f>VLOOKUP(D1923,Товары!A:I,3,0)</f>
        <v>Зеркальный шкаф Альба 70 со светильником правый цвет антрацит</v>
      </c>
      <c r="H1923">
        <f>VLOOKUP(D1923,Товары!A:I,6,0)</f>
        <v>75</v>
      </c>
      <c r="I1923" t="str">
        <f>VLOOKUP(C1923,Магазины!A:C,3,0)</f>
        <v>Кемерово</v>
      </c>
      <c r="J1923">
        <f>VLOOKUP(D1923,Товары!A:I,4,0)</f>
        <v>9615</v>
      </c>
      <c r="K1923">
        <f t="shared" ref="K1923:K1986" si="30">J1923*F1923</f>
        <v>9615</v>
      </c>
    </row>
    <row r="1924" spans="1:11" hidden="1" x14ac:dyDescent="0.25">
      <c r="A1924">
        <v>1923</v>
      </c>
      <c r="B1924" s="1">
        <v>45756</v>
      </c>
      <c r="C1924" t="s">
        <v>35</v>
      </c>
      <c r="D1924" t="s">
        <v>119</v>
      </c>
      <c r="E1924" t="s">
        <v>8</v>
      </c>
      <c r="F1924">
        <v>1</v>
      </c>
      <c r="G1924" t="str">
        <f>VLOOKUP(D1924,Товары!A:I,3,0)</f>
        <v>Пенал навес./напол. Рица 350 cерый/керамика 2 двери</v>
      </c>
      <c r="H1924">
        <f>VLOOKUP(D1924,Товары!A:I,6,0)</f>
        <v>160</v>
      </c>
      <c r="I1924" t="str">
        <f>VLOOKUP(C1924,Магазины!A:C,3,0)</f>
        <v>Набережные Челны</v>
      </c>
      <c r="J1924">
        <f>VLOOKUP(D1924,Товары!A:I,4,0)</f>
        <v>11250</v>
      </c>
      <c r="K1924">
        <f t="shared" si="30"/>
        <v>11250</v>
      </c>
    </row>
    <row r="1925" spans="1:11" hidden="1" x14ac:dyDescent="0.25">
      <c r="A1925">
        <v>1924</v>
      </c>
      <c r="B1925" s="1">
        <v>45750</v>
      </c>
      <c r="C1925" t="s">
        <v>57</v>
      </c>
      <c r="D1925" t="s">
        <v>53</v>
      </c>
      <c r="E1925" t="s">
        <v>8</v>
      </c>
      <c r="F1925">
        <v>2</v>
      </c>
      <c r="G1925" t="str">
        <f>VLOOKUP(D1925,Товары!A:I,3,0)</f>
        <v>Тумба с раковиной  напол. Кристалл 600 шато азур 2 ящика с умыв. Океан</v>
      </c>
      <c r="H1925">
        <f>VLOOKUP(D1925,Товары!A:I,6,0)</f>
        <v>85</v>
      </c>
      <c r="I1925" t="str">
        <f>VLOOKUP(C1925,Магазины!A:C,3,0)</f>
        <v>Оренбург</v>
      </c>
      <c r="J1925">
        <f>VLOOKUP(D1925,Товары!A:I,4,0)</f>
        <v>27600</v>
      </c>
      <c r="K1925">
        <f t="shared" si="30"/>
        <v>55200</v>
      </c>
    </row>
    <row r="1926" spans="1:11" hidden="1" x14ac:dyDescent="0.25">
      <c r="A1926">
        <v>1925</v>
      </c>
      <c r="B1926" s="1">
        <v>45752</v>
      </c>
      <c r="C1926" t="s">
        <v>16</v>
      </c>
      <c r="D1926" t="s">
        <v>60</v>
      </c>
      <c r="E1926" t="s">
        <v>13</v>
      </c>
      <c r="F1926">
        <v>1</v>
      </c>
      <c r="G1926" t="str">
        <f>VLOOKUP(D1926,Товары!A:I,3,0)</f>
        <v>Пенал навес. Куба Риф 350 белый 2 двери</v>
      </c>
      <c r="H1926">
        <f>VLOOKUP(D1926,Товары!A:I,6,0)</f>
        <v>150</v>
      </c>
      <c r="I1926" t="str">
        <f>VLOOKUP(C1926,Магазины!A:C,3,0)</f>
        <v>Оренбург</v>
      </c>
      <c r="J1926">
        <f>VLOOKUP(D1926,Товары!A:I,4,0)</f>
        <v>9720</v>
      </c>
      <c r="K1926">
        <f t="shared" si="30"/>
        <v>9720</v>
      </c>
    </row>
    <row r="1927" spans="1:11" hidden="1" x14ac:dyDescent="0.25">
      <c r="A1927">
        <v>1926</v>
      </c>
      <c r="B1927" s="1">
        <v>45754</v>
      </c>
      <c r="C1927" t="s">
        <v>22</v>
      </c>
      <c r="D1927" t="s">
        <v>71</v>
      </c>
      <c r="E1927" t="s">
        <v>8</v>
      </c>
      <c r="F1927">
        <v>1</v>
      </c>
      <c r="G1927" t="str">
        <f>VLOOKUP(D1927,Товары!A:I,3,0)</f>
        <v>Тумба с раковиной  навес. Альба 600 мята 2 ящика с умыв. Океан</v>
      </c>
      <c r="H1927">
        <f>VLOOKUP(D1927,Товары!A:I,6,0)</f>
        <v>50</v>
      </c>
      <c r="I1927" t="str">
        <f>VLOOKUP(C1927,Магазины!A:C,3,0)</f>
        <v>Кемерово</v>
      </c>
      <c r="J1927">
        <f>VLOOKUP(D1927,Товары!A:I,4,0)</f>
        <v>24810</v>
      </c>
      <c r="K1927">
        <f t="shared" si="30"/>
        <v>24810</v>
      </c>
    </row>
    <row r="1928" spans="1:11" hidden="1" x14ac:dyDescent="0.25">
      <c r="A1928">
        <v>1927</v>
      </c>
      <c r="B1928" s="1">
        <v>45749</v>
      </c>
      <c r="C1928" t="s">
        <v>14</v>
      </c>
      <c r="D1928" t="s">
        <v>23</v>
      </c>
      <c r="E1928" t="s">
        <v>8</v>
      </c>
      <c r="F1928">
        <v>2</v>
      </c>
      <c r="G1928" t="str">
        <f>VLOOKUP(D1928,Товары!A:I,3,0)</f>
        <v>Тумба с раковиной  напол. Альба 800 антрацит 2 ящика с умыв. Слим</v>
      </c>
      <c r="H1928">
        <f>VLOOKUP(D1928,Товары!A:I,6,0)</f>
        <v>80</v>
      </c>
      <c r="I1928" t="str">
        <f>VLOOKUP(C1928,Магазины!A:C,3,0)</f>
        <v>Оренбург</v>
      </c>
      <c r="J1928">
        <f>VLOOKUP(D1928,Товары!A:I,4,0)</f>
        <v>29340</v>
      </c>
      <c r="K1928">
        <f t="shared" si="30"/>
        <v>58680</v>
      </c>
    </row>
    <row r="1929" spans="1:11" hidden="1" x14ac:dyDescent="0.25">
      <c r="A1929">
        <v>1928</v>
      </c>
      <c r="B1929" s="1">
        <v>45757</v>
      </c>
      <c r="C1929" t="s">
        <v>41</v>
      </c>
      <c r="D1929" t="s">
        <v>52</v>
      </c>
      <c r="E1929" t="s">
        <v>8</v>
      </c>
      <c r="F1929">
        <v>2</v>
      </c>
      <c r="G1929" t="str">
        <f>VLOOKUP(D1929,Товары!A:I,3,0)</f>
        <v>Тумба с раковиной  напол. Кристалл 600 суфле 2 ящика с умыв. Океан</v>
      </c>
      <c r="H1929">
        <f>VLOOKUP(D1929,Товары!A:I,6,0)</f>
        <v>80</v>
      </c>
      <c r="I1929" t="str">
        <f>VLOOKUP(C1929,Магазины!A:C,3,0)</f>
        <v>Ставрополь</v>
      </c>
      <c r="J1929">
        <f>VLOOKUP(D1929,Товары!A:I,4,0)</f>
        <v>27600</v>
      </c>
      <c r="K1929">
        <f t="shared" si="30"/>
        <v>55200</v>
      </c>
    </row>
    <row r="1930" spans="1:11" hidden="1" x14ac:dyDescent="0.25">
      <c r="A1930">
        <v>1929</v>
      </c>
      <c r="B1930" s="1">
        <v>45755</v>
      </c>
      <c r="C1930" t="s">
        <v>111</v>
      </c>
      <c r="D1930" t="s">
        <v>34</v>
      </c>
      <c r="E1930" t="s">
        <v>13</v>
      </c>
      <c r="F1930">
        <v>2</v>
      </c>
      <c r="G1930" t="str">
        <f>VLOOKUP(D1930,Товары!A:I,3,0)</f>
        <v>Тумба с раковиной  навес. Леон 700 форест 2 ящика с умыв. Слим</v>
      </c>
      <c r="H1930">
        <f>VLOOKUP(D1930,Товары!A:I,6,0)</f>
        <v>60</v>
      </c>
      <c r="I1930" t="str">
        <f>VLOOKUP(C1930,Магазины!A:C,3,0)</f>
        <v>Набережные Челны</v>
      </c>
      <c r="J1930">
        <f>VLOOKUP(D1930,Товары!A:I,4,0)</f>
        <v>26220</v>
      </c>
      <c r="K1930">
        <f t="shared" si="30"/>
        <v>52440</v>
      </c>
    </row>
    <row r="1931" spans="1:11" hidden="1" x14ac:dyDescent="0.25">
      <c r="A1931">
        <v>1930</v>
      </c>
      <c r="B1931" s="1">
        <v>45751</v>
      </c>
      <c r="C1931" t="s">
        <v>54</v>
      </c>
      <c r="D1931" t="s">
        <v>101</v>
      </c>
      <c r="E1931" t="s">
        <v>13</v>
      </c>
      <c r="F1931">
        <v>3</v>
      </c>
      <c r="G1931" t="str">
        <f>VLOOKUP(D1931,Товары!A:I,3,0)</f>
        <v>Пенал напол. Сохо 400 белый 2 двери + 1 ящик</v>
      </c>
      <c r="H1931">
        <f>VLOOKUP(D1931,Товары!A:I,6,0)</f>
        <v>190</v>
      </c>
      <c r="I1931" t="str">
        <f>VLOOKUP(C1931,Магазины!A:C,3,0)</f>
        <v>Ставрополь</v>
      </c>
      <c r="J1931">
        <f>VLOOKUP(D1931,Товары!A:I,4,0)</f>
        <v>11040</v>
      </c>
      <c r="K1931">
        <f t="shared" si="30"/>
        <v>33120</v>
      </c>
    </row>
    <row r="1932" spans="1:11" hidden="1" x14ac:dyDescent="0.25">
      <c r="A1932">
        <v>1931</v>
      </c>
      <c r="B1932" s="1">
        <v>45751</v>
      </c>
      <c r="C1932" t="s">
        <v>111</v>
      </c>
      <c r="D1932" t="s">
        <v>110</v>
      </c>
      <c r="E1932" t="s">
        <v>8</v>
      </c>
      <c r="F1932">
        <v>3</v>
      </c>
      <c r="G1932" t="str">
        <f>VLOOKUP(D1932,Товары!A:I,3,0)</f>
        <v>Тумба с раковиной  напол. Альба 600 антрацит 2 ящика с умыв. Океан</v>
      </c>
      <c r="H1932">
        <f>VLOOKUP(D1932,Товары!A:I,6,0)</f>
        <v>80</v>
      </c>
      <c r="I1932" t="str">
        <f>VLOOKUP(C1932,Магазины!A:C,3,0)</f>
        <v>Набережные Челны</v>
      </c>
      <c r="J1932">
        <f>VLOOKUP(D1932,Товары!A:I,4,0)</f>
        <v>26370</v>
      </c>
      <c r="K1932">
        <f t="shared" si="30"/>
        <v>79110</v>
      </c>
    </row>
    <row r="1933" spans="1:11" hidden="1" x14ac:dyDescent="0.25">
      <c r="A1933">
        <v>1932</v>
      </c>
      <c r="B1933" s="1">
        <v>45752</v>
      </c>
      <c r="C1933" t="s">
        <v>63</v>
      </c>
      <c r="D1933" t="s">
        <v>101</v>
      </c>
      <c r="E1933" t="s">
        <v>8</v>
      </c>
      <c r="F1933">
        <v>3</v>
      </c>
      <c r="G1933" t="str">
        <f>VLOOKUP(D1933,Товары!A:I,3,0)</f>
        <v>Пенал напол. Сохо 400 белый 2 двери + 1 ящик</v>
      </c>
      <c r="H1933">
        <f>VLOOKUP(D1933,Товары!A:I,6,0)</f>
        <v>190</v>
      </c>
      <c r="I1933" t="str">
        <f>VLOOKUP(C1933,Магазины!A:C,3,0)</f>
        <v>Ставрополь</v>
      </c>
      <c r="J1933">
        <f>VLOOKUP(D1933,Товары!A:I,4,0)</f>
        <v>11040</v>
      </c>
      <c r="K1933">
        <f t="shared" si="30"/>
        <v>33120</v>
      </c>
    </row>
    <row r="1934" spans="1:11" hidden="1" x14ac:dyDescent="0.25">
      <c r="A1934">
        <v>1933</v>
      </c>
      <c r="B1934" s="1">
        <v>45756</v>
      </c>
      <c r="C1934" t="s">
        <v>103</v>
      </c>
      <c r="D1934" t="s">
        <v>107</v>
      </c>
      <c r="E1934" t="s">
        <v>13</v>
      </c>
      <c r="F1934">
        <v>2</v>
      </c>
      <c r="G1934" t="str">
        <f>VLOOKUP(D1934,Товары!A:I,3,0)</f>
        <v>Комод Аква 35 напольный 1 дверь белый правый</v>
      </c>
      <c r="H1934">
        <f>VLOOKUP(D1934,Товары!A:I,6,0)</f>
        <v>90</v>
      </c>
      <c r="I1934" t="str">
        <f>VLOOKUP(C1934,Магазины!A:C,3,0)</f>
        <v>Ставрополь</v>
      </c>
      <c r="J1934">
        <f>VLOOKUP(D1934,Товары!A:I,4,0)</f>
        <v>6705</v>
      </c>
      <c r="K1934">
        <f t="shared" si="30"/>
        <v>13410</v>
      </c>
    </row>
    <row r="1935" spans="1:11" hidden="1" x14ac:dyDescent="0.25">
      <c r="A1935">
        <v>1934</v>
      </c>
      <c r="B1935" s="1">
        <v>45754</v>
      </c>
      <c r="C1935" t="s">
        <v>57</v>
      </c>
      <c r="D1935" t="s">
        <v>119</v>
      </c>
      <c r="E1935" t="s">
        <v>13</v>
      </c>
      <c r="F1935">
        <v>3</v>
      </c>
      <c r="G1935" t="str">
        <f>VLOOKUP(D1935,Товары!A:I,3,0)</f>
        <v>Пенал навес./напол. Рица 350 cерый/керамика 2 двери</v>
      </c>
      <c r="H1935">
        <f>VLOOKUP(D1935,Товары!A:I,6,0)</f>
        <v>160</v>
      </c>
      <c r="I1935" t="str">
        <f>VLOOKUP(C1935,Магазины!A:C,3,0)</f>
        <v>Оренбург</v>
      </c>
      <c r="J1935">
        <f>VLOOKUP(D1935,Товары!A:I,4,0)</f>
        <v>11250</v>
      </c>
      <c r="K1935">
        <f t="shared" si="30"/>
        <v>33750</v>
      </c>
    </row>
    <row r="1936" spans="1:11" hidden="1" x14ac:dyDescent="0.25">
      <c r="A1936">
        <v>1935</v>
      </c>
      <c r="B1936" s="1">
        <v>45754</v>
      </c>
      <c r="C1936" t="s">
        <v>16</v>
      </c>
      <c r="D1936" t="s">
        <v>116</v>
      </c>
      <c r="E1936" t="s">
        <v>8</v>
      </c>
      <c r="F1936">
        <v>2</v>
      </c>
      <c r="G1936" t="str">
        <f>VLOOKUP(D1936,Товары!A:I,3,0)</f>
        <v>Зеркало Нева 60 дуб/белый со светильником</v>
      </c>
      <c r="H1936">
        <f>VLOOKUP(D1936,Товары!A:I,6,0)</f>
        <v>80</v>
      </c>
      <c r="I1936" t="str">
        <f>VLOOKUP(C1936,Магазины!A:C,3,0)</f>
        <v>Оренбург</v>
      </c>
      <c r="J1936">
        <f>VLOOKUP(D1936,Товары!A:I,4,0)</f>
        <v>5100</v>
      </c>
      <c r="K1936">
        <f t="shared" si="30"/>
        <v>10200</v>
      </c>
    </row>
    <row r="1937" spans="1:11" hidden="1" x14ac:dyDescent="0.25">
      <c r="A1937">
        <v>1936</v>
      </c>
      <c r="B1937" s="1">
        <v>45751</v>
      </c>
      <c r="C1937" t="s">
        <v>58</v>
      </c>
      <c r="D1937" t="s">
        <v>120</v>
      </c>
      <c r="E1937" t="s">
        <v>13</v>
      </c>
      <c r="F1937">
        <v>1</v>
      </c>
      <c r="G1937" t="str">
        <f>VLOOKUP(D1937,Товары!A:I,3,0)</f>
        <v>Зеркальный шкаф Альба 60 со светильником правый цвет антрацит</v>
      </c>
      <c r="H1937">
        <f>VLOOKUP(D1937,Товары!A:I,6,0)</f>
        <v>75</v>
      </c>
      <c r="I1937" t="str">
        <f>VLOOKUP(C1937,Магазины!A:C,3,0)</f>
        <v>Ставрополь</v>
      </c>
      <c r="J1937">
        <f>VLOOKUP(D1937,Товары!A:I,4,0)</f>
        <v>8910</v>
      </c>
      <c r="K1937">
        <f t="shared" si="30"/>
        <v>8910</v>
      </c>
    </row>
    <row r="1938" spans="1:11" hidden="1" x14ac:dyDescent="0.25">
      <c r="A1938">
        <v>1937</v>
      </c>
      <c r="B1938" s="1">
        <v>45749</v>
      </c>
      <c r="C1938" t="s">
        <v>26</v>
      </c>
      <c r="D1938" t="s">
        <v>71</v>
      </c>
      <c r="E1938" t="s">
        <v>8</v>
      </c>
      <c r="F1938">
        <v>3</v>
      </c>
      <c r="G1938" t="str">
        <f>VLOOKUP(D1938,Товары!A:I,3,0)</f>
        <v>Тумба с раковиной  навес. Альба 600 мята 2 ящика с умыв. Океан</v>
      </c>
      <c r="H1938">
        <f>VLOOKUP(D1938,Товары!A:I,6,0)</f>
        <v>50</v>
      </c>
      <c r="I1938" t="str">
        <f>VLOOKUP(C1938,Магазины!A:C,3,0)</f>
        <v>Оренбург</v>
      </c>
      <c r="J1938">
        <f>VLOOKUP(D1938,Товары!A:I,4,0)</f>
        <v>24810</v>
      </c>
      <c r="K1938">
        <f t="shared" si="30"/>
        <v>74430</v>
      </c>
    </row>
    <row r="1939" spans="1:11" hidden="1" x14ac:dyDescent="0.25">
      <c r="A1939">
        <v>1938</v>
      </c>
      <c r="B1939" s="1">
        <v>45751</v>
      </c>
      <c r="C1939" t="s">
        <v>58</v>
      </c>
      <c r="D1939" t="s">
        <v>74</v>
      </c>
      <c r="E1939" t="s">
        <v>8</v>
      </c>
      <c r="F1939">
        <v>3</v>
      </c>
      <c r="G1939" t="str">
        <f>VLOOKUP(D1939,Товары!A:I,3,0)</f>
        <v>Тумба с раковиной  напол. Альба 800 суфле 2 ящика с умыв. Слим</v>
      </c>
      <c r="H1939">
        <f>VLOOKUP(D1939,Товары!A:I,6,0)</f>
        <v>80</v>
      </c>
      <c r="I1939" t="str">
        <f>VLOOKUP(C1939,Магазины!A:C,3,0)</f>
        <v>Ставрополь</v>
      </c>
      <c r="J1939">
        <f>VLOOKUP(D1939,Товары!A:I,4,0)</f>
        <v>29340</v>
      </c>
      <c r="K1939">
        <f t="shared" si="30"/>
        <v>88020</v>
      </c>
    </row>
    <row r="1940" spans="1:11" hidden="1" x14ac:dyDescent="0.25">
      <c r="A1940">
        <v>1939</v>
      </c>
      <c r="B1940" s="1">
        <v>45750</v>
      </c>
      <c r="C1940" t="s">
        <v>22</v>
      </c>
      <c r="D1940" t="s">
        <v>88</v>
      </c>
      <c r="E1940" t="s">
        <v>8</v>
      </c>
      <c r="F1940">
        <v>3</v>
      </c>
      <c r="G1940" t="str">
        <f>VLOOKUP(D1940,Товары!A:I,3,0)</f>
        <v>Тумба с раковиной  навес. Альба 800 антрацит 2 ящика с умыв. Слим</v>
      </c>
      <c r="H1940">
        <f>VLOOKUP(D1940,Товары!A:I,6,0)</f>
        <v>50</v>
      </c>
      <c r="I1940" t="str">
        <f>VLOOKUP(C1940,Магазины!A:C,3,0)</f>
        <v>Кемерово</v>
      </c>
      <c r="J1940">
        <f>VLOOKUP(D1940,Товары!A:I,4,0)</f>
        <v>26070</v>
      </c>
      <c r="K1940">
        <f t="shared" si="30"/>
        <v>78210</v>
      </c>
    </row>
    <row r="1941" spans="1:11" hidden="1" x14ac:dyDescent="0.25">
      <c r="A1941">
        <v>1940</v>
      </c>
      <c r="B1941" s="1">
        <v>45749</v>
      </c>
      <c r="C1941" t="s">
        <v>35</v>
      </c>
      <c r="D1941" t="s">
        <v>118</v>
      </c>
      <c r="E1941" t="s">
        <v>8</v>
      </c>
      <c r="F1941">
        <v>1</v>
      </c>
      <c r="G1941" t="str">
        <f>VLOOKUP(D1941,Товары!A:I,3,0)</f>
        <v>Тумба с раковиной  напол. Сохо 800 белый 2 ящика с умыв. Слим</v>
      </c>
      <c r="H1941">
        <f>VLOOKUP(D1941,Товары!A:I,6,0)</f>
        <v>85</v>
      </c>
      <c r="I1941" t="str">
        <f>VLOOKUP(C1941,Магазины!A:C,3,0)</f>
        <v>Набережные Челны</v>
      </c>
      <c r="J1941">
        <f>VLOOKUP(D1941,Товары!A:I,4,0)</f>
        <v>19575</v>
      </c>
      <c r="K1941">
        <f t="shared" si="30"/>
        <v>19575</v>
      </c>
    </row>
    <row r="1942" spans="1:11" hidden="1" x14ac:dyDescent="0.25">
      <c r="A1942">
        <v>1941</v>
      </c>
      <c r="B1942" s="1">
        <v>45755</v>
      </c>
      <c r="C1942" t="s">
        <v>22</v>
      </c>
      <c r="D1942" t="s">
        <v>113</v>
      </c>
      <c r="E1942" t="s">
        <v>13</v>
      </c>
      <c r="F1942">
        <v>2</v>
      </c>
      <c r="G1942" t="str">
        <f>VLOOKUP(D1942,Товары!A:I,3,0)</f>
        <v>Зеркальный шкаф Альба 60 со светильником правый цвет мята</v>
      </c>
      <c r="H1942">
        <f>VLOOKUP(D1942,Товары!A:I,6,0)</f>
        <v>75</v>
      </c>
      <c r="I1942" t="str">
        <f>VLOOKUP(C1942,Магазины!A:C,3,0)</f>
        <v>Кемерово</v>
      </c>
      <c r="J1942">
        <f>VLOOKUP(D1942,Товары!A:I,4,0)</f>
        <v>8910</v>
      </c>
      <c r="K1942">
        <f t="shared" si="30"/>
        <v>17820</v>
      </c>
    </row>
    <row r="1943" spans="1:11" hidden="1" x14ac:dyDescent="0.25">
      <c r="A1943">
        <v>1942</v>
      </c>
      <c r="B1943" s="1">
        <v>45752</v>
      </c>
      <c r="C1943" t="s">
        <v>30</v>
      </c>
      <c r="D1943" t="s">
        <v>128</v>
      </c>
      <c r="E1943" t="s">
        <v>8</v>
      </c>
      <c r="F1943">
        <v>2</v>
      </c>
      <c r="G1943" t="str">
        <f>VLOOKUP(D1943,Товары!A:I,3,0)</f>
        <v>Тумба с раковиной  напол. Куба Риф 1000 белый 2 ящика с умыв. Слим</v>
      </c>
      <c r="H1943">
        <f>VLOOKUP(D1943,Товары!A:I,6,0)</f>
        <v>85</v>
      </c>
      <c r="I1943" t="str">
        <f>VLOOKUP(C1943,Магазины!A:C,3,0)</f>
        <v>Кемерово</v>
      </c>
      <c r="J1943">
        <f>VLOOKUP(D1943,Товары!A:I,4,0)</f>
        <v>22905</v>
      </c>
      <c r="K1943">
        <f t="shared" si="30"/>
        <v>45810</v>
      </c>
    </row>
    <row r="1944" spans="1:11" hidden="1" x14ac:dyDescent="0.25">
      <c r="A1944">
        <v>1943</v>
      </c>
      <c r="B1944" s="1">
        <v>45749</v>
      </c>
      <c r="C1944" t="s">
        <v>26</v>
      </c>
      <c r="D1944" t="s">
        <v>123</v>
      </c>
      <c r="E1944" t="s">
        <v>8</v>
      </c>
      <c r="F1944">
        <v>1</v>
      </c>
      <c r="G1944" t="str">
        <f>VLOOKUP(D1944,Товары!A:I,3,0)</f>
        <v>Тумба с раковиной  напол. Кристалл 800 суфле 2 ящика с умыв. Слим</v>
      </c>
      <c r="H1944">
        <f>VLOOKUP(D1944,Товары!A:I,6,0)</f>
        <v>80</v>
      </c>
      <c r="I1944" t="str">
        <f>VLOOKUP(C1944,Магазины!A:C,3,0)</f>
        <v>Оренбург</v>
      </c>
      <c r="J1944">
        <f>VLOOKUP(D1944,Товары!A:I,4,0)</f>
        <v>31125</v>
      </c>
      <c r="K1944">
        <f t="shared" si="30"/>
        <v>31125</v>
      </c>
    </row>
    <row r="1945" spans="1:11" hidden="1" x14ac:dyDescent="0.25">
      <c r="A1945">
        <v>1944</v>
      </c>
      <c r="B1945" s="1">
        <v>45757</v>
      </c>
      <c r="C1945" t="s">
        <v>30</v>
      </c>
      <c r="D1945" t="s">
        <v>17</v>
      </c>
      <c r="E1945" t="s">
        <v>8</v>
      </c>
      <c r="F1945">
        <v>1</v>
      </c>
      <c r="G1945" t="str">
        <f>VLOOKUP(D1945,Товары!A:I,3,0)</f>
        <v>Тумба с раковиной  навес. Альба 800 антрацит 1 ящик с умыв. Слим</v>
      </c>
      <c r="H1945">
        <f>VLOOKUP(D1945,Товары!A:I,6,0)</f>
        <v>45</v>
      </c>
      <c r="I1945" t="str">
        <f>VLOOKUP(C1945,Магазины!A:C,3,0)</f>
        <v>Кемерово</v>
      </c>
      <c r="J1945">
        <f>VLOOKUP(D1945,Товары!A:I,4,0)</f>
        <v>21630</v>
      </c>
      <c r="K1945">
        <f t="shared" si="30"/>
        <v>21630</v>
      </c>
    </row>
    <row r="1946" spans="1:11" hidden="1" x14ac:dyDescent="0.25">
      <c r="A1946">
        <v>1945</v>
      </c>
      <c r="B1946" s="1">
        <v>45749</v>
      </c>
      <c r="C1946" t="s">
        <v>20</v>
      </c>
      <c r="D1946" t="s">
        <v>23</v>
      </c>
      <c r="E1946" t="s">
        <v>8</v>
      </c>
      <c r="F1946">
        <v>3</v>
      </c>
      <c r="G1946" t="str">
        <f>VLOOKUP(D1946,Товары!A:I,3,0)</f>
        <v>Тумба с раковиной  напол. Альба 800 антрацит 2 ящика с умыв. Слим</v>
      </c>
      <c r="H1946">
        <f>VLOOKUP(D1946,Товары!A:I,6,0)</f>
        <v>80</v>
      </c>
      <c r="I1946" t="str">
        <f>VLOOKUP(C1946,Магазины!A:C,3,0)</f>
        <v>Оренбург</v>
      </c>
      <c r="J1946">
        <f>VLOOKUP(D1946,Товары!A:I,4,0)</f>
        <v>29340</v>
      </c>
      <c r="K1946">
        <f t="shared" si="30"/>
        <v>88020</v>
      </c>
    </row>
    <row r="1947" spans="1:11" hidden="1" x14ac:dyDescent="0.25">
      <c r="A1947">
        <v>1946</v>
      </c>
      <c r="B1947" s="1">
        <v>45752</v>
      </c>
      <c r="C1947" t="s">
        <v>22</v>
      </c>
      <c r="D1947" t="s">
        <v>80</v>
      </c>
      <c r="E1947" t="s">
        <v>13</v>
      </c>
      <c r="F1947">
        <v>2</v>
      </c>
      <c r="G1947" t="str">
        <f>VLOOKUP(D1947,Товары!A:I,3,0)</f>
        <v>Тумба с раковиной  навес. Сохо 600 белый 2 ящика с умыв. Океан</v>
      </c>
      <c r="H1947">
        <f>VLOOKUP(D1947,Товары!A:I,6,0)</f>
        <v>55</v>
      </c>
      <c r="I1947" t="str">
        <f>VLOOKUP(C1947,Магазины!A:C,3,0)</f>
        <v>Кемерово</v>
      </c>
      <c r="J1947">
        <f>VLOOKUP(D1947,Товары!A:I,4,0)</f>
        <v>13950</v>
      </c>
      <c r="K1947">
        <f t="shared" si="30"/>
        <v>27900</v>
      </c>
    </row>
    <row r="1948" spans="1:11" hidden="1" x14ac:dyDescent="0.25">
      <c r="A1948">
        <v>1947</v>
      </c>
      <c r="B1948" s="1">
        <v>45754</v>
      </c>
      <c r="C1948" t="s">
        <v>41</v>
      </c>
      <c r="D1948" t="s">
        <v>73</v>
      </c>
      <c r="E1948" t="s">
        <v>13</v>
      </c>
      <c r="F1948">
        <v>3</v>
      </c>
      <c r="G1948" t="str">
        <f>VLOOKUP(D1948,Товары!A:I,3,0)</f>
        <v>Зеркальный шкаф Альба 70 со светильником правый цвет антрацит</v>
      </c>
      <c r="H1948">
        <f>VLOOKUP(D1948,Товары!A:I,6,0)</f>
        <v>75</v>
      </c>
      <c r="I1948" t="str">
        <f>VLOOKUP(C1948,Магазины!A:C,3,0)</f>
        <v>Ставрополь</v>
      </c>
      <c r="J1948">
        <f>VLOOKUP(D1948,Товары!A:I,4,0)</f>
        <v>9615</v>
      </c>
      <c r="K1948">
        <f t="shared" si="30"/>
        <v>28845</v>
      </c>
    </row>
    <row r="1949" spans="1:11" hidden="1" x14ac:dyDescent="0.25">
      <c r="A1949">
        <v>1948</v>
      </c>
      <c r="B1949" s="1">
        <v>45753</v>
      </c>
      <c r="C1949" t="s">
        <v>57</v>
      </c>
      <c r="D1949" t="s">
        <v>19</v>
      </c>
      <c r="E1949" t="s">
        <v>13</v>
      </c>
      <c r="F1949">
        <v>1</v>
      </c>
      <c r="G1949" t="str">
        <f>VLOOKUP(D1949,Товары!A:I,3,0)</f>
        <v>Тумба с раковиной  навес. Леон 800 оникс 2 ящика с умыв. Слим</v>
      </c>
      <c r="H1949">
        <f>VLOOKUP(D1949,Товары!A:I,6,0)</f>
        <v>60</v>
      </c>
      <c r="I1949" t="str">
        <f>VLOOKUP(C1949,Магазины!A:C,3,0)</f>
        <v>Оренбург</v>
      </c>
      <c r="J1949">
        <f>VLOOKUP(D1949,Товары!A:I,4,0)</f>
        <v>27930</v>
      </c>
      <c r="K1949">
        <f t="shared" si="30"/>
        <v>27930</v>
      </c>
    </row>
    <row r="1950" spans="1:11" hidden="1" x14ac:dyDescent="0.25">
      <c r="A1950">
        <v>1949</v>
      </c>
      <c r="B1950" s="1">
        <v>45756</v>
      </c>
      <c r="C1950" t="s">
        <v>16</v>
      </c>
      <c r="D1950" t="s">
        <v>46</v>
      </c>
      <c r="E1950" t="s">
        <v>13</v>
      </c>
      <c r="F1950">
        <v>1</v>
      </c>
      <c r="G1950" t="str">
        <f>VLOOKUP(D1950,Товары!A:I,3,0)</f>
        <v>Тумба с раковиной  напол. Сохо 700 белый 2 ящика с умыв. Слим</v>
      </c>
      <c r="H1950">
        <f>VLOOKUP(D1950,Товары!A:I,6,0)</f>
        <v>85</v>
      </c>
      <c r="I1950" t="str">
        <f>VLOOKUP(C1950,Магазины!A:C,3,0)</f>
        <v>Оренбург</v>
      </c>
      <c r="J1950">
        <f>VLOOKUP(D1950,Товары!A:I,4,0)</f>
        <v>18405</v>
      </c>
      <c r="K1950">
        <f t="shared" si="30"/>
        <v>18405</v>
      </c>
    </row>
    <row r="1951" spans="1:11" hidden="1" x14ac:dyDescent="0.25">
      <c r="A1951">
        <v>1950</v>
      </c>
      <c r="B1951" s="1">
        <v>45748</v>
      </c>
      <c r="C1951" t="s">
        <v>18</v>
      </c>
      <c r="D1951" t="s">
        <v>73</v>
      </c>
      <c r="E1951" t="s">
        <v>8</v>
      </c>
      <c r="F1951">
        <v>2</v>
      </c>
      <c r="G1951" t="str">
        <f>VLOOKUP(D1951,Товары!A:I,3,0)</f>
        <v>Зеркальный шкаф Альба 70 со светильником правый цвет антрацит</v>
      </c>
      <c r="H1951">
        <f>VLOOKUP(D1951,Товары!A:I,6,0)</f>
        <v>75</v>
      </c>
      <c r="I1951" t="str">
        <f>VLOOKUP(C1951,Магазины!A:C,3,0)</f>
        <v>Набережные Челны</v>
      </c>
      <c r="J1951">
        <f>VLOOKUP(D1951,Товары!A:I,4,0)</f>
        <v>9615</v>
      </c>
      <c r="K1951">
        <f t="shared" si="30"/>
        <v>19230</v>
      </c>
    </row>
    <row r="1952" spans="1:11" hidden="1" x14ac:dyDescent="0.25">
      <c r="A1952">
        <v>1951</v>
      </c>
      <c r="B1952" s="1">
        <v>45755</v>
      </c>
      <c r="C1952" t="s">
        <v>9</v>
      </c>
      <c r="D1952" t="s">
        <v>93</v>
      </c>
      <c r="E1952" t="s">
        <v>13</v>
      </c>
      <c r="F1952">
        <v>3</v>
      </c>
      <c r="G1952" t="str">
        <f>VLOOKUP(D1952,Товары!A:I,3,0)</f>
        <v>Тумба с раковиной  напол. Леон Риф 800 солярис/белый риф 2 ящика с умыв. Слим</v>
      </c>
      <c r="H1952">
        <f>VLOOKUP(D1952,Товары!A:I,6,0)</f>
        <v>80</v>
      </c>
      <c r="I1952" t="str">
        <f>VLOOKUP(C1952,Магазины!A:C,3,0)</f>
        <v>Кемерово</v>
      </c>
      <c r="J1952">
        <f>VLOOKUP(D1952,Товары!A:I,4,0)</f>
        <v>29340</v>
      </c>
      <c r="K1952">
        <f t="shared" si="30"/>
        <v>88020</v>
      </c>
    </row>
    <row r="1953" spans="1:11" hidden="1" x14ac:dyDescent="0.25">
      <c r="A1953">
        <v>1952</v>
      </c>
      <c r="B1953" s="1">
        <v>45755</v>
      </c>
      <c r="C1953" t="s">
        <v>41</v>
      </c>
      <c r="D1953" t="s">
        <v>93</v>
      </c>
      <c r="E1953" t="s">
        <v>13</v>
      </c>
      <c r="F1953">
        <v>3</v>
      </c>
      <c r="G1953" t="str">
        <f>VLOOKUP(D1953,Товары!A:I,3,0)</f>
        <v>Тумба с раковиной  напол. Леон Риф 800 солярис/белый риф 2 ящика с умыв. Слим</v>
      </c>
      <c r="H1953">
        <f>VLOOKUP(D1953,Товары!A:I,6,0)</f>
        <v>80</v>
      </c>
      <c r="I1953" t="str">
        <f>VLOOKUP(C1953,Магазины!A:C,3,0)</f>
        <v>Ставрополь</v>
      </c>
      <c r="J1953">
        <f>VLOOKUP(D1953,Товары!A:I,4,0)</f>
        <v>29340</v>
      </c>
      <c r="K1953">
        <f t="shared" si="30"/>
        <v>88020</v>
      </c>
    </row>
    <row r="1954" spans="1:11" hidden="1" x14ac:dyDescent="0.25">
      <c r="A1954">
        <v>1953</v>
      </c>
      <c r="B1954" s="1">
        <v>45753</v>
      </c>
      <c r="C1954" t="s">
        <v>16</v>
      </c>
      <c r="D1954" t="s">
        <v>115</v>
      </c>
      <c r="E1954" t="s">
        <v>8</v>
      </c>
      <c r="F1954">
        <v>1</v>
      </c>
      <c r="G1954" t="str">
        <f>VLOOKUP(D1954,Товары!A:I,3,0)</f>
        <v>Тумба под стиральную машину Куба Риф 57 напольная 2 ящика под ст/маш, без умывальника /под Marshall 120 Белый</v>
      </c>
      <c r="H1954">
        <f>VLOOKUP(D1954,Товары!A:I,6,0)</f>
        <v>85</v>
      </c>
      <c r="I1954" t="str">
        <f>VLOOKUP(C1954,Магазины!A:C,3,0)</f>
        <v>Оренбург</v>
      </c>
      <c r="J1954">
        <f>VLOOKUP(D1954,Товары!A:I,4,0)</f>
        <v>10530</v>
      </c>
      <c r="K1954">
        <f t="shared" si="30"/>
        <v>10530</v>
      </c>
    </row>
    <row r="1955" spans="1:11" hidden="1" x14ac:dyDescent="0.25">
      <c r="A1955">
        <v>1954</v>
      </c>
      <c r="B1955" s="1">
        <v>45757</v>
      </c>
      <c r="C1955" t="s">
        <v>14</v>
      </c>
      <c r="D1955" t="s">
        <v>114</v>
      </c>
      <c r="E1955" t="s">
        <v>8</v>
      </c>
      <c r="F1955">
        <v>3</v>
      </c>
      <c r="G1955" t="str">
        <f>VLOOKUP(D1955,Товары!A:I,3,0)</f>
        <v>Тумба с раковиной  навес. Альба 700 мята 2 ящика с умыв. Слим</v>
      </c>
      <c r="H1955">
        <f>VLOOKUP(D1955,Товары!A:I,6,0)</f>
        <v>60</v>
      </c>
      <c r="I1955" t="str">
        <f>VLOOKUP(C1955,Магазины!A:C,3,0)</f>
        <v>Оренбург</v>
      </c>
      <c r="J1955">
        <f>VLOOKUP(D1955,Товары!A:I,4,0)</f>
        <v>25095</v>
      </c>
      <c r="K1955">
        <f t="shared" si="30"/>
        <v>75285</v>
      </c>
    </row>
    <row r="1956" spans="1:11" hidden="1" x14ac:dyDescent="0.25">
      <c r="A1956">
        <v>1955</v>
      </c>
      <c r="B1956" s="1">
        <v>45757</v>
      </c>
      <c r="C1956" t="s">
        <v>43</v>
      </c>
      <c r="D1956" t="s">
        <v>64</v>
      </c>
      <c r="E1956" t="s">
        <v>13</v>
      </c>
      <c r="F1956">
        <v>1</v>
      </c>
      <c r="G1956" t="str">
        <f>VLOOKUP(D1956,Товары!A:I,3,0)</f>
        <v>Тумба с раковиной  напол. Рица 800 антрацит 2 ящика с умыв. Слим</v>
      </c>
      <c r="H1956">
        <f>VLOOKUP(D1956,Товары!A:I,6,0)</f>
        <v>80</v>
      </c>
      <c r="I1956" t="str">
        <f>VLOOKUP(C1956,Магазины!A:C,3,0)</f>
        <v>Набережные Челны</v>
      </c>
      <c r="J1956">
        <f>VLOOKUP(D1956,Товары!A:I,4,0)</f>
        <v>28980</v>
      </c>
      <c r="K1956">
        <f t="shared" si="30"/>
        <v>28980</v>
      </c>
    </row>
    <row r="1957" spans="1:11" hidden="1" x14ac:dyDescent="0.25">
      <c r="A1957">
        <v>1956</v>
      </c>
      <c r="B1957" s="1">
        <v>45756</v>
      </c>
      <c r="C1957" t="s">
        <v>57</v>
      </c>
      <c r="D1957" t="s">
        <v>97</v>
      </c>
      <c r="E1957" t="s">
        <v>13</v>
      </c>
      <c r="F1957">
        <v>1</v>
      </c>
      <c r="G1957" t="str">
        <f>VLOOKUP(D1957,Товары!A:I,3,0)</f>
        <v>Пенал напол. Кристалл 350 суфле 2 двери</v>
      </c>
      <c r="H1957">
        <f>VLOOKUP(D1957,Товары!A:I,6,0)</f>
        <v>190</v>
      </c>
      <c r="I1957" t="str">
        <f>VLOOKUP(C1957,Магазины!A:C,3,0)</f>
        <v>Оренбург</v>
      </c>
      <c r="J1957">
        <f>VLOOKUP(D1957,Товары!A:I,4,0)</f>
        <v>15810</v>
      </c>
      <c r="K1957">
        <f t="shared" si="30"/>
        <v>15810</v>
      </c>
    </row>
    <row r="1958" spans="1:11" hidden="1" x14ac:dyDescent="0.25">
      <c r="A1958">
        <v>1957</v>
      </c>
      <c r="B1958" s="1">
        <v>45751</v>
      </c>
      <c r="C1958" t="s">
        <v>92</v>
      </c>
      <c r="D1958" t="s">
        <v>40</v>
      </c>
      <c r="E1958" t="s">
        <v>13</v>
      </c>
      <c r="F1958">
        <v>1</v>
      </c>
      <c r="G1958" t="str">
        <f>VLOOKUP(D1958,Товары!A:I,3,0)</f>
        <v>Тумба с раковиной  навес. Рица 800 cерый/керамика 1 ящик + ниша 1 с умыв. Слим</v>
      </c>
      <c r="H1958">
        <f>VLOOKUP(D1958,Товары!A:I,6,0)</f>
        <v>60</v>
      </c>
      <c r="I1958" t="str">
        <f>VLOOKUP(C1958,Магазины!A:C,3,0)</f>
        <v>Кемерово</v>
      </c>
      <c r="J1958">
        <f>VLOOKUP(D1958,Товары!A:I,4,0)</f>
        <v>22425</v>
      </c>
      <c r="K1958">
        <f t="shared" si="30"/>
        <v>22425</v>
      </c>
    </row>
    <row r="1959" spans="1:11" hidden="1" x14ac:dyDescent="0.25">
      <c r="A1959">
        <v>1958</v>
      </c>
      <c r="B1959" s="1">
        <v>45756</v>
      </c>
      <c r="C1959" t="s">
        <v>22</v>
      </c>
      <c r="D1959" t="s">
        <v>50</v>
      </c>
      <c r="E1959" t="s">
        <v>8</v>
      </c>
      <c r="F1959">
        <v>3</v>
      </c>
      <c r="G1959" t="str">
        <f>VLOOKUP(D1959,Товары!A:I,3,0)</f>
        <v>Тумба с раковиной  напол. Леон 800 оникс 2 ящика с умыв. Слим</v>
      </c>
      <c r="H1959">
        <f>VLOOKUP(D1959,Товары!A:I,6,0)</f>
        <v>80</v>
      </c>
      <c r="I1959" t="str">
        <f>VLOOKUP(C1959,Магазины!A:C,3,0)</f>
        <v>Кемерово</v>
      </c>
      <c r="J1959">
        <f>VLOOKUP(D1959,Товары!A:I,4,0)</f>
        <v>29400</v>
      </c>
      <c r="K1959">
        <f t="shared" si="30"/>
        <v>88200</v>
      </c>
    </row>
    <row r="1960" spans="1:11" hidden="1" x14ac:dyDescent="0.25">
      <c r="A1960">
        <v>1959</v>
      </c>
      <c r="B1960" s="1">
        <v>45756</v>
      </c>
      <c r="C1960" t="s">
        <v>26</v>
      </c>
      <c r="D1960" t="s">
        <v>114</v>
      </c>
      <c r="E1960" t="s">
        <v>13</v>
      </c>
      <c r="F1960">
        <v>1</v>
      </c>
      <c r="G1960" t="str">
        <f>VLOOKUP(D1960,Товары!A:I,3,0)</f>
        <v>Тумба с раковиной  навес. Альба 700 мята 2 ящика с умыв. Слим</v>
      </c>
      <c r="H1960">
        <f>VLOOKUP(D1960,Товары!A:I,6,0)</f>
        <v>60</v>
      </c>
      <c r="I1960" t="str">
        <f>VLOOKUP(C1960,Магазины!A:C,3,0)</f>
        <v>Оренбург</v>
      </c>
      <c r="J1960">
        <f>VLOOKUP(D1960,Товары!A:I,4,0)</f>
        <v>25095</v>
      </c>
      <c r="K1960">
        <f t="shared" si="30"/>
        <v>25095</v>
      </c>
    </row>
    <row r="1961" spans="1:11" hidden="1" x14ac:dyDescent="0.25">
      <c r="A1961">
        <v>1960</v>
      </c>
      <c r="B1961" s="1">
        <v>45754</v>
      </c>
      <c r="C1961" t="s">
        <v>14</v>
      </c>
      <c r="D1961" t="s">
        <v>38</v>
      </c>
      <c r="E1961" t="s">
        <v>8</v>
      </c>
      <c r="F1961">
        <v>1</v>
      </c>
      <c r="G1961" t="str">
        <f>VLOOKUP(D1961,Товары!A:I,3,0)</f>
        <v>Тумба с раковиной  навес. Куба Риф 600 белый 2 ящика с умыв. Como</v>
      </c>
      <c r="H1961">
        <f>VLOOKUP(D1961,Товары!A:I,6,0)</f>
        <v>55</v>
      </c>
      <c r="I1961" t="str">
        <f>VLOOKUP(C1961,Магазины!A:C,3,0)</f>
        <v>Оренбург</v>
      </c>
      <c r="J1961">
        <f>VLOOKUP(D1961,Товары!A:I,4,0)</f>
        <v>14265</v>
      </c>
      <c r="K1961">
        <f t="shared" si="30"/>
        <v>14265</v>
      </c>
    </row>
    <row r="1962" spans="1:11" hidden="1" x14ac:dyDescent="0.25">
      <c r="A1962">
        <v>1961</v>
      </c>
      <c r="B1962" s="1">
        <v>45754</v>
      </c>
      <c r="C1962" t="s">
        <v>28</v>
      </c>
      <c r="D1962" t="s">
        <v>78</v>
      </c>
      <c r="E1962" t="s">
        <v>8</v>
      </c>
      <c r="F1962">
        <v>3</v>
      </c>
      <c r="G1962" t="str">
        <f>VLOOKUP(D1962,Товары!A:I,3,0)</f>
        <v>Зеркальный шкаф Кристалл 70 со светильником правый, ручка кнопка дуб цвет Шато Азур</v>
      </c>
      <c r="H1962">
        <f>VLOOKUP(D1962,Товары!A:I,6,0)</f>
        <v>75</v>
      </c>
      <c r="I1962" t="str">
        <f>VLOOKUP(C1962,Магазины!A:C,3,0)</f>
        <v>Набережные Челны</v>
      </c>
      <c r="J1962">
        <f>VLOOKUP(D1962,Товары!A:I,4,0)</f>
        <v>9615</v>
      </c>
      <c r="K1962">
        <f t="shared" si="30"/>
        <v>28845</v>
      </c>
    </row>
    <row r="1963" spans="1:11" hidden="1" x14ac:dyDescent="0.25">
      <c r="A1963">
        <v>1962</v>
      </c>
      <c r="B1963" s="1">
        <v>45755</v>
      </c>
      <c r="C1963" t="s">
        <v>35</v>
      </c>
      <c r="D1963" t="s">
        <v>37</v>
      </c>
      <c r="E1963" t="s">
        <v>8</v>
      </c>
      <c r="F1963">
        <v>1</v>
      </c>
      <c r="G1963" t="str">
        <f>VLOOKUP(D1963,Товары!A:I,3,0)</f>
        <v>Зеркальный шкаф Сохо 70 белый со светильником правый цвет Белый глянец</v>
      </c>
      <c r="H1963">
        <f>VLOOKUP(D1963,Товары!A:I,6,0)</f>
        <v>75</v>
      </c>
      <c r="I1963" t="str">
        <f>VLOOKUP(C1963,Магазины!A:C,3,0)</f>
        <v>Набережные Челны</v>
      </c>
      <c r="J1963">
        <f>VLOOKUP(D1963,Товары!A:I,4,0)</f>
        <v>7935</v>
      </c>
      <c r="K1963">
        <f t="shared" si="30"/>
        <v>7935</v>
      </c>
    </row>
    <row r="1964" spans="1:11" hidden="1" x14ac:dyDescent="0.25">
      <c r="A1964">
        <v>1963</v>
      </c>
      <c r="B1964" s="1">
        <v>45755</v>
      </c>
      <c r="C1964" t="s">
        <v>63</v>
      </c>
      <c r="D1964" t="s">
        <v>10</v>
      </c>
      <c r="E1964" t="s">
        <v>13</v>
      </c>
      <c r="F1964">
        <v>2</v>
      </c>
      <c r="G1964" t="str">
        <f>VLOOKUP(D1964,Товары!A:I,3,0)</f>
        <v>Тумба с раковиной  навес. Альба 700 антрацит 1 ящик с умыв. Слим</v>
      </c>
      <c r="H1964">
        <f>VLOOKUP(D1964,Товары!A:I,6,0)</f>
        <v>45</v>
      </c>
      <c r="I1964" t="str">
        <f>VLOOKUP(C1964,Магазины!A:C,3,0)</f>
        <v>Ставрополь</v>
      </c>
      <c r="J1964">
        <f>VLOOKUP(D1964,Товары!A:I,4,0)</f>
        <v>20130</v>
      </c>
      <c r="K1964">
        <f t="shared" si="30"/>
        <v>40260</v>
      </c>
    </row>
    <row r="1965" spans="1:11" hidden="1" x14ac:dyDescent="0.25">
      <c r="A1965">
        <v>1964</v>
      </c>
      <c r="B1965" s="1">
        <v>45754</v>
      </c>
      <c r="C1965" t="s">
        <v>11</v>
      </c>
      <c r="D1965" t="s">
        <v>51</v>
      </c>
      <c r="E1965" t="s">
        <v>13</v>
      </c>
      <c r="F1965">
        <v>3</v>
      </c>
      <c r="G1965" t="str">
        <f>VLOOKUP(D1965,Товары!A:I,3,0)</f>
        <v>Зеркальный шкаф Альба 80 со светильником правый цвет суфле</v>
      </c>
      <c r="H1965">
        <f>VLOOKUP(D1965,Товары!A:I,6,0)</f>
        <v>75</v>
      </c>
      <c r="I1965" t="str">
        <f>VLOOKUP(C1965,Магазины!A:C,3,0)</f>
        <v>Кемерово</v>
      </c>
      <c r="J1965">
        <f>VLOOKUP(D1965,Товары!A:I,4,0)</f>
        <v>9930</v>
      </c>
      <c r="K1965">
        <f t="shared" si="30"/>
        <v>29790</v>
      </c>
    </row>
    <row r="1966" spans="1:11" hidden="1" x14ac:dyDescent="0.25">
      <c r="A1966">
        <v>1965</v>
      </c>
      <c r="B1966" s="1">
        <v>45749</v>
      </c>
      <c r="C1966" t="s">
        <v>33</v>
      </c>
      <c r="D1966" t="s">
        <v>25</v>
      </c>
      <c r="E1966" t="s">
        <v>13</v>
      </c>
      <c r="F1966">
        <v>1</v>
      </c>
      <c r="G1966" t="str">
        <f>VLOOKUP(D1966,Товары!A:I,3,0)</f>
        <v>Пенал напол. Леон 400 оникс 2 двери + 1 ящик</v>
      </c>
      <c r="H1966">
        <f>VLOOKUP(D1966,Товары!A:I,6,0)</f>
        <v>190</v>
      </c>
      <c r="I1966" t="str">
        <f>VLOOKUP(C1966,Магазины!A:C,3,0)</f>
        <v>Набережные Челны</v>
      </c>
      <c r="J1966">
        <f>VLOOKUP(D1966,Товары!A:I,4,0)</f>
        <v>18450</v>
      </c>
      <c r="K1966">
        <f t="shared" si="30"/>
        <v>18450</v>
      </c>
    </row>
    <row r="1967" spans="1:11" hidden="1" x14ac:dyDescent="0.25">
      <c r="A1967">
        <v>1966</v>
      </c>
      <c r="B1967" s="1">
        <v>45756</v>
      </c>
      <c r="C1967" t="s">
        <v>43</v>
      </c>
      <c r="D1967" t="s">
        <v>52</v>
      </c>
      <c r="E1967" t="s">
        <v>13</v>
      </c>
      <c r="F1967">
        <v>3</v>
      </c>
      <c r="G1967" t="str">
        <f>VLOOKUP(D1967,Товары!A:I,3,0)</f>
        <v>Тумба с раковиной  напол. Кристалл 600 суфле 2 ящика с умыв. Океан</v>
      </c>
      <c r="H1967">
        <f>VLOOKUP(D1967,Товары!A:I,6,0)</f>
        <v>80</v>
      </c>
      <c r="I1967" t="str">
        <f>VLOOKUP(C1967,Магазины!A:C,3,0)</f>
        <v>Набережные Челны</v>
      </c>
      <c r="J1967">
        <f>VLOOKUP(D1967,Товары!A:I,4,0)</f>
        <v>27600</v>
      </c>
      <c r="K1967">
        <f t="shared" si="30"/>
        <v>82800</v>
      </c>
    </row>
    <row r="1968" spans="1:11" hidden="1" x14ac:dyDescent="0.25">
      <c r="A1968">
        <v>1967</v>
      </c>
      <c r="B1968" s="1">
        <v>45750</v>
      </c>
      <c r="C1968" t="s">
        <v>35</v>
      </c>
      <c r="D1968" t="s">
        <v>47</v>
      </c>
      <c r="E1968" t="s">
        <v>8</v>
      </c>
      <c r="F1968">
        <v>3</v>
      </c>
      <c r="G1968" t="str">
        <f>VLOOKUP(D1968,Товары!A:I,3,0)</f>
        <v>Пенал напол. Кристалл 350 шато азур 2 двери</v>
      </c>
      <c r="H1968">
        <f>VLOOKUP(D1968,Товары!A:I,6,0)</f>
        <v>190</v>
      </c>
      <c r="I1968" t="str">
        <f>VLOOKUP(C1968,Магазины!A:C,3,0)</f>
        <v>Набережные Челны</v>
      </c>
      <c r="J1968">
        <f>VLOOKUP(D1968,Товары!A:I,4,0)</f>
        <v>15810</v>
      </c>
      <c r="K1968">
        <f t="shared" si="30"/>
        <v>47430</v>
      </c>
    </row>
    <row r="1969" spans="1:11" hidden="1" x14ac:dyDescent="0.25">
      <c r="A1969">
        <v>1968</v>
      </c>
      <c r="B1969" s="1">
        <v>45757</v>
      </c>
      <c r="C1969" t="s">
        <v>11</v>
      </c>
      <c r="D1969" t="s">
        <v>53</v>
      </c>
      <c r="E1969" t="s">
        <v>8</v>
      </c>
      <c r="F1969">
        <v>2</v>
      </c>
      <c r="G1969" t="str">
        <f>VLOOKUP(D1969,Товары!A:I,3,0)</f>
        <v>Тумба с раковиной  напол. Кристалл 600 шато азур 2 ящика с умыв. Океан</v>
      </c>
      <c r="H1969">
        <f>VLOOKUP(D1969,Товары!A:I,6,0)</f>
        <v>85</v>
      </c>
      <c r="I1969" t="str">
        <f>VLOOKUP(C1969,Магазины!A:C,3,0)</f>
        <v>Кемерово</v>
      </c>
      <c r="J1969">
        <f>VLOOKUP(D1969,Товары!A:I,4,0)</f>
        <v>27600</v>
      </c>
      <c r="K1969">
        <f t="shared" si="30"/>
        <v>55200</v>
      </c>
    </row>
    <row r="1970" spans="1:11" hidden="1" x14ac:dyDescent="0.25">
      <c r="A1970">
        <v>1969</v>
      </c>
      <c r="B1970" s="1">
        <v>45748</v>
      </c>
      <c r="C1970" t="s">
        <v>58</v>
      </c>
      <c r="D1970" t="s">
        <v>90</v>
      </c>
      <c r="E1970" t="s">
        <v>8</v>
      </c>
      <c r="F1970">
        <v>2</v>
      </c>
      <c r="G1970" t="str">
        <f>VLOOKUP(D1970,Товары!A:I,3,0)</f>
        <v>Пенал напол. Аква 350 белый 2 двери + 2 ящика</v>
      </c>
      <c r="H1970">
        <f>VLOOKUP(D1970,Товары!A:I,6,0)</f>
        <v>190</v>
      </c>
      <c r="I1970" t="str">
        <f>VLOOKUP(C1970,Магазины!A:C,3,0)</f>
        <v>Ставрополь</v>
      </c>
      <c r="J1970">
        <f>VLOOKUP(D1970,Товары!A:I,4,0)</f>
        <v>10650</v>
      </c>
      <c r="K1970">
        <f t="shared" si="30"/>
        <v>21300</v>
      </c>
    </row>
    <row r="1971" spans="1:11" hidden="1" x14ac:dyDescent="0.25">
      <c r="A1971">
        <v>1970</v>
      </c>
      <c r="B1971" s="1">
        <v>45749</v>
      </c>
      <c r="C1971" t="s">
        <v>63</v>
      </c>
      <c r="D1971" t="s">
        <v>21</v>
      </c>
      <c r="E1971" t="s">
        <v>13</v>
      </c>
      <c r="F1971">
        <v>1</v>
      </c>
      <c r="G1971" t="str">
        <f>VLOOKUP(D1971,Товары!A:I,3,0)</f>
        <v>Зеркальный шкаф Рица 60 со светильником правый цвет cерый/керамика</v>
      </c>
      <c r="H1971">
        <f>VLOOKUP(D1971,Товары!A:I,6,0)</f>
        <v>75</v>
      </c>
      <c r="I1971" t="str">
        <f>VLOOKUP(C1971,Магазины!A:C,3,0)</f>
        <v>Ставрополь</v>
      </c>
      <c r="J1971">
        <f>VLOOKUP(D1971,Товары!A:I,4,0)</f>
        <v>8910</v>
      </c>
      <c r="K1971">
        <f t="shared" si="30"/>
        <v>8910</v>
      </c>
    </row>
    <row r="1972" spans="1:11" hidden="1" x14ac:dyDescent="0.25">
      <c r="A1972">
        <v>1971</v>
      </c>
      <c r="B1972" s="1">
        <v>45757</v>
      </c>
      <c r="C1972" t="s">
        <v>58</v>
      </c>
      <c r="D1972" t="s">
        <v>23</v>
      </c>
      <c r="E1972" t="s">
        <v>8</v>
      </c>
      <c r="F1972">
        <v>2</v>
      </c>
      <c r="G1972" t="str">
        <f>VLOOKUP(D1972,Товары!A:I,3,0)</f>
        <v>Тумба с раковиной  напол. Альба 800 антрацит 2 ящика с умыв. Слим</v>
      </c>
      <c r="H1972">
        <f>VLOOKUP(D1972,Товары!A:I,6,0)</f>
        <v>80</v>
      </c>
      <c r="I1972" t="str">
        <f>VLOOKUP(C1972,Магазины!A:C,3,0)</f>
        <v>Ставрополь</v>
      </c>
      <c r="J1972">
        <f>VLOOKUP(D1972,Товары!A:I,4,0)</f>
        <v>29340</v>
      </c>
      <c r="K1972">
        <f t="shared" si="30"/>
        <v>58680</v>
      </c>
    </row>
    <row r="1973" spans="1:11" hidden="1" x14ac:dyDescent="0.25">
      <c r="A1973">
        <v>1972</v>
      </c>
      <c r="B1973" s="1">
        <v>45749</v>
      </c>
      <c r="C1973" t="s">
        <v>30</v>
      </c>
      <c r="D1973" t="s">
        <v>122</v>
      </c>
      <c r="E1973" t="s">
        <v>13</v>
      </c>
      <c r="F1973">
        <v>2</v>
      </c>
      <c r="G1973" t="str">
        <f>VLOOKUP(D1973,Товары!A:I,3,0)</f>
        <v>Тумба с раковиной  навес. Кристалл 600 шато азур 2 ящика с умыв. Океан</v>
      </c>
      <c r="H1973">
        <f>VLOOKUP(D1973,Товары!A:I,6,0)</f>
        <v>55</v>
      </c>
      <c r="I1973" t="str">
        <f>VLOOKUP(C1973,Магазины!A:C,3,0)</f>
        <v>Кемерово</v>
      </c>
      <c r="J1973">
        <f>VLOOKUP(D1973,Товары!A:I,4,0)</f>
        <v>21960</v>
      </c>
      <c r="K1973">
        <f t="shared" si="30"/>
        <v>43920</v>
      </c>
    </row>
    <row r="1974" spans="1:11" hidden="1" x14ac:dyDescent="0.25">
      <c r="A1974">
        <v>1973</v>
      </c>
      <c r="B1974" s="1">
        <v>45750</v>
      </c>
      <c r="C1974" t="s">
        <v>111</v>
      </c>
      <c r="D1974" t="s">
        <v>116</v>
      </c>
      <c r="E1974" t="s">
        <v>13</v>
      </c>
      <c r="F1974">
        <v>3</v>
      </c>
      <c r="G1974" t="str">
        <f>VLOOKUP(D1974,Товары!A:I,3,0)</f>
        <v>Зеркало Нева 60 дуб/белый со светильником</v>
      </c>
      <c r="H1974">
        <f>VLOOKUP(D1974,Товары!A:I,6,0)</f>
        <v>80</v>
      </c>
      <c r="I1974" t="str">
        <f>VLOOKUP(C1974,Магазины!A:C,3,0)</f>
        <v>Набережные Челны</v>
      </c>
      <c r="J1974">
        <f>VLOOKUP(D1974,Товары!A:I,4,0)</f>
        <v>5100</v>
      </c>
      <c r="K1974">
        <f t="shared" si="30"/>
        <v>15300</v>
      </c>
    </row>
    <row r="1975" spans="1:11" hidden="1" x14ac:dyDescent="0.25">
      <c r="A1975">
        <v>1974</v>
      </c>
      <c r="B1975" s="1">
        <v>45753</v>
      </c>
      <c r="C1975" t="s">
        <v>103</v>
      </c>
      <c r="D1975" t="s">
        <v>60</v>
      </c>
      <c r="E1975" t="s">
        <v>13</v>
      </c>
      <c r="F1975">
        <v>3</v>
      </c>
      <c r="G1975" t="str">
        <f>VLOOKUP(D1975,Товары!A:I,3,0)</f>
        <v>Пенал навес. Куба Риф 350 белый 2 двери</v>
      </c>
      <c r="H1975">
        <f>VLOOKUP(D1975,Товары!A:I,6,0)</f>
        <v>150</v>
      </c>
      <c r="I1975" t="str">
        <f>VLOOKUP(C1975,Магазины!A:C,3,0)</f>
        <v>Ставрополь</v>
      </c>
      <c r="J1975">
        <f>VLOOKUP(D1975,Товары!A:I,4,0)</f>
        <v>9720</v>
      </c>
      <c r="K1975">
        <f t="shared" si="30"/>
        <v>29160</v>
      </c>
    </row>
    <row r="1976" spans="1:11" hidden="1" x14ac:dyDescent="0.25">
      <c r="A1976">
        <v>1975</v>
      </c>
      <c r="B1976" s="1">
        <v>45748</v>
      </c>
      <c r="C1976" t="s">
        <v>43</v>
      </c>
      <c r="D1976" t="s">
        <v>56</v>
      </c>
      <c r="E1976" t="s">
        <v>13</v>
      </c>
      <c r="F1976">
        <v>2</v>
      </c>
      <c r="G1976" t="str">
        <f>VLOOKUP(D1976,Товары!A:I,3,0)</f>
        <v>Зеркальный шкаф Альба 80 со светильником правый цвет мята</v>
      </c>
      <c r="H1976">
        <f>VLOOKUP(D1976,Товары!A:I,6,0)</f>
        <v>75</v>
      </c>
      <c r="I1976" t="str">
        <f>VLOOKUP(C1976,Магазины!A:C,3,0)</f>
        <v>Набережные Челны</v>
      </c>
      <c r="J1976">
        <f>VLOOKUP(D1976,Товары!A:I,4,0)</f>
        <v>9930</v>
      </c>
      <c r="K1976">
        <f t="shared" si="30"/>
        <v>19860</v>
      </c>
    </row>
    <row r="1977" spans="1:11" hidden="1" x14ac:dyDescent="0.25">
      <c r="A1977">
        <v>1976</v>
      </c>
      <c r="B1977" s="1">
        <v>45753</v>
      </c>
      <c r="C1977" t="s">
        <v>58</v>
      </c>
      <c r="D1977" t="s">
        <v>106</v>
      </c>
      <c r="E1977" t="s">
        <v>13</v>
      </c>
      <c r="F1977">
        <v>2</v>
      </c>
      <c r="G1977" t="str">
        <f>VLOOKUP(D1977,Товары!A:I,3,0)</f>
        <v>Тумба с раковиной  навес. Кристалл 700 шато азур 2 ящика с умыв. Слим</v>
      </c>
      <c r="H1977">
        <f>VLOOKUP(D1977,Товары!A:I,6,0)</f>
        <v>60</v>
      </c>
      <c r="I1977" t="str">
        <f>VLOOKUP(C1977,Магазины!A:C,3,0)</f>
        <v>Ставрополь</v>
      </c>
      <c r="J1977">
        <f>VLOOKUP(D1977,Товары!A:I,4,0)</f>
        <v>24150</v>
      </c>
      <c r="K1977">
        <f t="shared" si="30"/>
        <v>48300</v>
      </c>
    </row>
    <row r="1978" spans="1:11" hidden="1" x14ac:dyDescent="0.25">
      <c r="A1978">
        <v>1977</v>
      </c>
      <c r="B1978" s="1">
        <v>45749</v>
      </c>
      <c r="C1978" t="s">
        <v>92</v>
      </c>
      <c r="D1978" t="s">
        <v>19</v>
      </c>
      <c r="E1978" t="s">
        <v>13</v>
      </c>
      <c r="F1978">
        <v>2</v>
      </c>
      <c r="G1978" t="str">
        <f>VLOOKUP(D1978,Товары!A:I,3,0)</f>
        <v>Тумба с раковиной  навес. Леон 800 оникс 2 ящика с умыв. Слим</v>
      </c>
      <c r="H1978">
        <f>VLOOKUP(D1978,Товары!A:I,6,0)</f>
        <v>60</v>
      </c>
      <c r="I1978" t="str">
        <f>VLOOKUP(C1978,Магазины!A:C,3,0)</f>
        <v>Кемерово</v>
      </c>
      <c r="J1978">
        <f>VLOOKUP(D1978,Товары!A:I,4,0)</f>
        <v>27930</v>
      </c>
      <c r="K1978">
        <f t="shared" si="30"/>
        <v>55860</v>
      </c>
    </row>
    <row r="1979" spans="1:11" hidden="1" x14ac:dyDescent="0.25">
      <c r="A1979">
        <v>1978</v>
      </c>
      <c r="B1979" s="1">
        <v>45754</v>
      </c>
      <c r="C1979" t="s">
        <v>57</v>
      </c>
      <c r="D1979" t="s">
        <v>90</v>
      </c>
      <c r="E1979" t="s">
        <v>8</v>
      </c>
      <c r="F1979">
        <v>1</v>
      </c>
      <c r="G1979" t="str">
        <f>VLOOKUP(D1979,Товары!A:I,3,0)</f>
        <v>Пенал напол. Аква 350 белый 2 двери + 2 ящика</v>
      </c>
      <c r="H1979">
        <f>VLOOKUP(D1979,Товары!A:I,6,0)</f>
        <v>190</v>
      </c>
      <c r="I1979" t="str">
        <f>VLOOKUP(C1979,Магазины!A:C,3,0)</f>
        <v>Оренбург</v>
      </c>
      <c r="J1979">
        <f>VLOOKUP(D1979,Товары!A:I,4,0)</f>
        <v>10650</v>
      </c>
      <c r="K1979">
        <f t="shared" si="30"/>
        <v>10650</v>
      </c>
    </row>
    <row r="1980" spans="1:11" hidden="1" x14ac:dyDescent="0.25">
      <c r="A1980">
        <v>1979</v>
      </c>
      <c r="B1980" s="1">
        <v>45751</v>
      </c>
      <c r="C1980" t="s">
        <v>28</v>
      </c>
      <c r="D1980" t="s">
        <v>15</v>
      </c>
      <c r="E1980" t="s">
        <v>13</v>
      </c>
      <c r="F1980">
        <v>3</v>
      </c>
      <c r="G1980" t="str">
        <f>VLOOKUP(D1980,Товары!A:I,3,0)</f>
        <v>Зеркальный шкаф Кристалл 60 со светильником правый, ручка кнопка дуб цвет Шато Азур</v>
      </c>
      <c r="H1980">
        <f>VLOOKUP(D1980,Товары!A:I,6,0)</f>
        <v>75</v>
      </c>
      <c r="I1980" t="str">
        <f>VLOOKUP(C1980,Магазины!A:C,3,0)</f>
        <v>Набережные Челны</v>
      </c>
      <c r="J1980">
        <f>VLOOKUP(D1980,Товары!A:I,4,0)</f>
        <v>9195</v>
      </c>
      <c r="K1980">
        <f t="shared" si="30"/>
        <v>27585</v>
      </c>
    </row>
    <row r="1981" spans="1:11" hidden="1" x14ac:dyDescent="0.25">
      <c r="A1981">
        <v>1980</v>
      </c>
      <c r="B1981" s="1">
        <v>45755</v>
      </c>
      <c r="C1981" t="s">
        <v>20</v>
      </c>
      <c r="D1981" t="s">
        <v>124</v>
      </c>
      <c r="E1981" t="s">
        <v>8</v>
      </c>
      <c r="F1981">
        <v>2</v>
      </c>
      <c r="G1981" t="str">
        <f>VLOOKUP(D1981,Товары!A:I,3,0)</f>
        <v>Тумба с раковиной  напол. Леон 600 оникс 2 ящика с умыв. Океан</v>
      </c>
      <c r="H1981">
        <f>VLOOKUP(D1981,Товары!A:I,6,0)</f>
        <v>80</v>
      </c>
      <c r="I1981" t="str">
        <f>VLOOKUP(C1981,Магазины!A:C,3,0)</f>
        <v>Оренбург</v>
      </c>
      <c r="J1981">
        <f>VLOOKUP(D1981,Товары!A:I,4,0)</f>
        <v>25860</v>
      </c>
      <c r="K1981">
        <f t="shared" si="30"/>
        <v>51720</v>
      </c>
    </row>
    <row r="1982" spans="1:11" hidden="1" x14ac:dyDescent="0.25">
      <c r="A1982">
        <v>1981</v>
      </c>
      <c r="B1982" s="1">
        <v>45754</v>
      </c>
      <c r="C1982" t="s">
        <v>43</v>
      </c>
      <c r="D1982" t="s">
        <v>102</v>
      </c>
      <c r="E1982" t="s">
        <v>8</v>
      </c>
      <c r="F1982">
        <v>1</v>
      </c>
      <c r="G1982" t="str">
        <f>VLOOKUP(D1982,Товары!A:I,3,0)</f>
        <v>Тумба с раковиной  напол. Леон Риф 1000 солярис/белый риф 2 ящика с умыв. Слим</v>
      </c>
      <c r="H1982">
        <f>VLOOKUP(D1982,Товары!A:I,6,0)</f>
        <v>85</v>
      </c>
      <c r="I1982" t="str">
        <f>VLOOKUP(C1982,Магазины!A:C,3,0)</f>
        <v>Набережные Челны</v>
      </c>
      <c r="J1982">
        <f>VLOOKUP(D1982,Товары!A:I,4,0)</f>
        <v>32085</v>
      </c>
      <c r="K1982">
        <f t="shared" si="30"/>
        <v>32085</v>
      </c>
    </row>
    <row r="1983" spans="1:11" hidden="1" x14ac:dyDescent="0.25">
      <c r="A1983">
        <v>1982</v>
      </c>
      <c r="B1983" s="1">
        <v>45755</v>
      </c>
      <c r="C1983" t="s">
        <v>43</v>
      </c>
      <c r="D1983" t="s">
        <v>114</v>
      </c>
      <c r="E1983" t="s">
        <v>13</v>
      </c>
      <c r="F1983">
        <v>3</v>
      </c>
      <c r="G1983" t="str">
        <f>VLOOKUP(D1983,Товары!A:I,3,0)</f>
        <v>Тумба с раковиной  навес. Альба 700 мята 2 ящика с умыв. Слим</v>
      </c>
      <c r="H1983">
        <f>VLOOKUP(D1983,Товары!A:I,6,0)</f>
        <v>60</v>
      </c>
      <c r="I1983" t="str">
        <f>VLOOKUP(C1983,Магазины!A:C,3,0)</f>
        <v>Набережные Челны</v>
      </c>
      <c r="J1983">
        <f>VLOOKUP(D1983,Товары!A:I,4,0)</f>
        <v>25095</v>
      </c>
      <c r="K1983">
        <f t="shared" si="30"/>
        <v>75285</v>
      </c>
    </row>
    <row r="1984" spans="1:11" hidden="1" x14ac:dyDescent="0.25">
      <c r="A1984">
        <v>1983</v>
      </c>
      <c r="B1984" s="1">
        <v>45748</v>
      </c>
      <c r="C1984" t="s">
        <v>22</v>
      </c>
      <c r="D1984" t="s">
        <v>126</v>
      </c>
      <c r="E1984" t="s">
        <v>13</v>
      </c>
      <c r="F1984">
        <v>3</v>
      </c>
      <c r="G1984" t="str">
        <f>VLOOKUP(D1984,Товары!A:I,3,0)</f>
        <v>Тумба с раковиной  напол. Кристалл 800 шато азур 2 ящика с умыв. Комфорт</v>
      </c>
      <c r="H1984">
        <f>VLOOKUP(D1984,Товары!A:I,6,0)</f>
        <v>85</v>
      </c>
      <c r="I1984" t="str">
        <f>VLOOKUP(C1984,Магазины!A:C,3,0)</f>
        <v>Кемерово</v>
      </c>
      <c r="J1984">
        <f>VLOOKUP(D1984,Товары!A:I,4,0)</f>
        <v>31125</v>
      </c>
      <c r="K1984">
        <f t="shared" si="30"/>
        <v>93375</v>
      </c>
    </row>
    <row r="1985" spans="1:11" hidden="1" x14ac:dyDescent="0.25">
      <c r="A1985">
        <v>1984</v>
      </c>
      <c r="B1985" s="1">
        <v>45751</v>
      </c>
      <c r="C1985" t="s">
        <v>33</v>
      </c>
      <c r="D1985" t="s">
        <v>124</v>
      </c>
      <c r="E1985" t="s">
        <v>13</v>
      </c>
      <c r="F1985">
        <v>2</v>
      </c>
      <c r="G1985" t="str">
        <f>VLOOKUP(D1985,Товары!A:I,3,0)</f>
        <v>Тумба с раковиной  напол. Леон 600 оникс 2 ящика с умыв. Океан</v>
      </c>
      <c r="H1985">
        <f>VLOOKUP(D1985,Товары!A:I,6,0)</f>
        <v>80</v>
      </c>
      <c r="I1985" t="str">
        <f>VLOOKUP(C1985,Магазины!A:C,3,0)</f>
        <v>Набережные Челны</v>
      </c>
      <c r="J1985">
        <f>VLOOKUP(D1985,Товары!A:I,4,0)</f>
        <v>25860</v>
      </c>
      <c r="K1985">
        <f t="shared" si="30"/>
        <v>51720</v>
      </c>
    </row>
    <row r="1986" spans="1:11" hidden="1" x14ac:dyDescent="0.25">
      <c r="A1986">
        <v>1985</v>
      </c>
      <c r="B1986" s="1">
        <v>45756</v>
      </c>
      <c r="C1986" t="s">
        <v>63</v>
      </c>
      <c r="D1986" t="s">
        <v>74</v>
      </c>
      <c r="E1986" t="s">
        <v>13</v>
      </c>
      <c r="F1986">
        <v>3</v>
      </c>
      <c r="G1986" t="str">
        <f>VLOOKUP(D1986,Товары!A:I,3,0)</f>
        <v>Тумба с раковиной  напол. Альба 800 суфле 2 ящика с умыв. Слим</v>
      </c>
      <c r="H1986">
        <f>VLOOKUP(D1986,Товары!A:I,6,0)</f>
        <v>80</v>
      </c>
      <c r="I1986" t="str">
        <f>VLOOKUP(C1986,Магазины!A:C,3,0)</f>
        <v>Ставрополь</v>
      </c>
      <c r="J1986">
        <f>VLOOKUP(D1986,Товары!A:I,4,0)</f>
        <v>29340</v>
      </c>
      <c r="K1986">
        <f t="shared" si="30"/>
        <v>88020</v>
      </c>
    </row>
    <row r="1987" spans="1:11" hidden="1" x14ac:dyDescent="0.25">
      <c r="A1987">
        <v>1986</v>
      </c>
      <c r="B1987" s="1">
        <v>45749</v>
      </c>
      <c r="C1987" t="s">
        <v>30</v>
      </c>
      <c r="D1987" t="s">
        <v>96</v>
      </c>
      <c r="E1987" t="s">
        <v>13</v>
      </c>
      <c r="F1987">
        <v>3</v>
      </c>
      <c r="G1987" t="str">
        <f>VLOOKUP(D1987,Товары!A:I,3,0)</f>
        <v>Тумба с раковиной  навес. Альба 600 мята 1 ящик с умыв. Океан</v>
      </c>
      <c r="H1987">
        <f>VLOOKUP(D1987,Товары!A:I,6,0)</f>
        <v>85</v>
      </c>
      <c r="I1987" t="str">
        <f>VLOOKUP(C1987,Магазины!A:C,3,0)</f>
        <v>Кемерово</v>
      </c>
      <c r="J1987">
        <f>VLOOKUP(D1987,Товары!A:I,4,0)</f>
        <v>17625</v>
      </c>
      <c r="K1987">
        <f t="shared" ref="K1987:K2050" si="31">J1987*F1987</f>
        <v>52875</v>
      </c>
    </row>
    <row r="1988" spans="1:11" hidden="1" x14ac:dyDescent="0.25">
      <c r="A1988">
        <v>1987</v>
      </c>
      <c r="B1988" s="1">
        <v>45754</v>
      </c>
      <c r="C1988" t="s">
        <v>18</v>
      </c>
      <c r="D1988" t="s">
        <v>65</v>
      </c>
      <c r="E1988" t="s">
        <v>13</v>
      </c>
      <c r="F1988">
        <v>1</v>
      </c>
      <c r="G1988" t="str">
        <f>VLOOKUP(D1988,Товары!A:I,3,0)</f>
        <v>Тумба с раковиной  навес. Альба 800 суфле 2 ящика с умыв. Слим</v>
      </c>
      <c r="H1988">
        <f>VLOOKUP(D1988,Товары!A:I,6,0)</f>
        <v>50</v>
      </c>
      <c r="I1988" t="str">
        <f>VLOOKUP(C1988,Магазины!A:C,3,0)</f>
        <v>Набережные Челны</v>
      </c>
      <c r="J1988">
        <f>VLOOKUP(D1988,Товары!A:I,4,0)</f>
        <v>26070</v>
      </c>
      <c r="K1988">
        <f t="shared" si="31"/>
        <v>26070</v>
      </c>
    </row>
    <row r="1989" spans="1:11" hidden="1" x14ac:dyDescent="0.25">
      <c r="A1989">
        <v>1988</v>
      </c>
      <c r="B1989" s="1">
        <v>45748</v>
      </c>
      <c r="C1989" t="s">
        <v>14</v>
      </c>
      <c r="D1989" t="s">
        <v>45</v>
      </c>
      <c r="E1989" t="s">
        <v>8</v>
      </c>
      <c r="F1989">
        <v>2</v>
      </c>
      <c r="G1989" t="str">
        <f>VLOOKUP(D1989,Товары!A:I,3,0)</f>
        <v>Зеркальный шкаф Рица 80 со светильником правый цвет cерый/керамика</v>
      </c>
      <c r="H1989">
        <f>VLOOKUP(D1989,Товары!A:I,6,0)</f>
        <v>75</v>
      </c>
      <c r="I1989" t="str">
        <f>VLOOKUP(C1989,Магазины!A:C,3,0)</f>
        <v>Оренбург</v>
      </c>
      <c r="J1989">
        <f>VLOOKUP(D1989,Товары!A:I,4,0)</f>
        <v>9930</v>
      </c>
      <c r="K1989">
        <f t="shared" si="31"/>
        <v>19860</v>
      </c>
    </row>
    <row r="1990" spans="1:11" hidden="1" x14ac:dyDescent="0.25">
      <c r="A1990">
        <v>1989</v>
      </c>
      <c r="B1990" s="1">
        <v>45753</v>
      </c>
      <c r="C1990" t="s">
        <v>20</v>
      </c>
      <c r="D1990" t="s">
        <v>106</v>
      </c>
      <c r="E1990" t="s">
        <v>8</v>
      </c>
      <c r="F1990">
        <v>2</v>
      </c>
      <c r="G1990" t="str">
        <f>VLOOKUP(D1990,Товары!A:I,3,0)</f>
        <v>Тумба с раковиной  навес. Кристалл 700 шато азур 2 ящика с умыв. Слим</v>
      </c>
      <c r="H1990">
        <f>VLOOKUP(D1990,Товары!A:I,6,0)</f>
        <v>60</v>
      </c>
      <c r="I1990" t="str">
        <f>VLOOKUP(C1990,Магазины!A:C,3,0)</f>
        <v>Оренбург</v>
      </c>
      <c r="J1990">
        <f>VLOOKUP(D1990,Товары!A:I,4,0)</f>
        <v>24150</v>
      </c>
      <c r="K1990">
        <f t="shared" si="31"/>
        <v>48300</v>
      </c>
    </row>
    <row r="1991" spans="1:11" hidden="1" x14ac:dyDescent="0.25">
      <c r="A1991">
        <v>1990</v>
      </c>
      <c r="B1991" s="1">
        <v>45757</v>
      </c>
      <c r="C1991" t="s">
        <v>9</v>
      </c>
      <c r="D1991" t="s">
        <v>71</v>
      </c>
      <c r="E1991" t="s">
        <v>8</v>
      </c>
      <c r="F1991">
        <v>2</v>
      </c>
      <c r="G1991" t="str">
        <f>VLOOKUP(D1991,Товары!A:I,3,0)</f>
        <v>Тумба с раковиной  навес. Альба 600 мята 2 ящика с умыв. Океан</v>
      </c>
      <c r="H1991">
        <f>VLOOKUP(D1991,Товары!A:I,6,0)</f>
        <v>50</v>
      </c>
      <c r="I1991" t="str">
        <f>VLOOKUP(C1991,Магазины!A:C,3,0)</f>
        <v>Кемерово</v>
      </c>
      <c r="J1991">
        <f>VLOOKUP(D1991,Товары!A:I,4,0)</f>
        <v>24810</v>
      </c>
      <c r="K1991">
        <f t="shared" si="31"/>
        <v>49620</v>
      </c>
    </row>
    <row r="1992" spans="1:11" hidden="1" x14ac:dyDescent="0.25">
      <c r="A1992">
        <v>1991</v>
      </c>
      <c r="B1992" s="1">
        <v>45754</v>
      </c>
      <c r="C1992" t="s">
        <v>20</v>
      </c>
      <c r="D1992" t="s">
        <v>108</v>
      </c>
      <c r="E1992" t="s">
        <v>8</v>
      </c>
      <c r="F1992">
        <v>2</v>
      </c>
      <c r="G1992" t="str">
        <f>VLOOKUP(D1992,Товары!A:I,3,0)</f>
        <v>Тумба с раковиной  навес. Виктория 1000 белый 2 ящика с умыв. Слим</v>
      </c>
      <c r="H1992">
        <f>VLOOKUP(D1992,Товары!A:I,6,0)</f>
        <v>60</v>
      </c>
      <c r="I1992" t="str">
        <f>VLOOKUP(C1992,Магазины!A:C,3,0)</f>
        <v>Оренбург</v>
      </c>
      <c r="J1992">
        <f>VLOOKUP(D1992,Товары!A:I,4,0)</f>
        <v>29205</v>
      </c>
      <c r="K1992">
        <f t="shared" si="31"/>
        <v>58410</v>
      </c>
    </row>
    <row r="1993" spans="1:11" hidden="1" x14ac:dyDescent="0.25">
      <c r="A1993">
        <v>1992</v>
      </c>
      <c r="B1993" s="1">
        <v>45748</v>
      </c>
      <c r="C1993" t="s">
        <v>14</v>
      </c>
      <c r="D1993" t="s">
        <v>34</v>
      </c>
      <c r="E1993" t="s">
        <v>13</v>
      </c>
      <c r="F1993">
        <v>3</v>
      </c>
      <c r="G1993" t="str">
        <f>VLOOKUP(D1993,Товары!A:I,3,0)</f>
        <v>Тумба с раковиной  навес. Леон 700 форест 2 ящика с умыв. Слим</v>
      </c>
      <c r="H1993">
        <f>VLOOKUP(D1993,Товары!A:I,6,0)</f>
        <v>60</v>
      </c>
      <c r="I1993" t="str">
        <f>VLOOKUP(C1993,Магазины!A:C,3,0)</f>
        <v>Оренбург</v>
      </c>
      <c r="J1993">
        <f>VLOOKUP(D1993,Товары!A:I,4,0)</f>
        <v>26220</v>
      </c>
      <c r="K1993">
        <f t="shared" si="31"/>
        <v>78660</v>
      </c>
    </row>
    <row r="1994" spans="1:11" hidden="1" x14ac:dyDescent="0.25">
      <c r="A1994">
        <v>1993</v>
      </c>
      <c r="B1994" s="1">
        <v>45753</v>
      </c>
      <c r="C1994" t="s">
        <v>41</v>
      </c>
      <c r="D1994" t="s">
        <v>104</v>
      </c>
      <c r="E1994" t="s">
        <v>8</v>
      </c>
      <c r="F1994">
        <v>1</v>
      </c>
      <c r="G1994" t="str">
        <f>VLOOKUP(D1994,Товары!A:I,3,0)</f>
        <v>Тумба под стиральную машину Куба Риф 57 подвесная 2 ящика под ст/маш, без умывальника /под Marshall 120 Белый</v>
      </c>
      <c r="H1994">
        <f>VLOOKUP(D1994,Товары!A:I,6,0)</f>
        <v>50</v>
      </c>
      <c r="I1994" t="str">
        <f>VLOOKUP(C1994,Магазины!A:C,3,0)</f>
        <v>Ставрополь</v>
      </c>
      <c r="J1994">
        <f>VLOOKUP(D1994,Товары!A:I,4,0)</f>
        <v>8505</v>
      </c>
      <c r="K1994">
        <f t="shared" si="31"/>
        <v>8505</v>
      </c>
    </row>
    <row r="1995" spans="1:11" hidden="1" x14ac:dyDescent="0.25">
      <c r="A1995">
        <v>1994</v>
      </c>
      <c r="B1995" s="1">
        <v>45754</v>
      </c>
      <c r="C1995" t="s">
        <v>22</v>
      </c>
      <c r="D1995" t="s">
        <v>72</v>
      </c>
      <c r="E1995" t="s">
        <v>13</v>
      </c>
      <c r="F1995">
        <v>2</v>
      </c>
      <c r="G1995" t="str">
        <f>VLOOKUP(D1995,Товары!A:I,3,0)</f>
        <v>Тумба с раковиной  напол. Сохо 600 белый 2 ящика с умыв. Океан</v>
      </c>
      <c r="H1995">
        <f>VLOOKUP(D1995,Товары!A:I,6,0)</f>
        <v>85</v>
      </c>
      <c r="I1995" t="str">
        <f>VLOOKUP(C1995,Магазины!A:C,3,0)</f>
        <v>Кемерово</v>
      </c>
      <c r="J1995">
        <f>VLOOKUP(D1995,Товары!A:I,4,0)</f>
        <v>16140</v>
      </c>
      <c r="K1995">
        <f t="shared" si="31"/>
        <v>32280</v>
      </c>
    </row>
    <row r="1996" spans="1:11" hidden="1" x14ac:dyDescent="0.25">
      <c r="A1996">
        <v>1995</v>
      </c>
      <c r="B1996" s="1">
        <v>45748</v>
      </c>
      <c r="C1996" t="s">
        <v>11</v>
      </c>
      <c r="D1996" t="s">
        <v>71</v>
      </c>
      <c r="E1996" t="s">
        <v>8</v>
      </c>
      <c r="F1996">
        <v>2</v>
      </c>
      <c r="G1996" t="str">
        <f>VLOOKUP(D1996,Товары!A:I,3,0)</f>
        <v>Тумба с раковиной  навес. Альба 600 мята 2 ящика с умыв. Океан</v>
      </c>
      <c r="H1996">
        <f>VLOOKUP(D1996,Товары!A:I,6,0)</f>
        <v>50</v>
      </c>
      <c r="I1996" t="str">
        <f>VLOOKUP(C1996,Магазины!A:C,3,0)</f>
        <v>Кемерово</v>
      </c>
      <c r="J1996">
        <f>VLOOKUP(D1996,Товары!A:I,4,0)</f>
        <v>24810</v>
      </c>
      <c r="K1996">
        <f t="shared" si="31"/>
        <v>49620</v>
      </c>
    </row>
    <row r="1997" spans="1:11" hidden="1" x14ac:dyDescent="0.25">
      <c r="A1997">
        <v>1996</v>
      </c>
      <c r="B1997" s="1">
        <v>45756</v>
      </c>
      <c r="C1997" t="s">
        <v>103</v>
      </c>
      <c r="D1997" t="s">
        <v>120</v>
      </c>
      <c r="E1997" t="s">
        <v>8</v>
      </c>
      <c r="F1997">
        <v>3</v>
      </c>
      <c r="G1997" t="str">
        <f>VLOOKUP(D1997,Товары!A:I,3,0)</f>
        <v>Зеркальный шкаф Альба 60 со светильником правый цвет антрацит</v>
      </c>
      <c r="H1997">
        <f>VLOOKUP(D1997,Товары!A:I,6,0)</f>
        <v>75</v>
      </c>
      <c r="I1997" t="str">
        <f>VLOOKUP(C1997,Магазины!A:C,3,0)</f>
        <v>Ставрополь</v>
      </c>
      <c r="J1997">
        <f>VLOOKUP(D1997,Товары!A:I,4,0)</f>
        <v>8910</v>
      </c>
      <c r="K1997">
        <f t="shared" si="31"/>
        <v>26730</v>
      </c>
    </row>
    <row r="1998" spans="1:11" hidden="1" x14ac:dyDescent="0.25">
      <c r="A1998">
        <v>1997</v>
      </c>
      <c r="B1998" s="1">
        <v>45753</v>
      </c>
      <c r="C1998" t="s">
        <v>22</v>
      </c>
      <c r="D1998" t="s">
        <v>65</v>
      </c>
      <c r="E1998" t="s">
        <v>13</v>
      </c>
      <c r="F1998">
        <v>2</v>
      </c>
      <c r="G1998" t="str">
        <f>VLOOKUP(D1998,Товары!A:I,3,0)</f>
        <v>Тумба с раковиной  навес. Альба 800 суфле 2 ящика с умыв. Слим</v>
      </c>
      <c r="H1998">
        <f>VLOOKUP(D1998,Товары!A:I,6,0)</f>
        <v>50</v>
      </c>
      <c r="I1998" t="str">
        <f>VLOOKUP(C1998,Магазины!A:C,3,0)</f>
        <v>Кемерово</v>
      </c>
      <c r="J1998">
        <f>VLOOKUP(D1998,Товары!A:I,4,0)</f>
        <v>26070</v>
      </c>
      <c r="K1998">
        <f t="shared" si="31"/>
        <v>52140</v>
      </c>
    </row>
    <row r="1999" spans="1:11" hidden="1" x14ac:dyDescent="0.25">
      <c r="A1999">
        <v>1998</v>
      </c>
      <c r="B1999" s="1">
        <v>45751</v>
      </c>
      <c r="C1999" t="s">
        <v>33</v>
      </c>
      <c r="D1999" t="s">
        <v>61</v>
      </c>
      <c r="E1999" t="s">
        <v>8</v>
      </c>
      <c r="F1999">
        <v>2</v>
      </c>
      <c r="G1999" t="str">
        <f>VLOOKUP(D1999,Товары!A:I,3,0)</f>
        <v>Тумба под стиральную машину Леон Риф 57 напольная 2 ящика под ст/маш, без умывальника /под Marshall 120 Солярис/Белый Риф</v>
      </c>
      <c r="H1999">
        <f>VLOOKUP(D1999,Товары!A:I,6,0)</f>
        <v>85</v>
      </c>
      <c r="I1999" t="str">
        <f>VLOOKUP(C1999,Магазины!A:C,3,0)</f>
        <v>Набережные Челны</v>
      </c>
      <c r="J1999">
        <f>VLOOKUP(D1999,Товары!A:I,4,0)</f>
        <v>17430</v>
      </c>
      <c r="K1999">
        <f t="shared" si="31"/>
        <v>34860</v>
      </c>
    </row>
    <row r="2000" spans="1:11" hidden="1" x14ac:dyDescent="0.25">
      <c r="A2000">
        <v>1999</v>
      </c>
      <c r="B2000" s="1">
        <v>45749</v>
      </c>
      <c r="C2000" t="s">
        <v>48</v>
      </c>
      <c r="D2000" t="s">
        <v>124</v>
      </c>
      <c r="E2000" t="s">
        <v>8</v>
      </c>
      <c r="F2000">
        <v>2</v>
      </c>
      <c r="G2000" t="str">
        <f>VLOOKUP(D2000,Товары!A:I,3,0)</f>
        <v>Тумба с раковиной  напол. Леон 600 оникс 2 ящика с умыв. Океан</v>
      </c>
      <c r="H2000">
        <f>VLOOKUP(D2000,Товары!A:I,6,0)</f>
        <v>80</v>
      </c>
      <c r="I2000" t="str">
        <f>VLOOKUP(C2000,Магазины!A:C,3,0)</f>
        <v>Ставрополь</v>
      </c>
      <c r="J2000">
        <f>VLOOKUP(D2000,Товары!A:I,4,0)</f>
        <v>25860</v>
      </c>
      <c r="K2000">
        <f t="shared" si="31"/>
        <v>51720</v>
      </c>
    </row>
    <row r="2001" spans="1:11" hidden="1" x14ac:dyDescent="0.25">
      <c r="A2001">
        <v>2000</v>
      </c>
      <c r="B2001" s="1">
        <v>45752</v>
      </c>
      <c r="C2001" t="s">
        <v>43</v>
      </c>
      <c r="D2001" t="s">
        <v>97</v>
      </c>
      <c r="E2001" t="s">
        <v>8</v>
      </c>
      <c r="F2001">
        <v>2</v>
      </c>
      <c r="G2001" t="str">
        <f>VLOOKUP(D2001,Товары!A:I,3,0)</f>
        <v>Пенал напол. Кристалл 350 суфле 2 двери</v>
      </c>
      <c r="H2001">
        <f>VLOOKUP(D2001,Товары!A:I,6,0)</f>
        <v>190</v>
      </c>
      <c r="I2001" t="str">
        <f>VLOOKUP(C2001,Магазины!A:C,3,0)</f>
        <v>Набережные Челны</v>
      </c>
      <c r="J2001">
        <f>VLOOKUP(D2001,Товары!A:I,4,0)</f>
        <v>15810</v>
      </c>
      <c r="K2001">
        <f t="shared" si="31"/>
        <v>31620</v>
      </c>
    </row>
    <row r="2002" spans="1:11" hidden="1" x14ac:dyDescent="0.25">
      <c r="A2002">
        <v>2001</v>
      </c>
      <c r="B2002" s="1">
        <v>45751</v>
      </c>
      <c r="C2002" t="s">
        <v>9</v>
      </c>
      <c r="D2002" t="s">
        <v>36</v>
      </c>
      <c r="E2002" t="s">
        <v>13</v>
      </c>
      <c r="F2002">
        <v>1</v>
      </c>
      <c r="G2002" t="str">
        <f>VLOOKUP(D2002,Товары!A:I,3,0)</f>
        <v>Тумба с раковиной  напол. Альба 800 мята 2 ящика с умыв. Слим</v>
      </c>
      <c r="H2002">
        <f>VLOOKUP(D2002,Товары!A:I,6,0)</f>
        <v>80</v>
      </c>
      <c r="I2002" t="str">
        <f>VLOOKUP(C2002,Магазины!A:C,3,0)</f>
        <v>Кемерово</v>
      </c>
      <c r="J2002">
        <f>VLOOKUP(D2002,Товары!A:I,4,0)</f>
        <v>29340</v>
      </c>
      <c r="K2002">
        <f t="shared" si="31"/>
        <v>29340</v>
      </c>
    </row>
    <row r="2003" spans="1:11" hidden="1" x14ac:dyDescent="0.25">
      <c r="A2003">
        <v>2002</v>
      </c>
      <c r="B2003" s="1">
        <v>45748</v>
      </c>
      <c r="C2003" t="s">
        <v>57</v>
      </c>
      <c r="D2003" t="s">
        <v>75</v>
      </c>
      <c r="E2003" t="s">
        <v>13</v>
      </c>
      <c r="F2003">
        <v>2</v>
      </c>
      <c r="G2003" t="str">
        <f>VLOOKUP(D2003,Товары!A:I,3,0)</f>
        <v>Тумба с раковиной  напол. Альба 600 суфле 2 ящика с умыв. Океан</v>
      </c>
      <c r="H2003">
        <f>VLOOKUP(D2003,Товары!A:I,6,0)</f>
        <v>80</v>
      </c>
      <c r="I2003" t="str">
        <f>VLOOKUP(C2003,Магазины!A:C,3,0)</f>
        <v>Оренбург</v>
      </c>
      <c r="J2003">
        <f>VLOOKUP(D2003,Товары!A:I,4,0)</f>
        <v>26370</v>
      </c>
      <c r="K2003">
        <f t="shared" si="31"/>
        <v>52740</v>
      </c>
    </row>
    <row r="2004" spans="1:11" hidden="1" x14ac:dyDescent="0.25">
      <c r="A2004">
        <v>2003</v>
      </c>
      <c r="B2004" s="1">
        <v>45750</v>
      </c>
      <c r="C2004" t="s">
        <v>26</v>
      </c>
      <c r="D2004" t="s">
        <v>56</v>
      </c>
      <c r="E2004" t="s">
        <v>8</v>
      </c>
      <c r="F2004">
        <v>2</v>
      </c>
      <c r="G2004" t="str">
        <f>VLOOKUP(D2004,Товары!A:I,3,0)</f>
        <v>Зеркальный шкаф Альба 80 со светильником правый цвет мята</v>
      </c>
      <c r="H2004">
        <f>VLOOKUP(D2004,Товары!A:I,6,0)</f>
        <v>75</v>
      </c>
      <c r="I2004" t="str">
        <f>VLOOKUP(C2004,Магазины!A:C,3,0)</f>
        <v>Оренбург</v>
      </c>
      <c r="J2004">
        <f>VLOOKUP(D2004,Товары!A:I,4,0)</f>
        <v>9930</v>
      </c>
      <c r="K2004">
        <f t="shared" si="31"/>
        <v>19860</v>
      </c>
    </row>
    <row r="2005" spans="1:11" hidden="1" x14ac:dyDescent="0.25">
      <c r="A2005">
        <v>2004</v>
      </c>
      <c r="B2005" s="1">
        <v>45756</v>
      </c>
      <c r="C2005" t="s">
        <v>18</v>
      </c>
      <c r="D2005" t="s">
        <v>46</v>
      </c>
      <c r="E2005" t="s">
        <v>13</v>
      </c>
      <c r="F2005">
        <v>2</v>
      </c>
      <c r="G2005" t="str">
        <f>VLOOKUP(D2005,Товары!A:I,3,0)</f>
        <v>Тумба с раковиной  напол. Сохо 700 белый 2 ящика с умыв. Слим</v>
      </c>
      <c r="H2005">
        <f>VLOOKUP(D2005,Товары!A:I,6,0)</f>
        <v>85</v>
      </c>
      <c r="I2005" t="str">
        <f>VLOOKUP(C2005,Магазины!A:C,3,0)</f>
        <v>Набережные Челны</v>
      </c>
      <c r="J2005">
        <f>VLOOKUP(D2005,Товары!A:I,4,0)</f>
        <v>18405</v>
      </c>
      <c r="K2005">
        <f t="shared" si="31"/>
        <v>36810</v>
      </c>
    </row>
    <row r="2006" spans="1:11" hidden="1" x14ac:dyDescent="0.25">
      <c r="A2006">
        <v>2005</v>
      </c>
      <c r="B2006" s="1">
        <v>45752</v>
      </c>
      <c r="C2006" t="s">
        <v>103</v>
      </c>
      <c r="D2006" t="s">
        <v>50</v>
      </c>
      <c r="E2006" t="s">
        <v>13</v>
      </c>
      <c r="F2006">
        <v>2</v>
      </c>
      <c r="G2006" t="str">
        <f>VLOOKUP(D2006,Товары!A:I,3,0)</f>
        <v>Тумба с раковиной  напол. Леон 800 оникс 2 ящика с умыв. Слим</v>
      </c>
      <c r="H2006">
        <f>VLOOKUP(D2006,Товары!A:I,6,0)</f>
        <v>80</v>
      </c>
      <c r="I2006" t="str">
        <f>VLOOKUP(C2006,Магазины!A:C,3,0)</f>
        <v>Ставрополь</v>
      </c>
      <c r="J2006">
        <f>VLOOKUP(D2006,Товары!A:I,4,0)</f>
        <v>29400</v>
      </c>
      <c r="K2006">
        <f t="shared" si="31"/>
        <v>58800</v>
      </c>
    </row>
    <row r="2007" spans="1:11" hidden="1" x14ac:dyDescent="0.25">
      <c r="A2007">
        <v>2006</v>
      </c>
      <c r="B2007" s="1">
        <v>45756</v>
      </c>
      <c r="C2007" t="s">
        <v>22</v>
      </c>
      <c r="D2007" t="s">
        <v>84</v>
      </c>
      <c r="E2007" t="s">
        <v>8</v>
      </c>
      <c r="F2007">
        <v>1</v>
      </c>
      <c r="G2007" t="str">
        <f>VLOOKUP(D2007,Товары!A:I,3,0)</f>
        <v>Тумба с раковиной  напол. Куба Риф 800 белый 3 двери с умыв. Слим</v>
      </c>
      <c r="H2007">
        <f>VLOOKUP(D2007,Товары!A:I,6,0)</f>
        <v>85</v>
      </c>
      <c r="I2007" t="str">
        <f>VLOOKUP(C2007,Магазины!A:C,3,0)</f>
        <v>Кемерово</v>
      </c>
      <c r="J2007">
        <f>VLOOKUP(D2007,Товары!A:I,4,0)</f>
        <v>19920</v>
      </c>
      <c r="K2007">
        <f t="shared" si="31"/>
        <v>19920</v>
      </c>
    </row>
    <row r="2008" spans="1:11" hidden="1" x14ac:dyDescent="0.25">
      <c r="A2008">
        <v>2007</v>
      </c>
      <c r="B2008" s="1">
        <v>45748</v>
      </c>
      <c r="C2008" t="s">
        <v>26</v>
      </c>
      <c r="D2008" t="s">
        <v>77</v>
      </c>
      <c r="E2008" t="s">
        <v>8</v>
      </c>
      <c r="F2008">
        <v>3</v>
      </c>
      <c r="G2008" t="str">
        <f>VLOOKUP(D2008,Товары!A:I,3,0)</f>
        <v>Тумба с раковиной  напол. Куба Риф 600 белый 2 ящика с умыв. Como</v>
      </c>
      <c r="H2008">
        <f>VLOOKUP(D2008,Товары!A:I,6,0)</f>
        <v>85</v>
      </c>
      <c r="I2008" t="str">
        <f>VLOOKUP(C2008,Магазины!A:C,3,0)</f>
        <v>Оренбург</v>
      </c>
      <c r="J2008">
        <f>VLOOKUP(D2008,Товары!A:I,4,0)</f>
        <v>15660</v>
      </c>
      <c r="K2008">
        <f t="shared" si="31"/>
        <v>46980</v>
      </c>
    </row>
    <row r="2009" spans="1:11" hidden="1" x14ac:dyDescent="0.25">
      <c r="A2009">
        <v>2008</v>
      </c>
      <c r="B2009" s="1">
        <v>45755</v>
      </c>
      <c r="C2009" t="s">
        <v>33</v>
      </c>
      <c r="D2009" t="s">
        <v>12</v>
      </c>
      <c r="E2009" t="s">
        <v>13</v>
      </c>
      <c r="F2009">
        <v>3</v>
      </c>
      <c r="G2009" t="str">
        <f>VLOOKUP(D2009,Товары!A:I,3,0)</f>
        <v>Тумба с раковиной  напол. Сохо 700 белый 2 двери с умыв. Слим</v>
      </c>
      <c r="H2009">
        <f>VLOOKUP(D2009,Товары!A:I,6,0)</f>
        <v>85</v>
      </c>
      <c r="I2009" t="str">
        <f>VLOOKUP(C2009,Магазины!A:C,3,0)</f>
        <v>Набережные Челны</v>
      </c>
      <c r="J2009">
        <f>VLOOKUP(D2009,Товары!A:I,4,0)</f>
        <v>17160</v>
      </c>
      <c r="K2009">
        <f t="shared" si="31"/>
        <v>51480</v>
      </c>
    </row>
    <row r="2010" spans="1:11" hidden="1" x14ac:dyDescent="0.25">
      <c r="A2010">
        <v>2009</v>
      </c>
      <c r="B2010" s="1">
        <v>45751</v>
      </c>
      <c r="C2010" t="s">
        <v>48</v>
      </c>
      <c r="D2010" t="s">
        <v>81</v>
      </c>
      <c r="E2010" t="s">
        <v>8</v>
      </c>
      <c r="F2010">
        <v>3</v>
      </c>
      <c r="G2010" t="str">
        <f>VLOOKUP(D2010,Товары!A:I,3,0)</f>
        <v>Тумба с раковиной  навес. Рица 600 cерый/керамика 1 ящик + ниша 1 с умыв. Океан</v>
      </c>
      <c r="H2010">
        <f>VLOOKUP(D2010,Товары!A:I,6,0)</f>
        <v>60</v>
      </c>
      <c r="I2010" t="str">
        <f>VLOOKUP(C2010,Магазины!A:C,3,0)</f>
        <v>Ставрополь</v>
      </c>
      <c r="J2010">
        <f>VLOOKUP(D2010,Товары!A:I,4,0)</f>
        <v>18900</v>
      </c>
      <c r="K2010">
        <f t="shared" si="31"/>
        <v>56700</v>
      </c>
    </row>
    <row r="2011" spans="1:11" x14ac:dyDescent="0.25">
      <c r="A2011">
        <v>2010</v>
      </c>
      <c r="B2011" s="1">
        <v>45749</v>
      </c>
      <c r="C2011" t="s">
        <v>22</v>
      </c>
      <c r="D2011" t="s">
        <v>67</v>
      </c>
      <c r="E2011" t="s">
        <v>13</v>
      </c>
      <c r="F2011">
        <v>3</v>
      </c>
      <c r="G2011" t="str">
        <f>VLOOKUP(D2011,Товары!A:I,3,0)</f>
        <v>Пенал навес./напол. Альба 350 суфле 2 двери</v>
      </c>
      <c r="H2011">
        <f>VLOOKUP(D2011,Товары!A:I,6,0)</f>
        <v>150</v>
      </c>
      <c r="I2011" t="str">
        <f>VLOOKUP(C2011,Магазины!A:C,3,0)</f>
        <v>Кемерово</v>
      </c>
      <c r="J2011">
        <f>VLOOKUP(D2011,Товары!A:I,4,0)</f>
        <v>11655</v>
      </c>
      <c r="K2011">
        <f t="shared" si="31"/>
        <v>34965</v>
      </c>
    </row>
    <row r="2012" spans="1:11" hidden="1" x14ac:dyDescent="0.25">
      <c r="A2012">
        <v>2011</v>
      </c>
      <c r="B2012" s="1">
        <v>45749</v>
      </c>
      <c r="C2012" t="s">
        <v>33</v>
      </c>
      <c r="D2012" t="s">
        <v>110</v>
      </c>
      <c r="E2012" t="s">
        <v>13</v>
      </c>
      <c r="F2012">
        <v>1</v>
      </c>
      <c r="G2012" t="str">
        <f>VLOOKUP(D2012,Товары!A:I,3,0)</f>
        <v>Тумба с раковиной  напол. Альба 600 антрацит 2 ящика с умыв. Океан</v>
      </c>
      <c r="H2012">
        <f>VLOOKUP(D2012,Товары!A:I,6,0)</f>
        <v>80</v>
      </c>
      <c r="I2012" t="str">
        <f>VLOOKUP(C2012,Магазины!A:C,3,0)</f>
        <v>Набережные Челны</v>
      </c>
      <c r="J2012">
        <f>VLOOKUP(D2012,Товары!A:I,4,0)</f>
        <v>26370</v>
      </c>
      <c r="K2012">
        <f t="shared" si="31"/>
        <v>26370</v>
      </c>
    </row>
    <row r="2013" spans="1:11" hidden="1" x14ac:dyDescent="0.25">
      <c r="A2013">
        <v>2012</v>
      </c>
      <c r="B2013" s="1">
        <v>45750</v>
      </c>
      <c r="C2013" t="s">
        <v>48</v>
      </c>
      <c r="D2013" t="s">
        <v>78</v>
      </c>
      <c r="E2013" t="s">
        <v>8</v>
      </c>
      <c r="F2013">
        <v>1</v>
      </c>
      <c r="G2013" t="str">
        <f>VLOOKUP(D2013,Товары!A:I,3,0)</f>
        <v>Зеркальный шкаф Кристалл 70 со светильником правый, ручка кнопка дуб цвет Шато Азур</v>
      </c>
      <c r="H2013">
        <f>VLOOKUP(D2013,Товары!A:I,6,0)</f>
        <v>75</v>
      </c>
      <c r="I2013" t="str">
        <f>VLOOKUP(C2013,Магазины!A:C,3,0)</f>
        <v>Ставрополь</v>
      </c>
      <c r="J2013">
        <f>VLOOKUP(D2013,Товары!A:I,4,0)</f>
        <v>9615</v>
      </c>
      <c r="K2013">
        <f t="shared" si="31"/>
        <v>9615</v>
      </c>
    </row>
    <row r="2014" spans="1:11" hidden="1" x14ac:dyDescent="0.25">
      <c r="A2014">
        <v>2013</v>
      </c>
      <c r="B2014" s="1">
        <v>45756</v>
      </c>
      <c r="C2014" t="s">
        <v>57</v>
      </c>
      <c r="D2014" t="s">
        <v>44</v>
      </c>
      <c r="E2014" t="s">
        <v>8</v>
      </c>
      <c r="F2014">
        <v>3</v>
      </c>
      <c r="G2014" t="str">
        <f>VLOOKUP(D2014,Товары!A:I,3,0)</f>
        <v>Тумба с раковиной  навес. Кристалл 800 шато азур 2 ящика с умыв. Комфорт</v>
      </c>
      <c r="H2014">
        <f>VLOOKUP(D2014,Товары!A:I,6,0)</f>
        <v>55</v>
      </c>
      <c r="I2014" t="str">
        <f>VLOOKUP(C2014,Магазины!A:C,3,0)</f>
        <v>Оренбург</v>
      </c>
      <c r="J2014">
        <f>VLOOKUP(D2014,Товары!A:I,4,0)</f>
        <v>25080</v>
      </c>
      <c r="K2014">
        <f t="shared" si="31"/>
        <v>75240</v>
      </c>
    </row>
    <row r="2015" spans="1:11" hidden="1" x14ac:dyDescent="0.25">
      <c r="A2015">
        <v>2014</v>
      </c>
      <c r="B2015" s="1">
        <v>45748</v>
      </c>
      <c r="C2015" t="s">
        <v>14</v>
      </c>
      <c r="D2015" t="s">
        <v>84</v>
      </c>
      <c r="E2015" t="s">
        <v>8</v>
      </c>
      <c r="F2015">
        <v>2</v>
      </c>
      <c r="G2015" t="str">
        <f>VLOOKUP(D2015,Товары!A:I,3,0)</f>
        <v>Тумба с раковиной  напол. Куба Риф 800 белый 3 двери с умыв. Слим</v>
      </c>
      <c r="H2015">
        <f>VLOOKUP(D2015,Товары!A:I,6,0)</f>
        <v>85</v>
      </c>
      <c r="I2015" t="str">
        <f>VLOOKUP(C2015,Магазины!A:C,3,0)</f>
        <v>Оренбург</v>
      </c>
      <c r="J2015">
        <f>VLOOKUP(D2015,Товары!A:I,4,0)</f>
        <v>19920</v>
      </c>
      <c r="K2015">
        <f t="shared" si="31"/>
        <v>39840</v>
      </c>
    </row>
    <row r="2016" spans="1:11" hidden="1" x14ac:dyDescent="0.25">
      <c r="A2016">
        <v>2015</v>
      </c>
      <c r="B2016" s="1">
        <v>45750</v>
      </c>
      <c r="C2016" t="s">
        <v>63</v>
      </c>
      <c r="D2016" t="s">
        <v>106</v>
      </c>
      <c r="E2016" t="s">
        <v>8</v>
      </c>
      <c r="F2016">
        <v>3</v>
      </c>
      <c r="G2016" t="str">
        <f>VLOOKUP(D2016,Товары!A:I,3,0)</f>
        <v>Тумба с раковиной  навес. Кристалл 700 шато азур 2 ящика с умыв. Слим</v>
      </c>
      <c r="H2016">
        <f>VLOOKUP(D2016,Товары!A:I,6,0)</f>
        <v>60</v>
      </c>
      <c r="I2016" t="str">
        <f>VLOOKUP(C2016,Магазины!A:C,3,0)</f>
        <v>Ставрополь</v>
      </c>
      <c r="J2016">
        <f>VLOOKUP(D2016,Товары!A:I,4,0)</f>
        <v>24150</v>
      </c>
      <c r="K2016">
        <f t="shared" si="31"/>
        <v>72450</v>
      </c>
    </row>
    <row r="2017" spans="1:11" hidden="1" x14ac:dyDescent="0.25">
      <c r="A2017">
        <v>2016</v>
      </c>
      <c r="B2017" s="1">
        <v>45751</v>
      </c>
      <c r="C2017" t="s">
        <v>63</v>
      </c>
      <c r="D2017" t="s">
        <v>130</v>
      </c>
      <c r="E2017" t="s">
        <v>13</v>
      </c>
      <c r="F2017">
        <v>2</v>
      </c>
      <c r="G2017" t="str">
        <f>VLOOKUP(D2017,Товары!A:I,3,0)</f>
        <v>Пенал напол. Леон 400 форест 2 двери + 1 ящик</v>
      </c>
      <c r="H2017">
        <f>VLOOKUP(D2017,Товары!A:I,6,0)</f>
        <v>190</v>
      </c>
      <c r="I2017" t="str">
        <f>VLOOKUP(C2017,Магазины!A:C,3,0)</f>
        <v>Ставрополь</v>
      </c>
      <c r="J2017">
        <f>VLOOKUP(D2017,Товары!A:I,4,0)</f>
        <v>18450</v>
      </c>
      <c r="K2017">
        <f t="shared" si="31"/>
        <v>36900</v>
      </c>
    </row>
    <row r="2018" spans="1:11" hidden="1" x14ac:dyDescent="0.25">
      <c r="A2018">
        <v>2017</v>
      </c>
      <c r="B2018" s="1">
        <v>45754</v>
      </c>
      <c r="C2018" t="s">
        <v>57</v>
      </c>
      <c r="D2018" t="s">
        <v>107</v>
      </c>
      <c r="E2018" t="s">
        <v>13</v>
      </c>
      <c r="F2018">
        <v>1</v>
      </c>
      <c r="G2018" t="str">
        <f>VLOOKUP(D2018,Товары!A:I,3,0)</f>
        <v>Комод Аква 35 напольный 1 дверь белый правый</v>
      </c>
      <c r="H2018">
        <f>VLOOKUP(D2018,Товары!A:I,6,0)</f>
        <v>90</v>
      </c>
      <c r="I2018" t="str">
        <f>VLOOKUP(C2018,Магазины!A:C,3,0)</f>
        <v>Оренбург</v>
      </c>
      <c r="J2018">
        <f>VLOOKUP(D2018,Товары!A:I,4,0)</f>
        <v>6705</v>
      </c>
      <c r="K2018">
        <f t="shared" si="31"/>
        <v>6705</v>
      </c>
    </row>
    <row r="2019" spans="1:11" hidden="1" x14ac:dyDescent="0.25">
      <c r="A2019">
        <v>2018</v>
      </c>
      <c r="B2019" s="1">
        <v>45750</v>
      </c>
      <c r="C2019" t="s">
        <v>111</v>
      </c>
      <c r="D2019" t="s">
        <v>122</v>
      </c>
      <c r="E2019" t="s">
        <v>13</v>
      </c>
      <c r="F2019">
        <v>3</v>
      </c>
      <c r="G2019" t="str">
        <f>VLOOKUP(D2019,Товары!A:I,3,0)</f>
        <v>Тумба с раковиной  навес. Кристалл 600 шато азур 2 ящика с умыв. Океан</v>
      </c>
      <c r="H2019">
        <f>VLOOKUP(D2019,Товары!A:I,6,0)</f>
        <v>55</v>
      </c>
      <c r="I2019" t="str">
        <f>VLOOKUP(C2019,Магазины!A:C,3,0)</f>
        <v>Набережные Челны</v>
      </c>
      <c r="J2019">
        <f>VLOOKUP(D2019,Товары!A:I,4,0)</f>
        <v>21960</v>
      </c>
      <c r="K2019">
        <f t="shared" si="31"/>
        <v>65880</v>
      </c>
    </row>
    <row r="2020" spans="1:11" hidden="1" x14ac:dyDescent="0.25">
      <c r="A2020">
        <v>2019</v>
      </c>
      <c r="B2020" s="1">
        <v>45757</v>
      </c>
      <c r="C2020" t="s">
        <v>35</v>
      </c>
      <c r="D2020" t="s">
        <v>29</v>
      </c>
      <c r="E2020" t="s">
        <v>8</v>
      </c>
      <c r="F2020">
        <v>2</v>
      </c>
      <c r="G2020" t="str">
        <f>VLOOKUP(D2020,Товары!A:I,3,0)</f>
        <v>Тумба с раковиной  напол. Леон Риф 600 солярис/белый риф 2 ящика с умыв. Океан</v>
      </c>
      <c r="H2020">
        <f>VLOOKUP(D2020,Товары!A:I,6,0)</f>
        <v>80</v>
      </c>
      <c r="I2020" t="str">
        <f>VLOOKUP(C2020,Магазины!A:C,3,0)</f>
        <v>Набережные Челны</v>
      </c>
      <c r="J2020">
        <f>VLOOKUP(D2020,Товары!A:I,4,0)</f>
        <v>24150</v>
      </c>
      <c r="K2020">
        <f t="shared" si="31"/>
        <v>48300</v>
      </c>
    </row>
    <row r="2021" spans="1:11" hidden="1" x14ac:dyDescent="0.25">
      <c r="A2021">
        <v>2020</v>
      </c>
      <c r="B2021" s="1">
        <v>45754</v>
      </c>
      <c r="C2021" t="s">
        <v>14</v>
      </c>
      <c r="D2021" t="s">
        <v>59</v>
      </c>
      <c r="E2021" t="s">
        <v>8</v>
      </c>
      <c r="F2021">
        <v>2</v>
      </c>
      <c r="G2021" t="str">
        <f>VLOOKUP(D2021,Товары!A:I,3,0)</f>
        <v>Тумба с раковиной  навес. Куба Риф 600 белый 2 ящика с умыв. Океан</v>
      </c>
      <c r="H2021">
        <f>VLOOKUP(D2021,Товары!A:I,6,0)</f>
        <v>55</v>
      </c>
      <c r="I2021" t="str">
        <f>VLOOKUP(C2021,Магазины!A:C,3,0)</f>
        <v>Оренбург</v>
      </c>
      <c r="J2021">
        <f>VLOOKUP(D2021,Товары!A:I,4,0)</f>
        <v>15765</v>
      </c>
      <c r="K2021">
        <f t="shared" si="31"/>
        <v>31530</v>
      </c>
    </row>
    <row r="2022" spans="1:11" hidden="1" x14ac:dyDescent="0.25">
      <c r="A2022">
        <v>2021</v>
      </c>
      <c r="B2022" s="1">
        <v>45756</v>
      </c>
      <c r="C2022" t="s">
        <v>103</v>
      </c>
      <c r="D2022" t="s">
        <v>68</v>
      </c>
      <c r="E2022" t="s">
        <v>8</v>
      </c>
      <c r="F2022">
        <v>2</v>
      </c>
      <c r="G2022" t="str">
        <f>VLOOKUP(D2022,Товары!A:I,3,0)</f>
        <v>Тумба с раковиной  навес. Альба 600 антрацит 1 ящик с умыв. Океан</v>
      </c>
      <c r="H2022">
        <f>VLOOKUP(D2022,Товары!A:I,6,0)</f>
        <v>85</v>
      </c>
      <c r="I2022" t="str">
        <f>VLOOKUP(C2022,Магазины!A:C,3,0)</f>
        <v>Ставрополь</v>
      </c>
      <c r="J2022">
        <f>VLOOKUP(D2022,Товары!A:I,4,0)</f>
        <v>17625</v>
      </c>
      <c r="K2022">
        <f t="shared" si="31"/>
        <v>35250</v>
      </c>
    </row>
    <row r="2023" spans="1:11" hidden="1" x14ac:dyDescent="0.25">
      <c r="A2023">
        <v>2022</v>
      </c>
      <c r="B2023" s="1">
        <v>45749</v>
      </c>
      <c r="C2023" t="s">
        <v>58</v>
      </c>
      <c r="D2023" t="s">
        <v>17</v>
      </c>
      <c r="E2023" t="s">
        <v>13</v>
      </c>
      <c r="F2023">
        <v>1</v>
      </c>
      <c r="G2023" t="str">
        <f>VLOOKUP(D2023,Товары!A:I,3,0)</f>
        <v>Тумба с раковиной  навес. Альба 800 антрацит 1 ящик с умыв. Слим</v>
      </c>
      <c r="H2023">
        <f>VLOOKUP(D2023,Товары!A:I,6,0)</f>
        <v>45</v>
      </c>
      <c r="I2023" t="str">
        <f>VLOOKUP(C2023,Магазины!A:C,3,0)</f>
        <v>Ставрополь</v>
      </c>
      <c r="J2023">
        <f>VLOOKUP(D2023,Товары!A:I,4,0)</f>
        <v>21630</v>
      </c>
      <c r="K2023">
        <f t="shared" si="31"/>
        <v>21630</v>
      </c>
    </row>
    <row r="2024" spans="1:11" hidden="1" x14ac:dyDescent="0.25">
      <c r="A2024">
        <v>2023</v>
      </c>
      <c r="B2024" s="1">
        <v>45749</v>
      </c>
      <c r="C2024" t="s">
        <v>14</v>
      </c>
      <c r="D2024" t="s">
        <v>12</v>
      </c>
      <c r="E2024" t="s">
        <v>8</v>
      </c>
      <c r="F2024">
        <v>1</v>
      </c>
      <c r="G2024" t="str">
        <f>VLOOKUP(D2024,Товары!A:I,3,0)</f>
        <v>Тумба с раковиной  напол. Сохо 700 белый 2 двери с умыв. Слим</v>
      </c>
      <c r="H2024">
        <f>VLOOKUP(D2024,Товары!A:I,6,0)</f>
        <v>85</v>
      </c>
      <c r="I2024" t="str">
        <f>VLOOKUP(C2024,Магазины!A:C,3,0)</f>
        <v>Оренбург</v>
      </c>
      <c r="J2024">
        <f>VLOOKUP(D2024,Товары!A:I,4,0)</f>
        <v>17160</v>
      </c>
      <c r="K2024">
        <f t="shared" si="31"/>
        <v>17160</v>
      </c>
    </row>
    <row r="2025" spans="1:11" hidden="1" x14ac:dyDescent="0.25">
      <c r="A2025">
        <v>2024</v>
      </c>
      <c r="B2025" s="1">
        <v>45755</v>
      </c>
      <c r="C2025" t="s">
        <v>63</v>
      </c>
      <c r="D2025" t="s">
        <v>25</v>
      </c>
      <c r="E2025" t="s">
        <v>8</v>
      </c>
      <c r="F2025">
        <v>2</v>
      </c>
      <c r="G2025" t="str">
        <f>VLOOKUP(D2025,Товары!A:I,3,0)</f>
        <v>Пенал напол. Леон 400 оникс 2 двери + 1 ящик</v>
      </c>
      <c r="H2025">
        <f>VLOOKUP(D2025,Товары!A:I,6,0)</f>
        <v>190</v>
      </c>
      <c r="I2025" t="str">
        <f>VLOOKUP(C2025,Магазины!A:C,3,0)</f>
        <v>Ставрополь</v>
      </c>
      <c r="J2025">
        <f>VLOOKUP(D2025,Товары!A:I,4,0)</f>
        <v>18450</v>
      </c>
      <c r="K2025">
        <f t="shared" si="31"/>
        <v>36900</v>
      </c>
    </row>
    <row r="2026" spans="1:11" hidden="1" x14ac:dyDescent="0.25">
      <c r="A2026">
        <v>2025</v>
      </c>
      <c r="B2026" s="1">
        <v>45756</v>
      </c>
      <c r="C2026" t="s">
        <v>41</v>
      </c>
      <c r="D2026" t="s">
        <v>78</v>
      </c>
      <c r="E2026" t="s">
        <v>8</v>
      </c>
      <c r="F2026">
        <v>3</v>
      </c>
      <c r="G2026" t="str">
        <f>VLOOKUP(D2026,Товары!A:I,3,0)</f>
        <v>Зеркальный шкаф Кристалл 70 со светильником правый, ручка кнопка дуб цвет Шато Азур</v>
      </c>
      <c r="H2026">
        <f>VLOOKUP(D2026,Товары!A:I,6,0)</f>
        <v>75</v>
      </c>
      <c r="I2026" t="str">
        <f>VLOOKUP(C2026,Магазины!A:C,3,0)</f>
        <v>Ставрополь</v>
      </c>
      <c r="J2026">
        <f>VLOOKUP(D2026,Товары!A:I,4,0)</f>
        <v>9615</v>
      </c>
      <c r="K2026">
        <f t="shared" si="31"/>
        <v>28845</v>
      </c>
    </row>
    <row r="2027" spans="1:11" hidden="1" x14ac:dyDescent="0.25">
      <c r="A2027">
        <v>2026</v>
      </c>
      <c r="B2027" s="1">
        <v>45748</v>
      </c>
      <c r="C2027" t="s">
        <v>18</v>
      </c>
      <c r="D2027" t="s">
        <v>112</v>
      </c>
      <c r="E2027" t="s">
        <v>13</v>
      </c>
      <c r="F2027">
        <v>3</v>
      </c>
      <c r="G2027" t="str">
        <f>VLOOKUP(D2027,Товары!A:I,3,0)</f>
        <v>Тумба с раковиной  напол. Аква 560 белый 2 двери с умыв. Уют</v>
      </c>
      <c r="H2027">
        <f>VLOOKUP(D2027,Товары!A:I,6,0)</f>
        <v>85</v>
      </c>
      <c r="I2027" t="str">
        <f>VLOOKUP(C2027,Магазины!A:C,3,0)</f>
        <v>Набережные Челны</v>
      </c>
      <c r="J2027">
        <f>VLOOKUP(D2027,Товары!A:I,4,0)</f>
        <v>9330</v>
      </c>
      <c r="K2027">
        <f t="shared" si="31"/>
        <v>27990</v>
      </c>
    </row>
    <row r="2028" spans="1:11" hidden="1" x14ac:dyDescent="0.25">
      <c r="A2028">
        <v>2027</v>
      </c>
      <c r="B2028" s="1">
        <v>45750</v>
      </c>
      <c r="C2028" t="s">
        <v>22</v>
      </c>
      <c r="D2028" t="s">
        <v>40</v>
      </c>
      <c r="E2028" t="s">
        <v>8</v>
      </c>
      <c r="F2028">
        <v>3</v>
      </c>
      <c r="G2028" t="str">
        <f>VLOOKUP(D2028,Товары!A:I,3,0)</f>
        <v>Тумба с раковиной  навес. Рица 800 cерый/керамика 1 ящик + ниша 1 с умыв. Слим</v>
      </c>
      <c r="H2028">
        <f>VLOOKUP(D2028,Товары!A:I,6,0)</f>
        <v>60</v>
      </c>
      <c r="I2028" t="str">
        <f>VLOOKUP(C2028,Магазины!A:C,3,0)</f>
        <v>Кемерово</v>
      </c>
      <c r="J2028">
        <f>VLOOKUP(D2028,Товары!A:I,4,0)</f>
        <v>22425</v>
      </c>
      <c r="K2028">
        <f t="shared" si="31"/>
        <v>67275</v>
      </c>
    </row>
    <row r="2029" spans="1:11" hidden="1" x14ac:dyDescent="0.25">
      <c r="A2029">
        <v>2028</v>
      </c>
      <c r="B2029" s="1">
        <v>45754</v>
      </c>
      <c r="C2029" t="s">
        <v>103</v>
      </c>
      <c r="D2029" t="s">
        <v>51</v>
      </c>
      <c r="E2029" t="s">
        <v>13</v>
      </c>
      <c r="F2029">
        <v>3</v>
      </c>
      <c r="G2029" t="str">
        <f>VLOOKUP(D2029,Товары!A:I,3,0)</f>
        <v>Зеркальный шкаф Альба 80 со светильником правый цвет суфле</v>
      </c>
      <c r="H2029">
        <f>VLOOKUP(D2029,Товары!A:I,6,0)</f>
        <v>75</v>
      </c>
      <c r="I2029" t="str">
        <f>VLOOKUP(C2029,Магазины!A:C,3,0)</f>
        <v>Ставрополь</v>
      </c>
      <c r="J2029">
        <f>VLOOKUP(D2029,Товары!A:I,4,0)</f>
        <v>9930</v>
      </c>
      <c r="K2029">
        <f t="shared" si="31"/>
        <v>29790</v>
      </c>
    </row>
    <row r="2030" spans="1:11" hidden="1" x14ac:dyDescent="0.25">
      <c r="A2030">
        <v>2029</v>
      </c>
      <c r="B2030" s="1">
        <v>45750</v>
      </c>
      <c r="C2030" t="s">
        <v>58</v>
      </c>
      <c r="D2030" t="s">
        <v>7</v>
      </c>
      <c r="E2030" t="s">
        <v>13</v>
      </c>
      <c r="F2030">
        <v>2</v>
      </c>
      <c r="G2030" t="str">
        <f>VLOOKUP(D2030,Товары!A:I,3,0)</f>
        <v>Пенал напол. Леон Риф 400 солярис/белый риф 2 двери + 1 ящик</v>
      </c>
      <c r="H2030">
        <f>VLOOKUP(D2030,Товары!A:I,6,0)</f>
        <v>190</v>
      </c>
      <c r="I2030" t="str">
        <f>VLOOKUP(C2030,Магазины!A:C,3,0)</f>
        <v>Ставрополь</v>
      </c>
      <c r="J2030">
        <f>VLOOKUP(D2030,Товары!A:I,4,0)</f>
        <v>14490</v>
      </c>
      <c r="K2030">
        <f t="shared" si="31"/>
        <v>28980</v>
      </c>
    </row>
    <row r="2031" spans="1:11" hidden="1" x14ac:dyDescent="0.25">
      <c r="A2031">
        <v>2030</v>
      </c>
      <c r="B2031" s="1">
        <v>45755</v>
      </c>
      <c r="C2031" t="s">
        <v>11</v>
      </c>
      <c r="D2031" t="s">
        <v>19</v>
      </c>
      <c r="E2031" t="s">
        <v>8</v>
      </c>
      <c r="F2031">
        <v>3</v>
      </c>
      <c r="G2031" t="str">
        <f>VLOOKUP(D2031,Товары!A:I,3,0)</f>
        <v>Тумба с раковиной  навес. Леон 800 оникс 2 ящика с умыв. Слим</v>
      </c>
      <c r="H2031">
        <f>VLOOKUP(D2031,Товары!A:I,6,0)</f>
        <v>60</v>
      </c>
      <c r="I2031" t="str">
        <f>VLOOKUP(C2031,Магазины!A:C,3,0)</f>
        <v>Кемерово</v>
      </c>
      <c r="J2031">
        <f>VLOOKUP(D2031,Товары!A:I,4,0)</f>
        <v>27930</v>
      </c>
      <c r="K2031">
        <f t="shared" si="31"/>
        <v>83790</v>
      </c>
    </row>
    <row r="2032" spans="1:11" hidden="1" x14ac:dyDescent="0.25">
      <c r="A2032">
        <v>2031</v>
      </c>
      <c r="B2032" s="1">
        <v>45757</v>
      </c>
      <c r="C2032" t="s">
        <v>35</v>
      </c>
      <c r="D2032" t="s">
        <v>52</v>
      </c>
      <c r="E2032" t="s">
        <v>8</v>
      </c>
      <c r="F2032">
        <v>1</v>
      </c>
      <c r="G2032" t="str">
        <f>VLOOKUP(D2032,Товары!A:I,3,0)</f>
        <v>Тумба с раковиной  напол. Кристалл 600 суфле 2 ящика с умыв. Океан</v>
      </c>
      <c r="H2032">
        <f>VLOOKUP(D2032,Товары!A:I,6,0)</f>
        <v>80</v>
      </c>
      <c r="I2032" t="str">
        <f>VLOOKUP(C2032,Магазины!A:C,3,0)</f>
        <v>Набережные Челны</v>
      </c>
      <c r="J2032">
        <f>VLOOKUP(D2032,Товары!A:I,4,0)</f>
        <v>27600</v>
      </c>
      <c r="K2032">
        <f t="shared" si="31"/>
        <v>27600</v>
      </c>
    </row>
    <row r="2033" spans="1:11" hidden="1" x14ac:dyDescent="0.25">
      <c r="A2033">
        <v>2032</v>
      </c>
      <c r="B2033" s="1">
        <v>45756</v>
      </c>
      <c r="C2033" t="s">
        <v>22</v>
      </c>
      <c r="D2033" t="s">
        <v>112</v>
      </c>
      <c r="E2033" t="s">
        <v>8</v>
      </c>
      <c r="F2033">
        <v>2</v>
      </c>
      <c r="G2033" t="str">
        <f>VLOOKUP(D2033,Товары!A:I,3,0)</f>
        <v>Тумба с раковиной  напол. Аква 560 белый 2 двери с умыв. Уют</v>
      </c>
      <c r="H2033">
        <f>VLOOKUP(D2033,Товары!A:I,6,0)</f>
        <v>85</v>
      </c>
      <c r="I2033" t="str">
        <f>VLOOKUP(C2033,Магазины!A:C,3,0)</f>
        <v>Кемерово</v>
      </c>
      <c r="J2033">
        <f>VLOOKUP(D2033,Товары!A:I,4,0)</f>
        <v>9330</v>
      </c>
      <c r="K2033">
        <f t="shared" si="31"/>
        <v>18660</v>
      </c>
    </row>
    <row r="2034" spans="1:11" hidden="1" x14ac:dyDescent="0.25">
      <c r="A2034">
        <v>2033</v>
      </c>
      <c r="B2034" s="1">
        <v>45752</v>
      </c>
      <c r="C2034" t="s">
        <v>57</v>
      </c>
      <c r="D2034" t="s">
        <v>21</v>
      </c>
      <c r="E2034" t="s">
        <v>13</v>
      </c>
      <c r="F2034">
        <v>1</v>
      </c>
      <c r="G2034" t="str">
        <f>VLOOKUP(D2034,Товары!A:I,3,0)</f>
        <v>Зеркальный шкаф Рица 60 со светильником правый цвет cерый/керамика</v>
      </c>
      <c r="H2034">
        <f>VLOOKUP(D2034,Товары!A:I,6,0)</f>
        <v>75</v>
      </c>
      <c r="I2034" t="str">
        <f>VLOOKUP(C2034,Магазины!A:C,3,0)</f>
        <v>Оренбург</v>
      </c>
      <c r="J2034">
        <f>VLOOKUP(D2034,Товары!A:I,4,0)</f>
        <v>8910</v>
      </c>
      <c r="K2034">
        <f t="shared" si="31"/>
        <v>8910</v>
      </c>
    </row>
    <row r="2035" spans="1:11" hidden="1" x14ac:dyDescent="0.25">
      <c r="A2035">
        <v>2034</v>
      </c>
      <c r="B2035" s="1">
        <v>45757</v>
      </c>
      <c r="C2035" t="s">
        <v>30</v>
      </c>
      <c r="D2035" t="s">
        <v>72</v>
      </c>
      <c r="E2035" t="s">
        <v>8</v>
      </c>
      <c r="F2035">
        <v>2</v>
      </c>
      <c r="G2035" t="str">
        <f>VLOOKUP(D2035,Товары!A:I,3,0)</f>
        <v>Тумба с раковиной  напол. Сохо 600 белый 2 ящика с умыв. Океан</v>
      </c>
      <c r="H2035">
        <f>VLOOKUP(D2035,Товары!A:I,6,0)</f>
        <v>85</v>
      </c>
      <c r="I2035" t="str">
        <f>VLOOKUP(C2035,Магазины!A:C,3,0)</f>
        <v>Кемерово</v>
      </c>
      <c r="J2035">
        <f>VLOOKUP(D2035,Товары!A:I,4,0)</f>
        <v>16140</v>
      </c>
      <c r="K2035">
        <f t="shared" si="31"/>
        <v>32280</v>
      </c>
    </row>
    <row r="2036" spans="1:11" hidden="1" x14ac:dyDescent="0.25">
      <c r="A2036">
        <v>2035</v>
      </c>
      <c r="B2036" s="1">
        <v>45749</v>
      </c>
      <c r="C2036" t="s">
        <v>16</v>
      </c>
      <c r="D2036" t="s">
        <v>29</v>
      </c>
      <c r="E2036" t="s">
        <v>8</v>
      </c>
      <c r="F2036">
        <v>3</v>
      </c>
      <c r="G2036" t="str">
        <f>VLOOKUP(D2036,Товары!A:I,3,0)</f>
        <v>Тумба с раковиной  напол. Леон Риф 600 солярис/белый риф 2 ящика с умыв. Океан</v>
      </c>
      <c r="H2036">
        <f>VLOOKUP(D2036,Товары!A:I,6,0)</f>
        <v>80</v>
      </c>
      <c r="I2036" t="str">
        <f>VLOOKUP(C2036,Магазины!A:C,3,0)</f>
        <v>Оренбург</v>
      </c>
      <c r="J2036">
        <f>VLOOKUP(D2036,Товары!A:I,4,0)</f>
        <v>24150</v>
      </c>
      <c r="K2036">
        <f t="shared" si="31"/>
        <v>72450</v>
      </c>
    </row>
    <row r="2037" spans="1:11" hidden="1" x14ac:dyDescent="0.25">
      <c r="A2037">
        <v>2036</v>
      </c>
      <c r="B2037" s="1">
        <v>45753</v>
      </c>
      <c r="C2037" t="s">
        <v>28</v>
      </c>
      <c r="D2037" t="s">
        <v>71</v>
      </c>
      <c r="E2037" t="s">
        <v>8</v>
      </c>
      <c r="F2037">
        <v>3</v>
      </c>
      <c r="G2037" t="str">
        <f>VLOOKUP(D2037,Товары!A:I,3,0)</f>
        <v>Тумба с раковиной  навес. Альба 600 мята 2 ящика с умыв. Океан</v>
      </c>
      <c r="H2037">
        <f>VLOOKUP(D2037,Товары!A:I,6,0)</f>
        <v>50</v>
      </c>
      <c r="I2037" t="str">
        <f>VLOOKUP(C2037,Магазины!A:C,3,0)</f>
        <v>Набережные Челны</v>
      </c>
      <c r="J2037">
        <f>VLOOKUP(D2037,Товары!A:I,4,0)</f>
        <v>24810</v>
      </c>
      <c r="K2037">
        <f t="shared" si="31"/>
        <v>74430</v>
      </c>
    </row>
    <row r="2038" spans="1:11" hidden="1" x14ac:dyDescent="0.25">
      <c r="A2038">
        <v>2037</v>
      </c>
      <c r="B2038" s="1">
        <v>45753</v>
      </c>
      <c r="C2038" t="s">
        <v>9</v>
      </c>
      <c r="D2038" t="s">
        <v>52</v>
      </c>
      <c r="E2038" t="s">
        <v>8</v>
      </c>
      <c r="F2038">
        <v>3</v>
      </c>
      <c r="G2038" t="str">
        <f>VLOOKUP(D2038,Товары!A:I,3,0)</f>
        <v>Тумба с раковиной  напол. Кристалл 600 суфле 2 ящика с умыв. Океан</v>
      </c>
      <c r="H2038">
        <f>VLOOKUP(D2038,Товары!A:I,6,0)</f>
        <v>80</v>
      </c>
      <c r="I2038" t="str">
        <f>VLOOKUP(C2038,Магазины!A:C,3,0)</f>
        <v>Кемерово</v>
      </c>
      <c r="J2038">
        <f>VLOOKUP(D2038,Товары!A:I,4,0)</f>
        <v>27600</v>
      </c>
      <c r="K2038">
        <f t="shared" si="31"/>
        <v>82800</v>
      </c>
    </row>
    <row r="2039" spans="1:11" hidden="1" x14ac:dyDescent="0.25">
      <c r="A2039">
        <v>2038</v>
      </c>
      <c r="B2039" s="1">
        <v>45750</v>
      </c>
      <c r="C2039" t="s">
        <v>16</v>
      </c>
      <c r="D2039" t="s">
        <v>101</v>
      </c>
      <c r="E2039" t="s">
        <v>13</v>
      </c>
      <c r="F2039">
        <v>3</v>
      </c>
      <c r="G2039" t="str">
        <f>VLOOKUP(D2039,Товары!A:I,3,0)</f>
        <v>Пенал напол. Сохо 400 белый 2 двери + 1 ящик</v>
      </c>
      <c r="H2039">
        <f>VLOOKUP(D2039,Товары!A:I,6,0)</f>
        <v>190</v>
      </c>
      <c r="I2039" t="str">
        <f>VLOOKUP(C2039,Магазины!A:C,3,0)</f>
        <v>Оренбург</v>
      </c>
      <c r="J2039">
        <f>VLOOKUP(D2039,Товары!A:I,4,0)</f>
        <v>11040</v>
      </c>
      <c r="K2039">
        <f t="shared" si="31"/>
        <v>33120</v>
      </c>
    </row>
    <row r="2040" spans="1:11" hidden="1" x14ac:dyDescent="0.25">
      <c r="A2040">
        <v>2039</v>
      </c>
      <c r="B2040" s="1">
        <v>45757</v>
      </c>
      <c r="C2040" t="s">
        <v>9</v>
      </c>
      <c r="D2040" t="s">
        <v>23</v>
      </c>
      <c r="E2040" t="s">
        <v>13</v>
      </c>
      <c r="F2040">
        <v>2</v>
      </c>
      <c r="G2040" t="str">
        <f>VLOOKUP(D2040,Товары!A:I,3,0)</f>
        <v>Тумба с раковиной  напол. Альба 800 антрацит 2 ящика с умыв. Слим</v>
      </c>
      <c r="H2040">
        <f>VLOOKUP(D2040,Товары!A:I,6,0)</f>
        <v>80</v>
      </c>
      <c r="I2040" t="str">
        <f>VLOOKUP(C2040,Магазины!A:C,3,0)</f>
        <v>Кемерово</v>
      </c>
      <c r="J2040">
        <f>VLOOKUP(D2040,Товары!A:I,4,0)</f>
        <v>29340</v>
      </c>
      <c r="K2040">
        <f t="shared" si="31"/>
        <v>58680</v>
      </c>
    </row>
    <row r="2041" spans="1:11" hidden="1" x14ac:dyDescent="0.25">
      <c r="A2041">
        <v>2040</v>
      </c>
      <c r="B2041" s="1">
        <v>45754</v>
      </c>
      <c r="C2041" t="s">
        <v>111</v>
      </c>
      <c r="D2041" t="s">
        <v>49</v>
      </c>
      <c r="E2041" t="s">
        <v>8</v>
      </c>
      <c r="F2041">
        <v>2</v>
      </c>
      <c r="G2041" t="str">
        <f>VLOOKUP(D2041,Товары!A:I,3,0)</f>
        <v>Тумба с раковиной  напол. Леон 700 оникс 2 ящика с умыв. Слим</v>
      </c>
      <c r="H2041">
        <f>VLOOKUP(D2041,Товары!A:I,6,0)</f>
        <v>80</v>
      </c>
      <c r="I2041" t="str">
        <f>VLOOKUP(C2041,Магазины!A:C,3,0)</f>
        <v>Набережные Челны</v>
      </c>
      <c r="J2041">
        <f>VLOOKUP(D2041,Товары!A:I,4,0)</f>
        <v>28380</v>
      </c>
      <c r="K2041">
        <f t="shared" si="31"/>
        <v>56760</v>
      </c>
    </row>
    <row r="2042" spans="1:11" hidden="1" x14ac:dyDescent="0.25">
      <c r="A2042">
        <v>2041</v>
      </c>
      <c r="B2042" s="1">
        <v>45757</v>
      </c>
      <c r="C2042" t="s">
        <v>57</v>
      </c>
      <c r="D2042" t="s">
        <v>130</v>
      </c>
      <c r="E2042" t="s">
        <v>8</v>
      </c>
      <c r="F2042">
        <v>2</v>
      </c>
      <c r="G2042" t="str">
        <f>VLOOKUP(D2042,Товары!A:I,3,0)</f>
        <v>Пенал напол. Леон 400 форест 2 двери + 1 ящик</v>
      </c>
      <c r="H2042">
        <f>VLOOKUP(D2042,Товары!A:I,6,0)</f>
        <v>190</v>
      </c>
      <c r="I2042" t="str">
        <f>VLOOKUP(C2042,Магазины!A:C,3,0)</f>
        <v>Оренбург</v>
      </c>
      <c r="J2042">
        <f>VLOOKUP(D2042,Товары!A:I,4,0)</f>
        <v>18450</v>
      </c>
      <c r="K2042">
        <f t="shared" si="31"/>
        <v>36900</v>
      </c>
    </row>
    <row r="2043" spans="1:11" hidden="1" x14ac:dyDescent="0.25">
      <c r="A2043">
        <v>2042</v>
      </c>
      <c r="B2043" s="1">
        <v>45752</v>
      </c>
      <c r="C2043" t="s">
        <v>43</v>
      </c>
      <c r="D2043" t="s">
        <v>49</v>
      </c>
      <c r="E2043" t="s">
        <v>8</v>
      </c>
      <c r="F2043">
        <v>2</v>
      </c>
      <c r="G2043" t="str">
        <f>VLOOKUP(D2043,Товары!A:I,3,0)</f>
        <v>Тумба с раковиной  напол. Леон 700 оникс 2 ящика с умыв. Слим</v>
      </c>
      <c r="H2043">
        <f>VLOOKUP(D2043,Товары!A:I,6,0)</f>
        <v>80</v>
      </c>
      <c r="I2043" t="str">
        <f>VLOOKUP(C2043,Магазины!A:C,3,0)</f>
        <v>Набережные Челны</v>
      </c>
      <c r="J2043">
        <f>VLOOKUP(D2043,Товары!A:I,4,0)</f>
        <v>28380</v>
      </c>
      <c r="K2043">
        <f t="shared" si="31"/>
        <v>56760</v>
      </c>
    </row>
    <row r="2044" spans="1:11" hidden="1" x14ac:dyDescent="0.25">
      <c r="A2044">
        <v>2043</v>
      </c>
      <c r="B2044" s="1">
        <v>45753</v>
      </c>
      <c r="C2044" t="s">
        <v>30</v>
      </c>
      <c r="D2044" t="s">
        <v>90</v>
      </c>
      <c r="E2044" t="s">
        <v>8</v>
      </c>
      <c r="F2044">
        <v>2</v>
      </c>
      <c r="G2044" t="str">
        <f>VLOOKUP(D2044,Товары!A:I,3,0)</f>
        <v>Пенал напол. Аква 350 белый 2 двери + 2 ящика</v>
      </c>
      <c r="H2044">
        <f>VLOOKUP(D2044,Товары!A:I,6,0)</f>
        <v>190</v>
      </c>
      <c r="I2044" t="str">
        <f>VLOOKUP(C2044,Магазины!A:C,3,0)</f>
        <v>Кемерово</v>
      </c>
      <c r="J2044">
        <f>VLOOKUP(D2044,Товары!A:I,4,0)</f>
        <v>10650</v>
      </c>
      <c r="K2044">
        <f t="shared" si="31"/>
        <v>21300</v>
      </c>
    </row>
    <row r="2045" spans="1:11" hidden="1" x14ac:dyDescent="0.25">
      <c r="A2045">
        <v>2044</v>
      </c>
      <c r="B2045" s="1">
        <v>45754</v>
      </c>
      <c r="C2045" t="s">
        <v>30</v>
      </c>
      <c r="D2045" t="s">
        <v>47</v>
      </c>
      <c r="E2045" t="s">
        <v>8</v>
      </c>
      <c r="F2045">
        <v>2</v>
      </c>
      <c r="G2045" t="str">
        <f>VLOOKUP(D2045,Товары!A:I,3,0)</f>
        <v>Пенал напол. Кристалл 350 шато азур 2 двери</v>
      </c>
      <c r="H2045">
        <f>VLOOKUP(D2045,Товары!A:I,6,0)</f>
        <v>190</v>
      </c>
      <c r="I2045" t="str">
        <f>VLOOKUP(C2045,Магазины!A:C,3,0)</f>
        <v>Кемерово</v>
      </c>
      <c r="J2045">
        <f>VLOOKUP(D2045,Товары!A:I,4,0)</f>
        <v>15810</v>
      </c>
      <c r="K2045">
        <f t="shared" si="31"/>
        <v>31620</v>
      </c>
    </row>
    <row r="2046" spans="1:11" hidden="1" x14ac:dyDescent="0.25">
      <c r="A2046">
        <v>2045</v>
      </c>
      <c r="B2046" s="1">
        <v>45750</v>
      </c>
      <c r="C2046" t="s">
        <v>26</v>
      </c>
      <c r="D2046" t="s">
        <v>46</v>
      </c>
      <c r="E2046" t="s">
        <v>8</v>
      </c>
      <c r="F2046">
        <v>2</v>
      </c>
      <c r="G2046" t="str">
        <f>VLOOKUP(D2046,Товары!A:I,3,0)</f>
        <v>Тумба с раковиной  напол. Сохо 700 белый 2 ящика с умыв. Слим</v>
      </c>
      <c r="H2046">
        <f>VLOOKUP(D2046,Товары!A:I,6,0)</f>
        <v>85</v>
      </c>
      <c r="I2046" t="str">
        <f>VLOOKUP(C2046,Магазины!A:C,3,0)</f>
        <v>Оренбург</v>
      </c>
      <c r="J2046">
        <f>VLOOKUP(D2046,Товары!A:I,4,0)</f>
        <v>18405</v>
      </c>
      <c r="K2046">
        <f t="shared" si="31"/>
        <v>36810</v>
      </c>
    </row>
    <row r="2047" spans="1:11" hidden="1" x14ac:dyDescent="0.25">
      <c r="A2047">
        <v>2046</v>
      </c>
      <c r="B2047" s="1">
        <v>45749</v>
      </c>
      <c r="C2047" t="s">
        <v>63</v>
      </c>
      <c r="D2047" t="s">
        <v>27</v>
      </c>
      <c r="E2047" t="s">
        <v>8</v>
      </c>
      <c r="F2047">
        <v>3</v>
      </c>
      <c r="G2047" t="str">
        <f>VLOOKUP(D2047,Товары!A:I,3,0)</f>
        <v>Тумба с раковиной  навес. Виктория 800 белый 2 ящика с умыв. Слим</v>
      </c>
      <c r="H2047">
        <f>VLOOKUP(D2047,Товары!A:I,6,0)</f>
        <v>60</v>
      </c>
      <c r="I2047" t="str">
        <f>VLOOKUP(C2047,Магазины!A:C,3,0)</f>
        <v>Ставрополь</v>
      </c>
      <c r="J2047">
        <f>VLOOKUP(D2047,Товары!A:I,4,0)</f>
        <v>25290</v>
      </c>
      <c r="K2047">
        <f t="shared" si="31"/>
        <v>75870</v>
      </c>
    </row>
    <row r="2048" spans="1:11" hidden="1" x14ac:dyDescent="0.25">
      <c r="A2048">
        <v>2047</v>
      </c>
      <c r="B2048" s="1">
        <v>45754</v>
      </c>
      <c r="C2048" t="s">
        <v>57</v>
      </c>
      <c r="D2048" t="s">
        <v>52</v>
      </c>
      <c r="E2048" t="s">
        <v>13</v>
      </c>
      <c r="F2048">
        <v>3</v>
      </c>
      <c r="G2048" t="str">
        <f>VLOOKUP(D2048,Товары!A:I,3,0)</f>
        <v>Тумба с раковиной  напол. Кристалл 600 суфле 2 ящика с умыв. Океан</v>
      </c>
      <c r="H2048">
        <f>VLOOKUP(D2048,Товары!A:I,6,0)</f>
        <v>80</v>
      </c>
      <c r="I2048" t="str">
        <f>VLOOKUP(C2048,Магазины!A:C,3,0)</f>
        <v>Оренбург</v>
      </c>
      <c r="J2048">
        <f>VLOOKUP(D2048,Товары!A:I,4,0)</f>
        <v>27600</v>
      </c>
      <c r="K2048">
        <f t="shared" si="31"/>
        <v>82800</v>
      </c>
    </row>
    <row r="2049" spans="1:11" hidden="1" x14ac:dyDescent="0.25">
      <c r="A2049">
        <v>2048</v>
      </c>
      <c r="B2049" s="1">
        <v>45754</v>
      </c>
      <c r="C2049" t="s">
        <v>103</v>
      </c>
      <c r="D2049" t="s">
        <v>25</v>
      </c>
      <c r="E2049" t="s">
        <v>13</v>
      </c>
      <c r="F2049">
        <v>3</v>
      </c>
      <c r="G2049" t="str">
        <f>VLOOKUP(D2049,Товары!A:I,3,0)</f>
        <v>Пенал напол. Леон 400 оникс 2 двери + 1 ящик</v>
      </c>
      <c r="H2049">
        <f>VLOOKUP(D2049,Товары!A:I,6,0)</f>
        <v>190</v>
      </c>
      <c r="I2049" t="str">
        <f>VLOOKUP(C2049,Магазины!A:C,3,0)</f>
        <v>Ставрополь</v>
      </c>
      <c r="J2049">
        <f>VLOOKUP(D2049,Товары!A:I,4,0)</f>
        <v>18450</v>
      </c>
      <c r="K2049">
        <f t="shared" si="31"/>
        <v>55350</v>
      </c>
    </row>
    <row r="2050" spans="1:11" hidden="1" x14ac:dyDescent="0.25">
      <c r="A2050">
        <v>2049</v>
      </c>
      <c r="B2050" s="1">
        <v>45749</v>
      </c>
      <c r="C2050" t="s">
        <v>63</v>
      </c>
      <c r="D2050" t="s">
        <v>131</v>
      </c>
      <c r="E2050" t="s">
        <v>13</v>
      </c>
      <c r="F2050">
        <v>1</v>
      </c>
      <c r="G2050" t="str">
        <f>VLOOKUP(D2050,Товары!A:I,3,0)</f>
        <v>Тумба с раковиной  напол. Леон 800 форест 2 ящика с умыв. Слим</v>
      </c>
      <c r="H2050">
        <f>VLOOKUP(D2050,Товары!A:I,6,0)</f>
        <v>80</v>
      </c>
      <c r="I2050" t="str">
        <f>VLOOKUP(C2050,Магазины!A:C,3,0)</f>
        <v>Ставрополь</v>
      </c>
      <c r="J2050">
        <f>VLOOKUP(D2050,Товары!A:I,4,0)</f>
        <v>29400</v>
      </c>
      <c r="K2050">
        <f t="shared" si="31"/>
        <v>29400</v>
      </c>
    </row>
    <row r="2051" spans="1:11" hidden="1" x14ac:dyDescent="0.25">
      <c r="A2051">
        <v>2050</v>
      </c>
      <c r="B2051" s="1">
        <v>45754</v>
      </c>
      <c r="C2051" t="s">
        <v>28</v>
      </c>
      <c r="D2051" t="s">
        <v>125</v>
      </c>
      <c r="E2051" t="s">
        <v>13</v>
      </c>
      <c r="F2051">
        <v>3</v>
      </c>
      <c r="G2051" t="str">
        <f>VLOOKUP(D2051,Товары!A:I,3,0)</f>
        <v>Зеркальный шкаф Сохо 60 белый со светильником правый цвет Белый глянец</v>
      </c>
      <c r="H2051">
        <f>VLOOKUP(D2051,Товары!A:I,6,0)</f>
        <v>75</v>
      </c>
      <c r="I2051" t="str">
        <f>VLOOKUP(C2051,Магазины!A:C,3,0)</f>
        <v>Набережные Челны</v>
      </c>
      <c r="J2051">
        <f>VLOOKUP(D2051,Товары!A:I,4,0)</f>
        <v>7395</v>
      </c>
      <c r="K2051">
        <f t="shared" ref="K2051:K2114" si="32">J2051*F2051</f>
        <v>22185</v>
      </c>
    </row>
    <row r="2052" spans="1:11" hidden="1" x14ac:dyDescent="0.25">
      <c r="A2052">
        <v>2051</v>
      </c>
      <c r="B2052" s="1">
        <v>45748</v>
      </c>
      <c r="C2052" t="s">
        <v>103</v>
      </c>
      <c r="D2052" t="s">
        <v>55</v>
      </c>
      <c r="E2052" t="s">
        <v>8</v>
      </c>
      <c r="F2052">
        <v>2</v>
      </c>
      <c r="G2052" t="str">
        <f>VLOOKUP(D2052,Товары!A:I,3,0)</f>
        <v>Тумба с раковиной  напол. Рица 600 cерый/керамика 2 ящика с умыв. Океан</v>
      </c>
      <c r="H2052">
        <f>VLOOKUP(D2052,Товары!A:I,6,0)</f>
        <v>80</v>
      </c>
      <c r="I2052" t="str">
        <f>VLOOKUP(C2052,Магазины!A:C,3,0)</f>
        <v>Ставрополь</v>
      </c>
      <c r="J2052">
        <f>VLOOKUP(D2052,Товары!A:I,4,0)</f>
        <v>25560</v>
      </c>
      <c r="K2052">
        <f t="shared" si="32"/>
        <v>51120</v>
      </c>
    </row>
    <row r="2053" spans="1:11" hidden="1" x14ac:dyDescent="0.25">
      <c r="A2053">
        <v>2052</v>
      </c>
      <c r="B2053" s="1">
        <v>45751</v>
      </c>
      <c r="C2053" t="s">
        <v>57</v>
      </c>
      <c r="D2053" t="s">
        <v>113</v>
      </c>
      <c r="E2053" t="s">
        <v>13</v>
      </c>
      <c r="F2053">
        <v>1</v>
      </c>
      <c r="G2053" t="str">
        <f>VLOOKUP(D2053,Товары!A:I,3,0)</f>
        <v>Зеркальный шкаф Альба 60 со светильником правый цвет мята</v>
      </c>
      <c r="H2053">
        <f>VLOOKUP(D2053,Товары!A:I,6,0)</f>
        <v>75</v>
      </c>
      <c r="I2053" t="str">
        <f>VLOOKUP(C2053,Магазины!A:C,3,0)</f>
        <v>Оренбург</v>
      </c>
      <c r="J2053">
        <f>VLOOKUP(D2053,Товары!A:I,4,0)</f>
        <v>8910</v>
      </c>
      <c r="K2053">
        <f t="shared" si="32"/>
        <v>8910</v>
      </c>
    </row>
    <row r="2054" spans="1:11" hidden="1" x14ac:dyDescent="0.25">
      <c r="A2054">
        <v>2053</v>
      </c>
      <c r="B2054" s="1">
        <v>45755</v>
      </c>
      <c r="C2054" t="s">
        <v>6</v>
      </c>
      <c r="D2054" t="s">
        <v>77</v>
      </c>
      <c r="E2054" t="s">
        <v>8</v>
      </c>
      <c r="F2054">
        <v>1</v>
      </c>
      <c r="G2054" t="str">
        <f>VLOOKUP(D2054,Товары!A:I,3,0)</f>
        <v>Тумба с раковиной  напол. Куба Риф 600 белый 2 ящика с умыв. Como</v>
      </c>
      <c r="H2054">
        <f>VLOOKUP(D2054,Товары!A:I,6,0)</f>
        <v>85</v>
      </c>
      <c r="I2054" t="str">
        <f>VLOOKUP(C2054,Магазины!A:C,3,0)</f>
        <v>Оренбург</v>
      </c>
      <c r="J2054">
        <f>VLOOKUP(D2054,Товары!A:I,4,0)</f>
        <v>15660</v>
      </c>
      <c r="K2054">
        <f t="shared" si="32"/>
        <v>15660</v>
      </c>
    </row>
    <row r="2055" spans="1:11" hidden="1" x14ac:dyDescent="0.25">
      <c r="A2055">
        <v>2054</v>
      </c>
      <c r="B2055" s="1">
        <v>45754</v>
      </c>
      <c r="C2055" t="s">
        <v>58</v>
      </c>
      <c r="D2055" t="s">
        <v>109</v>
      </c>
      <c r="E2055" t="s">
        <v>8</v>
      </c>
      <c r="F2055">
        <v>2</v>
      </c>
      <c r="G2055" t="str">
        <f>VLOOKUP(D2055,Товары!A:I,3,0)</f>
        <v>Тумба с раковиной  навес. Альба 600 антрацит 2 ящика с умыв. Океан</v>
      </c>
      <c r="H2055">
        <f>VLOOKUP(D2055,Товары!A:I,6,0)</f>
        <v>50</v>
      </c>
      <c r="I2055" t="str">
        <f>VLOOKUP(C2055,Магазины!A:C,3,0)</f>
        <v>Ставрополь</v>
      </c>
      <c r="J2055">
        <f>VLOOKUP(D2055,Товары!A:I,4,0)</f>
        <v>24810</v>
      </c>
      <c r="K2055">
        <f t="shared" si="32"/>
        <v>49620</v>
      </c>
    </row>
    <row r="2056" spans="1:11" hidden="1" x14ac:dyDescent="0.25">
      <c r="A2056">
        <v>2055</v>
      </c>
      <c r="B2056" s="1">
        <v>45750</v>
      </c>
      <c r="C2056" t="s">
        <v>20</v>
      </c>
      <c r="D2056" t="s">
        <v>107</v>
      </c>
      <c r="E2056" t="s">
        <v>13</v>
      </c>
      <c r="F2056">
        <v>3</v>
      </c>
      <c r="G2056" t="str">
        <f>VLOOKUP(D2056,Товары!A:I,3,0)</f>
        <v>Комод Аква 35 напольный 1 дверь белый правый</v>
      </c>
      <c r="H2056">
        <f>VLOOKUP(D2056,Товары!A:I,6,0)</f>
        <v>90</v>
      </c>
      <c r="I2056" t="str">
        <f>VLOOKUP(C2056,Магазины!A:C,3,0)</f>
        <v>Оренбург</v>
      </c>
      <c r="J2056">
        <f>VLOOKUP(D2056,Товары!A:I,4,0)</f>
        <v>6705</v>
      </c>
      <c r="K2056">
        <f t="shared" si="32"/>
        <v>20115</v>
      </c>
    </row>
    <row r="2057" spans="1:11" hidden="1" x14ac:dyDescent="0.25">
      <c r="A2057">
        <v>2056</v>
      </c>
      <c r="B2057" s="1">
        <v>45748</v>
      </c>
      <c r="C2057" t="s">
        <v>35</v>
      </c>
      <c r="D2057" t="s">
        <v>110</v>
      </c>
      <c r="E2057" t="s">
        <v>8</v>
      </c>
      <c r="F2057">
        <v>3</v>
      </c>
      <c r="G2057" t="str">
        <f>VLOOKUP(D2057,Товары!A:I,3,0)</f>
        <v>Тумба с раковиной  напол. Альба 600 антрацит 2 ящика с умыв. Океан</v>
      </c>
      <c r="H2057">
        <f>VLOOKUP(D2057,Товары!A:I,6,0)</f>
        <v>80</v>
      </c>
      <c r="I2057" t="str">
        <f>VLOOKUP(C2057,Магазины!A:C,3,0)</f>
        <v>Набережные Челны</v>
      </c>
      <c r="J2057">
        <f>VLOOKUP(D2057,Товары!A:I,4,0)</f>
        <v>26370</v>
      </c>
      <c r="K2057">
        <f t="shared" si="32"/>
        <v>79110</v>
      </c>
    </row>
    <row r="2058" spans="1:11" hidden="1" x14ac:dyDescent="0.25">
      <c r="A2058">
        <v>2057</v>
      </c>
      <c r="B2058" s="1">
        <v>45753</v>
      </c>
      <c r="C2058" t="s">
        <v>54</v>
      </c>
      <c r="D2058" t="s">
        <v>71</v>
      </c>
      <c r="E2058" t="s">
        <v>13</v>
      </c>
      <c r="F2058">
        <v>1</v>
      </c>
      <c r="G2058" t="str">
        <f>VLOOKUP(D2058,Товары!A:I,3,0)</f>
        <v>Тумба с раковиной  навес. Альба 600 мята 2 ящика с умыв. Океан</v>
      </c>
      <c r="H2058">
        <f>VLOOKUP(D2058,Товары!A:I,6,0)</f>
        <v>50</v>
      </c>
      <c r="I2058" t="str">
        <f>VLOOKUP(C2058,Магазины!A:C,3,0)</f>
        <v>Ставрополь</v>
      </c>
      <c r="J2058">
        <f>VLOOKUP(D2058,Товары!A:I,4,0)</f>
        <v>24810</v>
      </c>
      <c r="K2058">
        <f t="shared" si="32"/>
        <v>24810</v>
      </c>
    </row>
    <row r="2059" spans="1:11" hidden="1" x14ac:dyDescent="0.25">
      <c r="A2059">
        <v>2058</v>
      </c>
      <c r="B2059" s="1">
        <v>45749</v>
      </c>
      <c r="C2059" t="s">
        <v>33</v>
      </c>
      <c r="D2059" t="s">
        <v>37</v>
      </c>
      <c r="E2059" t="s">
        <v>8</v>
      </c>
      <c r="F2059">
        <v>3</v>
      </c>
      <c r="G2059" t="str">
        <f>VLOOKUP(D2059,Товары!A:I,3,0)</f>
        <v>Зеркальный шкаф Сохо 70 белый со светильником правый цвет Белый глянец</v>
      </c>
      <c r="H2059">
        <f>VLOOKUP(D2059,Товары!A:I,6,0)</f>
        <v>75</v>
      </c>
      <c r="I2059" t="str">
        <f>VLOOKUP(C2059,Магазины!A:C,3,0)</f>
        <v>Набережные Челны</v>
      </c>
      <c r="J2059">
        <f>VLOOKUP(D2059,Товары!A:I,4,0)</f>
        <v>7935</v>
      </c>
      <c r="K2059">
        <f t="shared" si="32"/>
        <v>23805</v>
      </c>
    </row>
    <row r="2060" spans="1:11" hidden="1" x14ac:dyDescent="0.25">
      <c r="A2060">
        <v>2059</v>
      </c>
      <c r="B2060" s="1">
        <v>45757</v>
      </c>
      <c r="C2060" t="s">
        <v>63</v>
      </c>
      <c r="D2060" t="s">
        <v>69</v>
      </c>
      <c r="E2060" t="s">
        <v>13</v>
      </c>
      <c r="F2060">
        <v>2</v>
      </c>
      <c r="G2060" t="str">
        <f>VLOOKUP(D2060,Товары!A:I,3,0)</f>
        <v>Пенал навес./напол. Альба 350 антрацит 2 двери</v>
      </c>
      <c r="H2060">
        <f>VLOOKUP(D2060,Товары!A:I,6,0)</f>
        <v>150</v>
      </c>
      <c r="I2060" t="str">
        <f>VLOOKUP(C2060,Магазины!A:C,3,0)</f>
        <v>Ставрополь</v>
      </c>
      <c r="J2060">
        <f>VLOOKUP(D2060,Товары!A:I,4,0)</f>
        <v>11655</v>
      </c>
      <c r="K2060">
        <f t="shared" si="32"/>
        <v>23310</v>
      </c>
    </row>
    <row r="2061" spans="1:11" hidden="1" x14ac:dyDescent="0.25">
      <c r="A2061">
        <v>2060</v>
      </c>
      <c r="B2061" s="1">
        <v>45751</v>
      </c>
      <c r="C2061" t="s">
        <v>41</v>
      </c>
      <c r="D2061" t="s">
        <v>95</v>
      </c>
      <c r="E2061" t="s">
        <v>13</v>
      </c>
      <c r="F2061">
        <v>2</v>
      </c>
      <c r="G2061" t="str">
        <f>VLOOKUP(D2061,Товары!A:I,3,0)</f>
        <v>Тумба с раковиной  напол. Рица 600 антрацит 2 ящика с умыв. Океан</v>
      </c>
      <c r="H2061">
        <f>VLOOKUP(D2061,Товары!A:I,6,0)</f>
        <v>80</v>
      </c>
      <c r="I2061" t="str">
        <f>VLOOKUP(C2061,Магазины!A:C,3,0)</f>
        <v>Ставрополь</v>
      </c>
      <c r="J2061">
        <f>VLOOKUP(D2061,Товары!A:I,4,0)</f>
        <v>25560</v>
      </c>
      <c r="K2061">
        <f t="shared" si="32"/>
        <v>51120</v>
      </c>
    </row>
    <row r="2062" spans="1:11" hidden="1" x14ac:dyDescent="0.25">
      <c r="A2062">
        <v>2061</v>
      </c>
      <c r="B2062" s="1">
        <v>45757</v>
      </c>
      <c r="C2062" t="s">
        <v>58</v>
      </c>
      <c r="D2062" t="s">
        <v>123</v>
      </c>
      <c r="E2062" t="s">
        <v>8</v>
      </c>
      <c r="F2062">
        <v>1</v>
      </c>
      <c r="G2062" t="str">
        <f>VLOOKUP(D2062,Товары!A:I,3,0)</f>
        <v>Тумба с раковиной  напол. Кристалл 800 суфле 2 ящика с умыв. Слим</v>
      </c>
      <c r="H2062">
        <f>VLOOKUP(D2062,Товары!A:I,6,0)</f>
        <v>80</v>
      </c>
      <c r="I2062" t="str">
        <f>VLOOKUP(C2062,Магазины!A:C,3,0)</f>
        <v>Ставрополь</v>
      </c>
      <c r="J2062">
        <f>VLOOKUP(D2062,Товары!A:I,4,0)</f>
        <v>31125</v>
      </c>
      <c r="K2062">
        <f t="shared" si="32"/>
        <v>31125</v>
      </c>
    </row>
    <row r="2063" spans="1:11" hidden="1" x14ac:dyDescent="0.25">
      <c r="A2063">
        <v>2062</v>
      </c>
      <c r="B2063" s="1">
        <v>45753</v>
      </c>
      <c r="C2063" t="s">
        <v>11</v>
      </c>
      <c r="D2063" t="s">
        <v>78</v>
      </c>
      <c r="E2063" t="s">
        <v>8</v>
      </c>
      <c r="F2063">
        <v>1</v>
      </c>
      <c r="G2063" t="str">
        <f>VLOOKUP(D2063,Товары!A:I,3,0)</f>
        <v>Зеркальный шкаф Кристалл 70 со светильником правый, ручка кнопка дуб цвет Шато Азур</v>
      </c>
      <c r="H2063">
        <f>VLOOKUP(D2063,Товары!A:I,6,0)</f>
        <v>75</v>
      </c>
      <c r="I2063" t="str">
        <f>VLOOKUP(C2063,Магазины!A:C,3,0)</f>
        <v>Кемерово</v>
      </c>
      <c r="J2063">
        <f>VLOOKUP(D2063,Товары!A:I,4,0)</f>
        <v>9615</v>
      </c>
      <c r="K2063">
        <f t="shared" si="32"/>
        <v>9615</v>
      </c>
    </row>
    <row r="2064" spans="1:11" hidden="1" x14ac:dyDescent="0.25">
      <c r="A2064">
        <v>2063</v>
      </c>
      <c r="B2064" s="1">
        <v>45757</v>
      </c>
      <c r="C2064" t="s">
        <v>57</v>
      </c>
      <c r="D2064" t="s">
        <v>78</v>
      </c>
      <c r="E2064" t="s">
        <v>8</v>
      </c>
      <c r="F2064">
        <v>1</v>
      </c>
      <c r="G2064" t="str">
        <f>VLOOKUP(D2064,Товары!A:I,3,0)</f>
        <v>Зеркальный шкаф Кристалл 70 со светильником правый, ручка кнопка дуб цвет Шато Азур</v>
      </c>
      <c r="H2064">
        <f>VLOOKUP(D2064,Товары!A:I,6,0)</f>
        <v>75</v>
      </c>
      <c r="I2064" t="str">
        <f>VLOOKUP(C2064,Магазины!A:C,3,0)</f>
        <v>Оренбург</v>
      </c>
      <c r="J2064">
        <f>VLOOKUP(D2064,Товары!A:I,4,0)</f>
        <v>9615</v>
      </c>
      <c r="K2064">
        <f t="shared" si="32"/>
        <v>9615</v>
      </c>
    </row>
    <row r="2065" spans="1:11" hidden="1" x14ac:dyDescent="0.25">
      <c r="A2065">
        <v>2064</v>
      </c>
      <c r="B2065" s="1">
        <v>45756</v>
      </c>
      <c r="C2065" t="s">
        <v>30</v>
      </c>
      <c r="D2065" t="s">
        <v>21</v>
      </c>
      <c r="E2065" t="s">
        <v>13</v>
      </c>
      <c r="F2065">
        <v>1</v>
      </c>
      <c r="G2065" t="str">
        <f>VLOOKUP(D2065,Товары!A:I,3,0)</f>
        <v>Зеркальный шкаф Рица 60 со светильником правый цвет cерый/керамика</v>
      </c>
      <c r="H2065">
        <f>VLOOKUP(D2065,Товары!A:I,6,0)</f>
        <v>75</v>
      </c>
      <c r="I2065" t="str">
        <f>VLOOKUP(C2065,Магазины!A:C,3,0)</f>
        <v>Кемерово</v>
      </c>
      <c r="J2065">
        <f>VLOOKUP(D2065,Товары!A:I,4,0)</f>
        <v>8910</v>
      </c>
      <c r="K2065">
        <f t="shared" si="32"/>
        <v>8910</v>
      </c>
    </row>
    <row r="2066" spans="1:11" hidden="1" x14ac:dyDescent="0.25">
      <c r="A2066">
        <v>2065</v>
      </c>
      <c r="B2066" s="1">
        <v>45753</v>
      </c>
      <c r="C2066" t="s">
        <v>43</v>
      </c>
      <c r="D2066" t="s">
        <v>50</v>
      </c>
      <c r="E2066" t="s">
        <v>8</v>
      </c>
      <c r="F2066">
        <v>1</v>
      </c>
      <c r="G2066" t="str">
        <f>VLOOKUP(D2066,Товары!A:I,3,0)</f>
        <v>Тумба с раковиной  напол. Леон 800 оникс 2 ящика с умыв. Слим</v>
      </c>
      <c r="H2066">
        <f>VLOOKUP(D2066,Товары!A:I,6,0)</f>
        <v>80</v>
      </c>
      <c r="I2066" t="str">
        <f>VLOOKUP(C2066,Магазины!A:C,3,0)</f>
        <v>Набережные Челны</v>
      </c>
      <c r="J2066">
        <f>VLOOKUP(D2066,Товары!A:I,4,0)</f>
        <v>29400</v>
      </c>
      <c r="K2066">
        <f t="shared" si="32"/>
        <v>29400</v>
      </c>
    </row>
    <row r="2067" spans="1:11" hidden="1" x14ac:dyDescent="0.25">
      <c r="A2067">
        <v>2066</v>
      </c>
      <c r="B2067" s="1">
        <v>45752</v>
      </c>
      <c r="C2067" t="s">
        <v>92</v>
      </c>
      <c r="D2067" t="s">
        <v>12</v>
      </c>
      <c r="E2067" t="s">
        <v>13</v>
      </c>
      <c r="F2067">
        <v>3</v>
      </c>
      <c r="G2067" t="str">
        <f>VLOOKUP(D2067,Товары!A:I,3,0)</f>
        <v>Тумба с раковиной  напол. Сохо 700 белый 2 двери с умыв. Слим</v>
      </c>
      <c r="H2067">
        <f>VLOOKUP(D2067,Товары!A:I,6,0)</f>
        <v>85</v>
      </c>
      <c r="I2067" t="str">
        <f>VLOOKUP(C2067,Магазины!A:C,3,0)</f>
        <v>Кемерово</v>
      </c>
      <c r="J2067">
        <f>VLOOKUP(D2067,Товары!A:I,4,0)</f>
        <v>17160</v>
      </c>
      <c r="K2067">
        <f t="shared" si="32"/>
        <v>51480</v>
      </c>
    </row>
    <row r="2068" spans="1:11" hidden="1" x14ac:dyDescent="0.25">
      <c r="A2068">
        <v>2067</v>
      </c>
      <c r="B2068" s="1">
        <v>45755</v>
      </c>
      <c r="C2068" t="s">
        <v>6</v>
      </c>
      <c r="D2068" t="s">
        <v>112</v>
      </c>
      <c r="E2068" t="s">
        <v>13</v>
      </c>
      <c r="F2068">
        <v>3</v>
      </c>
      <c r="G2068" t="str">
        <f>VLOOKUP(D2068,Товары!A:I,3,0)</f>
        <v>Тумба с раковиной  напол. Аква 560 белый 2 двери с умыв. Уют</v>
      </c>
      <c r="H2068">
        <f>VLOOKUP(D2068,Товары!A:I,6,0)</f>
        <v>85</v>
      </c>
      <c r="I2068" t="str">
        <f>VLOOKUP(C2068,Магазины!A:C,3,0)</f>
        <v>Оренбург</v>
      </c>
      <c r="J2068">
        <f>VLOOKUP(D2068,Товары!A:I,4,0)</f>
        <v>9330</v>
      </c>
      <c r="K2068">
        <f t="shared" si="32"/>
        <v>27990</v>
      </c>
    </row>
    <row r="2069" spans="1:11" hidden="1" x14ac:dyDescent="0.25">
      <c r="A2069">
        <v>2068</v>
      </c>
      <c r="B2069" s="1">
        <v>45751</v>
      </c>
      <c r="C2069" t="s">
        <v>43</v>
      </c>
      <c r="D2069" t="s">
        <v>40</v>
      </c>
      <c r="E2069" t="s">
        <v>8</v>
      </c>
      <c r="F2069">
        <v>3</v>
      </c>
      <c r="G2069" t="str">
        <f>VLOOKUP(D2069,Товары!A:I,3,0)</f>
        <v>Тумба с раковиной  навес. Рица 800 cерый/керамика 1 ящик + ниша 1 с умыв. Слим</v>
      </c>
      <c r="H2069">
        <f>VLOOKUP(D2069,Товары!A:I,6,0)</f>
        <v>60</v>
      </c>
      <c r="I2069" t="str">
        <f>VLOOKUP(C2069,Магазины!A:C,3,0)</f>
        <v>Набережные Челны</v>
      </c>
      <c r="J2069">
        <f>VLOOKUP(D2069,Товары!A:I,4,0)</f>
        <v>22425</v>
      </c>
      <c r="K2069">
        <f t="shared" si="32"/>
        <v>67275</v>
      </c>
    </row>
    <row r="2070" spans="1:11" hidden="1" x14ac:dyDescent="0.25">
      <c r="A2070">
        <v>2069</v>
      </c>
      <c r="B2070" s="1">
        <v>45754</v>
      </c>
      <c r="C2070" t="s">
        <v>9</v>
      </c>
      <c r="D2070" t="s">
        <v>105</v>
      </c>
      <c r="E2070" t="s">
        <v>8</v>
      </c>
      <c r="F2070">
        <v>2</v>
      </c>
      <c r="G2070" t="str">
        <f>VLOOKUP(D2070,Товары!A:I,3,0)</f>
        <v>Тумба с раковиной  напол. Нева 600 белый 2 двери + 1 ящик с умыв. Como</v>
      </c>
      <c r="H2070">
        <f>VLOOKUP(D2070,Товары!A:I,6,0)</f>
        <v>80</v>
      </c>
      <c r="I2070" t="str">
        <f>VLOOKUP(C2070,Магазины!A:C,3,0)</f>
        <v>Кемерово</v>
      </c>
      <c r="J2070">
        <f>VLOOKUP(D2070,Товары!A:I,4,0)</f>
        <v>13470</v>
      </c>
      <c r="K2070">
        <f t="shared" si="32"/>
        <v>26940</v>
      </c>
    </row>
    <row r="2071" spans="1:11" hidden="1" x14ac:dyDescent="0.25">
      <c r="A2071">
        <v>2070</v>
      </c>
      <c r="B2071" s="1">
        <v>45754</v>
      </c>
      <c r="C2071" t="s">
        <v>58</v>
      </c>
      <c r="D2071" t="s">
        <v>106</v>
      </c>
      <c r="E2071" t="s">
        <v>8</v>
      </c>
      <c r="F2071">
        <v>3</v>
      </c>
      <c r="G2071" t="str">
        <f>VLOOKUP(D2071,Товары!A:I,3,0)</f>
        <v>Тумба с раковиной  навес. Кристалл 700 шато азур 2 ящика с умыв. Слим</v>
      </c>
      <c r="H2071">
        <f>VLOOKUP(D2071,Товары!A:I,6,0)</f>
        <v>60</v>
      </c>
      <c r="I2071" t="str">
        <f>VLOOKUP(C2071,Магазины!A:C,3,0)</f>
        <v>Ставрополь</v>
      </c>
      <c r="J2071">
        <f>VLOOKUP(D2071,Товары!A:I,4,0)</f>
        <v>24150</v>
      </c>
      <c r="K2071">
        <f t="shared" si="32"/>
        <v>72450</v>
      </c>
    </row>
    <row r="2072" spans="1:11" hidden="1" x14ac:dyDescent="0.25">
      <c r="A2072">
        <v>2071</v>
      </c>
      <c r="B2072" s="1">
        <v>45752</v>
      </c>
      <c r="C2072" t="s">
        <v>35</v>
      </c>
      <c r="D2072" t="s">
        <v>127</v>
      </c>
      <c r="E2072" t="s">
        <v>13</v>
      </c>
      <c r="F2072">
        <v>3</v>
      </c>
      <c r="G2072" t="str">
        <f>VLOOKUP(D2072,Товары!A:I,3,0)</f>
        <v>Тумба с раковиной  навес. Альба 700 мята 1 ящик с умыв. Слим</v>
      </c>
      <c r="H2072">
        <f>VLOOKUP(D2072,Товары!A:I,6,0)</f>
        <v>45</v>
      </c>
      <c r="I2072" t="str">
        <f>VLOOKUP(C2072,Магазины!A:C,3,0)</f>
        <v>Набережные Челны</v>
      </c>
      <c r="J2072">
        <f>VLOOKUP(D2072,Товары!A:I,4,0)</f>
        <v>20130</v>
      </c>
      <c r="K2072">
        <f t="shared" si="32"/>
        <v>60390</v>
      </c>
    </row>
    <row r="2073" spans="1:11" hidden="1" x14ac:dyDescent="0.25">
      <c r="A2073">
        <v>2072</v>
      </c>
      <c r="B2073" s="1">
        <v>45753</v>
      </c>
      <c r="C2073" t="s">
        <v>63</v>
      </c>
      <c r="D2073" t="s">
        <v>71</v>
      </c>
      <c r="E2073" t="s">
        <v>8</v>
      </c>
      <c r="F2073">
        <v>3</v>
      </c>
      <c r="G2073" t="str">
        <f>VLOOKUP(D2073,Товары!A:I,3,0)</f>
        <v>Тумба с раковиной  навес. Альба 600 мята 2 ящика с умыв. Океан</v>
      </c>
      <c r="H2073">
        <f>VLOOKUP(D2073,Товары!A:I,6,0)</f>
        <v>50</v>
      </c>
      <c r="I2073" t="str">
        <f>VLOOKUP(C2073,Магазины!A:C,3,0)</f>
        <v>Ставрополь</v>
      </c>
      <c r="J2073">
        <f>VLOOKUP(D2073,Товары!A:I,4,0)</f>
        <v>24810</v>
      </c>
      <c r="K2073">
        <f t="shared" si="32"/>
        <v>74430</v>
      </c>
    </row>
    <row r="2074" spans="1:11" hidden="1" x14ac:dyDescent="0.25">
      <c r="A2074">
        <v>2073</v>
      </c>
      <c r="B2074" s="1">
        <v>45754</v>
      </c>
      <c r="C2074" t="s">
        <v>9</v>
      </c>
      <c r="D2074" t="s">
        <v>27</v>
      </c>
      <c r="E2074" t="s">
        <v>8</v>
      </c>
      <c r="F2074">
        <v>1</v>
      </c>
      <c r="G2074" t="str">
        <f>VLOOKUP(D2074,Товары!A:I,3,0)</f>
        <v>Тумба с раковиной  навес. Виктория 800 белый 2 ящика с умыв. Слим</v>
      </c>
      <c r="H2074">
        <f>VLOOKUP(D2074,Товары!A:I,6,0)</f>
        <v>60</v>
      </c>
      <c r="I2074" t="str">
        <f>VLOOKUP(C2074,Магазины!A:C,3,0)</f>
        <v>Кемерово</v>
      </c>
      <c r="J2074">
        <f>VLOOKUP(D2074,Товары!A:I,4,0)</f>
        <v>25290</v>
      </c>
      <c r="K2074">
        <f t="shared" si="32"/>
        <v>25290</v>
      </c>
    </row>
    <row r="2075" spans="1:11" hidden="1" x14ac:dyDescent="0.25">
      <c r="A2075">
        <v>2074</v>
      </c>
      <c r="B2075" s="1">
        <v>45749</v>
      </c>
      <c r="C2075" t="s">
        <v>14</v>
      </c>
      <c r="D2075" t="s">
        <v>25</v>
      </c>
      <c r="E2075" t="s">
        <v>8</v>
      </c>
      <c r="F2075">
        <v>3</v>
      </c>
      <c r="G2075" t="str">
        <f>VLOOKUP(D2075,Товары!A:I,3,0)</f>
        <v>Пенал напол. Леон 400 оникс 2 двери + 1 ящик</v>
      </c>
      <c r="H2075">
        <f>VLOOKUP(D2075,Товары!A:I,6,0)</f>
        <v>190</v>
      </c>
      <c r="I2075" t="str">
        <f>VLOOKUP(C2075,Магазины!A:C,3,0)</f>
        <v>Оренбург</v>
      </c>
      <c r="J2075">
        <f>VLOOKUP(D2075,Товары!A:I,4,0)</f>
        <v>18450</v>
      </c>
      <c r="K2075">
        <f t="shared" si="32"/>
        <v>55350</v>
      </c>
    </row>
    <row r="2076" spans="1:11" hidden="1" x14ac:dyDescent="0.25">
      <c r="A2076">
        <v>2075</v>
      </c>
      <c r="B2076" s="1">
        <v>45748</v>
      </c>
      <c r="C2076" t="s">
        <v>22</v>
      </c>
      <c r="D2076" t="s">
        <v>52</v>
      </c>
      <c r="E2076" t="s">
        <v>13</v>
      </c>
      <c r="F2076">
        <v>1</v>
      </c>
      <c r="G2076" t="str">
        <f>VLOOKUP(D2076,Товары!A:I,3,0)</f>
        <v>Тумба с раковиной  напол. Кристалл 600 суфле 2 ящика с умыв. Океан</v>
      </c>
      <c r="H2076">
        <f>VLOOKUP(D2076,Товары!A:I,6,0)</f>
        <v>80</v>
      </c>
      <c r="I2076" t="str">
        <f>VLOOKUP(C2076,Магазины!A:C,3,0)</f>
        <v>Кемерово</v>
      </c>
      <c r="J2076">
        <f>VLOOKUP(D2076,Товары!A:I,4,0)</f>
        <v>27600</v>
      </c>
      <c r="K2076">
        <f t="shared" si="32"/>
        <v>27600</v>
      </c>
    </row>
    <row r="2077" spans="1:11" hidden="1" x14ac:dyDescent="0.25">
      <c r="A2077">
        <v>2076</v>
      </c>
      <c r="B2077" s="1">
        <v>45748</v>
      </c>
      <c r="C2077" t="s">
        <v>33</v>
      </c>
      <c r="D2077" t="s">
        <v>68</v>
      </c>
      <c r="E2077" t="s">
        <v>8</v>
      </c>
      <c r="F2077">
        <v>2</v>
      </c>
      <c r="G2077" t="str">
        <f>VLOOKUP(D2077,Товары!A:I,3,0)</f>
        <v>Тумба с раковиной  навес. Альба 600 антрацит 1 ящик с умыв. Океан</v>
      </c>
      <c r="H2077">
        <f>VLOOKUP(D2077,Товары!A:I,6,0)</f>
        <v>85</v>
      </c>
      <c r="I2077" t="str">
        <f>VLOOKUP(C2077,Магазины!A:C,3,0)</f>
        <v>Набережные Челны</v>
      </c>
      <c r="J2077">
        <f>VLOOKUP(D2077,Товары!A:I,4,0)</f>
        <v>17625</v>
      </c>
      <c r="K2077">
        <f t="shared" si="32"/>
        <v>35250</v>
      </c>
    </row>
    <row r="2078" spans="1:11" hidden="1" x14ac:dyDescent="0.25">
      <c r="A2078">
        <v>2077</v>
      </c>
      <c r="B2078" s="1">
        <v>45748</v>
      </c>
      <c r="C2078" t="s">
        <v>92</v>
      </c>
      <c r="D2078" t="s">
        <v>123</v>
      </c>
      <c r="E2078" t="s">
        <v>8</v>
      </c>
      <c r="F2078">
        <v>1</v>
      </c>
      <c r="G2078" t="str">
        <f>VLOOKUP(D2078,Товары!A:I,3,0)</f>
        <v>Тумба с раковиной  напол. Кристалл 800 суфле 2 ящика с умыв. Слим</v>
      </c>
      <c r="H2078">
        <f>VLOOKUP(D2078,Товары!A:I,6,0)</f>
        <v>80</v>
      </c>
      <c r="I2078" t="str">
        <f>VLOOKUP(C2078,Магазины!A:C,3,0)</f>
        <v>Кемерово</v>
      </c>
      <c r="J2078">
        <f>VLOOKUP(D2078,Товары!A:I,4,0)</f>
        <v>31125</v>
      </c>
      <c r="K2078">
        <f t="shared" si="32"/>
        <v>31125</v>
      </c>
    </row>
    <row r="2079" spans="1:11" hidden="1" x14ac:dyDescent="0.25">
      <c r="A2079">
        <v>2078</v>
      </c>
      <c r="B2079" s="1">
        <v>45750</v>
      </c>
      <c r="C2079" t="s">
        <v>6</v>
      </c>
      <c r="D2079" t="s">
        <v>101</v>
      </c>
      <c r="E2079" t="s">
        <v>8</v>
      </c>
      <c r="F2079">
        <v>1</v>
      </c>
      <c r="G2079" t="str">
        <f>VLOOKUP(D2079,Товары!A:I,3,0)</f>
        <v>Пенал напол. Сохо 400 белый 2 двери + 1 ящик</v>
      </c>
      <c r="H2079">
        <f>VLOOKUP(D2079,Товары!A:I,6,0)</f>
        <v>190</v>
      </c>
      <c r="I2079" t="str">
        <f>VLOOKUP(C2079,Магазины!A:C,3,0)</f>
        <v>Оренбург</v>
      </c>
      <c r="J2079">
        <f>VLOOKUP(D2079,Товары!A:I,4,0)</f>
        <v>11040</v>
      </c>
      <c r="K2079">
        <f t="shared" si="32"/>
        <v>11040</v>
      </c>
    </row>
    <row r="2080" spans="1:11" hidden="1" x14ac:dyDescent="0.25">
      <c r="A2080">
        <v>2079</v>
      </c>
      <c r="B2080" s="1">
        <v>45751</v>
      </c>
      <c r="C2080" t="s">
        <v>20</v>
      </c>
      <c r="D2080" t="s">
        <v>61</v>
      </c>
      <c r="E2080" t="s">
        <v>8</v>
      </c>
      <c r="F2080">
        <v>3</v>
      </c>
      <c r="G2080" t="str">
        <f>VLOOKUP(D2080,Товары!A:I,3,0)</f>
        <v>Тумба под стиральную машину Леон Риф 57 напольная 2 ящика под ст/маш, без умывальника /под Marshall 120 Солярис/Белый Риф</v>
      </c>
      <c r="H2080">
        <f>VLOOKUP(D2080,Товары!A:I,6,0)</f>
        <v>85</v>
      </c>
      <c r="I2080" t="str">
        <f>VLOOKUP(C2080,Магазины!A:C,3,0)</f>
        <v>Оренбург</v>
      </c>
      <c r="J2080">
        <f>VLOOKUP(D2080,Товары!A:I,4,0)</f>
        <v>17430</v>
      </c>
      <c r="K2080">
        <f t="shared" si="32"/>
        <v>52290</v>
      </c>
    </row>
    <row r="2081" spans="1:11" hidden="1" x14ac:dyDescent="0.25">
      <c r="A2081">
        <v>2080</v>
      </c>
      <c r="B2081" s="1">
        <v>45752</v>
      </c>
      <c r="C2081" t="s">
        <v>54</v>
      </c>
      <c r="D2081" t="s">
        <v>76</v>
      </c>
      <c r="E2081" t="s">
        <v>8</v>
      </c>
      <c r="F2081">
        <v>3</v>
      </c>
      <c r="G2081" t="str">
        <f>VLOOKUP(D2081,Товары!A:I,3,0)</f>
        <v>Тумба с раковиной  напол. Леон 600 оникс 2 ящика с умыв. Слим</v>
      </c>
      <c r="H2081">
        <f>VLOOKUP(D2081,Товары!A:I,6,0)</f>
        <v>80</v>
      </c>
      <c r="I2081" t="str">
        <f>VLOOKUP(C2081,Магазины!A:C,3,0)</f>
        <v>Ставрополь</v>
      </c>
      <c r="J2081">
        <f>VLOOKUP(D2081,Товары!A:I,4,0)</f>
        <v>25860</v>
      </c>
      <c r="K2081">
        <f t="shared" si="32"/>
        <v>77580</v>
      </c>
    </row>
    <row r="2082" spans="1:11" hidden="1" x14ac:dyDescent="0.25">
      <c r="A2082">
        <v>2081</v>
      </c>
      <c r="B2082" s="1">
        <v>45754</v>
      </c>
      <c r="C2082" t="s">
        <v>41</v>
      </c>
      <c r="D2082" t="s">
        <v>56</v>
      </c>
      <c r="E2082" t="s">
        <v>13</v>
      </c>
      <c r="F2082">
        <v>3</v>
      </c>
      <c r="G2082" t="str">
        <f>VLOOKUP(D2082,Товары!A:I,3,0)</f>
        <v>Зеркальный шкаф Альба 80 со светильником правый цвет мята</v>
      </c>
      <c r="H2082">
        <f>VLOOKUP(D2082,Товары!A:I,6,0)</f>
        <v>75</v>
      </c>
      <c r="I2082" t="str">
        <f>VLOOKUP(C2082,Магазины!A:C,3,0)</f>
        <v>Ставрополь</v>
      </c>
      <c r="J2082">
        <f>VLOOKUP(D2082,Товары!A:I,4,0)</f>
        <v>9930</v>
      </c>
      <c r="K2082">
        <f t="shared" si="32"/>
        <v>29790</v>
      </c>
    </row>
    <row r="2083" spans="1:11" hidden="1" x14ac:dyDescent="0.25">
      <c r="A2083">
        <v>2082</v>
      </c>
      <c r="B2083" s="1">
        <v>45748</v>
      </c>
      <c r="C2083" t="s">
        <v>57</v>
      </c>
      <c r="D2083" t="s">
        <v>45</v>
      </c>
      <c r="E2083" t="s">
        <v>13</v>
      </c>
      <c r="F2083">
        <v>3</v>
      </c>
      <c r="G2083" t="str">
        <f>VLOOKUP(D2083,Товары!A:I,3,0)</f>
        <v>Зеркальный шкаф Рица 80 со светильником правый цвет cерый/керамика</v>
      </c>
      <c r="H2083">
        <f>VLOOKUP(D2083,Товары!A:I,6,0)</f>
        <v>75</v>
      </c>
      <c r="I2083" t="str">
        <f>VLOOKUP(C2083,Магазины!A:C,3,0)</f>
        <v>Оренбург</v>
      </c>
      <c r="J2083">
        <f>VLOOKUP(D2083,Товары!A:I,4,0)</f>
        <v>9930</v>
      </c>
      <c r="K2083">
        <f t="shared" si="32"/>
        <v>29790</v>
      </c>
    </row>
    <row r="2084" spans="1:11" hidden="1" x14ac:dyDescent="0.25">
      <c r="A2084">
        <v>2083</v>
      </c>
      <c r="B2084" s="1">
        <v>45757</v>
      </c>
      <c r="C2084" t="s">
        <v>16</v>
      </c>
      <c r="D2084" t="s">
        <v>131</v>
      </c>
      <c r="E2084" t="s">
        <v>13</v>
      </c>
      <c r="F2084">
        <v>2</v>
      </c>
      <c r="G2084" t="str">
        <f>VLOOKUP(D2084,Товары!A:I,3,0)</f>
        <v>Тумба с раковиной  напол. Леон 800 форест 2 ящика с умыв. Слим</v>
      </c>
      <c r="H2084">
        <f>VLOOKUP(D2084,Товары!A:I,6,0)</f>
        <v>80</v>
      </c>
      <c r="I2084" t="str">
        <f>VLOOKUP(C2084,Магазины!A:C,3,0)</f>
        <v>Оренбург</v>
      </c>
      <c r="J2084">
        <f>VLOOKUP(D2084,Товары!A:I,4,0)</f>
        <v>29400</v>
      </c>
      <c r="K2084">
        <f t="shared" si="32"/>
        <v>58800</v>
      </c>
    </row>
    <row r="2085" spans="1:11" hidden="1" x14ac:dyDescent="0.25">
      <c r="A2085">
        <v>2084</v>
      </c>
      <c r="B2085" s="1">
        <v>45751</v>
      </c>
      <c r="C2085" t="s">
        <v>54</v>
      </c>
      <c r="D2085" t="s">
        <v>94</v>
      </c>
      <c r="E2085" t="s">
        <v>13</v>
      </c>
      <c r="F2085">
        <v>2</v>
      </c>
      <c r="G2085" t="str">
        <f>VLOOKUP(D2085,Товары!A:I,3,0)</f>
        <v>Зеркальный шкаф Альба 80 со светильником правый цвет антрацит</v>
      </c>
      <c r="H2085">
        <f>VLOOKUP(D2085,Товары!A:I,6,0)</f>
        <v>75</v>
      </c>
      <c r="I2085" t="str">
        <f>VLOOKUP(C2085,Магазины!A:C,3,0)</f>
        <v>Ставрополь</v>
      </c>
      <c r="J2085">
        <f>VLOOKUP(D2085,Товары!A:I,4,0)</f>
        <v>9930</v>
      </c>
      <c r="K2085">
        <f t="shared" si="32"/>
        <v>19860</v>
      </c>
    </row>
    <row r="2086" spans="1:11" hidden="1" x14ac:dyDescent="0.25">
      <c r="A2086">
        <v>2085</v>
      </c>
      <c r="B2086" s="1">
        <v>45749</v>
      </c>
      <c r="C2086" t="s">
        <v>20</v>
      </c>
      <c r="D2086" t="s">
        <v>77</v>
      </c>
      <c r="E2086" t="s">
        <v>13</v>
      </c>
      <c r="F2086">
        <v>2</v>
      </c>
      <c r="G2086" t="str">
        <f>VLOOKUP(D2086,Товары!A:I,3,0)</f>
        <v>Тумба с раковиной  напол. Куба Риф 600 белый 2 ящика с умыв. Como</v>
      </c>
      <c r="H2086">
        <f>VLOOKUP(D2086,Товары!A:I,6,0)</f>
        <v>85</v>
      </c>
      <c r="I2086" t="str">
        <f>VLOOKUP(C2086,Магазины!A:C,3,0)</f>
        <v>Оренбург</v>
      </c>
      <c r="J2086">
        <f>VLOOKUP(D2086,Товары!A:I,4,0)</f>
        <v>15660</v>
      </c>
      <c r="K2086">
        <f t="shared" si="32"/>
        <v>31320</v>
      </c>
    </row>
    <row r="2087" spans="1:11" hidden="1" x14ac:dyDescent="0.25">
      <c r="A2087">
        <v>2086</v>
      </c>
      <c r="B2087" s="1">
        <v>45756</v>
      </c>
      <c r="C2087" t="s">
        <v>30</v>
      </c>
      <c r="D2087" t="s">
        <v>7</v>
      </c>
      <c r="E2087" t="s">
        <v>8</v>
      </c>
      <c r="F2087">
        <v>1</v>
      </c>
      <c r="G2087" t="str">
        <f>VLOOKUP(D2087,Товары!A:I,3,0)</f>
        <v>Пенал напол. Леон Риф 400 солярис/белый риф 2 двери + 1 ящик</v>
      </c>
      <c r="H2087">
        <f>VLOOKUP(D2087,Товары!A:I,6,0)</f>
        <v>190</v>
      </c>
      <c r="I2087" t="str">
        <f>VLOOKUP(C2087,Магазины!A:C,3,0)</f>
        <v>Кемерово</v>
      </c>
      <c r="J2087">
        <f>VLOOKUP(D2087,Товары!A:I,4,0)</f>
        <v>14490</v>
      </c>
      <c r="K2087">
        <f t="shared" si="32"/>
        <v>14490</v>
      </c>
    </row>
    <row r="2088" spans="1:11" hidden="1" x14ac:dyDescent="0.25">
      <c r="A2088">
        <v>2087</v>
      </c>
      <c r="B2088" s="1">
        <v>45755</v>
      </c>
      <c r="C2088" t="s">
        <v>54</v>
      </c>
      <c r="D2088" t="s">
        <v>128</v>
      </c>
      <c r="E2088" t="s">
        <v>13</v>
      </c>
      <c r="F2088">
        <v>2</v>
      </c>
      <c r="G2088" t="str">
        <f>VLOOKUP(D2088,Товары!A:I,3,0)</f>
        <v>Тумба с раковиной  напол. Куба Риф 1000 белый 2 ящика с умыв. Слим</v>
      </c>
      <c r="H2088">
        <f>VLOOKUP(D2088,Товары!A:I,6,0)</f>
        <v>85</v>
      </c>
      <c r="I2088" t="str">
        <f>VLOOKUP(C2088,Магазины!A:C,3,0)</f>
        <v>Ставрополь</v>
      </c>
      <c r="J2088">
        <f>VLOOKUP(D2088,Товары!A:I,4,0)</f>
        <v>22905</v>
      </c>
      <c r="K2088">
        <f t="shared" si="32"/>
        <v>45810</v>
      </c>
    </row>
    <row r="2089" spans="1:11" hidden="1" x14ac:dyDescent="0.25">
      <c r="A2089">
        <v>2088</v>
      </c>
      <c r="B2089" s="1">
        <v>45753</v>
      </c>
      <c r="C2089" t="s">
        <v>103</v>
      </c>
      <c r="D2089" t="s">
        <v>73</v>
      </c>
      <c r="E2089" t="s">
        <v>13</v>
      </c>
      <c r="F2089">
        <v>2</v>
      </c>
      <c r="G2089" t="str">
        <f>VLOOKUP(D2089,Товары!A:I,3,0)</f>
        <v>Зеркальный шкаф Альба 70 со светильником правый цвет антрацит</v>
      </c>
      <c r="H2089">
        <f>VLOOKUP(D2089,Товары!A:I,6,0)</f>
        <v>75</v>
      </c>
      <c r="I2089" t="str">
        <f>VLOOKUP(C2089,Магазины!A:C,3,0)</f>
        <v>Ставрополь</v>
      </c>
      <c r="J2089">
        <f>VLOOKUP(D2089,Товары!A:I,4,0)</f>
        <v>9615</v>
      </c>
      <c r="K2089">
        <f t="shared" si="32"/>
        <v>19230</v>
      </c>
    </row>
    <row r="2090" spans="1:11" hidden="1" x14ac:dyDescent="0.25">
      <c r="A2090">
        <v>2089</v>
      </c>
      <c r="B2090" s="1">
        <v>45754</v>
      </c>
      <c r="C2090" t="s">
        <v>58</v>
      </c>
      <c r="D2090" t="s">
        <v>78</v>
      </c>
      <c r="E2090" t="s">
        <v>13</v>
      </c>
      <c r="F2090">
        <v>3</v>
      </c>
      <c r="G2090" t="str">
        <f>VLOOKUP(D2090,Товары!A:I,3,0)</f>
        <v>Зеркальный шкаф Кристалл 70 со светильником правый, ручка кнопка дуб цвет Шато Азур</v>
      </c>
      <c r="H2090">
        <f>VLOOKUP(D2090,Товары!A:I,6,0)</f>
        <v>75</v>
      </c>
      <c r="I2090" t="str">
        <f>VLOOKUP(C2090,Магазины!A:C,3,0)</f>
        <v>Ставрополь</v>
      </c>
      <c r="J2090">
        <f>VLOOKUP(D2090,Товары!A:I,4,0)</f>
        <v>9615</v>
      </c>
      <c r="K2090">
        <f t="shared" si="32"/>
        <v>28845</v>
      </c>
    </row>
    <row r="2091" spans="1:11" hidden="1" x14ac:dyDescent="0.25">
      <c r="A2091">
        <v>2090</v>
      </c>
      <c r="B2091" s="1">
        <v>45751</v>
      </c>
      <c r="C2091" t="s">
        <v>48</v>
      </c>
      <c r="D2091" t="s">
        <v>15</v>
      </c>
      <c r="E2091" t="s">
        <v>8</v>
      </c>
      <c r="F2091">
        <v>3</v>
      </c>
      <c r="G2091" t="str">
        <f>VLOOKUP(D2091,Товары!A:I,3,0)</f>
        <v>Зеркальный шкаф Кристалл 60 со светильником правый, ручка кнопка дуб цвет Шато Азур</v>
      </c>
      <c r="H2091">
        <f>VLOOKUP(D2091,Товары!A:I,6,0)</f>
        <v>75</v>
      </c>
      <c r="I2091" t="str">
        <f>VLOOKUP(C2091,Магазины!A:C,3,0)</f>
        <v>Ставрополь</v>
      </c>
      <c r="J2091">
        <f>VLOOKUP(D2091,Товары!A:I,4,0)</f>
        <v>9195</v>
      </c>
      <c r="K2091">
        <f t="shared" si="32"/>
        <v>27585</v>
      </c>
    </row>
    <row r="2092" spans="1:11" hidden="1" x14ac:dyDescent="0.25">
      <c r="A2092">
        <v>2091</v>
      </c>
      <c r="B2092" s="1">
        <v>45751</v>
      </c>
      <c r="C2092" t="s">
        <v>30</v>
      </c>
      <c r="D2092" t="s">
        <v>7</v>
      </c>
      <c r="E2092" t="s">
        <v>13</v>
      </c>
      <c r="F2092">
        <v>1</v>
      </c>
      <c r="G2092" t="str">
        <f>VLOOKUP(D2092,Товары!A:I,3,0)</f>
        <v>Пенал напол. Леон Риф 400 солярис/белый риф 2 двери + 1 ящик</v>
      </c>
      <c r="H2092">
        <f>VLOOKUP(D2092,Товары!A:I,6,0)</f>
        <v>190</v>
      </c>
      <c r="I2092" t="str">
        <f>VLOOKUP(C2092,Магазины!A:C,3,0)</f>
        <v>Кемерово</v>
      </c>
      <c r="J2092">
        <f>VLOOKUP(D2092,Товары!A:I,4,0)</f>
        <v>14490</v>
      </c>
      <c r="K2092">
        <f t="shared" si="32"/>
        <v>14490</v>
      </c>
    </row>
    <row r="2093" spans="1:11" hidden="1" x14ac:dyDescent="0.25">
      <c r="A2093">
        <v>2092</v>
      </c>
      <c r="B2093" s="1">
        <v>45748</v>
      </c>
      <c r="C2093" t="s">
        <v>58</v>
      </c>
      <c r="D2093" t="s">
        <v>19</v>
      </c>
      <c r="E2093" t="s">
        <v>8</v>
      </c>
      <c r="F2093">
        <v>1</v>
      </c>
      <c r="G2093" t="str">
        <f>VLOOKUP(D2093,Товары!A:I,3,0)</f>
        <v>Тумба с раковиной  навес. Леон 800 оникс 2 ящика с умыв. Слим</v>
      </c>
      <c r="H2093">
        <f>VLOOKUP(D2093,Товары!A:I,6,0)</f>
        <v>60</v>
      </c>
      <c r="I2093" t="str">
        <f>VLOOKUP(C2093,Магазины!A:C,3,0)</f>
        <v>Ставрополь</v>
      </c>
      <c r="J2093">
        <f>VLOOKUP(D2093,Товары!A:I,4,0)</f>
        <v>27930</v>
      </c>
      <c r="K2093">
        <f t="shared" si="32"/>
        <v>27930</v>
      </c>
    </row>
    <row r="2094" spans="1:11" hidden="1" x14ac:dyDescent="0.25">
      <c r="A2094">
        <v>2093</v>
      </c>
      <c r="B2094" s="1">
        <v>45757</v>
      </c>
      <c r="C2094" t="s">
        <v>9</v>
      </c>
      <c r="D2094" t="s">
        <v>38</v>
      </c>
      <c r="E2094" t="s">
        <v>13</v>
      </c>
      <c r="F2094">
        <v>1</v>
      </c>
      <c r="G2094" t="str">
        <f>VLOOKUP(D2094,Товары!A:I,3,0)</f>
        <v>Тумба с раковиной  навес. Куба Риф 600 белый 2 ящика с умыв. Como</v>
      </c>
      <c r="H2094">
        <f>VLOOKUP(D2094,Товары!A:I,6,0)</f>
        <v>55</v>
      </c>
      <c r="I2094" t="str">
        <f>VLOOKUP(C2094,Магазины!A:C,3,0)</f>
        <v>Кемерово</v>
      </c>
      <c r="J2094">
        <f>VLOOKUP(D2094,Товары!A:I,4,0)</f>
        <v>14265</v>
      </c>
      <c r="K2094">
        <f t="shared" si="32"/>
        <v>14265</v>
      </c>
    </row>
    <row r="2095" spans="1:11" hidden="1" x14ac:dyDescent="0.25">
      <c r="A2095">
        <v>2094</v>
      </c>
      <c r="B2095" s="1">
        <v>45753</v>
      </c>
      <c r="C2095" t="s">
        <v>48</v>
      </c>
      <c r="D2095" t="s">
        <v>60</v>
      </c>
      <c r="E2095" t="s">
        <v>13</v>
      </c>
      <c r="F2095">
        <v>2</v>
      </c>
      <c r="G2095" t="str">
        <f>VLOOKUP(D2095,Товары!A:I,3,0)</f>
        <v>Пенал навес. Куба Риф 350 белый 2 двери</v>
      </c>
      <c r="H2095">
        <f>VLOOKUP(D2095,Товары!A:I,6,0)</f>
        <v>150</v>
      </c>
      <c r="I2095" t="str">
        <f>VLOOKUP(C2095,Магазины!A:C,3,0)</f>
        <v>Ставрополь</v>
      </c>
      <c r="J2095">
        <f>VLOOKUP(D2095,Товары!A:I,4,0)</f>
        <v>9720</v>
      </c>
      <c r="K2095">
        <f t="shared" si="32"/>
        <v>19440</v>
      </c>
    </row>
    <row r="2096" spans="1:11" hidden="1" x14ac:dyDescent="0.25">
      <c r="A2096">
        <v>2095</v>
      </c>
      <c r="B2096" s="1">
        <v>45749</v>
      </c>
      <c r="C2096" t="s">
        <v>92</v>
      </c>
      <c r="D2096" t="s">
        <v>130</v>
      </c>
      <c r="E2096" t="s">
        <v>13</v>
      </c>
      <c r="F2096">
        <v>1</v>
      </c>
      <c r="G2096" t="str">
        <f>VLOOKUP(D2096,Товары!A:I,3,0)</f>
        <v>Пенал напол. Леон 400 форест 2 двери + 1 ящик</v>
      </c>
      <c r="H2096">
        <f>VLOOKUP(D2096,Товары!A:I,6,0)</f>
        <v>190</v>
      </c>
      <c r="I2096" t="str">
        <f>VLOOKUP(C2096,Магазины!A:C,3,0)</f>
        <v>Кемерово</v>
      </c>
      <c r="J2096">
        <f>VLOOKUP(D2096,Товары!A:I,4,0)</f>
        <v>18450</v>
      </c>
      <c r="K2096">
        <f t="shared" si="32"/>
        <v>18450</v>
      </c>
    </row>
    <row r="2097" spans="1:11" hidden="1" x14ac:dyDescent="0.25">
      <c r="A2097">
        <v>2096</v>
      </c>
      <c r="B2097" s="1">
        <v>45755</v>
      </c>
      <c r="C2097" t="s">
        <v>22</v>
      </c>
      <c r="D2097" t="s">
        <v>115</v>
      </c>
      <c r="E2097" t="s">
        <v>8</v>
      </c>
      <c r="F2097">
        <v>2</v>
      </c>
      <c r="G2097" t="str">
        <f>VLOOKUP(D2097,Товары!A:I,3,0)</f>
        <v>Тумба под стиральную машину Куба Риф 57 напольная 2 ящика под ст/маш, без умывальника /под Marshall 120 Белый</v>
      </c>
      <c r="H2097">
        <f>VLOOKUP(D2097,Товары!A:I,6,0)</f>
        <v>85</v>
      </c>
      <c r="I2097" t="str">
        <f>VLOOKUP(C2097,Магазины!A:C,3,0)</f>
        <v>Кемерово</v>
      </c>
      <c r="J2097">
        <f>VLOOKUP(D2097,Товары!A:I,4,0)</f>
        <v>10530</v>
      </c>
      <c r="K2097">
        <f t="shared" si="32"/>
        <v>21060</v>
      </c>
    </row>
    <row r="2098" spans="1:11" hidden="1" x14ac:dyDescent="0.25">
      <c r="A2098">
        <v>2097</v>
      </c>
      <c r="B2098" s="1">
        <v>45753</v>
      </c>
      <c r="C2098" t="s">
        <v>41</v>
      </c>
      <c r="D2098" t="s">
        <v>10</v>
      </c>
      <c r="E2098" t="s">
        <v>13</v>
      </c>
      <c r="F2098">
        <v>2</v>
      </c>
      <c r="G2098" t="str">
        <f>VLOOKUP(D2098,Товары!A:I,3,0)</f>
        <v>Тумба с раковиной  навес. Альба 700 антрацит 1 ящик с умыв. Слим</v>
      </c>
      <c r="H2098">
        <f>VLOOKUP(D2098,Товары!A:I,6,0)</f>
        <v>45</v>
      </c>
      <c r="I2098" t="str">
        <f>VLOOKUP(C2098,Магазины!A:C,3,0)</f>
        <v>Ставрополь</v>
      </c>
      <c r="J2098">
        <f>VLOOKUP(D2098,Товары!A:I,4,0)</f>
        <v>20130</v>
      </c>
      <c r="K2098">
        <f t="shared" si="32"/>
        <v>40260</v>
      </c>
    </row>
    <row r="2099" spans="1:11" hidden="1" x14ac:dyDescent="0.25">
      <c r="A2099">
        <v>2098</v>
      </c>
      <c r="B2099" s="1">
        <v>45750</v>
      </c>
      <c r="C2099" t="s">
        <v>33</v>
      </c>
      <c r="D2099" t="s">
        <v>50</v>
      </c>
      <c r="E2099" t="s">
        <v>13</v>
      </c>
      <c r="F2099">
        <v>3</v>
      </c>
      <c r="G2099" t="str">
        <f>VLOOKUP(D2099,Товары!A:I,3,0)</f>
        <v>Тумба с раковиной  напол. Леон 800 оникс 2 ящика с умыв. Слим</v>
      </c>
      <c r="H2099">
        <f>VLOOKUP(D2099,Товары!A:I,6,0)</f>
        <v>80</v>
      </c>
      <c r="I2099" t="str">
        <f>VLOOKUP(C2099,Магазины!A:C,3,0)</f>
        <v>Набережные Челны</v>
      </c>
      <c r="J2099">
        <f>VLOOKUP(D2099,Товары!A:I,4,0)</f>
        <v>29400</v>
      </c>
      <c r="K2099">
        <f t="shared" si="32"/>
        <v>88200</v>
      </c>
    </row>
    <row r="2100" spans="1:11" hidden="1" x14ac:dyDescent="0.25">
      <c r="A2100">
        <v>2099</v>
      </c>
      <c r="B2100" s="1">
        <v>45757</v>
      </c>
      <c r="C2100" t="s">
        <v>35</v>
      </c>
      <c r="D2100" t="s">
        <v>68</v>
      </c>
      <c r="E2100" t="s">
        <v>13</v>
      </c>
      <c r="F2100">
        <v>1</v>
      </c>
      <c r="G2100" t="str">
        <f>VLOOKUP(D2100,Товары!A:I,3,0)</f>
        <v>Тумба с раковиной  навес. Альба 600 антрацит 1 ящик с умыв. Океан</v>
      </c>
      <c r="H2100">
        <f>VLOOKUP(D2100,Товары!A:I,6,0)</f>
        <v>85</v>
      </c>
      <c r="I2100" t="str">
        <f>VLOOKUP(C2100,Магазины!A:C,3,0)</f>
        <v>Набережные Челны</v>
      </c>
      <c r="J2100">
        <f>VLOOKUP(D2100,Товары!A:I,4,0)</f>
        <v>17625</v>
      </c>
      <c r="K2100">
        <f t="shared" si="32"/>
        <v>17625</v>
      </c>
    </row>
    <row r="2101" spans="1:11" hidden="1" x14ac:dyDescent="0.25">
      <c r="A2101">
        <v>2100</v>
      </c>
      <c r="B2101" s="1">
        <v>45756</v>
      </c>
      <c r="C2101" t="s">
        <v>48</v>
      </c>
      <c r="D2101" t="s">
        <v>24</v>
      </c>
      <c r="E2101" t="s">
        <v>13</v>
      </c>
      <c r="F2101">
        <v>2</v>
      </c>
      <c r="G2101" t="str">
        <f>VLOOKUP(D2101,Товары!A:I,3,0)</f>
        <v>Тумба с раковиной  напол. Леон 600 форест 2 ящика с умыв. Слим</v>
      </c>
      <c r="H2101">
        <f>VLOOKUP(D2101,Товары!A:I,6,0)</f>
        <v>80</v>
      </c>
      <c r="I2101" t="str">
        <f>VLOOKUP(C2101,Магазины!A:C,3,0)</f>
        <v>Ставрополь</v>
      </c>
      <c r="J2101">
        <f>VLOOKUP(D2101,Товары!A:I,4,0)</f>
        <v>27150</v>
      </c>
      <c r="K2101">
        <f t="shared" si="32"/>
        <v>54300</v>
      </c>
    </row>
    <row r="2102" spans="1:11" hidden="1" x14ac:dyDescent="0.25">
      <c r="A2102">
        <v>2101</v>
      </c>
      <c r="B2102" s="1">
        <v>45756</v>
      </c>
      <c r="C2102" t="s">
        <v>57</v>
      </c>
      <c r="D2102" t="s">
        <v>119</v>
      </c>
      <c r="E2102" t="s">
        <v>8</v>
      </c>
      <c r="F2102">
        <v>1</v>
      </c>
      <c r="G2102" t="str">
        <f>VLOOKUP(D2102,Товары!A:I,3,0)</f>
        <v>Пенал навес./напол. Рица 350 cерый/керамика 2 двери</v>
      </c>
      <c r="H2102">
        <f>VLOOKUP(D2102,Товары!A:I,6,0)</f>
        <v>160</v>
      </c>
      <c r="I2102" t="str">
        <f>VLOOKUP(C2102,Магазины!A:C,3,0)</f>
        <v>Оренбург</v>
      </c>
      <c r="J2102">
        <f>VLOOKUP(D2102,Товары!A:I,4,0)</f>
        <v>11250</v>
      </c>
      <c r="K2102">
        <f t="shared" si="32"/>
        <v>11250</v>
      </c>
    </row>
    <row r="2103" spans="1:11" hidden="1" x14ac:dyDescent="0.25">
      <c r="A2103">
        <v>2102</v>
      </c>
      <c r="B2103" s="1">
        <v>45754</v>
      </c>
      <c r="C2103" t="s">
        <v>48</v>
      </c>
      <c r="D2103" t="s">
        <v>19</v>
      </c>
      <c r="E2103" t="s">
        <v>13</v>
      </c>
      <c r="F2103">
        <v>1</v>
      </c>
      <c r="G2103" t="str">
        <f>VLOOKUP(D2103,Товары!A:I,3,0)</f>
        <v>Тумба с раковиной  навес. Леон 800 оникс 2 ящика с умыв. Слим</v>
      </c>
      <c r="H2103">
        <f>VLOOKUP(D2103,Товары!A:I,6,0)</f>
        <v>60</v>
      </c>
      <c r="I2103" t="str">
        <f>VLOOKUP(C2103,Магазины!A:C,3,0)</f>
        <v>Ставрополь</v>
      </c>
      <c r="J2103">
        <f>VLOOKUP(D2103,Товары!A:I,4,0)</f>
        <v>27930</v>
      </c>
      <c r="K2103">
        <f t="shared" si="32"/>
        <v>27930</v>
      </c>
    </row>
    <row r="2104" spans="1:11" hidden="1" x14ac:dyDescent="0.25">
      <c r="A2104">
        <v>2103</v>
      </c>
      <c r="B2104" s="1">
        <v>45755</v>
      </c>
      <c r="C2104" t="s">
        <v>30</v>
      </c>
      <c r="D2104" t="s">
        <v>102</v>
      </c>
      <c r="E2104" t="s">
        <v>8</v>
      </c>
      <c r="F2104">
        <v>1</v>
      </c>
      <c r="G2104" t="str">
        <f>VLOOKUP(D2104,Товары!A:I,3,0)</f>
        <v>Тумба с раковиной  напол. Леон Риф 1000 солярис/белый риф 2 ящика с умыв. Слим</v>
      </c>
      <c r="H2104">
        <f>VLOOKUP(D2104,Товары!A:I,6,0)</f>
        <v>85</v>
      </c>
      <c r="I2104" t="str">
        <f>VLOOKUP(C2104,Магазины!A:C,3,0)</f>
        <v>Кемерово</v>
      </c>
      <c r="J2104">
        <f>VLOOKUP(D2104,Товары!A:I,4,0)</f>
        <v>32085</v>
      </c>
      <c r="K2104">
        <f t="shared" si="32"/>
        <v>32085</v>
      </c>
    </row>
    <row r="2105" spans="1:11" hidden="1" x14ac:dyDescent="0.25">
      <c r="A2105">
        <v>2104</v>
      </c>
      <c r="B2105" s="1">
        <v>45751</v>
      </c>
      <c r="C2105" t="s">
        <v>54</v>
      </c>
      <c r="D2105" t="s">
        <v>59</v>
      </c>
      <c r="E2105" t="s">
        <v>8</v>
      </c>
      <c r="F2105">
        <v>1</v>
      </c>
      <c r="G2105" t="str">
        <f>VLOOKUP(D2105,Товары!A:I,3,0)</f>
        <v>Тумба с раковиной  навес. Куба Риф 600 белый 2 ящика с умыв. Океан</v>
      </c>
      <c r="H2105">
        <f>VLOOKUP(D2105,Товары!A:I,6,0)</f>
        <v>55</v>
      </c>
      <c r="I2105" t="str">
        <f>VLOOKUP(C2105,Магазины!A:C,3,0)</f>
        <v>Ставрополь</v>
      </c>
      <c r="J2105">
        <f>VLOOKUP(D2105,Товары!A:I,4,0)</f>
        <v>15765</v>
      </c>
      <c r="K2105">
        <f t="shared" si="32"/>
        <v>15765</v>
      </c>
    </row>
    <row r="2106" spans="1:11" hidden="1" x14ac:dyDescent="0.25">
      <c r="A2106">
        <v>2105</v>
      </c>
      <c r="B2106" s="1">
        <v>45755</v>
      </c>
      <c r="C2106" t="s">
        <v>16</v>
      </c>
      <c r="D2106" t="s">
        <v>69</v>
      </c>
      <c r="E2106" t="s">
        <v>13</v>
      </c>
      <c r="F2106">
        <v>2</v>
      </c>
      <c r="G2106" t="str">
        <f>VLOOKUP(D2106,Товары!A:I,3,0)</f>
        <v>Пенал навес./напол. Альба 350 антрацит 2 двери</v>
      </c>
      <c r="H2106">
        <f>VLOOKUP(D2106,Товары!A:I,6,0)</f>
        <v>150</v>
      </c>
      <c r="I2106" t="str">
        <f>VLOOKUP(C2106,Магазины!A:C,3,0)</f>
        <v>Оренбург</v>
      </c>
      <c r="J2106">
        <f>VLOOKUP(D2106,Товары!A:I,4,0)</f>
        <v>11655</v>
      </c>
      <c r="K2106">
        <f t="shared" si="32"/>
        <v>23310</v>
      </c>
    </row>
    <row r="2107" spans="1:11" hidden="1" x14ac:dyDescent="0.25">
      <c r="A2107">
        <v>2106</v>
      </c>
      <c r="B2107" s="1">
        <v>45757</v>
      </c>
      <c r="C2107" t="s">
        <v>43</v>
      </c>
      <c r="D2107" t="s">
        <v>106</v>
      </c>
      <c r="E2107" t="s">
        <v>8</v>
      </c>
      <c r="F2107">
        <v>3</v>
      </c>
      <c r="G2107" t="str">
        <f>VLOOKUP(D2107,Товары!A:I,3,0)</f>
        <v>Тумба с раковиной  навес. Кристалл 700 шато азур 2 ящика с умыв. Слим</v>
      </c>
      <c r="H2107">
        <f>VLOOKUP(D2107,Товары!A:I,6,0)</f>
        <v>60</v>
      </c>
      <c r="I2107" t="str">
        <f>VLOOKUP(C2107,Магазины!A:C,3,0)</f>
        <v>Набережные Челны</v>
      </c>
      <c r="J2107">
        <f>VLOOKUP(D2107,Товары!A:I,4,0)</f>
        <v>24150</v>
      </c>
      <c r="K2107">
        <f t="shared" si="32"/>
        <v>72450</v>
      </c>
    </row>
    <row r="2108" spans="1:11" hidden="1" x14ac:dyDescent="0.25">
      <c r="A2108">
        <v>2107</v>
      </c>
      <c r="B2108" s="1">
        <v>45757</v>
      </c>
      <c r="C2108" t="s">
        <v>11</v>
      </c>
      <c r="D2108" t="s">
        <v>121</v>
      </c>
      <c r="E2108" t="s">
        <v>13</v>
      </c>
      <c r="F2108">
        <v>1</v>
      </c>
      <c r="G2108" t="str">
        <f>VLOOKUP(D2108,Товары!A:I,3,0)</f>
        <v>Тумба с раковиной  напол. Куба Риф 600 белый 2 двери с умыв. Como</v>
      </c>
      <c r="H2108">
        <f>VLOOKUP(D2108,Товары!A:I,6,0)</f>
        <v>85</v>
      </c>
      <c r="I2108" t="str">
        <f>VLOOKUP(C2108,Магазины!A:C,3,0)</f>
        <v>Кемерово</v>
      </c>
      <c r="J2108">
        <f>VLOOKUP(D2108,Товары!A:I,4,0)</f>
        <v>13695</v>
      </c>
      <c r="K2108">
        <f t="shared" si="32"/>
        <v>13695</v>
      </c>
    </row>
    <row r="2109" spans="1:11" hidden="1" x14ac:dyDescent="0.25">
      <c r="A2109">
        <v>2108</v>
      </c>
      <c r="B2109" s="1">
        <v>45753</v>
      </c>
      <c r="C2109" t="s">
        <v>11</v>
      </c>
      <c r="D2109" t="s">
        <v>56</v>
      </c>
      <c r="E2109" t="s">
        <v>13</v>
      </c>
      <c r="F2109">
        <v>2</v>
      </c>
      <c r="G2109" t="str">
        <f>VLOOKUP(D2109,Товары!A:I,3,0)</f>
        <v>Зеркальный шкаф Альба 80 со светильником правый цвет мята</v>
      </c>
      <c r="H2109">
        <f>VLOOKUP(D2109,Товары!A:I,6,0)</f>
        <v>75</v>
      </c>
      <c r="I2109" t="str">
        <f>VLOOKUP(C2109,Магазины!A:C,3,0)</f>
        <v>Кемерово</v>
      </c>
      <c r="J2109">
        <f>VLOOKUP(D2109,Товары!A:I,4,0)</f>
        <v>9930</v>
      </c>
      <c r="K2109">
        <f t="shared" si="32"/>
        <v>19860</v>
      </c>
    </row>
    <row r="2110" spans="1:11" hidden="1" x14ac:dyDescent="0.25">
      <c r="A2110">
        <v>2109</v>
      </c>
      <c r="B2110" s="1">
        <v>45751</v>
      </c>
      <c r="C2110" t="s">
        <v>111</v>
      </c>
      <c r="D2110" t="s">
        <v>120</v>
      </c>
      <c r="E2110" t="s">
        <v>13</v>
      </c>
      <c r="F2110">
        <v>3</v>
      </c>
      <c r="G2110" t="str">
        <f>VLOOKUP(D2110,Товары!A:I,3,0)</f>
        <v>Зеркальный шкаф Альба 60 со светильником правый цвет антрацит</v>
      </c>
      <c r="H2110">
        <f>VLOOKUP(D2110,Товары!A:I,6,0)</f>
        <v>75</v>
      </c>
      <c r="I2110" t="str">
        <f>VLOOKUP(C2110,Магазины!A:C,3,0)</f>
        <v>Набережные Челны</v>
      </c>
      <c r="J2110">
        <f>VLOOKUP(D2110,Товары!A:I,4,0)</f>
        <v>8910</v>
      </c>
      <c r="K2110">
        <f t="shared" si="32"/>
        <v>26730</v>
      </c>
    </row>
    <row r="2111" spans="1:11" hidden="1" x14ac:dyDescent="0.25">
      <c r="A2111">
        <v>2110</v>
      </c>
      <c r="B2111" s="1">
        <v>45754</v>
      </c>
      <c r="C2111" t="s">
        <v>58</v>
      </c>
      <c r="D2111" t="s">
        <v>113</v>
      </c>
      <c r="E2111" t="s">
        <v>8</v>
      </c>
      <c r="F2111">
        <v>2</v>
      </c>
      <c r="G2111" t="str">
        <f>VLOOKUP(D2111,Товары!A:I,3,0)</f>
        <v>Зеркальный шкаф Альба 60 со светильником правый цвет мята</v>
      </c>
      <c r="H2111">
        <f>VLOOKUP(D2111,Товары!A:I,6,0)</f>
        <v>75</v>
      </c>
      <c r="I2111" t="str">
        <f>VLOOKUP(C2111,Магазины!A:C,3,0)</f>
        <v>Ставрополь</v>
      </c>
      <c r="J2111">
        <f>VLOOKUP(D2111,Товары!A:I,4,0)</f>
        <v>8910</v>
      </c>
      <c r="K2111">
        <f t="shared" si="32"/>
        <v>17820</v>
      </c>
    </row>
    <row r="2112" spans="1:11" hidden="1" x14ac:dyDescent="0.25">
      <c r="A2112">
        <v>2111</v>
      </c>
      <c r="B2112" s="1">
        <v>45752</v>
      </c>
      <c r="C2112" t="s">
        <v>43</v>
      </c>
      <c r="D2112" t="s">
        <v>80</v>
      </c>
      <c r="E2112" t="s">
        <v>8</v>
      </c>
      <c r="F2112">
        <v>1</v>
      </c>
      <c r="G2112" t="str">
        <f>VLOOKUP(D2112,Товары!A:I,3,0)</f>
        <v>Тумба с раковиной  навес. Сохо 600 белый 2 ящика с умыв. Океан</v>
      </c>
      <c r="H2112">
        <f>VLOOKUP(D2112,Товары!A:I,6,0)</f>
        <v>55</v>
      </c>
      <c r="I2112" t="str">
        <f>VLOOKUP(C2112,Магазины!A:C,3,0)</f>
        <v>Набережные Челны</v>
      </c>
      <c r="J2112">
        <f>VLOOKUP(D2112,Товары!A:I,4,0)</f>
        <v>13950</v>
      </c>
      <c r="K2112">
        <f t="shared" si="32"/>
        <v>13950</v>
      </c>
    </row>
    <row r="2113" spans="1:11" hidden="1" x14ac:dyDescent="0.25">
      <c r="A2113">
        <v>2112</v>
      </c>
      <c r="B2113" s="1">
        <v>45752</v>
      </c>
      <c r="C2113" t="s">
        <v>41</v>
      </c>
      <c r="D2113" t="s">
        <v>53</v>
      </c>
      <c r="E2113" t="s">
        <v>13</v>
      </c>
      <c r="F2113">
        <v>2</v>
      </c>
      <c r="G2113" t="str">
        <f>VLOOKUP(D2113,Товары!A:I,3,0)</f>
        <v>Тумба с раковиной  напол. Кристалл 600 шато азур 2 ящика с умыв. Океан</v>
      </c>
      <c r="H2113">
        <f>VLOOKUP(D2113,Товары!A:I,6,0)</f>
        <v>85</v>
      </c>
      <c r="I2113" t="str">
        <f>VLOOKUP(C2113,Магазины!A:C,3,0)</f>
        <v>Ставрополь</v>
      </c>
      <c r="J2113">
        <f>VLOOKUP(D2113,Товары!A:I,4,0)</f>
        <v>27600</v>
      </c>
      <c r="K2113">
        <f t="shared" si="32"/>
        <v>55200</v>
      </c>
    </row>
    <row r="2114" spans="1:11" hidden="1" x14ac:dyDescent="0.25">
      <c r="A2114">
        <v>2113</v>
      </c>
      <c r="B2114" s="1">
        <v>45755</v>
      </c>
      <c r="C2114" t="s">
        <v>41</v>
      </c>
      <c r="D2114" t="s">
        <v>80</v>
      </c>
      <c r="E2114" t="s">
        <v>8</v>
      </c>
      <c r="F2114">
        <v>3</v>
      </c>
      <c r="G2114" t="str">
        <f>VLOOKUP(D2114,Товары!A:I,3,0)</f>
        <v>Тумба с раковиной  навес. Сохо 600 белый 2 ящика с умыв. Океан</v>
      </c>
      <c r="H2114">
        <f>VLOOKUP(D2114,Товары!A:I,6,0)</f>
        <v>55</v>
      </c>
      <c r="I2114" t="str">
        <f>VLOOKUP(C2114,Магазины!A:C,3,0)</f>
        <v>Ставрополь</v>
      </c>
      <c r="J2114">
        <f>VLOOKUP(D2114,Товары!A:I,4,0)</f>
        <v>13950</v>
      </c>
      <c r="K2114">
        <f t="shared" si="32"/>
        <v>41850</v>
      </c>
    </row>
    <row r="2115" spans="1:11" hidden="1" x14ac:dyDescent="0.25">
      <c r="A2115">
        <v>2114</v>
      </c>
      <c r="B2115" s="1">
        <v>45757</v>
      </c>
      <c r="C2115" t="s">
        <v>33</v>
      </c>
      <c r="D2115" t="s">
        <v>34</v>
      </c>
      <c r="E2115" t="s">
        <v>13</v>
      </c>
      <c r="F2115">
        <v>3</v>
      </c>
      <c r="G2115" t="str">
        <f>VLOOKUP(D2115,Товары!A:I,3,0)</f>
        <v>Тумба с раковиной  навес. Леон 700 форест 2 ящика с умыв. Слим</v>
      </c>
      <c r="H2115">
        <f>VLOOKUP(D2115,Товары!A:I,6,0)</f>
        <v>60</v>
      </c>
      <c r="I2115" t="str">
        <f>VLOOKUP(C2115,Магазины!A:C,3,0)</f>
        <v>Набережные Челны</v>
      </c>
      <c r="J2115">
        <f>VLOOKUP(D2115,Товары!A:I,4,0)</f>
        <v>26220</v>
      </c>
      <c r="K2115">
        <f t="shared" ref="K2115:K2178" si="33">J2115*F2115</f>
        <v>78660</v>
      </c>
    </row>
    <row r="2116" spans="1:11" hidden="1" x14ac:dyDescent="0.25">
      <c r="A2116">
        <v>2115</v>
      </c>
      <c r="B2116" s="1">
        <v>45753</v>
      </c>
      <c r="C2116" t="s">
        <v>26</v>
      </c>
      <c r="D2116" t="s">
        <v>99</v>
      </c>
      <c r="E2116" t="s">
        <v>13</v>
      </c>
      <c r="F2116">
        <v>1</v>
      </c>
      <c r="G2116" t="str">
        <f>VLOOKUP(D2116,Товары!A:I,3,0)</f>
        <v>Тумба с раковиной  навес. Леон 600 оникс 2 ящика с умыв. Слим</v>
      </c>
      <c r="H2116">
        <f>VLOOKUP(D2116,Товары!A:I,6,0)</f>
        <v>60</v>
      </c>
      <c r="I2116" t="str">
        <f>VLOOKUP(C2116,Магазины!A:C,3,0)</f>
        <v>Оренбург</v>
      </c>
      <c r="J2116">
        <f>VLOOKUP(D2116,Товары!A:I,4,0)</f>
        <v>25125</v>
      </c>
      <c r="K2116">
        <f t="shared" si="33"/>
        <v>25125</v>
      </c>
    </row>
    <row r="2117" spans="1:11" hidden="1" x14ac:dyDescent="0.25">
      <c r="A2117">
        <v>2116</v>
      </c>
      <c r="B2117" s="1">
        <v>45753</v>
      </c>
      <c r="C2117" t="s">
        <v>103</v>
      </c>
      <c r="D2117" t="s">
        <v>10</v>
      </c>
      <c r="E2117" t="s">
        <v>8</v>
      </c>
      <c r="F2117">
        <v>1</v>
      </c>
      <c r="G2117" t="str">
        <f>VLOOKUP(D2117,Товары!A:I,3,0)</f>
        <v>Тумба с раковиной  навес. Альба 700 антрацит 1 ящик с умыв. Слим</v>
      </c>
      <c r="H2117">
        <f>VLOOKUP(D2117,Товары!A:I,6,0)</f>
        <v>45</v>
      </c>
      <c r="I2117" t="str">
        <f>VLOOKUP(C2117,Магазины!A:C,3,0)</f>
        <v>Ставрополь</v>
      </c>
      <c r="J2117">
        <f>VLOOKUP(D2117,Товары!A:I,4,0)</f>
        <v>20130</v>
      </c>
      <c r="K2117">
        <f t="shared" si="33"/>
        <v>20130</v>
      </c>
    </row>
    <row r="2118" spans="1:11" hidden="1" x14ac:dyDescent="0.25">
      <c r="A2118">
        <v>2117</v>
      </c>
      <c r="B2118" s="1">
        <v>45748</v>
      </c>
      <c r="C2118" t="s">
        <v>26</v>
      </c>
      <c r="D2118" t="s">
        <v>117</v>
      </c>
      <c r="E2118" t="s">
        <v>13</v>
      </c>
      <c r="F2118">
        <v>3</v>
      </c>
      <c r="G2118" t="str">
        <f>VLOOKUP(D2118,Товары!A:I,3,0)</f>
        <v>Тумба с раковиной  навес. Альба 700 антрацит 2 ящика с умыв. Слим</v>
      </c>
      <c r="H2118">
        <f>VLOOKUP(D2118,Товары!A:I,6,0)</f>
        <v>60</v>
      </c>
      <c r="I2118" t="str">
        <f>VLOOKUP(C2118,Магазины!A:C,3,0)</f>
        <v>Оренбург</v>
      </c>
      <c r="J2118">
        <f>VLOOKUP(D2118,Товары!A:I,4,0)</f>
        <v>25095</v>
      </c>
      <c r="K2118">
        <f t="shared" si="33"/>
        <v>75285</v>
      </c>
    </row>
    <row r="2119" spans="1:11" hidden="1" x14ac:dyDescent="0.25">
      <c r="A2119">
        <v>2118</v>
      </c>
      <c r="B2119" s="1">
        <v>45757</v>
      </c>
      <c r="C2119" t="s">
        <v>92</v>
      </c>
      <c r="D2119" t="s">
        <v>39</v>
      </c>
      <c r="E2119" t="s">
        <v>8</v>
      </c>
      <c r="F2119">
        <v>2</v>
      </c>
      <c r="G2119" t="str">
        <f>VLOOKUP(D2119,Товары!A:I,3,0)</f>
        <v>Тумба с раковиной  напол. Альба 700 мята 2 ящика с умыв. Слим</v>
      </c>
      <c r="H2119">
        <f>VLOOKUP(D2119,Товары!A:I,6,0)</f>
        <v>85</v>
      </c>
      <c r="I2119" t="str">
        <f>VLOOKUP(C2119,Магазины!A:C,3,0)</f>
        <v>Кемерово</v>
      </c>
      <c r="J2119">
        <f>VLOOKUP(D2119,Товары!A:I,4,0)</f>
        <v>28695</v>
      </c>
      <c r="K2119">
        <f t="shared" si="33"/>
        <v>57390</v>
      </c>
    </row>
    <row r="2120" spans="1:11" hidden="1" x14ac:dyDescent="0.25">
      <c r="A2120">
        <v>2119</v>
      </c>
      <c r="B2120" s="1">
        <v>45755</v>
      </c>
      <c r="C2120" t="s">
        <v>58</v>
      </c>
      <c r="D2120" t="s">
        <v>15</v>
      </c>
      <c r="E2120" t="s">
        <v>8</v>
      </c>
      <c r="F2120">
        <v>2</v>
      </c>
      <c r="G2120" t="str">
        <f>VLOOKUP(D2120,Товары!A:I,3,0)</f>
        <v>Зеркальный шкаф Кристалл 60 со светильником правый, ручка кнопка дуб цвет Шато Азур</v>
      </c>
      <c r="H2120">
        <f>VLOOKUP(D2120,Товары!A:I,6,0)</f>
        <v>75</v>
      </c>
      <c r="I2120" t="str">
        <f>VLOOKUP(C2120,Магазины!A:C,3,0)</f>
        <v>Ставрополь</v>
      </c>
      <c r="J2120">
        <f>VLOOKUP(D2120,Товары!A:I,4,0)</f>
        <v>9195</v>
      </c>
      <c r="K2120">
        <f t="shared" si="33"/>
        <v>18390</v>
      </c>
    </row>
    <row r="2121" spans="1:11" hidden="1" x14ac:dyDescent="0.25">
      <c r="A2121">
        <v>2120</v>
      </c>
      <c r="B2121" s="1">
        <v>45756</v>
      </c>
      <c r="C2121" t="s">
        <v>30</v>
      </c>
      <c r="D2121" t="s">
        <v>66</v>
      </c>
      <c r="E2121" t="s">
        <v>13</v>
      </c>
      <c r="F2121">
        <v>2</v>
      </c>
      <c r="G2121" t="str">
        <f>VLOOKUP(D2121,Товары!A:I,3,0)</f>
        <v>Тумба с раковиной  навес. Альба 800 мята 2 ящика с умыв. Слим</v>
      </c>
      <c r="H2121">
        <f>VLOOKUP(D2121,Товары!A:I,6,0)</f>
        <v>50</v>
      </c>
      <c r="I2121" t="str">
        <f>VLOOKUP(C2121,Магазины!A:C,3,0)</f>
        <v>Кемерово</v>
      </c>
      <c r="J2121">
        <f>VLOOKUP(D2121,Товары!A:I,4,0)</f>
        <v>26070</v>
      </c>
      <c r="K2121">
        <f t="shared" si="33"/>
        <v>52140</v>
      </c>
    </row>
    <row r="2122" spans="1:11" hidden="1" x14ac:dyDescent="0.25">
      <c r="A2122">
        <v>2121</v>
      </c>
      <c r="B2122" s="1">
        <v>45755</v>
      </c>
      <c r="C2122" t="s">
        <v>30</v>
      </c>
      <c r="D2122" t="s">
        <v>19</v>
      </c>
      <c r="E2122" t="s">
        <v>8</v>
      </c>
      <c r="F2122">
        <v>2</v>
      </c>
      <c r="G2122" t="str">
        <f>VLOOKUP(D2122,Товары!A:I,3,0)</f>
        <v>Тумба с раковиной  навес. Леон 800 оникс 2 ящика с умыв. Слим</v>
      </c>
      <c r="H2122">
        <f>VLOOKUP(D2122,Товары!A:I,6,0)</f>
        <v>60</v>
      </c>
      <c r="I2122" t="str">
        <f>VLOOKUP(C2122,Магазины!A:C,3,0)</f>
        <v>Кемерово</v>
      </c>
      <c r="J2122">
        <f>VLOOKUP(D2122,Товары!A:I,4,0)</f>
        <v>27930</v>
      </c>
      <c r="K2122">
        <f t="shared" si="33"/>
        <v>55860</v>
      </c>
    </row>
    <row r="2123" spans="1:11" hidden="1" x14ac:dyDescent="0.25">
      <c r="A2123">
        <v>2122</v>
      </c>
      <c r="B2123" s="1">
        <v>45748</v>
      </c>
      <c r="C2123" t="s">
        <v>20</v>
      </c>
      <c r="D2123" t="s">
        <v>64</v>
      </c>
      <c r="E2123" t="s">
        <v>8</v>
      </c>
      <c r="F2123">
        <v>1</v>
      </c>
      <c r="G2123" t="str">
        <f>VLOOKUP(D2123,Товары!A:I,3,0)</f>
        <v>Тумба с раковиной  напол. Рица 800 антрацит 2 ящика с умыв. Слим</v>
      </c>
      <c r="H2123">
        <f>VLOOKUP(D2123,Товары!A:I,6,0)</f>
        <v>80</v>
      </c>
      <c r="I2123" t="str">
        <f>VLOOKUP(C2123,Магазины!A:C,3,0)</f>
        <v>Оренбург</v>
      </c>
      <c r="J2123">
        <f>VLOOKUP(D2123,Товары!A:I,4,0)</f>
        <v>28980</v>
      </c>
      <c r="K2123">
        <f t="shared" si="33"/>
        <v>28980</v>
      </c>
    </row>
    <row r="2124" spans="1:11" hidden="1" x14ac:dyDescent="0.25">
      <c r="A2124">
        <v>2123</v>
      </c>
      <c r="B2124" s="1">
        <v>45750</v>
      </c>
      <c r="C2124" t="s">
        <v>35</v>
      </c>
      <c r="D2124" t="s">
        <v>85</v>
      </c>
      <c r="E2124" t="s">
        <v>8</v>
      </c>
      <c r="F2124">
        <v>1</v>
      </c>
      <c r="G2124" t="str">
        <f>VLOOKUP(D2124,Товары!A:I,3,0)</f>
        <v>Пенал напол. Аква 450 белый 2 двери + 2 ящика + корзина</v>
      </c>
      <c r="H2124">
        <f>VLOOKUP(D2124,Товары!A:I,6,0)</f>
        <v>190</v>
      </c>
      <c r="I2124" t="str">
        <f>VLOOKUP(C2124,Магазины!A:C,3,0)</f>
        <v>Набережные Челны</v>
      </c>
      <c r="J2124">
        <f>VLOOKUP(D2124,Товары!A:I,4,0)</f>
        <v>13335</v>
      </c>
      <c r="K2124">
        <f t="shared" si="33"/>
        <v>13335</v>
      </c>
    </row>
    <row r="2125" spans="1:11" hidden="1" x14ac:dyDescent="0.25">
      <c r="A2125">
        <v>2124</v>
      </c>
      <c r="B2125" s="1">
        <v>45753</v>
      </c>
      <c r="C2125" t="s">
        <v>22</v>
      </c>
      <c r="D2125" t="s">
        <v>89</v>
      </c>
      <c r="E2125" t="s">
        <v>8</v>
      </c>
      <c r="F2125">
        <v>3</v>
      </c>
      <c r="G2125" t="str">
        <f>VLOOKUP(D2125,Товары!A:I,3,0)</f>
        <v>Тумба с раковиной  напол. Сохо 600 белый 2 двери с умыв. Океан</v>
      </c>
      <c r="H2125">
        <f>VLOOKUP(D2125,Товары!A:I,6,0)</f>
        <v>85</v>
      </c>
      <c r="I2125" t="str">
        <f>VLOOKUP(C2125,Магазины!A:C,3,0)</f>
        <v>Кемерово</v>
      </c>
      <c r="J2125">
        <f>VLOOKUP(D2125,Товары!A:I,4,0)</f>
        <v>14880</v>
      </c>
      <c r="K2125">
        <f t="shared" si="33"/>
        <v>44640</v>
      </c>
    </row>
    <row r="2126" spans="1:11" hidden="1" x14ac:dyDescent="0.25">
      <c r="A2126">
        <v>2125</v>
      </c>
      <c r="B2126" s="1">
        <v>45757</v>
      </c>
      <c r="C2126" t="s">
        <v>111</v>
      </c>
      <c r="D2126" t="s">
        <v>79</v>
      </c>
      <c r="E2126" t="s">
        <v>8</v>
      </c>
      <c r="F2126">
        <v>3</v>
      </c>
      <c r="G2126" t="str">
        <f>VLOOKUP(D2126,Товары!A:I,3,0)</f>
        <v>Зеркальный шкаф Альба 70 со светильником правый цвет мята</v>
      </c>
      <c r="H2126">
        <f>VLOOKUP(D2126,Товары!A:I,6,0)</f>
        <v>75</v>
      </c>
      <c r="I2126" t="str">
        <f>VLOOKUP(C2126,Магазины!A:C,3,0)</f>
        <v>Набережные Челны</v>
      </c>
      <c r="J2126">
        <f>VLOOKUP(D2126,Товары!A:I,4,0)</f>
        <v>9615</v>
      </c>
      <c r="K2126">
        <f t="shared" si="33"/>
        <v>28845</v>
      </c>
    </row>
    <row r="2127" spans="1:11" hidden="1" x14ac:dyDescent="0.25">
      <c r="A2127">
        <v>2126</v>
      </c>
      <c r="B2127" s="1">
        <v>45751</v>
      </c>
      <c r="C2127" t="s">
        <v>22</v>
      </c>
      <c r="D2127" t="s">
        <v>97</v>
      </c>
      <c r="E2127" t="s">
        <v>13</v>
      </c>
      <c r="F2127">
        <v>2</v>
      </c>
      <c r="G2127" t="str">
        <f>VLOOKUP(D2127,Товары!A:I,3,0)</f>
        <v>Пенал напол. Кристалл 350 суфле 2 двери</v>
      </c>
      <c r="H2127">
        <f>VLOOKUP(D2127,Товары!A:I,6,0)</f>
        <v>190</v>
      </c>
      <c r="I2127" t="str">
        <f>VLOOKUP(C2127,Магазины!A:C,3,0)</f>
        <v>Кемерово</v>
      </c>
      <c r="J2127">
        <f>VLOOKUP(D2127,Товары!A:I,4,0)</f>
        <v>15810</v>
      </c>
      <c r="K2127">
        <f t="shared" si="33"/>
        <v>31620</v>
      </c>
    </row>
    <row r="2128" spans="1:11" hidden="1" x14ac:dyDescent="0.25">
      <c r="A2128">
        <v>2127</v>
      </c>
      <c r="B2128" s="1">
        <v>45752</v>
      </c>
      <c r="C2128" t="s">
        <v>43</v>
      </c>
      <c r="D2128" t="s">
        <v>125</v>
      </c>
      <c r="E2128" t="s">
        <v>13</v>
      </c>
      <c r="F2128">
        <v>1</v>
      </c>
      <c r="G2128" t="str">
        <f>VLOOKUP(D2128,Товары!A:I,3,0)</f>
        <v>Зеркальный шкаф Сохо 60 белый со светильником правый цвет Белый глянец</v>
      </c>
      <c r="H2128">
        <f>VLOOKUP(D2128,Товары!A:I,6,0)</f>
        <v>75</v>
      </c>
      <c r="I2128" t="str">
        <f>VLOOKUP(C2128,Магазины!A:C,3,0)</f>
        <v>Набережные Челны</v>
      </c>
      <c r="J2128">
        <f>VLOOKUP(D2128,Товары!A:I,4,0)</f>
        <v>7395</v>
      </c>
      <c r="K2128">
        <f t="shared" si="33"/>
        <v>7395</v>
      </c>
    </row>
    <row r="2129" spans="1:11" hidden="1" x14ac:dyDescent="0.25">
      <c r="A2129">
        <v>2128</v>
      </c>
      <c r="B2129" s="1">
        <v>45752</v>
      </c>
      <c r="C2129" t="s">
        <v>16</v>
      </c>
      <c r="D2129" t="s">
        <v>25</v>
      </c>
      <c r="E2129" t="s">
        <v>8</v>
      </c>
      <c r="F2129">
        <v>2</v>
      </c>
      <c r="G2129" t="str">
        <f>VLOOKUP(D2129,Товары!A:I,3,0)</f>
        <v>Пенал напол. Леон 400 оникс 2 двери + 1 ящик</v>
      </c>
      <c r="H2129">
        <f>VLOOKUP(D2129,Товары!A:I,6,0)</f>
        <v>190</v>
      </c>
      <c r="I2129" t="str">
        <f>VLOOKUP(C2129,Магазины!A:C,3,0)</f>
        <v>Оренбург</v>
      </c>
      <c r="J2129">
        <f>VLOOKUP(D2129,Товары!A:I,4,0)</f>
        <v>18450</v>
      </c>
      <c r="K2129">
        <f t="shared" si="33"/>
        <v>36900</v>
      </c>
    </row>
    <row r="2130" spans="1:11" hidden="1" x14ac:dyDescent="0.25">
      <c r="A2130">
        <v>2129</v>
      </c>
      <c r="B2130" s="1">
        <v>45757</v>
      </c>
      <c r="C2130" t="s">
        <v>18</v>
      </c>
      <c r="D2130" t="s">
        <v>84</v>
      </c>
      <c r="E2130" t="s">
        <v>8</v>
      </c>
      <c r="F2130">
        <v>2</v>
      </c>
      <c r="G2130" t="str">
        <f>VLOOKUP(D2130,Товары!A:I,3,0)</f>
        <v>Тумба с раковиной  напол. Куба Риф 800 белый 3 двери с умыв. Слим</v>
      </c>
      <c r="H2130">
        <f>VLOOKUP(D2130,Товары!A:I,6,0)</f>
        <v>85</v>
      </c>
      <c r="I2130" t="str">
        <f>VLOOKUP(C2130,Магазины!A:C,3,0)</f>
        <v>Набережные Челны</v>
      </c>
      <c r="J2130">
        <f>VLOOKUP(D2130,Товары!A:I,4,0)</f>
        <v>19920</v>
      </c>
      <c r="K2130">
        <f t="shared" si="33"/>
        <v>39840</v>
      </c>
    </row>
    <row r="2131" spans="1:11" hidden="1" x14ac:dyDescent="0.25">
      <c r="A2131">
        <v>2130</v>
      </c>
      <c r="B2131" s="1">
        <v>45749</v>
      </c>
      <c r="C2131" t="s">
        <v>57</v>
      </c>
      <c r="D2131" t="s">
        <v>113</v>
      </c>
      <c r="E2131" t="s">
        <v>13</v>
      </c>
      <c r="F2131">
        <v>2</v>
      </c>
      <c r="G2131" t="str">
        <f>VLOOKUP(D2131,Товары!A:I,3,0)</f>
        <v>Зеркальный шкаф Альба 60 со светильником правый цвет мята</v>
      </c>
      <c r="H2131">
        <f>VLOOKUP(D2131,Товары!A:I,6,0)</f>
        <v>75</v>
      </c>
      <c r="I2131" t="str">
        <f>VLOOKUP(C2131,Магазины!A:C,3,0)</f>
        <v>Оренбург</v>
      </c>
      <c r="J2131">
        <f>VLOOKUP(D2131,Товары!A:I,4,0)</f>
        <v>8910</v>
      </c>
      <c r="K2131">
        <f t="shared" si="33"/>
        <v>17820</v>
      </c>
    </row>
    <row r="2132" spans="1:11" hidden="1" x14ac:dyDescent="0.25">
      <c r="A2132">
        <v>2131</v>
      </c>
      <c r="B2132" s="1">
        <v>45757</v>
      </c>
      <c r="C2132" t="s">
        <v>26</v>
      </c>
      <c r="D2132" t="s">
        <v>12</v>
      </c>
      <c r="E2132" t="s">
        <v>13</v>
      </c>
      <c r="F2132">
        <v>1</v>
      </c>
      <c r="G2132" t="str">
        <f>VLOOKUP(D2132,Товары!A:I,3,0)</f>
        <v>Тумба с раковиной  напол. Сохо 700 белый 2 двери с умыв. Слим</v>
      </c>
      <c r="H2132">
        <f>VLOOKUP(D2132,Товары!A:I,6,0)</f>
        <v>85</v>
      </c>
      <c r="I2132" t="str">
        <f>VLOOKUP(C2132,Магазины!A:C,3,0)</f>
        <v>Оренбург</v>
      </c>
      <c r="J2132">
        <f>VLOOKUP(D2132,Товары!A:I,4,0)</f>
        <v>17160</v>
      </c>
      <c r="K2132">
        <f t="shared" si="33"/>
        <v>17160</v>
      </c>
    </row>
    <row r="2133" spans="1:11" hidden="1" x14ac:dyDescent="0.25">
      <c r="A2133">
        <v>2132</v>
      </c>
      <c r="B2133" s="1">
        <v>45748</v>
      </c>
      <c r="C2133" t="s">
        <v>30</v>
      </c>
      <c r="D2133" t="s">
        <v>31</v>
      </c>
      <c r="E2133" t="s">
        <v>13</v>
      </c>
      <c r="F2133">
        <v>3</v>
      </c>
      <c r="G2133" t="str">
        <f>VLOOKUP(D2133,Товары!A:I,3,0)</f>
        <v>Пенал напол. Виктория 350 белый 2 двери</v>
      </c>
      <c r="H2133">
        <f>VLOOKUP(D2133,Товары!A:I,6,0)</f>
        <v>190</v>
      </c>
      <c r="I2133" t="str">
        <f>VLOOKUP(C2133,Магазины!A:C,3,0)</f>
        <v>Кемерово</v>
      </c>
      <c r="J2133">
        <f>VLOOKUP(D2133,Товары!A:I,4,0)</f>
        <v>14085</v>
      </c>
      <c r="K2133">
        <f t="shared" si="33"/>
        <v>42255</v>
      </c>
    </row>
    <row r="2134" spans="1:11" hidden="1" x14ac:dyDescent="0.25">
      <c r="A2134">
        <v>2133</v>
      </c>
      <c r="B2134" s="1">
        <v>45751</v>
      </c>
      <c r="C2134" t="s">
        <v>11</v>
      </c>
      <c r="D2134" t="s">
        <v>108</v>
      </c>
      <c r="E2134" t="s">
        <v>8</v>
      </c>
      <c r="F2134">
        <v>1</v>
      </c>
      <c r="G2134" t="str">
        <f>VLOOKUP(D2134,Товары!A:I,3,0)</f>
        <v>Тумба с раковиной  навес. Виктория 1000 белый 2 ящика с умыв. Слим</v>
      </c>
      <c r="H2134">
        <f>VLOOKUP(D2134,Товары!A:I,6,0)</f>
        <v>60</v>
      </c>
      <c r="I2134" t="str">
        <f>VLOOKUP(C2134,Магазины!A:C,3,0)</f>
        <v>Кемерово</v>
      </c>
      <c r="J2134">
        <f>VLOOKUP(D2134,Товары!A:I,4,0)</f>
        <v>29205</v>
      </c>
      <c r="K2134">
        <f t="shared" si="33"/>
        <v>29205</v>
      </c>
    </row>
    <row r="2135" spans="1:11" hidden="1" x14ac:dyDescent="0.25">
      <c r="A2135">
        <v>2134</v>
      </c>
      <c r="B2135" s="1">
        <v>45753</v>
      </c>
      <c r="C2135" t="s">
        <v>6</v>
      </c>
      <c r="D2135" t="s">
        <v>53</v>
      </c>
      <c r="E2135" t="s">
        <v>13</v>
      </c>
      <c r="F2135">
        <v>1</v>
      </c>
      <c r="G2135" t="str">
        <f>VLOOKUP(D2135,Товары!A:I,3,0)</f>
        <v>Тумба с раковиной  напол. Кристалл 600 шато азур 2 ящика с умыв. Океан</v>
      </c>
      <c r="H2135">
        <f>VLOOKUP(D2135,Товары!A:I,6,0)</f>
        <v>85</v>
      </c>
      <c r="I2135" t="str">
        <f>VLOOKUP(C2135,Магазины!A:C,3,0)</f>
        <v>Оренбург</v>
      </c>
      <c r="J2135">
        <f>VLOOKUP(D2135,Товары!A:I,4,0)</f>
        <v>27600</v>
      </c>
      <c r="K2135">
        <f t="shared" si="33"/>
        <v>27600</v>
      </c>
    </row>
    <row r="2136" spans="1:11" hidden="1" x14ac:dyDescent="0.25">
      <c r="A2136">
        <v>2135</v>
      </c>
      <c r="B2136" s="1">
        <v>45751</v>
      </c>
      <c r="C2136" t="s">
        <v>57</v>
      </c>
      <c r="D2136" t="s">
        <v>61</v>
      </c>
      <c r="E2136" t="s">
        <v>8</v>
      </c>
      <c r="F2136">
        <v>1</v>
      </c>
      <c r="G2136" t="str">
        <f>VLOOKUP(D2136,Товары!A:I,3,0)</f>
        <v>Тумба под стиральную машину Леон Риф 57 напольная 2 ящика под ст/маш, без умывальника /под Marshall 120 Солярис/Белый Риф</v>
      </c>
      <c r="H2136">
        <f>VLOOKUP(D2136,Товары!A:I,6,0)</f>
        <v>85</v>
      </c>
      <c r="I2136" t="str">
        <f>VLOOKUP(C2136,Магазины!A:C,3,0)</f>
        <v>Оренбург</v>
      </c>
      <c r="J2136">
        <f>VLOOKUP(D2136,Товары!A:I,4,0)</f>
        <v>17430</v>
      </c>
      <c r="K2136">
        <f t="shared" si="33"/>
        <v>17430</v>
      </c>
    </row>
    <row r="2137" spans="1:11" hidden="1" x14ac:dyDescent="0.25">
      <c r="A2137">
        <v>2136</v>
      </c>
      <c r="B2137" s="1">
        <v>45753</v>
      </c>
      <c r="C2137" t="s">
        <v>6</v>
      </c>
      <c r="D2137" t="s">
        <v>74</v>
      </c>
      <c r="E2137" t="s">
        <v>8</v>
      </c>
      <c r="F2137">
        <v>2</v>
      </c>
      <c r="G2137" t="str">
        <f>VLOOKUP(D2137,Товары!A:I,3,0)</f>
        <v>Тумба с раковиной  напол. Альба 800 суфле 2 ящика с умыв. Слим</v>
      </c>
      <c r="H2137">
        <f>VLOOKUP(D2137,Товары!A:I,6,0)</f>
        <v>80</v>
      </c>
      <c r="I2137" t="str">
        <f>VLOOKUP(C2137,Магазины!A:C,3,0)</f>
        <v>Оренбург</v>
      </c>
      <c r="J2137">
        <f>VLOOKUP(D2137,Товары!A:I,4,0)</f>
        <v>29340</v>
      </c>
      <c r="K2137">
        <f t="shared" si="33"/>
        <v>58680</v>
      </c>
    </row>
    <row r="2138" spans="1:11" hidden="1" x14ac:dyDescent="0.25">
      <c r="A2138">
        <v>2137</v>
      </c>
      <c r="B2138" s="1">
        <v>45752</v>
      </c>
      <c r="C2138" t="s">
        <v>14</v>
      </c>
      <c r="D2138" t="s">
        <v>129</v>
      </c>
      <c r="E2138" t="s">
        <v>8</v>
      </c>
      <c r="F2138">
        <v>3</v>
      </c>
      <c r="G2138" t="str">
        <f>VLOOKUP(D2138,Товары!A:I,3,0)</f>
        <v>Тумба с раковиной  напол. Альба 700 антрацит 2 ящика с умыв. Слим</v>
      </c>
      <c r="H2138">
        <f>VLOOKUP(D2138,Товары!A:I,6,0)</f>
        <v>85</v>
      </c>
      <c r="I2138" t="str">
        <f>VLOOKUP(C2138,Магазины!A:C,3,0)</f>
        <v>Оренбург</v>
      </c>
      <c r="J2138">
        <f>VLOOKUP(D2138,Товары!A:I,4,0)</f>
        <v>28695</v>
      </c>
      <c r="K2138">
        <f t="shared" si="33"/>
        <v>86085</v>
      </c>
    </row>
    <row r="2139" spans="1:11" hidden="1" x14ac:dyDescent="0.25">
      <c r="A2139">
        <v>2138</v>
      </c>
      <c r="B2139" s="1">
        <v>45755</v>
      </c>
      <c r="C2139" t="s">
        <v>63</v>
      </c>
      <c r="D2139" t="s">
        <v>98</v>
      </c>
      <c r="E2139" t="s">
        <v>8</v>
      </c>
      <c r="F2139">
        <v>1</v>
      </c>
      <c r="G2139" t="str">
        <f>VLOOKUP(D2139,Товары!A:I,3,0)</f>
        <v>Тумба с раковиной  напол. Рица 800 cерый/керамика 2 ящика с умыв. Слим</v>
      </c>
      <c r="H2139">
        <f>VLOOKUP(D2139,Товары!A:I,6,0)</f>
        <v>80</v>
      </c>
      <c r="I2139" t="str">
        <f>VLOOKUP(C2139,Магазины!A:C,3,0)</f>
        <v>Ставрополь</v>
      </c>
      <c r="J2139">
        <f>VLOOKUP(D2139,Товары!A:I,4,0)</f>
        <v>28980</v>
      </c>
      <c r="K2139">
        <f t="shared" si="33"/>
        <v>28980</v>
      </c>
    </row>
    <row r="2140" spans="1:11" hidden="1" x14ac:dyDescent="0.25">
      <c r="A2140">
        <v>2139</v>
      </c>
      <c r="B2140" s="1">
        <v>45757</v>
      </c>
      <c r="C2140" t="s">
        <v>20</v>
      </c>
      <c r="D2140" t="s">
        <v>70</v>
      </c>
      <c r="E2140" t="s">
        <v>13</v>
      </c>
      <c r="F2140">
        <v>1</v>
      </c>
      <c r="G2140" t="str">
        <f>VLOOKUP(D2140,Товары!A:I,3,0)</f>
        <v>Тумба с раковиной  напол. Кристалл 700 шато азур 2 ящика с умыв. Слим</v>
      </c>
      <c r="H2140">
        <f>VLOOKUP(D2140,Товары!A:I,6,0)</f>
        <v>85</v>
      </c>
      <c r="I2140" t="str">
        <f>VLOOKUP(C2140,Магазины!A:C,3,0)</f>
        <v>Оренбург</v>
      </c>
      <c r="J2140">
        <f>VLOOKUP(D2140,Товары!A:I,4,0)</f>
        <v>29910</v>
      </c>
      <c r="K2140">
        <f t="shared" si="33"/>
        <v>29910</v>
      </c>
    </row>
    <row r="2141" spans="1:11" hidden="1" x14ac:dyDescent="0.25">
      <c r="A2141">
        <v>2140</v>
      </c>
      <c r="B2141" s="1">
        <v>45756</v>
      </c>
      <c r="C2141" t="s">
        <v>26</v>
      </c>
      <c r="D2141" t="s">
        <v>121</v>
      </c>
      <c r="E2141" t="s">
        <v>8</v>
      </c>
      <c r="F2141">
        <v>2</v>
      </c>
      <c r="G2141" t="str">
        <f>VLOOKUP(D2141,Товары!A:I,3,0)</f>
        <v>Тумба с раковиной  напол. Куба Риф 600 белый 2 двери с умыв. Como</v>
      </c>
      <c r="H2141">
        <f>VLOOKUP(D2141,Товары!A:I,6,0)</f>
        <v>85</v>
      </c>
      <c r="I2141" t="str">
        <f>VLOOKUP(C2141,Магазины!A:C,3,0)</f>
        <v>Оренбург</v>
      </c>
      <c r="J2141">
        <f>VLOOKUP(D2141,Товары!A:I,4,0)</f>
        <v>13695</v>
      </c>
      <c r="K2141">
        <f t="shared" si="33"/>
        <v>27390</v>
      </c>
    </row>
    <row r="2142" spans="1:11" hidden="1" x14ac:dyDescent="0.25">
      <c r="A2142">
        <v>2141</v>
      </c>
      <c r="B2142" s="1">
        <v>45753</v>
      </c>
      <c r="C2142" t="s">
        <v>41</v>
      </c>
      <c r="D2142" t="s">
        <v>62</v>
      </c>
      <c r="E2142" t="s">
        <v>8</v>
      </c>
      <c r="F2142">
        <v>2</v>
      </c>
      <c r="G2142" t="str">
        <f>VLOOKUP(D2142,Товары!A:I,3,0)</f>
        <v>Тумба с раковиной  напол. Альба 600 мята 2 ящика с умыв. Океан</v>
      </c>
      <c r="H2142">
        <f>VLOOKUP(D2142,Товары!A:I,6,0)</f>
        <v>80</v>
      </c>
      <c r="I2142" t="str">
        <f>VLOOKUP(C2142,Магазины!A:C,3,0)</f>
        <v>Ставрополь</v>
      </c>
      <c r="J2142">
        <f>VLOOKUP(D2142,Товары!A:I,4,0)</f>
        <v>26370</v>
      </c>
      <c r="K2142">
        <f t="shared" si="33"/>
        <v>52740</v>
      </c>
    </row>
    <row r="2143" spans="1:11" hidden="1" x14ac:dyDescent="0.25">
      <c r="A2143">
        <v>2142</v>
      </c>
      <c r="B2143" s="1">
        <v>45750</v>
      </c>
      <c r="C2143" t="s">
        <v>9</v>
      </c>
      <c r="D2143" t="s">
        <v>7</v>
      </c>
      <c r="E2143" t="s">
        <v>13</v>
      </c>
      <c r="F2143">
        <v>3</v>
      </c>
      <c r="G2143" t="str">
        <f>VLOOKUP(D2143,Товары!A:I,3,0)</f>
        <v>Пенал напол. Леон Риф 400 солярис/белый риф 2 двери + 1 ящик</v>
      </c>
      <c r="H2143">
        <f>VLOOKUP(D2143,Товары!A:I,6,0)</f>
        <v>190</v>
      </c>
      <c r="I2143" t="str">
        <f>VLOOKUP(C2143,Магазины!A:C,3,0)</f>
        <v>Кемерово</v>
      </c>
      <c r="J2143">
        <f>VLOOKUP(D2143,Товары!A:I,4,0)</f>
        <v>14490</v>
      </c>
      <c r="K2143">
        <f t="shared" si="33"/>
        <v>43470</v>
      </c>
    </row>
    <row r="2144" spans="1:11" hidden="1" x14ac:dyDescent="0.25">
      <c r="A2144">
        <v>2143</v>
      </c>
      <c r="B2144" s="1">
        <v>45752</v>
      </c>
      <c r="C2144" t="s">
        <v>9</v>
      </c>
      <c r="D2144" t="s">
        <v>77</v>
      </c>
      <c r="E2144" t="s">
        <v>13</v>
      </c>
      <c r="F2144">
        <v>2</v>
      </c>
      <c r="G2144" t="str">
        <f>VLOOKUP(D2144,Товары!A:I,3,0)</f>
        <v>Тумба с раковиной  напол. Куба Риф 600 белый 2 ящика с умыв. Como</v>
      </c>
      <c r="H2144">
        <f>VLOOKUP(D2144,Товары!A:I,6,0)</f>
        <v>85</v>
      </c>
      <c r="I2144" t="str">
        <f>VLOOKUP(C2144,Магазины!A:C,3,0)</f>
        <v>Кемерово</v>
      </c>
      <c r="J2144">
        <f>VLOOKUP(D2144,Товары!A:I,4,0)</f>
        <v>15660</v>
      </c>
      <c r="K2144">
        <f t="shared" si="33"/>
        <v>31320</v>
      </c>
    </row>
    <row r="2145" spans="1:11" hidden="1" x14ac:dyDescent="0.25">
      <c r="A2145">
        <v>2144</v>
      </c>
      <c r="B2145" s="1">
        <v>45756</v>
      </c>
      <c r="C2145" t="s">
        <v>20</v>
      </c>
      <c r="D2145" t="s">
        <v>100</v>
      </c>
      <c r="E2145" t="s">
        <v>13</v>
      </c>
      <c r="F2145">
        <v>3</v>
      </c>
      <c r="G2145" t="str">
        <f>VLOOKUP(D2145,Товары!A:I,3,0)</f>
        <v>Тумба с раковиной  навес. Альба 800 мята 1 ящик с умыв. Слим</v>
      </c>
      <c r="H2145">
        <f>VLOOKUP(D2145,Товары!A:I,6,0)</f>
        <v>45</v>
      </c>
      <c r="I2145" t="str">
        <f>VLOOKUP(C2145,Магазины!A:C,3,0)</f>
        <v>Оренбург</v>
      </c>
      <c r="J2145">
        <f>VLOOKUP(D2145,Товары!A:I,4,0)</f>
        <v>21630</v>
      </c>
      <c r="K2145">
        <f t="shared" si="33"/>
        <v>64890</v>
      </c>
    </row>
    <row r="2146" spans="1:11" hidden="1" x14ac:dyDescent="0.25">
      <c r="A2146">
        <v>2145</v>
      </c>
      <c r="B2146" s="1">
        <v>45751</v>
      </c>
      <c r="C2146" t="s">
        <v>43</v>
      </c>
      <c r="D2146" t="s">
        <v>45</v>
      </c>
      <c r="E2146" t="s">
        <v>13</v>
      </c>
      <c r="F2146">
        <v>1</v>
      </c>
      <c r="G2146" t="str">
        <f>VLOOKUP(D2146,Товары!A:I,3,0)</f>
        <v>Зеркальный шкаф Рица 80 со светильником правый цвет cерый/керамика</v>
      </c>
      <c r="H2146">
        <f>VLOOKUP(D2146,Товары!A:I,6,0)</f>
        <v>75</v>
      </c>
      <c r="I2146" t="str">
        <f>VLOOKUP(C2146,Магазины!A:C,3,0)</f>
        <v>Набережные Челны</v>
      </c>
      <c r="J2146">
        <f>VLOOKUP(D2146,Товары!A:I,4,0)</f>
        <v>9930</v>
      </c>
      <c r="K2146">
        <f t="shared" si="33"/>
        <v>9930</v>
      </c>
    </row>
    <row r="2147" spans="1:11" hidden="1" x14ac:dyDescent="0.25">
      <c r="A2147">
        <v>2146</v>
      </c>
      <c r="B2147" s="1">
        <v>45750</v>
      </c>
      <c r="C2147" t="s">
        <v>43</v>
      </c>
      <c r="D2147" t="s">
        <v>119</v>
      </c>
      <c r="E2147" t="s">
        <v>8</v>
      </c>
      <c r="F2147">
        <v>1</v>
      </c>
      <c r="G2147" t="str">
        <f>VLOOKUP(D2147,Товары!A:I,3,0)</f>
        <v>Пенал навес./напол. Рица 350 cерый/керамика 2 двери</v>
      </c>
      <c r="H2147">
        <f>VLOOKUP(D2147,Товары!A:I,6,0)</f>
        <v>160</v>
      </c>
      <c r="I2147" t="str">
        <f>VLOOKUP(C2147,Магазины!A:C,3,0)</f>
        <v>Набережные Челны</v>
      </c>
      <c r="J2147">
        <f>VLOOKUP(D2147,Товары!A:I,4,0)</f>
        <v>11250</v>
      </c>
      <c r="K2147">
        <f t="shared" si="33"/>
        <v>11250</v>
      </c>
    </row>
    <row r="2148" spans="1:11" hidden="1" x14ac:dyDescent="0.25">
      <c r="A2148">
        <v>2147</v>
      </c>
      <c r="B2148" s="1">
        <v>45756</v>
      </c>
      <c r="C2148" t="s">
        <v>30</v>
      </c>
      <c r="D2148" t="s">
        <v>124</v>
      </c>
      <c r="E2148" t="s">
        <v>13</v>
      </c>
      <c r="F2148">
        <v>2</v>
      </c>
      <c r="G2148" t="str">
        <f>VLOOKUP(D2148,Товары!A:I,3,0)</f>
        <v>Тумба с раковиной  напол. Леон 600 оникс 2 ящика с умыв. Океан</v>
      </c>
      <c r="H2148">
        <f>VLOOKUP(D2148,Товары!A:I,6,0)</f>
        <v>80</v>
      </c>
      <c r="I2148" t="str">
        <f>VLOOKUP(C2148,Магазины!A:C,3,0)</f>
        <v>Кемерово</v>
      </c>
      <c r="J2148">
        <f>VLOOKUP(D2148,Товары!A:I,4,0)</f>
        <v>25860</v>
      </c>
      <c r="K2148">
        <f t="shared" si="33"/>
        <v>51720</v>
      </c>
    </row>
    <row r="2149" spans="1:11" hidden="1" x14ac:dyDescent="0.25">
      <c r="A2149">
        <v>2148</v>
      </c>
      <c r="B2149" s="1">
        <v>45754</v>
      </c>
      <c r="C2149" t="s">
        <v>22</v>
      </c>
      <c r="D2149" t="s">
        <v>52</v>
      </c>
      <c r="E2149" t="s">
        <v>13</v>
      </c>
      <c r="F2149">
        <v>2</v>
      </c>
      <c r="G2149" t="str">
        <f>VLOOKUP(D2149,Товары!A:I,3,0)</f>
        <v>Тумба с раковиной  напол. Кристалл 600 суфле 2 ящика с умыв. Океан</v>
      </c>
      <c r="H2149">
        <f>VLOOKUP(D2149,Товары!A:I,6,0)</f>
        <v>80</v>
      </c>
      <c r="I2149" t="str">
        <f>VLOOKUP(C2149,Магазины!A:C,3,0)</f>
        <v>Кемерово</v>
      </c>
      <c r="J2149">
        <f>VLOOKUP(D2149,Товары!A:I,4,0)</f>
        <v>27600</v>
      </c>
      <c r="K2149">
        <f t="shared" si="33"/>
        <v>55200</v>
      </c>
    </row>
    <row r="2150" spans="1:11" hidden="1" x14ac:dyDescent="0.25">
      <c r="A2150">
        <v>2149</v>
      </c>
      <c r="B2150" s="1">
        <v>45750</v>
      </c>
      <c r="C2150" t="s">
        <v>14</v>
      </c>
      <c r="D2150" t="s">
        <v>19</v>
      </c>
      <c r="E2150" t="s">
        <v>13</v>
      </c>
      <c r="F2150">
        <v>1</v>
      </c>
      <c r="G2150" t="str">
        <f>VLOOKUP(D2150,Товары!A:I,3,0)</f>
        <v>Тумба с раковиной  навес. Леон 800 оникс 2 ящика с умыв. Слим</v>
      </c>
      <c r="H2150">
        <f>VLOOKUP(D2150,Товары!A:I,6,0)</f>
        <v>60</v>
      </c>
      <c r="I2150" t="str">
        <f>VLOOKUP(C2150,Магазины!A:C,3,0)</f>
        <v>Оренбург</v>
      </c>
      <c r="J2150">
        <f>VLOOKUP(D2150,Товары!A:I,4,0)</f>
        <v>27930</v>
      </c>
      <c r="K2150">
        <f t="shared" si="33"/>
        <v>27930</v>
      </c>
    </row>
    <row r="2151" spans="1:11" hidden="1" x14ac:dyDescent="0.25">
      <c r="A2151">
        <v>2150</v>
      </c>
      <c r="B2151" s="1">
        <v>45748</v>
      </c>
      <c r="C2151" t="s">
        <v>9</v>
      </c>
      <c r="D2151" t="s">
        <v>65</v>
      </c>
      <c r="E2151" t="s">
        <v>13</v>
      </c>
      <c r="F2151">
        <v>3</v>
      </c>
      <c r="G2151" t="str">
        <f>VLOOKUP(D2151,Товары!A:I,3,0)</f>
        <v>Тумба с раковиной  навес. Альба 800 суфле 2 ящика с умыв. Слим</v>
      </c>
      <c r="H2151">
        <f>VLOOKUP(D2151,Товары!A:I,6,0)</f>
        <v>50</v>
      </c>
      <c r="I2151" t="str">
        <f>VLOOKUP(C2151,Магазины!A:C,3,0)</f>
        <v>Кемерово</v>
      </c>
      <c r="J2151">
        <f>VLOOKUP(D2151,Товары!A:I,4,0)</f>
        <v>26070</v>
      </c>
      <c r="K2151">
        <f t="shared" si="33"/>
        <v>78210</v>
      </c>
    </row>
    <row r="2152" spans="1:11" hidden="1" x14ac:dyDescent="0.25">
      <c r="A2152">
        <v>2151</v>
      </c>
      <c r="B2152" s="1">
        <v>45753</v>
      </c>
      <c r="C2152" t="s">
        <v>92</v>
      </c>
      <c r="D2152" t="s">
        <v>12</v>
      </c>
      <c r="E2152" t="s">
        <v>8</v>
      </c>
      <c r="F2152">
        <v>2</v>
      </c>
      <c r="G2152" t="str">
        <f>VLOOKUP(D2152,Товары!A:I,3,0)</f>
        <v>Тумба с раковиной  напол. Сохо 700 белый 2 двери с умыв. Слим</v>
      </c>
      <c r="H2152">
        <f>VLOOKUP(D2152,Товары!A:I,6,0)</f>
        <v>85</v>
      </c>
      <c r="I2152" t="str">
        <f>VLOOKUP(C2152,Магазины!A:C,3,0)</f>
        <v>Кемерово</v>
      </c>
      <c r="J2152">
        <f>VLOOKUP(D2152,Товары!A:I,4,0)</f>
        <v>17160</v>
      </c>
      <c r="K2152">
        <f t="shared" si="33"/>
        <v>34320</v>
      </c>
    </row>
    <row r="2153" spans="1:11" hidden="1" x14ac:dyDescent="0.25">
      <c r="A2153">
        <v>2152</v>
      </c>
      <c r="B2153" s="1">
        <v>45755</v>
      </c>
      <c r="C2153" t="s">
        <v>63</v>
      </c>
      <c r="D2153" t="s">
        <v>127</v>
      </c>
      <c r="E2153" t="s">
        <v>8</v>
      </c>
      <c r="F2153">
        <v>2</v>
      </c>
      <c r="G2153" t="str">
        <f>VLOOKUP(D2153,Товары!A:I,3,0)</f>
        <v>Тумба с раковиной  навес. Альба 700 мята 1 ящик с умыв. Слим</v>
      </c>
      <c r="H2153">
        <f>VLOOKUP(D2153,Товары!A:I,6,0)</f>
        <v>45</v>
      </c>
      <c r="I2153" t="str">
        <f>VLOOKUP(C2153,Магазины!A:C,3,0)</f>
        <v>Ставрополь</v>
      </c>
      <c r="J2153">
        <f>VLOOKUP(D2153,Товары!A:I,4,0)</f>
        <v>20130</v>
      </c>
      <c r="K2153">
        <f t="shared" si="33"/>
        <v>40260</v>
      </c>
    </row>
    <row r="2154" spans="1:11" hidden="1" x14ac:dyDescent="0.25">
      <c r="A2154">
        <v>2153</v>
      </c>
      <c r="B2154" s="1">
        <v>45757</v>
      </c>
      <c r="C2154" t="s">
        <v>41</v>
      </c>
      <c r="D2154" t="s">
        <v>78</v>
      </c>
      <c r="E2154" t="s">
        <v>13</v>
      </c>
      <c r="F2154">
        <v>1</v>
      </c>
      <c r="G2154" t="str">
        <f>VLOOKUP(D2154,Товары!A:I,3,0)</f>
        <v>Зеркальный шкаф Кристалл 70 со светильником правый, ручка кнопка дуб цвет Шато Азур</v>
      </c>
      <c r="H2154">
        <f>VLOOKUP(D2154,Товары!A:I,6,0)</f>
        <v>75</v>
      </c>
      <c r="I2154" t="str">
        <f>VLOOKUP(C2154,Магазины!A:C,3,0)</f>
        <v>Ставрополь</v>
      </c>
      <c r="J2154">
        <f>VLOOKUP(D2154,Товары!A:I,4,0)</f>
        <v>9615</v>
      </c>
      <c r="K2154">
        <f t="shared" si="33"/>
        <v>9615</v>
      </c>
    </row>
    <row r="2155" spans="1:11" hidden="1" x14ac:dyDescent="0.25">
      <c r="A2155">
        <v>2154</v>
      </c>
      <c r="B2155" s="1">
        <v>45752</v>
      </c>
      <c r="C2155" t="s">
        <v>22</v>
      </c>
      <c r="D2155" t="s">
        <v>129</v>
      </c>
      <c r="E2155" t="s">
        <v>13</v>
      </c>
      <c r="F2155">
        <v>2</v>
      </c>
      <c r="G2155" t="str">
        <f>VLOOKUP(D2155,Товары!A:I,3,0)</f>
        <v>Тумба с раковиной  напол. Альба 700 антрацит 2 ящика с умыв. Слим</v>
      </c>
      <c r="H2155">
        <f>VLOOKUP(D2155,Товары!A:I,6,0)</f>
        <v>85</v>
      </c>
      <c r="I2155" t="str">
        <f>VLOOKUP(C2155,Магазины!A:C,3,0)</f>
        <v>Кемерово</v>
      </c>
      <c r="J2155">
        <f>VLOOKUP(D2155,Товары!A:I,4,0)</f>
        <v>28695</v>
      </c>
      <c r="K2155">
        <f t="shared" si="33"/>
        <v>57390</v>
      </c>
    </row>
    <row r="2156" spans="1:11" hidden="1" x14ac:dyDescent="0.25">
      <c r="A2156">
        <v>2155</v>
      </c>
      <c r="B2156" s="1">
        <v>45755</v>
      </c>
      <c r="C2156" t="s">
        <v>54</v>
      </c>
      <c r="D2156" t="s">
        <v>109</v>
      </c>
      <c r="E2156" t="s">
        <v>13</v>
      </c>
      <c r="F2156">
        <v>3</v>
      </c>
      <c r="G2156" t="str">
        <f>VLOOKUP(D2156,Товары!A:I,3,0)</f>
        <v>Тумба с раковиной  навес. Альба 600 антрацит 2 ящика с умыв. Океан</v>
      </c>
      <c r="H2156">
        <f>VLOOKUP(D2156,Товары!A:I,6,0)</f>
        <v>50</v>
      </c>
      <c r="I2156" t="str">
        <f>VLOOKUP(C2156,Магазины!A:C,3,0)</f>
        <v>Ставрополь</v>
      </c>
      <c r="J2156">
        <f>VLOOKUP(D2156,Товары!A:I,4,0)</f>
        <v>24810</v>
      </c>
      <c r="K2156">
        <f t="shared" si="33"/>
        <v>74430</v>
      </c>
    </row>
    <row r="2157" spans="1:11" hidden="1" x14ac:dyDescent="0.25">
      <c r="A2157">
        <v>2156</v>
      </c>
      <c r="B2157" s="1">
        <v>45757</v>
      </c>
      <c r="C2157" t="s">
        <v>43</v>
      </c>
      <c r="D2157" t="s">
        <v>66</v>
      </c>
      <c r="E2157" t="s">
        <v>8</v>
      </c>
      <c r="F2157">
        <v>2</v>
      </c>
      <c r="G2157" t="str">
        <f>VLOOKUP(D2157,Товары!A:I,3,0)</f>
        <v>Тумба с раковиной  навес. Альба 800 мята 2 ящика с умыв. Слим</v>
      </c>
      <c r="H2157">
        <f>VLOOKUP(D2157,Товары!A:I,6,0)</f>
        <v>50</v>
      </c>
      <c r="I2157" t="str">
        <f>VLOOKUP(C2157,Магазины!A:C,3,0)</f>
        <v>Набережные Челны</v>
      </c>
      <c r="J2157">
        <f>VLOOKUP(D2157,Товары!A:I,4,0)</f>
        <v>26070</v>
      </c>
      <c r="K2157">
        <f t="shared" si="33"/>
        <v>52140</v>
      </c>
    </row>
    <row r="2158" spans="1:11" hidden="1" x14ac:dyDescent="0.25">
      <c r="A2158">
        <v>2157</v>
      </c>
      <c r="B2158" s="1">
        <v>45751</v>
      </c>
      <c r="C2158" t="s">
        <v>41</v>
      </c>
      <c r="D2158" t="s">
        <v>123</v>
      </c>
      <c r="E2158" t="s">
        <v>13</v>
      </c>
      <c r="F2158">
        <v>2</v>
      </c>
      <c r="G2158" t="str">
        <f>VLOOKUP(D2158,Товары!A:I,3,0)</f>
        <v>Тумба с раковиной  напол. Кристалл 800 суфле 2 ящика с умыв. Слим</v>
      </c>
      <c r="H2158">
        <f>VLOOKUP(D2158,Товары!A:I,6,0)</f>
        <v>80</v>
      </c>
      <c r="I2158" t="str">
        <f>VLOOKUP(C2158,Магазины!A:C,3,0)</f>
        <v>Ставрополь</v>
      </c>
      <c r="J2158">
        <f>VLOOKUP(D2158,Товары!A:I,4,0)</f>
        <v>31125</v>
      </c>
      <c r="K2158">
        <f t="shared" si="33"/>
        <v>62250</v>
      </c>
    </row>
    <row r="2159" spans="1:11" hidden="1" x14ac:dyDescent="0.25">
      <c r="A2159">
        <v>2158</v>
      </c>
      <c r="B2159" s="1">
        <v>45751</v>
      </c>
      <c r="C2159" t="s">
        <v>57</v>
      </c>
      <c r="D2159" t="s">
        <v>91</v>
      </c>
      <c r="E2159" t="s">
        <v>13</v>
      </c>
      <c r="F2159">
        <v>1</v>
      </c>
      <c r="G2159" t="str">
        <f>VLOOKUP(D2159,Товары!A:I,3,0)</f>
        <v>Пенал навес./напол. Альба 350 мята 2 двери</v>
      </c>
      <c r="H2159">
        <f>VLOOKUP(D2159,Товары!A:I,6,0)</f>
        <v>150</v>
      </c>
      <c r="I2159" t="str">
        <f>VLOOKUP(C2159,Магазины!A:C,3,0)</f>
        <v>Оренбург</v>
      </c>
      <c r="J2159">
        <f>VLOOKUP(D2159,Товары!A:I,4,0)</f>
        <v>11655</v>
      </c>
      <c r="K2159">
        <f t="shared" si="33"/>
        <v>11655</v>
      </c>
    </row>
    <row r="2160" spans="1:11" hidden="1" x14ac:dyDescent="0.25">
      <c r="A2160">
        <v>2159</v>
      </c>
      <c r="B2160" s="1">
        <v>45748</v>
      </c>
      <c r="C2160" t="s">
        <v>16</v>
      </c>
      <c r="D2160" t="s">
        <v>81</v>
      </c>
      <c r="E2160" t="s">
        <v>8</v>
      </c>
      <c r="F2160">
        <v>2</v>
      </c>
      <c r="G2160" t="str">
        <f>VLOOKUP(D2160,Товары!A:I,3,0)</f>
        <v>Тумба с раковиной  навес. Рица 600 cерый/керамика 1 ящик + ниша 1 с умыв. Океан</v>
      </c>
      <c r="H2160">
        <f>VLOOKUP(D2160,Товары!A:I,6,0)</f>
        <v>60</v>
      </c>
      <c r="I2160" t="str">
        <f>VLOOKUP(C2160,Магазины!A:C,3,0)</f>
        <v>Оренбург</v>
      </c>
      <c r="J2160">
        <f>VLOOKUP(D2160,Товары!A:I,4,0)</f>
        <v>18900</v>
      </c>
      <c r="K2160">
        <f t="shared" si="33"/>
        <v>37800</v>
      </c>
    </row>
    <row r="2161" spans="1:11" hidden="1" x14ac:dyDescent="0.25">
      <c r="A2161">
        <v>2160</v>
      </c>
      <c r="B2161" s="1">
        <v>45757</v>
      </c>
      <c r="C2161" t="s">
        <v>92</v>
      </c>
      <c r="D2161" t="s">
        <v>53</v>
      </c>
      <c r="E2161" t="s">
        <v>13</v>
      </c>
      <c r="F2161">
        <v>1</v>
      </c>
      <c r="G2161" t="str">
        <f>VLOOKUP(D2161,Товары!A:I,3,0)</f>
        <v>Тумба с раковиной  напол. Кристалл 600 шато азур 2 ящика с умыв. Океан</v>
      </c>
      <c r="H2161">
        <f>VLOOKUP(D2161,Товары!A:I,6,0)</f>
        <v>85</v>
      </c>
      <c r="I2161" t="str">
        <f>VLOOKUP(C2161,Магазины!A:C,3,0)</f>
        <v>Кемерово</v>
      </c>
      <c r="J2161">
        <f>VLOOKUP(D2161,Товары!A:I,4,0)</f>
        <v>27600</v>
      </c>
      <c r="K2161">
        <f t="shared" si="33"/>
        <v>27600</v>
      </c>
    </row>
    <row r="2162" spans="1:11" hidden="1" x14ac:dyDescent="0.25">
      <c r="A2162">
        <v>2161</v>
      </c>
      <c r="B2162" s="1">
        <v>45757</v>
      </c>
      <c r="C2162" t="s">
        <v>58</v>
      </c>
      <c r="D2162" t="s">
        <v>25</v>
      </c>
      <c r="E2162" t="s">
        <v>13</v>
      </c>
      <c r="F2162">
        <v>2</v>
      </c>
      <c r="G2162" t="str">
        <f>VLOOKUP(D2162,Товары!A:I,3,0)</f>
        <v>Пенал напол. Леон 400 оникс 2 двери + 1 ящик</v>
      </c>
      <c r="H2162">
        <f>VLOOKUP(D2162,Товары!A:I,6,0)</f>
        <v>190</v>
      </c>
      <c r="I2162" t="str">
        <f>VLOOKUP(C2162,Магазины!A:C,3,0)</f>
        <v>Ставрополь</v>
      </c>
      <c r="J2162">
        <f>VLOOKUP(D2162,Товары!A:I,4,0)</f>
        <v>18450</v>
      </c>
      <c r="K2162">
        <f t="shared" si="33"/>
        <v>36900</v>
      </c>
    </row>
    <row r="2163" spans="1:11" hidden="1" x14ac:dyDescent="0.25">
      <c r="A2163">
        <v>2162</v>
      </c>
      <c r="B2163" s="1">
        <v>45754</v>
      </c>
      <c r="C2163" t="s">
        <v>28</v>
      </c>
      <c r="D2163" t="s">
        <v>114</v>
      </c>
      <c r="E2163" t="s">
        <v>13</v>
      </c>
      <c r="F2163">
        <v>3</v>
      </c>
      <c r="G2163" t="str">
        <f>VLOOKUP(D2163,Товары!A:I,3,0)</f>
        <v>Тумба с раковиной  навес. Альба 700 мята 2 ящика с умыв. Слим</v>
      </c>
      <c r="H2163">
        <f>VLOOKUP(D2163,Товары!A:I,6,0)</f>
        <v>60</v>
      </c>
      <c r="I2163" t="str">
        <f>VLOOKUP(C2163,Магазины!A:C,3,0)</f>
        <v>Набережные Челны</v>
      </c>
      <c r="J2163">
        <f>VLOOKUP(D2163,Товары!A:I,4,0)</f>
        <v>25095</v>
      </c>
      <c r="K2163">
        <f t="shared" si="33"/>
        <v>75285</v>
      </c>
    </row>
    <row r="2164" spans="1:11" hidden="1" x14ac:dyDescent="0.25">
      <c r="A2164">
        <v>2163</v>
      </c>
      <c r="B2164" s="1">
        <v>45752</v>
      </c>
      <c r="C2164" t="s">
        <v>18</v>
      </c>
      <c r="D2164" t="s">
        <v>125</v>
      </c>
      <c r="E2164" t="s">
        <v>8</v>
      </c>
      <c r="F2164">
        <v>1</v>
      </c>
      <c r="G2164" t="str">
        <f>VLOOKUP(D2164,Товары!A:I,3,0)</f>
        <v>Зеркальный шкаф Сохо 60 белый со светильником правый цвет Белый глянец</v>
      </c>
      <c r="H2164">
        <f>VLOOKUP(D2164,Товары!A:I,6,0)</f>
        <v>75</v>
      </c>
      <c r="I2164" t="str">
        <f>VLOOKUP(C2164,Магазины!A:C,3,0)</f>
        <v>Набережные Челны</v>
      </c>
      <c r="J2164">
        <f>VLOOKUP(D2164,Товары!A:I,4,0)</f>
        <v>7395</v>
      </c>
      <c r="K2164">
        <f t="shared" si="33"/>
        <v>7395</v>
      </c>
    </row>
    <row r="2165" spans="1:11" hidden="1" x14ac:dyDescent="0.25">
      <c r="A2165">
        <v>2164</v>
      </c>
      <c r="B2165" s="1">
        <v>45756</v>
      </c>
      <c r="C2165" t="s">
        <v>63</v>
      </c>
      <c r="D2165" t="s">
        <v>32</v>
      </c>
      <c r="E2165" t="s">
        <v>8</v>
      </c>
      <c r="F2165">
        <v>3</v>
      </c>
      <c r="G2165" t="str">
        <f>VLOOKUP(D2165,Товары!A:I,3,0)</f>
        <v>Тумба с раковиной  напол. Леон Риф 700 солярис/белый риф 2 ящика с умыв. Слим</v>
      </c>
      <c r="H2165">
        <f>VLOOKUP(D2165,Товары!A:I,6,0)</f>
        <v>85</v>
      </c>
      <c r="I2165" t="str">
        <f>VLOOKUP(C2165,Магазины!A:C,3,0)</f>
        <v>Ставрополь</v>
      </c>
      <c r="J2165">
        <f>VLOOKUP(D2165,Товары!A:I,4,0)</f>
        <v>26460</v>
      </c>
      <c r="K2165">
        <f t="shared" si="33"/>
        <v>79380</v>
      </c>
    </row>
    <row r="2166" spans="1:11" hidden="1" x14ac:dyDescent="0.25">
      <c r="A2166">
        <v>2165</v>
      </c>
      <c r="B2166" s="1">
        <v>45753</v>
      </c>
      <c r="C2166" t="s">
        <v>28</v>
      </c>
      <c r="D2166" t="s">
        <v>27</v>
      </c>
      <c r="E2166" t="s">
        <v>8</v>
      </c>
      <c r="F2166">
        <v>2</v>
      </c>
      <c r="G2166" t="str">
        <f>VLOOKUP(D2166,Товары!A:I,3,0)</f>
        <v>Тумба с раковиной  навес. Виктория 800 белый 2 ящика с умыв. Слим</v>
      </c>
      <c r="H2166">
        <f>VLOOKUP(D2166,Товары!A:I,6,0)</f>
        <v>60</v>
      </c>
      <c r="I2166" t="str">
        <f>VLOOKUP(C2166,Магазины!A:C,3,0)</f>
        <v>Набережные Челны</v>
      </c>
      <c r="J2166">
        <f>VLOOKUP(D2166,Товары!A:I,4,0)</f>
        <v>25290</v>
      </c>
      <c r="K2166">
        <f t="shared" si="33"/>
        <v>50580</v>
      </c>
    </row>
    <row r="2167" spans="1:11" hidden="1" x14ac:dyDescent="0.25">
      <c r="A2167">
        <v>2166</v>
      </c>
      <c r="B2167" s="1">
        <v>45749</v>
      </c>
      <c r="C2167" t="s">
        <v>6</v>
      </c>
      <c r="D2167" t="s">
        <v>125</v>
      </c>
      <c r="E2167" t="s">
        <v>8</v>
      </c>
      <c r="F2167">
        <v>3</v>
      </c>
      <c r="G2167" t="str">
        <f>VLOOKUP(D2167,Товары!A:I,3,0)</f>
        <v>Зеркальный шкаф Сохо 60 белый со светильником правый цвет Белый глянец</v>
      </c>
      <c r="H2167">
        <f>VLOOKUP(D2167,Товары!A:I,6,0)</f>
        <v>75</v>
      </c>
      <c r="I2167" t="str">
        <f>VLOOKUP(C2167,Магазины!A:C,3,0)</f>
        <v>Оренбург</v>
      </c>
      <c r="J2167">
        <f>VLOOKUP(D2167,Товары!A:I,4,0)</f>
        <v>7395</v>
      </c>
      <c r="K2167">
        <f t="shared" si="33"/>
        <v>22185</v>
      </c>
    </row>
    <row r="2168" spans="1:11" hidden="1" x14ac:dyDescent="0.25">
      <c r="A2168">
        <v>2167</v>
      </c>
      <c r="B2168" s="1">
        <v>45755</v>
      </c>
      <c r="C2168" t="s">
        <v>57</v>
      </c>
      <c r="D2168" t="s">
        <v>127</v>
      </c>
      <c r="E2168" t="s">
        <v>13</v>
      </c>
      <c r="F2168">
        <v>2</v>
      </c>
      <c r="G2168" t="str">
        <f>VLOOKUP(D2168,Товары!A:I,3,0)</f>
        <v>Тумба с раковиной  навес. Альба 700 мята 1 ящик с умыв. Слим</v>
      </c>
      <c r="H2168">
        <f>VLOOKUP(D2168,Товары!A:I,6,0)</f>
        <v>45</v>
      </c>
      <c r="I2168" t="str">
        <f>VLOOKUP(C2168,Магазины!A:C,3,0)</f>
        <v>Оренбург</v>
      </c>
      <c r="J2168">
        <f>VLOOKUP(D2168,Товары!A:I,4,0)</f>
        <v>20130</v>
      </c>
      <c r="K2168">
        <f t="shared" si="33"/>
        <v>40260</v>
      </c>
    </row>
    <row r="2169" spans="1:11" hidden="1" x14ac:dyDescent="0.25">
      <c r="A2169">
        <v>2168</v>
      </c>
      <c r="B2169" s="1">
        <v>45756</v>
      </c>
      <c r="C2169" t="s">
        <v>11</v>
      </c>
      <c r="D2169" t="s">
        <v>74</v>
      </c>
      <c r="E2169" t="s">
        <v>13</v>
      </c>
      <c r="F2169">
        <v>1</v>
      </c>
      <c r="G2169" t="str">
        <f>VLOOKUP(D2169,Товары!A:I,3,0)</f>
        <v>Тумба с раковиной  напол. Альба 800 суфле 2 ящика с умыв. Слим</v>
      </c>
      <c r="H2169">
        <f>VLOOKUP(D2169,Товары!A:I,6,0)</f>
        <v>80</v>
      </c>
      <c r="I2169" t="str">
        <f>VLOOKUP(C2169,Магазины!A:C,3,0)</f>
        <v>Кемерово</v>
      </c>
      <c r="J2169">
        <f>VLOOKUP(D2169,Товары!A:I,4,0)</f>
        <v>29340</v>
      </c>
      <c r="K2169">
        <f t="shared" si="33"/>
        <v>29340</v>
      </c>
    </row>
    <row r="2170" spans="1:11" hidden="1" x14ac:dyDescent="0.25">
      <c r="A2170">
        <v>2169</v>
      </c>
      <c r="B2170" s="1">
        <v>45752</v>
      </c>
      <c r="C2170" t="s">
        <v>35</v>
      </c>
      <c r="D2170" t="s">
        <v>113</v>
      </c>
      <c r="E2170" t="s">
        <v>8</v>
      </c>
      <c r="F2170">
        <v>1</v>
      </c>
      <c r="G2170" t="str">
        <f>VLOOKUP(D2170,Товары!A:I,3,0)</f>
        <v>Зеркальный шкаф Альба 60 со светильником правый цвет мята</v>
      </c>
      <c r="H2170">
        <f>VLOOKUP(D2170,Товары!A:I,6,0)</f>
        <v>75</v>
      </c>
      <c r="I2170" t="str">
        <f>VLOOKUP(C2170,Магазины!A:C,3,0)</f>
        <v>Набережные Челны</v>
      </c>
      <c r="J2170">
        <f>VLOOKUP(D2170,Товары!A:I,4,0)</f>
        <v>8910</v>
      </c>
      <c r="K2170">
        <f t="shared" si="33"/>
        <v>8910</v>
      </c>
    </row>
    <row r="2171" spans="1:11" hidden="1" x14ac:dyDescent="0.25">
      <c r="A2171">
        <v>2170</v>
      </c>
      <c r="B2171" s="1">
        <v>45754</v>
      </c>
      <c r="C2171" t="s">
        <v>103</v>
      </c>
      <c r="D2171" t="s">
        <v>27</v>
      </c>
      <c r="E2171" t="s">
        <v>13</v>
      </c>
      <c r="F2171">
        <v>2</v>
      </c>
      <c r="G2171" t="str">
        <f>VLOOKUP(D2171,Товары!A:I,3,0)</f>
        <v>Тумба с раковиной  навес. Виктория 800 белый 2 ящика с умыв. Слим</v>
      </c>
      <c r="H2171">
        <f>VLOOKUP(D2171,Товары!A:I,6,0)</f>
        <v>60</v>
      </c>
      <c r="I2171" t="str">
        <f>VLOOKUP(C2171,Магазины!A:C,3,0)</f>
        <v>Ставрополь</v>
      </c>
      <c r="J2171">
        <f>VLOOKUP(D2171,Товары!A:I,4,0)</f>
        <v>25290</v>
      </c>
      <c r="K2171">
        <f t="shared" si="33"/>
        <v>50580</v>
      </c>
    </row>
    <row r="2172" spans="1:11" hidden="1" x14ac:dyDescent="0.25">
      <c r="A2172">
        <v>2171</v>
      </c>
      <c r="B2172" s="1">
        <v>45749</v>
      </c>
      <c r="C2172" t="s">
        <v>111</v>
      </c>
      <c r="D2172" t="s">
        <v>44</v>
      </c>
      <c r="E2172" t="s">
        <v>8</v>
      </c>
      <c r="F2172">
        <v>3</v>
      </c>
      <c r="G2172" t="str">
        <f>VLOOKUP(D2172,Товары!A:I,3,0)</f>
        <v>Тумба с раковиной  навес. Кристалл 800 шато азур 2 ящика с умыв. Комфорт</v>
      </c>
      <c r="H2172">
        <f>VLOOKUP(D2172,Товары!A:I,6,0)</f>
        <v>55</v>
      </c>
      <c r="I2172" t="str">
        <f>VLOOKUP(C2172,Магазины!A:C,3,0)</f>
        <v>Набережные Челны</v>
      </c>
      <c r="J2172">
        <f>VLOOKUP(D2172,Товары!A:I,4,0)</f>
        <v>25080</v>
      </c>
      <c r="K2172">
        <f t="shared" si="33"/>
        <v>75240</v>
      </c>
    </row>
    <row r="2173" spans="1:11" hidden="1" x14ac:dyDescent="0.25">
      <c r="A2173">
        <v>2172</v>
      </c>
      <c r="B2173" s="1">
        <v>45754</v>
      </c>
      <c r="C2173" t="s">
        <v>35</v>
      </c>
      <c r="D2173" t="s">
        <v>102</v>
      </c>
      <c r="E2173" t="s">
        <v>8</v>
      </c>
      <c r="F2173">
        <v>2</v>
      </c>
      <c r="G2173" t="str">
        <f>VLOOKUP(D2173,Товары!A:I,3,0)</f>
        <v>Тумба с раковиной  напол. Леон Риф 1000 солярис/белый риф 2 ящика с умыв. Слим</v>
      </c>
      <c r="H2173">
        <f>VLOOKUP(D2173,Товары!A:I,6,0)</f>
        <v>85</v>
      </c>
      <c r="I2173" t="str">
        <f>VLOOKUP(C2173,Магазины!A:C,3,0)</f>
        <v>Набережные Челны</v>
      </c>
      <c r="J2173">
        <f>VLOOKUP(D2173,Товары!A:I,4,0)</f>
        <v>32085</v>
      </c>
      <c r="K2173">
        <f t="shared" si="33"/>
        <v>64170</v>
      </c>
    </row>
    <row r="2174" spans="1:11" hidden="1" x14ac:dyDescent="0.25">
      <c r="A2174">
        <v>2173</v>
      </c>
      <c r="B2174" s="1">
        <v>45753</v>
      </c>
      <c r="C2174" t="s">
        <v>33</v>
      </c>
      <c r="D2174" t="s">
        <v>94</v>
      </c>
      <c r="E2174" t="s">
        <v>13</v>
      </c>
      <c r="F2174">
        <v>2</v>
      </c>
      <c r="G2174" t="str">
        <f>VLOOKUP(D2174,Товары!A:I,3,0)</f>
        <v>Зеркальный шкаф Альба 80 со светильником правый цвет антрацит</v>
      </c>
      <c r="H2174">
        <f>VLOOKUP(D2174,Товары!A:I,6,0)</f>
        <v>75</v>
      </c>
      <c r="I2174" t="str">
        <f>VLOOKUP(C2174,Магазины!A:C,3,0)</f>
        <v>Набережные Челны</v>
      </c>
      <c r="J2174">
        <f>VLOOKUP(D2174,Товары!A:I,4,0)</f>
        <v>9930</v>
      </c>
      <c r="K2174">
        <f t="shared" si="33"/>
        <v>19860</v>
      </c>
    </row>
    <row r="2175" spans="1:11" hidden="1" x14ac:dyDescent="0.25">
      <c r="A2175">
        <v>2174</v>
      </c>
      <c r="B2175" s="1">
        <v>45751</v>
      </c>
      <c r="C2175" t="s">
        <v>41</v>
      </c>
      <c r="D2175" t="s">
        <v>89</v>
      </c>
      <c r="E2175" t="s">
        <v>8</v>
      </c>
      <c r="F2175">
        <v>3</v>
      </c>
      <c r="G2175" t="str">
        <f>VLOOKUP(D2175,Товары!A:I,3,0)</f>
        <v>Тумба с раковиной  напол. Сохо 600 белый 2 двери с умыв. Океан</v>
      </c>
      <c r="H2175">
        <f>VLOOKUP(D2175,Товары!A:I,6,0)</f>
        <v>85</v>
      </c>
      <c r="I2175" t="str">
        <f>VLOOKUP(C2175,Магазины!A:C,3,0)</f>
        <v>Ставрополь</v>
      </c>
      <c r="J2175">
        <f>VLOOKUP(D2175,Товары!A:I,4,0)</f>
        <v>14880</v>
      </c>
      <c r="K2175">
        <f t="shared" si="33"/>
        <v>44640</v>
      </c>
    </row>
    <row r="2176" spans="1:11" hidden="1" x14ac:dyDescent="0.25">
      <c r="A2176">
        <v>2175</v>
      </c>
      <c r="B2176" s="1">
        <v>45752</v>
      </c>
      <c r="C2176" t="s">
        <v>103</v>
      </c>
      <c r="D2176" t="s">
        <v>49</v>
      </c>
      <c r="E2176" t="s">
        <v>8</v>
      </c>
      <c r="F2176">
        <v>2</v>
      </c>
      <c r="G2176" t="str">
        <f>VLOOKUP(D2176,Товары!A:I,3,0)</f>
        <v>Тумба с раковиной  напол. Леон 700 оникс 2 ящика с умыв. Слим</v>
      </c>
      <c r="H2176">
        <f>VLOOKUP(D2176,Товары!A:I,6,0)</f>
        <v>80</v>
      </c>
      <c r="I2176" t="str">
        <f>VLOOKUP(C2176,Магазины!A:C,3,0)</f>
        <v>Ставрополь</v>
      </c>
      <c r="J2176">
        <f>VLOOKUP(D2176,Товары!A:I,4,0)</f>
        <v>28380</v>
      </c>
      <c r="K2176">
        <f t="shared" si="33"/>
        <v>56760</v>
      </c>
    </row>
    <row r="2177" spans="1:11" hidden="1" x14ac:dyDescent="0.25">
      <c r="A2177">
        <v>2176</v>
      </c>
      <c r="B2177" s="1">
        <v>45753</v>
      </c>
      <c r="C2177" t="s">
        <v>20</v>
      </c>
      <c r="D2177" t="s">
        <v>42</v>
      </c>
      <c r="E2177" t="s">
        <v>13</v>
      </c>
      <c r="F2177">
        <v>2</v>
      </c>
      <c r="G2177" t="str">
        <f>VLOOKUP(D2177,Товары!A:I,3,0)</f>
        <v>Тумба под стиральную машину Леон Риф 57 подвесная 2 ящика под ст/маш, без умывальника /под Marshall 120 Солярис/Белый Риф</v>
      </c>
      <c r="H2177">
        <f>VLOOKUP(D2177,Товары!A:I,6,0)</f>
        <v>60</v>
      </c>
      <c r="I2177" t="str">
        <f>VLOOKUP(C2177,Магазины!A:C,3,0)</f>
        <v>Оренбург</v>
      </c>
      <c r="J2177">
        <f>VLOOKUP(D2177,Товары!A:I,4,0)</f>
        <v>15495</v>
      </c>
      <c r="K2177">
        <f t="shared" si="33"/>
        <v>30990</v>
      </c>
    </row>
    <row r="2178" spans="1:11" hidden="1" x14ac:dyDescent="0.25">
      <c r="A2178">
        <v>2177</v>
      </c>
      <c r="B2178" s="1">
        <v>45749</v>
      </c>
      <c r="C2178" t="s">
        <v>16</v>
      </c>
      <c r="D2178" t="s">
        <v>36</v>
      </c>
      <c r="E2178" t="s">
        <v>13</v>
      </c>
      <c r="F2178">
        <v>1</v>
      </c>
      <c r="G2178" t="str">
        <f>VLOOKUP(D2178,Товары!A:I,3,0)</f>
        <v>Тумба с раковиной  напол. Альба 800 мята 2 ящика с умыв. Слим</v>
      </c>
      <c r="H2178">
        <f>VLOOKUP(D2178,Товары!A:I,6,0)</f>
        <v>80</v>
      </c>
      <c r="I2178" t="str">
        <f>VLOOKUP(C2178,Магазины!A:C,3,0)</f>
        <v>Оренбург</v>
      </c>
      <c r="J2178">
        <f>VLOOKUP(D2178,Товары!A:I,4,0)</f>
        <v>29340</v>
      </c>
      <c r="K2178">
        <f t="shared" si="33"/>
        <v>29340</v>
      </c>
    </row>
    <row r="2179" spans="1:11" hidden="1" x14ac:dyDescent="0.25">
      <c r="A2179">
        <v>2178</v>
      </c>
      <c r="B2179" s="1">
        <v>45756</v>
      </c>
      <c r="C2179" t="s">
        <v>20</v>
      </c>
      <c r="D2179" t="s">
        <v>120</v>
      </c>
      <c r="E2179" t="s">
        <v>8</v>
      </c>
      <c r="F2179">
        <v>3</v>
      </c>
      <c r="G2179" t="str">
        <f>VLOOKUP(D2179,Товары!A:I,3,0)</f>
        <v>Зеркальный шкаф Альба 60 со светильником правый цвет антрацит</v>
      </c>
      <c r="H2179">
        <f>VLOOKUP(D2179,Товары!A:I,6,0)</f>
        <v>75</v>
      </c>
      <c r="I2179" t="str">
        <f>VLOOKUP(C2179,Магазины!A:C,3,0)</f>
        <v>Оренбург</v>
      </c>
      <c r="J2179">
        <f>VLOOKUP(D2179,Товары!A:I,4,0)</f>
        <v>8910</v>
      </c>
      <c r="K2179">
        <f t="shared" ref="K2179:K2242" si="34">J2179*F2179</f>
        <v>26730</v>
      </c>
    </row>
    <row r="2180" spans="1:11" hidden="1" x14ac:dyDescent="0.25">
      <c r="A2180">
        <v>2179</v>
      </c>
      <c r="B2180" s="1">
        <v>45749</v>
      </c>
      <c r="C2180" t="s">
        <v>18</v>
      </c>
      <c r="D2180" t="s">
        <v>55</v>
      </c>
      <c r="E2180" t="s">
        <v>8</v>
      </c>
      <c r="F2180">
        <v>3</v>
      </c>
      <c r="G2180" t="str">
        <f>VLOOKUP(D2180,Товары!A:I,3,0)</f>
        <v>Тумба с раковиной  напол. Рица 600 cерый/керамика 2 ящика с умыв. Океан</v>
      </c>
      <c r="H2180">
        <f>VLOOKUP(D2180,Товары!A:I,6,0)</f>
        <v>80</v>
      </c>
      <c r="I2180" t="str">
        <f>VLOOKUP(C2180,Магазины!A:C,3,0)</f>
        <v>Набережные Челны</v>
      </c>
      <c r="J2180">
        <f>VLOOKUP(D2180,Товары!A:I,4,0)</f>
        <v>25560</v>
      </c>
      <c r="K2180">
        <f t="shared" si="34"/>
        <v>76680</v>
      </c>
    </row>
    <row r="2181" spans="1:11" hidden="1" x14ac:dyDescent="0.25">
      <c r="A2181">
        <v>2180</v>
      </c>
      <c r="B2181" s="1">
        <v>45750</v>
      </c>
      <c r="C2181" t="s">
        <v>111</v>
      </c>
      <c r="D2181" t="s">
        <v>100</v>
      </c>
      <c r="E2181" t="s">
        <v>8</v>
      </c>
      <c r="F2181">
        <v>3</v>
      </c>
      <c r="G2181" t="str">
        <f>VLOOKUP(D2181,Товары!A:I,3,0)</f>
        <v>Тумба с раковиной  навес. Альба 800 мята 1 ящик с умыв. Слим</v>
      </c>
      <c r="H2181">
        <f>VLOOKUP(D2181,Товары!A:I,6,0)</f>
        <v>45</v>
      </c>
      <c r="I2181" t="str">
        <f>VLOOKUP(C2181,Магазины!A:C,3,0)</f>
        <v>Набережные Челны</v>
      </c>
      <c r="J2181">
        <f>VLOOKUP(D2181,Товары!A:I,4,0)</f>
        <v>21630</v>
      </c>
      <c r="K2181">
        <f t="shared" si="34"/>
        <v>64890</v>
      </c>
    </row>
    <row r="2182" spans="1:11" hidden="1" x14ac:dyDescent="0.25">
      <c r="A2182">
        <v>2181</v>
      </c>
      <c r="B2182" s="1">
        <v>45753</v>
      </c>
      <c r="C2182" t="s">
        <v>16</v>
      </c>
      <c r="D2182" t="s">
        <v>21</v>
      </c>
      <c r="E2182" t="s">
        <v>8</v>
      </c>
      <c r="F2182">
        <v>3</v>
      </c>
      <c r="G2182" t="str">
        <f>VLOOKUP(D2182,Товары!A:I,3,0)</f>
        <v>Зеркальный шкаф Рица 60 со светильником правый цвет cерый/керамика</v>
      </c>
      <c r="H2182">
        <f>VLOOKUP(D2182,Товары!A:I,6,0)</f>
        <v>75</v>
      </c>
      <c r="I2182" t="str">
        <f>VLOOKUP(C2182,Магазины!A:C,3,0)</f>
        <v>Оренбург</v>
      </c>
      <c r="J2182">
        <f>VLOOKUP(D2182,Товары!A:I,4,0)</f>
        <v>8910</v>
      </c>
      <c r="K2182">
        <f t="shared" si="34"/>
        <v>26730</v>
      </c>
    </row>
    <row r="2183" spans="1:11" hidden="1" x14ac:dyDescent="0.25">
      <c r="A2183">
        <v>2182</v>
      </c>
      <c r="B2183" s="1">
        <v>45750</v>
      </c>
      <c r="C2183" t="s">
        <v>111</v>
      </c>
      <c r="D2183" t="s">
        <v>116</v>
      </c>
      <c r="E2183" t="s">
        <v>8</v>
      </c>
      <c r="F2183">
        <v>1</v>
      </c>
      <c r="G2183" t="str">
        <f>VLOOKUP(D2183,Товары!A:I,3,0)</f>
        <v>Зеркало Нева 60 дуб/белый со светильником</v>
      </c>
      <c r="H2183">
        <f>VLOOKUP(D2183,Товары!A:I,6,0)</f>
        <v>80</v>
      </c>
      <c r="I2183" t="str">
        <f>VLOOKUP(C2183,Магазины!A:C,3,0)</f>
        <v>Набережные Челны</v>
      </c>
      <c r="J2183">
        <f>VLOOKUP(D2183,Товары!A:I,4,0)</f>
        <v>5100</v>
      </c>
      <c r="K2183">
        <f t="shared" si="34"/>
        <v>5100</v>
      </c>
    </row>
    <row r="2184" spans="1:11" hidden="1" x14ac:dyDescent="0.25">
      <c r="A2184">
        <v>2183</v>
      </c>
      <c r="B2184" s="1">
        <v>45753</v>
      </c>
      <c r="C2184" t="s">
        <v>111</v>
      </c>
      <c r="D2184" t="s">
        <v>72</v>
      </c>
      <c r="E2184" t="s">
        <v>8</v>
      </c>
      <c r="F2184">
        <v>2</v>
      </c>
      <c r="G2184" t="str">
        <f>VLOOKUP(D2184,Товары!A:I,3,0)</f>
        <v>Тумба с раковиной  напол. Сохо 600 белый 2 ящика с умыв. Океан</v>
      </c>
      <c r="H2184">
        <f>VLOOKUP(D2184,Товары!A:I,6,0)</f>
        <v>85</v>
      </c>
      <c r="I2184" t="str">
        <f>VLOOKUP(C2184,Магазины!A:C,3,0)</f>
        <v>Набережные Челны</v>
      </c>
      <c r="J2184">
        <f>VLOOKUP(D2184,Товары!A:I,4,0)</f>
        <v>16140</v>
      </c>
      <c r="K2184">
        <f t="shared" si="34"/>
        <v>32280</v>
      </c>
    </row>
    <row r="2185" spans="1:11" hidden="1" x14ac:dyDescent="0.25">
      <c r="A2185">
        <v>2184</v>
      </c>
      <c r="B2185" s="1">
        <v>45749</v>
      </c>
      <c r="C2185" t="s">
        <v>6</v>
      </c>
      <c r="D2185" t="s">
        <v>78</v>
      </c>
      <c r="E2185" t="s">
        <v>8</v>
      </c>
      <c r="F2185">
        <v>2</v>
      </c>
      <c r="G2185" t="str">
        <f>VLOOKUP(D2185,Товары!A:I,3,0)</f>
        <v>Зеркальный шкаф Кристалл 70 со светильником правый, ручка кнопка дуб цвет Шато Азур</v>
      </c>
      <c r="H2185">
        <f>VLOOKUP(D2185,Товары!A:I,6,0)</f>
        <v>75</v>
      </c>
      <c r="I2185" t="str">
        <f>VLOOKUP(C2185,Магазины!A:C,3,0)</f>
        <v>Оренбург</v>
      </c>
      <c r="J2185">
        <f>VLOOKUP(D2185,Товары!A:I,4,0)</f>
        <v>9615</v>
      </c>
      <c r="K2185">
        <f t="shared" si="34"/>
        <v>19230</v>
      </c>
    </row>
    <row r="2186" spans="1:11" hidden="1" x14ac:dyDescent="0.25">
      <c r="A2186">
        <v>2185</v>
      </c>
      <c r="B2186" s="1">
        <v>45748</v>
      </c>
      <c r="C2186" t="s">
        <v>111</v>
      </c>
      <c r="D2186" t="s">
        <v>124</v>
      </c>
      <c r="E2186" t="s">
        <v>8</v>
      </c>
      <c r="F2186">
        <v>3</v>
      </c>
      <c r="G2186" t="str">
        <f>VLOOKUP(D2186,Товары!A:I,3,0)</f>
        <v>Тумба с раковиной  напол. Леон 600 оникс 2 ящика с умыв. Океан</v>
      </c>
      <c r="H2186">
        <f>VLOOKUP(D2186,Товары!A:I,6,0)</f>
        <v>80</v>
      </c>
      <c r="I2186" t="str">
        <f>VLOOKUP(C2186,Магазины!A:C,3,0)</f>
        <v>Набережные Челны</v>
      </c>
      <c r="J2186">
        <f>VLOOKUP(D2186,Товары!A:I,4,0)</f>
        <v>25860</v>
      </c>
      <c r="K2186">
        <f t="shared" si="34"/>
        <v>77580</v>
      </c>
    </row>
    <row r="2187" spans="1:11" hidden="1" x14ac:dyDescent="0.25">
      <c r="A2187">
        <v>2186</v>
      </c>
      <c r="B2187" s="1">
        <v>45753</v>
      </c>
      <c r="C2187" t="s">
        <v>35</v>
      </c>
      <c r="D2187" t="s">
        <v>121</v>
      </c>
      <c r="E2187" t="s">
        <v>13</v>
      </c>
      <c r="F2187">
        <v>1</v>
      </c>
      <c r="G2187" t="str">
        <f>VLOOKUP(D2187,Товары!A:I,3,0)</f>
        <v>Тумба с раковиной  напол. Куба Риф 600 белый 2 двери с умыв. Como</v>
      </c>
      <c r="H2187">
        <f>VLOOKUP(D2187,Товары!A:I,6,0)</f>
        <v>85</v>
      </c>
      <c r="I2187" t="str">
        <f>VLOOKUP(C2187,Магазины!A:C,3,0)</f>
        <v>Набережные Челны</v>
      </c>
      <c r="J2187">
        <f>VLOOKUP(D2187,Товары!A:I,4,0)</f>
        <v>13695</v>
      </c>
      <c r="K2187">
        <f t="shared" si="34"/>
        <v>13695</v>
      </c>
    </row>
    <row r="2188" spans="1:11" hidden="1" x14ac:dyDescent="0.25">
      <c r="A2188">
        <v>2187</v>
      </c>
      <c r="B2188" s="1">
        <v>45753</v>
      </c>
      <c r="C2188" t="s">
        <v>57</v>
      </c>
      <c r="D2188" t="s">
        <v>109</v>
      </c>
      <c r="E2188" t="s">
        <v>13</v>
      </c>
      <c r="F2188">
        <v>2</v>
      </c>
      <c r="G2188" t="str">
        <f>VLOOKUP(D2188,Товары!A:I,3,0)</f>
        <v>Тумба с раковиной  навес. Альба 600 антрацит 2 ящика с умыв. Океан</v>
      </c>
      <c r="H2188">
        <f>VLOOKUP(D2188,Товары!A:I,6,0)</f>
        <v>50</v>
      </c>
      <c r="I2188" t="str">
        <f>VLOOKUP(C2188,Магазины!A:C,3,0)</f>
        <v>Оренбург</v>
      </c>
      <c r="J2188">
        <f>VLOOKUP(D2188,Товары!A:I,4,0)</f>
        <v>24810</v>
      </c>
      <c r="K2188">
        <f t="shared" si="34"/>
        <v>49620</v>
      </c>
    </row>
    <row r="2189" spans="1:11" hidden="1" x14ac:dyDescent="0.25">
      <c r="A2189">
        <v>2188</v>
      </c>
      <c r="B2189" s="1">
        <v>45755</v>
      </c>
      <c r="C2189" t="s">
        <v>28</v>
      </c>
      <c r="D2189" t="s">
        <v>131</v>
      </c>
      <c r="E2189" t="s">
        <v>8</v>
      </c>
      <c r="F2189">
        <v>1</v>
      </c>
      <c r="G2189" t="str">
        <f>VLOOKUP(D2189,Товары!A:I,3,0)</f>
        <v>Тумба с раковиной  напол. Леон 800 форест 2 ящика с умыв. Слим</v>
      </c>
      <c r="H2189">
        <f>VLOOKUP(D2189,Товары!A:I,6,0)</f>
        <v>80</v>
      </c>
      <c r="I2189" t="str">
        <f>VLOOKUP(C2189,Магазины!A:C,3,0)</f>
        <v>Набережные Челны</v>
      </c>
      <c r="J2189">
        <f>VLOOKUP(D2189,Товары!A:I,4,0)</f>
        <v>29400</v>
      </c>
      <c r="K2189">
        <f t="shared" si="34"/>
        <v>29400</v>
      </c>
    </row>
    <row r="2190" spans="1:11" hidden="1" x14ac:dyDescent="0.25">
      <c r="A2190">
        <v>2189</v>
      </c>
      <c r="B2190" s="1">
        <v>45748</v>
      </c>
      <c r="C2190" t="s">
        <v>54</v>
      </c>
      <c r="D2190" t="s">
        <v>112</v>
      </c>
      <c r="E2190" t="s">
        <v>8</v>
      </c>
      <c r="F2190">
        <v>2</v>
      </c>
      <c r="G2190" t="str">
        <f>VLOOKUP(D2190,Товары!A:I,3,0)</f>
        <v>Тумба с раковиной  напол. Аква 560 белый 2 двери с умыв. Уют</v>
      </c>
      <c r="H2190">
        <f>VLOOKUP(D2190,Товары!A:I,6,0)</f>
        <v>85</v>
      </c>
      <c r="I2190" t="str">
        <f>VLOOKUP(C2190,Магазины!A:C,3,0)</f>
        <v>Ставрополь</v>
      </c>
      <c r="J2190">
        <f>VLOOKUP(D2190,Товары!A:I,4,0)</f>
        <v>9330</v>
      </c>
      <c r="K2190">
        <f t="shared" si="34"/>
        <v>18660</v>
      </c>
    </row>
    <row r="2191" spans="1:11" hidden="1" x14ac:dyDescent="0.25">
      <c r="A2191">
        <v>2190</v>
      </c>
      <c r="B2191" s="1">
        <v>45753</v>
      </c>
      <c r="C2191" t="s">
        <v>41</v>
      </c>
      <c r="D2191" t="s">
        <v>25</v>
      </c>
      <c r="E2191" t="s">
        <v>8</v>
      </c>
      <c r="F2191">
        <v>1</v>
      </c>
      <c r="G2191" t="str">
        <f>VLOOKUP(D2191,Товары!A:I,3,0)</f>
        <v>Пенал напол. Леон 400 оникс 2 двери + 1 ящик</v>
      </c>
      <c r="H2191">
        <f>VLOOKUP(D2191,Товары!A:I,6,0)</f>
        <v>190</v>
      </c>
      <c r="I2191" t="str">
        <f>VLOOKUP(C2191,Магазины!A:C,3,0)</f>
        <v>Ставрополь</v>
      </c>
      <c r="J2191">
        <f>VLOOKUP(D2191,Товары!A:I,4,0)</f>
        <v>18450</v>
      </c>
      <c r="K2191">
        <f t="shared" si="34"/>
        <v>18450</v>
      </c>
    </row>
    <row r="2192" spans="1:11" hidden="1" x14ac:dyDescent="0.25">
      <c r="A2192">
        <v>2191</v>
      </c>
      <c r="B2192" s="1">
        <v>45753</v>
      </c>
      <c r="C2192" t="s">
        <v>14</v>
      </c>
      <c r="D2192" t="s">
        <v>71</v>
      </c>
      <c r="E2192" t="s">
        <v>13</v>
      </c>
      <c r="F2192">
        <v>2</v>
      </c>
      <c r="G2192" t="str">
        <f>VLOOKUP(D2192,Товары!A:I,3,0)</f>
        <v>Тумба с раковиной  навес. Альба 600 мята 2 ящика с умыв. Океан</v>
      </c>
      <c r="H2192">
        <f>VLOOKUP(D2192,Товары!A:I,6,0)</f>
        <v>50</v>
      </c>
      <c r="I2192" t="str">
        <f>VLOOKUP(C2192,Магазины!A:C,3,0)</f>
        <v>Оренбург</v>
      </c>
      <c r="J2192">
        <f>VLOOKUP(D2192,Товары!A:I,4,0)</f>
        <v>24810</v>
      </c>
      <c r="K2192">
        <f t="shared" si="34"/>
        <v>49620</v>
      </c>
    </row>
    <row r="2193" spans="1:11" hidden="1" x14ac:dyDescent="0.25">
      <c r="A2193">
        <v>2192</v>
      </c>
      <c r="B2193" s="1">
        <v>45756</v>
      </c>
      <c r="C2193" t="s">
        <v>6</v>
      </c>
      <c r="D2193" t="s">
        <v>81</v>
      </c>
      <c r="E2193" t="s">
        <v>13</v>
      </c>
      <c r="F2193">
        <v>1</v>
      </c>
      <c r="G2193" t="str">
        <f>VLOOKUP(D2193,Товары!A:I,3,0)</f>
        <v>Тумба с раковиной  навес. Рица 600 cерый/керамика 1 ящик + ниша 1 с умыв. Океан</v>
      </c>
      <c r="H2193">
        <f>VLOOKUP(D2193,Товары!A:I,6,0)</f>
        <v>60</v>
      </c>
      <c r="I2193" t="str">
        <f>VLOOKUP(C2193,Магазины!A:C,3,0)</f>
        <v>Оренбург</v>
      </c>
      <c r="J2193">
        <f>VLOOKUP(D2193,Товары!A:I,4,0)</f>
        <v>18900</v>
      </c>
      <c r="K2193">
        <f t="shared" si="34"/>
        <v>18900</v>
      </c>
    </row>
    <row r="2194" spans="1:11" hidden="1" x14ac:dyDescent="0.25">
      <c r="A2194">
        <v>2193</v>
      </c>
      <c r="B2194" s="1">
        <v>45749</v>
      </c>
      <c r="C2194" t="s">
        <v>58</v>
      </c>
      <c r="D2194" t="s">
        <v>59</v>
      </c>
      <c r="E2194" t="s">
        <v>13</v>
      </c>
      <c r="F2194">
        <v>2</v>
      </c>
      <c r="G2194" t="str">
        <f>VLOOKUP(D2194,Товары!A:I,3,0)</f>
        <v>Тумба с раковиной  навес. Куба Риф 600 белый 2 ящика с умыв. Океан</v>
      </c>
      <c r="H2194">
        <f>VLOOKUP(D2194,Товары!A:I,6,0)</f>
        <v>55</v>
      </c>
      <c r="I2194" t="str">
        <f>VLOOKUP(C2194,Магазины!A:C,3,0)</f>
        <v>Ставрополь</v>
      </c>
      <c r="J2194">
        <f>VLOOKUP(D2194,Товары!A:I,4,0)</f>
        <v>15765</v>
      </c>
      <c r="K2194">
        <f t="shared" si="34"/>
        <v>31530</v>
      </c>
    </row>
    <row r="2195" spans="1:11" hidden="1" x14ac:dyDescent="0.25">
      <c r="A2195">
        <v>2194</v>
      </c>
      <c r="B2195" s="1">
        <v>45753</v>
      </c>
      <c r="C2195" t="s">
        <v>26</v>
      </c>
      <c r="D2195" t="s">
        <v>29</v>
      </c>
      <c r="E2195" t="s">
        <v>8</v>
      </c>
      <c r="F2195">
        <v>1</v>
      </c>
      <c r="G2195" t="str">
        <f>VLOOKUP(D2195,Товары!A:I,3,0)</f>
        <v>Тумба с раковиной  напол. Леон Риф 600 солярис/белый риф 2 ящика с умыв. Океан</v>
      </c>
      <c r="H2195">
        <f>VLOOKUP(D2195,Товары!A:I,6,0)</f>
        <v>80</v>
      </c>
      <c r="I2195" t="str">
        <f>VLOOKUP(C2195,Магазины!A:C,3,0)</f>
        <v>Оренбург</v>
      </c>
      <c r="J2195">
        <f>VLOOKUP(D2195,Товары!A:I,4,0)</f>
        <v>24150</v>
      </c>
      <c r="K2195">
        <f t="shared" si="34"/>
        <v>24150</v>
      </c>
    </row>
    <row r="2196" spans="1:11" hidden="1" x14ac:dyDescent="0.25">
      <c r="A2196">
        <v>2195</v>
      </c>
      <c r="B2196" s="1">
        <v>45753</v>
      </c>
      <c r="C2196" t="s">
        <v>18</v>
      </c>
      <c r="D2196" t="s">
        <v>124</v>
      </c>
      <c r="E2196" t="s">
        <v>8</v>
      </c>
      <c r="F2196">
        <v>1</v>
      </c>
      <c r="G2196" t="str">
        <f>VLOOKUP(D2196,Товары!A:I,3,0)</f>
        <v>Тумба с раковиной  напол. Леон 600 оникс 2 ящика с умыв. Океан</v>
      </c>
      <c r="H2196">
        <f>VLOOKUP(D2196,Товары!A:I,6,0)</f>
        <v>80</v>
      </c>
      <c r="I2196" t="str">
        <f>VLOOKUP(C2196,Магазины!A:C,3,0)</f>
        <v>Набережные Челны</v>
      </c>
      <c r="J2196">
        <f>VLOOKUP(D2196,Товары!A:I,4,0)</f>
        <v>25860</v>
      </c>
      <c r="K2196">
        <f t="shared" si="34"/>
        <v>25860</v>
      </c>
    </row>
    <row r="2197" spans="1:11" hidden="1" x14ac:dyDescent="0.25">
      <c r="A2197">
        <v>2196</v>
      </c>
      <c r="B2197" s="1">
        <v>45748</v>
      </c>
      <c r="C2197" t="s">
        <v>30</v>
      </c>
      <c r="D2197" t="s">
        <v>93</v>
      </c>
      <c r="E2197" t="s">
        <v>13</v>
      </c>
      <c r="F2197">
        <v>1</v>
      </c>
      <c r="G2197" t="str">
        <f>VLOOKUP(D2197,Товары!A:I,3,0)</f>
        <v>Тумба с раковиной  напол. Леон Риф 800 солярис/белый риф 2 ящика с умыв. Слим</v>
      </c>
      <c r="H2197">
        <f>VLOOKUP(D2197,Товары!A:I,6,0)</f>
        <v>80</v>
      </c>
      <c r="I2197" t="str">
        <f>VLOOKUP(C2197,Магазины!A:C,3,0)</f>
        <v>Кемерово</v>
      </c>
      <c r="J2197">
        <f>VLOOKUP(D2197,Товары!A:I,4,0)</f>
        <v>29340</v>
      </c>
      <c r="K2197">
        <f t="shared" si="34"/>
        <v>29340</v>
      </c>
    </row>
    <row r="2198" spans="1:11" hidden="1" x14ac:dyDescent="0.25">
      <c r="A2198">
        <v>2197</v>
      </c>
      <c r="B2198" s="1">
        <v>45751</v>
      </c>
      <c r="C2198" t="s">
        <v>103</v>
      </c>
      <c r="D2198" t="s">
        <v>88</v>
      </c>
      <c r="E2198" t="s">
        <v>8</v>
      </c>
      <c r="F2198">
        <v>3</v>
      </c>
      <c r="G2198" t="str">
        <f>VLOOKUP(D2198,Товары!A:I,3,0)</f>
        <v>Тумба с раковиной  навес. Альба 800 антрацит 2 ящика с умыв. Слим</v>
      </c>
      <c r="H2198">
        <f>VLOOKUP(D2198,Товары!A:I,6,0)</f>
        <v>50</v>
      </c>
      <c r="I2198" t="str">
        <f>VLOOKUP(C2198,Магазины!A:C,3,0)</f>
        <v>Ставрополь</v>
      </c>
      <c r="J2198">
        <f>VLOOKUP(D2198,Товары!A:I,4,0)</f>
        <v>26070</v>
      </c>
      <c r="K2198">
        <f t="shared" si="34"/>
        <v>78210</v>
      </c>
    </row>
    <row r="2199" spans="1:11" hidden="1" x14ac:dyDescent="0.25">
      <c r="A2199">
        <v>2198</v>
      </c>
      <c r="B2199" s="1">
        <v>45748</v>
      </c>
      <c r="C2199" t="s">
        <v>103</v>
      </c>
      <c r="D2199" t="s">
        <v>45</v>
      </c>
      <c r="E2199" t="s">
        <v>8</v>
      </c>
      <c r="F2199">
        <v>3</v>
      </c>
      <c r="G2199" t="str">
        <f>VLOOKUP(D2199,Товары!A:I,3,0)</f>
        <v>Зеркальный шкаф Рица 80 со светильником правый цвет cерый/керамика</v>
      </c>
      <c r="H2199">
        <f>VLOOKUP(D2199,Товары!A:I,6,0)</f>
        <v>75</v>
      </c>
      <c r="I2199" t="str">
        <f>VLOOKUP(C2199,Магазины!A:C,3,0)</f>
        <v>Ставрополь</v>
      </c>
      <c r="J2199">
        <f>VLOOKUP(D2199,Товары!A:I,4,0)</f>
        <v>9930</v>
      </c>
      <c r="K2199">
        <f t="shared" si="34"/>
        <v>29790</v>
      </c>
    </row>
    <row r="2200" spans="1:11" hidden="1" x14ac:dyDescent="0.25">
      <c r="A2200">
        <v>2199</v>
      </c>
      <c r="B2200" s="1">
        <v>45754</v>
      </c>
      <c r="C2200" t="s">
        <v>63</v>
      </c>
      <c r="D2200" t="s">
        <v>106</v>
      </c>
      <c r="E2200" t="s">
        <v>13</v>
      </c>
      <c r="F2200">
        <v>3</v>
      </c>
      <c r="G2200" t="str">
        <f>VLOOKUP(D2200,Товары!A:I,3,0)</f>
        <v>Тумба с раковиной  навес. Кристалл 700 шато азур 2 ящика с умыв. Слим</v>
      </c>
      <c r="H2200">
        <f>VLOOKUP(D2200,Товары!A:I,6,0)</f>
        <v>60</v>
      </c>
      <c r="I2200" t="str">
        <f>VLOOKUP(C2200,Магазины!A:C,3,0)</f>
        <v>Ставрополь</v>
      </c>
      <c r="J2200">
        <f>VLOOKUP(D2200,Товары!A:I,4,0)</f>
        <v>24150</v>
      </c>
      <c r="K2200">
        <f t="shared" si="34"/>
        <v>72450</v>
      </c>
    </row>
    <row r="2201" spans="1:11" hidden="1" x14ac:dyDescent="0.25">
      <c r="A2201">
        <v>2200</v>
      </c>
      <c r="B2201" s="1">
        <v>45757</v>
      </c>
      <c r="C2201" t="s">
        <v>11</v>
      </c>
      <c r="D2201" t="s">
        <v>81</v>
      </c>
      <c r="E2201" t="s">
        <v>8</v>
      </c>
      <c r="F2201">
        <v>1</v>
      </c>
      <c r="G2201" t="str">
        <f>VLOOKUP(D2201,Товары!A:I,3,0)</f>
        <v>Тумба с раковиной  навес. Рица 600 cерый/керамика 1 ящик + ниша 1 с умыв. Океан</v>
      </c>
      <c r="H2201">
        <f>VLOOKUP(D2201,Товары!A:I,6,0)</f>
        <v>60</v>
      </c>
      <c r="I2201" t="str">
        <f>VLOOKUP(C2201,Магазины!A:C,3,0)</f>
        <v>Кемерово</v>
      </c>
      <c r="J2201">
        <f>VLOOKUP(D2201,Товары!A:I,4,0)</f>
        <v>18900</v>
      </c>
      <c r="K2201">
        <f t="shared" si="34"/>
        <v>18900</v>
      </c>
    </row>
    <row r="2202" spans="1:11" hidden="1" x14ac:dyDescent="0.25">
      <c r="A2202">
        <v>2201</v>
      </c>
      <c r="B2202" s="1">
        <v>45756</v>
      </c>
      <c r="C2202" t="s">
        <v>22</v>
      </c>
      <c r="D2202" t="s">
        <v>40</v>
      </c>
      <c r="E2202" t="s">
        <v>8</v>
      </c>
      <c r="F2202">
        <v>2</v>
      </c>
      <c r="G2202" t="str">
        <f>VLOOKUP(D2202,Товары!A:I,3,0)</f>
        <v>Тумба с раковиной  навес. Рица 800 cерый/керамика 1 ящик + ниша 1 с умыв. Слим</v>
      </c>
      <c r="H2202">
        <f>VLOOKUP(D2202,Товары!A:I,6,0)</f>
        <v>60</v>
      </c>
      <c r="I2202" t="str">
        <f>VLOOKUP(C2202,Магазины!A:C,3,0)</f>
        <v>Кемерово</v>
      </c>
      <c r="J2202">
        <f>VLOOKUP(D2202,Товары!A:I,4,0)</f>
        <v>22425</v>
      </c>
      <c r="K2202">
        <f t="shared" si="34"/>
        <v>44850</v>
      </c>
    </row>
    <row r="2203" spans="1:11" hidden="1" x14ac:dyDescent="0.25">
      <c r="A2203">
        <v>2202</v>
      </c>
      <c r="B2203" s="1">
        <v>45748</v>
      </c>
      <c r="C2203" t="s">
        <v>26</v>
      </c>
      <c r="D2203" t="s">
        <v>112</v>
      </c>
      <c r="E2203" t="s">
        <v>13</v>
      </c>
      <c r="F2203">
        <v>1</v>
      </c>
      <c r="G2203" t="str">
        <f>VLOOKUP(D2203,Товары!A:I,3,0)</f>
        <v>Тумба с раковиной  напол. Аква 560 белый 2 двери с умыв. Уют</v>
      </c>
      <c r="H2203">
        <f>VLOOKUP(D2203,Товары!A:I,6,0)</f>
        <v>85</v>
      </c>
      <c r="I2203" t="str">
        <f>VLOOKUP(C2203,Магазины!A:C,3,0)</f>
        <v>Оренбург</v>
      </c>
      <c r="J2203">
        <f>VLOOKUP(D2203,Товары!A:I,4,0)</f>
        <v>9330</v>
      </c>
      <c r="K2203">
        <f t="shared" si="34"/>
        <v>9330</v>
      </c>
    </row>
    <row r="2204" spans="1:11" hidden="1" x14ac:dyDescent="0.25">
      <c r="A2204">
        <v>2203</v>
      </c>
      <c r="B2204" s="1">
        <v>45748</v>
      </c>
      <c r="C2204" t="s">
        <v>9</v>
      </c>
      <c r="D2204" t="s">
        <v>56</v>
      </c>
      <c r="E2204" t="s">
        <v>8</v>
      </c>
      <c r="F2204">
        <v>2</v>
      </c>
      <c r="G2204" t="str">
        <f>VLOOKUP(D2204,Товары!A:I,3,0)</f>
        <v>Зеркальный шкаф Альба 80 со светильником правый цвет мята</v>
      </c>
      <c r="H2204">
        <f>VLOOKUP(D2204,Товары!A:I,6,0)</f>
        <v>75</v>
      </c>
      <c r="I2204" t="str">
        <f>VLOOKUP(C2204,Магазины!A:C,3,0)</f>
        <v>Кемерово</v>
      </c>
      <c r="J2204">
        <f>VLOOKUP(D2204,Товары!A:I,4,0)</f>
        <v>9930</v>
      </c>
      <c r="K2204">
        <f t="shared" si="34"/>
        <v>19860</v>
      </c>
    </row>
    <row r="2205" spans="1:11" hidden="1" x14ac:dyDescent="0.25">
      <c r="A2205">
        <v>2204</v>
      </c>
      <c r="B2205" s="1">
        <v>45756</v>
      </c>
      <c r="C2205" t="s">
        <v>20</v>
      </c>
      <c r="D2205" t="s">
        <v>129</v>
      </c>
      <c r="E2205" t="s">
        <v>13</v>
      </c>
      <c r="F2205">
        <v>2</v>
      </c>
      <c r="G2205" t="str">
        <f>VLOOKUP(D2205,Товары!A:I,3,0)</f>
        <v>Тумба с раковиной  напол. Альба 700 антрацит 2 ящика с умыв. Слим</v>
      </c>
      <c r="H2205">
        <f>VLOOKUP(D2205,Товары!A:I,6,0)</f>
        <v>85</v>
      </c>
      <c r="I2205" t="str">
        <f>VLOOKUP(C2205,Магазины!A:C,3,0)</f>
        <v>Оренбург</v>
      </c>
      <c r="J2205">
        <f>VLOOKUP(D2205,Товары!A:I,4,0)</f>
        <v>28695</v>
      </c>
      <c r="K2205">
        <f t="shared" si="34"/>
        <v>57390</v>
      </c>
    </row>
    <row r="2206" spans="1:11" hidden="1" x14ac:dyDescent="0.25">
      <c r="A2206">
        <v>2205</v>
      </c>
      <c r="B2206" s="1">
        <v>45748</v>
      </c>
      <c r="C2206" t="s">
        <v>33</v>
      </c>
      <c r="D2206" t="s">
        <v>84</v>
      </c>
      <c r="E2206" t="s">
        <v>13</v>
      </c>
      <c r="F2206">
        <v>3</v>
      </c>
      <c r="G2206" t="str">
        <f>VLOOKUP(D2206,Товары!A:I,3,0)</f>
        <v>Тумба с раковиной  напол. Куба Риф 800 белый 3 двери с умыв. Слим</v>
      </c>
      <c r="H2206">
        <f>VLOOKUP(D2206,Товары!A:I,6,0)</f>
        <v>85</v>
      </c>
      <c r="I2206" t="str">
        <f>VLOOKUP(C2206,Магазины!A:C,3,0)</f>
        <v>Набережные Челны</v>
      </c>
      <c r="J2206">
        <f>VLOOKUP(D2206,Товары!A:I,4,0)</f>
        <v>19920</v>
      </c>
      <c r="K2206">
        <f t="shared" si="34"/>
        <v>59760</v>
      </c>
    </row>
    <row r="2207" spans="1:11" hidden="1" x14ac:dyDescent="0.25">
      <c r="A2207">
        <v>2206</v>
      </c>
      <c r="B2207" s="1">
        <v>45751</v>
      </c>
      <c r="C2207" t="s">
        <v>54</v>
      </c>
      <c r="D2207" t="s">
        <v>67</v>
      </c>
      <c r="E2207" t="s">
        <v>8</v>
      </c>
      <c r="F2207">
        <v>1</v>
      </c>
      <c r="G2207" t="str">
        <f>VLOOKUP(D2207,Товары!A:I,3,0)</f>
        <v>Пенал навес./напол. Альба 350 суфле 2 двери</v>
      </c>
      <c r="H2207">
        <f>VLOOKUP(D2207,Товары!A:I,6,0)</f>
        <v>150</v>
      </c>
      <c r="I2207" t="str">
        <f>VLOOKUP(C2207,Магазины!A:C,3,0)</f>
        <v>Ставрополь</v>
      </c>
      <c r="J2207">
        <f>VLOOKUP(D2207,Товары!A:I,4,0)</f>
        <v>11655</v>
      </c>
      <c r="K2207">
        <f t="shared" si="34"/>
        <v>11655</v>
      </c>
    </row>
    <row r="2208" spans="1:11" hidden="1" x14ac:dyDescent="0.25">
      <c r="A2208">
        <v>2207</v>
      </c>
      <c r="B2208" s="1">
        <v>45757</v>
      </c>
      <c r="C2208" t="s">
        <v>33</v>
      </c>
      <c r="D2208" t="s">
        <v>67</v>
      </c>
      <c r="E2208" t="s">
        <v>8</v>
      </c>
      <c r="F2208">
        <v>1</v>
      </c>
      <c r="G2208" t="str">
        <f>VLOOKUP(D2208,Товары!A:I,3,0)</f>
        <v>Пенал навес./напол. Альба 350 суфле 2 двери</v>
      </c>
      <c r="H2208">
        <f>VLOOKUP(D2208,Товары!A:I,6,0)</f>
        <v>150</v>
      </c>
      <c r="I2208" t="str">
        <f>VLOOKUP(C2208,Магазины!A:C,3,0)</f>
        <v>Набережные Челны</v>
      </c>
      <c r="J2208">
        <f>VLOOKUP(D2208,Товары!A:I,4,0)</f>
        <v>11655</v>
      </c>
      <c r="K2208">
        <f t="shared" si="34"/>
        <v>11655</v>
      </c>
    </row>
    <row r="2209" spans="1:11" hidden="1" x14ac:dyDescent="0.25">
      <c r="A2209">
        <v>2208</v>
      </c>
      <c r="B2209" s="1">
        <v>45755</v>
      </c>
      <c r="C2209" t="s">
        <v>33</v>
      </c>
      <c r="D2209" t="s">
        <v>15</v>
      </c>
      <c r="E2209" t="s">
        <v>13</v>
      </c>
      <c r="F2209">
        <v>2</v>
      </c>
      <c r="G2209" t="str">
        <f>VLOOKUP(D2209,Товары!A:I,3,0)</f>
        <v>Зеркальный шкаф Кристалл 60 со светильником правый, ручка кнопка дуб цвет Шато Азур</v>
      </c>
      <c r="H2209">
        <f>VLOOKUP(D2209,Товары!A:I,6,0)</f>
        <v>75</v>
      </c>
      <c r="I2209" t="str">
        <f>VLOOKUP(C2209,Магазины!A:C,3,0)</f>
        <v>Набережные Челны</v>
      </c>
      <c r="J2209">
        <f>VLOOKUP(D2209,Товары!A:I,4,0)</f>
        <v>9195</v>
      </c>
      <c r="K2209">
        <f t="shared" si="34"/>
        <v>18390</v>
      </c>
    </row>
    <row r="2210" spans="1:11" hidden="1" x14ac:dyDescent="0.25">
      <c r="A2210">
        <v>2209</v>
      </c>
      <c r="B2210" s="1">
        <v>45749</v>
      </c>
      <c r="C2210" t="s">
        <v>11</v>
      </c>
      <c r="D2210" t="s">
        <v>97</v>
      </c>
      <c r="E2210" t="s">
        <v>8</v>
      </c>
      <c r="F2210">
        <v>3</v>
      </c>
      <c r="G2210" t="str">
        <f>VLOOKUP(D2210,Товары!A:I,3,0)</f>
        <v>Пенал напол. Кристалл 350 суфле 2 двери</v>
      </c>
      <c r="H2210">
        <f>VLOOKUP(D2210,Товары!A:I,6,0)</f>
        <v>190</v>
      </c>
      <c r="I2210" t="str">
        <f>VLOOKUP(C2210,Магазины!A:C,3,0)</f>
        <v>Кемерово</v>
      </c>
      <c r="J2210">
        <f>VLOOKUP(D2210,Товары!A:I,4,0)</f>
        <v>15810</v>
      </c>
      <c r="K2210">
        <f t="shared" si="34"/>
        <v>47430</v>
      </c>
    </row>
    <row r="2211" spans="1:11" hidden="1" x14ac:dyDescent="0.25">
      <c r="A2211">
        <v>2210</v>
      </c>
      <c r="B2211" s="1">
        <v>45749</v>
      </c>
      <c r="C2211" t="s">
        <v>48</v>
      </c>
      <c r="D2211" t="s">
        <v>79</v>
      </c>
      <c r="E2211" t="s">
        <v>8</v>
      </c>
      <c r="F2211">
        <v>1</v>
      </c>
      <c r="G2211" t="str">
        <f>VLOOKUP(D2211,Товары!A:I,3,0)</f>
        <v>Зеркальный шкаф Альба 70 со светильником правый цвет мята</v>
      </c>
      <c r="H2211">
        <f>VLOOKUP(D2211,Товары!A:I,6,0)</f>
        <v>75</v>
      </c>
      <c r="I2211" t="str">
        <f>VLOOKUP(C2211,Магазины!A:C,3,0)</f>
        <v>Ставрополь</v>
      </c>
      <c r="J2211">
        <f>VLOOKUP(D2211,Товары!A:I,4,0)</f>
        <v>9615</v>
      </c>
      <c r="K2211">
        <f t="shared" si="34"/>
        <v>9615</v>
      </c>
    </row>
    <row r="2212" spans="1:11" hidden="1" x14ac:dyDescent="0.25">
      <c r="A2212">
        <v>2211</v>
      </c>
      <c r="B2212" s="1">
        <v>45756</v>
      </c>
      <c r="C2212" t="s">
        <v>11</v>
      </c>
      <c r="D2212" t="s">
        <v>101</v>
      </c>
      <c r="E2212" t="s">
        <v>13</v>
      </c>
      <c r="F2212">
        <v>2</v>
      </c>
      <c r="G2212" t="str">
        <f>VLOOKUP(D2212,Товары!A:I,3,0)</f>
        <v>Пенал напол. Сохо 400 белый 2 двери + 1 ящик</v>
      </c>
      <c r="H2212">
        <f>VLOOKUP(D2212,Товары!A:I,6,0)</f>
        <v>190</v>
      </c>
      <c r="I2212" t="str">
        <f>VLOOKUP(C2212,Магазины!A:C,3,0)</f>
        <v>Кемерово</v>
      </c>
      <c r="J2212">
        <f>VLOOKUP(D2212,Товары!A:I,4,0)</f>
        <v>11040</v>
      </c>
      <c r="K2212">
        <f t="shared" si="34"/>
        <v>22080</v>
      </c>
    </row>
    <row r="2213" spans="1:11" hidden="1" x14ac:dyDescent="0.25">
      <c r="A2213">
        <v>2212</v>
      </c>
      <c r="B2213" s="1">
        <v>45753</v>
      </c>
      <c r="C2213" t="s">
        <v>18</v>
      </c>
      <c r="D2213" t="s">
        <v>70</v>
      </c>
      <c r="E2213" t="s">
        <v>13</v>
      </c>
      <c r="F2213">
        <v>3</v>
      </c>
      <c r="G2213" t="str">
        <f>VLOOKUP(D2213,Товары!A:I,3,0)</f>
        <v>Тумба с раковиной  напол. Кристалл 700 шато азур 2 ящика с умыв. Слим</v>
      </c>
      <c r="H2213">
        <f>VLOOKUP(D2213,Товары!A:I,6,0)</f>
        <v>85</v>
      </c>
      <c r="I2213" t="str">
        <f>VLOOKUP(C2213,Магазины!A:C,3,0)</f>
        <v>Набережные Челны</v>
      </c>
      <c r="J2213">
        <f>VLOOKUP(D2213,Товары!A:I,4,0)</f>
        <v>29910</v>
      </c>
      <c r="K2213">
        <f t="shared" si="34"/>
        <v>89730</v>
      </c>
    </row>
    <row r="2214" spans="1:11" hidden="1" x14ac:dyDescent="0.25">
      <c r="A2214">
        <v>2213</v>
      </c>
      <c r="B2214" s="1">
        <v>45749</v>
      </c>
      <c r="C2214" t="s">
        <v>111</v>
      </c>
      <c r="D2214" t="s">
        <v>77</v>
      </c>
      <c r="E2214" t="s">
        <v>13</v>
      </c>
      <c r="F2214">
        <v>2</v>
      </c>
      <c r="G2214" t="str">
        <f>VLOOKUP(D2214,Товары!A:I,3,0)</f>
        <v>Тумба с раковиной  напол. Куба Риф 600 белый 2 ящика с умыв. Como</v>
      </c>
      <c r="H2214">
        <f>VLOOKUP(D2214,Товары!A:I,6,0)</f>
        <v>85</v>
      </c>
      <c r="I2214" t="str">
        <f>VLOOKUP(C2214,Магазины!A:C,3,0)</f>
        <v>Набережные Челны</v>
      </c>
      <c r="J2214">
        <f>VLOOKUP(D2214,Товары!A:I,4,0)</f>
        <v>15660</v>
      </c>
      <c r="K2214">
        <f t="shared" si="34"/>
        <v>31320</v>
      </c>
    </row>
    <row r="2215" spans="1:11" hidden="1" x14ac:dyDescent="0.25">
      <c r="A2215">
        <v>2214</v>
      </c>
      <c r="B2215" s="1">
        <v>45757</v>
      </c>
      <c r="C2215" t="s">
        <v>26</v>
      </c>
      <c r="D2215" t="s">
        <v>96</v>
      </c>
      <c r="E2215" t="s">
        <v>8</v>
      </c>
      <c r="F2215">
        <v>1</v>
      </c>
      <c r="G2215" t="str">
        <f>VLOOKUP(D2215,Товары!A:I,3,0)</f>
        <v>Тумба с раковиной  навес. Альба 600 мята 1 ящик с умыв. Океан</v>
      </c>
      <c r="H2215">
        <f>VLOOKUP(D2215,Товары!A:I,6,0)</f>
        <v>85</v>
      </c>
      <c r="I2215" t="str">
        <f>VLOOKUP(C2215,Магазины!A:C,3,0)</f>
        <v>Оренбург</v>
      </c>
      <c r="J2215">
        <f>VLOOKUP(D2215,Товары!A:I,4,0)</f>
        <v>17625</v>
      </c>
      <c r="K2215">
        <f t="shared" si="34"/>
        <v>17625</v>
      </c>
    </row>
    <row r="2216" spans="1:11" hidden="1" x14ac:dyDescent="0.25">
      <c r="A2216">
        <v>2215</v>
      </c>
      <c r="B2216" s="1">
        <v>45748</v>
      </c>
      <c r="C2216" t="s">
        <v>18</v>
      </c>
      <c r="D2216" t="s">
        <v>74</v>
      </c>
      <c r="E2216" t="s">
        <v>8</v>
      </c>
      <c r="F2216">
        <v>2</v>
      </c>
      <c r="G2216" t="str">
        <f>VLOOKUP(D2216,Товары!A:I,3,0)</f>
        <v>Тумба с раковиной  напол. Альба 800 суфле 2 ящика с умыв. Слим</v>
      </c>
      <c r="H2216">
        <f>VLOOKUP(D2216,Товары!A:I,6,0)</f>
        <v>80</v>
      </c>
      <c r="I2216" t="str">
        <f>VLOOKUP(C2216,Магазины!A:C,3,0)</f>
        <v>Набережные Челны</v>
      </c>
      <c r="J2216">
        <f>VLOOKUP(D2216,Товары!A:I,4,0)</f>
        <v>29340</v>
      </c>
      <c r="K2216">
        <f t="shared" si="34"/>
        <v>58680</v>
      </c>
    </row>
    <row r="2217" spans="1:11" hidden="1" x14ac:dyDescent="0.25">
      <c r="A2217">
        <v>2216</v>
      </c>
      <c r="B2217" s="1">
        <v>45752</v>
      </c>
      <c r="C2217" t="s">
        <v>43</v>
      </c>
      <c r="D2217" t="s">
        <v>86</v>
      </c>
      <c r="E2217" t="s">
        <v>8</v>
      </c>
      <c r="F2217">
        <v>1</v>
      </c>
      <c r="G2217" t="str">
        <f>VLOOKUP(D2217,Товары!A:I,3,0)</f>
        <v>Комод Аква 50 напольный 1 ящик 2 двери белый</v>
      </c>
      <c r="H2217">
        <f>VLOOKUP(D2217,Товары!A:I,6,0)</f>
        <v>90</v>
      </c>
      <c r="I2217" t="str">
        <f>VLOOKUP(C2217,Магазины!A:C,3,0)</f>
        <v>Набережные Челны</v>
      </c>
      <c r="J2217">
        <f>VLOOKUP(D2217,Товары!A:I,4,0)</f>
        <v>7260</v>
      </c>
      <c r="K2217">
        <f t="shared" si="34"/>
        <v>7260</v>
      </c>
    </row>
    <row r="2218" spans="1:11" hidden="1" x14ac:dyDescent="0.25">
      <c r="A2218">
        <v>2217</v>
      </c>
      <c r="B2218" s="1">
        <v>45754</v>
      </c>
      <c r="C2218" t="s">
        <v>14</v>
      </c>
      <c r="D2218" t="s">
        <v>109</v>
      </c>
      <c r="E2218" t="s">
        <v>8</v>
      </c>
      <c r="F2218">
        <v>1</v>
      </c>
      <c r="G2218" t="str">
        <f>VLOOKUP(D2218,Товары!A:I,3,0)</f>
        <v>Тумба с раковиной  навес. Альба 600 антрацит 2 ящика с умыв. Океан</v>
      </c>
      <c r="H2218">
        <f>VLOOKUP(D2218,Товары!A:I,6,0)</f>
        <v>50</v>
      </c>
      <c r="I2218" t="str">
        <f>VLOOKUP(C2218,Магазины!A:C,3,0)</f>
        <v>Оренбург</v>
      </c>
      <c r="J2218">
        <f>VLOOKUP(D2218,Товары!A:I,4,0)</f>
        <v>24810</v>
      </c>
      <c r="K2218">
        <f t="shared" si="34"/>
        <v>24810</v>
      </c>
    </row>
    <row r="2219" spans="1:11" hidden="1" x14ac:dyDescent="0.25">
      <c r="A2219">
        <v>2218</v>
      </c>
      <c r="B2219" s="1">
        <v>45756</v>
      </c>
      <c r="C2219" t="s">
        <v>35</v>
      </c>
      <c r="D2219" t="s">
        <v>83</v>
      </c>
      <c r="E2219" t="s">
        <v>8</v>
      </c>
      <c r="F2219">
        <v>2</v>
      </c>
      <c r="G2219" t="str">
        <f>VLOOKUP(D2219,Товары!A:I,3,0)</f>
        <v>Зеркальный шкаф Альба 60 со светильником правый цвет суфле</v>
      </c>
      <c r="H2219">
        <f>VLOOKUP(D2219,Товары!A:I,6,0)</f>
        <v>75</v>
      </c>
      <c r="I2219" t="str">
        <f>VLOOKUP(C2219,Магазины!A:C,3,0)</f>
        <v>Набережные Челны</v>
      </c>
      <c r="J2219">
        <f>VLOOKUP(D2219,Товары!A:I,4,0)</f>
        <v>8910</v>
      </c>
      <c r="K2219">
        <f t="shared" si="34"/>
        <v>17820</v>
      </c>
    </row>
    <row r="2220" spans="1:11" hidden="1" x14ac:dyDescent="0.25">
      <c r="A2220">
        <v>2219</v>
      </c>
      <c r="B2220" s="1">
        <v>45753</v>
      </c>
      <c r="C2220" t="s">
        <v>30</v>
      </c>
      <c r="D2220" t="s">
        <v>55</v>
      </c>
      <c r="E2220" t="s">
        <v>8</v>
      </c>
      <c r="F2220">
        <v>1</v>
      </c>
      <c r="G2220" t="str">
        <f>VLOOKUP(D2220,Товары!A:I,3,0)</f>
        <v>Тумба с раковиной  напол. Рица 600 cерый/керамика 2 ящика с умыв. Океан</v>
      </c>
      <c r="H2220">
        <f>VLOOKUP(D2220,Товары!A:I,6,0)</f>
        <v>80</v>
      </c>
      <c r="I2220" t="str">
        <f>VLOOKUP(C2220,Магазины!A:C,3,0)</f>
        <v>Кемерово</v>
      </c>
      <c r="J2220">
        <f>VLOOKUP(D2220,Товары!A:I,4,0)</f>
        <v>25560</v>
      </c>
      <c r="K2220">
        <f t="shared" si="34"/>
        <v>25560</v>
      </c>
    </row>
    <row r="2221" spans="1:11" hidden="1" x14ac:dyDescent="0.25">
      <c r="A2221">
        <v>2220</v>
      </c>
      <c r="B2221" s="1">
        <v>45751</v>
      </c>
      <c r="C2221" t="s">
        <v>58</v>
      </c>
      <c r="D2221" t="s">
        <v>49</v>
      </c>
      <c r="E2221" t="s">
        <v>8</v>
      </c>
      <c r="F2221">
        <v>2</v>
      </c>
      <c r="G2221" t="str">
        <f>VLOOKUP(D2221,Товары!A:I,3,0)</f>
        <v>Тумба с раковиной  напол. Леон 700 оникс 2 ящика с умыв. Слим</v>
      </c>
      <c r="H2221">
        <f>VLOOKUP(D2221,Товары!A:I,6,0)</f>
        <v>80</v>
      </c>
      <c r="I2221" t="str">
        <f>VLOOKUP(C2221,Магазины!A:C,3,0)</f>
        <v>Ставрополь</v>
      </c>
      <c r="J2221">
        <f>VLOOKUP(D2221,Товары!A:I,4,0)</f>
        <v>28380</v>
      </c>
      <c r="K2221">
        <f t="shared" si="34"/>
        <v>56760</v>
      </c>
    </row>
    <row r="2222" spans="1:11" hidden="1" x14ac:dyDescent="0.25">
      <c r="A2222">
        <v>2221</v>
      </c>
      <c r="B2222" s="1">
        <v>45755</v>
      </c>
      <c r="C2222" t="s">
        <v>16</v>
      </c>
      <c r="D2222" t="s">
        <v>101</v>
      </c>
      <c r="E2222" t="s">
        <v>8</v>
      </c>
      <c r="F2222">
        <v>2</v>
      </c>
      <c r="G2222" t="str">
        <f>VLOOKUP(D2222,Товары!A:I,3,0)</f>
        <v>Пенал напол. Сохо 400 белый 2 двери + 1 ящик</v>
      </c>
      <c r="H2222">
        <f>VLOOKUP(D2222,Товары!A:I,6,0)</f>
        <v>190</v>
      </c>
      <c r="I2222" t="str">
        <f>VLOOKUP(C2222,Магазины!A:C,3,0)</f>
        <v>Оренбург</v>
      </c>
      <c r="J2222">
        <f>VLOOKUP(D2222,Товары!A:I,4,0)</f>
        <v>11040</v>
      </c>
      <c r="K2222">
        <f t="shared" si="34"/>
        <v>22080</v>
      </c>
    </row>
    <row r="2223" spans="1:11" hidden="1" x14ac:dyDescent="0.25">
      <c r="A2223">
        <v>2222</v>
      </c>
      <c r="B2223" s="1">
        <v>45751</v>
      </c>
      <c r="C2223" t="s">
        <v>58</v>
      </c>
      <c r="D2223" t="s">
        <v>129</v>
      </c>
      <c r="E2223" t="s">
        <v>13</v>
      </c>
      <c r="F2223">
        <v>3</v>
      </c>
      <c r="G2223" t="str">
        <f>VLOOKUP(D2223,Товары!A:I,3,0)</f>
        <v>Тумба с раковиной  напол. Альба 700 антрацит 2 ящика с умыв. Слим</v>
      </c>
      <c r="H2223">
        <f>VLOOKUP(D2223,Товары!A:I,6,0)</f>
        <v>85</v>
      </c>
      <c r="I2223" t="str">
        <f>VLOOKUP(C2223,Магазины!A:C,3,0)</f>
        <v>Ставрополь</v>
      </c>
      <c r="J2223">
        <f>VLOOKUP(D2223,Товары!A:I,4,0)</f>
        <v>28695</v>
      </c>
      <c r="K2223">
        <f t="shared" si="34"/>
        <v>86085</v>
      </c>
    </row>
    <row r="2224" spans="1:11" hidden="1" x14ac:dyDescent="0.25">
      <c r="A2224">
        <v>2223</v>
      </c>
      <c r="B2224" s="1">
        <v>45749</v>
      </c>
      <c r="C2224" t="s">
        <v>35</v>
      </c>
      <c r="D2224" t="s">
        <v>105</v>
      </c>
      <c r="E2224" t="s">
        <v>8</v>
      </c>
      <c r="F2224">
        <v>2</v>
      </c>
      <c r="G2224" t="str">
        <f>VLOOKUP(D2224,Товары!A:I,3,0)</f>
        <v>Тумба с раковиной  напол. Нева 600 белый 2 двери + 1 ящик с умыв. Como</v>
      </c>
      <c r="H2224">
        <f>VLOOKUP(D2224,Товары!A:I,6,0)</f>
        <v>80</v>
      </c>
      <c r="I2224" t="str">
        <f>VLOOKUP(C2224,Магазины!A:C,3,0)</f>
        <v>Набережные Челны</v>
      </c>
      <c r="J2224">
        <f>VLOOKUP(D2224,Товары!A:I,4,0)</f>
        <v>13470</v>
      </c>
      <c r="K2224">
        <f t="shared" si="34"/>
        <v>26940</v>
      </c>
    </row>
    <row r="2225" spans="1:11" hidden="1" x14ac:dyDescent="0.25">
      <c r="A2225">
        <v>2224</v>
      </c>
      <c r="B2225" s="1">
        <v>45751</v>
      </c>
      <c r="C2225" t="s">
        <v>28</v>
      </c>
      <c r="D2225" t="s">
        <v>131</v>
      </c>
      <c r="E2225" t="s">
        <v>13</v>
      </c>
      <c r="F2225">
        <v>3</v>
      </c>
      <c r="G2225" t="str">
        <f>VLOOKUP(D2225,Товары!A:I,3,0)</f>
        <v>Тумба с раковиной  напол. Леон 800 форест 2 ящика с умыв. Слим</v>
      </c>
      <c r="H2225">
        <f>VLOOKUP(D2225,Товары!A:I,6,0)</f>
        <v>80</v>
      </c>
      <c r="I2225" t="str">
        <f>VLOOKUP(C2225,Магазины!A:C,3,0)</f>
        <v>Набережные Челны</v>
      </c>
      <c r="J2225">
        <f>VLOOKUP(D2225,Товары!A:I,4,0)</f>
        <v>29400</v>
      </c>
      <c r="K2225">
        <f t="shared" si="34"/>
        <v>88200</v>
      </c>
    </row>
    <row r="2226" spans="1:11" hidden="1" x14ac:dyDescent="0.25">
      <c r="A2226">
        <v>2225</v>
      </c>
      <c r="B2226" s="1">
        <v>45749</v>
      </c>
      <c r="C2226" t="s">
        <v>35</v>
      </c>
      <c r="D2226" t="s">
        <v>39</v>
      </c>
      <c r="E2226" t="s">
        <v>13</v>
      </c>
      <c r="F2226">
        <v>1</v>
      </c>
      <c r="G2226" t="str">
        <f>VLOOKUP(D2226,Товары!A:I,3,0)</f>
        <v>Тумба с раковиной  напол. Альба 700 мята 2 ящика с умыв. Слим</v>
      </c>
      <c r="H2226">
        <f>VLOOKUP(D2226,Товары!A:I,6,0)</f>
        <v>85</v>
      </c>
      <c r="I2226" t="str">
        <f>VLOOKUP(C2226,Магазины!A:C,3,0)</f>
        <v>Набережные Челны</v>
      </c>
      <c r="J2226">
        <f>VLOOKUP(D2226,Товары!A:I,4,0)</f>
        <v>28695</v>
      </c>
      <c r="K2226">
        <f t="shared" si="34"/>
        <v>28695</v>
      </c>
    </row>
    <row r="2227" spans="1:11" hidden="1" x14ac:dyDescent="0.25">
      <c r="A2227">
        <v>2226</v>
      </c>
      <c r="B2227" s="1">
        <v>45748</v>
      </c>
      <c r="C2227" t="s">
        <v>63</v>
      </c>
      <c r="D2227" t="s">
        <v>32</v>
      </c>
      <c r="E2227" t="s">
        <v>8</v>
      </c>
      <c r="F2227">
        <v>1</v>
      </c>
      <c r="G2227" t="str">
        <f>VLOOKUP(D2227,Товары!A:I,3,0)</f>
        <v>Тумба с раковиной  напол. Леон Риф 700 солярис/белый риф 2 ящика с умыв. Слим</v>
      </c>
      <c r="H2227">
        <f>VLOOKUP(D2227,Товары!A:I,6,0)</f>
        <v>85</v>
      </c>
      <c r="I2227" t="str">
        <f>VLOOKUP(C2227,Магазины!A:C,3,0)</f>
        <v>Ставрополь</v>
      </c>
      <c r="J2227">
        <f>VLOOKUP(D2227,Товары!A:I,4,0)</f>
        <v>26460</v>
      </c>
      <c r="K2227">
        <f t="shared" si="34"/>
        <v>26460</v>
      </c>
    </row>
    <row r="2228" spans="1:11" hidden="1" x14ac:dyDescent="0.25">
      <c r="A2228">
        <v>2227</v>
      </c>
      <c r="B2228" s="1">
        <v>45750</v>
      </c>
      <c r="C2228" t="s">
        <v>11</v>
      </c>
      <c r="D2228" t="s">
        <v>129</v>
      </c>
      <c r="E2228" t="s">
        <v>8</v>
      </c>
      <c r="F2228">
        <v>2</v>
      </c>
      <c r="G2228" t="str">
        <f>VLOOKUP(D2228,Товары!A:I,3,0)</f>
        <v>Тумба с раковиной  напол. Альба 700 антрацит 2 ящика с умыв. Слим</v>
      </c>
      <c r="H2228">
        <f>VLOOKUP(D2228,Товары!A:I,6,0)</f>
        <v>85</v>
      </c>
      <c r="I2228" t="str">
        <f>VLOOKUP(C2228,Магазины!A:C,3,0)</f>
        <v>Кемерово</v>
      </c>
      <c r="J2228">
        <f>VLOOKUP(D2228,Товары!A:I,4,0)</f>
        <v>28695</v>
      </c>
      <c r="K2228">
        <f t="shared" si="34"/>
        <v>57390</v>
      </c>
    </row>
    <row r="2229" spans="1:11" hidden="1" x14ac:dyDescent="0.25">
      <c r="A2229">
        <v>2228</v>
      </c>
      <c r="B2229" s="1">
        <v>45756</v>
      </c>
      <c r="C2229" t="s">
        <v>43</v>
      </c>
      <c r="D2229" t="s">
        <v>12</v>
      </c>
      <c r="E2229" t="s">
        <v>8</v>
      </c>
      <c r="F2229">
        <v>1</v>
      </c>
      <c r="G2229" t="str">
        <f>VLOOKUP(D2229,Товары!A:I,3,0)</f>
        <v>Тумба с раковиной  напол. Сохо 700 белый 2 двери с умыв. Слим</v>
      </c>
      <c r="H2229">
        <f>VLOOKUP(D2229,Товары!A:I,6,0)</f>
        <v>85</v>
      </c>
      <c r="I2229" t="str">
        <f>VLOOKUP(C2229,Магазины!A:C,3,0)</f>
        <v>Набережные Челны</v>
      </c>
      <c r="J2229">
        <f>VLOOKUP(D2229,Товары!A:I,4,0)</f>
        <v>17160</v>
      </c>
      <c r="K2229">
        <f t="shared" si="34"/>
        <v>17160</v>
      </c>
    </row>
    <row r="2230" spans="1:11" hidden="1" x14ac:dyDescent="0.25">
      <c r="A2230">
        <v>2229</v>
      </c>
      <c r="B2230" s="1">
        <v>45755</v>
      </c>
      <c r="C2230" t="s">
        <v>14</v>
      </c>
      <c r="D2230" t="s">
        <v>126</v>
      </c>
      <c r="E2230" t="s">
        <v>13</v>
      </c>
      <c r="F2230">
        <v>2</v>
      </c>
      <c r="G2230" t="str">
        <f>VLOOKUP(D2230,Товары!A:I,3,0)</f>
        <v>Тумба с раковиной  напол. Кристалл 800 шато азур 2 ящика с умыв. Комфорт</v>
      </c>
      <c r="H2230">
        <f>VLOOKUP(D2230,Товары!A:I,6,0)</f>
        <v>85</v>
      </c>
      <c r="I2230" t="str">
        <f>VLOOKUP(C2230,Магазины!A:C,3,0)</f>
        <v>Оренбург</v>
      </c>
      <c r="J2230">
        <f>VLOOKUP(D2230,Товары!A:I,4,0)</f>
        <v>31125</v>
      </c>
      <c r="K2230">
        <f t="shared" si="34"/>
        <v>62250</v>
      </c>
    </row>
    <row r="2231" spans="1:11" hidden="1" x14ac:dyDescent="0.25">
      <c r="A2231">
        <v>2230</v>
      </c>
      <c r="B2231" s="1">
        <v>45749</v>
      </c>
      <c r="C2231" t="s">
        <v>103</v>
      </c>
      <c r="D2231" t="s">
        <v>71</v>
      </c>
      <c r="E2231" t="s">
        <v>13</v>
      </c>
      <c r="F2231">
        <v>2</v>
      </c>
      <c r="G2231" t="str">
        <f>VLOOKUP(D2231,Товары!A:I,3,0)</f>
        <v>Тумба с раковиной  навес. Альба 600 мята 2 ящика с умыв. Океан</v>
      </c>
      <c r="H2231">
        <f>VLOOKUP(D2231,Товары!A:I,6,0)</f>
        <v>50</v>
      </c>
      <c r="I2231" t="str">
        <f>VLOOKUP(C2231,Магазины!A:C,3,0)</f>
        <v>Ставрополь</v>
      </c>
      <c r="J2231">
        <f>VLOOKUP(D2231,Товары!A:I,4,0)</f>
        <v>24810</v>
      </c>
      <c r="K2231">
        <f t="shared" si="34"/>
        <v>49620</v>
      </c>
    </row>
    <row r="2232" spans="1:11" hidden="1" x14ac:dyDescent="0.25">
      <c r="A2232">
        <v>2231</v>
      </c>
      <c r="B2232" s="1">
        <v>45748</v>
      </c>
      <c r="C2232" t="s">
        <v>41</v>
      </c>
      <c r="D2232" t="s">
        <v>67</v>
      </c>
      <c r="E2232" t="s">
        <v>8</v>
      </c>
      <c r="F2232">
        <v>3</v>
      </c>
      <c r="G2232" t="str">
        <f>VLOOKUP(D2232,Товары!A:I,3,0)</f>
        <v>Пенал навес./напол. Альба 350 суфле 2 двери</v>
      </c>
      <c r="H2232">
        <f>VLOOKUP(D2232,Товары!A:I,6,0)</f>
        <v>150</v>
      </c>
      <c r="I2232" t="str">
        <f>VLOOKUP(C2232,Магазины!A:C,3,0)</f>
        <v>Ставрополь</v>
      </c>
      <c r="J2232">
        <f>VLOOKUP(D2232,Товары!A:I,4,0)</f>
        <v>11655</v>
      </c>
      <c r="K2232">
        <f t="shared" si="34"/>
        <v>34965</v>
      </c>
    </row>
    <row r="2233" spans="1:11" hidden="1" x14ac:dyDescent="0.25">
      <c r="A2233">
        <v>2232</v>
      </c>
      <c r="B2233" s="1">
        <v>45753</v>
      </c>
      <c r="C2233" t="s">
        <v>63</v>
      </c>
      <c r="D2233" t="s">
        <v>68</v>
      </c>
      <c r="E2233" t="s">
        <v>13</v>
      </c>
      <c r="F2233">
        <v>2</v>
      </c>
      <c r="G2233" t="str">
        <f>VLOOKUP(D2233,Товары!A:I,3,0)</f>
        <v>Тумба с раковиной  навес. Альба 600 антрацит 1 ящик с умыв. Океан</v>
      </c>
      <c r="H2233">
        <f>VLOOKUP(D2233,Товары!A:I,6,0)</f>
        <v>85</v>
      </c>
      <c r="I2233" t="str">
        <f>VLOOKUP(C2233,Магазины!A:C,3,0)</f>
        <v>Ставрополь</v>
      </c>
      <c r="J2233">
        <f>VLOOKUP(D2233,Товары!A:I,4,0)</f>
        <v>17625</v>
      </c>
      <c r="K2233">
        <f t="shared" si="34"/>
        <v>35250</v>
      </c>
    </row>
    <row r="2234" spans="1:11" hidden="1" x14ac:dyDescent="0.25">
      <c r="A2234">
        <v>2233</v>
      </c>
      <c r="B2234" s="1">
        <v>45754</v>
      </c>
      <c r="C2234" t="s">
        <v>11</v>
      </c>
      <c r="D2234" t="s">
        <v>67</v>
      </c>
      <c r="E2234" t="s">
        <v>8</v>
      </c>
      <c r="F2234">
        <v>3</v>
      </c>
      <c r="G2234" t="str">
        <f>VLOOKUP(D2234,Товары!A:I,3,0)</f>
        <v>Пенал навес./напол. Альба 350 суфле 2 двери</v>
      </c>
      <c r="H2234">
        <f>VLOOKUP(D2234,Товары!A:I,6,0)</f>
        <v>150</v>
      </c>
      <c r="I2234" t="str">
        <f>VLOOKUP(C2234,Магазины!A:C,3,0)</f>
        <v>Кемерово</v>
      </c>
      <c r="J2234">
        <f>VLOOKUP(D2234,Товары!A:I,4,0)</f>
        <v>11655</v>
      </c>
      <c r="K2234">
        <f t="shared" si="34"/>
        <v>34965</v>
      </c>
    </row>
    <row r="2235" spans="1:11" hidden="1" x14ac:dyDescent="0.25">
      <c r="A2235">
        <v>2234</v>
      </c>
      <c r="B2235" s="1">
        <v>45756</v>
      </c>
      <c r="C2235" t="s">
        <v>14</v>
      </c>
      <c r="D2235" t="s">
        <v>104</v>
      </c>
      <c r="E2235" t="s">
        <v>13</v>
      </c>
      <c r="F2235">
        <v>3</v>
      </c>
      <c r="G2235" t="str">
        <f>VLOOKUP(D2235,Товары!A:I,3,0)</f>
        <v>Тумба под стиральную машину Куба Риф 57 подвесная 2 ящика под ст/маш, без умывальника /под Marshall 120 Белый</v>
      </c>
      <c r="H2235">
        <f>VLOOKUP(D2235,Товары!A:I,6,0)</f>
        <v>50</v>
      </c>
      <c r="I2235" t="str">
        <f>VLOOKUP(C2235,Магазины!A:C,3,0)</f>
        <v>Оренбург</v>
      </c>
      <c r="J2235">
        <f>VLOOKUP(D2235,Товары!A:I,4,0)</f>
        <v>8505</v>
      </c>
      <c r="K2235">
        <f t="shared" si="34"/>
        <v>25515</v>
      </c>
    </row>
    <row r="2236" spans="1:11" hidden="1" x14ac:dyDescent="0.25">
      <c r="A2236">
        <v>2235</v>
      </c>
      <c r="B2236" s="1">
        <v>45757</v>
      </c>
      <c r="C2236" t="s">
        <v>30</v>
      </c>
      <c r="D2236" t="s">
        <v>61</v>
      </c>
      <c r="E2236" t="s">
        <v>13</v>
      </c>
      <c r="F2236">
        <v>3</v>
      </c>
      <c r="G2236" t="str">
        <f>VLOOKUP(D2236,Товары!A:I,3,0)</f>
        <v>Тумба под стиральную машину Леон Риф 57 напольная 2 ящика под ст/маш, без умывальника /под Marshall 120 Солярис/Белый Риф</v>
      </c>
      <c r="H2236">
        <f>VLOOKUP(D2236,Товары!A:I,6,0)</f>
        <v>85</v>
      </c>
      <c r="I2236" t="str">
        <f>VLOOKUP(C2236,Магазины!A:C,3,0)</f>
        <v>Кемерово</v>
      </c>
      <c r="J2236">
        <f>VLOOKUP(D2236,Товары!A:I,4,0)</f>
        <v>17430</v>
      </c>
      <c r="K2236">
        <f t="shared" si="34"/>
        <v>52290</v>
      </c>
    </row>
    <row r="2237" spans="1:11" hidden="1" x14ac:dyDescent="0.25">
      <c r="A2237">
        <v>2236</v>
      </c>
      <c r="B2237" s="1">
        <v>45756</v>
      </c>
      <c r="C2237" t="s">
        <v>11</v>
      </c>
      <c r="D2237" t="s">
        <v>102</v>
      </c>
      <c r="E2237" t="s">
        <v>13</v>
      </c>
      <c r="F2237">
        <v>3</v>
      </c>
      <c r="G2237" t="str">
        <f>VLOOKUP(D2237,Товары!A:I,3,0)</f>
        <v>Тумба с раковиной  напол. Леон Риф 1000 солярис/белый риф 2 ящика с умыв. Слим</v>
      </c>
      <c r="H2237">
        <f>VLOOKUP(D2237,Товары!A:I,6,0)</f>
        <v>85</v>
      </c>
      <c r="I2237" t="str">
        <f>VLOOKUP(C2237,Магазины!A:C,3,0)</f>
        <v>Кемерово</v>
      </c>
      <c r="J2237">
        <f>VLOOKUP(D2237,Товары!A:I,4,0)</f>
        <v>32085</v>
      </c>
      <c r="K2237">
        <f t="shared" si="34"/>
        <v>96255</v>
      </c>
    </row>
    <row r="2238" spans="1:11" hidden="1" x14ac:dyDescent="0.25">
      <c r="A2238">
        <v>2237</v>
      </c>
      <c r="B2238" s="1">
        <v>45753</v>
      </c>
      <c r="C2238" t="s">
        <v>28</v>
      </c>
      <c r="D2238" t="s">
        <v>74</v>
      </c>
      <c r="E2238" t="s">
        <v>8</v>
      </c>
      <c r="F2238">
        <v>3</v>
      </c>
      <c r="G2238" t="str">
        <f>VLOOKUP(D2238,Товары!A:I,3,0)</f>
        <v>Тумба с раковиной  напол. Альба 800 суфле 2 ящика с умыв. Слим</v>
      </c>
      <c r="H2238">
        <f>VLOOKUP(D2238,Товары!A:I,6,0)</f>
        <v>80</v>
      </c>
      <c r="I2238" t="str">
        <f>VLOOKUP(C2238,Магазины!A:C,3,0)</f>
        <v>Набережные Челны</v>
      </c>
      <c r="J2238">
        <f>VLOOKUP(D2238,Товары!A:I,4,0)</f>
        <v>29340</v>
      </c>
      <c r="K2238">
        <f t="shared" si="34"/>
        <v>88020</v>
      </c>
    </row>
    <row r="2239" spans="1:11" hidden="1" x14ac:dyDescent="0.25">
      <c r="A2239">
        <v>2238</v>
      </c>
      <c r="B2239" s="1">
        <v>45751</v>
      </c>
      <c r="C2239" t="s">
        <v>14</v>
      </c>
      <c r="D2239" t="s">
        <v>32</v>
      </c>
      <c r="E2239" t="s">
        <v>8</v>
      </c>
      <c r="F2239">
        <v>2</v>
      </c>
      <c r="G2239" t="str">
        <f>VLOOKUP(D2239,Товары!A:I,3,0)</f>
        <v>Тумба с раковиной  напол. Леон Риф 700 солярис/белый риф 2 ящика с умыв. Слим</v>
      </c>
      <c r="H2239">
        <f>VLOOKUP(D2239,Товары!A:I,6,0)</f>
        <v>85</v>
      </c>
      <c r="I2239" t="str">
        <f>VLOOKUP(C2239,Магазины!A:C,3,0)</f>
        <v>Оренбург</v>
      </c>
      <c r="J2239">
        <f>VLOOKUP(D2239,Товары!A:I,4,0)</f>
        <v>26460</v>
      </c>
      <c r="K2239">
        <f t="shared" si="34"/>
        <v>52920</v>
      </c>
    </row>
    <row r="2240" spans="1:11" hidden="1" x14ac:dyDescent="0.25">
      <c r="A2240">
        <v>2239</v>
      </c>
      <c r="B2240" s="1">
        <v>45748</v>
      </c>
      <c r="C2240" t="s">
        <v>35</v>
      </c>
      <c r="D2240" t="s">
        <v>86</v>
      </c>
      <c r="E2240" t="s">
        <v>8</v>
      </c>
      <c r="F2240">
        <v>2</v>
      </c>
      <c r="G2240" t="str">
        <f>VLOOKUP(D2240,Товары!A:I,3,0)</f>
        <v>Комод Аква 50 напольный 1 ящик 2 двери белый</v>
      </c>
      <c r="H2240">
        <f>VLOOKUP(D2240,Товары!A:I,6,0)</f>
        <v>90</v>
      </c>
      <c r="I2240" t="str">
        <f>VLOOKUP(C2240,Магазины!A:C,3,0)</f>
        <v>Набережные Челны</v>
      </c>
      <c r="J2240">
        <f>VLOOKUP(D2240,Товары!A:I,4,0)</f>
        <v>7260</v>
      </c>
      <c r="K2240">
        <f t="shared" si="34"/>
        <v>14520</v>
      </c>
    </row>
    <row r="2241" spans="1:11" hidden="1" x14ac:dyDescent="0.25">
      <c r="A2241">
        <v>2240</v>
      </c>
      <c r="B2241" s="1">
        <v>45755</v>
      </c>
      <c r="C2241" t="s">
        <v>16</v>
      </c>
      <c r="D2241" t="s">
        <v>17</v>
      </c>
      <c r="E2241" t="s">
        <v>8</v>
      </c>
      <c r="F2241">
        <v>1</v>
      </c>
      <c r="G2241" t="str">
        <f>VLOOKUP(D2241,Товары!A:I,3,0)</f>
        <v>Тумба с раковиной  навес. Альба 800 антрацит 1 ящик с умыв. Слим</v>
      </c>
      <c r="H2241">
        <f>VLOOKUP(D2241,Товары!A:I,6,0)</f>
        <v>45</v>
      </c>
      <c r="I2241" t="str">
        <f>VLOOKUP(C2241,Магазины!A:C,3,0)</f>
        <v>Оренбург</v>
      </c>
      <c r="J2241">
        <f>VLOOKUP(D2241,Товары!A:I,4,0)</f>
        <v>21630</v>
      </c>
      <c r="K2241">
        <f t="shared" si="34"/>
        <v>21630</v>
      </c>
    </row>
    <row r="2242" spans="1:11" hidden="1" x14ac:dyDescent="0.25">
      <c r="A2242">
        <v>2241</v>
      </c>
      <c r="B2242" s="1">
        <v>45757</v>
      </c>
      <c r="C2242" t="s">
        <v>6</v>
      </c>
      <c r="D2242" t="s">
        <v>75</v>
      </c>
      <c r="E2242" t="s">
        <v>13</v>
      </c>
      <c r="F2242">
        <v>1</v>
      </c>
      <c r="G2242" t="str">
        <f>VLOOKUP(D2242,Товары!A:I,3,0)</f>
        <v>Тумба с раковиной  напол. Альба 600 суфле 2 ящика с умыв. Океан</v>
      </c>
      <c r="H2242">
        <f>VLOOKUP(D2242,Товары!A:I,6,0)</f>
        <v>80</v>
      </c>
      <c r="I2242" t="str">
        <f>VLOOKUP(C2242,Магазины!A:C,3,0)</f>
        <v>Оренбург</v>
      </c>
      <c r="J2242">
        <f>VLOOKUP(D2242,Товары!A:I,4,0)</f>
        <v>26370</v>
      </c>
      <c r="K2242">
        <f t="shared" si="34"/>
        <v>26370</v>
      </c>
    </row>
    <row r="2243" spans="1:11" hidden="1" x14ac:dyDescent="0.25">
      <c r="A2243">
        <v>2242</v>
      </c>
      <c r="B2243" s="1">
        <v>45754</v>
      </c>
      <c r="C2243" t="s">
        <v>111</v>
      </c>
      <c r="D2243" t="s">
        <v>21</v>
      </c>
      <c r="E2243" t="s">
        <v>8</v>
      </c>
      <c r="F2243">
        <v>2</v>
      </c>
      <c r="G2243" t="str">
        <f>VLOOKUP(D2243,Товары!A:I,3,0)</f>
        <v>Зеркальный шкаф Рица 60 со светильником правый цвет cерый/керамика</v>
      </c>
      <c r="H2243">
        <f>VLOOKUP(D2243,Товары!A:I,6,0)</f>
        <v>75</v>
      </c>
      <c r="I2243" t="str">
        <f>VLOOKUP(C2243,Магазины!A:C,3,0)</f>
        <v>Набережные Челны</v>
      </c>
      <c r="J2243">
        <f>VLOOKUP(D2243,Товары!A:I,4,0)</f>
        <v>8910</v>
      </c>
      <c r="K2243">
        <f t="shared" ref="K2243:K2306" si="35">J2243*F2243</f>
        <v>17820</v>
      </c>
    </row>
    <row r="2244" spans="1:11" hidden="1" x14ac:dyDescent="0.25">
      <c r="A2244">
        <v>2243</v>
      </c>
      <c r="B2244" s="1">
        <v>45749</v>
      </c>
      <c r="C2244" t="s">
        <v>111</v>
      </c>
      <c r="D2244" t="s">
        <v>97</v>
      </c>
      <c r="E2244" t="s">
        <v>13</v>
      </c>
      <c r="F2244">
        <v>1</v>
      </c>
      <c r="G2244" t="str">
        <f>VLOOKUP(D2244,Товары!A:I,3,0)</f>
        <v>Пенал напол. Кристалл 350 суфле 2 двери</v>
      </c>
      <c r="H2244">
        <f>VLOOKUP(D2244,Товары!A:I,6,0)</f>
        <v>190</v>
      </c>
      <c r="I2244" t="str">
        <f>VLOOKUP(C2244,Магазины!A:C,3,0)</f>
        <v>Набережные Челны</v>
      </c>
      <c r="J2244">
        <f>VLOOKUP(D2244,Товары!A:I,4,0)</f>
        <v>15810</v>
      </c>
      <c r="K2244">
        <f t="shared" si="35"/>
        <v>15810</v>
      </c>
    </row>
    <row r="2245" spans="1:11" hidden="1" x14ac:dyDescent="0.25">
      <c r="A2245">
        <v>2244</v>
      </c>
      <c r="B2245" s="1">
        <v>45748</v>
      </c>
      <c r="C2245" t="s">
        <v>14</v>
      </c>
      <c r="D2245" t="s">
        <v>50</v>
      </c>
      <c r="E2245" t="s">
        <v>8</v>
      </c>
      <c r="F2245">
        <v>2</v>
      </c>
      <c r="G2245" t="str">
        <f>VLOOKUP(D2245,Товары!A:I,3,0)</f>
        <v>Тумба с раковиной  напол. Леон 800 оникс 2 ящика с умыв. Слим</v>
      </c>
      <c r="H2245">
        <f>VLOOKUP(D2245,Товары!A:I,6,0)</f>
        <v>80</v>
      </c>
      <c r="I2245" t="str">
        <f>VLOOKUP(C2245,Магазины!A:C,3,0)</f>
        <v>Оренбург</v>
      </c>
      <c r="J2245">
        <f>VLOOKUP(D2245,Товары!A:I,4,0)</f>
        <v>29400</v>
      </c>
      <c r="K2245">
        <f t="shared" si="35"/>
        <v>58800</v>
      </c>
    </row>
    <row r="2246" spans="1:11" hidden="1" x14ac:dyDescent="0.25">
      <c r="A2246">
        <v>2245</v>
      </c>
      <c r="B2246" s="1">
        <v>45756</v>
      </c>
      <c r="C2246" t="s">
        <v>41</v>
      </c>
      <c r="D2246" t="s">
        <v>114</v>
      </c>
      <c r="E2246" t="s">
        <v>8</v>
      </c>
      <c r="F2246">
        <v>3</v>
      </c>
      <c r="G2246" t="str">
        <f>VLOOKUP(D2246,Товары!A:I,3,0)</f>
        <v>Тумба с раковиной  навес. Альба 700 мята 2 ящика с умыв. Слим</v>
      </c>
      <c r="H2246">
        <f>VLOOKUP(D2246,Товары!A:I,6,0)</f>
        <v>60</v>
      </c>
      <c r="I2246" t="str">
        <f>VLOOKUP(C2246,Магазины!A:C,3,0)</f>
        <v>Ставрополь</v>
      </c>
      <c r="J2246">
        <f>VLOOKUP(D2246,Товары!A:I,4,0)</f>
        <v>25095</v>
      </c>
      <c r="K2246">
        <f t="shared" si="35"/>
        <v>75285</v>
      </c>
    </row>
    <row r="2247" spans="1:11" hidden="1" x14ac:dyDescent="0.25">
      <c r="A2247">
        <v>2246</v>
      </c>
      <c r="B2247" s="1">
        <v>45753</v>
      </c>
      <c r="C2247" t="s">
        <v>111</v>
      </c>
      <c r="D2247" t="s">
        <v>106</v>
      </c>
      <c r="E2247" t="s">
        <v>8</v>
      </c>
      <c r="F2247">
        <v>2</v>
      </c>
      <c r="G2247" t="str">
        <f>VLOOKUP(D2247,Товары!A:I,3,0)</f>
        <v>Тумба с раковиной  навес. Кристалл 700 шато азур 2 ящика с умыв. Слим</v>
      </c>
      <c r="H2247">
        <f>VLOOKUP(D2247,Товары!A:I,6,0)</f>
        <v>60</v>
      </c>
      <c r="I2247" t="str">
        <f>VLOOKUP(C2247,Магазины!A:C,3,0)</f>
        <v>Набережные Челны</v>
      </c>
      <c r="J2247">
        <f>VLOOKUP(D2247,Товары!A:I,4,0)</f>
        <v>24150</v>
      </c>
      <c r="K2247">
        <f t="shared" si="35"/>
        <v>48300</v>
      </c>
    </row>
    <row r="2248" spans="1:11" hidden="1" x14ac:dyDescent="0.25">
      <c r="A2248">
        <v>2247</v>
      </c>
      <c r="B2248" s="1">
        <v>45756</v>
      </c>
      <c r="C2248" t="s">
        <v>6</v>
      </c>
      <c r="D2248" t="s">
        <v>49</v>
      </c>
      <c r="E2248" t="s">
        <v>13</v>
      </c>
      <c r="F2248">
        <v>2</v>
      </c>
      <c r="G2248" t="str">
        <f>VLOOKUP(D2248,Товары!A:I,3,0)</f>
        <v>Тумба с раковиной  напол. Леон 700 оникс 2 ящика с умыв. Слим</v>
      </c>
      <c r="H2248">
        <f>VLOOKUP(D2248,Товары!A:I,6,0)</f>
        <v>80</v>
      </c>
      <c r="I2248" t="str">
        <f>VLOOKUP(C2248,Магазины!A:C,3,0)</f>
        <v>Оренбург</v>
      </c>
      <c r="J2248">
        <f>VLOOKUP(D2248,Товары!A:I,4,0)</f>
        <v>28380</v>
      </c>
      <c r="K2248">
        <f t="shared" si="35"/>
        <v>56760</v>
      </c>
    </row>
    <row r="2249" spans="1:11" hidden="1" x14ac:dyDescent="0.25">
      <c r="A2249">
        <v>2248</v>
      </c>
      <c r="B2249" s="1">
        <v>45756</v>
      </c>
      <c r="C2249" t="s">
        <v>16</v>
      </c>
      <c r="D2249" t="s">
        <v>66</v>
      </c>
      <c r="E2249" t="s">
        <v>13</v>
      </c>
      <c r="F2249">
        <v>3</v>
      </c>
      <c r="G2249" t="str">
        <f>VLOOKUP(D2249,Товары!A:I,3,0)</f>
        <v>Тумба с раковиной  навес. Альба 800 мята 2 ящика с умыв. Слим</v>
      </c>
      <c r="H2249">
        <f>VLOOKUP(D2249,Товары!A:I,6,0)</f>
        <v>50</v>
      </c>
      <c r="I2249" t="str">
        <f>VLOOKUP(C2249,Магазины!A:C,3,0)</f>
        <v>Оренбург</v>
      </c>
      <c r="J2249">
        <f>VLOOKUP(D2249,Товары!A:I,4,0)</f>
        <v>26070</v>
      </c>
      <c r="K2249">
        <f t="shared" si="35"/>
        <v>78210</v>
      </c>
    </row>
    <row r="2250" spans="1:11" hidden="1" x14ac:dyDescent="0.25">
      <c r="A2250">
        <v>2249</v>
      </c>
      <c r="B2250" s="1">
        <v>45752</v>
      </c>
      <c r="C2250" t="s">
        <v>33</v>
      </c>
      <c r="D2250" t="s">
        <v>113</v>
      </c>
      <c r="E2250" t="s">
        <v>13</v>
      </c>
      <c r="F2250">
        <v>1</v>
      </c>
      <c r="G2250" t="str">
        <f>VLOOKUP(D2250,Товары!A:I,3,0)</f>
        <v>Зеркальный шкаф Альба 60 со светильником правый цвет мята</v>
      </c>
      <c r="H2250">
        <f>VLOOKUP(D2250,Товары!A:I,6,0)</f>
        <v>75</v>
      </c>
      <c r="I2250" t="str">
        <f>VLOOKUP(C2250,Магазины!A:C,3,0)</f>
        <v>Набережные Челны</v>
      </c>
      <c r="J2250">
        <f>VLOOKUP(D2250,Товары!A:I,4,0)</f>
        <v>8910</v>
      </c>
      <c r="K2250">
        <f t="shared" si="35"/>
        <v>8910</v>
      </c>
    </row>
    <row r="2251" spans="1:11" hidden="1" x14ac:dyDescent="0.25">
      <c r="A2251">
        <v>2250</v>
      </c>
      <c r="B2251" s="1">
        <v>45749</v>
      </c>
      <c r="C2251" t="s">
        <v>41</v>
      </c>
      <c r="D2251" t="s">
        <v>52</v>
      </c>
      <c r="E2251" t="s">
        <v>8</v>
      </c>
      <c r="F2251">
        <v>2</v>
      </c>
      <c r="G2251" t="str">
        <f>VLOOKUP(D2251,Товары!A:I,3,0)</f>
        <v>Тумба с раковиной  напол. Кристалл 600 суфле 2 ящика с умыв. Океан</v>
      </c>
      <c r="H2251">
        <f>VLOOKUP(D2251,Товары!A:I,6,0)</f>
        <v>80</v>
      </c>
      <c r="I2251" t="str">
        <f>VLOOKUP(C2251,Магазины!A:C,3,0)</f>
        <v>Ставрополь</v>
      </c>
      <c r="J2251">
        <f>VLOOKUP(D2251,Товары!A:I,4,0)</f>
        <v>27600</v>
      </c>
      <c r="K2251">
        <f t="shared" si="35"/>
        <v>55200</v>
      </c>
    </row>
    <row r="2252" spans="1:11" hidden="1" x14ac:dyDescent="0.25">
      <c r="A2252">
        <v>2251</v>
      </c>
      <c r="B2252" s="1">
        <v>45754</v>
      </c>
      <c r="C2252" t="s">
        <v>58</v>
      </c>
      <c r="D2252" t="s">
        <v>128</v>
      </c>
      <c r="E2252" t="s">
        <v>13</v>
      </c>
      <c r="F2252">
        <v>3</v>
      </c>
      <c r="G2252" t="str">
        <f>VLOOKUP(D2252,Товары!A:I,3,0)</f>
        <v>Тумба с раковиной  напол. Куба Риф 1000 белый 2 ящика с умыв. Слим</v>
      </c>
      <c r="H2252">
        <f>VLOOKUP(D2252,Товары!A:I,6,0)</f>
        <v>85</v>
      </c>
      <c r="I2252" t="str">
        <f>VLOOKUP(C2252,Магазины!A:C,3,0)</f>
        <v>Ставрополь</v>
      </c>
      <c r="J2252">
        <f>VLOOKUP(D2252,Товары!A:I,4,0)</f>
        <v>22905</v>
      </c>
      <c r="K2252">
        <f t="shared" si="35"/>
        <v>68715</v>
      </c>
    </row>
    <row r="2253" spans="1:11" hidden="1" x14ac:dyDescent="0.25">
      <c r="A2253">
        <v>2252</v>
      </c>
      <c r="B2253" s="1">
        <v>45751</v>
      </c>
      <c r="C2253" t="s">
        <v>54</v>
      </c>
      <c r="D2253" t="s">
        <v>86</v>
      </c>
      <c r="E2253" t="s">
        <v>8</v>
      </c>
      <c r="F2253">
        <v>2</v>
      </c>
      <c r="G2253" t="str">
        <f>VLOOKUP(D2253,Товары!A:I,3,0)</f>
        <v>Комод Аква 50 напольный 1 ящик 2 двери белый</v>
      </c>
      <c r="H2253">
        <f>VLOOKUP(D2253,Товары!A:I,6,0)</f>
        <v>90</v>
      </c>
      <c r="I2253" t="str">
        <f>VLOOKUP(C2253,Магазины!A:C,3,0)</f>
        <v>Ставрополь</v>
      </c>
      <c r="J2253">
        <f>VLOOKUP(D2253,Товары!A:I,4,0)</f>
        <v>7260</v>
      </c>
      <c r="K2253">
        <f t="shared" si="35"/>
        <v>14520</v>
      </c>
    </row>
    <row r="2254" spans="1:11" hidden="1" x14ac:dyDescent="0.25">
      <c r="A2254">
        <v>2253</v>
      </c>
      <c r="B2254" s="1">
        <v>45757</v>
      </c>
      <c r="C2254" t="s">
        <v>58</v>
      </c>
      <c r="D2254" t="s">
        <v>99</v>
      </c>
      <c r="E2254" t="s">
        <v>13</v>
      </c>
      <c r="F2254">
        <v>2</v>
      </c>
      <c r="G2254" t="str">
        <f>VLOOKUP(D2254,Товары!A:I,3,0)</f>
        <v>Тумба с раковиной  навес. Леон 600 оникс 2 ящика с умыв. Слим</v>
      </c>
      <c r="H2254">
        <f>VLOOKUP(D2254,Товары!A:I,6,0)</f>
        <v>60</v>
      </c>
      <c r="I2254" t="str">
        <f>VLOOKUP(C2254,Магазины!A:C,3,0)</f>
        <v>Ставрополь</v>
      </c>
      <c r="J2254">
        <f>VLOOKUP(D2254,Товары!A:I,4,0)</f>
        <v>25125</v>
      </c>
      <c r="K2254">
        <f t="shared" si="35"/>
        <v>50250</v>
      </c>
    </row>
    <row r="2255" spans="1:11" hidden="1" x14ac:dyDescent="0.25">
      <c r="A2255">
        <v>2254</v>
      </c>
      <c r="B2255" s="1">
        <v>45750</v>
      </c>
      <c r="C2255" t="s">
        <v>63</v>
      </c>
      <c r="D2255" t="s">
        <v>127</v>
      </c>
      <c r="E2255" t="s">
        <v>13</v>
      </c>
      <c r="F2255">
        <v>1</v>
      </c>
      <c r="G2255" t="str">
        <f>VLOOKUP(D2255,Товары!A:I,3,0)</f>
        <v>Тумба с раковиной  навес. Альба 700 мята 1 ящик с умыв. Слим</v>
      </c>
      <c r="H2255">
        <f>VLOOKUP(D2255,Товары!A:I,6,0)</f>
        <v>45</v>
      </c>
      <c r="I2255" t="str">
        <f>VLOOKUP(C2255,Магазины!A:C,3,0)</f>
        <v>Ставрополь</v>
      </c>
      <c r="J2255">
        <f>VLOOKUP(D2255,Товары!A:I,4,0)</f>
        <v>20130</v>
      </c>
      <c r="K2255">
        <f t="shared" si="35"/>
        <v>20130</v>
      </c>
    </row>
    <row r="2256" spans="1:11" hidden="1" x14ac:dyDescent="0.25">
      <c r="A2256">
        <v>2255</v>
      </c>
      <c r="B2256" s="1">
        <v>45755</v>
      </c>
      <c r="C2256" t="s">
        <v>57</v>
      </c>
      <c r="D2256" t="s">
        <v>76</v>
      </c>
      <c r="E2256" t="s">
        <v>8</v>
      </c>
      <c r="F2256">
        <v>1</v>
      </c>
      <c r="G2256" t="str">
        <f>VLOOKUP(D2256,Товары!A:I,3,0)</f>
        <v>Тумба с раковиной  напол. Леон 600 оникс 2 ящика с умыв. Слим</v>
      </c>
      <c r="H2256">
        <f>VLOOKUP(D2256,Товары!A:I,6,0)</f>
        <v>80</v>
      </c>
      <c r="I2256" t="str">
        <f>VLOOKUP(C2256,Магазины!A:C,3,0)</f>
        <v>Оренбург</v>
      </c>
      <c r="J2256">
        <f>VLOOKUP(D2256,Товары!A:I,4,0)</f>
        <v>25860</v>
      </c>
      <c r="K2256">
        <f t="shared" si="35"/>
        <v>25860</v>
      </c>
    </row>
    <row r="2257" spans="1:11" hidden="1" x14ac:dyDescent="0.25">
      <c r="A2257">
        <v>2256</v>
      </c>
      <c r="B2257" s="1">
        <v>45750</v>
      </c>
      <c r="C2257" t="s">
        <v>22</v>
      </c>
      <c r="D2257" t="s">
        <v>37</v>
      </c>
      <c r="E2257" t="s">
        <v>8</v>
      </c>
      <c r="F2257">
        <v>2</v>
      </c>
      <c r="G2257" t="str">
        <f>VLOOKUP(D2257,Товары!A:I,3,0)</f>
        <v>Зеркальный шкаф Сохо 70 белый со светильником правый цвет Белый глянец</v>
      </c>
      <c r="H2257">
        <f>VLOOKUP(D2257,Товары!A:I,6,0)</f>
        <v>75</v>
      </c>
      <c r="I2257" t="str">
        <f>VLOOKUP(C2257,Магазины!A:C,3,0)</f>
        <v>Кемерово</v>
      </c>
      <c r="J2257">
        <f>VLOOKUP(D2257,Товары!A:I,4,0)</f>
        <v>7935</v>
      </c>
      <c r="K2257">
        <f t="shared" si="35"/>
        <v>15870</v>
      </c>
    </row>
    <row r="2258" spans="1:11" hidden="1" x14ac:dyDescent="0.25">
      <c r="A2258">
        <v>2257</v>
      </c>
      <c r="B2258" s="1">
        <v>45754</v>
      </c>
      <c r="C2258" t="s">
        <v>33</v>
      </c>
      <c r="D2258" t="s">
        <v>118</v>
      </c>
      <c r="E2258" t="s">
        <v>8</v>
      </c>
      <c r="F2258">
        <v>1</v>
      </c>
      <c r="G2258" t="str">
        <f>VLOOKUP(D2258,Товары!A:I,3,0)</f>
        <v>Тумба с раковиной  напол. Сохо 800 белый 2 ящика с умыв. Слим</v>
      </c>
      <c r="H2258">
        <f>VLOOKUP(D2258,Товары!A:I,6,0)</f>
        <v>85</v>
      </c>
      <c r="I2258" t="str">
        <f>VLOOKUP(C2258,Магазины!A:C,3,0)</f>
        <v>Набережные Челны</v>
      </c>
      <c r="J2258">
        <f>VLOOKUP(D2258,Товары!A:I,4,0)</f>
        <v>19575</v>
      </c>
      <c r="K2258">
        <f t="shared" si="35"/>
        <v>19575</v>
      </c>
    </row>
    <row r="2259" spans="1:11" hidden="1" x14ac:dyDescent="0.25">
      <c r="A2259">
        <v>2258</v>
      </c>
      <c r="B2259" s="1">
        <v>45753</v>
      </c>
      <c r="C2259" t="s">
        <v>92</v>
      </c>
      <c r="D2259" t="s">
        <v>108</v>
      </c>
      <c r="E2259" t="s">
        <v>13</v>
      </c>
      <c r="F2259">
        <v>1</v>
      </c>
      <c r="G2259" t="str">
        <f>VLOOKUP(D2259,Товары!A:I,3,0)</f>
        <v>Тумба с раковиной  навес. Виктория 1000 белый 2 ящика с умыв. Слим</v>
      </c>
      <c r="H2259">
        <f>VLOOKUP(D2259,Товары!A:I,6,0)</f>
        <v>60</v>
      </c>
      <c r="I2259" t="str">
        <f>VLOOKUP(C2259,Магазины!A:C,3,0)</f>
        <v>Кемерово</v>
      </c>
      <c r="J2259">
        <f>VLOOKUP(D2259,Товары!A:I,4,0)</f>
        <v>29205</v>
      </c>
      <c r="K2259">
        <f t="shared" si="35"/>
        <v>29205</v>
      </c>
    </row>
    <row r="2260" spans="1:11" hidden="1" x14ac:dyDescent="0.25">
      <c r="A2260">
        <v>2259</v>
      </c>
      <c r="B2260" s="1">
        <v>45749</v>
      </c>
      <c r="C2260" t="s">
        <v>9</v>
      </c>
      <c r="D2260" t="s">
        <v>74</v>
      </c>
      <c r="E2260" t="s">
        <v>8</v>
      </c>
      <c r="F2260">
        <v>2</v>
      </c>
      <c r="G2260" t="str">
        <f>VLOOKUP(D2260,Товары!A:I,3,0)</f>
        <v>Тумба с раковиной  напол. Альба 800 суфле 2 ящика с умыв. Слим</v>
      </c>
      <c r="H2260">
        <f>VLOOKUP(D2260,Товары!A:I,6,0)</f>
        <v>80</v>
      </c>
      <c r="I2260" t="str">
        <f>VLOOKUP(C2260,Магазины!A:C,3,0)</f>
        <v>Кемерово</v>
      </c>
      <c r="J2260">
        <f>VLOOKUP(D2260,Товары!A:I,4,0)</f>
        <v>29340</v>
      </c>
      <c r="K2260">
        <f t="shared" si="35"/>
        <v>58680</v>
      </c>
    </row>
    <row r="2261" spans="1:11" hidden="1" x14ac:dyDescent="0.25">
      <c r="A2261">
        <v>2260</v>
      </c>
      <c r="B2261" s="1">
        <v>45756</v>
      </c>
      <c r="C2261" t="s">
        <v>57</v>
      </c>
      <c r="D2261" t="s">
        <v>118</v>
      </c>
      <c r="E2261" t="s">
        <v>8</v>
      </c>
      <c r="F2261">
        <v>2</v>
      </c>
      <c r="G2261" t="str">
        <f>VLOOKUP(D2261,Товары!A:I,3,0)</f>
        <v>Тумба с раковиной  напол. Сохо 800 белый 2 ящика с умыв. Слим</v>
      </c>
      <c r="H2261">
        <f>VLOOKUP(D2261,Товары!A:I,6,0)</f>
        <v>85</v>
      </c>
      <c r="I2261" t="str">
        <f>VLOOKUP(C2261,Магазины!A:C,3,0)</f>
        <v>Оренбург</v>
      </c>
      <c r="J2261">
        <f>VLOOKUP(D2261,Товары!A:I,4,0)</f>
        <v>19575</v>
      </c>
      <c r="K2261">
        <f t="shared" si="35"/>
        <v>39150</v>
      </c>
    </row>
    <row r="2262" spans="1:11" hidden="1" x14ac:dyDescent="0.25">
      <c r="A2262">
        <v>2261</v>
      </c>
      <c r="B2262" s="1">
        <v>45751</v>
      </c>
      <c r="C2262" t="s">
        <v>28</v>
      </c>
      <c r="D2262" t="s">
        <v>70</v>
      </c>
      <c r="E2262" t="s">
        <v>8</v>
      </c>
      <c r="F2262">
        <v>3</v>
      </c>
      <c r="G2262" t="str">
        <f>VLOOKUP(D2262,Товары!A:I,3,0)</f>
        <v>Тумба с раковиной  напол. Кристалл 700 шато азур 2 ящика с умыв. Слим</v>
      </c>
      <c r="H2262">
        <f>VLOOKUP(D2262,Товары!A:I,6,0)</f>
        <v>85</v>
      </c>
      <c r="I2262" t="str">
        <f>VLOOKUP(C2262,Магазины!A:C,3,0)</f>
        <v>Набережные Челны</v>
      </c>
      <c r="J2262">
        <f>VLOOKUP(D2262,Товары!A:I,4,0)</f>
        <v>29910</v>
      </c>
      <c r="K2262">
        <f t="shared" si="35"/>
        <v>89730</v>
      </c>
    </row>
    <row r="2263" spans="1:11" hidden="1" x14ac:dyDescent="0.25">
      <c r="A2263">
        <v>2262</v>
      </c>
      <c r="B2263" s="1">
        <v>45753</v>
      </c>
      <c r="C2263" t="s">
        <v>14</v>
      </c>
      <c r="D2263" t="s">
        <v>38</v>
      </c>
      <c r="E2263" t="s">
        <v>13</v>
      </c>
      <c r="F2263">
        <v>3</v>
      </c>
      <c r="G2263" t="str">
        <f>VLOOKUP(D2263,Товары!A:I,3,0)</f>
        <v>Тумба с раковиной  навес. Куба Риф 600 белый 2 ящика с умыв. Como</v>
      </c>
      <c r="H2263">
        <f>VLOOKUP(D2263,Товары!A:I,6,0)</f>
        <v>55</v>
      </c>
      <c r="I2263" t="str">
        <f>VLOOKUP(C2263,Магазины!A:C,3,0)</f>
        <v>Оренбург</v>
      </c>
      <c r="J2263">
        <f>VLOOKUP(D2263,Товары!A:I,4,0)</f>
        <v>14265</v>
      </c>
      <c r="K2263">
        <f t="shared" si="35"/>
        <v>42795</v>
      </c>
    </row>
    <row r="2264" spans="1:11" hidden="1" x14ac:dyDescent="0.25">
      <c r="A2264">
        <v>2263</v>
      </c>
      <c r="B2264" s="1">
        <v>45751</v>
      </c>
      <c r="C2264" t="s">
        <v>30</v>
      </c>
      <c r="D2264" t="s">
        <v>85</v>
      </c>
      <c r="E2264" t="s">
        <v>13</v>
      </c>
      <c r="F2264">
        <v>2</v>
      </c>
      <c r="G2264" t="str">
        <f>VLOOKUP(D2264,Товары!A:I,3,0)</f>
        <v>Пенал напол. Аква 450 белый 2 двери + 2 ящика + корзина</v>
      </c>
      <c r="H2264">
        <f>VLOOKUP(D2264,Товары!A:I,6,0)</f>
        <v>190</v>
      </c>
      <c r="I2264" t="str">
        <f>VLOOKUP(C2264,Магазины!A:C,3,0)</f>
        <v>Кемерово</v>
      </c>
      <c r="J2264">
        <f>VLOOKUP(D2264,Товары!A:I,4,0)</f>
        <v>13335</v>
      </c>
      <c r="K2264">
        <f t="shared" si="35"/>
        <v>26670</v>
      </c>
    </row>
    <row r="2265" spans="1:11" hidden="1" x14ac:dyDescent="0.25">
      <c r="A2265">
        <v>2264</v>
      </c>
      <c r="B2265" s="1">
        <v>45756</v>
      </c>
      <c r="C2265" t="s">
        <v>11</v>
      </c>
      <c r="D2265" t="s">
        <v>79</v>
      </c>
      <c r="E2265" t="s">
        <v>8</v>
      </c>
      <c r="F2265">
        <v>2</v>
      </c>
      <c r="G2265" t="str">
        <f>VLOOKUP(D2265,Товары!A:I,3,0)</f>
        <v>Зеркальный шкаф Альба 70 со светильником правый цвет мята</v>
      </c>
      <c r="H2265">
        <f>VLOOKUP(D2265,Товары!A:I,6,0)</f>
        <v>75</v>
      </c>
      <c r="I2265" t="str">
        <f>VLOOKUP(C2265,Магазины!A:C,3,0)</f>
        <v>Кемерово</v>
      </c>
      <c r="J2265">
        <f>VLOOKUP(D2265,Товары!A:I,4,0)</f>
        <v>9615</v>
      </c>
      <c r="K2265">
        <f t="shared" si="35"/>
        <v>19230</v>
      </c>
    </row>
    <row r="2266" spans="1:11" hidden="1" x14ac:dyDescent="0.25">
      <c r="A2266">
        <v>2265</v>
      </c>
      <c r="B2266" s="1">
        <v>45749</v>
      </c>
      <c r="C2266" t="s">
        <v>35</v>
      </c>
      <c r="D2266" t="s">
        <v>34</v>
      </c>
      <c r="E2266" t="s">
        <v>8</v>
      </c>
      <c r="F2266">
        <v>3</v>
      </c>
      <c r="G2266" t="str">
        <f>VLOOKUP(D2266,Товары!A:I,3,0)</f>
        <v>Тумба с раковиной  навес. Леон 700 форест 2 ящика с умыв. Слим</v>
      </c>
      <c r="H2266">
        <f>VLOOKUP(D2266,Товары!A:I,6,0)</f>
        <v>60</v>
      </c>
      <c r="I2266" t="str">
        <f>VLOOKUP(C2266,Магазины!A:C,3,0)</f>
        <v>Набережные Челны</v>
      </c>
      <c r="J2266">
        <f>VLOOKUP(D2266,Товары!A:I,4,0)</f>
        <v>26220</v>
      </c>
      <c r="K2266">
        <f t="shared" si="35"/>
        <v>78660</v>
      </c>
    </row>
    <row r="2267" spans="1:11" hidden="1" x14ac:dyDescent="0.25">
      <c r="A2267">
        <v>2266</v>
      </c>
      <c r="B2267" s="1">
        <v>45750</v>
      </c>
      <c r="C2267" t="s">
        <v>22</v>
      </c>
      <c r="D2267" t="s">
        <v>17</v>
      </c>
      <c r="E2267" t="s">
        <v>8</v>
      </c>
      <c r="F2267">
        <v>2</v>
      </c>
      <c r="G2267" t="str">
        <f>VLOOKUP(D2267,Товары!A:I,3,0)</f>
        <v>Тумба с раковиной  навес. Альба 800 антрацит 1 ящик с умыв. Слим</v>
      </c>
      <c r="H2267">
        <f>VLOOKUP(D2267,Товары!A:I,6,0)</f>
        <v>45</v>
      </c>
      <c r="I2267" t="str">
        <f>VLOOKUP(C2267,Магазины!A:C,3,0)</f>
        <v>Кемерово</v>
      </c>
      <c r="J2267">
        <f>VLOOKUP(D2267,Товары!A:I,4,0)</f>
        <v>21630</v>
      </c>
      <c r="K2267">
        <f t="shared" si="35"/>
        <v>43260</v>
      </c>
    </row>
    <row r="2268" spans="1:11" hidden="1" x14ac:dyDescent="0.25">
      <c r="A2268">
        <v>2267</v>
      </c>
      <c r="B2268" s="1">
        <v>45757</v>
      </c>
      <c r="C2268" t="s">
        <v>63</v>
      </c>
      <c r="D2268" t="s">
        <v>47</v>
      </c>
      <c r="E2268" t="s">
        <v>13</v>
      </c>
      <c r="F2268">
        <v>1</v>
      </c>
      <c r="G2268" t="str">
        <f>VLOOKUP(D2268,Товары!A:I,3,0)</f>
        <v>Пенал напол. Кристалл 350 шато азур 2 двери</v>
      </c>
      <c r="H2268">
        <f>VLOOKUP(D2268,Товары!A:I,6,0)</f>
        <v>190</v>
      </c>
      <c r="I2268" t="str">
        <f>VLOOKUP(C2268,Магазины!A:C,3,0)</f>
        <v>Ставрополь</v>
      </c>
      <c r="J2268">
        <f>VLOOKUP(D2268,Товары!A:I,4,0)</f>
        <v>15810</v>
      </c>
      <c r="K2268">
        <f t="shared" si="35"/>
        <v>15810</v>
      </c>
    </row>
    <row r="2269" spans="1:11" hidden="1" x14ac:dyDescent="0.25">
      <c r="A2269">
        <v>2268</v>
      </c>
      <c r="B2269" s="1">
        <v>45755</v>
      </c>
      <c r="C2269" t="s">
        <v>14</v>
      </c>
      <c r="D2269" t="s">
        <v>27</v>
      </c>
      <c r="E2269" t="s">
        <v>8</v>
      </c>
      <c r="F2269">
        <v>2</v>
      </c>
      <c r="G2269" t="str">
        <f>VLOOKUP(D2269,Товары!A:I,3,0)</f>
        <v>Тумба с раковиной  навес. Виктория 800 белый 2 ящика с умыв. Слим</v>
      </c>
      <c r="H2269">
        <f>VLOOKUP(D2269,Товары!A:I,6,0)</f>
        <v>60</v>
      </c>
      <c r="I2269" t="str">
        <f>VLOOKUP(C2269,Магазины!A:C,3,0)</f>
        <v>Оренбург</v>
      </c>
      <c r="J2269">
        <f>VLOOKUP(D2269,Товары!A:I,4,0)</f>
        <v>25290</v>
      </c>
      <c r="K2269">
        <f t="shared" si="35"/>
        <v>50580</v>
      </c>
    </row>
    <row r="2270" spans="1:11" hidden="1" x14ac:dyDescent="0.25">
      <c r="A2270">
        <v>2269</v>
      </c>
      <c r="B2270" s="1">
        <v>45750</v>
      </c>
      <c r="C2270" t="s">
        <v>111</v>
      </c>
      <c r="D2270" t="s">
        <v>21</v>
      </c>
      <c r="E2270" t="s">
        <v>8</v>
      </c>
      <c r="F2270">
        <v>2</v>
      </c>
      <c r="G2270" t="str">
        <f>VLOOKUP(D2270,Товары!A:I,3,0)</f>
        <v>Зеркальный шкаф Рица 60 со светильником правый цвет cерый/керамика</v>
      </c>
      <c r="H2270">
        <f>VLOOKUP(D2270,Товары!A:I,6,0)</f>
        <v>75</v>
      </c>
      <c r="I2270" t="str">
        <f>VLOOKUP(C2270,Магазины!A:C,3,0)</f>
        <v>Набережные Челны</v>
      </c>
      <c r="J2270">
        <f>VLOOKUP(D2270,Товары!A:I,4,0)</f>
        <v>8910</v>
      </c>
      <c r="K2270">
        <f t="shared" si="35"/>
        <v>17820</v>
      </c>
    </row>
    <row r="2271" spans="1:11" hidden="1" x14ac:dyDescent="0.25">
      <c r="A2271">
        <v>2270</v>
      </c>
      <c r="B2271" s="1">
        <v>45754</v>
      </c>
      <c r="C2271" t="s">
        <v>63</v>
      </c>
      <c r="D2271" t="s">
        <v>126</v>
      </c>
      <c r="E2271" t="s">
        <v>8</v>
      </c>
      <c r="F2271">
        <v>2</v>
      </c>
      <c r="G2271" t="str">
        <f>VLOOKUP(D2271,Товары!A:I,3,0)</f>
        <v>Тумба с раковиной  напол. Кристалл 800 шато азур 2 ящика с умыв. Комфорт</v>
      </c>
      <c r="H2271">
        <f>VLOOKUP(D2271,Товары!A:I,6,0)</f>
        <v>85</v>
      </c>
      <c r="I2271" t="str">
        <f>VLOOKUP(C2271,Магазины!A:C,3,0)</f>
        <v>Ставрополь</v>
      </c>
      <c r="J2271">
        <f>VLOOKUP(D2271,Товары!A:I,4,0)</f>
        <v>31125</v>
      </c>
      <c r="K2271">
        <f t="shared" si="35"/>
        <v>62250</v>
      </c>
    </row>
    <row r="2272" spans="1:11" hidden="1" x14ac:dyDescent="0.25">
      <c r="A2272">
        <v>2271</v>
      </c>
      <c r="B2272" s="1">
        <v>45755</v>
      </c>
      <c r="C2272" t="s">
        <v>14</v>
      </c>
      <c r="D2272" t="s">
        <v>78</v>
      </c>
      <c r="E2272" t="s">
        <v>13</v>
      </c>
      <c r="F2272">
        <v>3</v>
      </c>
      <c r="G2272" t="str">
        <f>VLOOKUP(D2272,Товары!A:I,3,0)</f>
        <v>Зеркальный шкаф Кристалл 70 со светильником правый, ручка кнопка дуб цвет Шато Азур</v>
      </c>
      <c r="H2272">
        <f>VLOOKUP(D2272,Товары!A:I,6,0)</f>
        <v>75</v>
      </c>
      <c r="I2272" t="str">
        <f>VLOOKUP(C2272,Магазины!A:C,3,0)</f>
        <v>Оренбург</v>
      </c>
      <c r="J2272">
        <f>VLOOKUP(D2272,Товары!A:I,4,0)</f>
        <v>9615</v>
      </c>
      <c r="K2272">
        <f t="shared" si="35"/>
        <v>28845</v>
      </c>
    </row>
    <row r="2273" spans="1:11" hidden="1" x14ac:dyDescent="0.25">
      <c r="A2273">
        <v>2272</v>
      </c>
      <c r="B2273" s="1">
        <v>45748</v>
      </c>
      <c r="C2273" t="s">
        <v>58</v>
      </c>
      <c r="D2273" t="s">
        <v>38</v>
      </c>
      <c r="E2273" t="s">
        <v>13</v>
      </c>
      <c r="F2273">
        <v>2</v>
      </c>
      <c r="G2273" t="str">
        <f>VLOOKUP(D2273,Товары!A:I,3,0)</f>
        <v>Тумба с раковиной  навес. Куба Риф 600 белый 2 ящика с умыв. Como</v>
      </c>
      <c r="H2273">
        <f>VLOOKUP(D2273,Товары!A:I,6,0)</f>
        <v>55</v>
      </c>
      <c r="I2273" t="str">
        <f>VLOOKUP(C2273,Магазины!A:C,3,0)</f>
        <v>Ставрополь</v>
      </c>
      <c r="J2273">
        <f>VLOOKUP(D2273,Товары!A:I,4,0)</f>
        <v>14265</v>
      </c>
      <c r="K2273">
        <f t="shared" si="35"/>
        <v>28530</v>
      </c>
    </row>
    <row r="2274" spans="1:11" hidden="1" x14ac:dyDescent="0.25">
      <c r="A2274">
        <v>2273</v>
      </c>
      <c r="B2274" s="1">
        <v>45754</v>
      </c>
      <c r="C2274" t="s">
        <v>28</v>
      </c>
      <c r="D2274" t="s">
        <v>61</v>
      </c>
      <c r="E2274" t="s">
        <v>13</v>
      </c>
      <c r="F2274">
        <v>2</v>
      </c>
      <c r="G2274" t="str">
        <f>VLOOKUP(D2274,Товары!A:I,3,0)</f>
        <v>Тумба под стиральную машину Леон Риф 57 напольная 2 ящика под ст/маш, без умывальника /под Marshall 120 Солярис/Белый Риф</v>
      </c>
      <c r="H2274">
        <f>VLOOKUP(D2274,Товары!A:I,6,0)</f>
        <v>85</v>
      </c>
      <c r="I2274" t="str">
        <f>VLOOKUP(C2274,Магазины!A:C,3,0)</f>
        <v>Набережные Челны</v>
      </c>
      <c r="J2274">
        <f>VLOOKUP(D2274,Товары!A:I,4,0)</f>
        <v>17430</v>
      </c>
      <c r="K2274">
        <f t="shared" si="35"/>
        <v>34860</v>
      </c>
    </row>
    <row r="2275" spans="1:11" hidden="1" x14ac:dyDescent="0.25">
      <c r="A2275">
        <v>2274</v>
      </c>
      <c r="B2275" s="1">
        <v>45749</v>
      </c>
      <c r="C2275" t="s">
        <v>14</v>
      </c>
      <c r="D2275" t="s">
        <v>17</v>
      </c>
      <c r="E2275" t="s">
        <v>8</v>
      </c>
      <c r="F2275">
        <v>3</v>
      </c>
      <c r="G2275" t="str">
        <f>VLOOKUP(D2275,Товары!A:I,3,0)</f>
        <v>Тумба с раковиной  навес. Альба 800 антрацит 1 ящик с умыв. Слим</v>
      </c>
      <c r="H2275">
        <f>VLOOKUP(D2275,Товары!A:I,6,0)</f>
        <v>45</v>
      </c>
      <c r="I2275" t="str">
        <f>VLOOKUP(C2275,Магазины!A:C,3,0)</f>
        <v>Оренбург</v>
      </c>
      <c r="J2275">
        <f>VLOOKUP(D2275,Товары!A:I,4,0)</f>
        <v>21630</v>
      </c>
      <c r="K2275">
        <f t="shared" si="35"/>
        <v>64890</v>
      </c>
    </row>
    <row r="2276" spans="1:11" hidden="1" x14ac:dyDescent="0.25">
      <c r="A2276">
        <v>2275</v>
      </c>
      <c r="B2276" s="1">
        <v>45756</v>
      </c>
      <c r="C2276" t="s">
        <v>20</v>
      </c>
      <c r="D2276" t="s">
        <v>119</v>
      </c>
      <c r="E2276" t="s">
        <v>8</v>
      </c>
      <c r="F2276">
        <v>2</v>
      </c>
      <c r="G2276" t="str">
        <f>VLOOKUP(D2276,Товары!A:I,3,0)</f>
        <v>Пенал навес./напол. Рица 350 cерый/керамика 2 двери</v>
      </c>
      <c r="H2276">
        <f>VLOOKUP(D2276,Товары!A:I,6,0)</f>
        <v>160</v>
      </c>
      <c r="I2276" t="str">
        <f>VLOOKUP(C2276,Магазины!A:C,3,0)</f>
        <v>Оренбург</v>
      </c>
      <c r="J2276">
        <f>VLOOKUP(D2276,Товары!A:I,4,0)</f>
        <v>11250</v>
      </c>
      <c r="K2276">
        <f t="shared" si="35"/>
        <v>22500</v>
      </c>
    </row>
    <row r="2277" spans="1:11" hidden="1" x14ac:dyDescent="0.25">
      <c r="A2277">
        <v>2276</v>
      </c>
      <c r="B2277" s="1">
        <v>45748</v>
      </c>
      <c r="C2277" t="s">
        <v>92</v>
      </c>
      <c r="D2277" t="s">
        <v>116</v>
      </c>
      <c r="E2277" t="s">
        <v>13</v>
      </c>
      <c r="F2277">
        <v>1</v>
      </c>
      <c r="G2277" t="str">
        <f>VLOOKUP(D2277,Товары!A:I,3,0)</f>
        <v>Зеркало Нева 60 дуб/белый со светильником</v>
      </c>
      <c r="H2277">
        <f>VLOOKUP(D2277,Товары!A:I,6,0)</f>
        <v>80</v>
      </c>
      <c r="I2277" t="str">
        <f>VLOOKUP(C2277,Магазины!A:C,3,0)</f>
        <v>Кемерово</v>
      </c>
      <c r="J2277">
        <f>VLOOKUP(D2277,Товары!A:I,4,0)</f>
        <v>5100</v>
      </c>
      <c r="K2277">
        <f t="shared" si="35"/>
        <v>5100</v>
      </c>
    </row>
    <row r="2278" spans="1:11" hidden="1" x14ac:dyDescent="0.25">
      <c r="A2278">
        <v>2277</v>
      </c>
      <c r="B2278" s="1">
        <v>45754</v>
      </c>
      <c r="C2278" t="s">
        <v>41</v>
      </c>
      <c r="D2278" t="s">
        <v>110</v>
      </c>
      <c r="E2278" t="s">
        <v>8</v>
      </c>
      <c r="F2278">
        <v>1</v>
      </c>
      <c r="G2278" t="str">
        <f>VLOOKUP(D2278,Товары!A:I,3,0)</f>
        <v>Тумба с раковиной  напол. Альба 600 антрацит 2 ящика с умыв. Океан</v>
      </c>
      <c r="H2278">
        <f>VLOOKUP(D2278,Товары!A:I,6,0)</f>
        <v>80</v>
      </c>
      <c r="I2278" t="str">
        <f>VLOOKUP(C2278,Магазины!A:C,3,0)</f>
        <v>Ставрополь</v>
      </c>
      <c r="J2278">
        <f>VLOOKUP(D2278,Товары!A:I,4,0)</f>
        <v>26370</v>
      </c>
      <c r="K2278">
        <f t="shared" si="35"/>
        <v>26370</v>
      </c>
    </row>
    <row r="2279" spans="1:11" hidden="1" x14ac:dyDescent="0.25">
      <c r="A2279">
        <v>2278</v>
      </c>
      <c r="B2279" s="1">
        <v>45754</v>
      </c>
      <c r="C2279" t="s">
        <v>28</v>
      </c>
      <c r="D2279" t="s">
        <v>67</v>
      </c>
      <c r="E2279" t="s">
        <v>8</v>
      </c>
      <c r="F2279">
        <v>3</v>
      </c>
      <c r="G2279" t="str">
        <f>VLOOKUP(D2279,Товары!A:I,3,0)</f>
        <v>Пенал навес./напол. Альба 350 суфле 2 двери</v>
      </c>
      <c r="H2279">
        <f>VLOOKUP(D2279,Товары!A:I,6,0)</f>
        <v>150</v>
      </c>
      <c r="I2279" t="str">
        <f>VLOOKUP(C2279,Магазины!A:C,3,0)</f>
        <v>Набережные Челны</v>
      </c>
      <c r="J2279">
        <f>VLOOKUP(D2279,Товары!A:I,4,0)</f>
        <v>11655</v>
      </c>
      <c r="K2279">
        <f t="shared" si="35"/>
        <v>34965</v>
      </c>
    </row>
    <row r="2280" spans="1:11" hidden="1" x14ac:dyDescent="0.25">
      <c r="A2280">
        <v>2279</v>
      </c>
      <c r="B2280" s="1">
        <v>45753</v>
      </c>
      <c r="C2280" t="s">
        <v>26</v>
      </c>
      <c r="D2280" t="s">
        <v>69</v>
      </c>
      <c r="E2280" t="s">
        <v>13</v>
      </c>
      <c r="F2280">
        <v>1</v>
      </c>
      <c r="G2280" t="str">
        <f>VLOOKUP(D2280,Товары!A:I,3,0)</f>
        <v>Пенал навес./напол. Альба 350 антрацит 2 двери</v>
      </c>
      <c r="H2280">
        <f>VLOOKUP(D2280,Товары!A:I,6,0)</f>
        <v>150</v>
      </c>
      <c r="I2280" t="str">
        <f>VLOOKUP(C2280,Магазины!A:C,3,0)</f>
        <v>Оренбург</v>
      </c>
      <c r="J2280">
        <f>VLOOKUP(D2280,Товары!A:I,4,0)</f>
        <v>11655</v>
      </c>
      <c r="K2280">
        <f t="shared" si="35"/>
        <v>11655</v>
      </c>
    </row>
    <row r="2281" spans="1:11" hidden="1" x14ac:dyDescent="0.25">
      <c r="A2281">
        <v>2280</v>
      </c>
      <c r="B2281" s="1">
        <v>45754</v>
      </c>
      <c r="C2281" t="s">
        <v>22</v>
      </c>
      <c r="D2281" t="s">
        <v>60</v>
      </c>
      <c r="E2281" t="s">
        <v>8</v>
      </c>
      <c r="F2281">
        <v>3</v>
      </c>
      <c r="G2281" t="str">
        <f>VLOOKUP(D2281,Товары!A:I,3,0)</f>
        <v>Пенал навес. Куба Риф 350 белый 2 двери</v>
      </c>
      <c r="H2281">
        <f>VLOOKUP(D2281,Товары!A:I,6,0)</f>
        <v>150</v>
      </c>
      <c r="I2281" t="str">
        <f>VLOOKUP(C2281,Магазины!A:C,3,0)</f>
        <v>Кемерово</v>
      </c>
      <c r="J2281">
        <f>VLOOKUP(D2281,Товары!A:I,4,0)</f>
        <v>9720</v>
      </c>
      <c r="K2281">
        <f t="shared" si="35"/>
        <v>29160</v>
      </c>
    </row>
    <row r="2282" spans="1:11" hidden="1" x14ac:dyDescent="0.25">
      <c r="A2282">
        <v>2281</v>
      </c>
      <c r="B2282" s="1">
        <v>45749</v>
      </c>
      <c r="C2282" t="s">
        <v>63</v>
      </c>
      <c r="D2282" t="s">
        <v>82</v>
      </c>
      <c r="E2282" t="s">
        <v>8</v>
      </c>
      <c r="F2282">
        <v>1</v>
      </c>
      <c r="G2282" t="str">
        <f>VLOOKUP(D2282,Товары!A:I,3,0)</f>
        <v>Тумба с раковиной  навес. Леон 800 форест 2 ящика с умыв. Слим</v>
      </c>
      <c r="H2282">
        <f>VLOOKUP(D2282,Товары!A:I,6,0)</f>
        <v>60</v>
      </c>
      <c r="I2282" t="str">
        <f>VLOOKUP(C2282,Магазины!A:C,3,0)</f>
        <v>Ставрополь</v>
      </c>
      <c r="J2282">
        <f>VLOOKUP(D2282,Товары!A:I,4,0)</f>
        <v>27930</v>
      </c>
      <c r="K2282">
        <f t="shared" si="35"/>
        <v>27930</v>
      </c>
    </row>
    <row r="2283" spans="1:11" hidden="1" x14ac:dyDescent="0.25">
      <c r="A2283">
        <v>2282</v>
      </c>
      <c r="B2283" s="1">
        <v>45749</v>
      </c>
      <c r="C2283" t="s">
        <v>20</v>
      </c>
      <c r="D2283" t="s">
        <v>61</v>
      </c>
      <c r="E2283" t="s">
        <v>8</v>
      </c>
      <c r="F2283">
        <v>2</v>
      </c>
      <c r="G2283" t="str">
        <f>VLOOKUP(D2283,Товары!A:I,3,0)</f>
        <v>Тумба под стиральную машину Леон Риф 57 напольная 2 ящика под ст/маш, без умывальника /под Marshall 120 Солярис/Белый Риф</v>
      </c>
      <c r="H2283">
        <f>VLOOKUP(D2283,Товары!A:I,6,0)</f>
        <v>85</v>
      </c>
      <c r="I2283" t="str">
        <f>VLOOKUP(C2283,Магазины!A:C,3,0)</f>
        <v>Оренбург</v>
      </c>
      <c r="J2283">
        <f>VLOOKUP(D2283,Товары!A:I,4,0)</f>
        <v>17430</v>
      </c>
      <c r="K2283">
        <f t="shared" si="35"/>
        <v>34860</v>
      </c>
    </row>
    <row r="2284" spans="1:11" hidden="1" x14ac:dyDescent="0.25">
      <c r="A2284">
        <v>2283</v>
      </c>
      <c r="B2284" s="1">
        <v>45754</v>
      </c>
      <c r="C2284" t="s">
        <v>57</v>
      </c>
      <c r="D2284" t="s">
        <v>75</v>
      </c>
      <c r="E2284" t="s">
        <v>8</v>
      </c>
      <c r="F2284">
        <v>3</v>
      </c>
      <c r="G2284" t="str">
        <f>VLOOKUP(D2284,Товары!A:I,3,0)</f>
        <v>Тумба с раковиной  напол. Альба 600 суфле 2 ящика с умыв. Океан</v>
      </c>
      <c r="H2284">
        <f>VLOOKUP(D2284,Товары!A:I,6,0)</f>
        <v>80</v>
      </c>
      <c r="I2284" t="str">
        <f>VLOOKUP(C2284,Магазины!A:C,3,0)</f>
        <v>Оренбург</v>
      </c>
      <c r="J2284">
        <f>VLOOKUP(D2284,Товары!A:I,4,0)</f>
        <v>26370</v>
      </c>
      <c r="K2284">
        <f t="shared" si="35"/>
        <v>79110</v>
      </c>
    </row>
    <row r="2285" spans="1:11" hidden="1" x14ac:dyDescent="0.25">
      <c r="A2285">
        <v>2284</v>
      </c>
      <c r="B2285" s="1">
        <v>45751</v>
      </c>
      <c r="C2285" t="s">
        <v>14</v>
      </c>
      <c r="D2285" t="s">
        <v>21</v>
      </c>
      <c r="E2285" t="s">
        <v>8</v>
      </c>
      <c r="F2285">
        <v>2</v>
      </c>
      <c r="G2285" t="str">
        <f>VLOOKUP(D2285,Товары!A:I,3,0)</f>
        <v>Зеркальный шкаф Рица 60 со светильником правый цвет cерый/керамика</v>
      </c>
      <c r="H2285">
        <f>VLOOKUP(D2285,Товары!A:I,6,0)</f>
        <v>75</v>
      </c>
      <c r="I2285" t="str">
        <f>VLOOKUP(C2285,Магазины!A:C,3,0)</f>
        <v>Оренбург</v>
      </c>
      <c r="J2285">
        <f>VLOOKUP(D2285,Товары!A:I,4,0)</f>
        <v>8910</v>
      </c>
      <c r="K2285">
        <f t="shared" si="35"/>
        <v>17820</v>
      </c>
    </row>
    <row r="2286" spans="1:11" hidden="1" x14ac:dyDescent="0.25">
      <c r="A2286">
        <v>2285</v>
      </c>
      <c r="B2286" s="1">
        <v>45754</v>
      </c>
      <c r="C2286" t="s">
        <v>22</v>
      </c>
      <c r="D2286" t="s">
        <v>81</v>
      </c>
      <c r="E2286" t="s">
        <v>13</v>
      </c>
      <c r="F2286">
        <v>1</v>
      </c>
      <c r="G2286" t="str">
        <f>VLOOKUP(D2286,Товары!A:I,3,0)</f>
        <v>Тумба с раковиной  навес. Рица 600 cерый/керамика 1 ящик + ниша 1 с умыв. Океан</v>
      </c>
      <c r="H2286">
        <f>VLOOKUP(D2286,Товары!A:I,6,0)</f>
        <v>60</v>
      </c>
      <c r="I2286" t="str">
        <f>VLOOKUP(C2286,Магазины!A:C,3,0)</f>
        <v>Кемерово</v>
      </c>
      <c r="J2286">
        <f>VLOOKUP(D2286,Товары!A:I,4,0)</f>
        <v>18900</v>
      </c>
      <c r="K2286">
        <f t="shared" si="35"/>
        <v>18900</v>
      </c>
    </row>
    <row r="2287" spans="1:11" hidden="1" x14ac:dyDescent="0.25">
      <c r="A2287">
        <v>2286</v>
      </c>
      <c r="B2287" s="1">
        <v>45752</v>
      </c>
      <c r="C2287" t="s">
        <v>58</v>
      </c>
      <c r="D2287" t="s">
        <v>129</v>
      </c>
      <c r="E2287" t="s">
        <v>8</v>
      </c>
      <c r="F2287">
        <v>1</v>
      </c>
      <c r="G2287" t="str">
        <f>VLOOKUP(D2287,Товары!A:I,3,0)</f>
        <v>Тумба с раковиной  напол. Альба 700 антрацит 2 ящика с умыв. Слим</v>
      </c>
      <c r="H2287">
        <f>VLOOKUP(D2287,Товары!A:I,6,0)</f>
        <v>85</v>
      </c>
      <c r="I2287" t="str">
        <f>VLOOKUP(C2287,Магазины!A:C,3,0)</f>
        <v>Ставрополь</v>
      </c>
      <c r="J2287">
        <f>VLOOKUP(D2287,Товары!A:I,4,0)</f>
        <v>28695</v>
      </c>
      <c r="K2287">
        <f t="shared" si="35"/>
        <v>28695</v>
      </c>
    </row>
    <row r="2288" spans="1:11" hidden="1" x14ac:dyDescent="0.25">
      <c r="A2288">
        <v>2287</v>
      </c>
      <c r="B2288" s="1">
        <v>45751</v>
      </c>
      <c r="C2288" t="s">
        <v>111</v>
      </c>
      <c r="D2288" t="s">
        <v>62</v>
      </c>
      <c r="E2288" t="s">
        <v>13</v>
      </c>
      <c r="F2288">
        <v>1</v>
      </c>
      <c r="G2288" t="str">
        <f>VLOOKUP(D2288,Товары!A:I,3,0)</f>
        <v>Тумба с раковиной  напол. Альба 600 мята 2 ящика с умыв. Океан</v>
      </c>
      <c r="H2288">
        <f>VLOOKUP(D2288,Товары!A:I,6,0)</f>
        <v>80</v>
      </c>
      <c r="I2288" t="str">
        <f>VLOOKUP(C2288,Магазины!A:C,3,0)</f>
        <v>Набережные Челны</v>
      </c>
      <c r="J2288">
        <f>VLOOKUP(D2288,Товары!A:I,4,0)</f>
        <v>26370</v>
      </c>
      <c r="K2288">
        <f t="shared" si="35"/>
        <v>26370</v>
      </c>
    </row>
    <row r="2289" spans="1:11" hidden="1" x14ac:dyDescent="0.25">
      <c r="A2289">
        <v>2288</v>
      </c>
      <c r="B2289" s="1">
        <v>45754</v>
      </c>
      <c r="C2289" t="s">
        <v>54</v>
      </c>
      <c r="D2289" t="s">
        <v>65</v>
      </c>
      <c r="E2289" t="s">
        <v>13</v>
      </c>
      <c r="F2289">
        <v>2</v>
      </c>
      <c r="G2289" t="str">
        <f>VLOOKUP(D2289,Товары!A:I,3,0)</f>
        <v>Тумба с раковиной  навес. Альба 800 суфле 2 ящика с умыв. Слим</v>
      </c>
      <c r="H2289">
        <f>VLOOKUP(D2289,Товары!A:I,6,0)</f>
        <v>50</v>
      </c>
      <c r="I2289" t="str">
        <f>VLOOKUP(C2289,Магазины!A:C,3,0)</f>
        <v>Ставрополь</v>
      </c>
      <c r="J2289">
        <f>VLOOKUP(D2289,Товары!A:I,4,0)</f>
        <v>26070</v>
      </c>
      <c r="K2289">
        <f t="shared" si="35"/>
        <v>52140</v>
      </c>
    </row>
    <row r="2290" spans="1:11" hidden="1" x14ac:dyDescent="0.25">
      <c r="A2290">
        <v>2289</v>
      </c>
      <c r="B2290" s="1">
        <v>45755</v>
      </c>
      <c r="C2290" t="s">
        <v>20</v>
      </c>
      <c r="D2290" t="s">
        <v>25</v>
      </c>
      <c r="E2290" t="s">
        <v>8</v>
      </c>
      <c r="F2290">
        <v>3</v>
      </c>
      <c r="G2290" t="str">
        <f>VLOOKUP(D2290,Товары!A:I,3,0)</f>
        <v>Пенал напол. Леон 400 оникс 2 двери + 1 ящик</v>
      </c>
      <c r="H2290">
        <f>VLOOKUP(D2290,Товары!A:I,6,0)</f>
        <v>190</v>
      </c>
      <c r="I2290" t="str">
        <f>VLOOKUP(C2290,Магазины!A:C,3,0)</f>
        <v>Оренбург</v>
      </c>
      <c r="J2290">
        <f>VLOOKUP(D2290,Товары!A:I,4,0)</f>
        <v>18450</v>
      </c>
      <c r="K2290">
        <f t="shared" si="35"/>
        <v>55350</v>
      </c>
    </row>
    <row r="2291" spans="1:11" hidden="1" x14ac:dyDescent="0.25">
      <c r="A2291">
        <v>2290</v>
      </c>
      <c r="B2291" s="1">
        <v>45757</v>
      </c>
      <c r="C2291" t="s">
        <v>63</v>
      </c>
      <c r="D2291" t="s">
        <v>61</v>
      </c>
      <c r="E2291" t="s">
        <v>13</v>
      </c>
      <c r="F2291">
        <v>2</v>
      </c>
      <c r="G2291" t="str">
        <f>VLOOKUP(D2291,Товары!A:I,3,0)</f>
        <v>Тумба под стиральную машину Леон Риф 57 напольная 2 ящика под ст/маш, без умывальника /под Marshall 120 Солярис/Белый Риф</v>
      </c>
      <c r="H2291">
        <f>VLOOKUP(D2291,Товары!A:I,6,0)</f>
        <v>85</v>
      </c>
      <c r="I2291" t="str">
        <f>VLOOKUP(C2291,Магазины!A:C,3,0)</f>
        <v>Ставрополь</v>
      </c>
      <c r="J2291">
        <f>VLOOKUP(D2291,Товары!A:I,4,0)</f>
        <v>17430</v>
      </c>
      <c r="K2291">
        <f t="shared" si="35"/>
        <v>34860</v>
      </c>
    </row>
    <row r="2292" spans="1:11" hidden="1" x14ac:dyDescent="0.25">
      <c r="A2292">
        <v>2291</v>
      </c>
      <c r="B2292" s="1">
        <v>45748</v>
      </c>
      <c r="C2292" t="s">
        <v>18</v>
      </c>
      <c r="D2292" t="s">
        <v>130</v>
      </c>
      <c r="E2292" t="s">
        <v>13</v>
      </c>
      <c r="F2292">
        <v>1</v>
      </c>
      <c r="G2292" t="str">
        <f>VLOOKUP(D2292,Товары!A:I,3,0)</f>
        <v>Пенал напол. Леон 400 форест 2 двери + 1 ящик</v>
      </c>
      <c r="H2292">
        <f>VLOOKUP(D2292,Товары!A:I,6,0)</f>
        <v>190</v>
      </c>
      <c r="I2292" t="str">
        <f>VLOOKUP(C2292,Магазины!A:C,3,0)</f>
        <v>Набережные Челны</v>
      </c>
      <c r="J2292">
        <f>VLOOKUP(D2292,Товары!A:I,4,0)</f>
        <v>18450</v>
      </c>
      <c r="K2292">
        <f t="shared" si="35"/>
        <v>18450</v>
      </c>
    </row>
    <row r="2293" spans="1:11" hidden="1" x14ac:dyDescent="0.25">
      <c r="A2293">
        <v>2292</v>
      </c>
      <c r="B2293" s="1">
        <v>45755</v>
      </c>
      <c r="C2293" t="s">
        <v>6</v>
      </c>
      <c r="D2293" t="s">
        <v>44</v>
      </c>
      <c r="E2293" t="s">
        <v>8</v>
      </c>
      <c r="F2293">
        <v>3</v>
      </c>
      <c r="G2293" t="str">
        <f>VLOOKUP(D2293,Товары!A:I,3,0)</f>
        <v>Тумба с раковиной  навес. Кристалл 800 шато азур 2 ящика с умыв. Комфорт</v>
      </c>
      <c r="H2293">
        <f>VLOOKUP(D2293,Товары!A:I,6,0)</f>
        <v>55</v>
      </c>
      <c r="I2293" t="str">
        <f>VLOOKUP(C2293,Магазины!A:C,3,0)</f>
        <v>Оренбург</v>
      </c>
      <c r="J2293">
        <f>VLOOKUP(D2293,Товары!A:I,4,0)</f>
        <v>25080</v>
      </c>
      <c r="K2293">
        <f t="shared" si="35"/>
        <v>75240</v>
      </c>
    </row>
    <row r="2294" spans="1:11" hidden="1" x14ac:dyDescent="0.25">
      <c r="A2294">
        <v>2293</v>
      </c>
      <c r="B2294" s="1">
        <v>45751</v>
      </c>
      <c r="C2294" t="s">
        <v>33</v>
      </c>
      <c r="D2294" t="s">
        <v>47</v>
      </c>
      <c r="E2294" t="s">
        <v>8</v>
      </c>
      <c r="F2294">
        <v>3</v>
      </c>
      <c r="G2294" t="str">
        <f>VLOOKUP(D2294,Товары!A:I,3,0)</f>
        <v>Пенал напол. Кристалл 350 шато азур 2 двери</v>
      </c>
      <c r="H2294">
        <f>VLOOKUP(D2294,Товары!A:I,6,0)</f>
        <v>190</v>
      </c>
      <c r="I2294" t="str">
        <f>VLOOKUP(C2294,Магазины!A:C,3,0)</f>
        <v>Набережные Челны</v>
      </c>
      <c r="J2294">
        <f>VLOOKUP(D2294,Товары!A:I,4,0)</f>
        <v>15810</v>
      </c>
      <c r="K2294">
        <f t="shared" si="35"/>
        <v>47430</v>
      </c>
    </row>
    <row r="2295" spans="1:11" hidden="1" x14ac:dyDescent="0.25">
      <c r="A2295">
        <v>2294</v>
      </c>
      <c r="B2295" s="1">
        <v>45756</v>
      </c>
      <c r="C2295" t="s">
        <v>14</v>
      </c>
      <c r="D2295" t="s">
        <v>106</v>
      </c>
      <c r="E2295" t="s">
        <v>13</v>
      </c>
      <c r="F2295">
        <v>2</v>
      </c>
      <c r="G2295" t="str">
        <f>VLOOKUP(D2295,Товары!A:I,3,0)</f>
        <v>Тумба с раковиной  навес. Кристалл 700 шато азур 2 ящика с умыв. Слим</v>
      </c>
      <c r="H2295">
        <f>VLOOKUP(D2295,Товары!A:I,6,0)</f>
        <v>60</v>
      </c>
      <c r="I2295" t="str">
        <f>VLOOKUP(C2295,Магазины!A:C,3,0)</f>
        <v>Оренбург</v>
      </c>
      <c r="J2295">
        <f>VLOOKUP(D2295,Товары!A:I,4,0)</f>
        <v>24150</v>
      </c>
      <c r="K2295">
        <f t="shared" si="35"/>
        <v>48300</v>
      </c>
    </row>
    <row r="2296" spans="1:11" hidden="1" x14ac:dyDescent="0.25">
      <c r="A2296">
        <v>2295</v>
      </c>
      <c r="B2296" s="1">
        <v>45754</v>
      </c>
      <c r="C2296" t="s">
        <v>103</v>
      </c>
      <c r="D2296" t="s">
        <v>55</v>
      </c>
      <c r="E2296" t="s">
        <v>8</v>
      </c>
      <c r="F2296">
        <v>3</v>
      </c>
      <c r="G2296" t="str">
        <f>VLOOKUP(D2296,Товары!A:I,3,0)</f>
        <v>Тумба с раковиной  напол. Рица 600 cерый/керамика 2 ящика с умыв. Океан</v>
      </c>
      <c r="H2296">
        <f>VLOOKUP(D2296,Товары!A:I,6,0)</f>
        <v>80</v>
      </c>
      <c r="I2296" t="str">
        <f>VLOOKUP(C2296,Магазины!A:C,3,0)</f>
        <v>Ставрополь</v>
      </c>
      <c r="J2296">
        <f>VLOOKUP(D2296,Товары!A:I,4,0)</f>
        <v>25560</v>
      </c>
      <c r="K2296">
        <f t="shared" si="35"/>
        <v>76680</v>
      </c>
    </row>
    <row r="2297" spans="1:11" hidden="1" x14ac:dyDescent="0.25">
      <c r="A2297">
        <v>2296</v>
      </c>
      <c r="B2297" s="1">
        <v>45749</v>
      </c>
      <c r="C2297" t="s">
        <v>11</v>
      </c>
      <c r="D2297" t="s">
        <v>7</v>
      </c>
      <c r="E2297" t="s">
        <v>8</v>
      </c>
      <c r="F2297">
        <v>1</v>
      </c>
      <c r="G2297" t="str">
        <f>VLOOKUP(D2297,Товары!A:I,3,0)</f>
        <v>Пенал напол. Леон Риф 400 солярис/белый риф 2 двери + 1 ящик</v>
      </c>
      <c r="H2297">
        <f>VLOOKUP(D2297,Товары!A:I,6,0)</f>
        <v>190</v>
      </c>
      <c r="I2297" t="str">
        <f>VLOOKUP(C2297,Магазины!A:C,3,0)</f>
        <v>Кемерово</v>
      </c>
      <c r="J2297">
        <f>VLOOKUP(D2297,Товары!A:I,4,0)</f>
        <v>14490</v>
      </c>
      <c r="K2297">
        <f t="shared" si="35"/>
        <v>14490</v>
      </c>
    </row>
    <row r="2298" spans="1:11" hidden="1" x14ac:dyDescent="0.25">
      <c r="A2298">
        <v>2297</v>
      </c>
      <c r="B2298" s="1">
        <v>45751</v>
      </c>
      <c r="C2298" t="s">
        <v>63</v>
      </c>
      <c r="D2298" t="s">
        <v>7</v>
      </c>
      <c r="E2298" t="s">
        <v>13</v>
      </c>
      <c r="F2298">
        <v>1</v>
      </c>
      <c r="G2298" t="str">
        <f>VLOOKUP(D2298,Товары!A:I,3,0)</f>
        <v>Пенал напол. Леон Риф 400 солярис/белый риф 2 двери + 1 ящик</v>
      </c>
      <c r="H2298">
        <f>VLOOKUP(D2298,Товары!A:I,6,0)</f>
        <v>190</v>
      </c>
      <c r="I2298" t="str">
        <f>VLOOKUP(C2298,Магазины!A:C,3,0)</f>
        <v>Ставрополь</v>
      </c>
      <c r="J2298">
        <f>VLOOKUP(D2298,Товары!A:I,4,0)</f>
        <v>14490</v>
      </c>
      <c r="K2298">
        <f t="shared" si="35"/>
        <v>14490</v>
      </c>
    </row>
    <row r="2299" spans="1:11" hidden="1" x14ac:dyDescent="0.25">
      <c r="A2299">
        <v>2298</v>
      </c>
      <c r="B2299" s="1">
        <v>45753</v>
      </c>
      <c r="C2299" t="s">
        <v>20</v>
      </c>
      <c r="D2299" t="s">
        <v>80</v>
      </c>
      <c r="E2299" t="s">
        <v>8</v>
      </c>
      <c r="F2299">
        <v>2</v>
      </c>
      <c r="G2299" t="str">
        <f>VLOOKUP(D2299,Товары!A:I,3,0)</f>
        <v>Тумба с раковиной  навес. Сохо 600 белый 2 ящика с умыв. Океан</v>
      </c>
      <c r="H2299">
        <f>VLOOKUP(D2299,Товары!A:I,6,0)</f>
        <v>55</v>
      </c>
      <c r="I2299" t="str">
        <f>VLOOKUP(C2299,Магазины!A:C,3,0)</f>
        <v>Оренбург</v>
      </c>
      <c r="J2299">
        <f>VLOOKUP(D2299,Товары!A:I,4,0)</f>
        <v>13950</v>
      </c>
      <c r="K2299">
        <f t="shared" si="35"/>
        <v>27900</v>
      </c>
    </row>
    <row r="2300" spans="1:11" hidden="1" x14ac:dyDescent="0.25">
      <c r="A2300">
        <v>2299</v>
      </c>
      <c r="B2300" s="1">
        <v>45751</v>
      </c>
      <c r="C2300" t="s">
        <v>22</v>
      </c>
      <c r="D2300" t="s">
        <v>71</v>
      </c>
      <c r="E2300" t="s">
        <v>13</v>
      </c>
      <c r="F2300">
        <v>1</v>
      </c>
      <c r="G2300" t="str">
        <f>VLOOKUP(D2300,Товары!A:I,3,0)</f>
        <v>Тумба с раковиной  навес. Альба 600 мята 2 ящика с умыв. Океан</v>
      </c>
      <c r="H2300">
        <f>VLOOKUP(D2300,Товары!A:I,6,0)</f>
        <v>50</v>
      </c>
      <c r="I2300" t="str">
        <f>VLOOKUP(C2300,Магазины!A:C,3,0)</f>
        <v>Кемерово</v>
      </c>
      <c r="J2300">
        <f>VLOOKUP(D2300,Товары!A:I,4,0)</f>
        <v>24810</v>
      </c>
      <c r="K2300">
        <f t="shared" si="35"/>
        <v>24810</v>
      </c>
    </row>
    <row r="2301" spans="1:11" hidden="1" x14ac:dyDescent="0.25">
      <c r="A2301">
        <v>2300</v>
      </c>
      <c r="B2301" s="1">
        <v>45752</v>
      </c>
      <c r="C2301" t="s">
        <v>16</v>
      </c>
      <c r="D2301" t="s">
        <v>105</v>
      </c>
      <c r="E2301" t="s">
        <v>13</v>
      </c>
      <c r="F2301">
        <v>2</v>
      </c>
      <c r="G2301" t="str">
        <f>VLOOKUP(D2301,Товары!A:I,3,0)</f>
        <v>Тумба с раковиной  напол. Нева 600 белый 2 двери + 1 ящик с умыв. Como</v>
      </c>
      <c r="H2301">
        <f>VLOOKUP(D2301,Товары!A:I,6,0)</f>
        <v>80</v>
      </c>
      <c r="I2301" t="str">
        <f>VLOOKUP(C2301,Магазины!A:C,3,0)</f>
        <v>Оренбург</v>
      </c>
      <c r="J2301">
        <f>VLOOKUP(D2301,Товары!A:I,4,0)</f>
        <v>13470</v>
      </c>
      <c r="K2301">
        <f t="shared" si="35"/>
        <v>26940</v>
      </c>
    </row>
    <row r="2302" spans="1:11" hidden="1" x14ac:dyDescent="0.25">
      <c r="A2302">
        <v>2301</v>
      </c>
      <c r="B2302" s="1">
        <v>45754</v>
      </c>
      <c r="C2302" t="s">
        <v>22</v>
      </c>
      <c r="D2302" t="s">
        <v>17</v>
      </c>
      <c r="E2302" t="s">
        <v>13</v>
      </c>
      <c r="F2302">
        <v>3</v>
      </c>
      <c r="G2302" t="str">
        <f>VLOOKUP(D2302,Товары!A:I,3,0)</f>
        <v>Тумба с раковиной  навес. Альба 800 антрацит 1 ящик с умыв. Слим</v>
      </c>
      <c r="H2302">
        <f>VLOOKUP(D2302,Товары!A:I,6,0)</f>
        <v>45</v>
      </c>
      <c r="I2302" t="str">
        <f>VLOOKUP(C2302,Магазины!A:C,3,0)</f>
        <v>Кемерово</v>
      </c>
      <c r="J2302">
        <f>VLOOKUP(D2302,Товары!A:I,4,0)</f>
        <v>21630</v>
      </c>
      <c r="K2302">
        <f t="shared" si="35"/>
        <v>64890</v>
      </c>
    </row>
    <row r="2303" spans="1:11" hidden="1" x14ac:dyDescent="0.25">
      <c r="A2303">
        <v>2302</v>
      </c>
      <c r="B2303" s="1">
        <v>45753</v>
      </c>
      <c r="C2303" t="s">
        <v>54</v>
      </c>
      <c r="D2303" t="s">
        <v>121</v>
      </c>
      <c r="E2303" t="s">
        <v>8</v>
      </c>
      <c r="F2303">
        <v>3</v>
      </c>
      <c r="G2303" t="str">
        <f>VLOOKUP(D2303,Товары!A:I,3,0)</f>
        <v>Тумба с раковиной  напол. Куба Риф 600 белый 2 двери с умыв. Como</v>
      </c>
      <c r="H2303">
        <f>VLOOKUP(D2303,Товары!A:I,6,0)</f>
        <v>85</v>
      </c>
      <c r="I2303" t="str">
        <f>VLOOKUP(C2303,Магазины!A:C,3,0)</f>
        <v>Ставрополь</v>
      </c>
      <c r="J2303">
        <f>VLOOKUP(D2303,Товары!A:I,4,0)</f>
        <v>13695</v>
      </c>
      <c r="K2303">
        <f t="shared" si="35"/>
        <v>41085</v>
      </c>
    </row>
    <row r="2304" spans="1:11" hidden="1" x14ac:dyDescent="0.25">
      <c r="A2304">
        <v>2303</v>
      </c>
      <c r="B2304" s="1">
        <v>45754</v>
      </c>
      <c r="C2304" t="s">
        <v>18</v>
      </c>
      <c r="D2304" t="s">
        <v>46</v>
      </c>
      <c r="E2304" t="s">
        <v>8</v>
      </c>
      <c r="F2304">
        <v>1</v>
      </c>
      <c r="G2304" t="str">
        <f>VLOOKUP(D2304,Товары!A:I,3,0)</f>
        <v>Тумба с раковиной  напол. Сохо 700 белый 2 ящика с умыв. Слим</v>
      </c>
      <c r="H2304">
        <f>VLOOKUP(D2304,Товары!A:I,6,0)</f>
        <v>85</v>
      </c>
      <c r="I2304" t="str">
        <f>VLOOKUP(C2304,Магазины!A:C,3,0)</f>
        <v>Набережные Челны</v>
      </c>
      <c r="J2304">
        <f>VLOOKUP(D2304,Товары!A:I,4,0)</f>
        <v>18405</v>
      </c>
      <c r="K2304">
        <f t="shared" si="35"/>
        <v>18405</v>
      </c>
    </row>
    <row r="2305" spans="1:11" hidden="1" x14ac:dyDescent="0.25">
      <c r="A2305">
        <v>2304</v>
      </c>
      <c r="B2305" s="1">
        <v>45749</v>
      </c>
      <c r="C2305" t="s">
        <v>35</v>
      </c>
      <c r="D2305" t="s">
        <v>117</v>
      </c>
      <c r="E2305" t="s">
        <v>13</v>
      </c>
      <c r="F2305">
        <v>3</v>
      </c>
      <c r="G2305" t="str">
        <f>VLOOKUP(D2305,Товары!A:I,3,0)</f>
        <v>Тумба с раковиной  навес. Альба 700 антрацит 2 ящика с умыв. Слим</v>
      </c>
      <c r="H2305">
        <f>VLOOKUP(D2305,Товары!A:I,6,0)</f>
        <v>60</v>
      </c>
      <c r="I2305" t="str">
        <f>VLOOKUP(C2305,Магазины!A:C,3,0)</f>
        <v>Набережные Челны</v>
      </c>
      <c r="J2305">
        <f>VLOOKUP(D2305,Товары!A:I,4,0)</f>
        <v>25095</v>
      </c>
      <c r="K2305">
        <f t="shared" si="35"/>
        <v>75285</v>
      </c>
    </row>
    <row r="2306" spans="1:11" hidden="1" x14ac:dyDescent="0.25">
      <c r="A2306">
        <v>2305</v>
      </c>
      <c r="B2306" s="1">
        <v>45748</v>
      </c>
      <c r="C2306" t="s">
        <v>33</v>
      </c>
      <c r="D2306" t="s">
        <v>117</v>
      </c>
      <c r="E2306" t="s">
        <v>8</v>
      </c>
      <c r="F2306">
        <v>1</v>
      </c>
      <c r="G2306" t="str">
        <f>VLOOKUP(D2306,Товары!A:I,3,0)</f>
        <v>Тумба с раковиной  навес. Альба 700 антрацит 2 ящика с умыв. Слим</v>
      </c>
      <c r="H2306">
        <f>VLOOKUP(D2306,Товары!A:I,6,0)</f>
        <v>60</v>
      </c>
      <c r="I2306" t="str">
        <f>VLOOKUP(C2306,Магазины!A:C,3,0)</f>
        <v>Набережные Челны</v>
      </c>
      <c r="J2306">
        <f>VLOOKUP(D2306,Товары!A:I,4,0)</f>
        <v>25095</v>
      </c>
      <c r="K2306">
        <f t="shared" si="35"/>
        <v>25095</v>
      </c>
    </row>
    <row r="2307" spans="1:11" hidden="1" x14ac:dyDescent="0.25">
      <c r="A2307">
        <v>2306</v>
      </c>
      <c r="B2307" s="1">
        <v>45755</v>
      </c>
      <c r="C2307" t="s">
        <v>92</v>
      </c>
      <c r="D2307" t="s">
        <v>87</v>
      </c>
      <c r="E2307" t="s">
        <v>8</v>
      </c>
      <c r="F2307">
        <v>1</v>
      </c>
      <c r="G2307" t="str">
        <f>VLOOKUP(D2307,Товары!A:I,3,0)</f>
        <v>Тумба с раковиной  напол. Леон 700 форест 2 ящика с умыв. Слим</v>
      </c>
      <c r="H2307">
        <f>VLOOKUP(D2307,Товары!A:I,6,0)</f>
        <v>80</v>
      </c>
      <c r="I2307" t="str">
        <f>VLOOKUP(C2307,Магазины!A:C,3,0)</f>
        <v>Кемерово</v>
      </c>
      <c r="J2307">
        <f>VLOOKUP(D2307,Товары!A:I,4,0)</f>
        <v>28380</v>
      </c>
      <c r="K2307">
        <f t="shared" ref="K2307:K2370" si="36">J2307*F2307</f>
        <v>28380</v>
      </c>
    </row>
    <row r="2308" spans="1:11" hidden="1" x14ac:dyDescent="0.25">
      <c r="A2308">
        <v>2307</v>
      </c>
      <c r="B2308" s="1">
        <v>45750</v>
      </c>
      <c r="C2308" t="s">
        <v>11</v>
      </c>
      <c r="D2308" t="s">
        <v>29</v>
      </c>
      <c r="E2308" t="s">
        <v>13</v>
      </c>
      <c r="F2308">
        <v>3</v>
      </c>
      <c r="G2308" t="str">
        <f>VLOOKUP(D2308,Товары!A:I,3,0)</f>
        <v>Тумба с раковиной  напол. Леон Риф 600 солярис/белый риф 2 ящика с умыв. Океан</v>
      </c>
      <c r="H2308">
        <f>VLOOKUP(D2308,Товары!A:I,6,0)</f>
        <v>80</v>
      </c>
      <c r="I2308" t="str">
        <f>VLOOKUP(C2308,Магазины!A:C,3,0)</f>
        <v>Кемерово</v>
      </c>
      <c r="J2308">
        <f>VLOOKUP(D2308,Товары!A:I,4,0)</f>
        <v>24150</v>
      </c>
      <c r="K2308">
        <f t="shared" si="36"/>
        <v>72450</v>
      </c>
    </row>
    <row r="2309" spans="1:11" hidden="1" x14ac:dyDescent="0.25">
      <c r="A2309">
        <v>2308</v>
      </c>
      <c r="B2309" s="1">
        <v>45753</v>
      </c>
      <c r="C2309" t="s">
        <v>92</v>
      </c>
      <c r="D2309" t="s">
        <v>15</v>
      </c>
      <c r="E2309" t="s">
        <v>13</v>
      </c>
      <c r="F2309">
        <v>2</v>
      </c>
      <c r="G2309" t="str">
        <f>VLOOKUP(D2309,Товары!A:I,3,0)</f>
        <v>Зеркальный шкаф Кристалл 60 со светильником правый, ручка кнопка дуб цвет Шато Азур</v>
      </c>
      <c r="H2309">
        <f>VLOOKUP(D2309,Товары!A:I,6,0)</f>
        <v>75</v>
      </c>
      <c r="I2309" t="str">
        <f>VLOOKUP(C2309,Магазины!A:C,3,0)</f>
        <v>Кемерово</v>
      </c>
      <c r="J2309">
        <f>VLOOKUP(D2309,Товары!A:I,4,0)</f>
        <v>9195</v>
      </c>
      <c r="K2309">
        <f t="shared" si="36"/>
        <v>18390</v>
      </c>
    </row>
    <row r="2310" spans="1:11" hidden="1" x14ac:dyDescent="0.25">
      <c r="A2310">
        <v>2309</v>
      </c>
      <c r="B2310" s="1">
        <v>45757</v>
      </c>
      <c r="C2310" t="s">
        <v>43</v>
      </c>
      <c r="D2310" t="s">
        <v>19</v>
      </c>
      <c r="E2310" t="s">
        <v>8</v>
      </c>
      <c r="F2310">
        <v>3</v>
      </c>
      <c r="G2310" t="str">
        <f>VLOOKUP(D2310,Товары!A:I,3,0)</f>
        <v>Тумба с раковиной  навес. Леон 800 оникс 2 ящика с умыв. Слим</v>
      </c>
      <c r="H2310">
        <f>VLOOKUP(D2310,Товары!A:I,6,0)</f>
        <v>60</v>
      </c>
      <c r="I2310" t="str">
        <f>VLOOKUP(C2310,Магазины!A:C,3,0)</f>
        <v>Набережные Челны</v>
      </c>
      <c r="J2310">
        <f>VLOOKUP(D2310,Товары!A:I,4,0)</f>
        <v>27930</v>
      </c>
      <c r="K2310">
        <f t="shared" si="36"/>
        <v>83790</v>
      </c>
    </row>
    <row r="2311" spans="1:11" hidden="1" x14ac:dyDescent="0.25">
      <c r="A2311">
        <v>2310</v>
      </c>
      <c r="B2311" s="1">
        <v>45756</v>
      </c>
      <c r="C2311" t="s">
        <v>30</v>
      </c>
      <c r="D2311" t="s">
        <v>86</v>
      </c>
      <c r="E2311" t="s">
        <v>13</v>
      </c>
      <c r="F2311">
        <v>1</v>
      </c>
      <c r="G2311" t="str">
        <f>VLOOKUP(D2311,Товары!A:I,3,0)</f>
        <v>Комод Аква 50 напольный 1 ящик 2 двери белый</v>
      </c>
      <c r="H2311">
        <f>VLOOKUP(D2311,Товары!A:I,6,0)</f>
        <v>90</v>
      </c>
      <c r="I2311" t="str">
        <f>VLOOKUP(C2311,Магазины!A:C,3,0)</f>
        <v>Кемерово</v>
      </c>
      <c r="J2311">
        <f>VLOOKUP(D2311,Товары!A:I,4,0)</f>
        <v>7260</v>
      </c>
      <c r="K2311">
        <f t="shared" si="36"/>
        <v>7260</v>
      </c>
    </row>
    <row r="2312" spans="1:11" hidden="1" x14ac:dyDescent="0.25">
      <c r="A2312">
        <v>2311</v>
      </c>
      <c r="B2312" s="1">
        <v>45749</v>
      </c>
      <c r="C2312" t="s">
        <v>35</v>
      </c>
      <c r="D2312" t="s">
        <v>93</v>
      </c>
      <c r="E2312" t="s">
        <v>13</v>
      </c>
      <c r="F2312">
        <v>2</v>
      </c>
      <c r="G2312" t="str">
        <f>VLOOKUP(D2312,Товары!A:I,3,0)</f>
        <v>Тумба с раковиной  напол. Леон Риф 800 солярис/белый риф 2 ящика с умыв. Слим</v>
      </c>
      <c r="H2312">
        <f>VLOOKUP(D2312,Товары!A:I,6,0)</f>
        <v>80</v>
      </c>
      <c r="I2312" t="str">
        <f>VLOOKUP(C2312,Магазины!A:C,3,0)</f>
        <v>Набережные Челны</v>
      </c>
      <c r="J2312">
        <f>VLOOKUP(D2312,Товары!A:I,4,0)</f>
        <v>29340</v>
      </c>
      <c r="K2312">
        <f t="shared" si="36"/>
        <v>58680</v>
      </c>
    </row>
    <row r="2313" spans="1:11" hidden="1" x14ac:dyDescent="0.25">
      <c r="A2313">
        <v>2312</v>
      </c>
      <c r="B2313" s="1">
        <v>45752</v>
      </c>
      <c r="C2313" t="s">
        <v>11</v>
      </c>
      <c r="D2313" t="s">
        <v>74</v>
      </c>
      <c r="E2313" t="s">
        <v>13</v>
      </c>
      <c r="F2313">
        <v>3</v>
      </c>
      <c r="G2313" t="str">
        <f>VLOOKUP(D2313,Товары!A:I,3,0)</f>
        <v>Тумба с раковиной  напол. Альба 800 суфле 2 ящика с умыв. Слим</v>
      </c>
      <c r="H2313">
        <f>VLOOKUP(D2313,Товары!A:I,6,0)</f>
        <v>80</v>
      </c>
      <c r="I2313" t="str">
        <f>VLOOKUP(C2313,Магазины!A:C,3,0)</f>
        <v>Кемерово</v>
      </c>
      <c r="J2313">
        <f>VLOOKUP(D2313,Товары!A:I,4,0)</f>
        <v>29340</v>
      </c>
      <c r="K2313">
        <f t="shared" si="36"/>
        <v>88020</v>
      </c>
    </row>
    <row r="2314" spans="1:11" hidden="1" x14ac:dyDescent="0.25">
      <c r="A2314">
        <v>2313</v>
      </c>
      <c r="B2314" s="1">
        <v>45752</v>
      </c>
      <c r="C2314" t="s">
        <v>28</v>
      </c>
      <c r="D2314" t="s">
        <v>25</v>
      </c>
      <c r="E2314" t="s">
        <v>8</v>
      </c>
      <c r="F2314">
        <v>2</v>
      </c>
      <c r="G2314" t="str">
        <f>VLOOKUP(D2314,Товары!A:I,3,0)</f>
        <v>Пенал напол. Леон 400 оникс 2 двери + 1 ящик</v>
      </c>
      <c r="H2314">
        <f>VLOOKUP(D2314,Товары!A:I,6,0)</f>
        <v>190</v>
      </c>
      <c r="I2314" t="str">
        <f>VLOOKUP(C2314,Магазины!A:C,3,0)</f>
        <v>Набережные Челны</v>
      </c>
      <c r="J2314">
        <f>VLOOKUP(D2314,Товары!A:I,4,0)</f>
        <v>18450</v>
      </c>
      <c r="K2314">
        <f t="shared" si="36"/>
        <v>36900</v>
      </c>
    </row>
    <row r="2315" spans="1:11" hidden="1" x14ac:dyDescent="0.25">
      <c r="A2315">
        <v>2314</v>
      </c>
      <c r="B2315" s="1">
        <v>45755</v>
      </c>
      <c r="C2315" t="s">
        <v>57</v>
      </c>
      <c r="D2315" t="s">
        <v>52</v>
      </c>
      <c r="E2315" t="s">
        <v>13</v>
      </c>
      <c r="F2315">
        <v>3</v>
      </c>
      <c r="G2315" t="str">
        <f>VLOOKUP(D2315,Товары!A:I,3,0)</f>
        <v>Тумба с раковиной  напол. Кристалл 600 суфле 2 ящика с умыв. Океан</v>
      </c>
      <c r="H2315">
        <f>VLOOKUP(D2315,Товары!A:I,6,0)</f>
        <v>80</v>
      </c>
      <c r="I2315" t="str">
        <f>VLOOKUP(C2315,Магазины!A:C,3,0)</f>
        <v>Оренбург</v>
      </c>
      <c r="J2315">
        <f>VLOOKUP(D2315,Товары!A:I,4,0)</f>
        <v>27600</v>
      </c>
      <c r="K2315">
        <f t="shared" si="36"/>
        <v>82800</v>
      </c>
    </row>
    <row r="2316" spans="1:11" hidden="1" x14ac:dyDescent="0.25">
      <c r="A2316">
        <v>2315</v>
      </c>
      <c r="B2316" s="1">
        <v>45755</v>
      </c>
      <c r="C2316" t="s">
        <v>41</v>
      </c>
      <c r="D2316" t="s">
        <v>27</v>
      </c>
      <c r="E2316" t="s">
        <v>8</v>
      </c>
      <c r="F2316">
        <v>1</v>
      </c>
      <c r="G2316" t="str">
        <f>VLOOKUP(D2316,Товары!A:I,3,0)</f>
        <v>Тумба с раковиной  навес. Виктория 800 белый 2 ящика с умыв. Слим</v>
      </c>
      <c r="H2316">
        <f>VLOOKUP(D2316,Товары!A:I,6,0)</f>
        <v>60</v>
      </c>
      <c r="I2316" t="str">
        <f>VLOOKUP(C2316,Магазины!A:C,3,0)</f>
        <v>Ставрополь</v>
      </c>
      <c r="J2316">
        <f>VLOOKUP(D2316,Товары!A:I,4,0)</f>
        <v>25290</v>
      </c>
      <c r="K2316">
        <f t="shared" si="36"/>
        <v>25290</v>
      </c>
    </row>
    <row r="2317" spans="1:11" hidden="1" x14ac:dyDescent="0.25">
      <c r="A2317">
        <v>2316</v>
      </c>
      <c r="B2317" s="1">
        <v>45753</v>
      </c>
      <c r="C2317" t="s">
        <v>18</v>
      </c>
      <c r="D2317" t="s">
        <v>91</v>
      </c>
      <c r="E2317" t="s">
        <v>8</v>
      </c>
      <c r="F2317">
        <v>2</v>
      </c>
      <c r="G2317" t="str">
        <f>VLOOKUP(D2317,Товары!A:I,3,0)</f>
        <v>Пенал навес./напол. Альба 350 мята 2 двери</v>
      </c>
      <c r="H2317">
        <f>VLOOKUP(D2317,Товары!A:I,6,0)</f>
        <v>150</v>
      </c>
      <c r="I2317" t="str">
        <f>VLOOKUP(C2317,Магазины!A:C,3,0)</f>
        <v>Набережные Челны</v>
      </c>
      <c r="J2317">
        <f>VLOOKUP(D2317,Товары!A:I,4,0)</f>
        <v>11655</v>
      </c>
      <c r="K2317">
        <f t="shared" si="36"/>
        <v>23310</v>
      </c>
    </row>
    <row r="2318" spans="1:11" hidden="1" x14ac:dyDescent="0.25">
      <c r="A2318">
        <v>2317</v>
      </c>
      <c r="B2318" s="1">
        <v>45753</v>
      </c>
      <c r="C2318" t="s">
        <v>58</v>
      </c>
      <c r="D2318" t="s">
        <v>36</v>
      </c>
      <c r="E2318" t="s">
        <v>13</v>
      </c>
      <c r="F2318">
        <v>2</v>
      </c>
      <c r="G2318" t="str">
        <f>VLOOKUP(D2318,Товары!A:I,3,0)</f>
        <v>Тумба с раковиной  напол. Альба 800 мята 2 ящика с умыв. Слим</v>
      </c>
      <c r="H2318">
        <f>VLOOKUP(D2318,Товары!A:I,6,0)</f>
        <v>80</v>
      </c>
      <c r="I2318" t="str">
        <f>VLOOKUP(C2318,Магазины!A:C,3,0)</f>
        <v>Ставрополь</v>
      </c>
      <c r="J2318">
        <f>VLOOKUP(D2318,Товары!A:I,4,0)</f>
        <v>29340</v>
      </c>
      <c r="K2318">
        <f t="shared" si="36"/>
        <v>58680</v>
      </c>
    </row>
    <row r="2319" spans="1:11" hidden="1" x14ac:dyDescent="0.25">
      <c r="A2319">
        <v>2318</v>
      </c>
      <c r="B2319" s="1">
        <v>45754</v>
      </c>
      <c r="C2319" t="s">
        <v>20</v>
      </c>
      <c r="D2319" t="s">
        <v>15</v>
      </c>
      <c r="E2319" t="s">
        <v>13</v>
      </c>
      <c r="F2319">
        <v>1</v>
      </c>
      <c r="G2319" t="str">
        <f>VLOOKUP(D2319,Товары!A:I,3,0)</f>
        <v>Зеркальный шкаф Кристалл 60 со светильником правый, ручка кнопка дуб цвет Шато Азур</v>
      </c>
      <c r="H2319">
        <f>VLOOKUP(D2319,Товары!A:I,6,0)</f>
        <v>75</v>
      </c>
      <c r="I2319" t="str">
        <f>VLOOKUP(C2319,Магазины!A:C,3,0)</f>
        <v>Оренбург</v>
      </c>
      <c r="J2319">
        <f>VLOOKUP(D2319,Товары!A:I,4,0)</f>
        <v>9195</v>
      </c>
      <c r="K2319">
        <f t="shared" si="36"/>
        <v>9195</v>
      </c>
    </row>
    <row r="2320" spans="1:11" hidden="1" x14ac:dyDescent="0.25">
      <c r="A2320">
        <v>2319</v>
      </c>
      <c r="B2320" s="1">
        <v>45749</v>
      </c>
      <c r="C2320" t="s">
        <v>57</v>
      </c>
      <c r="D2320" t="s">
        <v>114</v>
      </c>
      <c r="E2320" t="s">
        <v>13</v>
      </c>
      <c r="F2320">
        <v>2</v>
      </c>
      <c r="G2320" t="str">
        <f>VLOOKUP(D2320,Товары!A:I,3,0)</f>
        <v>Тумба с раковиной  навес. Альба 700 мята 2 ящика с умыв. Слим</v>
      </c>
      <c r="H2320">
        <f>VLOOKUP(D2320,Товары!A:I,6,0)</f>
        <v>60</v>
      </c>
      <c r="I2320" t="str">
        <f>VLOOKUP(C2320,Магазины!A:C,3,0)</f>
        <v>Оренбург</v>
      </c>
      <c r="J2320">
        <f>VLOOKUP(D2320,Товары!A:I,4,0)</f>
        <v>25095</v>
      </c>
      <c r="K2320">
        <f t="shared" si="36"/>
        <v>50190</v>
      </c>
    </row>
    <row r="2321" spans="1:11" hidden="1" x14ac:dyDescent="0.25">
      <c r="A2321">
        <v>2320</v>
      </c>
      <c r="B2321" s="1">
        <v>45748</v>
      </c>
      <c r="C2321" t="s">
        <v>54</v>
      </c>
      <c r="D2321" t="s">
        <v>65</v>
      </c>
      <c r="E2321" t="s">
        <v>8</v>
      </c>
      <c r="F2321">
        <v>2</v>
      </c>
      <c r="G2321" t="str">
        <f>VLOOKUP(D2321,Товары!A:I,3,0)</f>
        <v>Тумба с раковиной  навес. Альба 800 суфле 2 ящика с умыв. Слим</v>
      </c>
      <c r="H2321">
        <f>VLOOKUP(D2321,Товары!A:I,6,0)</f>
        <v>50</v>
      </c>
      <c r="I2321" t="str">
        <f>VLOOKUP(C2321,Магазины!A:C,3,0)</f>
        <v>Ставрополь</v>
      </c>
      <c r="J2321">
        <f>VLOOKUP(D2321,Товары!A:I,4,0)</f>
        <v>26070</v>
      </c>
      <c r="K2321">
        <f t="shared" si="36"/>
        <v>52140</v>
      </c>
    </row>
    <row r="2322" spans="1:11" hidden="1" x14ac:dyDescent="0.25">
      <c r="A2322">
        <v>2321</v>
      </c>
      <c r="B2322" s="1">
        <v>45753</v>
      </c>
      <c r="C2322" t="s">
        <v>57</v>
      </c>
      <c r="D2322" t="s">
        <v>121</v>
      </c>
      <c r="E2322" t="s">
        <v>13</v>
      </c>
      <c r="F2322">
        <v>1</v>
      </c>
      <c r="G2322" t="str">
        <f>VLOOKUP(D2322,Товары!A:I,3,0)</f>
        <v>Тумба с раковиной  напол. Куба Риф 600 белый 2 двери с умыв. Como</v>
      </c>
      <c r="H2322">
        <f>VLOOKUP(D2322,Товары!A:I,6,0)</f>
        <v>85</v>
      </c>
      <c r="I2322" t="str">
        <f>VLOOKUP(C2322,Магазины!A:C,3,0)</f>
        <v>Оренбург</v>
      </c>
      <c r="J2322">
        <f>VLOOKUP(D2322,Товары!A:I,4,0)</f>
        <v>13695</v>
      </c>
      <c r="K2322">
        <f t="shared" si="36"/>
        <v>13695</v>
      </c>
    </row>
    <row r="2323" spans="1:11" hidden="1" x14ac:dyDescent="0.25">
      <c r="A2323">
        <v>2322</v>
      </c>
      <c r="B2323" s="1">
        <v>45755</v>
      </c>
      <c r="C2323" t="s">
        <v>111</v>
      </c>
      <c r="D2323" t="s">
        <v>107</v>
      </c>
      <c r="E2323" t="s">
        <v>13</v>
      </c>
      <c r="F2323">
        <v>2</v>
      </c>
      <c r="G2323" t="str">
        <f>VLOOKUP(D2323,Товары!A:I,3,0)</f>
        <v>Комод Аква 35 напольный 1 дверь белый правый</v>
      </c>
      <c r="H2323">
        <f>VLOOKUP(D2323,Товары!A:I,6,0)</f>
        <v>90</v>
      </c>
      <c r="I2323" t="str">
        <f>VLOOKUP(C2323,Магазины!A:C,3,0)</f>
        <v>Набережные Челны</v>
      </c>
      <c r="J2323">
        <f>VLOOKUP(D2323,Товары!A:I,4,0)</f>
        <v>6705</v>
      </c>
      <c r="K2323">
        <f t="shared" si="36"/>
        <v>13410</v>
      </c>
    </row>
    <row r="2324" spans="1:11" hidden="1" x14ac:dyDescent="0.25">
      <c r="A2324">
        <v>2323</v>
      </c>
      <c r="B2324" s="1">
        <v>45748</v>
      </c>
      <c r="C2324" t="s">
        <v>57</v>
      </c>
      <c r="D2324" t="s">
        <v>112</v>
      </c>
      <c r="E2324" t="s">
        <v>8</v>
      </c>
      <c r="F2324">
        <v>1</v>
      </c>
      <c r="G2324" t="str">
        <f>VLOOKUP(D2324,Товары!A:I,3,0)</f>
        <v>Тумба с раковиной  напол. Аква 560 белый 2 двери с умыв. Уют</v>
      </c>
      <c r="H2324">
        <f>VLOOKUP(D2324,Товары!A:I,6,0)</f>
        <v>85</v>
      </c>
      <c r="I2324" t="str">
        <f>VLOOKUP(C2324,Магазины!A:C,3,0)</f>
        <v>Оренбург</v>
      </c>
      <c r="J2324">
        <f>VLOOKUP(D2324,Товары!A:I,4,0)</f>
        <v>9330</v>
      </c>
      <c r="K2324">
        <f t="shared" si="36"/>
        <v>9330</v>
      </c>
    </row>
    <row r="2325" spans="1:11" hidden="1" x14ac:dyDescent="0.25">
      <c r="A2325">
        <v>2324</v>
      </c>
      <c r="B2325" s="1">
        <v>45751</v>
      </c>
      <c r="C2325" t="s">
        <v>11</v>
      </c>
      <c r="D2325" t="s">
        <v>25</v>
      </c>
      <c r="E2325" t="s">
        <v>8</v>
      </c>
      <c r="F2325">
        <v>3</v>
      </c>
      <c r="G2325" t="str">
        <f>VLOOKUP(D2325,Товары!A:I,3,0)</f>
        <v>Пенал напол. Леон 400 оникс 2 двери + 1 ящик</v>
      </c>
      <c r="H2325">
        <f>VLOOKUP(D2325,Товары!A:I,6,0)</f>
        <v>190</v>
      </c>
      <c r="I2325" t="str">
        <f>VLOOKUP(C2325,Магазины!A:C,3,0)</f>
        <v>Кемерово</v>
      </c>
      <c r="J2325">
        <f>VLOOKUP(D2325,Товары!A:I,4,0)</f>
        <v>18450</v>
      </c>
      <c r="K2325">
        <f t="shared" si="36"/>
        <v>55350</v>
      </c>
    </row>
    <row r="2326" spans="1:11" hidden="1" x14ac:dyDescent="0.25">
      <c r="A2326">
        <v>2325</v>
      </c>
      <c r="B2326" s="1">
        <v>45752</v>
      </c>
      <c r="C2326" t="s">
        <v>103</v>
      </c>
      <c r="D2326" t="s">
        <v>97</v>
      </c>
      <c r="E2326" t="s">
        <v>13</v>
      </c>
      <c r="F2326">
        <v>1</v>
      </c>
      <c r="G2326" t="str">
        <f>VLOOKUP(D2326,Товары!A:I,3,0)</f>
        <v>Пенал напол. Кристалл 350 суфле 2 двери</v>
      </c>
      <c r="H2326">
        <f>VLOOKUP(D2326,Товары!A:I,6,0)</f>
        <v>190</v>
      </c>
      <c r="I2326" t="str">
        <f>VLOOKUP(C2326,Магазины!A:C,3,0)</f>
        <v>Ставрополь</v>
      </c>
      <c r="J2326">
        <f>VLOOKUP(D2326,Товары!A:I,4,0)</f>
        <v>15810</v>
      </c>
      <c r="K2326">
        <f t="shared" si="36"/>
        <v>15810</v>
      </c>
    </row>
    <row r="2327" spans="1:11" hidden="1" x14ac:dyDescent="0.25">
      <c r="A2327">
        <v>2326</v>
      </c>
      <c r="B2327" s="1">
        <v>45749</v>
      </c>
      <c r="C2327" t="s">
        <v>30</v>
      </c>
      <c r="D2327" t="s">
        <v>42</v>
      </c>
      <c r="E2327" t="s">
        <v>13</v>
      </c>
      <c r="F2327">
        <v>2</v>
      </c>
      <c r="G2327" t="str">
        <f>VLOOKUP(D2327,Товары!A:I,3,0)</f>
        <v>Тумба под стиральную машину Леон Риф 57 подвесная 2 ящика под ст/маш, без умывальника /под Marshall 120 Солярис/Белый Риф</v>
      </c>
      <c r="H2327">
        <f>VLOOKUP(D2327,Товары!A:I,6,0)</f>
        <v>60</v>
      </c>
      <c r="I2327" t="str">
        <f>VLOOKUP(C2327,Магазины!A:C,3,0)</f>
        <v>Кемерово</v>
      </c>
      <c r="J2327">
        <f>VLOOKUP(D2327,Товары!A:I,4,0)</f>
        <v>15495</v>
      </c>
      <c r="K2327">
        <f t="shared" si="36"/>
        <v>30990</v>
      </c>
    </row>
    <row r="2328" spans="1:11" hidden="1" x14ac:dyDescent="0.25">
      <c r="A2328">
        <v>2327</v>
      </c>
      <c r="B2328" s="1">
        <v>45748</v>
      </c>
      <c r="C2328" t="s">
        <v>103</v>
      </c>
      <c r="D2328" t="s">
        <v>80</v>
      </c>
      <c r="E2328" t="s">
        <v>8</v>
      </c>
      <c r="F2328">
        <v>3</v>
      </c>
      <c r="G2328" t="str">
        <f>VLOOKUP(D2328,Товары!A:I,3,0)</f>
        <v>Тумба с раковиной  навес. Сохо 600 белый 2 ящика с умыв. Океан</v>
      </c>
      <c r="H2328">
        <f>VLOOKUP(D2328,Товары!A:I,6,0)</f>
        <v>55</v>
      </c>
      <c r="I2328" t="str">
        <f>VLOOKUP(C2328,Магазины!A:C,3,0)</f>
        <v>Ставрополь</v>
      </c>
      <c r="J2328">
        <f>VLOOKUP(D2328,Товары!A:I,4,0)</f>
        <v>13950</v>
      </c>
      <c r="K2328">
        <f t="shared" si="36"/>
        <v>41850</v>
      </c>
    </row>
    <row r="2329" spans="1:11" hidden="1" x14ac:dyDescent="0.25">
      <c r="A2329">
        <v>2328</v>
      </c>
      <c r="B2329" s="1">
        <v>45756</v>
      </c>
      <c r="C2329" t="s">
        <v>58</v>
      </c>
      <c r="D2329" t="s">
        <v>10</v>
      </c>
      <c r="E2329" t="s">
        <v>13</v>
      </c>
      <c r="F2329">
        <v>2</v>
      </c>
      <c r="G2329" t="str">
        <f>VLOOKUP(D2329,Товары!A:I,3,0)</f>
        <v>Тумба с раковиной  навес. Альба 700 антрацит 1 ящик с умыв. Слим</v>
      </c>
      <c r="H2329">
        <f>VLOOKUP(D2329,Товары!A:I,6,0)</f>
        <v>45</v>
      </c>
      <c r="I2329" t="str">
        <f>VLOOKUP(C2329,Магазины!A:C,3,0)</f>
        <v>Ставрополь</v>
      </c>
      <c r="J2329">
        <f>VLOOKUP(D2329,Товары!A:I,4,0)</f>
        <v>20130</v>
      </c>
      <c r="K2329">
        <f t="shared" si="36"/>
        <v>40260</v>
      </c>
    </row>
    <row r="2330" spans="1:11" hidden="1" x14ac:dyDescent="0.25">
      <c r="A2330">
        <v>2329</v>
      </c>
      <c r="B2330" s="1">
        <v>45753</v>
      </c>
      <c r="C2330" t="s">
        <v>9</v>
      </c>
      <c r="D2330" t="s">
        <v>71</v>
      </c>
      <c r="E2330" t="s">
        <v>13</v>
      </c>
      <c r="F2330">
        <v>2</v>
      </c>
      <c r="G2330" t="str">
        <f>VLOOKUP(D2330,Товары!A:I,3,0)</f>
        <v>Тумба с раковиной  навес. Альба 600 мята 2 ящика с умыв. Океан</v>
      </c>
      <c r="H2330">
        <f>VLOOKUP(D2330,Товары!A:I,6,0)</f>
        <v>50</v>
      </c>
      <c r="I2330" t="str">
        <f>VLOOKUP(C2330,Магазины!A:C,3,0)</f>
        <v>Кемерово</v>
      </c>
      <c r="J2330">
        <f>VLOOKUP(D2330,Товары!A:I,4,0)</f>
        <v>24810</v>
      </c>
      <c r="K2330">
        <f t="shared" si="36"/>
        <v>49620</v>
      </c>
    </row>
    <row r="2331" spans="1:11" hidden="1" x14ac:dyDescent="0.25">
      <c r="A2331">
        <v>2330</v>
      </c>
      <c r="B2331" s="1">
        <v>45756</v>
      </c>
      <c r="C2331" t="s">
        <v>54</v>
      </c>
      <c r="D2331" t="s">
        <v>88</v>
      </c>
      <c r="E2331" t="s">
        <v>8</v>
      </c>
      <c r="F2331">
        <v>3</v>
      </c>
      <c r="G2331" t="str">
        <f>VLOOKUP(D2331,Товары!A:I,3,0)</f>
        <v>Тумба с раковиной  навес. Альба 800 антрацит 2 ящика с умыв. Слим</v>
      </c>
      <c r="H2331">
        <f>VLOOKUP(D2331,Товары!A:I,6,0)</f>
        <v>50</v>
      </c>
      <c r="I2331" t="str">
        <f>VLOOKUP(C2331,Магазины!A:C,3,0)</f>
        <v>Ставрополь</v>
      </c>
      <c r="J2331">
        <f>VLOOKUP(D2331,Товары!A:I,4,0)</f>
        <v>26070</v>
      </c>
      <c r="K2331">
        <f t="shared" si="36"/>
        <v>78210</v>
      </c>
    </row>
    <row r="2332" spans="1:11" hidden="1" x14ac:dyDescent="0.25">
      <c r="A2332">
        <v>2331</v>
      </c>
      <c r="B2332" s="1">
        <v>45757</v>
      </c>
      <c r="C2332" t="s">
        <v>30</v>
      </c>
      <c r="D2332" t="s">
        <v>124</v>
      </c>
      <c r="E2332" t="s">
        <v>8</v>
      </c>
      <c r="F2332">
        <v>1</v>
      </c>
      <c r="G2332" t="str">
        <f>VLOOKUP(D2332,Товары!A:I,3,0)</f>
        <v>Тумба с раковиной  напол. Леон 600 оникс 2 ящика с умыв. Океан</v>
      </c>
      <c r="H2332">
        <f>VLOOKUP(D2332,Товары!A:I,6,0)</f>
        <v>80</v>
      </c>
      <c r="I2332" t="str">
        <f>VLOOKUP(C2332,Магазины!A:C,3,0)</f>
        <v>Кемерово</v>
      </c>
      <c r="J2332">
        <f>VLOOKUP(D2332,Товары!A:I,4,0)</f>
        <v>25860</v>
      </c>
      <c r="K2332">
        <f t="shared" si="36"/>
        <v>25860</v>
      </c>
    </row>
    <row r="2333" spans="1:11" hidden="1" x14ac:dyDescent="0.25">
      <c r="A2333">
        <v>2332</v>
      </c>
      <c r="B2333" s="1">
        <v>45749</v>
      </c>
      <c r="C2333" t="s">
        <v>28</v>
      </c>
      <c r="D2333" t="s">
        <v>68</v>
      </c>
      <c r="E2333" t="s">
        <v>8</v>
      </c>
      <c r="F2333">
        <v>1</v>
      </c>
      <c r="G2333" t="str">
        <f>VLOOKUP(D2333,Товары!A:I,3,0)</f>
        <v>Тумба с раковиной  навес. Альба 600 антрацит 1 ящик с умыв. Океан</v>
      </c>
      <c r="H2333">
        <f>VLOOKUP(D2333,Товары!A:I,6,0)</f>
        <v>85</v>
      </c>
      <c r="I2333" t="str">
        <f>VLOOKUP(C2333,Магазины!A:C,3,0)</f>
        <v>Набережные Челны</v>
      </c>
      <c r="J2333">
        <f>VLOOKUP(D2333,Товары!A:I,4,0)</f>
        <v>17625</v>
      </c>
      <c r="K2333">
        <f t="shared" si="36"/>
        <v>17625</v>
      </c>
    </row>
    <row r="2334" spans="1:11" hidden="1" x14ac:dyDescent="0.25">
      <c r="A2334">
        <v>2333</v>
      </c>
      <c r="B2334" s="1">
        <v>45748</v>
      </c>
      <c r="C2334" t="s">
        <v>43</v>
      </c>
      <c r="D2334" t="s">
        <v>24</v>
      </c>
      <c r="E2334" t="s">
        <v>13</v>
      </c>
      <c r="F2334">
        <v>1</v>
      </c>
      <c r="G2334" t="str">
        <f>VLOOKUP(D2334,Товары!A:I,3,0)</f>
        <v>Тумба с раковиной  напол. Леон 600 форест 2 ящика с умыв. Слим</v>
      </c>
      <c r="H2334">
        <f>VLOOKUP(D2334,Товары!A:I,6,0)</f>
        <v>80</v>
      </c>
      <c r="I2334" t="str">
        <f>VLOOKUP(C2334,Магазины!A:C,3,0)</f>
        <v>Набережные Челны</v>
      </c>
      <c r="J2334">
        <f>VLOOKUP(D2334,Товары!A:I,4,0)</f>
        <v>27150</v>
      </c>
      <c r="K2334">
        <f t="shared" si="36"/>
        <v>27150</v>
      </c>
    </row>
    <row r="2335" spans="1:11" hidden="1" x14ac:dyDescent="0.25">
      <c r="A2335">
        <v>2334</v>
      </c>
      <c r="B2335" s="1">
        <v>45757</v>
      </c>
      <c r="C2335" t="s">
        <v>14</v>
      </c>
      <c r="D2335" t="s">
        <v>67</v>
      </c>
      <c r="E2335" t="s">
        <v>13</v>
      </c>
      <c r="F2335">
        <v>1</v>
      </c>
      <c r="G2335" t="str">
        <f>VLOOKUP(D2335,Товары!A:I,3,0)</f>
        <v>Пенал навес./напол. Альба 350 суфле 2 двери</v>
      </c>
      <c r="H2335">
        <f>VLOOKUP(D2335,Товары!A:I,6,0)</f>
        <v>150</v>
      </c>
      <c r="I2335" t="str">
        <f>VLOOKUP(C2335,Магазины!A:C,3,0)</f>
        <v>Оренбург</v>
      </c>
      <c r="J2335">
        <f>VLOOKUP(D2335,Товары!A:I,4,0)</f>
        <v>11655</v>
      </c>
      <c r="K2335">
        <f t="shared" si="36"/>
        <v>11655</v>
      </c>
    </row>
    <row r="2336" spans="1:11" hidden="1" x14ac:dyDescent="0.25">
      <c r="A2336">
        <v>2335</v>
      </c>
      <c r="B2336" s="1">
        <v>45754</v>
      </c>
      <c r="C2336" t="s">
        <v>30</v>
      </c>
      <c r="D2336" t="s">
        <v>76</v>
      </c>
      <c r="E2336" t="s">
        <v>13</v>
      </c>
      <c r="F2336">
        <v>2</v>
      </c>
      <c r="G2336" t="str">
        <f>VLOOKUP(D2336,Товары!A:I,3,0)</f>
        <v>Тумба с раковиной  напол. Леон 600 оникс 2 ящика с умыв. Слим</v>
      </c>
      <c r="H2336">
        <f>VLOOKUP(D2336,Товары!A:I,6,0)</f>
        <v>80</v>
      </c>
      <c r="I2336" t="str">
        <f>VLOOKUP(C2336,Магазины!A:C,3,0)</f>
        <v>Кемерово</v>
      </c>
      <c r="J2336">
        <f>VLOOKUP(D2336,Товары!A:I,4,0)</f>
        <v>25860</v>
      </c>
      <c r="K2336">
        <f t="shared" si="36"/>
        <v>51720</v>
      </c>
    </row>
    <row r="2337" spans="1:11" hidden="1" x14ac:dyDescent="0.25">
      <c r="A2337">
        <v>2336</v>
      </c>
      <c r="B2337" s="1">
        <v>45750</v>
      </c>
      <c r="C2337" t="s">
        <v>92</v>
      </c>
      <c r="D2337" t="s">
        <v>55</v>
      </c>
      <c r="E2337" t="s">
        <v>8</v>
      </c>
      <c r="F2337">
        <v>3</v>
      </c>
      <c r="G2337" t="str">
        <f>VLOOKUP(D2337,Товары!A:I,3,0)</f>
        <v>Тумба с раковиной  напол. Рица 600 cерый/керамика 2 ящика с умыв. Океан</v>
      </c>
      <c r="H2337">
        <f>VLOOKUP(D2337,Товары!A:I,6,0)</f>
        <v>80</v>
      </c>
      <c r="I2337" t="str">
        <f>VLOOKUP(C2337,Магазины!A:C,3,0)</f>
        <v>Кемерово</v>
      </c>
      <c r="J2337">
        <f>VLOOKUP(D2337,Товары!A:I,4,0)</f>
        <v>25560</v>
      </c>
      <c r="K2337">
        <f t="shared" si="36"/>
        <v>76680</v>
      </c>
    </row>
    <row r="2338" spans="1:11" hidden="1" x14ac:dyDescent="0.25">
      <c r="A2338">
        <v>2337</v>
      </c>
      <c r="B2338" s="1">
        <v>45752</v>
      </c>
      <c r="C2338" t="s">
        <v>35</v>
      </c>
      <c r="D2338" t="s">
        <v>38</v>
      </c>
      <c r="E2338" t="s">
        <v>13</v>
      </c>
      <c r="F2338">
        <v>2</v>
      </c>
      <c r="G2338" t="str">
        <f>VLOOKUP(D2338,Товары!A:I,3,0)</f>
        <v>Тумба с раковиной  навес. Куба Риф 600 белый 2 ящика с умыв. Como</v>
      </c>
      <c r="H2338">
        <f>VLOOKUP(D2338,Товары!A:I,6,0)</f>
        <v>55</v>
      </c>
      <c r="I2338" t="str">
        <f>VLOOKUP(C2338,Магазины!A:C,3,0)</f>
        <v>Набережные Челны</v>
      </c>
      <c r="J2338">
        <f>VLOOKUP(D2338,Товары!A:I,4,0)</f>
        <v>14265</v>
      </c>
      <c r="K2338">
        <f t="shared" si="36"/>
        <v>28530</v>
      </c>
    </row>
    <row r="2339" spans="1:11" hidden="1" x14ac:dyDescent="0.25">
      <c r="A2339">
        <v>2338</v>
      </c>
      <c r="B2339" s="1">
        <v>45753</v>
      </c>
      <c r="C2339" t="s">
        <v>58</v>
      </c>
      <c r="D2339" t="s">
        <v>104</v>
      </c>
      <c r="E2339" t="s">
        <v>13</v>
      </c>
      <c r="F2339">
        <v>1</v>
      </c>
      <c r="G2339" t="str">
        <f>VLOOKUP(D2339,Товары!A:I,3,0)</f>
        <v>Тумба под стиральную машину Куба Риф 57 подвесная 2 ящика под ст/маш, без умывальника /под Marshall 120 Белый</v>
      </c>
      <c r="H2339">
        <f>VLOOKUP(D2339,Товары!A:I,6,0)</f>
        <v>50</v>
      </c>
      <c r="I2339" t="str">
        <f>VLOOKUP(C2339,Магазины!A:C,3,0)</f>
        <v>Ставрополь</v>
      </c>
      <c r="J2339">
        <f>VLOOKUP(D2339,Товары!A:I,4,0)</f>
        <v>8505</v>
      </c>
      <c r="K2339">
        <f t="shared" si="36"/>
        <v>8505</v>
      </c>
    </row>
    <row r="2340" spans="1:11" hidden="1" x14ac:dyDescent="0.25">
      <c r="A2340">
        <v>2339</v>
      </c>
      <c r="B2340" s="1">
        <v>45757</v>
      </c>
      <c r="C2340" t="s">
        <v>28</v>
      </c>
      <c r="D2340" t="s">
        <v>23</v>
      </c>
      <c r="E2340" t="s">
        <v>13</v>
      </c>
      <c r="F2340">
        <v>3</v>
      </c>
      <c r="G2340" t="str">
        <f>VLOOKUP(D2340,Товары!A:I,3,0)</f>
        <v>Тумба с раковиной  напол. Альба 800 антрацит 2 ящика с умыв. Слим</v>
      </c>
      <c r="H2340">
        <f>VLOOKUP(D2340,Товары!A:I,6,0)</f>
        <v>80</v>
      </c>
      <c r="I2340" t="str">
        <f>VLOOKUP(C2340,Магазины!A:C,3,0)</f>
        <v>Набережные Челны</v>
      </c>
      <c r="J2340">
        <f>VLOOKUP(D2340,Товары!A:I,4,0)</f>
        <v>29340</v>
      </c>
      <c r="K2340">
        <f t="shared" si="36"/>
        <v>88020</v>
      </c>
    </row>
    <row r="2341" spans="1:11" hidden="1" x14ac:dyDescent="0.25">
      <c r="A2341">
        <v>2340</v>
      </c>
      <c r="B2341" s="1">
        <v>45754</v>
      </c>
      <c r="C2341" t="s">
        <v>6</v>
      </c>
      <c r="D2341" t="s">
        <v>106</v>
      </c>
      <c r="E2341" t="s">
        <v>13</v>
      </c>
      <c r="F2341">
        <v>2</v>
      </c>
      <c r="G2341" t="str">
        <f>VLOOKUP(D2341,Товары!A:I,3,0)</f>
        <v>Тумба с раковиной  навес. Кристалл 700 шато азур 2 ящика с умыв. Слим</v>
      </c>
      <c r="H2341">
        <f>VLOOKUP(D2341,Товары!A:I,6,0)</f>
        <v>60</v>
      </c>
      <c r="I2341" t="str">
        <f>VLOOKUP(C2341,Магазины!A:C,3,0)</f>
        <v>Оренбург</v>
      </c>
      <c r="J2341">
        <f>VLOOKUP(D2341,Товары!A:I,4,0)</f>
        <v>24150</v>
      </c>
      <c r="K2341">
        <f t="shared" si="36"/>
        <v>48300</v>
      </c>
    </row>
    <row r="2342" spans="1:11" hidden="1" x14ac:dyDescent="0.25">
      <c r="A2342">
        <v>2341</v>
      </c>
      <c r="B2342" s="1">
        <v>45756</v>
      </c>
      <c r="C2342" t="s">
        <v>30</v>
      </c>
      <c r="D2342" t="s">
        <v>131</v>
      </c>
      <c r="E2342" t="s">
        <v>13</v>
      </c>
      <c r="F2342">
        <v>3</v>
      </c>
      <c r="G2342" t="str">
        <f>VLOOKUP(D2342,Товары!A:I,3,0)</f>
        <v>Тумба с раковиной  напол. Леон 800 форест 2 ящика с умыв. Слим</v>
      </c>
      <c r="H2342">
        <f>VLOOKUP(D2342,Товары!A:I,6,0)</f>
        <v>80</v>
      </c>
      <c r="I2342" t="str">
        <f>VLOOKUP(C2342,Магазины!A:C,3,0)</f>
        <v>Кемерово</v>
      </c>
      <c r="J2342">
        <f>VLOOKUP(D2342,Товары!A:I,4,0)</f>
        <v>29400</v>
      </c>
      <c r="K2342">
        <f t="shared" si="36"/>
        <v>88200</v>
      </c>
    </row>
    <row r="2343" spans="1:11" hidden="1" x14ac:dyDescent="0.25">
      <c r="A2343">
        <v>2342</v>
      </c>
      <c r="B2343" s="1">
        <v>45754</v>
      </c>
      <c r="C2343" t="s">
        <v>28</v>
      </c>
      <c r="D2343" t="s">
        <v>75</v>
      </c>
      <c r="E2343" t="s">
        <v>8</v>
      </c>
      <c r="F2343">
        <v>1</v>
      </c>
      <c r="G2343" t="str">
        <f>VLOOKUP(D2343,Товары!A:I,3,0)</f>
        <v>Тумба с раковиной  напол. Альба 600 суфле 2 ящика с умыв. Океан</v>
      </c>
      <c r="H2343">
        <f>VLOOKUP(D2343,Товары!A:I,6,0)</f>
        <v>80</v>
      </c>
      <c r="I2343" t="str">
        <f>VLOOKUP(C2343,Магазины!A:C,3,0)</f>
        <v>Набережные Челны</v>
      </c>
      <c r="J2343">
        <f>VLOOKUP(D2343,Товары!A:I,4,0)</f>
        <v>26370</v>
      </c>
      <c r="K2343">
        <f t="shared" si="36"/>
        <v>26370</v>
      </c>
    </row>
    <row r="2344" spans="1:11" hidden="1" x14ac:dyDescent="0.25">
      <c r="A2344">
        <v>2343</v>
      </c>
      <c r="B2344" s="1">
        <v>45756</v>
      </c>
      <c r="C2344" t="s">
        <v>63</v>
      </c>
      <c r="D2344" t="s">
        <v>78</v>
      </c>
      <c r="E2344" t="s">
        <v>13</v>
      </c>
      <c r="F2344">
        <v>3</v>
      </c>
      <c r="G2344" t="str">
        <f>VLOOKUP(D2344,Товары!A:I,3,0)</f>
        <v>Зеркальный шкаф Кристалл 70 со светильником правый, ручка кнопка дуб цвет Шато Азур</v>
      </c>
      <c r="H2344">
        <f>VLOOKUP(D2344,Товары!A:I,6,0)</f>
        <v>75</v>
      </c>
      <c r="I2344" t="str">
        <f>VLOOKUP(C2344,Магазины!A:C,3,0)</f>
        <v>Ставрополь</v>
      </c>
      <c r="J2344">
        <f>VLOOKUP(D2344,Товары!A:I,4,0)</f>
        <v>9615</v>
      </c>
      <c r="K2344">
        <f t="shared" si="36"/>
        <v>28845</v>
      </c>
    </row>
    <row r="2345" spans="1:11" hidden="1" x14ac:dyDescent="0.25">
      <c r="A2345">
        <v>2344</v>
      </c>
      <c r="B2345" s="1">
        <v>45756</v>
      </c>
      <c r="C2345" t="s">
        <v>30</v>
      </c>
      <c r="D2345" t="s">
        <v>79</v>
      </c>
      <c r="E2345" t="s">
        <v>8</v>
      </c>
      <c r="F2345">
        <v>3</v>
      </c>
      <c r="G2345" t="str">
        <f>VLOOKUP(D2345,Товары!A:I,3,0)</f>
        <v>Зеркальный шкаф Альба 70 со светильником правый цвет мята</v>
      </c>
      <c r="H2345">
        <f>VLOOKUP(D2345,Товары!A:I,6,0)</f>
        <v>75</v>
      </c>
      <c r="I2345" t="str">
        <f>VLOOKUP(C2345,Магазины!A:C,3,0)</f>
        <v>Кемерово</v>
      </c>
      <c r="J2345">
        <f>VLOOKUP(D2345,Товары!A:I,4,0)</f>
        <v>9615</v>
      </c>
      <c r="K2345">
        <f t="shared" si="36"/>
        <v>28845</v>
      </c>
    </row>
    <row r="2346" spans="1:11" hidden="1" x14ac:dyDescent="0.25">
      <c r="A2346">
        <v>2345</v>
      </c>
      <c r="B2346" s="1">
        <v>45748</v>
      </c>
      <c r="C2346" t="s">
        <v>35</v>
      </c>
      <c r="D2346" t="s">
        <v>79</v>
      </c>
      <c r="E2346" t="s">
        <v>8</v>
      </c>
      <c r="F2346">
        <v>3</v>
      </c>
      <c r="G2346" t="str">
        <f>VLOOKUP(D2346,Товары!A:I,3,0)</f>
        <v>Зеркальный шкаф Альба 70 со светильником правый цвет мята</v>
      </c>
      <c r="H2346">
        <f>VLOOKUP(D2346,Товары!A:I,6,0)</f>
        <v>75</v>
      </c>
      <c r="I2346" t="str">
        <f>VLOOKUP(C2346,Магазины!A:C,3,0)</f>
        <v>Набережные Челны</v>
      </c>
      <c r="J2346">
        <f>VLOOKUP(D2346,Товары!A:I,4,0)</f>
        <v>9615</v>
      </c>
      <c r="K2346">
        <f t="shared" si="36"/>
        <v>28845</v>
      </c>
    </row>
    <row r="2347" spans="1:11" hidden="1" x14ac:dyDescent="0.25">
      <c r="A2347">
        <v>2346</v>
      </c>
      <c r="B2347" s="1">
        <v>45753</v>
      </c>
      <c r="C2347" t="s">
        <v>58</v>
      </c>
      <c r="D2347" t="s">
        <v>60</v>
      </c>
      <c r="E2347" t="s">
        <v>8</v>
      </c>
      <c r="F2347">
        <v>3</v>
      </c>
      <c r="G2347" t="str">
        <f>VLOOKUP(D2347,Товары!A:I,3,0)</f>
        <v>Пенал навес. Куба Риф 350 белый 2 двери</v>
      </c>
      <c r="H2347">
        <f>VLOOKUP(D2347,Товары!A:I,6,0)</f>
        <v>150</v>
      </c>
      <c r="I2347" t="str">
        <f>VLOOKUP(C2347,Магазины!A:C,3,0)</f>
        <v>Ставрополь</v>
      </c>
      <c r="J2347">
        <f>VLOOKUP(D2347,Товары!A:I,4,0)</f>
        <v>9720</v>
      </c>
      <c r="K2347">
        <f t="shared" si="36"/>
        <v>29160</v>
      </c>
    </row>
    <row r="2348" spans="1:11" hidden="1" x14ac:dyDescent="0.25">
      <c r="A2348">
        <v>2347</v>
      </c>
      <c r="B2348" s="1">
        <v>45757</v>
      </c>
      <c r="C2348" t="s">
        <v>41</v>
      </c>
      <c r="D2348" t="s">
        <v>86</v>
      </c>
      <c r="E2348" t="s">
        <v>13</v>
      </c>
      <c r="F2348">
        <v>1</v>
      </c>
      <c r="G2348" t="str">
        <f>VLOOKUP(D2348,Товары!A:I,3,0)</f>
        <v>Комод Аква 50 напольный 1 ящик 2 двери белый</v>
      </c>
      <c r="H2348">
        <f>VLOOKUP(D2348,Товары!A:I,6,0)</f>
        <v>90</v>
      </c>
      <c r="I2348" t="str">
        <f>VLOOKUP(C2348,Магазины!A:C,3,0)</f>
        <v>Ставрополь</v>
      </c>
      <c r="J2348">
        <f>VLOOKUP(D2348,Товары!A:I,4,0)</f>
        <v>7260</v>
      </c>
      <c r="K2348">
        <f t="shared" si="36"/>
        <v>7260</v>
      </c>
    </row>
    <row r="2349" spans="1:11" hidden="1" x14ac:dyDescent="0.25">
      <c r="A2349">
        <v>2348</v>
      </c>
      <c r="B2349" s="1">
        <v>45756</v>
      </c>
      <c r="C2349" t="s">
        <v>92</v>
      </c>
      <c r="D2349" t="s">
        <v>49</v>
      </c>
      <c r="E2349" t="s">
        <v>8</v>
      </c>
      <c r="F2349">
        <v>3</v>
      </c>
      <c r="G2349" t="str">
        <f>VLOOKUP(D2349,Товары!A:I,3,0)</f>
        <v>Тумба с раковиной  напол. Леон 700 оникс 2 ящика с умыв. Слим</v>
      </c>
      <c r="H2349">
        <f>VLOOKUP(D2349,Товары!A:I,6,0)</f>
        <v>80</v>
      </c>
      <c r="I2349" t="str">
        <f>VLOOKUP(C2349,Магазины!A:C,3,0)</f>
        <v>Кемерово</v>
      </c>
      <c r="J2349">
        <f>VLOOKUP(D2349,Товары!A:I,4,0)</f>
        <v>28380</v>
      </c>
      <c r="K2349">
        <f t="shared" si="36"/>
        <v>85140</v>
      </c>
    </row>
    <row r="2350" spans="1:11" hidden="1" x14ac:dyDescent="0.25">
      <c r="A2350">
        <v>2349</v>
      </c>
      <c r="B2350" s="1">
        <v>45755</v>
      </c>
      <c r="C2350" t="s">
        <v>30</v>
      </c>
      <c r="D2350" t="s">
        <v>49</v>
      </c>
      <c r="E2350" t="s">
        <v>8</v>
      </c>
      <c r="F2350">
        <v>1</v>
      </c>
      <c r="G2350" t="str">
        <f>VLOOKUP(D2350,Товары!A:I,3,0)</f>
        <v>Тумба с раковиной  напол. Леон 700 оникс 2 ящика с умыв. Слим</v>
      </c>
      <c r="H2350">
        <f>VLOOKUP(D2350,Товары!A:I,6,0)</f>
        <v>80</v>
      </c>
      <c r="I2350" t="str">
        <f>VLOOKUP(C2350,Магазины!A:C,3,0)</f>
        <v>Кемерово</v>
      </c>
      <c r="J2350">
        <f>VLOOKUP(D2350,Товары!A:I,4,0)</f>
        <v>28380</v>
      </c>
      <c r="K2350">
        <f t="shared" si="36"/>
        <v>28380</v>
      </c>
    </row>
    <row r="2351" spans="1:11" hidden="1" x14ac:dyDescent="0.25">
      <c r="A2351">
        <v>2350</v>
      </c>
      <c r="B2351" s="1">
        <v>45754</v>
      </c>
      <c r="C2351" t="s">
        <v>48</v>
      </c>
      <c r="D2351" t="s">
        <v>62</v>
      </c>
      <c r="E2351" t="s">
        <v>13</v>
      </c>
      <c r="F2351">
        <v>2</v>
      </c>
      <c r="G2351" t="str">
        <f>VLOOKUP(D2351,Товары!A:I,3,0)</f>
        <v>Тумба с раковиной  напол. Альба 600 мята 2 ящика с умыв. Океан</v>
      </c>
      <c r="H2351">
        <f>VLOOKUP(D2351,Товары!A:I,6,0)</f>
        <v>80</v>
      </c>
      <c r="I2351" t="str">
        <f>VLOOKUP(C2351,Магазины!A:C,3,0)</f>
        <v>Ставрополь</v>
      </c>
      <c r="J2351">
        <f>VLOOKUP(D2351,Товары!A:I,4,0)</f>
        <v>26370</v>
      </c>
      <c r="K2351">
        <f t="shared" si="36"/>
        <v>52740</v>
      </c>
    </row>
    <row r="2352" spans="1:11" hidden="1" x14ac:dyDescent="0.25">
      <c r="A2352">
        <v>2351</v>
      </c>
      <c r="B2352" s="1">
        <v>45752</v>
      </c>
      <c r="C2352" t="s">
        <v>63</v>
      </c>
      <c r="D2352" t="s">
        <v>37</v>
      </c>
      <c r="E2352" t="s">
        <v>8</v>
      </c>
      <c r="F2352">
        <v>1</v>
      </c>
      <c r="G2352" t="str">
        <f>VLOOKUP(D2352,Товары!A:I,3,0)</f>
        <v>Зеркальный шкаф Сохо 70 белый со светильником правый цвет Белый глянец</v>
      </c>
      <c r="H2352">
        <f>VLOOKUP(D2352,Товары!A:I,6,0)</f>
        <v>75</v>
      </c>
      <c r="I2352" t="str">
        <f>VLOOKUP(C2352,Магазины!A:C,3,0)</f>
        <v>Ставрополь</v>
      </c>
      <c r="J2352">
        <f>VLOOKUP(D2352,Товары!A:I,4,0)</f>
        <v>7935</v>
      </c>
      <c r="K2352">
        <f t="shared" si="36"/>
        <v>7935</v>
      </c>
    </row>
    <row r="2353" spans="1:11" hidden="1" x14ac:dyDescent="0.25">
      <c r="A2353">
        <v>2352</v>
      </c>
      <c r="B2353" s="1">
        <v>45755</v>
      </c>
      <c r="C2353" t="s">
        <v>41</v>
      </c>
      <c r="D2353" t="s">
        <v>90</v>
      </c>
      <c r="E2353" t="s">
        <v>8</v>
      </c>
      <c r="F2353">
        <v>1</v>
      </c>
      <c r="G2353" t="str">
        <f>VLOOKUP(D2353,Товары!A:I,3,0)</f>
        <v>Пенал напол. Аква 350 белый 2 двери + 2 ящика</v>
      </c>
      <c r="H2353">
        <f>VLOOKUP(D2353,Товары!A:I,6,0)</f>
        <v>190</v>
      </c>
      <c r="I2353" t="str">
        <f>VLOOKUP(C2353,Магазины!A:C,3,0)</f>
        <v>Ставрополь</v>
      </c>
      <c r="J2353">
        <f>VLOOKUP(D2353,Товары!A:I,4,0)</f>
        <v>10650</v>
      </c>
      <c r="K2353">
        <f t="shared" si="36"/>
        <v>10650</v>
      </c>
    </row>
    <row r="2354" spans="1:11" hidden="1" x14ac:dyDescent="0.25">
      <c r="A2354">
        <v>2353</v>
      </c>
      <c r="B2354" s="1">
        <v>45754</v>
      </c>
      <c r="C2354" t="s">
        <v>57</v>
      </c>
      <c r="D2354" t="s">
        <v>96</v>
      </c>
      <c r="E2354" t="s">
        <v>8</v>
      </c>
      <c r="F2354">
        <v>2</v>
      </c>
      <c r="G2354" t="str">
        <f>VLOOKUP(D2354,Товары!A:I,3,0)</f>
        <v>Тумба с раковиной  навес. Альба 600 мята 1 ящик с умыв. Океан</v>
      </c>
      <c r="H2354">
        <f>VLOOKUP(D2354,Товары!A:I,6,0)</f>
        <v>85</v>
      </c>
      <c r="I2354" t="str">
        <f>VLOOKUP(C2354,Магазины!A:C,3,0)</f>
        <v>Оренбург</v>
      </c>
      <c r="J2354">
        <f>VLOOKUP(D2354,Товары!A:I,4,0)</f>
        <v>17625</v>
      </c>
      <c r="K2354">
        <f t="shared" si="36"/>
        <v>35250</v>
      </c>
    </row>
    <row r="2355" spans="1:11" hidden="1" x14ac:dyDescent="0.25">
      <c r="A2355">
        <v>2354</v>
      </c>
      <c r="B2355" s="1">
        <v>45756</v>
      </c>
      <c r="C2355" t="s">
        <v>48</v>
      </c>
      <c r="D2355" t="s">
        <v>44</v>
      </c>
      <c r="E2355" t="s">
        <v>8</v>
      </c>
      <c r="F2355">
        <v>2</v>
      </c>
      <c r="G2355" t="str">
        <f>VLOOKUP(D2355,Товары!A:I,3,0)</f>
        <v>Тумба с раковиной  навес. Кристалл 800 шато азур 2 ящика с умыв. Комфорт</v>
      </c>
      <c r="H2355">
        <f>VLOOKUP(D2355,Товары!A:I,6,0)</f>
        <v>55</v>
      </c>
      <c r="I2355" t="str">
        <f>VLOOKUP(C2355,Магазины!A:C,3,0)</f>
        <v>Ставрополь</v>
      </c>
      <c r="J2355">
        <f>VLOOKUP(D2355,Товары!A:I,4,0)</f>
        <v>25080</v>
      </c>
      <c r="K2355">
        <f t="shared" si="36"/>
        <v>50160</v>
      </c>
    </row>
    <row r="2356" spans="1:11" hidden="1" x14ac:dyDescent="0.25">
      <c r="A2356">
        <v>2355</v>
      </c>
      <c r="B2356" s="1">
        <v>45757</v>
      </c>
      <c r="C2356" t="s">
        <v>11</v>
      </c>
      <c r="D2356" t="s">
        <v>98</v>
      </c>
      <c r="E2356" t="s">
        <v>8</v>
      </c>
      <c r="F2356">
        <v>3</v>
      </c>
      <c r="G2356" t="str">
        <f>VLOOKUP(D2356,Товары!A:I,3,0)</f>
        <v>Тумба с раковиной  напол. Рица 800 cерый/керамика 2 ящика с умыв. Слим</v>
      </c>
      <c r="H2356">
        <f>VLOOKUP(D2356,Товары!A:I,6,0)</f>
        <v>80</v>
      </c>
      <c r="I2356" t="str">
        <f>VLOOKUP(C2356,Магазины!A:C,3,0)</f>
        <v>Кемерово</v>
      </c>
      <c r="J2356">
        <f>VLOOKUP(D2356,Товары!A:I,4,0)</f>
        <v>28980</v>
      </c>
      <c r="K2356">
        <f t="shared" si="36"/>
        <v>86940</v>
      </c>
    </row>
    <row r="2357" spans="1:11" hidden="1" x14ac:dyDescent="0.25">
      <c r="A2357">
        <v>2356</v>
      </c>
      <c r="B2357" s="1">
        <v>45756</v>
      </c>
      <c r="C2357" t="s">
        <v>111</v>
      </c>
      <c r="D2357" t="s">
        <v>45</v>
      </c>
      <c r="E2357" t="s">
        <v>8</v>
      </c>
      <c r="F2357">
        <v>1</v>
      </c>
      <c r="G2357" t="str">
        <f>VLOOKUP(D2357,Товары!A:I,3,0)</f>
        <v>Зеркальный шкаф Рица 80 со светильником правый цвет cерый/керамика</v>
      </c>
      <c r="H2357">
        <f>VLOOKUP(D2357,Товары!A:I,6,0)</f>
        <v>75</v>
      </c>
      <c r="I2357" t="str">
        <f>VLOOKUP(C2357,Магазины!A:C,3,0)</f>
        <v>Набережные Челны</v>
      </c>
      <c r="J2357">
        <f>VLOOKUP(D2357,Товары!A:I,4,0)</f>
        <v>9930</v>
      </c>
      <c r="K2357">
        <f t="shared" si="36"/>
        <v>9930</v>
      </c>
    </row>
    <row r="2358" spans="1:11" hidden="1" x14ac:dyDescent="0.25">
      <c r="A2358">
        <v>2357</v>
      </c>
      <c r="B2358" s="1">
        <v>45752</v>
      </c>
      <c r="C2358" t="s">
        <v>26</v>
      </c>
      <c r="D2358" t="s">
        <v>10</v>
      </c>
      <c r="E2358" t="s">
        <v>13</v>
      </c>
      <c r="F2358">
        <v>1</v>
      </c>
      <c r="G2358" t="str">
        <f>VLOOKUP(D2358,Товары!A:I,3,0)</f>
        <v>Тумба с раковиной  навес. Альба 700 антрацит 1 ящик с умыв. Слим</v>
      </c>
      <c r="H2358">
        <f>VLOOKUP(D2358,Товары!A:I,6,0)</f>
        <v>45</v>
      </c>
      <c r="I2358" t="str">
        <f>VLOOKUP(C2358,Магазины!A:C,3,0)</f>
        <v>Оренбург</v>
      </c>
      <c r="J2358">
        <f>VLOOKUP(D2358,Товары!A:I,4,0)</f>
        <v>20130</v>
      </c>
      <c r="K2358">
        <f t="shared" si="36"/>
        <v>20130</v>
      </c>
    </row>
    <row r="2359" spans="1:11" hidden="1" x14ac:dyDescent="0.25">
      <c r="A2359">
        <v>2358</v>
      </c>
      <c r="B2359" s="1">
        <v>45749</v>
      </c>
      <c r="C2359" t="s">
        <v>6</v>
      </c>
      <c r="D2359" t="s">
        <v>116</v>
      </c>
      <c r="E2359" t="s">
        <v>13</v>
      </c>
      <c r="F2359">
        <v>2</v>
      </c>
      <c r="G2359" t="str">
        <f>VLOOKUP(D2359,Товары!A:I,3,0)</f>
        <v>Зеркало Нева 60 дуб/белый со светильником</v>
      </c>
      <c r="H2359">
        <f>VLOOKUP(D2359,Товары!A:I,6,0)</f>
        <v>80</v>
      </c>
      <c r="I2359" t="str">
        <f>VLOOKUP(C2359,Магазины!A:C,3,0)</f>
        <v>Оренбург</v>
      </c>
      <c r="J2359">
        <f>VLOOKUP(D2359,Товары!A:I,4,0)</f>
        <v>5100</v>
      </c>
      <c r="K2359">
        <f t="shared" si="36"/>
        <v>10200</v>
      </c>
    </row>
    <row r="2360" spans="1:11" hidden="1" x14ac:dyDescent="0.25">
      <c r="A2360">
        <v>2359</v>
      </c>
      <c r="B2360" s="1">
        <v>45756</v>
      </c>
      <c r="C2360" t="s">
        <v>54</v>
      </c>
      <c r="D2360" t="s">
        <v>82</v>
      </c>
      <c r="E2360" t="s">
        <v>13</v>
      </c>
      <c r="F2360">
        <v>1</v>
      </c>
      <c r="G2360" t="str">
        <f>VLOOKUP(D2360,Товары!A:I,3,0)</f>
        <v>Тумба с раковиной  навес. Леон 800 форест 2 ящика с умыв. Слим</v>
      </c>
      <c r="H2360">
        <f>VLOOKUP(D2360,Товары!A:I,6,0)</f>
        <v>60</v>
      </c>
      <c r="I2360" t="str">
        <f>VLOOKUP(C2360,Магазины!A:C,3,0)</f>
        <v>Ставрополь</v>
      </c>
      <c r="J2360">
        <f>VLOOKUP(D2360,Товары!A:I,4,0)</f>
        <v>27930</v>
      </c>
      <c r="K2360">
        <f t="shared" si="36"/>
        <v>27930</v>
      </c>
    </row>
    <row r="2361" spans="1:11" hidden="1" x14ac:dyDescent="0.25">
      <c r="A2361">
        <v>2360</v>
      </c>
      <c r="B2361" s="1">
        <v>45755</v>
      </c>
      <c r="C2361" t="s">
        <v>20</v>
      </c>
      <c r="D2361" t="s">
        <v>27</v>
      </c>
      <c r="E2361" t="s">
        <v>8</v>
      </c>
      <c r="F2361">
        <v>3</v>
      </c>
      <c r="G2361" t="str">
        <f>VLOOKUP(D2361,Товары!A:I,3,0)</f>
        <v>Тумба с раковиной  навес. Виктория 800 белый 2 ящика с умыв. Слим</v>
      </c>
      <c r="H2361">
        <f>VLOOKUP(D2361,Товары!A:I,6,0)</f>
        <v>60</v>
      </c>
      <c r="I2361" t="str">
        <f>VLOOKUP(C2361,Магазины!A:C,3,0)</f>
        <v>Оренбург</v>
      </c>
      <c r="J2361">
        <f>VLOOKUP(D2361,Товары!A:I,4,0)</f>
        <v>25290</v>
      </c>
      <c r="K2361">
        <f t="shared" si="36"/>
        <v>75870</v>
      </c>
    </row>
    <row r="2362" spans="1:11" hidden="1" x14ac:dyDescent="0.25">
      <c r="A2362">
        <v>2361</v>
      </c>
      <c r="B2362" s="1">
        <v>45751</v>
      </c>
      <c r="C2362" t="s">
        <v>14</v>
      </c>
      <c r="D2362" t="s">
        <v>69</v>
      </c>
      <c r="E2362" t="s">
        <v>13</v>
      </c>
      <c r="F2362">
        <v>1</v>
      </c>
      <c r="G2362" t="str">
        <f>VLOOKUP(D2362,Товары!A:I,3,0)</f>
        <v>Пенал навес./напол. Альба 350 антрацит 2 двери</v>
      </c>
      <c r="H2362">
        <f>VLOOKUP(D2362,Товары!A:I,6,0)</f>
        <v>150</v>
      </c>
      <c r="I2362" t="str">
        <f>VLOOKUP(C2362,Магазины!A:C,3,0)</f>
        <v>Оренбург</v>
      </c>
      <c r="J2362">
        <f>VLOOKUP(D2362,Товары!A:I,4,0)</f>
        <v>11655</v>
      </c>
      <c r="K2362">
        <f t="shared" si="36"/>
        <v>11655</v>
      </c>
    </row>
    <row r="2363" spans="1:11" hidden="1" x14ac:dyDescent="0.25">
      <c r="A2363">
        <v>2362</v>
      </c>
      <c r="B2363" s="1">
        <v>45753</v>
      </c>
      <c r="C2363" t="s">
        <v>41</v>
      </c>
      <c r="D2363" t="s">
        <v>112</v>
      </c>
      <c r="E2363" t="s">
        <v>8</v>
      </c>
      <c r="F2363">
        <v>2</v>
      </c>
      <c r="G2363" t="str">
        <f>VLOOKUP(D2363,Товары!A:I,3,0)</f>
        <v>Тумба с раковиной  напол. Аква 560 белый 2 двери с умыв. Уют</v>
      </c>
      <c r="H2363">
        <f>VLOOKUP(D2363,Товары!A:I,6,0)</f>
        <v>85</v>
      </c>
      <c r="I2363" t="str">
        <f>VLOOKUP(C2363,Магазины!A:C,3,0)</f>
        <v>Ставрополь</v>
      </c>
      <c r="J2363">
        <f>VLOOKUP(D2363,Товары!A:I,4,0)</f>
        <v>9330</v>
      </c>
      <c r="K2363">
        <f t="shared" si="36"/>
        <v>18660</v>
      </c>
    </row>
    <row r="2364" spans="1:11" hidden="1" x14ac:dyDescent="0.25">
      <c r="A2364">
        <v>2363</v>
      </c>
      <c r="B2364" s="1">
        <v>45749</v>
      </c>
      <c r="C2364" t="s">
        <v>54</v>
      </c>
      <c r="D2364" t="s">
        <v>121</v>
      </c>
      <c r="E2364" t="s">
        <v>8</v>
      </c>
      <c r="F2364">
        <v>1</v>
      </c>
      <c r="G2364" t="str">
        <f>VLOOKUP(D2364,Товары!A:I,3,0)</f>
        <v>Тумба с раковиной  напол. Куба Риф 600 белый 2 двери с умыв. Como</v>
      </c>
      <c r="H2364">
        <f>VLOOKUP(D2364,Товары!A:I,6,0)</f>
        <v>85</v>
      </c>
      <c r="I2364" t="str">
        <f>VLOOKUP(C2364,Магазины!A:C,3,0)</f>
        <v>Ставрополь</v>
      </c>
      <c r="J2364">
        <f>VLOOKUP(D2364,Товары!A:I,4,0)</f>
        <v>13695</v>
      </c>
      <c r="K2364">
        <f t="shared" si="36"/>
        <v>13695</v>
      </c>
    </row>
    <row r="2365" spans="1:11" hidden="1" x14ac:dyDescent="0.25">
      <c r="A2365">
        <v>2364</v>
      </c>
      <c r="B2365" s="1">
        <v>45748</v>
      </c>
      <c r="C2365" t="s">
        <v>63</v>
      </c>
      <c r="D2365" t="s">
        <v>120</v>
      </c>
      <c r="E2365" t="s">
        <v>13</v>
      </c>
      <c r="F2365">
        <v>2</v>
      </c>
      <c r="G2365" t="str">
        <f>VLOOKUP(D2365,Товары!A:I,3,0)</f>
        <v>Зеркальный шкаф Альба 60 со светильником правый цвет антрацит</v>
      </c>
      <c r="H2365">
        <f>VLOOKUP(D2365,Товары!A:I,6,0)</f>
        <v>75</v>
      </c>
      <c r="I2365" t="str">
        <f>VLOOKUP(C2365,Магазины!A:C,3,0)</f>
        <v>Ставрополь</v>
      </c>
      <c r="J2365">
        <f>VLOOKUP(D2365,Товары!A:I,4,0)</f>
        <v>8910</v>
      </c>
      <c r="K2365">
        <f t="shared" si="36"/>
        <v>17820</v>
      </c>
    </row>
    <row r="2366" spans="1:11" hidden="1" x14ac:dyDescent="0.25">
      <c r="A2366">
        <v>2365</v>
      </c>
      <c r="B2366" s="1">
        <v>45753</v>
      </c>
      <c r="C2366" t="s">
        <v>111</v>
      </c>
      <c r="D2366" t="s">
        <v>93</v>
      </c>
      <c r="E2366" t="s">
        <v>13</v>
      </c>
      <c r="F2366">
        <v>2</v>
      </c>
      <c r="G2366" t="str">
        <f>VLOOKUP(D2366,Товары!A:I,3,0)</f>
        <v>Тумба с раковиной  напол. Леон Риф 800 солярис/белый риф 2 ящика с умыв. Слим</v>
      </c>
      <c r="H2366">
        <f>VLOOKUP(D2366,Товары!A:I,6,0)</f>
        <v>80</v>
      </c>
      <c r="I2366" t="str">
        <f>VLOOKUP(C2366,Магазины!A:C,3,0)</f>
        <v>Набережные Челны</v>
      </c>
      <c r="J2366">
        <f>VLOOKUP(D2366,Товары!A:I,4,0)</f>
        <v>29340</v>
      </c>
      <c r="K2366">
        <f t="shared" si="36"/>
        <v>58680</v>
      </c>
    </row>
    <row r="2367" spans="1:11" hidden="1" x14ac:dyDescent="0.25">
      <c r="A2367">
        <v>2366</v>
      </c>
      <c r="B2367" s="1">
        <v>45749</v>
      </c>
      <c r="C2367" t="s">
        <v>14</v>
      </c>
      <c r="D2367" t="s">
        <v>78</v>
      </c>
      <c r="E2367" t="s">
        <v>13</v>
      </c>
      <c r="F2367">
        <v>3</v>
      </c>
      <c r="G2367" t="str">
        <f>VLOOKUP(D2367,Товары!A:I,3,0)</f>
        <v>Зеркальный шкаф Кристалл 70 со светильником правый, ручка кнопка дуб цвет Шато Азур</v>
      </c>
      <c r="H2367">
        <f>VLOOKUP(D2367,Товары!A:I,6,0)</f>
        <v>75</v>
      </c>
      <c r="I2367" t="str">
        <f>VLOOKUP(C2367,Магазины!A:C,3,0)</f>
        <v>Оренбург</v>
      </c>
      <c r="J2367">
        <f>VLOOKUP(D2367,Товары!A:I,4,0)</f>
        <v>9615</v>
      </c>
      <c r="K2367">
        <f t="shared" si="36"/>
        <v>28845</v>
      </c>
    </row>
    <row r="2368" spans="1:11" hidden="1" x14ac:dyDescent="0.25">
      <c r="A2368">
        <v>2367</v>
      </c>
      <c r="B2368" s="1">
        <v>45749</v>
      </c>
      <c r="C2368" t="s">
        <v>28</v>
      </c>
      <c r="D2368" t="s">
        <v>84</v>
      </c>
      <c r="E2368" t="s">
        <v>13</v>
      </c>
      <c r="F2368">
        <v>2</v>
      </c>
      <c r="G2368" t="str">
        <f>VLOOKUP(D2368,Товары!A:I,3,0)</f>
        <v>Тумба с раковиной  напол. Куба Риф 800 белый 3 двери с умыв. Слим</v>
      </c>
      <c r="H2368">
        <f>VLOOKUP(D2368,Товары!A:I,6,0)</f>
        <v>85</v>
      </c>
      <c r="I2368" t="str">
        <f>VLOOKUP(C2368,Магазины!A:C,3,0)</f>
        <v>Набережные Челны</v>
      </c>
      <c r="J2368">
        <f>VLOOKUP(D2368,Товары!A:I,4,0)</f>
        <v>19920</v>
      </c>
      <c r="K2368">
        <f t="shared" si="36"/>
        <v>39840</v>
      </c>
    </row>
    <row r="2369" spans="1:11" hidden="1" x14ac:dyDescent="0.25">
      <c r="A2369">
        <v>2368</v>
      </c>
      <c r="B2369" s="1">
        <v>45757</v>
      </c>
      <c r="C2369" t="s">
        <v>35</v>
      </c>
      <c r="D2369" t="s">
        <v>76</v>
      </c>
      <c r="E2369" t="s">
        <v>8</v>
      </c>
      <c r="F2369">
        <v>2</v>
      </c>
      <c r="G2369" t="str">
        <f>VLOOKUP(D2369,Товары!A:I,3,0)</f>
        <v>Тумба с раковиной  напол. Леон 600 оникс 2 ящика с умыв. Слим</v>
      </c>
      <c r="H2369">
        <f>VLOOKUP(D2369,Товары!A:I,6,0)</f>
        <v>80</v>
      </c>
      <c r="I2369" t="str">
        <f>VLOOKUP(C2369,Магазины!A:C,3,0)</f>
        <v>Набережные Челны</v>
      </c>
      <c r="J2369">
        <f>VLOOKUP(D2369,Товары!A:I,4,0)</f>
        <v>25860</v>
      </c>
      <c r="K2369">
        <f t="shared" si="36"/>
        <v>51720</v>
      </c>
    </row>
    <row r="2370" spans="1:11" hidden="1" x14ac:dyDescent="0.25">
      <c r="A2370">
        <v>2369</v>
      </c>
      <c r="B2370" s="1">
        <v>45754</v>
      </c>
      <c r="C2370" t="s">
        <v>16</v>
      </c>
      <c r="D2370" t="s">
        <v>106</v>
      </c>
      <c r="E2370" t="s">
        <v>8</v>
      </c>
      <c r="F2370">
        <v>2</v>
      </c>
      <c r="G2370" t="str">
        <f>VLOOKUP(D2370,Товары!A:I,3,0)</f>
        <v>Тумба с раковиной  навес. Кристалл 700 шато азур 2 ящика с умыв. Слим</v>
      </c>
      <c r="H2370">
        <f>VLOOKUP(D2370,Товары!A:I,6,0)</f>
        <v>60</v>
      </c>
      <c r="I2370" t="str">
        <f>VLOOKUP(C2370,Магазины!A:C,3,0)</f>
        <v>Оренбург</v>
      </c>
      <c r="J2370">
        <f>VLOOKUP(D2370,Товары!A:I,4,0)</f>
        <v>24150</v>
      </c>
      <c r="K2370">
        <f t="shared" si="36"/>
        <v>48300</v>
      </c>
    </row>
    <row r="2371" spans="1:11" hidden="1" x14ac:dyDescent="0.25">
      <c r="A2371">
        <v>2370</v>
      </c>
      <c r="B2371" s="1">
        <v>45756</v>
      </c>
      <c r="C2371" t="s">
        <v>111</v>
      </c>
      <c r="D2371" t="s">
        <v>128</v>
      </c>
      <c r="E2371" t="s">
        <v>8</v>
      </c>
      <c r="F2371">
        <v>1</v>
      </c>
      <c r="G2371" t="str">
        <f>VLOOKUP(D2371,Товары!A:I,3,0)</f>
        <v>Тумба с раковиной  напол. Куба Риф 1000 белый 2 ящика с умыв. Слим</v>
      </c>
      <c r="H2371">
        <f>VLOOKUP(D2371,Товары!A:I,6,0)</f>
        <v>85</v>
      </c>
      <c r="I2371" t="str">
        <f>VLOOKUP(C2371,Магазины!A:C,3,0)</f>
        <v>Набережные Челны</v>
      </c>
      <c r="J2371">
        <f>VLOOKUP(D2371,Товары!A:I,4,0)</f>
        <v>22905</v>
      </c>
      <c r="K2371">
        <f t="shared" ref="K2371:K2434" si="37">J2371*F2371</f>
        <v>22905</v>
      </c>
    </row>
    <row r="2372" spans="1:11" hidden="1" x14ac:dyDescent="0.25">
      <c r="A2372">
        <v>2371</v>
      </c>
      <c r="B2372" s="1">
        <v>45748</v>
      </c>
      <c r="C2372" t="s">
        <v>28</v>
      </c>
      <c r="D2372" t="s">
        <v>59</v>
      </c>
      <c r="E2372" t="s">
        <v>13</v>
      </c>
      <c r="F2372">
        <v>1</v>
      </c>
      <c r="G2372" t="str">
        <f>VLOOKUP(D2372,Товары!A:I,3,0)</f>
        <v>Тумба с раковиной  навес. Куба Риф 600 белый 2 ящика с умыв. Океан</v>
      </c>
      <c r="H2372">
        <f>VLOOKUP(D2372,Товары!A:I,6,0)</f>
        <v>55</v>
      </c>
      <c r="I2372" t="str">
        <f>VLOOKUP(C2372,Магазины!A:C,3,0)</f>
        <v>Набережные Челны</v>
      </c>
      <c r="J2372">
        <f>VLOOKUP(D2372,Товары!A:I,4,0)</f>
        <v>15765</v>
      </c>
      <c r="K2372">
        <f t="shared" si="37"/>
        <v>15765</v>
      </c>
    </row>
    <row r="2373" spans="1:11" hidden="1" x14ac:dyDescent="0.25">
      <c r="A2373">
        <v>2372</v>
      </c>
      <c r="B2373" s="1">
        <v>45751</v>
      </c>
      <c r="C2373" t="s">
        <v>57</v>
      </c>
      <c r="D2373" t="s">
        <v>56</v>
      </c>
      <c r="E2373" t="s">
        <v>13</v>
      </c>
      <c r="F2373">
        <v>3</v>
      </c>
      <c r="G2373" t="str">
        <f>VLOOKUP(D2373,Товары!A:I,3,0)</f>
        <v>Зеркальный шкаф Альба 80 со светильником правый цвет мята</v>
      </c>
      <c r="H2373">
        <f>VLOOKUP(D2373,Товары!A:I,6,0)</f>
        <v>75</v>
      </c>
      <c r="I2373" t="str">
        <f>VLOOKUP(C2373,Магазины!A:C,3,0)</f>
        <v>Оренбург</v>
      </c>
      <c r="J2373">
        <f>VLOOKUP(D2373,Товары!A:I,4,0)</f>
        <v>9930</v>
      </c>
      <c r="K2373">
        <f t="shared" si="37"/>
        <v>29790</v>
      </c>
    </row>
    <row r="2374" spans="1:11" hidden="1" x14ac:dyDescent="0.25">
      <c r="A2374">
        <v>2373</v>
      </c>
      <c r="B2374" s="1">
        <v>45750</v>
      </c>
      <c r="C2374" t="s">
        <v>33</v>
      </c>
      <c r="D2374" t="s">
        <v>69</v>
      </c>
      <c r="E2374" t="s">
        <v>13</v>
      </c>
      <c r="F2374">
        <v>3</v>
      </c>
      <c r="G2374" t="str">
        <f>VLOOKUP(D2374,Товары!A:I,3,0)</f>
        <v>Пенал навес./напол. Альба 350 антрацит 2 двери</v>
      </c>
      <c r="H2374">
        <f>VLOOKUP(D2374,Товары!A:I,6,0)</f>
        <v>150</v>
      </c>
      <c r="I2374" t="str">
        <f>VLOOKUP(C2374,Магазины!A:C,3,0)</f>
        <v>Набережные Челны</v>
      </c>
      <c r="J2374">
        <f>VLOOKUP(D2374,Товары!A:I,4,0)</f>
        <v>11655</v>
      </c>
      <c r="K2374">
        <f t="shared" si="37"/>
        <v>34965</v>
      </c>
    </row>
    <row r="2375" spans="1:11" hidden="1" x14ac:dyDescent="0.25">
      <c r="A2375">
        <v>2374</v>
      </c>
      <c r="B2375" s="1">
        <v>45756</v>
      </c>
      <c r="C2375" t="s">
        <v>28</v>
      </c>
      <c r="D2375" t="s">
        <v>55</v>
      </c>
      <c r="E2375" t="s">
        <v>13</v>
      </c>
      <c r="F2375">
        <v>2</v>
      </c>
      <c r="G2375" t="str">
        <f>VLOOKUP(D2375,Товары!A:I,3,0)</f>
        <v>Тумба с раковиной  напол. Рица 600 cерый/керамика 2 ящика с умыв. Океан</v>
      </c>
      <c r="H2375">
        <f>VLOOKUP(D2375,Товары!A:I,6,0)</f>
        <v>80</v>
      </c>
      <c r="I2375" t="str">
        <f>VLOOKUP(C2375,Магазины!A:C,3,0)</f>
        <v>Набережные Челны</v>
      </c>
      <c r="J2375">
        <f>VLOOKUP(D2375,Товары!A:I,4,0)</f>
        <v>25560</v>
      </c>
      <c r="K2375">
        <f t="shared" si="37"/>
        <v>51120</v>
      </c>
    </row>
    <row r="2376" spans="1:11" hidden="1" x14ac:dyDescent="0.25">
      <c r="A2376">
        <v>2375</v>
      </c>
      <c r="B2376" s="1">
        <v>45757</v>
      </c>
      <c r="C2376" t="s">
        <v>57</v>
      </c>
      <c r="D2376" t="s">
        <v>40</v>
      </c>
      <c r="E2376" t="s">
        <v>8</v>
      </c>
      <c r="F2376">
        <v>2</v>
      </c>
      <c r="G2376" t="str">
        <f>VLOOKUP(D2376,Товары!A:I,3,0)</f>
        <v>Тумба с раковиной  навес. Рица 800 cерый/керамика 1 ящик + ниша 1 с умыв. Слим</v>
      </c>
      <c r="H2376">
        <f>VLOOKUP(D2376,Товары!A:I,6,0)</f>
        <v>60</v>
      </c>
      <c r="I2376" t="str">
        <f>VLOOKUP(C2376,Магазины!A:C,3,0)</f>
        <v>Оренбург</v>
      </c>
      <c r="J2376">
        <f>VLOOKUP(D2376,Товары!A:I,4,0)</f>
        <v>22425</v>
      </c>
      <c r="K2376">
        <f t="shared" si="37"/>
        <v>44850</v>
      </c>
    </row>
    <row r="2377" spans="1:11" hidden="1" x14ac:dyDescent="0.25">
      <c r="A2377">
        <v>2376</v>
      </c>
      <c r="B2377" s="1">
        <v>45752</v>
      </c>
      <c r="C2377" t="s">
        <v>20</v>
      </c>
      <c r="D2377" t="s">
        <v>25</v>
      </c>
      <c r="E2377" t="s">
        <v>13</v>
      </c>
      <c r="F2377">
        <v>1</v>
      </c>
      <c r="G2377" t="str">
        <f>VLOOKUP(D2377,Товары!A:I,3,0)</f>
        <v>Пенал напол. Леон 400 оникс 2 двери + 1 ящик</v>
      </c>
      <c r="H2377">
        <f>VLOOKUP(D2377,Товары!A:I,6,0)</f>
        <v>190</v>
      </c>
      <c r="I2377" t="str">
        <f>VLOOKUP(C2377,Магазины!A:C,3,0)</f>
        <v>Оренбург</v>
      </c>
      <c r="J2377">
        <f>VLOOKUP(D2377,Товары!A:I,4,0)</f>
        <v>18450</v>
      </c>
      <c r="K2377">
        <f t="shared" si="37"/>
        <v>18450</v>
      </c>
    </row>
    <row r="2378" spans="1:11" hidden="1" x14ac:dyDescent="0.25">
      <c r="A2378">
        <v>2377</v>
      </c>
      <c r="B2378" s="1">
        <v>45748</v>
      </c>
      <c r="C2378" t="s">
        <v>11</v>
      </c>
      <c r="D2378" t="s">
        <v>117</v>
      </c>
      <c r="E2378" t="s">
        <v>8</v>
      </c>
      <c r="F2378">
        <v>1</v>
      </c>
      <c r="G2378" t="str">
        <f>VLOOKUP(D2378,Товары!A:I,3,0)</f>
        <v>Тумба с раковиной  навес. Альба 700 антрацит 2 ящика с умыв. Слим</v>
      </c>
      <c r="H2378">
        <f>VLOOKUP(D2378,Товары!A:I,6,0)</f>
        <v>60</v>
      </c>
      <c r="I2378" t="str">
        <f>VLOOKUP(C2378,Магазины!A:C,3,0)</f>
        <v>Кемерово</v>
      </c>
      <c r="J2378">
        <f>VLOOKUP(D2378,Товары!A:I,4,0)</f>
        <v>25095</v>
      </c>
      <c r="K2378">
        <f t="shared" si="37"/>
        <v>25095</v>
      </c>
    </row>
    <row r="2379" spans="1:11" hidden="1" x14ac:dyDescent="0.25">
      <c r="A2379">
        <v>2378</v>
      </c>
      <c r="B2379" s="1">
        <v>45756</v>
      </c>
      <c r="C2379" t="s">
        <v>35</v>
      </c>
      <c r="D2379" t="s">
        <v>129</v>
      </c>
      <c r="E2379" t="s">
        <v>8</v>
      </c>
      <c r="F2379">
        <v>2</v>
      </c>
      <c r="G2379" t="str">
        <f>VLOOKUP(D2379,Товары!A:I,3,0)</f>
        <v>Тумба с раковиной  напол. Альба 700 антрацит 2 ящика с умыв. Слим</v>
      </c>
      <c r="H2379">
        <f>VLOOKUP(D2379,Товары!A:I,6,0)</f>
        <v>85</v>
      </c>
      <c r="I2379" t="str">
        <f>VLOOKUP(C2379,Магазины!A:C,3,0)</f>
        <v>Набережные Челны</v>
      </c>
      <c r="J2379">
        <f>VLOOKUP(D2379,Товары!A:I,4,0)</f>
        <v>28695</v>
      </c>
      <c r="K2379">
        <f t="shared" si="37"/>
        <v>57390</v>
      </c>
    </row>
    <row r="2380" spans="1:11" hidden="1" x14ac:dyDescent="0.25">
      <c r="A2380">
        <v>2379</v>
      </c>
      <c r="B2380" s="1">
        <v>45750</v>
      </c>
      <c r="C2380" t="s">
        <v>20</v>
      </c>
      <c r="D2380" t="s">
        <v>60</v>
      </c>
      <c r="E2380" t="s">
        <v>13</v>
      </c>
      <c r="F2380">
        <v>2</v>
      </c>
      <c r="G2380" t="str">
        <f>VLOOKUP(D2380,Товары!A:I,3,0)</f>
        <v>Пенал навес. Куба Риф 350 белый 2 двери</v>
      </c>
      <c r="H2380">
        <f>VLOOKUP(D2380,Товары!A:I,6,0)</f>
        <v>150</v>
      </c>
      <c r="I2380" t="str">
        <f>VLOOKUP(C2380,Магазины!A:C,3,0)</f>
        <v>Оренбург</v>
      </c>
      <c r="J2380">
        <f>VLOOKUP(D2380,Товары!A:I,4,0)</f>
        <v>9720</v>
      </c>
      <c r="K2380">
        <f t="shared" si="37"/>
        <v>19440</v>
      </c>
    </row>
    <row r="2381" spans="1:11" hidden="1" x14ac:dyDescent="0.25">
      <c r="A2381">
        <v>2380</v>
      </c>
      <c r="B2381" s="1">
        <v>45754</v>
      </c>
      <c r="C2381" t="s">
        <v>54</v>
      </c>
      <c r="D2381" t="s">
        <v>23</v>
      </c>
      <c r="E2381" t="s">
        <v>8</v>
      </c>
      <c r="F2381">
        <v>1</v>
      </c>
      <c r="G2381" t="str">
        <f>VLOOKUP(D2381,Товары!A:I,3,0)</f>
        <v>Тумба с раковиной  напол. Альба 800 антрацит 2 ящика с умыв. Слим</v>
      </c>
      <c r="H2381">
        <f>VLOOKUP(D2381,Товары!A:I,6,0)</f>
        <v>80</v>
      </c>
      <c r="I2381" t="str">
        <f>VLOOKUP(C2381,Магазины!A:C,3,0)</f>
        <v>Ставрополь</v>
      </c>
      <c r="J2381">
        <f>VLOOKUP(D2381,Товары!A:I,4,0)</f>
        <v>29340</v>
      </c>
      <c r="K2381">
        <f t="shared" si="37"/>
        <v>29340</v>
      </c>
    </row>
    <row r="2382" spans="1:11" hidden="1" x14ac:dyDescent="0.25">
      <c r="A2382">
        <v>2381</v>
      </c>
      <c r="B2382" s="1">
        <v>45751</v>
      </c>
      <c r="C2382" t="s">
        <v>26</v>
      </c>
      <c r="D2382" t="s">
        <v>72</v>
      </c>
      <c r="E2382" t="s">
        <v>8</v>
      </c>
      <c r="F2382">
        <v>2</v>
      </c>
      <c r="G2382" t="str">
        <f>VLOOKUP(D2382,Товары!A:I,3,0)</f>
        <v>Тумба с раковиной  напол. Сохо 600 белый 2 ящика с умыв. Океан</v>
      </c>
      <c r="H2382">
        <f>VLOOKUP(D2382,Товары!A:I,6,0)</f>
        <v>85</v>
      </c>
      <c r="I2382" t="str">
        <f>VLOOKUP(C2382,Магазины!A:C,3,0)</f>
        <v>Оренбург</v>
      </c>
      <c r="J2382">
        <f>VLOOKUP(D2382,Товары!A:I,4,0)</f>
        <v>16140</v>
      </c>
      <c r="K2382">
        <f t="shared" si="37"/>
        <v>32280</v>
      </c>
    </row>
    <row r="2383" spans="1:11" hidden="1" x14ac:dyDescent="0.25">
      <c r="A2383">
        <v>2382</v>
      </c>
      <c r="B2383" s="1">
        <v>45757</v>
      </c>
      <c r="C2383" t="s">
        <v>33</v>
      </c>
      <c r="D2383" t="s">
        <v>78</v>
      </c>
      <c r="E2383" t="s">
        <v>13</v>
      </c>
      <c r="F2383">
        <v>2</v>
      </c>
      <c r="G2383" t="str">
        <f>VLOOKUP(D2383,Товары!A:I,3,0)</f>
        <v>Зеркальный шкаф Кристалл 70 со светильником правый, ручка кнопка дуб цвет Шато Азур</v>
      </c>
      <c r="H2383">
        <f>VLOOKUP(D2383,Товары!A:I,6,0)</f>
        <v>75</v>
      </c>
      <c r="I2383" t="str">
        <f>VLOOKUP(C2383,Магазины!A:C,3,0)</f>
        <v>Набережные Челны</v>
      </c>
      <c r="J2383">
        <f>VLOOKUP(D2383,Товары!A:I,4,0)</f>
        <v>9615</v>
      </c>
      <c r="K2383">
        <f t="shared" si="37"/>
        <v>19230</v>
      </c>
    </row>
    <row r="2384" spans="1:11" hidden="1" x14ac:dyDescent="0.25">
      <c r="A2384">
        <v>2383</v>
      </c>
      <c r="B2384" s="1">
        <v>45754</v>
      </c>
      <c r="C2384" t="s">
        <v>9</v>
      </c>
      <c r="D2384" t="s">
        <v>97</v>
      </c>
      <c r="E2384" t="s">
        <v>8</v>
      </c>
      <c r="F2384">
        <v>1</v>
      </c>
      <c r="G2384" t="str">
        <f>VLOOKUP(D2384,Товары!A:I,3,0)</f>
        <v>Пенал напол. Кристалл 350 суфле 2 двери</v>
      </c>
      <c r="H2384">
        <f>VLOOKUP(D2384,Товары!A:I,6,0)</f>
        <v>190</v>
      </c>
      <c r="I2384" t="str">
        <f>VLOOKUP(C2384,Магазины!A:C,3,0)</f>
        <v>Кемерово</v>
      </c>
      <c r="J2384">
        <f>VLOOKUP(D2384,Товары!A:I,4,0)</f>
        <v>15810</v>
      </c>
      <c r="K2384">
        <f t="shared" si="37"/>
        <v>15810</v>
      </c>
    </row>
    <row r="2385" spans="1:11" hidden="1" x14ac:dyDescent="0.25">
      <c r="A2385">
        <v>2384</v>
      </c>
      <c r="B2385" s="1">
        <v>45749</v>
      </c>
      <c r="C2385" t="s">
        <v>18</v>
      </c>
      <c r="D2385" t="s">
        <v>62</v>
      </c>
      <c r="E2385" t="s">
        <v>13</v>
      </c>
      <c r="F2385">
        <v>1</v>
      </c>
      <c r="G2385" t="str">
        <f>VLOOKUP(D2385,Товары!A:I,3,0)</f>
        <v>Тумба с раковиной  напол. Альба 600 мята 2 ящика с умыв. Океан</v>
      </c>
      <c r="H2385">
        <f>VLOOKUP(D2385,Товары!A:I,6,0)</f>
        <v>80</v>
      </c>
      <c r="I2385" t="str">
        <f>VLOOKUP(C2385,Магазины!A:C,3,0)</f>
        <v>Набережные Челны</v>
      </c>
      <c r="J2385">
        <f>VLOOKUP(D2385,Товары!A:I,4,0)</f>
        <v>26370</v>
      </c>
      <c r="K2385">
        <f t="shared" si="37"/>
        <v>26370</v>
      </c>
    </row>
    <row r="2386" spans="1:11" hidden="1" x14ac:dyDescent="0.25">
      <c r="A2386">
        <v>2385</v>
      </c>
      <c r="B2386" s="1">
        <v>45750</v>
      </c>
      <c r="C2386" t="s">
        <v>26</v>
      </c>
      <c r="D2386" t="s">
        <v>76</v>
      </c>
      <c r="E2386" t="s">
        <v>13</v>
      </c>
      <c r="F2386">
        <v>1</v>
      </c>
      <c r="G2386" t="str">
        <f>VLOOKUP(D2386,Товары!A:I,3,0)</f>
        <v>Тумба с раковиной  напол. Леон 600 оникс 2 ящика с умыв. Слим</v>
      </c>
      <c r="H2386">
        <f>VLOOKUP(D2386,Товары!A:I,6,0)</f>
        <v>80</v>
      </c>
      <c r="I2386" t="str">
        <f>VLOOKUP(C2386,Магазины!A:C,3,0)</f>
        <v>Оренбург</v>
      </c>
      <c r="J2386">
        <f>VLOOKUP(D2386,Товары!A:I,4,0)</f>
        <v>25860</v>
      </c>
      <c r="K2386">
        <f t="shared" si="37"/>
        <v>25860</v>
      </c>
    </row>
    <row r="2387" spans="1:11" hidden="1" x14ac:dyDescent="0.25">
      <c r="A2387">
        <v>2386</v>
      </c>
      <c r="B2387" s="1">
        <v>45752</v>
      </c>
      <c r="C2387" t="s">
        <v>103</v>
      </c>
      <c r="D2387" t="s">
        <v>75</v>
      </c>
      <c r="E2387" t="s">
        <v>8</v>
      </c>
      <c r="F2387">
        <v>2</v>
      </c>
      <c r="G2387" t="str">
        <f>VLOOKUP(D2387,Товары!A:I,3,0)</f>
        <v>Тумба с раковиной  напол. Альба 600 суфле 2 ящика с умыв. Океан</v>
      </c>
      <c r="H2387">
        <f>VLOOKUP(D2387,Товары!A:I,6,0)</f>
        <v>80</v>
      </c>
      <c r="I2387" t="str">
        <f>VLOOKUP(C2387,Магазины!A:C,3,0)</f>
        <v>Ставрополь</v>
      </c>
      <c r="J2387">
        <f>VLOOKUP(D2387,Товары!A:I,4,0)</f>
        <v>26370</v>
      </c>
      <c r="K2387">
        <f t="shared" si="37"/>
        <v>52740</v>
      </c>
    </row>
    <row r="2388" spans="1:11" hidden="1" x14ac:dyDescent="0.25">
      <c r="A2388">
        <v>2387</v>
      </c>
      <c r="B2388" s="1">
        <v>45754</v>
      </c>
      <c r="C2388" t="s">
        <v>20</v>
      </c>
      <c r="D2388" t="s">
        <v>96</v>
      </c>
      <c r="E2388" t="s">
        <v>8</v>
      </c>
      <c r="F2388">
        <v>3</v>
      </c>
      <c r="G2388" t="str">
        <f>VLOOKUP(D2388,Товары!A:I,3,0)</f>
        <v>Тумба с раковиной  навес. Альба 600 мята 1 ящик с умыв. Океан</v>
      </c>
      <c r="H2388">
        <f>VLOOKUP(D2388,Товары!A:I,6,0)</f>
        <v>85</v>
      </c>
      <c r="I2388" t="str">
        <f>VLOOKUP(C2388,Магазины!A:C,3,0)</f>
        <v>Оренбург</v>
      </c>
      <c r="J2388">
        <f>VLOOKUP(D2388,Товары!A:I,4,0)</f>
        <v>17625</v>
      </c>
      <c r="K2388">
        <f t="shared" si="37"/>
        <v>52875</v>
      </c>
    </row>
    <row r="2389" spans="1:11" hidden="1" x14ac:dyDescent="0.25">
      <c r="A2389">
        <v>2388</v>
      </c>
      <c r="B2389" s="1">
        <v>45750</v>
      </c>
      <c r="C2389" t="s">
        <v>43</v>
      </c>
      <c r="D2389" t="s">
        <v>53</v>
      </c>
      <c r="E2389" t="s">
        <v>13</v>
      </c>
      <c r="F2389">
        <v>2</v>
      </c>
      <c r="G2389" t="str">
        <f>VLOOKUP(D2389,Товары!A:I,3,0)</f>
        <v>Тумба с раковиной  напол. Кристалл 600 шато азур 2 ящика с умыв. Океан</v>
      </c>
      <c r="H2389">
        <f>VLOOKUP(D2389,Товары!A:I,6,0)</f>
        <v>85</v>
      </c>
      <c r="I2389" t="str">
        <f>VLOOKUP(C2389,Магазины!A:C,3,0)</f>
        <v>Набережные Челны</v>
      </c>
      <c r="J2389">
        <f>VLOOKUP(D2389,Товары!A:I,4,0)</f>
        <v>27600</v>
      </c>
      <c r="K2389">
        <f t="shared" si="37"/>
        <v>55200</v>
      </c>
    </row>
    <row r="2390" spans="1:11" hidden="1" x14ac:dyDescent="0.25">
      <c r="A2390">
        <v>2389</v>
      </c>
      <c r="B2390" s="1">
        <v>45749</v>
      </c>
      <c r="C2390" t="s">
        <v>14</v>
      </c>
      <c r="D2390" t="s">
        <v>115</v>
      </c>
      <c r="E2390" t="s">
        <v>8</v>
      </c>
      <c r="F2390">
        <v>3</v>
      </c>
      <c r="G2390" t="str">
        <f>VLOOKUP(D2390,Товары!A:I,3,0)</f>
        <v>Тумба под стиральную машину Куба Риф 57 напольная 2 ящика под ст/маш, без умывальника /под Marshall 120 Белый</v>
      </c>
      <c r="H2390">
        <f>VLOOKUP(D2390,Товары!A:I,6,0)</f>
        <v>85</v>
      </c>
      <c r="I2390" t="str">
        <f>VLOOKUP(C2390,Магазины!A:C,3,0)</f>
        <v>Оренбург</v>
      </c>
      <c r="J2390">
        <f>VLOOKUP(D2390,Товары!A:I,4,0)</f>
        <v>10530</v>
      </c>
      <c r="K2390">
        <f t="shared" si="37"/>
        <v>31590</v>
      </c>
    </row>
    <row r="2391" spans="1:11" hidden="1" x14ac:dyDescent="0.25">
      <c r="A2391">
        <v>2390</v>
      </c>
      <c r="B2391" s="1">
        <v>45750</v>
      </c>
      <c r="C2391" t="s">
        <v>28</v>
      </c>
      <c r="D2391" t="s">
        <v>7</v>
      </c>
      <c r="E2391" t="s">
        <v>13</v>
      </c>
      <c r="F2391">
        <v>3</v>
      </c>
      <c r="G2391" t="str">
        <f>VLOOKUP(D2391,Товары!A:I,3,0)</f>
        <v>Пенал напол. Леон Риф 400 солярис/белый риф 2 двери + 1 ящик</v>
      </c>
      <c r="H2391">
        <f>VLOOKUP(D2391,Товары!A:I,6,0)</f>
        <v>190</v>
      </c>
      <c r="I2391" t="str">
        <f>VLOOKUP(C2391,Магазины!A:C,3,0)</f>
        <v>Набережные Челны</v>
      </c>
      <c r="J2391">
        <f>VLOOKUP(D2391,Товары!A:I,4,0)</f>
        <v>14490</v>
      </c>
      <c r="K2391">
        <f t="shared" si="37"/>
        <v>43470</v>
      </c>
    </row>
    <row r="2392" spans="1:11" hidden="1" x14ac:dyDescent="0.25">
      <c r="A2392">
        <v>2391</v>
      </c>
      <c r="B2392" s="1">
        <v>45748</v>
      </c>
      <c r="C2392" t="s">
        <v>43</v>
      </c>
      <c r="D2392" t="s">
        <v>82</v>
      </c>
      <c r="E2392" t="s">
        <v>8</v>
      </c>
      <c r="F2392">
        <v>1</v>
      </c>
      <c r="G2392" t="str">
        <f>VLOOKUP(D2392,Товары!A:I,3,0)</f>
        <v>Тумба с раковиной  навес. Леон 800 форест 2 ящика с умыв. Слим</v>
      </c>
      <c r="H2392">
        <f>VLOOKUP(D2392,Товары!A:I,6,0)</f>
        <v>60</v>
      </c>
      <c r="I2392" t="str">
        <f>VLOOKUP(C2392,Магазины!A:C,3,0)</f>
        <v>Набережные Челны</v>
      </c>
      <c r="J2392">
        <f>VLOOKUP(D2392,Товары!A:I,4,0)</f>
        <v>27930</v>
      </c>
      <c r="K2392">
        <f t="shared" si="37"/>
        <v>27930</v>
      </c>
    </row>
    <row r="2393" spans="1:11" hidden="1" x14ac:dyDescent="0.25">
      <c r="A2393">
        <v>2392</v>
      </c>
      <c r="B2393" s="1">
        <v>45749</v>
      </c>
      <c r="C2393" t="s">
        <v>11</v>
      </c>
      <c r="D2393" t="s">
        <v>70</v>
      </c>
      <c r="E2393" t="s">
        <v>13</v>
      </c>
      <c r="F2393">
        <v>1</v>
      </c>
      <c r="G2393" t="str">
        <f>VLOOKUP(D2393,Товары!A:I,3,0)</f>
        <v>Тумба с раковиной  напол. Кристалл 700 шато азур 2 ящика с умыв. Слим</v>
      </c>
      <c r="H2393">
        <f>VLOOKUP(D2393,Товары!A:I,6,0)</f>
        <v>85</v>
      </c>
      <c r="I2393" t="str">
        <f>VLOOKUP(C2393,Магазины!A:C,3,0)</f>
        <v>Кемерово</v>
      </c>
      <c r="J2393">
        <f>VLOOKUP(D2393,Товары!A:I,4,0)</f>
        <v>29910</v>
      </c>
      <c r="K2393">
        <f t="shared" si="37"/>
        <v>29910</v>
      </c>
    </row>
    <row r="2394" spans="1:11" hidden="1" x14ac:dyDescent="0.25">
      <c r="A2394">
        <v>2393</v>
      </c>
      <c r="B2394" s="1">
        <v>45754</v>
      </c>
      <c r="C2394" t="s">
        <v>54</v>
      </c>
      <c r="D2394" t="s">
        <v>52</v>
      </c>
      <c r="E2394" t="s">
        <v>13</v>
      </c>
      <c r="F2394">
        <v>2</v>
      </c>
      <c r="G2394" t="str">
        <f>VLOOKUP(D2394,Товары!A:I,3,0)</f>
        <v>Тумба с раковиной  напол. Кристалл 600 суфле 2 ящика с умыв. Океан</v>
      </c>
      <c r="H2394">
        <f>VLOOKUP(D2394,Товары!A:I,6,0)</f>
        <v>80</v>
      </c>
      <c r="I2394" t="str">
        <f>VLOOKUP(C2394,Магазины!A:C,3,0)</f>
        <v>Ставрополь</v>
      </c>
      <c r="J2394">
        <f>VLOOKUP(D2394,Товары!A:I,4,0)</f>
        <v>27600</v>
      </c>
      <c r="K2394">
        <f t="shared" si="37"/>
        <v>55200</v>
      </c>
    </row>
    <row r="2395" spans="1:11" hidden="1" x14ac:dyDescent="0.25">
      <c r="A2395">
        <v>2394</v>
      </c>
      <c r="B2395" s="1">
        <v>45748</v>
      </c>
      <c r="C2395" t="s">
        <v>111</v>
      </c>
      <c r="D2395" t="s">
        <v>24</v>
      </c>
      <c r="E2395" t="s">
        <v>13</v>
      </c>
      <c r="F2395">
        <v>1</v>
      </c>
      <c r="G2395" t="str">
        <f>VLOOKUP(D2395,Товары!A:I,3,0)</f>
        <v>Тумба с раковиной  напол. Леон 600 форест 2 ящика с умыв. Слим</v>
      </c>
      <c r="H2395">
        <f>VLOOKUP(D2395,Товары!A:I,6,0)</f>
        <v>80</v>
      </c>
      <c r="I2395" t="str">
        <f>VLOOKUP(C2395,Магазины!A:C,3,0)</f>
        <v>Набережные Челны</v>
      </c>
      <c r="J2395">
        <f>VLOOKUP(D2395,Товары!A:I,4,0)</f>
        <v>27150</v>
      </c>
      <c r="K2395">
        <f t="shared" si="37"/>
        <v>27150</v>
      </c>
    </row>
    <row r="2396" spans="1:11" hidden="1" x14ac:dyDescent="0.25">
      <c r="A2396">
        <v>2395</v>
      </c>
      <c r="B2396" s="1">
        <v>45749</v>
      </c>
      <c r="C2396" t="s">
        <v>26</v>
      </c>
      <c r="D2396" t="s">
        <v>39</v>
      </c>
      <c r="E2396" t="s">
        <v>8</v>
      </c>
      <c r="F2396">
        <v>1</v>
      </c>
      <c r="G2396" t="str">
        <f>VLOOKUP(D2396,Товары!A:I,3,0)</f>
        <v>Тумба с раковиной  напол. Альба 700 мята 2 ящика с умыв. Слим</v>
      </c>
      <c r="H2396">
        <f>VLOOKUP(D2396,Товары!A:I,6,0)</f>
        <v>85</v>
      </c>
      <c r="I2396" t="str">
        <f>VLOOKUP(C2396,Магазины!A:C,3,0)</f>
        <v>Оренбург</v>
      </c>
      <c r="J2396">
        <f>VLOOKUP(D2396,Товары!A:I,4,0)</f>
        <v>28695</v>
      </c>
      <c r="K2396">
        <f t="shared" si="37"/>
        <v>28695</v>
      </c>
    </row>
    <row r="2397" spans="1:11" hidden="1" x14ac:dyDescent="0.25">
      <c r="A2397">
        <v>2396</v>
      </c>
      <c r="B2397" s="1">
        <v>45749</v>
      </c>
      <c r="C2397" t="s">
        <v>6</v>
      </c>
      <c r="D2397" t="s">
        <v>27</v>
      </c>
      <c r="E2397" t="s">
        <v>13</v>
      </c>
      <c r="F2397">
        <v>1</v>
      </c>
      <c r="G2397" t="str">
        <f>VLOOKUP(D2397,Товары!A:I,3,0)</f>
        <v>Тумба с раковиной  навес. Виктория 800 белый 2 ящика с умыв. Слим</v>
      </c>
      <c r="H2397">
        <f>VLOOKUP(D2397,Товары!A:I,6,0)</f>
        <v>60</v>
      </c>
      <c r="I2397" t="str">
        <f>VLOOKUP(C2397,Магазины!A:C,3,0)</f>
        <v>Оренбург</v>
      </c>
      <c r="J2397">
        <f>VLOOKUP(D2397,Товары!A:I,4,0)</f>
        <v>25290</v>
      </c>
      <c r="K2397">
        <f t="shared" si="37"/>
        <v>25290</v>
      </c>
    </row>
    <row r="2398" spans="1:11" hidden="1" x14ac:dyDescent="0.25">
      <c r="A2398">
        <v>2397</v>
      </c>
      <c r="B2398" s="1">
        <v>45757</v>
      </c>
      <c r="C2398" t="s">
        <v>18</v>
      </c>
      <c r="D2398" t="s">
        <v>107</v>
      </c>
      <c r="E2398" t="s">
        <v>8</v>
      </c>
      <c r="F2398">
        <v>3</v>
      </c>
      <c r="G2398" t="str">
        <f>VLOOKUP(D2398,Товары!A:I,3,0)</f>
        <v>Комод Аква 35 напольный 1 дверь белый правый</v>
      </c>
      <c r="H2398">
        <f>VLOOKUP(D2398,Товары!A:I,6,0)</f>
        <v>90</v>
      </c>
      <c r="I2398" t="str">
        <f>VLOOKUP(C2398,Магазины!A:C,3,0)</f>
        <v>Набережные Челны</v>
      </c>
      <c r="J2398">
        <f>VLOOKUP(D2398,Товары!A:I,4,0)</f>
        <v>6705</v>
      </c>
      <c r="K2398">
        <f t="shared" si="37"/>
        <v>20115</v>
      </c>
    </row>
    <row r="2399" spans="1:11" hidden="1" x14ac:dyDescent="0.25">
      <c r="A2399">
        <v>2398</v>
      </c>
      <c r="B2399" s="1">
        <v>45756</v>
      </c>
      <c r="C2399" t="s">
        <v>111</v>
      </c>
      <c r="D2399" t="s">
        <v>46</v>
      </c>
      <c r="E2399" t="s">
        <v>13</v>
      </c>
      <c r="F2399">
        <v>2</v>
      </c>
      <c r="G2399" t="str">
        <f>VLOOKUP(D2399,Товары!A:I,3,0)</f>
        <v>Тумба с раковиной  напол. Сохо 700 белый 2 ящика с умыв. Слим</v>
      </c>
      <c r="H2399">
        <f>VLOOKUP(D2399,Товары!A:I,6,0)</f>
        <v>85</v>
      </c>
      <c r="I2399" t="str">
        <f>VLOOKUP(C2399,Магазины!A:C,3,0)</f>
        <v>Набережные Челны</v>
      </c>
      <c r="J2399">
        <f>VLOOKUP(D2399,Товары!A:I,4,0)</f>
        <v>18405</v>
      </c>
      <c r="K2399">
        <f t="shared" si="37"/>
        <v>36810</v>
      </c>
    </row>
    <row r="2400" spans="1:11" hidden="1" x14ac:dyDescent="0.25">
      <c r="A2400">
        <v>2399</v>
      </c>
      <c r="B2400" s="1">
        <v>45749</v>
      </c>
      <c r="C2400" t="s">
        <v>22</v>
      </c>
      <c r="D2400" t="s">
        <v>126</v>
      </c>
      <c r="E2400" t="s">
        <v>8</v>
      </c>
      <c r="F2400">
        <v>3</v>
      </c>
      <c r="G2400" t="str">
        <f>VLOOKUP(D2400,Товары!A:I,3,0)</f>
        <v>Тумба с раковиной  напол. Кристалл 800 шато азур 2 ящика с умыв. Комфорт</v>
      </c>
      <c r="H2400">
        <f>VLOOKUP(D2400,Товары!A:I,6,0)</f>
        <v>85</v>
      </c>
      <c r="I2400" t="str">
        <f>VLOOKUP(C2400,Магазины!A:C,3,0)</f>
        <v>Кемерово</v>
      </c>
      <c r="J2400">
        <f>VLOOKUP(D2400,Товары!A:I,4,0)</f>
        <v>31125</v>
      </c>
      <c r="K2400">
        <f t="shared" si="37"/>
        <v>93375</v>
      </c>
    </row>
    <row r="2401" spans="1:11" hidden="1" x14ac:dyDescent="0.25">
      <c r="A2401">
        <v>2400</v>
      </c>
      <c r="B2401" s="1">
        <v>45753</v>
      </c>
      <c r="C2401" t="s">
        <v>30</v>
      </c>
      <c r="D2401" t="s">
        <v>122</v>
      </c>
      <c r="E2401" t="s">
        <v>13</v>
      </c>
      <c r="F2401">
        <v>2</v>
      </c>
      <c r="G2401" t="str">
        <f>VLOOKUP(D2401,Товары!A:I,3,0)</f>
        <v>Тумба с раковиной  навес. Кристалл 600 шато азур 2 ящика с умыв. Океан</v>
      </c>
      <c r="H2401">
        <f>VLOOKUP(D2401,Товары!A:I,6,0)</f>
        <v>55</v>
      </c>
      <c r="I2401" t="str">
        <f>VLOOKUP(C2401,Магазины!A:C,3,0)</f>
        <v>Кемерово</v>
      </c>
      <c r="J2401">
        <f>VLOOKUP(D2401,Товары!A:I,4,0)</f>
        <v>21960</v>
      </c>
      <c r="K2401">
        <f t="shared" si="37"/>
        <v>43920</v>
      </c>
    </row>
    <row r="2402" spans="1:11" hidden="1" x14ac:dyDescent="0.25">
      <c r="A2402">
        <v>2401</v>
      </c>
      <c r="B2402" s="1">
        <v>45756</v>
      </c>
      <c r="C2402" t="s">
        <v>48</v>
      </c>
      <c r="D2402" t="s">
        <v>75</v>
      </c>
      <c r="E2402" t="s">
        <v>13</v>
      </c>
      <c r="F2402">
        <v>2</v>
      </c>
      <c r="G2402" t="str">
        <f>VLOOKUP(D2402,Товары!A:I,3,0)</f>
        <v>Тумба с раковиной  напол. Альба 600 суфле 2 ящика с умыв. Океан</v>
      </c>
      <c r="H2402">
        <f>VLOOKUP(D2402,Товары!A:I,6,0)</f>
        <v>80</v>
      </c>
      <c r="I2402" t="str">
        <f>VLOOKUP(C2402,Магазины!A:C,3,0)</f>
        <v>Ставрополь</v>
      </c>
      <c r="J2402">
        <f>VLOOKUP(D2402,Товары!A:I,4,0)</f>
        <v>26370</v>
      </c>
      <c r="K2402">
        <f t="shared" si="37"/>
        <v>52740</v>
      </c>
    </row>
    <row r="2403" spans="1:11" hidden="1" x14ac:dyDescent="0.25">
      <c r="A2403">
        <v>2402</v>
      </c>
      <c r="B2403" s="1">
        <v>45754</v>
      </c>
      <c r="C2403" t="s">
        <v>63</v>
      </c>
      <c r="D2403" t="s">
        <v>53</v>
      </c>
      <c r="E2403" t="s">
        <v>13</v>
      </c>
      <c r="F2403">
        <v>2</v>
      </c>
      <c r="G2403" t="str">
        <f>VLOOKUP(D2403,Товары!A:I,3,0)</f>
        <v>Тумба с раковиной  напол. Кристалл 600 шато азур 2 ящика с умыв. Океан</v>
      </c>
      <c r="H2403">
        <f>VLOOKUP(D2403,Товары!A:I,6,0)</f>
        <v>85</v>
      </c>
      <c r="I2403" t="str">
        <f>VLOOKUP(C2403,Магазины!A:C,3,0)</f>
        <v>Ставрополь</v>
      </c>
      <c r="J2403">
        <f>VLOOKUP(D2403,Товары!A:I,4,0)</f>
        <v>27600</v>
      </c>
      <c r="K2403">
        <f t="shared" si="37"/>
        <v>55200</v>
      </c>
    </row>
    <row r="2404" spans="1:11" hidden="1" x14ac:dyDescent="0.25">
      <c r="A2404">
        <v>2403</v>
      </c>
      <c r="B2404" s="1">
        <v>45754</v>
      </c>
      <c r="C2404" t="s">
        <v>35</v>
      </c>
      <c r="D2404" t="s">
        <v>23</v>
      </c>
      <c r="E2404" t="s">
        <v>8</v>
      </c>
      <c r="F2404">
        <v>1</v>
      </c>
      <c r="G2404" t="str">
        <f>VLOOKUP(D2404,Товары!A:I,3,0)</f>
        <v>Тумба с раковиной  напол. Альба 800 антрацит 2 ящика с умыв. Слим</v>
      </c>
      <c r="H2404">
        <f>VLOOKUP(D2404,Товары!A:I,6,0)</f>
        <v>80</v>
      </c>
      <c r="I2404" t="str">
        <f>VLOOKUP(C2404,Магазины!A:C,3,0)</f>
        <v>Набережные Челны</v>
      </c>
      <c r="J2404">
        <f>VLOOKUP(D2404,Товары!A:I,4,0)</f>
        <v>29340</v>
      </c>
      <c r="K2404">
        <f t="shared" si="37"/>
        <v>29340</v>
      </c>
    </row>
    <row r="2405" spans="1:11" hidden="1" x14ac:dyDescent="0.25">
      <c r="A2405">
        <v>2404</v>
      </c>
      <c r="B2405" s="1">
        <v>45751</v>
      </c>
      <c r="C2405" t="s">
        <v>41</v>
      </c>
      <c r="D2405" t="s">
        <v>70</v>
      </c>
      <c r="E2405" t="s">
        <v>13</v>
      </c>
      <c r="F2405">
        <v>2</v>
      </c>
      <c r="G2405" t="str">
        <f>VLOOKUP(D2405,Товары!A:I,3,0)</f>
        <v>Тумба с раковиной  напол. Кристалл 700 шато азур 2 ящика с умыв. Слим</v>
      </c>
      <c r="H2405">
        <f>VLOOKUP(D2405,Товары!A:I,6,0)</f>
        <v>85</v>
      </c>
      <c r="I2405" t="str">
        <f>VLOOKUP(C2405,Магазины!A:C,3,0)</f>
        <v>Ставрополь</v>
      </c>
      <c r="J2405">
        <f>VLOOKUP(D2405,Товары!A:I,4,0)</f>
        <v>29910</v>
      </c>
      <c r="K2405">
        <f t="shared" si="37"/>
        <v>59820</v>
      </c>
    </row>
    <row r="2406" spans="1:11" hidden="1" x14ac:dyDescent="0.25">
      <c r="A2406">
        <v>2405</v>
      </c>
      <c r="B2406" s="1">
        <v>45754</v>
      </c>
      <c r="C2406" t="s">
        <v>22</v>
      </c>
      <c r="D2406" t="s">
        <v>108</v>
      </c>
      <c r="E2406" t="s">
        <v>13</v>
      </c>
      <c r="F2406">
        <v>1</v>
      </c>
      <c r="G2406" t="str">
        <f>VLOOKUP(D2406,Товары!A:I,3,0)</f>
        <v>Тумба с раковиной  навес. Виктория 1000 белый 2 ящика с умыв. Слим</v>
      </c>
      <c r="H2406">
        <f>VLOOKUP(D2406,Товары!A:I,6,0)</f>
        <v>60</v>
      </c>
      <c r="I2406" t="str">
        <f>VLOOKUP(C2406,Магазины!A:C,3,0)</f>
        <v>Кемерово</v>
      </c>
      <c r="J2406">
        <f>VLOOKUP(D2406,Товары!A:I,4,0)</f>
        <v>29205</v>
      </c>
      <c r="K2406">
        <f t="shared" si="37"/>
        <v>29205</v>
      </c>
    </row>
    <row r="2407" spans="1:11" hidden="1" x14ac:dyDescent="0.25">
      <c r="A2407">
        <v>2406</v>
      </c>
      <c r="B2407" s="1">
        <v>45756</v>
      </c>
      <c r="C2407" t="s">
        <v>35</v>
      </c>
      <c r="D2407" t="s">
        <v>51</v>
      </c>
      <c r="E2407" t="s">
        <v>13</v>
      </c>
      <c r="F2407">
        <v>1</v>
      </c>
      <c r="G2407" t="str">
        <f>VLOOKUP(D2407,Товары!A:I,3,0)</f>
        <v>Зеркальный шкаф Альба 80 со светильником правый цвет суфле</v>
      </c>
      <c r="H2407">
        <f>VLOOKUP(D2407,Товары!A:I,6,0)</f>
        <v>75</v>
      </c>
      <c r="I2407" t="str">
        <f>VLOOKUP(C2407,Магазины!A:C,3,0)</f>
        <v>Набережные Челны</v>
      </c>
      <c r="J2407">
        <f>VLOOKUP(D2407,Товары!A:I,4,0)</f>
        <v>9930</v>
      </c>
      <c r="K2407">
        <f t="shared" si="37"/>
        <v>9930</v>
      </c>
    </row>
    <row r="2408" spans="1:11" hidden="1" x14ac:dyDescent="0.25">
      <c r="A2408">
        <v>2407</v>
      </c>
      <c r="B2408" s="1">
        <v>45754</v>
      </c>
      <c r="C2408" t="s">
        <v>92</v>
      </c>
      <c r="D2408" t="s">
        <v>117</v>
      </c>
      <c r="E2408" t="s">
        <v>13</v>
      </c>
      <c r="F2408">
        <v>2</v>
      </c>
      <c r="G2408" t="str">
        <f>VLOOKUP(D2408,Товары!A:I,3,0)</f>
        <v>Тумба с раковиной  навес. Альба 700 антрацит 2 ящика с умыв. Слим</v>
      </c>
      <c r="H2408">
        <f>VLOOKUP(D2408,Товары!A:I,6,0)</f>
        <v>60</v>
      </c>
      <c r="I2408" t="str">
        <f>VLOOKUP(C2408,Магазины!A:C,3,0)</f>
        <v>Кемерово</v>
      </c>
      <c r="J2408">
        <f>VLOOKUP(D2408,Товары!A:I,4,0)</f>
        <v>25095</v>
      </c>
      <c r="K2408">
        <f t="shared" si="37"/>
        <v>50190</v>
      </c>
    </row>
    <row r="2409" spans="1:11" hidden="1" x14ac:dyDescent="0.25">
      <c r="A2409">
        <v>2408</v>
      </c>
      <c r="B2409" s="1">
        <v>45751</v>
      </c>
      <c r="C2409" t="s">
        <v>20</v>
      </c>
      <c r="D2409" t="s">
        <v>32</v>
      </c>
      <c r="E2409" t="s">
        <v>8</v>
      </c>
      <c r="F2409">
        <v>3</v>
      </c>
      <c r="G2409" t="str">
        <f>VLOOKUP(D2409,Товары!A:I,3,0)</f>
        <v>Тумба с раковиной  напол. Леон Риф 700 солярис/белый риф 2 ящика с умыв. Слим</v>
      </c>
      <c r="H2409">
        <f>VLOOKUP(D2409,Товары!A:I,6,0)</f>
        <v>85</v>
      </c>
      <c r="I2409" t="str">
        <f>VLOOKUP(C2409,Магазины!A:C,3,0)</f>
        <v>Оренбург</v>
      </c>
      <c r="J2409">
        <f>VLOOKUP(D2409,Товары!A:I,4,0)</f>
        <v>26460</v>
      </c>
      <c r="K2409">
        <f t="shared" si="37"/>
        <v>79380</v>
      </c>
    </row>
    <row r="2410" spans="1:11" hidden="1" x14ac:dyDescent="0.25">
      <c r="A2410">
        <v>2409</v>
      </c>
      <c r="B2410" s="1">
        <v>45756</v>
      </c>
      <c r="C2410" t="s">
        <v>30</v>
      </c>
      <c r="D2410" t="s">
        <v>10</v>
      </c>
      <c r="E2410" t="s">
        <v>13</v>
      </c>
      <c r="F2410">
        <v>1</v>
      </c>
      <c r="G2410" t="str">
        <f>VLOOKUP(D2410,Товары!A:I,3,0)</f>
        <v>Тумба с раковиной  навес. Альба 700 антрацит 1 ящик с умыв. Слим</v>
      </c>
      <c r="H2410">
        <f>VLOOKUP(D2410,Товары!A:I,6,0)</f>
        <v>45</v>
      </c>
      <c r="I2410" t="str">
        <f>VLOOKUP(C2410,Магазины!A:C,3,0)</f>
        <v>Кемерово</v>
      </c>
      <c r="J2410">
        <f>VLOOKUP(D2410,Товары!A:I,4,0)</f>
        <v>20130</v>
      </c>
      <c r="K2410">
        <f t="shared" si="37"/>
        <v>20130</v>
      </c>
    </row>
    <row r="2411" spans="1:11" hidden="1" x14ac:dyDescent="0.25">
      <c r="A2411">
        <v>2410</v>
      </c>
      <c r="B2411" s="1">
        <v>45751</v>
      </c>
      <c r="C2411" t="s">
        <v>48</v>
      </c>
      <c r="D2411" t="s">
        <v>74</v>
      </c>
      <c r="E2411" t="s">
        <v>8</v>
      </c>
      <c r="F2411">
        <v>3</v>
      </c>
      <c r="G2411" t="str">
        <f>VLOOKUP(D2411,Товары!A:I,3,0)</f>
        <v>Тумба с раковиной  напол. Альба 800 суфле 2 ящика с умыв. Слим</v>
      </c>
      <c r="H2411">
        <f>VLOOKUP(D2411,Товары!A:I,6,0)</f>
        <v>80</v>
      </c>
      <c r="I2411" t="str">
        <f>VLOOKUP(C2411,Магазины!A:C,3,0)</f>
        <v>Ставрополь</v>
      </c>
      <c r="J2411">
        <f>VLOOKUP(D2411,Товары!A:I,4,0)</f>
        <v>29340</v>
      </c>
      <c r="K2411">
        <f t="shared" si="37"/>
        <v>88020</v>
      </c>
    </row>
    <row r="2412" spans="1:11" hidden="1" x14ac:dyDescent="0.25">
      <c r="A2412">
        <v>2411</v>
      </c>
      <c r="B2412" s="1">
        <v>45756</v>
      </c>
      <c r="C2412" t="s">
        <v>6</v>
      </c>
      <c r="D2412" t="s">
        <v>45</v>
      </c>
      <c r="E2412" t="s">
        <v>8</v>
      </c>
      <c r="F2412">
        <v>3</v>
      </c>
      <c r="G2412" t="str">
        <f>VLOOKUP(D2412,Товары!A:I,3,0)</f>
        <v>Зеркальный шкаф Рица 80 со светильником правый цвет cерый/керамика</v>
      </c>
      <c r="H2412">
        <f>VLOOKUP(D2412,Товары!A:I,6,0)</f>
        <v>75</v>
      </c>
      <c r="I2412" t="str">
        <f>VLOOKUP(C2412,Магазины!A:C,3,0)</f>
        <v>Оренбург</v>
      </c>
      <c r="J2412">
        <f>VLOOKUP(D2412,Товары!A:I,4,0)</f>
        <v>9930</v>
      </c>
      <c r="K2412">
        <f t="shared" si="37"/>
        <v>29790</v>
      </c>
    </row>
    <row r="2413" spans="1:11" hidden="1" x14ac:dyDescent="0.25">
      <c r="A2413">
        <v>2412</v>
      </c>
      <c r="B2413" s="1">
        <v>45748</v>
      </c>
      <c r="C2413" t="s">
        <v>48</v>
      </c>
      <c r="D2413" t="s">
        <v>109</v>
      </c>
      <c r="E2413" t="s">
        <v>8</v>
      </c>
      <c r="F2413">
        <v>3</v>
      </c>
      <c r="G2413" t="str">
        <f>VLOOKUP(D2413,Товары!A:I,3,0)</f>
        <v>Тумба с раковиной  навес. Альба 600 антрацит 2 ящика с умыв. Океан</v>
      </c>
      <c r="H2413">
        <f>VLOOKUP(D2413,Товары!A:I,6,0)</f>
        <v>50</v>
      </c>
      <c r="I2413" t="str">
        <f>VLOOKUP(C2413,Магазины!A:C,3,0)</f>
        <v>Ставрополь</v>
      </c>
      <c r="J2413">
        <f>VLOOKUP(D2413,Товары!A:I,4,0)</f>
        <v>24810</v>
      </c>
      <c r="K2413">
        <f t="shared" si="37"/>
        <v>74430</v>
      </c>
    </row>
    <row r="2414" spans="1:11" hidden="1" x14ac:dyDescent="0.25">
      <c r="A2414">
        <v>2413</v>
      </c>
      <c r="B2414" s="1">
        <v>45755</v>
      </c>
      <c r="C2414" t="s">
        <v>103</v>
      </c>
      <c r="D2414" t="s">
        <v>118</v>
      </c>
      <c r="E2414" t="s">
        <v>13</v>
      </c>
      <c r="F2414">
        <v>3</v>
      </c>
      <c r="G2414" t="str">
        <f>VLOOKUP(D2414,Товары!A:I,3,0)</f>
        <v>Тумба с раковиной  напол. Сохо 800 белый 2 ящика с умыв. Слим</v>
      </c>
      <c r="H2414">
        <f>VLOOKUP(D2414,Товары!A:I,6,0)</f>
        <v>85</v>
      </c>
      <c r="I2414" t="str">
        <f>VLOOKUP(C2414,Магазины!A:C,3,0)</f>
        <v>Ставрополь</v>
      </c>
      <c r="J2414">
        <f>VLOOKUP(D2414,Товары!A:I,4,0)</f>
        <v>19575</v>
      </c>
      <c r="K2414">
        <f t="shared" si="37"/>
        <v>58725</v>
      </c>
    </row>
    <row r="2415" spans="1:11" hidden="1" x14ac:dyDescent="0.25">
      <c r="A2415">
        <v>2414</v>
      </c>
      <c r="B2415" s="1">
        <v>45757</v>
      </c>
      <c r="C2415" t="s">
        <v>103</v>
      </c>
      <c r="D2415" t="s">
        <v>118</v>
      </c>
      <c r="E2415" t="s">
        <v>13</v>
      </c>
      <c r="F2415">
        <v>3</v>
      </c>
      <c r="G2415" t="str">
        <f>VLOOKUP(D2415,Товары!A:I,3,0)</f>
        <v>Тумба с раковиной  напол. Сохо 800 белый 2 ящика с умыв. Слим</v>
      </c>
      <c r="H2415">
        <f>VLOOKUP(D2415,Товары!A:I,6,0)</f>
        <v>85</v>
      </c>
      <c r="I2415" t="str">
        <f>VLOOKUP(C2415,Магазины!A:C,3,0)</f>
        <v>Ставрополь</v>
      </c>
      <c r="J2415">
        <f>VLOOKUP(D2415,Товары!A:I,4,0)</f>
        <v>19575</v>
      </c>
      <c r="K2415">
        <f t="shared" si="37"/>
        <v>58725</v>
      </c>
    </row>
    <row r="2416" spans="1:11" hidden="1" x14ac:dyDescent="0.25">
      <c r="A2416">
        <v>2415</v>
      </c>
      <c r="B2416" s="1">
        <v>45751</v>
      </c>
      <c r="C2416" t="s">
        <v>20</v>
      </c>
      <c r="D2416" t="s">
        <v>74</v>
      </c>
      <c r="E2416" t="s">
        <v>13</v>
      </c>
      <c r="F2416">
        <v>2</v>
      </c>
      <c r="G2416" t="str">
        <f>VLOOKUP(D2416,Товары!A:I,3,0)</f>
        <v>Тумба с раковиной  напол. Альба 800 суфле 2 ящика с умыв. Слим</v>
      </c>
      <c r="H2416">
        <f>VLOOKUP(D2416,Товары!A:I,6,0)</f>
        <v>80</v>
      </c>
      <c r="I2416" t="str">
        <f>VLOOKUP(C2416,Магазины!A:C,3,0)</f>
        <v>Оренбург</v>
      </c>
      <c r="J2416">
        <f>VLOOKUP(D2416,Товары!A:I,4,0)</f>
        <v>29340</v>
      </c>
      <c r="K2416">
        <f t="shared" si="37"/>
        <v>58680</v>
      </c>
    </row>
    <row r="2417" spans="1:11" hidden="1" x14ac:dyDescent="0.25">
      <c r="A2417">
        <v>2416</v>
      </c>
      <c r="B2417" s="1">
        <v>45755</v>
      </c>
      <c r="C2417" t="s">
        <v>48</v>
      </c>
      <c r="D2417" t="s">
        <v>50</v>
      </c>
      <c r="E2417" t="s">
        <v>13</v>
      </c>
      <c r="F2417">
        <v>2</v>
      </c>
      <c r="G2417" t="str">
        <f>VLOOKUP(D2417,Товары!A:I,3,0)</f>
        <v>Тумба с раковиной  напол. Леон 800 оникс 2 ящика с умыв. Слим</v>
      </c>
      <c r="H2417">
        <f>VLOOKUP(D2417,Товары!A:I,6,0)</f>
        <v>80</v>
      </c>
      <c r="I2417" t="str">
        <f>VLOOKUP(C2417,Магазины!A:C,3,0)</f>
        <v>Ставрополь</v>
      </c>
      <c r="J2417">
        <f>VLOOKUP(D2417,Товары!A:I,4,0)</f>
        <v>29400</v>
      </c>
      <c r="K2417">
        <f t="shared" si="37"/>
        <v>58800</v>
      </c>
    </row>
    <row r="2418" spans="1:11" hidden="1" x14ac:dyDescent="0.25">
      <c r="A2418">
        <v>2417</v>
      </c>
      <c r="B2418" s="1">
        <v>45750</v>
      </c>
      <c r="C2418" t="s">
        <v>18</v>
      </c>
      <c r="D2418" t="s">
        <v>90</v>
      </c>
      <c r="E2418" t="s">
        <v>8</v>
      </c>
      <c r="F2418">
        <v>1</v>
      </c>
      <c r="G2418" t="str">
        <f>VLOOKUP(D2418,Товары!A:I,3,0)</f>
        <v>Пенал напол. Аква 350 белый 2 двери + 2 ящика</v>
      </c>
      <c r="H2418">
        <f>VLOOKUP(D2418,Товары!A:I,6,0)</f>
        <v>190</v>
      </c>
      <c r="I2418" t="str">
        <f>VLOOKUP(C2418,Магазины!A:C,3,0)</f>
        <v>Набережные Челны</v>
      </c>
      <c r="J2418">
        <f>VLOOKUP(D2418,Товары!A:I,4,0)</f>
        <v>10650</v>
      </c>
      <c r="K2418">
        <f t="shared" si="37"/>
        <v>10650</v>
      </c>
    </row>
    <row r="2419" spans="1:11" hidden="1" x14ac:dyDescent="0.25">
      <c r="A2419">
        <v>2418</v>
      </c>
      <c r="B2419" s="1">
        <v>45752</v>
      </c>
      <c r="C2419" t="s">
        <v>54</v>
      </c>
      <c r="D2419" t="s">
        <v>37</v>
      </c>
      <c r="E2419" t="s">
        <v>13</v>
      </c>
      <c r="F2419">
        <v>2</v>
      </c>
      <c r="G2419" t="str">
        <f>VLOOKUP(D2419,Товары!A:I,3,0)</f>
        <v>Зеркальный шкаф Сохо 70 белый со светильником правый цвет Белый глянец</v>
      </c>
      <c r="H2419">
        <f>VLOOKUP(D2419,Товары!A:I,6,0)</f>
        <v>75</v>
      </c>
      <c r="I2419" t="str">
        <f>VLOOKUP(C2419,Магазины!A:C,3,0)</f>
        <v>Ставрополь</v>
      </c>
      <c r="J2419">
        <f>VLOOKUP(D2419,Товары!A:I,4,0)</f>
        <v>7935</v>
      </c>
      <c r="K2419">
        <f t="shared" si="37"/>
        <v>15870</v>
      </c>
    </row>
    <row r="2420" spans="1:11" hidden="1" x14ac:dyDescent="0.25">
      <c r="A2420">
        <v>2419</v>
      </c>
      <c r="B2420" s="1">
        <v>45752</v>
      </c>
      <c r="C2420" t="s">
        <v>48</v>
      </c>
      <c r="D2420" t="s">
        <v>32</v>
      </c>
      <c r="E2420" t="s">
        <v>8</v>
      </c>
      <c r="F2420">
        <v>3</v>
      </c>
      <c r="G2420" t="str">
        <f>VLOOKUP(D2420,Товары!A:I,3,0)</f>
        <v>Тумба с раковиной  напол. Леон Риф 700 солярис/белый риф 2 ящика с умыв. Слим</v>
      </c>
      <c r="H2420">
        <f>VLOOKUP(D2420,Товары!A:I,6,0)</f>
        <v>85</v>
      </c>
      <c r="I2420" t="str">
        <f>VLOOKUP(C2420,Магазины!A:C,3,0)</f>
        <v>Ставрополь</v>
      </c>
      <c r="J2420">
        <f>VLOOKUP(D2420,Товары!A:I,4,0)</f>
        <v>26460</v>
      </c>
      <c r="K2420">
        <f t="shared" si="37"/>
        <v>79380</v>
      </c>
    </row>
    <row r="2421" spans="1:11" hidden="1" x14ac:dyDescent="0.25">
      <c r="A2421">
        <v>2420</v>
      </c>
      <c r="B2421" s="1">
        <v>45754</v>
      </c>
      <c r="C2421" t="s">
        <v>111</v>
      </c>
      <c r="D2421" t="s">
        <v>107</v>
      </c>
      <c r="E2421" t="s">
        <v>13</v>
      </c>
      <c r="F2421">
        <v>1</v>
      </c>
      <c r="G2421" t="str">
        <f>VLOOKUP(D2421,Товары!A:I,3,0)</f>
        <v>Комод Аква 35 напольный 1 дверь белый правый</v>
      </c>
      <c r="H2421">
        <f>VLOOKUP(D2421,Товары!A:I,6,0)</f>
        <v>90</v>
      </c>
      <c r="I2421" t="str">
        <f>VLOOKUP(C2421,Магазины!A:C,3,0)</f>
        <v>Набережные Челны</v>
      </c>
      <c r="J2421">
        <f>VLOOKUP(D2421,Товары!A:I,4,0)</f>
        <v>6705</v>
      </c>
      <c r="K2421">
        <f t="shared" si="37"/>
        <v>6705</v>
      </c>
    </row>
    <row r="2422" spans="1:11" hidden="1" x14ac:dyDescent="0.25">
      <c r="A2422">
        <v>2421</v>
      </c>
      <c r="B2422" s="1">
        <v>45748</v>
      </c>
      <c r="C2422" t="s">
        <v>6</v>
      </c>
      <c r="D2422" t="s">
        <v>107</v>
      </c>
      <c r="E2422" t="s">
        <v>8</v>
      </c>
      <c r="F2422">
        <v>1</v>
      </c>
      <c r="G2422" t="str">
        <f>VLOOKUP(D2422,Товары!A:I,3,0)</f>
        <v>Комод Аква 35 напольный 1 дверь белый правый</v>
      </c>
      <c r="H2422">
        <f>VLOOKUP(D2422,Товары!A:I,6,0)</f>
        <v>90</v>
      </c>
      <c r="I2422" t="str">
        <f>VLOOKUP(C2422,Магазины!A:C,3,0)</f>
        <v>Оренбург</v>
      </c>
      <c r="J2422">
        <f>VLOOKUP(D2422,Товары!A:I,4,0)</f>
        <v>6705</v>
      </c>
      <c r="K2422">
        <f t="shared" si="37"/>
        <v>6705</v>
      </c>
    </row>
    <row r="2423" spans="1:11" hidden="1" x14ac:dyDescent="0.25">
      <c r="A2423">
        <v>2422</v>
      </c>
      <c r="B2423" s="1">
        <v>45757</v>
      </c>
      <c r="C2423" t="s">
        <v>41</v>
      </c>
      <c r="D2423" t="s">
        <v>40</v>
      </c>
      <c r="E2423" t="s">
        <v>13</v>
      </c>
      <c r="F2423">
        <v>3</v>
      </c>
      <c r="G2423" t="str">
        <f>VLOOKUP(D2423,Товары!A:I,3,0)</f>
        <v>Тумба с раковиной  навес. Рица 800 cерый/керамика 1 ящик + ниша 1 с умыв. Слим</v>
      </c>
      <c r="H2423">
        <f>VLOOKUP(D2423,Товары!A:I,6,0)</f>
        <v>60</v>
      </c>
      <c r="I2423" t="str">
        <f>VLOOKUP(C2423,Магазины!A:C,3,0)</f>
        <v>Ставрополь</v>
      </c>
      <c r="J2423">
        <f>VLOOKUP(D2423,Товары!A:I,4,0)</f>
        <v>22425</v>
      </c>
      <c r="K2423">
        <f t="shared" si="37"/>
        <v>67275</v>
      </c>
    </row>
    <row r="2424" spans="1:11" hidden="1" x14ac:dyDescent="0.25">
      <c r="A2424">
        <v>2423</v>
      </c>
      <c r="B2424" s="1">
        <v>45757</v>
      </c>
      <c r="C2424" t="s">
        <v>63</v>
      </c>
      <c r="D2424" t="s">
        <v>34</v>
      </c>
      <c r="E2424" t="s">
        <v>13</v>
      </c>
      <c r="F2424">
        <v>1</v>
      </c>
      <c r="G2424" t="str">
        <f>VLOOKUP(D2424,Товары!A:I,3,0)</f>
        <v>Тумба с раковиной  навес. Леон 700 форест 2 ящика с умыв. Слим</v>
      </c>
      <c r="H2424">
        <f>VLOOKUP(D2424,Товары!A:I,6,0)</f>
        <v>60</v>
      </c>
      <c r="I2424" t="str">
        <f>VLOOKUP(C2424,Магазины!A:C,3,0)</f>
        <v>Ставрополь</v>
      </c>
      <c r="J2424">
        <f>VLOOKUP(D2424,Товары!A:I,4,0)</f>
        <v>26220</v>
      </c>
      <c r="K2424">
        <f t="shared" si="37"/>
        <v>26220</v>
      </c>
    </row>
    <row r="2425" spans="1:11" hidden="1" x14ac:dyDescent="0.25">
      <c r="A2425">
        <v>2424</v>
      </c>
      <c r="B2425" s="1">
        <v>45751</v>
      </c>
      <c r="C2425" t="s">
        <v>22</v>
      </c>
      <c r="D2425" t="s">
        <v>86</v>
      </c>
      <c r="E2425" t="s">
        <v>13</v>
      </c>
      <c r="F2425">
        <v>1</v>
      </c>
      <c r="G2425" t="str">
        <f>VLOOKUP(D2425,Товары!A:I,3,0)</f>
        <v>Комод Аква 50 напольный 1 ящик 2 двери белый</v>
      </c>
      <c r="H2425">
        <f>VLOOKUP(D2425,Товары!A:I,6,0)</f>
        <v>90</v>
      </c>
      <c r="I2425" t="str">
        <f>VLOOKUP(C2425,Магазины!A:C,3,0)</f>
        <v>Кемерово</v>
      </c>
      <c r="J2425">
        <f>VLOOKUP(D2425,Товары!A:I,4,0)</f>
        <v>7260</v>
      </c>
      <c r="K2425">
        <f t="shared" si="37"/>
        <v>7260</v>
      </c>
    </row>
    <row r="2426" spans="1:11" hidden="1" x14ac:dyDescent="0.25">
      <c r="A2426">
        <v>2425</v>
      </c>
      <c r="B2426" s="1">
        <v>45757</v>
      </c>
      <c r="C2426" t="s">
        <v>35</v>
      </c>
      <c r="D2426" t="s">
        <v>78</v>
      </c>
      <c r="E2426" t="s">
        <v>13</v>
      </c>
      <c r="F2426">
        <v>1</v>
      </c>
      <c r="G2426" t="str">
        <f>VLOOKUP(D2426,Товары!A:I,3,0)</f>
        <v>Зеркальный шкаф Кристалл 70 со светильником правый, ручка кнопка дуб цвет Шато Азур</v>
      </c>
      <c r="H2426">
        <f>VLOOKUP(D2426,Товары!A:I,6,0)</f>
        <v>75</v>
      </c>
      <c r="I2426" t="str">
        <f>VLOOKUP(C2426,Магазины!A:C,3,0)</f>
        <v>Набережные Челны</v>
      </c>
      <c r="J2426">
        <f>VLOOKUP(D2426,Товары!A:I,4,0)</f>
        <v>9615</v>
      </c>
      <c r="K2426">
        <f t="shared" si="37"/>
        <v>9615</v>
      </c>
    </row>
    <row r="2427" spans="1:11" hidden="1" x14ac:dyDescent="0.25">
      <c r="A2427">
        <v>2426</v>
      </c>
      <c r="B2427" s="1">
        <v>45753</v>
      </c>
      <c r="C2427" t="s">
        <v>30</v>
      </c>
      <c r="D2427" t="s">
        <v>19</v>
      </c>
      <c r="E2427" t="s">
        <v>8</v>
      </c>
      <c r="F2427">
        <v>2</v>
      </c>
      <c r="G2427" t="str">
        <f>VLOOKUP(D2427,Товары!A:I,3,0)</f>
        <v>Тумба с раковиной  навес. Леон 800 оникс 2 ящика с умыв. Слим</v>
      </c>
      <c r="H2427">
        <f>VLOOKUP(D2427,Товары!A:I,6,0)</f>
        <v>60</v>
      </c>
      <c r="I2427" t="str">
        <f>VLOOKUP(C2427,Магазины!A:C,3,0)</f>
        <v>Кемерово</v>
      </c>
      <c r="J2427">
        <f>VLOOKUP(D2427,Товары!A:I,4,0)</f>
        <v>27930</v>
      </c>
      <c r="K2427">
        <f t="shared" si="37"/>
        <v>55860</v>
      </c>
    </row>
    <row r="2428" spans="1:11" hidden="1" x14ac:dyDescent="0.25">
      <c r="A2428">
        <v>2427</v>
      </c>
      <c r="B2428" s="1">
        <v>45754</v>
      </c>
      <c r="C2428" t="s">
        <v>48</v>
      </c>
      <c r="D2428" t="s">
        <v>25</v>
      </c>
      <c r="E2428" t="s">
        <v>8</v>
      </c>
      <c r="F2428">
        <v>1</v>
      </c>
      <c r="G2428" t="str">
        <f>VLOOKUP(D2428,Товары!A:I,3,0)</f>
        <v>Пенал напол. Леон 400 оникс 2 двери + 1 ящик</v>
      </c>
      <c r="H2428">
        <f>VLOOKUP(D2428,Товары!A:I,6,0)</f>
        <v>190</v>
      </c>
      <c r="I2428" t="str">
        <f>VLOOKUP(C2428,Магазины!A:C,3,0)</f>
        <v>Ставрополь</v>
      </c>
      <c r="J2428">
        <f>VLOOKUP(D2428,Товары!A:I,4,0)</f>
        <v>18450</v>
      </c>
      <c r="K2428">
        <f t="shared" si="37"/>
        <v>18450</v>
      </c>
    </row>
    <row r="2429" spans="1:11" hidden="1" x14ac:dyDescent="0.25">
      <c r="A2429">
        <v>2428</v>
      </c>
      <c r="B2429" s="1">
        <v>45751</v>
      </c>
      <c r="C2429" t="s">
        <v>16</v>
      </c>
      <c r="D2429" t="s">
        <v>101</v>
      </c>
      <c r="E2429" t="s">
        <v>8</v>
      </c>
      <c r="F2429">
        <v>1</v>
      </c>
      <c r="G2429" t="str">
        <f>VLOOKUP(D2429,Товары!A:I,3,0)</f>
        <v>Пенал напол. Сохо 400 белый 2 двери + 1 ящик</v>
      </c>
      <c r="H2429">
        <f>VLOOKUP(D2429,Товары!A:I,6,0)</f>
        <v>190</v>
      </c>
      <c r="I2429" t="str">
        <f>VLOOKUP(C2429,Магазины!A:C,3,0)</f>
        <v>Оренбург</v>
      </c>
      <c r="J2429">
        <f>VLOOKUP(D2429,Товары!A:I,4,0)</f>
        <v>11040</v>
      </c>
      <c r="K2429">
        <f t="shared" si="37"/>
        <v>11040</v>
      </c>
    </row>
    <row r="2430" spans="1:11" hidden="1" x14ac:dyDescent="0.25">
      <c r="A2430">
        <v>2429</v>
      </c>
      <c r="B2430" s="1">
        <v>45755</v>
      </c>
      <c r="C2430" t="s">
        <v>92</v>
      </c>
      <c r="D2430" t="s">
        <v>96</v>
      </c>
      <c r="E2430" t="s">
        <v>13</v>
      </c>
      <c r="F2430">
        <v>2</v>
      </c>
      <c r="G2430" t="str">
        <f>VLOOKUP(D2430,Товары!A:I,3,0)</f>
        <v>Тумба с раковиной  навес. Альба 600 мята 1 ящик с умыв. Океан</v>
      </c>
      <c r="H2430">
        <f>VLOOKUP(D2430,Товары!A:I,6,0)</f>
        <v>85</v>
      </c>
      <c r="I2430" t="str">
        <f>VLOOKUP(C2430,Магазины!A:C,3,0)</f>
        <v>Кемерово</v>
      </c>
      <c r="J2430">
        <f>VLOOKUP(D2430,Товары!A:I,4,0)</f>
        <v>17625</v>
      </c>
      <c r="K2430">
        <f t="shared" si="37"/>
        <v>35250</v>
      </c>
    </row>
    <row r="2431" spans="1:11" hidden="1" x14ac:dyDescent="0.25">
      <c r="A2431">
        <v>2430</v>
      </c>
      <c r="B2431" s="1">
        <v>45749</v>
      </c>
      <c r="C2431" t="s">
        <v>28</v>
      </c>
      <c r="D2431" t="s">
        <v>64</v>
      </c>
      <c r="E2431" t="s">
        <v>13</v>
      </c>
      <c r="F2431">
        <v>2</v>
      </c>
      <c r="G2431" t="str">
        <f>VLOOKUP(D2431,Товары!A:I,3,0)</f>
        <v>Тумба с раковиной  напол. Рица 800 антрацит 2 ящика с умыв. Слим</v>
      </c>
      <c r="H2431">
        <f>VLOOKUP(D2431,Товары!A:I,6,0)</f>
        <v>80</v>
      </c>
      <c r="I2431" t="str">
        <f>VLOOKUP(C2431,Магазины!A:C,3,0)</f>
        <v>Набережные Челны</v>
      </c>
      <c r="J2431">
        <f>VLOOKUP(D2431,Товары!A:I,4,0)</f>
        <v>28980</v>
      </c>
      <c r="K2431">
        <f t="shared" si="37"/>
        <v>57960</v>
      </c>
    </row>
    <row r="2432" spans="1:11" hidden="1" x14ac:dyDescent="0.25">
      <c r="A2432">
        <v>2431</v>
      </c>
      <c r="B2432" s="1">
        <v>45750</v>
      </c>
      <c r="C2432" t="s">
        <v>26</v>
      </c>
      <c r="D2432" t="s">
        <v>32</v>
      </c>
      <c r="E2432" t="s">
        <v>13</v>
      </c>
      <c r="F2432">
        <v>1</v>
      </c>
      <c r="G2432" t="str">
        <f>VLOOKUP(D2432,Товары!A:I,3,0)</f>
        <v>Тумба с раковиной  напол. Леон Риф 700 солярис/белый риф 2 ящика с умыв. Слим</v>
      </c>
      <c r="H2432">
        <f>VLOOKUP(D2432,Товары!A:I,6,0)</f>
        <v>85</v>
      </c>
      <c r="I2432" t="str">
        <f>VLOOKUP(C2432,Магазины!A:C,3,0)</f>
        <v>Оренбург</v>
      </c>
      <c r="J2432">
        <f>VLOOKUP(D2432,Товары!A:I,4,0)</f>
        <v>26460</v>
      </c>
      <c r="K2432">
        <f t="shared" si="37"/>
        <v>26460</v>
      </c>
    </row>
    <row r="2433" spans="1:11" hidden="1" x14ac:dyDescent="0.25">
      <c r="A2433">
        <v>2432</v>
      </c>
      <c r="B2433" s="1">
        <v>45751</v>
      </c>
      <c r="C2433" t="s">
        <v>20</v>
      </c>
      <c r="D2433" t="s">
        <v>122</v>
      </c>
      <c r="E2433" t="s">
        <v>13</v>
      </c>
      <c r="F2433">
        <v>3</v>
      </c>
      <c r="G2433" t="str">
        <f>VLOOKUP(D2433,Товары!A:I,3,0)</f>
        <v>Тумба с раковиной  навес. Кристалл 600 шато азур 2 ящика с умыв. Океан</v>
      </c>
      <c r="H2433">
        <f>VLOOKUP(D2433,Товары!A:I,6,0)</f>
        <v>55</v>
      </c>
      <c r="I2433" t="str">
        <f>VLOOKUP(C2433,Магазины!A:C,3,0)</f>
        <v>Оренбург</v>
      </c>
      <c r="J2433">
        <f>VLOOKUP(D2433,Товары!A:I,4,0)</f>
        <v>21960</v>
      </c>
      <c r="K2433">
        <f t="shared" si="37"/>
        <v>65880</v>
      </c>
    </row>
    <row r="2434" spans="1:11" hidden="1" x14ac:dyDescent="0.25">
      <c r="A2434">
        <v>2433</v>
      </c>
      <c r="B2434" s="1">
        <v>45751</v>
      </c>
      <c r="C2434" t="s">
        <v>18</v>
      </c>
      <c r="D2434" t="s">
        <v>70</v>
      </c>
      <c r="E2434" t="s">
        <v>13</v>
      </c>
      <c r="F2434">
        <v>3</v>
      </c>
      <c r="G2434" t="str">
        <f>VLOOKUP(D2434,Товары!A:I,3,0)</f>
        <v>Тумба с раковиной  напол. Кристалл 700 шато азур 2 ящика с умыв. Слим</v>
      </c>
      <c r="H2434">
        <f>VLOOKUP(D2434,Товары!A:I,6,0)</f>
        <v>85</v>
      </c>
      <c r="I2434" t="str">
        <f>VLOOKUP(C2434,Магазины!A:C,3,0)</f>
        <v>Набережные Челны</v>
      </c>
      <c r="J2434">
        <f>VLOOKUP(D2434,Товары!A:I,4,0)</f>
        <v>29910</v>
      </c>
      <c r="K2434">
        <f t="shared" si="37"/>
        <v>89730</v>
      </c>
    </row>
    <row r="2435" spans="1:11" hidden="1" x14ac:dyDescent="0.25">
      <c r="A2435">
        <v>2434</v>
      </c>
      <c r="B2435" s="1">
        <v>45749</v>
      </c>
      <c r="C2435" t="s">
        <v>41</v>
      </c>
      <c r="D2435" t="s">
        <v>88</v>
      </c>
      <c r="E2435" t="s">
        <v>13</v>
      </c>
      <c r="F2435">
        <v>2</v>
      </c>
      <c r="G2435" t="str">
        <f>VLOOKUP(D2435,Товары!A:I,3,0)</f>
        <v>Тумба с раковиной  навес. Альба 800 антрацит 2 ящика с умыв. Слим</v>
      </c>
      <c r="H2435">
        <f>VLOOKUP(D2435,Товары!A:I,6,0)</f>
        <v>50</v>
      </c>
      <c r="I2435" t="str">
        <f>VLOOKUP(C2435,Магазины!A:C,3,0)</f>
        <v>Ставрополь</v>
      </c>
      <c r="J2435">
        <f>VLOOKUP(D2435,Товары!A:I,4,0)</f>
        <v>26070</v>
      </c>
      <c r="K2435">
        <f t="shared" ref="K2435:K2498" si="38">J2435*F2435</f>
        <v>52140</v>
      </c>
    </row>
    <row r="2436" spans="1:11" hidden="1" x14ac:dyDescent="0.25">
      <c r="A2436">
        <v>2435</v>
      </c>
      <c r="B2436" s="1">
        <v>45756</v>
      </c>
      <c r="C2436" t="s">
        <v>58</v>
      </c>
      <c r="D2436" t="s">
        <v>84</v>
      </c>
      <c r="E2436" t="s">
        <v>8</v>
      </c>
      <c r="F2436">
        <v>3</v>
      </c>
      <c r="G2436" t="str">
        <f>VLOOKUP(D2436,Товары!A:I,3,0)</f>
        <v>Тумба с раковиной  напол. Куба Риф 800 белый 3 двери с умыв. Слим</v>
      </c>
      <c r="H2436">
        <f>VLOOKUP(D2436,Товары!A:I,6,0)</f>
        <v>85</v>
      </c>
      <c r="I2436" t="str">
        <f>VLOOKUP(C2436,Магазины!A:C,3,0)</f>
        <v>Ставрополь</v>
      </c>
      <c r="J2436">
        <f>VLOOKUP(D2436,Товары!A:I,4,0)</f>
        <v>19920</v>
      </c>
      <c r="K2436">
        <f t="shared" si="38"/>
        <v>59760</v>
      </c>
    </row>
    <row r="2437" spans="1:11" hidden="1" x14ac:dyDescent="0.25">
      <c r="A2437">
        <v>2436</v>
      </c>
      <c r="B2437" s="1">
        <v>45750</v>
      </c>
      <c r="C2437" t="s">
        <v>18</v>
      </c>
      <c r="D2437" t="s">
        <v>61</v>
      </c>
      <c r="E2437" t="s">
        <v>8</v>
      </c>
      <c r="F2437">
        <v>2</v>
      </c>
      <c r="G2437" t="str">
        <f>VLOOKUP(D2437,Товары!A:I,3,0)</f>
        <v>Тумба под стиральную машину Леон Риф 57 напольная 2 ящика под ст/маш, без умывальника /под Marshall 120 Солярис/Белый Риф</v>
      </c>
      <c r="H2437">
        <f>VLOOKUP(D2437,Товары!A:I,6,0)</f>
        <v>85</v>
      </c>
      <c r="I2437" t="str">
        <f>VLOOKUP(C2437,Магазины!A:C,3,0)</f>
        <v>Набережные Челны</v>
      </c>
      <c r="J2437">
        <f>VLOOKUP(D2437,Товары!A:I,4,0)</f>
        <v>17430</v>
      </c>
      <c r="K2437">
        <f t="shared" si="38"/>
        <v>34860</v>
      </c>
    </row>
    <row r="2438" spans="1:11" hidden="1" x14ac:dyDescent="0.25">
      <c r="A2438">
        <v>2437</v>
      </c>
      <c r="B2438" s="1">
        <v>45757</v>
      </c>
      <c r="C2438" t="s">
        <v>9</v>
      </c>
      <c r="D2438" t="s">
        <v>124</v>
      </c>
      <c r="E2438" t="s">
        <v>8</v>
      </c>
      <c r="F2438">
        <v>3</v>
      </c>
      <c r="G2438" t="str">
        <f>VLOOKUP(D2438,Товары!A:I,3,0)</f>
        <v>Тумба с раковиной  напол. Леон 600 оникс 2 ящика с умыв. Океан</v>
      </c>
      <c r="H2438">
        <f>VLOOKUP(D2438,Товары!A:I,6,0)</f>
        <v>80</v>
      </c>
      <c r="I2438" t="str">
        <f>VLOOKUP(C2438,Магазины!A:C,3,0)</f>
        <v>Кемерово</v>
      </c>
      <c r="J2438">
        <f>VLOOKUP(D2438,Товары!A:I,4,0)</f>
        <v>25860</v>
      </c>
      <c r="K2438">
        <f t="shared" si="38"/>
        <v>77580</v>
      </c>
    </row>
    <row r="2439" spans="1:11" hidden="1" x14ac:dyDescent="0.25">
      <c r="A2439">
        <v>2438</v>
      </c>
      <c r="B2439" s="1">
        <v>45754</v>
      </c>
      <c r="C2439" t="s">
        <v>28</v>
      </c>
      <c r="D2439" t="s">
        <v>91</v>
      </c>
      <c r="E2439" t="s">
        <v>13</v>
      </c>
      <c r="F2439">
        <v>1</v>
      </c>
      <c r="G2439" t="str">
        <f>VLOOKUP(D2439,Товары!A:I,3,0)</f>
        <v>Пенал навес./напол. Альба 350 мята 2 двери</v>
      </c>
      <c r="H2439">
        <f>VLOOKUP(D2439,Товары!A:I,6,0)</f>
        <v>150</v>
      </c>
      <c r="I2439" t="str">
        <f>VLOOKUP(C2439,Магазины!A:C,3,0)</f>
        <v>Набережные Челны</v>
      </c>
      <c r="J2439">
        <f>VLOOKUP(D2439,Товары!A:I,4,0)</f>
        <v>11655</v>
      </c>
      <c r="K2439">
        <f t="shared" si="38"/>
        <v>11655</v>
      </c>
    </row>
    <row r="2440" spans="1:11" hidden="1" x14ac:dyDescent="0.25">
      <c r="A2440">
        <v>2439</v>
      </c>
      <c r="B2440" s="1">
        <v>45749</v>
      </c>
      <c r="C2440" t="s">
        <v>14</v>
      </c>
      <c r="D2440" t="s">
        <v>36</v>
      </c>
      <c r="E2440" t="s">
        <v>13</v>
      </c>
      <c r="F2440">
        <v>3</v>
      </c>
      <c r="G2440" t="str">
        <f>VLOOKUP(D2440,Товары!A:I,3,0)</f>
        <v>Тумба с раковиной  напол. Альба 800 мята 2 ящика с умыв. Слим</v>
      </c>
      <c r="H2440">
        <f>VLOOKUP(D2440,Товары!A:I,6,0)</f>
        <v>80</v>
      </c>
      <c r="I2440" t="str">
        <f>VLOOKUP(C2440,Магазины!A:C,3,0)</f>
        <v>Оренбург</v>
      </c>
      <c r="J2440">
        <f>VLOOKUP(D2440,Товары!A:I,4,0)</f>
        <v>29340</v>
      </c>
      <c r="K2440">
        <f t="shared" si="38"/>
        <v>88020</v>
      </c>
    </row>
    <row r="2441" spans="1:11" hidden="1" x14ac:dyDescent="0.25">
      <c r="A2441">
        <v>2440</v>
      </c>
      <c r="B2441" s="1">
        <v>45757</v>
      </c>
      <c r="C2441" t="s">
        <v>22</v>
      </c>
      <c r="D2441" t="s">
        <v>117</v>
      </c>
      <c r="E2441" t="s">
        <v>13</v>
      </c>
      <c r="F2441">
        <v>3</v>
      </c>
      <c r="G2441" t="str">
        <f>VLOOKUP(D2441,Товары!A:I,3,0)</f>
        <v>Тумба с раковиной  навес. Альба 700 антрацит 2 ящика с умыв. Слим</v>
      </c>
      <c r="H2441">
        <f>VLOOKUP(D2441,Товары!A:I,6,0)</f>
        <v>60</v>
      </c>
      <c r="I2441" t="str">
        <f>VLOOKUP(C2441,Магазины!A:C,3,0)</f>
        <v>Кемерово</v>
      </c>
      <c r="J2441">
        <f>VLOOKUP(D2441,Товары!A:I,4,0)</f>
        <v>25095</v>
      </c>
      <c r="K2441">
        <f t="shared" si="38"/>
        <v>75285</v>
      </c>
    </row>
    <row r="2442" spans="1:11" hidden="1" x14ac:dyDescent="0.25">
      <c r="A2442">
        <v>2441</v>
      </c>
      <c r="B2442" s="1">
        <v>45751</v>
      </c>
      <c r="C2442" t="s">
        <v>22</v>
      </c>
      <c r="D2442" t="s">
        <v>56</v>
      </c>
      <c r="E2442" t="s">
        <v>8</v>
      </c>
      <c r="F2442">
        <v>1</v>
      </c>
      <c r="G2442" t="str">
        <f>VLOOKUP(D2442,Товары!A:I,3,0)</f>
        <v>Зеркальный шкаф Альба 80 со светильником правый цвет мята</v>
      </c>
      <c r="H2442">
        <f>VLOOKUP(D2442,Товары!A:I,6,0)</f>
        <v>75</v>
      </c>
      <c r="I2442" t="str">
        <f>VLOOKUP(C2442,Магазины!A:C,3,0)</f>
        <v>Кемерово</v>
      </c>
      <c r="J2442">
        <f>VLOOKUP(D2442,Товары!A:I,4,0)</f>
        <v>9930</v>
      </c>
      <c r="K2442">
        <f t="shared" si="38"/>
        <v>9930</v>
      </c>
    </row>
    <row r="2443" spans="1:11" hidden="1" x14ac:dyDescent="0.25">
      <c r="A2443">
        <v>2442</v>
      </c>
      <c r="B2443" s="1">
        <v>45749</v>
      </c>
      <c r="C2443" t="s">
        <v>63</v>
      </c>
      <c r="D2443" t="s">
        <v>120</v>
      </c>
      <c r="E2443" t="s">
        <v>8</v>
      </c>
      <c r="F2443">
        <v>1</v>
      </c>
      <c r="G2443" t="str">
        <f>VLOOKUP(D2443,Товары!A:I,3,0)</f>
        <v>Зеркальный шкаф Альба 60 со светильником правый цвет антрацит</v>
      </c>
      <c r="H2443">
        <f>VLOOKUP(D2443,Товары!A:I,6,0)</f>
        <v>75</v>
      </c>
      <c r="I2443" t="str">
        <f>VLOOKUP(C2443,Магазины!A:C,3,0)</f>
        <v>Ставрополь</v>
      </c>
      <c r="J2443">
        <f>VLOOKUP(D2443,Товары!A:I,4,0)</f>
        <v>8910</v>
      </c>
      <c r="K2443">
        <f t="shared" si="38"/>
        <v>8910</v>
      </c>
    </row>
    <row r="2444" spans="1:11" hidden="1" x14ac:dyDescent="0.25">
      <c r="A2444">
        <v>2443</v>
      </c>
      <c r="B2444" s="1">
        <v>45748</v>
      </c>
      <c r="C2444" t="s">
        <v>11</v>
      </c>
      <c r="D2444" t="s">
        <v>81</v>
      </c>
      <c r="E2444" t="s">
        <v>13</v>
      </c>
      <c r="F2444">
        <v>2</v>
      </c>
      <c r="G2444" t="str">
        <f>VLOOKUP(D2444,Товары!A:I,3,0)</f>
        <v>Тумба с раковиной  навес. Рица 600 cерый/керамика 1 ящик + ниша 1 с умыв. Океан</v>
      </c>
      <c r="H2444">
        <f>VLOOKUP(D2444,Товары!A:I,6,0)</f>
        <v>60</v>
      </c>
      <c r="I2444" t="str">
        <f>VLOOKUP(C2444,Магазины!A:C,3,0)</f>
        <v>Кемерово</v>
      </c>
      <c r="J2444">
        <f>VLOOKUP(D2444,Товары!A:I,4,0)</f>
        <v>18900</v>
      </c>
      <c r="K2444">
        <f t="shared" si="38"/>
        <v>37800</v>
      </c>
    </row>
    <row r="2445" spans="1:11" hidden="1" x14ac:dyDescent="0.25">
      <c r="A2445">
        <v>2444</v>
      </c>
      <c r="B2445" s="1">
        <v>45755</v>
      </c>
      <c r="C2445" t="s">
        <v>28</v>
      </c>
      <c r="D2445" t="s">
        <v>123</v>
      </c>
      <c r="E2445" t="s">
        <v>13</v>
      </c>
      <c r="F2445">
        <v>3</v>
      </c>
      <c r="G2445" t="str">
        <f>VLOOKUP(D2445,Товары!A:I,3,0)</f>
        <v>Тумба с раковиной  напол. Кристалл 800 суфле 2 ящика с умыв. Слим</v>
      </c>
      <c r="H2445">
        <f>VLOOKUP(D2445,Товары!A:I,6,0)</f>
        <v>80</v>
      </c>
      <c r="I2445" t="str">
        <f>VLOOKUP(C2445,Магазины!A:C,3,0)</f>
        <v>Набережные Челны</v>
      </c>
      <c r="J2445">
        <f>VLOOKUP(D2445,Товары!A:I,4,0)</f>
        <v>31125</v>
      </c>
      <c r="K2445">
        <f t="shared" si="38"/>
        <v>93375</v>
      </c>
    </row>
    <row r="2446" spans="1:11" hidden="1" x14ac:dyDescent="0.25">
      <c r="A2446">
        <v>2445</v>
      </c>
      <c r="B2446" s="1">
        <v>45751</v>
      </c>
      <c r="C2446" t="s">
        <v>111</v>
      </c>
      <c r="D2446" t="s">
        <v>77</v>
      </c>
      <c r="E2446" t="s">
        <v>13</v>
      </c>
      <c r="F2446">
        <v>3</v>
      </c>
      <c r="G2446" t="str">
        <f>VLOOKUP(D2446,Товары!A:I,3,0)</f>
        <v>Тумба с раковиной  напол. Куба Риф 600 белый 2 ящика с умыв. Como</v>
      </c>
      <c r="H2446">
        <f>VLOOKUP(D2446,Товары!A:I,6,0)</f>
        <v>85</v>
      </c>
      <c r="I2446" t="str">
        <f>VLOOKUP(C2446,Магазины!A:C,3,0)</f>
        <v>Набережные Челны</v>
      </c>
      <c r="J2446">
        <f>VLOOKUP(D2446,Товары!A:I,4,0)</f>
        <v>15660</v>
      </c>
      <c r="K2446">
        <f t="shared" si="38"/>
        <v>46980</v>
      </c>
    </row>
    <row r="2447" spans="1:11" hidden="1" x14ac:dyDescent="0.25">
      <c r="A2447">
        <v>2446</v>
      </c>
      <c r="B2447" s="1">
        <v>45755</v>
      </c>
      <c r="C2447" t="s">
        <v>14</v>
      </c>
      <c r="D2447" t="s">
        <v>21</v>
      </c>
      <c r="E2447" t="s">
        <v>8</v>
      </c>
      <c r="F2447">
        <v>1</v>
      </c>
      <c r="G2447" t="str">
        <f>VLOOKUP(D2447,Товары!A:I,3,0)</f>
        <v>Зеркальный шкаф Рица 60 со светильником правый цвет cерый/керамика</v>
      </c>
      <c r="H2447">
        <f>VLOOKUP(D2447,Товары!A:I,6,0)</f>
        <v>75</v>
      </c>
      <c r="I2447" t="str">
        <f>VLOOKUP(C2447,Магазины!A:C,3,0)</f>
        <v>Оренбург</v>
      </c>
      <c r="J2447">
        <f>VLOOKUP(D2447,Товары!A:I,4,0)</f>
        <v>8910</v>
      </c>
      <c r="K2447">
        <f t="shared" si="38"/>
        <v>8910</v>
      </c>
    </row>
    <row r="2448" spans="1:11" hidden="1" x14ac:dyDescent="0.25">
      <c r="A2448">
        <v>2447</v>
      </c>
      <c r="B2448" s="1">
        <v>45751</v>
      </c>
      <c r="C2448" t="s">
        <v>28</v>
      </c>
      <c r="D2448" t="s">
        <v>121</v>
      </c>
      <c r="E2448" t="s">
        <v>13</v>
      </c>
      <c r="F2448">
        <v>2</v>
      </c>
      <c r="G2448" t="str">
        <f>VLOOKUP(D2448,Товары!A:I,3,0)</f>
        <v>Тумба с раковиной  напол. Куба Риф 600 белый 2 двери с умыв. Como</v>
      </c>
      <c r="H2448">
        <f>VLOOKUP(D2448,Товары!A:I,6,0)</f>
        <v>85</v>
      </c>
      <c r="I2448" t="str">
        <f>VLOOKUP(C2448,Магазины!A:C,3,0)</f>
        <v>Набережные Челны</v>
      </c>
      <c r="J2448">
        <f>VLOOKUP(D2448,Товары!A:I,4,0)</f>
        <v>13695</v>
      </c>
      <c r="K2448">
        <f t="shared" si="38"/>
        <v>27390</v>
      </c>
    </row>
    <row r="2449" spans="1:11" hidden="1" x14ac:dyDescent="0.25">
      <c r="A2449">
        <v>2448</v>
      </c>
      <c r="B2449" s="1">
        <v>45751</v>
      </c>
      <c r="C2449" t="s">
        <v>92</v>
      </c>
      <c r="D2449" t="s">
        <v>74</v>
      </c>
      <c r="E2449" t="s">
        <v>13</v>
      </c>
      <c r="F2449">
        <v>3</v>
      </c>
      <c r="G2449" t="str">
        <f>VLOOKUP(D2449,Товары!A:I,3,0)</f>
        <v>Тумба с раковиной  напол. Альба 800 суфле 2 ящика с умыв. Слим</v>
      </c>
      <c r="H2449">
        <f>VLOOKUP(D2449,Товары!A:I,6,0)</f>
        <v>80</v>
      </c>
      <c r="I2449" t="str">
        <f>VLOOKUP(C2449,Магазины!A:C,3,0)</f>
        <v>Кемерово</v>
      </c>
      <c r="J2449">
        <f>VLOOKUP(D2449,Товары!A:I,4,0)</f>
        <v>29340</v>
      </c>
      <c r="K2449">
        <f t="shared" si="38"/>
        <v>88020</v>
      </c>
    </row>
    <row r="2450" spans="1:11" hidden="1" x14ac:dyDescent="0.25">
      <c r="A2450">
        <v>2449</v>
      </c>
      <c r="B2450" s="1">
        <v>45757</v>
      </c>
      <c r="C2450" t="s">
        <v>111</v>
      </c>
      <c r="D2450" t="s">
        <v>97</v>
      </c>
      <c r="E2450" t="s">
        <v>8</v>
      </c>
      <c r="F2450">
        <v>3</v>
      </c>
      <c r="G2450" t="str">
        <f>VLOOKUP(D2450,Товары!A:I,3,0)</f>
        <v>Пенал напол. Кристалл 350 суфле 2 двери</v>
      </c>
      <c r="H2450">
        <f>VLOOKUP(D2450,Товары!A:I,6,0)</f>
        <v>190</v>
      </c>
      <c r="I2450" t="str">
        <f>VLOOKUP(C2450,Магазины!A:C,3,0)</f>
        <v>Набережные Челны</v>
      </c>
      <c r="J2450">
        <f>VLOOKUP(D2450,Товары!A:I,4,0)</f>
        <v>15810</v>
      </c>
      <c r="K2450">
        <f t="shared" si="38"/>
        <v>47430</v>
      </c>
    </row>
    <row r="2451" spans="1:11" hidden="1" x14ac:dyDescent="0.25">
      <c r="A2451">
        <v>2450</v>
      </c>
      <c r="B2451" s="1">
        <v>45752</v>
      </c>
      <c r="C2451" t="s">
        <v>57</v>
      </c>
      <c r="D2451" t="s">
        <v>21</v>
      </c>
      <c r="E2451" t="s">
        <v>8</v>
      </c>
      <c r="F2451">
        <v>3</v>
      </c>
      <c r="G2451" t="str">
        <f>VLOOKUP(D2451,Товары!A:I,3,0)</f>
        <v>Зеркальный шкаф Рица 60 со светильником правый цвет cерый/керамика</v>
      </c>
      <c r="H2451">
        <f>VLOOKUP(D2451,Товары!A:I,6,0)</f>
        <v>75</v>
      </c>
      <c r="I2451" t="str">
        <f>VLOOKUP(C2451,Магазины!A:C,3,0)</f>
        <v>Оренбург</v>
      </c>
      <c r="J2451">
        <f>VLOOKUP(D2451,Товары!A:I,4,0)</f>
        <v>8910</v>
      </c>
      <c r="K2451">
        <f t="shared" si="38"/>
        <v>26730</v>
      </c>
    </row>
    <row r="2452" spans="1:11" hidden="1" x14ac:dyDescent="0.25">
      <c r="A2452">
        <v>2451</v>
      </c>
      <c r="B2452" s="1">
        <v>45750</v>
      </c>
      <c r="C2452" t="s">
        <v>54</v>
      </c>
      <c r="D2452" t="s">
        <v>47</v>
      </c>
      <c r="E2452" t="s">
        <v>13</v>
      </c>
      <c r="F2452">
        <v>2</v>
      </c>
      <c r="G2452" t="str">
        <f>VLOOKUP(D2452,Товары!A:I,3,0)</f>
        <v>Пенал напол. Кристалл 350 шато азур 2 двери</v>
      </c>
      <c r="H2452">
        <f>VLOOKUP(D2452,Товары!A:I,6,0)</f>
        <v>190</v>
      </c>
      <c r="I2452" t="str">
        <f>VLOOKUP(C2452,Магазины!A:C,3,0)</f>
        <v>Ставрополь</v>
      </c>
      <c r="J2452">
        <f>VLOOKUP(D2452,Товары!A:I,4,0)</f>
        <v>15810</v>
      </c>
      <c r="K2452">
        <f t="shared" si="38"/>
        <v>31620</v>
      </c>
    </row>
    <row r="2453" spans="1:11" hidden="1" x14ac:dyDescent="0.25">
      <c r="A2453">
        <v>2452</v>
      </c>
      <c r="B2453" s="1">
        <v>45755</v>
      </c>
      <c r="C2453" t="s">
        <v>28</v>
      </c>
      <c r="D2453" t="s">
        <v>49</v>
      </c>
      <c r="E2453" t="s">
        <v>13</v>
      </c>
      <c r="F2453">
        <v>1</v>
      </c>
      <c r="G2453" t="str">
        <f>VLOOKUP(D2453,Товары!A:I,3,0)</f>
        <v>Тумба с раковиной  напол. Леон 700 оникс 2 ящика с умыв. Слим</v>
      </c>
      <c r="H2453">
        <f>VLOOKUP(D2453,Товары!A:I,6,0)</f>
        <v>80</v>
      </c>
      <c r="I2453" t="str">
        <f>VLOOKUP(C2453,Магазины!A:C,3,0)</f>
        <v>Набережные Челны</v>
      </c>
      <c r="J2453">
        <f>VLOOKUP(D2453,Товары!A:I,4,0)</f>
        <v>28380</v>
      </c>
      <c r="K2453">
        <f t="shared" si="38"/>
        <v>28380</v>
      </c>
    </row>
    <row r="2454" spans="1:11" hidden="1" x14ac:dyDescent="0.25">
      <c r="A2454">
        <v>2453</v>
      </c>
      <c r="B2454" s="1">
        <v>45753</v>
      </c>
      <c r="C2454" t="s">
        <v>54</v>
      </c>
      <c r="D2454" t="s">
        <v>85</v>
      </c>
      <c r="E2454" t="s">
        <v>8</v>
      </c>
      <c r="F2454">
        <v>2</v>
      </c>
      <c r="G2454" t="str">
        <f>VLOOKUP(D2454,Товары!A:I,3,0)</f>
        <v>Пенал напол. Аква 450 белый 2 двери + 2 ящика + корзина</v>
      </c>
      <c r="H2454">
        <f>VLOOKUP(D2454,Товары!A:I,6,0)</f>
        <v>190</v>
      </c>
      <c r="I2454" t="str">
        <f>VLOOKUP(C2454,Магазины!A:C,3,0)</f>
        <v>Ставрополь</v>
      </c>
      <c r="J2454">
        <f>VLOOKUP(D2454,Товары!A:I,4,0)</f>
        <v>13335</v>
      </c>
      <c r="K2454">
        <f t="shared" si="38"/>
        <v>26670</v>
      </c>
    </row>
    <row r="2455" spans="1:11" hidden="1" x14ac:dyDescent="0.25">
      <c r="A2455">
        <v>2454</v>
      </c>
      <c r="B2455" s="1">
        <v>45749</v>
      </c>
      <c r="C2455" t="s">
        <v>111</v>
      </c>
      <c r="D2455" t="s">
        <v>84</v>
      </c>
      <c r="E2455" t="s">
        <v>8</v>
      </c>
      <c r="F2455">
        <v>2</v>
      </c>
      <c r="G2455" t="str">
        <f>VLOOKUP(D2455,Товары!A:I,3,0)</f>
        <v>Тумба с раковиной  напол. Куба Риф 800 белый 3 двери с умыв. Слим</v>
      </c>
      <c r="H2455">
        <f>VLOOKUP(D2455,Товары!A:I,6,0)</f>
        <v>85</v>
      </c>
      <c r="I2455" t="str">
        <f>VLOOKUP(C2455,Магазины!A:C,3,0)</f>
        <v>Набережные Челны</v>
      </c>
      <c r="J2455">
        <f>VLOOKUP(D2455,Товары!A:I,4,0)</f>
        <v>19920</v>
      </c>
      <c r="K2455">
        <f t="shared" si="38"/>
        <v>39840</v>
      </c>
    </row>
    <row r="2456" spans="1:11" hidden="1" x14ac:dyDescent="0.25">
      <c r="A2456">
        <v>2455</v>
      </c>
      <c r="B2456" s="1">
        <v>45754</v>
      </c>
      <c r="C2456" t="s">
        <v>6</v>
      </c>
      <c r="D2456" t="s">
        <v>82</v>
      </c>
      <c r="E2456" t="s">
        <v>13</v>
      </c>
      <c r="F2456">
        <v>1</v>
      </c>
      <c r="G2456" t="str">
        <f>VLOOKUP(D2456,Товары!A:I,3,0)</f>
        <v>Тумба с раковиной  навес. Леон 800 форест 2 ящика с умыв. Слим</v>
      </c>
      <c r="H2456">
        <f>VLOOKUP(D2456,Товары!A:I,6,0)</f>
        <v>60</v>
      </c>
      <c r="I2456" t="str">
        <f>VLOOKUP(C2456,Магазины!A:C,3,0)</f>
        <v>Оренбург</v>
      </c>
      <c r="J2456">
        <f>VLOOKUP(D2456,Товары!A:I,4,0)</f>
        <v>27930</v>
      </c>
      <c r="K2456">
        <f t="shared" si="38"/>
        <v>27930</v>
      </c>
    </row>
    <row r="2457" spans="1:11" hidden="1" x14ac:dyDescent="0.25">
      <c r="A2457">
        <v>2456</v>
      </c>
      <c r="B2457" s="1">
        <v>45756</v>
      </c>
      <c r="C2457" t="s">
        <v>48</v>
      </c>
      <c r="D2457" t="s">
        <v>64</v>
      </c>
      <c r="E2457" t="s">
        <v>13</v>
      </c>
      <c r="F2457">
        <v>3</v>
      </c>
      <c r="G2457" t="str">
        <f>VLOOKUP(D2457,Товары!A:I,3,0)</f>
        <v>Тумба с раковиной  напол. Рица 800 антрацит 2 ящика с умыв. Слим</v>
      </c>
      <c r="H2457">
        <f>VLOOKUP(D2457,Товары!A:I,6,0)</f>
        <v>80</v>
      </c>
      <c r="I2457" t="str">
        <f>VLOOKUP(C2457,Магазины!A:C,3,0)</f>
        <v>Ставрополь</v>
      </c>
      <c r="J2457">
        <f>VLOOKUP(D2457,Товары!A:I,4,0)</f>
        <v>28980</v>
      </c>
      <c r="K2457">
        <f t="shared" si="38"/>
        <v>86940</v>
      </c>
    </row>
    <row r="2458" spans="1:11" hidden="1" x14ac:dyDescent="0.25">
      <c r="A2458">
        <v>2457</v>
      </c>
      <c r="B2458" s="1">
        <v>45754</v>
      </c>
      <c r="C2458" t="s">
        <v>57</v>
      </c>
      <c r="D2458" t="s">
        <v>29</v>
      </c>
      <c r="E2458" t="s">
        <v>13</v>
      </c>
      <c r="F2458">
        <v>2</v>
      </c>
      <c r="G2458" t="str">
        <f>VLOOKUP(D2458,Товары!A:I,3,0)</f>
        <v>Тумба с раковиной  напол. Леон Риф 600 солярис/белый риф 2 ящика с умыв. Океан</v>
      </c>
      <c r="H2458">
        <f>VLOOKUP(D2458,Товары!A:I,6,0)</f>
        <v>80</v>
      </c>
      <c r="I2458" t="str">
        <f>VLOOKUP(C2458,Магазины!A:C,3,0)</f>
        <v>Оренбург</v>
      </c>
      <c r="J2458">
        <f>VLOOKUP(D2458,Товары!A:I,4,0)</f>
        <v>24150</v>
      </c>
      <c r="K2458">
        <f t="shared" si="38"/>
        <v>48300</v>
      </c>
    </row>
    <row r="2459" spans="1:11" hidden="1" x14ac:dyDescent="0.25">
      <c r="A2459">
        <v>2458</v>
      </c>
      <c r="B2459" s="1">
        <v>45751</v>
      </c>
      <c r="C2459" t="s">
        <v>92</v>
      </c>
      <c r="D2459" t="s">
        <v>66</v>
      </c>
      <c r="E2459" t="s">
        <v>8</v>
      </c>
      <c r="F2459">
        <v>1</v>
      </c>
      <c r="G2459" t="str">
        <f>VLOOKUP(D2459,Товары!A:I,3,0)</f>
        <v>Тумба с раковиной  навес. Альба 800 мята 2 ящика с умыв. Слим</v>
      </c>
      <c r="H2459">
        <f>VLOOKUP(D2459,Товары!A:I,6,0)</f>
        <v>50</v>
      </c>
      <c r="I2459" t="str">
        <f>VLOOKUP(C2459,Магазины!A:C,3,0)</f>
        <v>Кемерово</v>
      </c>
      <c r="J2459">
        <f>VLOOKUP(D2459,Товары!A:I,4,0)</f>
        <v>26070</v>
      </c>
      <c r="K2459">
        <f t="shared" si="38"/>
        <v>26070</v>
      </c>
    </row>
    <row r="2460" spans="1:11" hidden="1" x14ac:dyDescent="0.25">
      <c r="A2460">
        <v>2459</v>
      </c>
      <c r="B2460" s="1">
        <v>45749</v>
      </c>
      <c r="C2460" t="s">
        <v>18</v>
      </c>
      <c r="D2460" t="s">
        <v>122</v>
      </c>
      <c r="E2460" t="s">
        <v>13</v>
      </c>
      <c r="F2460">
        <v>1</v>
      </c>
      <c r="G2460" t="str">
        <f>VLOOKUP(D2460,Товары!A:I,3,0)</f>
        <v>Тумба с раковиной  навес. Кристалл 600 шато азур 2 ящика с умыв. Океан</v>
      </c>
      <c r="H2460">
        <f>VLOOKUP(D2460,Товары!A:I,6,0)</f>
        <v>55</v>
      </c>
      <c r="I2460" t="str">
        <f>VLOOKUP(C2460,Магазины!A:C,3,0)</f>
        <v>Набережные Челны</v>
      </c>
      <c r="J2460">
        <f>VLOOKUP(D2460,Товары!A:I,4,0)</f>
        <v>21960</v>
      </c>
      <c r="K2460">
        <f t="shared" si="38"/>
        <v>21960</v>
      </c>
    </row>
    <row r="2461" spans="1:11" hidden="1" x14ac:dyDescent="0.25">
      <c r="A2461">
        <v>2460</v>
      </c>
      <c r="B2461" s="1">
        <v>45757</v>
      </c>
      <c r="C2461" t="s">
        <v>33</v>
      </c>
      <c r="D2461" t="s">
        <v>130</v>
      </c>
      <c r="E2461" t="s">
        <v>8</v>
      </c>
      <c r="F2461">
        <v>2</v>
      </c>
      <c r="G2461" t="str">
        <f>VLOOKUP(D2461,Товары!A:I,3,0)</f>
        <v>Пенал напол. Леон 400 форест 2 двери + 1 ящик</v>
      </c>
      <c r="H2461">
        <f>VLOOKUP(D2461,Товары!A:I,6,0)</f>
        <v>190</v>
      </c>
      <c r="I2461" t="str">
        <f>VLOOKUP(C2461,Магазины!A:C,3,0)</f>
        <v>Набережные Челны</v>
      </c>
      <c r="J2461">
        <f>VLOOKUP(D2461,Товары!A:I,4,0)</f>
        <v>18450</v>
      </c>
      <c r="K2461">
        <f t="shared" si="38"/>
        <v>36900</v>
      </c>
    </row>
    <row r="2462" spans="1:11" hidden="1" x14ac:dyDescent="0.25">
      <c r="A2462">
        <v>2461</v>
      </c>
      <c r="B2462" s="1">
        <v>45750</v>
      </c>
      <c r="C2462" t="s">
        <v>92</v>
      </c>
      <c r="D2462" t="s">
        <v>126</v>
      </c>
      <c r="E2462" t="s">
        <v>13</v>
      </c>
      <c r="F2462">
        <v>3</v>
      </c>
      <c r="G2462" t="str">
        <f>VLOOKUP(D2462,Товары!A:I,3,0)</f>
        <v>Тумба с раковиной  напол. Кристалл 800 шато азур 2 ящика с умыв. Комфорт</v>
      </c>
      <c r="H2462">
        <f>VLOOKUP(D2462,Товары!A:I,6,0)</f>
        <v>85</v>
      </c>
      <c r="I2462" t="str">
        <f>VLOOKUP(C2462,Магазины!A:C,3,0)</f>
        <v>Кемерово</v>
      </c>
      <c r="J2462">
        <f>VLOOKUP(D2462,Товары!A:I,4,0)</f>
        <v>31125</v>
      </c>
      <c r="K2462">
        <f t="shared" si="38"/>
        <v>93375</v>
      </c>
    </row>
    <row r="2463" spans="1:11" hidden="1" x14ac:dyDescent="0.25">
      <c r="A2463">
        <v>2462</v>
      </c>
      <c r="B2463" s="1">
        <v>45752</v>
      </c>
      <c r="C2463" t="s">
        <v>16</v>
      </c>
      <c r="D2463" t="s">
        <v>109</v>
      </c>
      <c r="E2463" t="s">
        <v>13</v>
      </c>
      <c r="F2463">
        <v>1</v>
      </c>
      <c r="G2463" t="str">
        <f>VLOOKUP(D2463,Товары!A:I,3,0)</f>
        <v>Тумба с раковиной  навес. Альба 600 антрацит 2 ящика с умыв. Океан</v>
      </c>
      <c r="H2463">
        <f>VLOOKUP(D2463,Товары!A:I,6,0)</f>
        <v>50</v>
      </c>
      <c r="I2463" t="str">
        <f>VLOOKUP(C2463,Магазины!A:C,3,0)</f>
        <v>Оренбург</v>
      </c>
      <c r="J2463">
        <f>VLOOKUP(D2463,Товары!A:I,4,0)</f>
        <v>24810</v>
      </c>
      <c r="K2463">
        <f t="shared" si="38"/>
        <v>24810</v>
      </c>
    </row>
    <row r="2464" spans="1:11" hidden="1" x14ac:dyDescent="0.25">
      <c r="A2464">
        <v>2463</v>
      </c>
      <c r="B2464" s="1">
        <v>45755</v>
      </c>
      <c r="C2464" t="s">
        <v>63</v>
      </c>
      <c r="D2464" t="s">
        <v>56</v>
      </c>
      <c r="E2464" t="s">
        <v>8</v>
      </c>
      <c r="F2464">
        <v>1</v>
      </c>
      <c r="G2464" t="str">
        <f>VLOOKUP(D2464,Товары!A:I,3,0)</f>
        <v>Зеркальный шкаф Альба 80 со светильником правый цвет мята</v>
      </c>
      <c r="H2464">
        <f>VLOOKUP(D2464,Товары!A:I,6,0)</f>
        <v>75</v>
      </c>
      <c r="I2464" t="str">
        <f>VLOOKUP(C2464,Магазины!A:C,3,0)</f>
        <v>Ставрополь</v>
      </c>
      <c r="J2464">
        <f>VLOOKUP(D2464,Товары!A:I,4,0)</f>
        <v>9930</v>
      </c>
      <c r="K2464">
        <f t="shared" si="38"/>
        <v>9930</v>
      </c>
    </row>
    <row r="2465" spans="1:11" hidden="1" x14ac:dyDescent="0.25">
      <c r="A2465">
        <v>2464</v>
      </c>
      <c r="B2465" s="1">
        <v>45754</v>
      </c>
      <c r="C2465" t="s">
        <v>9</v>
      </c>
      <c r="D2465" t="s">
        <v>120</v>
      </c>
      <c r="E2465" t="s">
        <v>8</v>
      </c>
      <c r="F2465">
        <v>3</v>
      </c>
      <c r="G2465" t="str">
        <f>VLOOKUP(D2465,Товары!A:I,3,0)</f>
        <v>Зеркальный шкаф Альба 60 со светильником правый цвет антрацит</v>
      </c>
      <c r="H2465">
        <f>VLOOKUP(D2465,Товары!A:I,6,0)</f>
        <v>75</v>
      </c>
      <c r="I2465" t="str">
        <f>VLOOKUP(C2465,Магазины!A:C,3,0)</f>
        <v>Кемерово</v>
      </c>
      <c r="J2465">
        <f>VLOOKUP(D2465,Товары!A:I,4,0)</f>
        <v>8910</v>
      </c>
      <c r="K2465">
        <f t="shared" si="38"/>
        <v>26730</v>
      </c>
    </row>
    <row r="2466" spans="1:11" hidden="1" x14ac:dyDescent="0.25">
      <c r="A2466">
        <v>2465</v>
      </c>
      <c r="B2466" s="1">
        <v>45754</v>
      </c>
      <c r="C2466" t="s">
        <v>22</v>
      </c>
      <c r="D2466" t="s">
        <v>122</v>
      </c>
      <c r="E2466" t="s">
        <v>8</v>
      </c>
      <c r="F2466">
        <v>3</v>
      </c>
      <c r="G2466" t="str">
        <f>VLOOKUP(D2466,Товары!A:I,3,0)</f>
        <v>Тумба с раковиной  навес. Кристалл 600 шато азур 2 ящика с умыв. Океан</v>
      </c>
      <c r="H2466">
        <f>VLOOKUP(D2466,Товары!A:I,6,0)</f>
        <v>55</v>
      </c>
      <c r="I2466" t="str">
        <f>VLOOKUP(C2466,Магазины!A:C,3,0)</f>
        <v>Кемерово</v>
      </c>
      <c r="J2466">
        <f>VLOOKUP(D2466,Товары!A:I,4,0)</f>
        <v>21960</v>
      </c>
      <c r="K2466">
        <f t="shared" si="38"/>
        <v>65880</v>
      </c>
    </row>
    <row r="2467" spans="1:11" hidden="1" x14ac:dyDescent="0.25">
      <c r="A2467">
        <v>2466</v>
      </c>
      <c r="B2467" s="1">
        <v>45748</v>
      </c>
      <c r="C2467" t="s">
        <v>30</v>
      </c>
      <c r="D2467" t="s">
        <v>97</v>
      </c>
      <c r="E2467" t="s">
        <v>13</v>
      </c>
      <c r="F2467">
        <v>1</v>
      </c>
      <c r="G2467" t="str">
        <f>VLOOKUP(D2467,Товары!A:I,3,0)</f>
        <v>Пенал напол. Кристалл 350 суфле 2 двери</v>
      </c>
      <c r="H2467">
        <f>VLOOKUP(D2467,Товары!A:I,6,0)</f>
        <v>190</v>
      </c>
      <c r="I2467" t="str">
        <f>VLOOKUP(C2467,Магазины!A:C,3,0)</f>
        <v>Кемерово</v>
      </c>
      <c r="J2467">
        <f>VLOOKUP(D2467,Товары!A:I,4,0)</f>
        <v>15810</v>
      </c>
      <c r="K2467">
        <f t="shared" si="38"/>
        <v>15810</v>
      </c>
    </row>
    <row r="2468" spans="1:11" hidden="1" x14ac:dyDescent="0.25">
      <c r="A2468">
        <v>2467</v>
      </c>
      <c r="B2468" s="1">
        <v>45751</v>
      </c>
      <c r="C2468" t="s">
        <v>63</v>
      </c>
      <c r="D2468" t="s">
        <v>61</v>
      </c>
      <c r="E2468" t="s">
        <v>8</v>
      </c>
      <c r="F2468">
        <v>3</v>
      </c>
      <c r="G2468" t="str">
        <f>VLOOKUP(D2468,Товары!A:I,3,0)</f>
        <v>Тумба под стиральную машину Леон Риф 57 напольная 2 ящика под ст/маш, без умывальника /под Marshall 120 Солярис/Белый Риф</v>
      </c>
      <c r="H2468">
        <f>VLOOKUP(D2468,Товары!A:I,6,0)</f>
        <v>85</v>
      </c>
      <c r="I2468" t="str">
        <f>VLOOKUP(C2468,Магазины!A:C,3,0)</f>
        <v>Ставрополь</v>
      </c>
      <c r="J2468">
        <f>VLOOKUP(D2468,Товары!A:I,4,0)</f>
        <v>17430</v>
      </c>
      <c r="K2468">
        <f t="shared" si="38"/>
        <v>52290</v>
      </c>
    </row>
    <row r="2469" spans="1:11" hidden="1" x14ac:dyDescent="0.25">
      <c r="A2469">
        <v>2468</v>
      </c>
      <c r="B2469" s="1">
        <v>45757</v>
      </c>
      <c r="C2469" t="s">
        <v>57</v>
      </c>
      <c r="D2469" t="s">
        <v>25</v>
      </c>
      <c r="E2469" t="s">
        <v>13</v>
      </c>
      <c r="F2469">
        <v>1</v>
      </c>
      <c r="G2469" t="str">
        <f>VLOOKUP(D2469,Товары!A:I,3,0)</f>
        <v>Пенал напол. Леон 400 оникс 2 двери + 1 ящик</v>
      </c>
      <c r="H2469">
        <f>VLOOKUP(D2469,Товары!A:I,6,0)</f>
        <v>190</v>
      </c>
      <c r="I2469" t="str">
        <f>VLOOKUP(C2469,Магазины!A:C,3,0)</f>
        <v>Оренбург</v>
      </c>
      <c r="J2469">
        <f>VLOOKUP(D2469,Товары!A:I,4,0)</f>
        <v>18450</v>
      </c>
      <c r="K2469">
        <f t="shared" si="38"/>
        <v>18450</v>
      </c>
    </row>
    <row r="2470" spans="1:11" hidden="1" x14ac:dyDescent="0.25">
      <c r="A2470">
        <v>2469</v>
      </c>
      <c r="B2470" s="1">
        <v>45755</v>
      </c>
      <c r="C2470" t="s">
        <v>14</v>
      </c>
      <c r="D2470" t="s">
        <v>95</v>
      </c>
      <c r="E2470" t="s">
        <v>8</v>
      </c>
      <c r="F2470">
        <v>2</v>
      </c>
      <c r="G2470" t="str">
        <f>VLOOKUP(D2470,Товары!A:I,3,0)</f>
        <v>Тумба с раковиной  напол. Рица 600 антрацит 2 ящика с умыв. Океан</v>
      </c>
      <c r="H2470">
        <f>VLOOKUP(D2470,Товары!A:I,6,0)</f>
        <v>80</v>
      </c>
      <c r="I2470" t="str">
        <f>VLOOKUP(C2470,Магазины!A:C,3,0)</f>
        <v>Оренбург</v>
      </c>
      <c r="J2470">
        <f>VLOOKUP(D2470,Товары!A:I,4,0)</f>
        <v>25560</v>
      </c>
      <c r="K2470">
        <f t="shared" si="38"/>
        <v>51120</v>
      </c>
    </row>
    <row r="2471" spans="1:11" hidden="1" x14ac:dyDescent="0.25">
      <c r="A2471">
        <v>2470</v>
      </c>
      <c r="B2471" s="1">
        <v>45748</v>
      </c>
      <c r="C2471" t="s">
        <v>33</v>
      </c>
      <c r="D2471" t="s">
        <v>21</v>
      </c>
      <c r="E2471" t="s">
        <v>8</v>
      </c>
      <c r="F2471">
        <v>2</v>
      </c>
      <c r="G2471" t="str">
        <f>VLOOKUP(D2471,Товары!A:I,3,0)</f>
        <v>Зеркальный шкаф Рица 60 со светильником правый цвет cерый/керамика</v>
      </c>
      <c r="H2471">
        <f>VLOOKUP(D2471,Товары!A:I,6,0)</f>
        <v>75</v>
      </c>
      <c r="I2471" t="str">
        <f>VLOOKUP(C2471,Магазины!A:C,3,0)</f>
        <v>Набережные Челны</v>
      </c>
      <c r="J2471">
        <f>VLOOKUP(D2471,Товары!A:I,4,0)</f>
        <v>8910</v>
      </c>
      <c r="K2471">
        <f t="shared" si="38"/>
        <v>17820</v>
      </c>
    </row>
    <row r="2472" spans="1:11" hidden="1" x14ac:dyDescent="0.25">
      <c r="A2472">
        <v>2471</v>
      </c>
      <c r="B2472" s="1">
        <v>45752</v>
      </c>
      <c r="C2472" t="s">
        <v>103</v>
      </c>
      <c r="D2472" t="s">
        <v>49</v>
      </c>
      <c r="E2472" t="s">
        <v>8</v>
      </c>
      <c r="F2472">
        <v>3</v>
      </c>
      <c r="G2472" t="str">
        <f>VLOOKUP(D2472,Товары!A:I,3,0)</f>
        <v>Тумба с раковиной  напол. Леон 700 оникс 2 ящика с умыв. Слим</v>
      </c>
      <c r="H2472">
        <f>VLOOKUP(D2472,Товары!A:I,6,0)</f>
        <v>80</v>
      </c>
      <c r="I2472" t="str">
        <f>VLOOKUP(C2472,Магазины!A:C,3,0)</f>
        <v>Ставрополь</v>
      </c>
      <c r="J2472">
        <f>VLOOKUP(D2472,Товары!A:I,4,0)</f>
        <v>28380</v>
      </c>
      <c r="K2472">
        <f t="shared" si="38"/>
        <v>85140</v>
      </c>
    </row>
    <row r="2473" spans="1:11" hidden="1" x14ac:dyDescent="0.25">
      <c r="A2473">
        <v>2472</v>
      </c>
      <c r="B2473" s="1">
        <v>45750</v>
      </c>
      <c r="C2473" t="s">
        <v>92</v>
      </c>
      <c r="D2473" t="s">
        <v>27</v>
      </c>
      <c r="E2473" t="s">
        <v>8</v>
      </c>
      <c r="F2473">
        <v>2</v>
      </c>
      <c r="G2473" t="str">
        <f>VLOOKUP(D2473,Товары!A:I,3,0)</f>
        <v>Тумба с раковиной  навес. Виктория 800 белый 2 ящика с умыв. Слим</v>
      </c>
      <c r="H2473">
        <f>VLOOKUP(D2473,Товары!A:I,6,0)</f>
        <v>60</v>
      </c>
      <c r="I2473" t="str">
        <f>VLOOKUP(C2473,Магазины!A:C,3,0)</f>
        <v>Кемерово</v>
      </c>
      <c r="J2473">
        <f>VLOOKUP(D2473,Товары!A:I,4,0)</f>
        <v>25290</v>
      </c>
      <c r="K2473">
        <f t="shared" si="38"/>
        <v>50580</v>
      </c>
    </row>
    <row r="2474" spans="1:11" hidden="1" x14ac:dyDescent="0.25">
      <c r="A2474">
        <v>2473</v>
      </c>
      <c r="B2474" s="1">
        <v>45756</v>
      </c>
      <c r="C2474" t="s">
        <v>57</v>
      </c>
      <c r="D2474" t="s">
        <v>90</v>
      </c>
      <c r="E2474" t="s">
        <v>8</v>
      </c>
      <c r="F2474">
        <v>1</v>
      </c>
      <c r="G2474" t="str">
        <f>VLOOKUP(D2474,Товары!A:I,3,0)</f>
        <v>Пенал напол. Аква 350 белый 2 двери + 2 ящика</v>
      </c>
      <c r="H2474">
        <f>VLOOKUP(D2474,Товары!A:I,6,0)</f>
        <v>190</v>
      </c>
      <c r="I2474" t="str">
        <f>VLOOKUP(C2474,Магазины!A:C,3,0)</f>
        <v>Оренбург</v>
      </c>
      <c r="J2474">
        <f>VLOOKUP(D2474,Товары!A:I,4,0)</f>
        <v>10650</v>
      </c>
      <c r="K2474">
        <f t="shared" si="38"/>
        <v>10650</v>
      </c>
    </row>
    <row r="2475" spans="1:11" hidden="1" x14ac:dyDescent="0.25">
      <c r="A2475">
        <v>2474</v>
      </c>
      <c r="B2475" s="1">
        <v>45752</v>
      </c>
      <c r="C2475" t="s">
        <v>41</v>
      </c>
      <c r="D2475" t="s">
        <v>24</v>
      </c>
      <c r="E2475" t="s">
        <v>13</v>
      </c>
      <c r="F2475">
        <v>2</v>
      </c>
      <c r="G2475" t="str">
        <f>VLOOKUP(D2475,Товары!A:I,3,0)</f>
        <v>Тумба с раковиной  напол. Леон 600 форест 2 ящика с умыв. Слим</v>
      </c>
      <c r="H2475">
        <f>VLOOKUP(D2475,Товары!A:I,6,0)</f>
        <v>80</v>
      </c>
      <c r="I2475" t="str">
        <f>VLOOKUP(C2475,Магазины!A:C,3,0)</f>
        <v>Ставрополь</v>
      </c>
      <c r="J2475">
        <f>VLOOKUP(D2475,Товары!A:I,4,0)</f>
        <v>27150</v>
      </c>
      <c r="K2475">
        <f t="shared" si="38"/>
        <v>54300</v>
      </c>
    </row>
    <row r="2476" spans="1:11" hidden="1" x14ac:dyDescent="0.25">
      <c r="A2476">
        <v>2475</v>
      </c>
      <c r="B2476" s="1">
        <v>45748</v>
      </c>
      <c r="C2476" t="s">
        <v>58</v>
      </c>
      <c r="D2476" t="s">
        <v>32</v>
      </c>
      <c r="E2476" t="s">
        <v>8</v>
      </c>
      <c r="F2476">
        <v>3</v>
      </c>
      <c r="G2476" t="str">
        <f>VLOOKUP(D2476,Товары!A:I,3,0)</f>
        <v>Тумба с раковиной  напол. Леон Риф 700 солярис/белый риф 2 ящика с умыв. Слим</v>
      </c>
      <c r="H2476">
        <f>VLOOKUP(D2476,Товары!A:I,6,0)</f>
        <v>85</v>
      </c>
      <c r="I2476" t="str">
        <f>VLOOKUP(C2476,Магазины!A:C,3,0)</f>
        <v>Ставрополь</v>
      </c>
      <c r="J2476">
        <f>VLOOKUP(D2476,Товары!A:I,4,0)</f>
        <v>26460</v>
      </c>
      <c r="K2476">
        <f t="shared" si="38"/>
        <v>79380</v>
      </c>
    </row>
    <row r="2477" spans="1:11" hidden="1" x14ac:dyDescent="0.25">
      <c r="A2477">
        <v>2476</v>
      </c>
      <c r="B2477" s="1">
        <v>45756</v>
      </c>
      <c r="C2477" t="s">
        <v>41</v>
      </c>
      <c r="D2477" t="s">
        <v>64</v>
      </c>
      <c r="E2477" t="s">
        <v>8</v>
      </c>
      <c r="F2477">
        <v>3</v>
      </c>
      <c r="G2477" t="str">
        <f>VLOOKUP(D2477,Товары!A:I,3,0)</f>
        <v>Тумба с раковиной  напол. Рица 800 антрацит 2 ящика с умыв. Слим</v>
      </c>
      <c r="H2477">
        <f>VLOOKUP(D2477,Товары!A:I,6,0)</f>
        <v>80</v>
      </c>
      <c r="I2477" t="str">
        <f>VLOOKUP(C2477,Магазины!A:C,3,0)</f>
        <v>Ставрополь</v>
      </c>
      <c r="J2477">
        <f>VLOOKUP(D2477,Товары!A:I,4,0)</f>
        <v>28980</v>
      </c>
      <c r="K2477">
        <f t="shared" si="38"/>
        <v>86940</v>
      </c>
    </row>
    <row r="2478" spans="1:11" hidden="1" x14ac:dyDescent="0.25">
      <c r="A2478">
        <v>2477</v>
      </c>
      <c r="B2478" s="1">
        <v>45748</v>
      </c>
      <c r="C2478" t="s">
        <v>18</v>
      </c>
      <c r="D2478" t="s">
        <v>17</v>
      </c>
      <c r="E2478" t="s">
        <v>8</v>
      </c>
      <c r="F2478">
        <v>2</v>
      </c>
      <c r="G2478" t="str">
        <f>VLOOKUP(D2478,Товары!A:I,3,0)</f>
        <v>Тумба с раковиной  навес. Альба 800 антрацит 1 ящик с умыв. Слим</v>
      </c>
      <c r="H2478">
        <f>VLOOKUP(D2478,Товары!A:I,6,0)</f>
        <v>45</v>
      </c>
      <c r="I2478" t="str">
        <f>VLOOKUP(C2478,Магазины!A:C,3,0)</f>
        <v>Набережные Челны</v>
      </c>
      <c r="J2478">
        <f>VLOOKUP(D2478,Товары!A:I,4,0)</f>
        <v>21630</v>
      </c>
      <c r="K2478">
        <f t="shared" si="38"/>
        <v>43260</v>
      </c>
    </row>
    <row r="2479" spans="1:11" hidden="1" x14ac:dyDescent="0.25">
      <c r="A2479">
        <v>2478</v>
      </c>
      <c r="B2479" s="1">
        <v>45757</v>
      </c>
      <c r="C2479" t="s">
        <v>35</v>
      </c>
      <c r="D2479" t="s">
        <v>123</v>
      </c>
      <c r="E2479" t="s">
        <v>13</v>
      </c>
      <c r="F2479">
        <v>3</v>
      </c>
      <c r="G2479" t="str">
        <f>VLOOKUP(D2479,Товары!A:I,3,0)</f>
        <v>Тумба с раковиной  напол. Кристалл 800 суфле 2 ящика с умыв. Слим</v>
      </c>
      <c r="H2479">
        <f>VLOOKUP(D2479,Товары!A:I,6,0)</f>
        <v>80</v>
      </c>
      <c r="I2479" t="str">
        <f>VLOOKUP(C2479,Магазины!A:C,3,0)</f>
        <v>Набережные Челны</v>
      </c>
      <c r="J2479">
        <f>VLOOKUP(D2479,Товары!A:I,4,0)</f>
        <v>31125</v>
      </c>
      <c r="K2479">
        <f t="shared" si="38"/>
        <v>93375</v>
      </c>
    </row>
    <row r="2480" spans="1:11" hidden="1" x14ac:dyDescent="0.25">
      <c r="A2480">
        <v>2479</v>
      </c>
      <c r="B2480" s="1">
        <v>45753</v>
      </c>
      <c r="C2480" t="s">
        <v>57</v>
      </c>
      <c r="D2480" t="s">
        <v>84</v>
      </c>
      <c r="E2480" t="s">
        <v>13</v>
      </c>
      <c r="F2480">
        <v>2</v>
      </c>
      <c r="G2480" t="str">
        <f>VLOOKUP(D2480,Товары!A:I,3,0)</f>
        <v>Тумба с раковиной  напол. Куба Риф 800 белый 3 двери с умыв. Слим</v>
      </c>
      <c r="H2480">
        <f>VLOOKUP(D2480,Товары!A:I,6,0)</f>
        <v>85</v>
      </c>
      <c r="I2480" t="str">
        <f>VLOOKUP(C2480,Магазины!A:C,3,0)</f>
        <v>Оренбург</v>
      </c>
      <c r="J2480">
        <f>VLOOKUP(D2480,Товары!A:I,4,0)</f>
        <v>19920</v>
      </c>
      <c r="K2480">
        <f t="shared" si="38"/>
        <v>39840</v>
      </c>
    </row>
    <row r="2481" spans="1:11" hidden="1" x14ac:dyDescent="0.25">
      <c r="A2481">
        <v>2480</v>
      </c>
      <c r="B2481" s="1">
        <v>45751</v>
      </c>
      <c r="C2481" t="s">
        <v>54</v>
      </c>
      <c r="D2481" t="s">
        <v>34</v>
      </c>
      <c r="E2481" t="s">
        <v>8</v>
      </c>
      <c r="F2481">
        <v>2</v>
      </c>
      <c r="G2481" t="str">
        <f>VLOOKUP(D2481,Товары!A:I,3,0)</f>
        <v>Тумба с раковиной  навес. Леон 700 форест 2 ящика с умыв. Слим</v>
      </c>
      <c r="H2481">
        <f>VLOOKUP(D2481,Товары!A:I,6,0)</f>
        <v>60</v>
      </c>
      <c r="I2481" t="str">
        <f>VLOOKUP(C2481,Магазины!A:C,3,0)</f>
        <v>Ставрополь</v>
      </c>
      <c r="J2481">
        <f>VLOOKUP(D2481,Товары!A:I,4,0)</f>
        <v>26220</v>
      </c>
      <c r="K2481">
        <f t="shared" si="38"/>
        <v>52440</v>
      </c>
    </row>
    <row r="2482" spans="1:11" hidden="1" x14ac:dyDescent="0.25">
      <c r="A2482">
        <v>2481</v>
      </c>
      <c r="B2482" s="1">
        <v>45755</v>
      </c>
      <c r="C2482" t="s">
        <v>16</v>
      </c>
      <c r="D2482" t="s">
        <v>113</v>
      </c>
      <c r="E2482" t="s">
        <v>8</v>
      </c>
      <c r="F2482">
        <v>1</v>
      </c>
      <c r="G2482" t="str">
        <f>VLOOKUP(D2482,Товары!A:I,3,0)</f>
        <v>Зеркальный шкаф Альба 60 со светильником правый цвет мята</v>
      </c>
      <c r="H2482">
        <f>VLOOKUP(D2482,Товары!A:I,6,0)</f>
        <v>75</v>
      </c>
      <c r="I2482" t="str">
        <f>VLOOKUP(C2482,Магазины!A:C,3,0)</f>
        <v>Оренбург</v>
      </c>
      <c r="J2482">
        <f>VLOOKUP(D2482,Товары!A:I,4,0)</f>
        <v>8910</v>
      </c>
      <c r="K2482">
        <f t="shared" si="38"/>
        <v>8910</v>
      </c>
    </row>
    <row r="2483" spans="1:11" hidden="1" x14ac:dyDescent="0.25">
      <c r="A2483">
        <v>2482</v>
      </c>
      <c r="B2483" s="1">
        <v>45749</v>
      </c>
      <c r="C2483" t="s">
        <v>43</v>
      </c>
      <c r="D2483" t="s">
        <v>106</v>
      </c>
      <c r="E2483" t="s">
        <v>13</v>
      </c>
      <c r="F2483">
        <v>2</v>
      </c>
      <c r="G2483" t="str">
        <f>VLOOKUP(D2483,Товары!A:I,3,0)</f>
        <v>Тумба с раковиной  навес. Кристалл 700 шато азур 2 ящика с умыв. Слим</v>
      </c>
      <c r="H2483">
        <f>VLOOKUP(D2483,Товары!A:I,6,0)</f>
        <v>60</v>
      </c>
      <c r="I2483" t="str">
        <f>VLOOKUP(C2483,Магазины!A:C,3,0)</f>
        <v>Набережные Челны</v>
      </c>
      <c r="J2483">
        <f>VLOOKUP(D2483,Товары!A:I,4,0)</f>
        <v>24150</v>
      </c>
      <c r="K2483">
        <f t="shared" si="38"/>
        <v>48300</v>
      </c>
    </row>
    <row r="2484" spans="1:11" hidden="1" x14ac:dyDescent="0.25">
      <c r="A2484">
        <v>2483</v>
      </c>
      <c r="B2484" s="1">
        <v>45752</v>
      </c>
      <c r="C2484" t="s">
        <v>18</v>
      </c>
      <c r="D2484" t="s">
        <v>74</v>
      </c>
      <c r="E2484" t="s">
        <v>13</v>
      </c>
      <c r="F2484">
        <v>1</v>
      </c>
      <c r="G2484" t="str">
        <f>VLOOKUP(D2484,Товары!A:I,3,0)</f>
        <v>Тумба с раковиной  напол. Альба 800 суфле 2 ящика с умыв. Слим</v>
      </c>
      <c r="H2484">
        <f>VLOOKUP(D2484,Товары!A:I,6,0)</f>
        <v>80</v>
      </c>
      <c r="I2484" t="str">
        <f>VLOOKUP(C2484,Магазины!A:C,3,0)</f>
        <v>Набережные Челны</v>
      </c>
      <c r="J2484">
        <f>VLOOKUP(D2484,Товары!A:I,4,0)</f>
        <v>29340</v>
      </c>
      <c r="K2484">
        <f t="shared" si="38"/>
        <v>29340</v>
      </c>
    </row>
    <row r="2485" spans="1:11" hidden="1" x14ac:dyDescent="0.25">
      <c r="A2485">
        <v>2484</v>
      </c>
      <c r="B2485" s="1">
        <v>45756</v>
      </c>
      <c r="C2485" t="s">
        <v>103</v>
      </c>
      <c r="D2485" t="s">
        <v>105</v>
      </c>
      <c r="E2485" t="s">
        <v>13</v>
      </c>
      <c r="F2485">
        <v>1</v>
      </c>
      <c r="G2485" t="str">
        <f>VLOOKUP(D2485,Товары!A:I,3,0)</f>
        <v>Тумба с раковиной  напол. Нева 600 белый 2 двери + 1 ящик с умыв. Como</v>
      </c>
      <c r="H2485">
        <f>VLOOKUP(D2485,Товары!A:I,6,0)</f>
        <v>80</v>
      </c>
      <c r="I2485" t="str">
        <f>VLOOKUP(C2485,Магазины!A:C,3,0)</f>
        <v>Ставрополь</v>
      </c>
      <c r="J2485">
        <f>VLOOKUP(D2485,Товары!A:I,4,0)</f>
        <v>13470</v>
      </c>
      <c r="K2485">
        <f t="shared" si="38"/>
        <v>13470</v>
      </c>
    </row>
    <row r="2486" spans="1:11" hidden="1" x14ac:dyDescent="0.25">
      <c r="A2486">
        <v>2485</v>
      </c>
      <c r="B2486" s="1">
        <v>45748</v>
      </c>
      <c r="C2486" t="s">
        <v>35</v>
      </c>
      <c r="D2486" t="s">
        <v>42</v>
      </c>
      <c r="E2486" t="s">
        <v>13</v>
      </c>
      <c r="F2486">
        <v>3</v>
      </c>
      <c r="G2486" t="str">
        <f>VLOOKUP(D2486,Товары!A:I,3,0)</f>
        <v>Тумба под стиральную машину Леон Риф 57 подвесная 2 ящика под ст/маш, без умывальника /под Marshall 120 Солярис/Белый Риф</v>
      </c>
      <c r="H2486">
        <f>VLOOKUP(D2486,Товары!A:I,6,0)</f>
        <v>60</v>
      </c>
      <c r="I2486" t="str">
        <f>VLOOKUP(C2486,Магазины!A:C,3,0)</f>
        <v>Набережные Челны</v>
      </c>
      <c r="J2486">
        <f>VLOOKUP(D2486,Товары!A:I,4,0)</f>
        <v>15495</v>
      </c>
      <c r="K2486">
        <f t="shared" si="38"/>
        <v>46485</v>
      </c>
    </row>
    <row r="2487" spans="1:11" hidden="1" x14ac:dyDescent="0.25">
      <c r="A2487">
        <v>2486</v>
      </c>
      <c r="B2487" s="1">
        <v>45754</v>
      </c>
      <c r="C2487" t="s">
        <v>30</v>
      </c>
      <c r="D2487" t="s">
        <v>55</v>
      </c>
      <c r="E2487" t="s">
        <v>8</v>
      </c>
      <c r="F2487">
        <v>1</v>
      </c>
      <c r="G2487" t="str">
        <f>VLOOKUP(D2487,Товары!A:I,3,0)</f>
        <v>Тумба с раковиной  напол. Рица 600 cерый/керамика 2 ящика с умыв. Океан</v>
      </c>
      <c r="H2487">
        <f>VLOOKUP(D2487,Товары!A:I,6,0)</f>
        <v>80</v>
      </c>
      <c r="I2487" t="str">
        <f>VLOOKUP(C2487,Магазины!A:C,3,0)</f>
        <v>Кемерово</v>
      </c>
      <c r="J2487">
        <f>VLOOKUP(D2487,Товары!A:I,4,0)</f>
        <v>25560</v>
      </c>
      <c r="K2487">
        <f t="shared" si="38"/>
        <v>25560</v>
      </c>
    </row>
    <row r="2488" spans="1:11" hidden="1" x14ac:dyDescent="0.25">
      <c r="A2488">
        <v>2487</v>
      </c>
      <c r="B2488" s="1">
        <v>45752</v>
      </c>
      <c r="C2488" t="s">
        <v>11</v>
      </c>
      <c r="D2488" t="s">
        <v>126</v>
      </c>
      <c r="E2488" t="s">
        <v>8</v>
      </c>
      <c r="F2488">
        <v>3</v>
      </c>
      <c r="G2488" t="str">
        <f>VLOOKUP(D2488,Товары!A:I,3,0)</f>
        <v>Тумба с раковиной  напол. Кристалл 800 шато азур 2 ящика с умыв. Комфорт</v>
      </c>
      <c r="H2488">
        <f>VLOOKUP(D2488,Товары!A:I,6,0)</f>
        <v>85</v>
      </c>
      <c r="I2488" t="str">
        <f>VLOOKUP(C2488,Магазины!A:C,3,0)</f>
        <v>Кемерово</v>
      </c>
      <c r="J2488">
        <f>VLOOKUP(D2488,Товары!A:I,4,0)</f>
        <v>31125</v>
      </c>
      <c r="K2488">
        <f t="shared" si="38"/>
        <v>93375</v>
      </c>
    </row>
    <row r="2489" spans="1:11" hidden="1" x14ac:dyDescent="0.25">
      <c r="A2489">
        <v>2488</v>
      </c>
      <c r="B2489" s="1">
        <v>45749</v>
      </c>
      <c r="C2489" t="s">
        <v>22</v>
      </c>
      <c r="D2489" t="s">
        <v>23</v>
      </c>
      <c r="E2489" t="s">
        <v>13</v>
      </c>
      <c r="F2489">
        <v>2</v>
      </c>
      <c r="G2489" t="str">
        <f>VLOOKUP(D2489,Товары!A:I,3,0)</f>
        <v>Тумба с раковиной  напол. Альба 800 антрацит 2 ящика с умыв. Слим</v>
      </c>
      <c r="H2489">
        <f>VLOOKUP(D2489,Товары!A:I,6,0)</f>
        <v>80</v>
      </c>
      <c r="I2489" t="str">
        <f>VLOOKUP(C2489,Магазины!A:C,3,0)</f>
        <v>Кемерово</v>
      </c>
      <c r="J2489">
        <f>VLOOKUP(D2489,Товары!A:I,4,0)</f>
        <v>29340</v>
      </c>
      <c r="K2489">
        <f t="shared" si="38"/>
        <v>58680</v>
      </c>
    </row>
    <row r="2490" spans="1:11" hidden="1" x14ac:dyDescent="0.25">
      <c r="A2490">
        <v>2489</v>
      </c>
      <c r="B2490" s="1">
        <v>45753</v>
      </c>
      <c r="C2490" t="s">
        <v>18</v>
      </c>
      <c r="D2490" t="s">
        <v>114</v>
      </c>
      <c r="E2490" t="s">
        <v>13</v>
      </c>
      <c r="F2490">
        <v>3</v>
      </c>
      <c r="G2490" t="str">
        <f>VLOOKUP(D2490,Товары!A:I,3,0)</f>
        <v>Тумба с раковиной  навес. Альба 700 мята 2 ящика с умыв. Слим</v>
      </c>
      <c r="H2490">
        <f>VLOOKUP(D2490,Товары!A:I,6,0)</f>
        <v>60</v>
      </c>
      <c r="I2490" t="str">
        <f>VLOOKUP(C2490,Магазины!A:C,3,0)</f>
        <v>Набережные Челны</v>
      </c>
      <c r="J2490">
        <f>VLOOKUP(D2490,Товары!A:I,4,0)</f>
        <v>25095</v>
      </c>
      <c r="K2490">
        <f t="shared" si="38"/>
        <v>75285</v>
      </c>
    </row>
    <row r="2491" spans="1:11" hidden="1" x14ac:dyDescent="0.25">
      <c r="A2491">
        <v>2490</v>
      </c>
      <c r="B2491" s="1">
        <v>45753</v>
      </c>
      <c r="C2491" t="s">
        <v>22</v>
      </c>
      <c r="D2491" t="s">
        <v>72</v>
      </c>
      <c r="E2491" t="s">
        <v>8</v>
      </c>
      <c r="F2491">
        <v>3</v>
      </c>
      <c r="G2491" t="str">
        <f>VLOOKUP(D2491,Товары!A:I,3,0)</f>
        <v>Тумба с раковиной  напол. Сохо 600 белый 2 ящика с умыв. Океан</v>
      </c>
      <c r="H2491">
        <f>VLOOKUP(D2491,Товары!A:I,6,0)</f>
        <v>85</v>
      </c>
      <c r="I2491" t="str">
        <f>VLOOKUP(C2491,Магазины!A:C,3,0)</f>
        <v>Кемерово</v>
      </c>
      <c r="J2491">
        <f>VLOOKUP(D2491,Товары!A:I,4,0)</f>
        <v>16140</v>
      </c>
      <c r="K2491">
        <f t="shared" si="38"/>
        <v>48420</v>
      </c>
    </row>
    <row r="2492" spans="1:11" hidden="1" x14ac:dyDescent="0.25">
      <c r="A2492">
        <v>2491</v>
      </c>
      <c r="B2492" s="1">
        <v>45754</v>
      </c>
      <c r="C2492" t="s">
        <v>14</v>
      </c>
      <c r="D2492" t="s">
        <v>116</v>
      </c>
      <c r="E2492" t="s">
        <v>8</v>
      </c>
      <c r="F2492">
        <v>1</v>
      </c>
      <c r="G2492" t="str">
        <f>VLOOKUP(D2492,Товары!A:I,3,0)</f>
        <v>Зеркало Нева 60 дуб/белый со светильником</v>
      </c>
      <c r="H2492">
        <f>VLOOKUP(D2492,Товары!A:I,6,0)</f>
        <v>80</v>
      </c>
      <c r="I2492" t="str">
        <f>VLOOKUP(C2492,Магазины!A:C,3,0)</f>
        <v>Оренбург</v>
      </c>
      <c r="J2492">
        <f>VLOOKUP(D2492,Товары!A:I,4,0)</f>
        <v>5100</v>
      </c>
      <c r="K2492">
        <f t="shared" si="38"/>
        <v>5100</v>
      </c>
    </row>
    <row r="2493" spans="1:11" hidden="1" x14ac:dyDescent="0.25">
      <c r="A2493">
        <v>2492</v>
      </c>
      <c r="B2493" s="1">
        <v>45754</v>
      </c>
      <c r="C2493" t="s">
        <v>111</v>
      </c>
      <c r="D2493" t="s">
        <v>128</v>
      </c>
      <c r="E2493" t="s">
        <v>13</v>
      </c>
      <c r="F2493">
        <v>2</v>
      </c>
      <c r="G2493" t="str">
        <f>VLOOKUP(D2493,Товары!A:I,3,0)</f>
        <v>Тумба с раковиной  напол. Куба Риф 1000 белый 2 ящика с умыв. Слим</v>
      </c>
      <c r="H2493">
        <f>VLOOKUP(D2493,Товары!A:I,6,0)</f>
        <v>85</v>
      </c>
      <c r="I2493" t="str">
        <f>VLOOKUP(C2493,Магазины!A:C,3,0)</f>
        <v>Набережные Челны</v>
      </c>
      <c r="J2493">
        <f>VLOOKUP(D2493,Товары!A:I,4,0)</f>
        <v>22905</v>
      </c>
      <c r="K2493">
        <f t="shared" si="38"/>
        <v>45810</v>
      </c>
    </row>
    <row r="2494" spans="1:11" hidden="1" x14ac:dyDescent="0.25">
      <c r="A2494">
        <v>2493</v>
      </c>
      <c r="B2494" s="1">
        <v>45748</v>
      </c>
      <c r="C2494" t="s">
        <v>48</v>
      </c>
      <c r="D2494" t="s">
        <v>23</v>
      </c>
      <c r="E2494" t="s">
        <v>8</v>
      </c>
      <c r="F2494">
        <v>3</v>
      </c>
      <c r="G2494" t="str">
        <f>VLOOKUP(D2494,Товары!A:I,3,0)</f>
        <v>Тумба с раковиной  напол. Альба 800 антрацит 2 ящика с умыв. Слим</v>
      </c>
      <c r="H2494">
        <f>VLOOKUP(D2494,Товары!A:I,6,0)</f>
        <v>80</v>
      </c>
      <c r="I2494" t="str">
        <f>VLOOKUP(C2494,Магазины!A:C,3,0)</f>
        <v>Ставрополь</v>
      </c>
      <c r="J2494">
        <f>VLOOKUP(D2494,Товары!A:I,4,0)</f>
        <v>29340</v>
      </c>
      <c r="K2494">
        <f t="shared" si="38"/>
        <v>88020</v>
      </c>
    </row>
    <row r="2495" spans="1:11" hidden="1" x14ac:dyDescent="0.25">
      <c r="A2495">
        <v>2494</v>
      </c>
      <c r="B2495" s="1">
        <v>45757</v>
      </c>
      <c r="C2495" t="s">
        <v>111</v>
      </c>
      <c r="D2495" t="s">
        <v>65</v>
      </c>
      <c r="E2495" t="s">
        <v>13</v>
      </c>
      <c r="F2495">
        <v>3</v>
      </c>
      <c r="G2495" t="str">
        <f>VLOOKUP(D2495,Товары!A:I,3,0)</f>
        <v>Тумба с раковиной  навес. Альба 800 суфле 2 ящика с умыв. Слим</v>
      </c>
      <c r="H2495">
        <f>VLOOKUP(D2495,Товары!A:I,6,0)</f>
        <v>50</v>
      </c>
      <c r="I2495" t="str">
        <f>VLOOKUP(C2495,Магазины!A:C,3,0)</f>
        <v>Набережные Челны</v>
      </c>
      <c r="J2495">
        <f>VLOOKUP(D2495,Товары!A:I,4,0)</f>
        <v>26070</v>
      </c>
      <c r="K2495">
        <f t="shared" si="38"/>
        <v>78210</v>
      </c>
    </row>
    <row r="2496" spans="1:11" hidden="1" x14ac:dyDescent="0.25">
      <c r="A2496">
        <v>2495</v>
      </c>
      <c r="B2496" s="1">
        <v>45751</v>
      </c>
      <c r="C2496" t="s">
        <v>103</v>
      </c>
      <c r="D2496" t="s">
        <v>88</v>
      </c>
      <c r="E2496" t="s">
        <v>8</v>
      </c>
      <c r="F2496">
        <v>3</v>
      </c>
      <c r="G2496" t="str">
        <f>VLOOKUP(D2496,Товары!A:I,3,0)</f>
        <v>Тумба с раковиной  навес. Альба 800 антрацит 2 ящика с умыв. Слим</v>
      </c>
      <c r="H2496">
        <f>VLOOKUP(D2496,Товары!A:I,6,0)</f>
        <v>50</v>
      </c>
      <c r="I2496" t="str">
        <f>VLOOKUP(C2496,Магазины!A:C,3,0)</f>
        <v>Ставрополь</v>
      </c>
      <c r="J2496">
        <f>VLOOKUP(D2496,Товары!A:I,4,0)</f>
        <v>26070</v>
      </c>
      <c r="K2496">
        <f t="shared" si="38"/>
        <v>78210</v>
      </c>
    </row>
    <row r="2497" spans="1:11" hidden="1" x14ac:dyDescent="0.25">
      <c r="A2497">
        <v>2496</v>
      </c>
      <c r="B2497" s="1">
        <v>45749</v>
      </c>
      <c r="C2497" t="s">
        <v>58</v>
      </c>
      <c r="D2497" t="s">
        <v>67</v>
      </c>
      <c r="E2497" t="s">
        <v>13</v>
      </c>
      <c r="F2497">
        <v>2</v>
      </c>
      <c r="G2497" t="str">
        <f>VLOOKUP(D2497,Товары!A:I,3,0)</f>
        <v>Пенал навес./напол. Альба 350 суфле 2 двери</v>
      </c>
      <c r="H2497">
        <f>VLOOKUP(D2497,Товары!A:I,6,0)</f>
        <v>150</v>
      </c>
      <c r="I2497" t="str">
        <f>VLOOKUP(C2497,Магазины!A:C,3,0)</f>
        <v>Ставрополь</v>
      </c>
      <c r="J2497">
        <f>VLOOKUP(D2497,Товары!A:I,4,0)</f>
        <v>11655</v>
      </c>
      <c r="K2497">
        <f t="shared" si="38"/>
        <v>23310</v>
      </c>
    </row>
    <row r="2498" spans="1:11" hidden="1" x14ac:dyDescent="0.25">
      <c r="A2498">
        <v>2497</v>
      </c>
      <c r="B2498" s="1">
        <v>45757</v>
      </c>
      <c r="C2498" t="s">
        <v>43</v>
      </c>
      <c r="D2498" t="s">
        <v>53</v>
      </c>
      <c r="E2498" t="s">
        <v>8</v>
      </c>
      <c r="F2498">
        <v>2</v>
      </c>
      <c r="G2498" t="str">
        <f>VLOOKUP(D2498,Товары!A:I,3,0)</f>
        <v>Тумба с раковиной  напол. Кристалл 600 шато азур 2 ящика с умыв. Океан</v>
      </c>
      <c r="H2498">
        <f>VLOOKUP(D2498,Товары!A:I,6,0)</f>
        <v>85</v>
      </c>
      <c r="I2498" t="str">
        <f>VLOOKUP(C2498,Магазины!A:C,3,0)</f>
        <v>Набережные Челны</v>
      </c>
      <c r="J2498">
        <f>VLOOKUP(D2498,Товары!A:I,4,0)</f>
        <v>27600</v>
      </c>
      <c r="K2498">
        <f t="shared" si="38"/>
        <v>55200</v>
      </c>
    </row>
    <row r="2499" spans="1:11" hidden="1" x14ac:dyDescent="0.25">
      <c r="A2499">
        <v>2498</v>
      </c>
      <c r="B2499" s="1">
        <v>45748</v>
      </c>
      <c r="C2499" t="s">
        <v>26</v>
      </c>
      <c r="D2499" t="s">
        <v>17</v>
      </c>
      <c r="E2499" t="s">
        <v>13</v>
      </c>
      <c r="F2499">
        <v>3</v>
      </c>
      <c r="G2499" t="str">
        <f>VLOOKUP(D2499,Товары!A:I,3,0)</f>
        <v>Тумба с раковиной  навес. Альба 800 антрацит 1 ящик с умыв. Слим</v>
      </c>
      <c r="H2499">
        <f>VLOOKUP(D2499,Товары!A:I,6,0)</f>
        <v>45</v>
      </c>
      <c r="I2499" t="str">
        <f>VLOOKUP(C2499,Магазины!A:C,3,0)</f>
        <v>Оренбург</v>
      </c>
      <c r="J2499">
        <f>VLOOKUP(D2499,Товары!A:I,4,0)</f>
        <v>21630</v>
      </c>
      <c r="K2499">
        <f t="shared" ref="K2499:K2562" si="39">J2499*F2499</f>
        <v>64890</v>
      </c>
    </row>
    <row r="2500" spans="1:11" hidden="1" x14ac:dyDescent="0.25">
      <c r="A2500">
        <v>2499</v>
      </c>
      <c r="B2500" s="1">
        <v>45753</v>
      </c>
      <c r="C2500" t="s">
        <v>92</v>
      </c>
      <c r="D2500" t="s">
        <v>72</v>
      </c>
      <c r="E2500" t="s">
        <v>13</v>
      </c>
      <c r="F2500">
        <v>2</v>
      </c>
      <c r="G2500" t="str">
        <f>VLOOKUP(D2500,Товары!A:I,3,0)</f>
        <v>Тумба с раковиной  напол. Сохо 600 белый 2 ящика с умыв. Океан</v>
      </c>
      <c r="H2500">
        <f>VLOOKUP(D2500,Товары!A:I,6,0)</f>
        <v>85</v>
      </c>
      <c r="I2500" t="str">
        <f>VLOOKUP(C2500,Магазины!A:C,3,0)</f>
        <v>Кемерово</v>
      </c>
      <c r="J2500">
        <f>VLOOKUP(D2500,Товары!A:I,4,0)</f>
        <v>16140</v>
      </c>
      <c r="K2500">
        <f t="shared" si="39"/>
        <v>32280</v>
      </c>
    </row>
    <row r="2501" spans="1:11" hidden="1" x14ac:dyDescent="0.25">
      <c r="A2501">
        <v>2500</v>
      </c>
      <c r="B2501" s="1">
        <v>45757</v>
      </c>
      <c r="C2501" t="s">
        <v>41</v>
      </c>
      <c r="D2501" t="s">
        <v>72</v>
      </c>
      <c r="E2501" t="s">
        <v>13</v>
      </c>
      <c r="F2501">
        <v>1</v>
      </c>
      <c r="G2501" t="str">
        <f>VLOOKUP(D2501,Товары!A:I,3,0)</f>
        <v>Тумба с раковиной  напол. Сохо 600 белый 2 ящика с умыв. Океан</v>
      </c>
      <c r="H2501">
        <f>VLOOKUP(D2501,Товары!A:I,6,0)</f>
        <v>85</v>
      </c>
      <c r="I2501" t="str">
        <f>VLOOKUP(C2501,Магазины!A:C,3,0)</f>
        <v>Ставрополь</v>
      </c>
      <c r="J2501">
        <f>VLOOKUP(D2501,Товары!A:I,4,0)</f>
        <v>16140</v>
      </c>
      <c r="K2501">
        <f t="shared" si="39"/>
        <v>16140</v>
      </c>
    </row>
    <row r="2502" spans="1:11" hidden="1" x14ac:dyDescent="0.25">
      <c r="A2502">
        <v>2501</v>
      </c>
      <c r="B2502" s="1">
        <v>45752</v>
      </c>
      <c r="C2502" t="s">
        <v>57</v>
      </c>
      <c r="D2502" t="s">
        <v>72</v>
      </c>
      <c r="E2502" t="s">
        <v>13</v>
      </c>
      <c r="F2502">
        <v>1</v>
      </c>
      <c r="G2502" t="str">
        <f>VLOOKUP(D2502,Товары!A:I,3,0)</f>
        <v>Тумба с раковиной  напол. Сохо 600 белый 2 ящика с умыв. Океан</v>
      </c>
      <c r="H2502">
        <f>VLOOKUP(D2502,Товары!A:I,6,0)</f>
        <v>85</v>
      </c>
      <c r="I2502" t="str">
        <f>VLOOKUP(C2502,Магазины!A:C,3,0)</f>
        <v>Оренбург</v>
      </c>
      <c r="J2502">
        <f>VLOOKUP(D2502,Товары!A:I,4,0)</f>
        <v>16140</v>
      </c>
      <c r="K2502">
        <f t="shared" si="39"/>
        <v>16140</v>
      </c>
    </row>
    <row r="2503" spans="1:11" hidden="1" x14ac:dyDescent="0.25">
      <c r="A2503">
        <v>2502</v>
      </c>
      <c r="B2503" s="1">
        <v>45750</v>
      </c>
      <c r="C2503" t="s">
        <v>33</v>
      </c>
      <c r="D2503" t="s">
        <v>112</v>
      </c>
      <c r="E2503" t="s">
        <v>8</v>
      </c>
      <c r="F2503">
        <v>2</v>
      </c>
      <c r="G2503" t="str">
        <f>VLOOKUP(D2503,Товары!A:I,3,0)</f>
        <v>Тумба с раковиной  напол. Аква 560 белый 2 двери с умыв. Уют</v>
      </c>
      <c r="H2503">
        <f>VLOOKUP(D2503,Товары!A:I,6,0)</f>
        <v>85</v>
      </c>
      <c r="I2503" t="str">
        <f>VLOOKUP(C2503,Магазины!A:C,3,0)</f>
        <v>Набережные Челны</v>
      </c>
      <c r="J2503">
        <f>VLOOKUP(D2503,Товары!A:I,4,0)</f>
        <v>9330</v>
      </c>
      <c r="K2503">
        <f t="shared" si="39"/>
        <v>18660</v>
      </c>
    </row>
    <row r="2504" spans="1:11" hidden="1" x14ac:dyDescent="0.25">
      <c r="A2504">
        <v>2503</v>
      </c>
      <c r="B2504" s="1">
        <v>45750</v>
      </c>
      <c r="C2504" t="s">
        <v>48</v>
      </c>
      <c r="D2504" t="s">
        <v>91</v>
      </c>
      <c r="E2504" t="s">
        <v>13</v>
      </c>
      <c r="F2504">
        <v>2</v>
      </c>
      <c r="G2504" t="str">
        <f>VLOOKUP(D2504,Товары!A:I,3,0)</f>
        <v>Пенал навес./напол. Альба 350 мята 2 двери</v>
      </c>
      <c r="H2504">
        <f>VLOOKUP(D2504,Товары!A:I,6,0)</f>
        <v>150</v>
      </c>
      <c r="I2504" t="str">
        <f>VLOOKUP(C2504,Магазины!A:C,3,0)</f>
        <v>Ставрополь</v>
      </c>
      <c r="J2504">
        <f>VLOOKUP(D2504,Товары!A:I,4,0)</f>
        <v>11655</v>
      </c>
      <c r="K2504">
        <f t="shared" si="39"/>
        <v>23310</v>
      </c>
    </row>
    <row r="2505" spans="1:11" hidden="1" x14ac:dyDescent="0.25">
      <c r="A2505">
        <v>2504</v>
      </c>
      <c r="B2505" s="1">
        <v>45754</v>
      </c>
      <c r="C2505" t="s">
        <v>28</v>
      </c>
      <c r="D2505" t="s">
        <v>99</v>
      </c>
      <c r="E2505" t="s">
        <v>13</v>
      </c>
      <c r="F2505">
        <v>2</v>
      </c>
      <c r="G2505" t="str">
        <f>VLOOKUP(D2505,Товары!A:I,3,0)</f>
        <v>Тумба с раковиной  навес. Леон 600 оникс 2 ящика с умыв. Слим</v>
      </c>
      <c r="H2505">
        <f>VLOOKUP(D2505,Товары!A:I,6,0)</f>
        <v>60</v>
      </c>
      <c r="I2505" t="str">
        <f>VLOOKUP(C2505,Магазины!A:C,3,0)</f>
        <v>Набережные Челны</v>
      </c>
      <c r="J2505">
        <f>VLOOKUP(D2505,Товары!A:I,4,0)</f>
        <v>25125</v>
      </c>
      <c r="K2505">
        <f t="shared" si="39"/>
        <v>50250</v>
      </c>
    </row>
    <row r="2506" spans="1:11" hidden="1" x14ac:dyDescent="0.25">
      <c r="A2506">
        <v>2505</v>
      </c>
      <c r="B2506" s="1">
        <v>45748</v>
      </c>
      <c r="C2506" t="s">
        <v>6</v>
      </c>
      <c r="D2506" t="s">
        <v>78</v>
      </c>
      <c r="E2506" t="s">
        <v>8</v>
      </c>
      <c r="F2506">
        <v>3</v>
      </c>
      <c r="G2506" t="str">
        <f>VLOOKUP(D2506,Товары!A:I,3,0)</f>
        <v>Зеркальный шкаф Кристалл 70 со светильником правый, ручка кнопка дуб цвет Шато Азур</v>
      </c>
      <c r="H2506">
        <f>VLOOKUP(D2506,Товары!A:I,6,0)</f>
        <v>75</v>
      </c>
      <c r="I2506" t="str">
        <f>VLOOKUP(C2506,Магазины!A:C,3,0)</f>
        <v>Оренбург</v>
      </c>
      <c r="J2506">
        <f>VLOOKUP(D2506,Товары!A:I,4,0)</f>
        <v>9615</v>
      </c>
      <c r="K2506">
        <f t="shared" si="39"/>
        <v>28845</v>
      </c>
    </row>
    <row r="2507" spans="1:11" hidden="1" x14ac:dyDescent="0.25">
      <c r="A2507">
        <v>2506</v>
      </c>
      <c r="B2507" s="1">
        <v>45752</v>
      </c>
      <c r="C2507" t="s">
        <v>54</v>
      </c>
      <c r="D2507" t="s">
        <v>118</v>
      </c>
      <c r="E2507" t="s">
        <v>8</v>
      </c>
      <c r="F2507">
        <v>2</v>
      </c>
      <c r="G2507" t="str">
        <f>VLOOKUP(D2507,Товары!A:I,3,0)</f>
        <v>Тумба с раковиной  напол. Сохо 800 белый 2 ящика с умыв. Слим</v>
      </c>
      <c r="H2507">
        <f>VLOOKUP(D2507,Товары!A:I,6,0)</f>
        <v>85</v>
      </c>
      <c r="I2507" t="str">
        <f>VLOOKUP(C2507,Магазины!A:C,3,0)</f>
        <v>Ставрополь</v>
      </c>
      <c r="J2507">
        <f>VLOOKUP(D2507,Товары!A:I,4,0)</f>
        <v>19575</v>
      </c>
      <c r="K2507">
        <f t="shared" si="39"/>
        <v>39150</v>
      </c>
    </row>
    <row r="2508" spans="1:11" hidden="1" x14ac:dyDescent="0.25">
      <c r="A2508">
        <v>2507</v>
      </c>
      <c r="B2508" s="1">
        <v>45751</v>
      </c>
      <c r="C2508" t="s">
        <v>26</v>
      </c>
      <c r="D2508" t="s">
        <v>72</v>
      </c>
      <c r="E2508" t="s">
        <v>13</v>
      </c>
      <c r="F2508">
        <v>3</v>
      </c>
      <c r="G2508" t="str">
        <f>VLOOKUP(D2508,Товары!A:I,3,0)</f>
        <v>Тумба с раковиной  напол. Сохо 600 белый 2 ящика с умыв. Океан</v>
      </c>
      <c r="H2508">
        <f>VLOOKUP(D2508,Товары!A:I,6,0)</f>
        <v>85</v>
      </c>
      <c r="I2508" t="str">
        <f>VLOOKUP(C2508,Магазины!A:C,3,0)</f>
        <v>Оренбург</v>
      </c>
      <c r="J2508">
        <f>VLOOKUP(D2508,Товары!A:I,4,0)</f>
        <v>16140</v>
      </c>
      <c r="K2508">
        <f t="shared" si="39"/>
        <v>48420</v>
      </c>
    </row>
    <row r="2509" spans="1:11" hidden="1" x14ac:dyDescent="0.25">
      <c r="A2509">
        <v>2508</v>
      </c>
      <c r="B2509" s="1">
        <v>45752</v>
      </c>
      <c r="C2509" t="s">
        <v>63</v>
      </c>
      <c r="D2509" t="s">
        <v>84</v>
      </c>
      <c r="E2509" t="s">
        <v>8</v>
      </c>
      <c r="F2509">
        <v>1</v>
      </c>
      <c r="G2509" t="str">
        <f>VLOOKUP(D2509,Товары!A:I,3,0)</f>
        <v>Тумба с раковиной  напол. Куба Риф 800 белый 3 двери с умыв. Слим</v>
      </c>
      <c r="H2509">
        <f>VLOOKUP(D2509,Товары!A:I,6,0)</f>
        <v>85</v>
      </c>
      <c r="I2509" t="str">
        <f>VLOOKUP(C2509,Магазины!A:C,3,0)</f>
        <v>Ставрополь</v>
      </c>
      <c r="J2509">
        <f>VLOOKUP(D2509,Товары!A:I,4,0)</f>
        <v>19920</v>
      </c>
      <c r="K2509">
        <f t="shared" si="39"/>
        <v>19920</v>
      </c>
    </row>
    <row r="2510" spans="1:11" hidden="1" x14ac:dyDescent="0.25">
      <c r="A2510">
        <v>2509</v>
      </c>
      <c r="B2510" s="1">
        <v>45754</v>
      </c>
      <c r="C2510" t="s">
        <v>111</v>
      </c>
      <c r="D2510" t="s">
        <v>15</v>
      </c>
      <c r="E2510" t="s">
        <v>8</v>
      </c>
      <c r="F2510">
        <v>3</v>
      </c>
      <c r="G2510" t="str">
        <f>VLOOKUP(D2510,Товары!A:I,3,0)</f>
        <v>Зеркальный шкаф Кристалл 60 со светильником правый, ручка кнопка дуб цвет Шато Азур</v>
      </c>
      <c r="H2510">
        <f>VLOOKUP(D2510,Товары!A:I,6,0)</f>
        <v>75</v>
      </c>
      <c r="I2510" t="str">
        <f>VLOOKUP(C2510,Магазины!A:C,3,0)</f>
        <v>Набережные Челны</v>
      </c>
      <c r="J2510">
        <f>VLOOKUP(D2510,Товары!A:I,4,0)</f>
        <v>9195</v>
      </c>
      <c r="K2510">
        <f t="shared" si="39"/>
        <v>27585</v>
      </c>
    </row>
    <row r="2511" spans="1:11" hidden="1" x14ac:dyDescent="0.25">
      <c r="A2511">
        <v>2510</v>
      </c>
      <c r="B2511" s="1">
        <v>45749</v>
      </c>
      <c r="C2511" t="s">
        <v>11</v>
      </c>
      <c r="D2511" t="s">
        <v>78</v>
      </c>
      <c r="E2511" t="s">
        <v>8</v>
      </c>
      <c r="F2511">
        <v>3</v>
      </c>
      <c r="G2511" t="str">
        <f>VLOOKUP(D2511,Товары!A:I,3,0)</f>
        <v>Зеркальный шкаф Кристалл 70 со светильником правый, ручка кнопка дуб цвет Шато Азур</v>
      </c>
      <c r="H2511">
        <f>VLOOKUP(D2511,Товары!A:I,6,0)</f>
        <v>75</v>
      </c>
      <c r="I2511" t="str">
        <f>VLOOKUP(C2511,Магазины!A:C,3,0)</f>
        <v>Кемерово</v>
      </c>
      <c r="J2511">
        <f>VLOOKUP(D2511,Товары!A:I,4,0)</f>
        <v>9615</v>
      </c>
      <c r="K2511">
        <f t="shared" si="39"/>
        <v>28845</v>
      </c>
    </row>
    <row r="2512" spans="1:11" hidden="1" x14ac:dyDescent="0.25">
      <c r="A2512">
        <v>2511</v>
      </c>
      <c r="B2512" s="1">
        <v>45748</v>
      </c>
      <c r="C2512" t="s">
        <v>48</v>
      </c>
      <c r="D2512" t="s">
        <v>116</v>
      </c>
      <c r="E2512" t="s">
        <v>8</v>
      </c>
      <c r="F2512">
        <v>3</v>
      </c>
      <c r="G2512" t="str">
        <f>VLOOKUP(D2512,Товары!A:I,3,0)</f>
        <v>Зеркало Нева 60 дуб/белый со светильником</v>
      </c>
      <c r="H2512">
        <f>VLOOKUP(D2512,Товары!A:I,6,0)</f>
        <v>80</v>
      </c>
      <c r="I2512" t="str">
        <f>VLOOKUP(C2512,Магазины!A:C,3,0)</f>
        <v>Ставрополь</v>
      </c>
      <c r="J2512">
        <f>VLOOKUP(D2512,Товары!A:I,4,0)</f>
        <v>5100</v>
      </c>
      <c r="K2512">
        <f t="shared" si="39"/>
        <v>15300</v>
      </c>
    </row>
    <row r="2513" spans="1:11" hidden="1" x14ac:dyDescent="0.25">
      <c r="A2513">
        <v>2512</v>
      </c>
      <c r="B2513" s="1">
        <v>45757</v>
      </c>
      <c r="C2513" t="s">
        <v>33</v>
      </c>
      <c r="D2513" t="s">
        <v>36</v>
      </c>
      <c r="E2513" t="s">
        <v>13</v>
      </c>
      <c r="F2513">
        <v>1</v>
      </c>
      <c r="G2513" t="str">
        <f>VLOOKUP(D2513,Товары!A:I,3,0)</f>
        <v>Тумба с раковиной  напол. Альба 800 мята 2 ящика с умыв. Слим</v>
      </c>
      <c r="H2513">
        <f>VLOOKUP(D2513,Товары!A:I,6,0)</f>
        <v>80</v>
      </c>
      <c r="I2513" t="str">
        <f>VLOOKUP(C2513,Магазины!A:C,3,0)</f>
        <v>Набережные Челны</v>
      </c>
      <c r="J2513">
        <f>VLOOKUP(D2513,Товары!A:I,4,0)</f>
        <v>29340</v>
      </c>
      <c r="K2513">
        <f t="shared" si="39"/>
        <v>29340</v>
      </c>
    </row>
    <row r="2514" spans="1:11" hidden="1" x14ac:dyDescent="0.25">
      <c r="A2514">
        <v>2513</v>
      </c>
      <c r="B2514" s="1">
        <v>45753</v>
      </c>
      <c r="C2514" t="s">
        <v>35</v>
      </c>
      <c r="D2514" t="s">
        <v>115</v>
      </c>
      <c r="E2514" t="s">
        <v>13</v>
      </c>
      <c r="F2514">
        <v>1</v>
      </c>
      <c r="G2514" t="str">
        <f>VLOOKUP(D2514,Товары!A:I,3,0)</f>
        <v>Тумба под стиральную машину Куба Риф 57 напольная 2 ящика под ст/маш, без умывальника /под Marshall 120 Белый</v>
      </c>
      <c r="H2514">
        <f>VLOOKUP(D2514,Товары!A:I,6,0)</f>
        <v>85</v>
      </c>
      <c r="I2514" t="str">
        <f>VLOOKUP(C2514,Магазины!A:C,3,0)</f>
        <v>Набережные Челны</v>
      </c>
      <c r="J2514">
        <f>VLOOKUP(D2514,Товары!A:I,4,0)</f>
        <v>10530</v>
      </c>
      <c r="K2514">
        <f t="shared" si="39"/>
        <v>10530</v>
      </c>
    </row>
    <row r="2515" spans="1:11" hidden="1" x14ac:dyDescent="0.25">
      <c r="A2515">
        <v>2514</v>
      </c>
      <c r="B2515" s="1">
        <v>45757</v>
      </c>
      <c r="C2515" t="s">
        <v>111</v>
      </c>
      <c r="D2515" t="s">
        <v>120</v>
      </c>
      <c r="E2515" t="s">
        <v>8</v>
      </c>
      <c r="F2515">
        <v>1</v>
      </c>
      <c r="G2515" t="str">
        <f>VLOOKUP(D2515,Товары!A:I,3,0)</f>
        <v>Зеркальный шкаф Альба 60 со светильником правый цвет антрацит</v>
      </c>
      <c r="H2515">
        <f>VLOOKUP(D2515,Товары!A:I,6,0)</f>
        <v>75</v>
      </c>
      <c r="I2515" t="str">
        <f>VLOOKUP(C2515,Магазины!A:C,3,0)</f>
        <v>Набережные Челны</v>
      </c>
      <c r="J2515">
        <f>VLOOKUP(D2515,Товары!A:I,4,0)</f>
        <v>8910</v>
      </c>
      <c r="K2515">
        <f t="shared" si="39"/>
        <v>8910</v>
      </c>
    </row>
    <row r="2516" spans="1:11" hidden="1" x14ac:dyDescent="0.25">
      <c r="A2516">
        <v>2515</v>
      </c>
      <c r="B2516" s="1">
        <v>45754</v>
      </c>
      <c r="C2516" t="s">
        <v>57</v>
      </c>
      <c r="D2516" t="s">
        <v>56</v>
      </c>
      <c r="E2516" t="s">
        <v>8</v>
      </c>
      <c r="F2516">
        <v>2</v>
      </c>
      <c r="G2516" t="str">
        <f>VLOOKUP(D2516,Товары!A:I,3,0)</f>
        <v>Зеркальный шкаф Альба 80 со светильником правый цвет мята</v>
      </c>
      <c r="H2516">
        <f>VLOOKUP(D2516,Товары!A:I,6,0)</f>
        <v>75</v>
      </c>
      <c r="I2516" t="str">
        <f>VLOOKUP(C2516,Магазины!A:C,3,0)</f>
        <v>Оренбург</v>
      </c>
      <c r="J2516">
        <f>VLOOKUP(D2516,Товары!A:I,4,0)</f>
        <v>9930</v>
      </c>
      <c r="K2516">
        <f t="shared" si="39"/>
        <v>19860</v>
      </c>
    </row>
    <row r="2517" spans="1:11" hidden="1" x14ac:dyDescent="0.25">
      <c r="A2517">
        <v>2516</v>
      </c>
      <c r="B2517" s="1">
        <v>45748</v>
      </c>
      <c r="C2517" t="s">
        <v>63</v>
      </c>
      <c r="D2517" t="s">
        <v>99</v>
      </c>
      <c r="E2517" t="s">
        <v>8</v>
      </c>
      <c r="F2517">
        <v>1</v>
      </c>
      <c r="G2517" t="str">
        <f>VLOOKUP(D2517,Товары!A:I,3,0)</f>
        <v>Тумба с раковиной  навес. Леон 600 оникс 2 ящика с умыв. Слим</v>
      </c>
      <c r="H2517">
        <f>VLOOKUP(D2517,Товары!A:I,6,0)</f>
        <v>60</v>
      </c>
      <c r="I2517" t="str">
        <f>VLOOKUP(C2517,Магазины!A:C,3,0)</f>
        <v>Ставрополь</v>
      </c>
      <c r="J2517">
        <f>VLOOKUP(D2517,Товары!A:I,4,0)</f>
        <v>25125</v>
      </c>
      <c r="K2517">
        <f t="shared" si="39"/>
        <v>25125</v>
      </c>
    </row>
    <row r="2518" spans="1:11" hidden="1" x14ac:dyDescent="0.25">
      <c r="A2518">
        <v>2517</v>
      </c>
      <c r="B2518" s="1">
        <v>45753</v>
      </c>
      <c r="C2518" t="s">
        <v>22</v>
      </c>
      <c r="D2518" t="s">
        <v>50</v>
      </c>
      <c r="E2518" t="s">
        <v>8</v>
      </c>
      <c r="F2518">
        <v>1</v>
      </c>
      <c r="G2518" t="str">
        <f>VLOOKUP(D2518,Товары!A:I,3,0)</f>
        <v>Тумба с раковиной  напол. Леон 800 оникс 2 ящика с умыв. Слим</v>
      </c>
      <c r="H2518">
        <f>VLOOKUP(D2518,Товары!A:I,6,0)</f>
        <v>80</v>
      </c>
      <c r="I2518" t="str">
        <f>VLOOKUP(C2518,Магазины!A:C,3,0)</f>
        <v>Кемерово</v>
      </c>
      <c r="J2518">
        <f>VLOOKUP(D2518,Товары!A:I,4,0)</f>
        <v>29400</v>
      </c>
      <c r="K2518">
        <f t="shared" si="39"/>
        <v>29400</v>
      </c>
    </row>
    <row r="2519" spans="1:11" hidden="1" x14ac:dyDescent="0.25">
      <c r="A2519">
        <v>2518</v>
      </c>
      <c r="B2519" s="1">
        <v>45748</v>
      </c>
      <c r="C2519" t="s">
        <v>9</v>
      </c>
      <c r="D2519" t="s">
        <v>89</v>
      </c>
      <c r="E2519" t="s">
        <v>8</v>
      </c>
      <c r="F2519">
        <v>2</v>
      </c>
      <c r="G2519" t="str">
        <f>VLOOKUP(D2519,Товары!A:I,3,0)</f>
        <v>Тумба с раковиной  напол. Сохо 600 белый 2 двери с умыв. Океан</v>
      </c>
      <c r="H2519">
        <f>VLOOKUP(D2519,Товары!A:I,6,0)</f>
        <v>85</v>
      </c>
      <c r="I2519" t="str">
        <f>VLOOKUP(C2519,Магазины!A:C,3,0)</f>
        <v>Кемерово</v>
      </c>
      <c r="J2519">
        <f>VLOOKUP(D2519,Товары!A:I,4,0)</f>
        <v>14880</v>
      </c>
      <c r="K2519">
        <f t="shared" si="39"/>
        <v>29760</v>
      </c>
    </row>
    <row r="2520" spans="1:11" hidden="1" x14ac:dyDescent="0.25">
      <c r="A2520">
        <v>2519</v>
      </c>
      <c r="B2520" s="1">
        <v>45749</v>
      </c>
      <c r="C2520" t="s">
        <v>58</v>
      </c>
      <c r="D2520" t="s">
        <v>101</v>
      </c>
      <c r="E2520" t="s">
        <v>13</v>
      </c>
      <c r="F2520">
        <v>3</v>
      </c>
      <c r="G2520" t="str">
        <f>VLOOKUP(D2520,Товары!A:I,3,0)</f>
        <v>Пенал напол. Сохо 400 белый 2 двери + 1 ящик</v>
      </c>
      <c r="H2520">
        <f>VLOOKUP(D2520,Товары!A:I,6,0)</f>
        <v>190</v>
      </c>
      <c r="I2520" t="str">
        <f>VLOOKUP(C2520,Магазины!A:C,3,0)</f>
        <v>Ставрополь</v>
      </c>
      <c r="J2520">
        <f>VLOOKUP(D2520,Товары!A:I,4,0)</f>
        <v>11040</v>
      </c>
      <c r="K2520">
        <f t="shared" si="39"/>
        <v>33120</v>
      </c>
    </row>
    <row r="2521" spans="1:11" hidden="1" x14ac:dyDescent="0.25">
      <c r="A2521">
        <v>2520</v>
      </c>
      <c r="B2521" s="1">
        <v>45748</v>
      </c>
      <c r="C2521" t="s">
        <v>92</v>
      </c>
      <c r="D2521" t="s">
        <v>31</v>
      </c>
      <c r="E2521" t="s">
        <v>8</v>
      </c>
      <c r="F2521">
        <v>1</v>
      </c>
      <c r="G2521" t="str">
        <f>VLOOKUP(D2521,Товары!A:I,3,0)</f>
        <v>Пенал напол. Виктория 350 белый 2 двери</v>
      </c>
      <c r="H2521">
        <f>VLOOKUP(D2521,Товары!A:I,6,0)</f>
        <v>190</v>
      </c>
      <c r="I2521" t="str">
        <f>VLOOKUP(C2521,Магазины!A:C,3,0)</f>
        <v>Кемерово</v>
      </c>
      <c r="J2521">
        <f>VLOOKUP(D2521,Товары!A:I,4,0)</f>
        <v>14085</v>
      </c>
      <c r="K2521">
        <f t="shared" si="39"/>
        <v>14085</v>
      </c>
    </row>
    <row r="2522" spans="1:11" hidden="1" x14ac:dyDescent="0.25">
      <c r="A2522">
        <v>2521</v>
      </c>
      <c r="B2522" s="1">
        <v>45753</v>
      </c>
      <c r="C2522" t="s">
        <v>103</v>
      </c>
      <c r="D2522" t="s">
        <v>122</v>
      </c>
      <c r="E2522" t="s">
        <v>8</v>
      </c>
      <c r="F2522">
        <v>2</v>
      </c>
      <c r="G2522" t="str">
        <f>VLOOKUP(D2522,Товары!A:I,3,0)</f>
        <v>Тумба с раковиной  навес. Кристалл 600 шато азур 2 ящика с умыв. Океан</v>
      </c>
      <c r="H2522">
        <f>VLOOKUP(D2522,Товары!A:I,6,0)</f>
        <v>55</v>
      </c>
      <c r="I2522" t="str">
        <f>VLOOKUP(C2522,Магазины!A:C,3,0)</f>
        <v>Ставрополь</v>
      </c>
      <c r="J2522">
        <f>VLOOKUP(D2522,Товары!A:I,4,0)</f>
        <v>21960</v>
      </c>
      <c r="K2522">
        <f t="shared" si="39"/>
        <v>43920</v>
      </c>
    </row>
    <row r="2523" spans="1:11" hidden="1" x14ac:dyDescent="0.25">
      <c r="A2523">
        <v>2522</v>
      </c>
      <c r="B2523" s="1">
        <v>45751</v>
      </c>
      <c r="C2523" t="s">
        <v>20</v>
      </c>
      <c r="D2523" t="s">
        <v>68</v>
      </c>
      <c r="E2523" t="s">
        <v>8</v>
      </c>
      <c r="F2523">
        <v>1</v>
      </c>
      <c r="G2523" t="str">
        <f>VLOOKUP(D2523,Товары!A:I,3,0)</f>
        <v>Тумба с раковиной  навес. Альба 600 антрацит 1 ящик с умыв. Океан</v>
      </c>
      <c r="H2523">
        <f>VLOOKUP(D2523,Товары!A:I,6,0)</f>
        <v>85</v>
      </c>
      <c r="I2523" t="str">
        <f>VLOOKUP(C2523,Магазины!A:C,3,0)</f>
        <v>Оренбург</v>
      </c>
      <c r="J2523">
        <f>VLOOKUP(D2523,Товары!A:I,4,0)</f>
        <v>17625</v>
      </c>
      <c r="K2523">
        <f t="shared" si="39"/>
        <v>17625</v>
      </c>
    </row>
    <row r="2524" spans="1:11" hidden="1" x14ac:dyDescent="0.25">
      <c r="A2524">
        <v>2523</v>
      </c>
      <c r="B2524" s="1">
        <v>45757</v>
      </c>
      <c r="C2524" t="s">
        <v>54</v>
      </c>
      <c r="D2524" t="s">
        <v>49</v>
      </c>
      <c r="E2524" t="s">
        <v>13</v>
      </c>
      <c r="F2524">
        <v>1</v>
      </c>
      <c r="G2524" t="str">
        <f>VLOOKUP(D2524,Товары!A:I,3,0)</f>
        <v>Тумба с раковиной  напол. Леон 700 оникс 2 ящика с умыв. Слим</v>
      </c>
      <c r="H2524">
        <f>VLOOKUP(D2524,Товары!A:I,6,0)</f>
        <v>80</v>
      </c>
      <c r="I2524" t="str">
        <f>VLOOKUP(C2524,Магазины!A:C,3,0)</f>
        <v>Ставрополь</v>
      </c>
      <c r="J2524">
        <f>VLOOKUP(D2524,Товары!A:I,4,0)</f>
        <v>28380</v>
      </c>
      <c r="K2524">
        <f t="shared" si="39"/>
        <v>28380</v>
      </c>
    </row>
    <row r="2525" spans="1:11" hidden="1" x14ac:dyDescent="0.25">
      <c r="A2525">
        <v>2524</v>
      </c>
      <c r="B2525" s="1">
        <v>45757</v>
      </c>
      <c r="C2525" t="s">
        <v>54</v>
      </c>
      <c r="D2525" t="s">
        <v>125</v>
      </c>
      <c r="E2525" t="s">
        <v>8</v>
      </c>
      <c r="F2525">
        <v>2</v>
      </c>
      <c r="G2525" t="str">
        <f>VLOOKUP(D2525,Товары!A:I,3,0)</f>
        <v>Зеркальный шкаф Сохо 60 белый со светильником правый цвет Белый глянец</v>
      </c>
      <c r="H2525">
        <f>VLOOKUP(D2525,Товары!A:I,6,0)</f>
        <v>75</v>
      </c>
      <c r="I2525" t="str">
        <f>VLOOKUP(C2525,Магазины!A:C,3,0)</f>
        <v>Ставрополь</v>
      </c>
      <c r="J2525">
        <f>VLOOKUP(D2525,Товары!A:I,4,0)</f>
        <v>7395</v>
      </c>
      <c r="K2525">
        <f t="shared" si="39"/>
        <v>14790</v>
      </c>
    </row>
    <row r="2526" spans="1:11" hidden="1" x14ac:dyDescent="0.25">
      <c r="A2526">
        <v>2525</v>
      </c>
      <c r="B2526" s="1">
        <v>45748</v>
      </c>
      <c r="C2526" t="s">
        <v>54</v>
      </c>
      <c r="D2526" t="s">
        <v>93</v>
      </c>
      <c r="E2526" t="s">
        <v>8</v>
      </c>
      <c r="F2526">
        <v>3</v>
      </c>
      <c r="G2526" t="str">
        <f>VLOOKUP(D2526,Товары!A:I,3,0)</f>
        <v>Тумба с раковиной  напол. Леон Риф 800 солярис/белый риф 2 ящика с умыв. Слим</v>
      </c>
      <c r="H2526">
        <f>VLOOKUP(D2526,Товары!A:I,6,0)</f>
        <v>80</v>
      </c>
      <c r="I2526" t="str">
        <f>VLOOKUP(C2526,Магазины!A:C,3,0)</f>
        <v>Ставрополь</v>
      </c>
      <c r="J2526">
        <f>VLOOKUP(D2526,Товары!A:I,4,0)</f>
        <v>29340</v>
      </c>
      <c r="K2526">
        <f t="shared" si="39"/>
        <v>88020</v>
      </c>
    </row>
    <row r="2527" spans="1:11" hidden="1" x14ac:dyDescent="0.25">
      <c r="A2527">
        <v>2526</v>
      </c>
      <c r="B2527" s="1">
        <v>45756</v>
      </c>
      <c r="C2527" t="s">
        <v>63</v>
      </c>
      <c r="D2527" t="s">
        <v>129</v>
      </c>
      <c r="E2527" t="s">
        <v>8</v>
      </c>
      <c r="F2527">
        <v>3</v>
      </c>
      <c r="G2527" t="str">
        <f>VLOOKUP(D2527,Товары!A:I,3,0)</f>
        <v>Тумба с раковиной  напол. Альба 700 антрацит 2 ящика с умыв. Слим</v>
      </c>
      <c r="H2527">
        <f>VLOOKUP(D2527,Товары!A:I,6,0)</f>
        <v>85</v>
      </c>
      <c r="I2527" t="str">
        <f>VLOOKUP(C2527,Магазины!A:C,3,0)</f>
        <v>Ставрополь</v>
      </c>
      <c r="J2527">
        <f>VLOOKUP(D2527,Товары!A:I,4,0)</f>
        <v>28695</v>
      </c>
      <c r="K2527">
        <f t="shared" si="39"/>
        <v>86085</v>
      </c>
    </row>
    <row r="2528" spans="1:11" hidden="1" x14ac:dyDescent="0.25">
      <c r="A2528">
        <v>2527</v>
      </c>
      <c r="B2528" s="1">
        <v>45753</v>
      </c>
      <c r="C2528" t="s">
        <v>33</v>
      </c>
      <c r="D2528" t="s">
        <v>112</v>
      </c>
      <c r="E2528" t="s">
        <v>13</v>
      </c>
      <c r="F2528">
        <v>3</v>
      </c>
      <c r="G2528" t="str">
        <f>VLOOKUP(D2528,Товары!A:I,3,0)</f>
        <v>Тумба с раковиной  напол. Аква 560 белый 2 двери с умыв. Уют</v>
      </c>
      <c r="H2528">
        <f>VLOOKUP(D2528,Товары!A:I,6,0)</f>
        <v>85</v>
      </c>
      <c r="I2528" t="str">
        <f>VLOOKUP(C2528,Магазины!A:C,3,0)</f>
        <v>Набережные Челны</v>
      </c>
      <c r="J2528">
        <f>VLOOKUP(D2528,Товары!A:I,4,0)</f>
        <v>9330</v>
      </c>
      <c r="K2528">
        <f t="shared" si="39"/>
        <v>27990</v>
      </c>
    </row>
    <row r="2529" spans="1:11" hidden="1" x14ac:dyDescent="0.25">
      <c r="A2529">
        <v>2528</v>
      </c>
      <c r="B2529" s="1">
        <v>45750</v>
      </c>
      <c r="C2529" t="s">
        <v>26</v>
      </c>
      <c r="D2529" t="s">
        <v>122</v>
      </c>
      <c r="E2529" t="s">
        <v>13</v>
      </c>
      <c r="F2529">
        <v>3</v>
      </c>
      <c r="G2529" t="str">
        <f>VLOOKUP(D2529,Товары!A:I,3,0)</f>
        <v>Тумба с раковиной  навес. Кристалл 600 шато азур 2 ящика с умыв. Океан</v>
      </c>
      <c r="H2529">
        <f>VLOOKUP(D2529,Товары!A:I,6,0)</f>
        <v>55</v>
      </c>
      <c r="I2529" t="str">
        <f>VLOOKUP(C2529,Магазины!A:C,3,0)</f>
        <v>Оренбург</v>
      </c>
      <c r="J2529">
        <f>VLOOKUP(D2529,Товары!A:I,4,0)</f>
        <v>21960</v>
      </c>
      <c r="K2529">
        <f t="shared" si="39"/>
        <v>65880</v>
      </c>
    </row>
    <row r="2530" spans="1:11" hidden="1" x14ac:dyDescent="0.25">
      <c r="A2530">
        <v>2529</v>
      </c>
      <c r="B2530" s="1">
        <v>45755</v>
      </c>
      <c r="C2530" t="s">
        <v>41</v>
      </c>
      <c r="D2530" t="s">
        <v>119</v>
      </c>
      <c r="E2530" t="s">
        <v>8</v>
      </c>
      <c r="F2530">
        <v>3</v>
      </c>
      <c r="G2530" t="str">
        <f>VLOOKUP(D2530,Товары!A:I,3,0)</f>
        <v>Пенал навес./напол. Рица 350 cерый/керамика 2 двери</v>
      </c>
      <c r="H2530">
        <f>VLOOKUP(D2530,Товары!A:I,6,0)</f>
        <v>160</v>
      </c>
      <c r="I2530" t="str">
        <f>VLOOKUP(C2530,Магазины!A:C,3,0)</f>
        <v>Ставрополь</v>
      </c>
      <c r="J2530">
        <f>VLOOKUP(D2530,Товары!A:I,4,0)</f>
        <v>11250</v>
      </c>
      <c r="K2530">
        <f t="shared" si="39"/>
        <v>33750</v>
      </c>
    </row>
    <row r="2531" spans="1:11" hidden="1" x14ac:dyDescent="0.25">
      <c r="A2531">
        <v>2530</v>
      </c>
      <c r="B2531" s="1">
        <v>45748</v>
      </c>
      <c r="C2531" t="s">
        <v>18</v>
      </c>
      <c r="D2531" t="s">
        <v>99</v>
      </c>
      <c r="E2531" t="s">
        <v>13</v>
      </c>
      <c r="F2531">
        <v>3</v>
      </c>
      <c r="G2531" t="str">
        <f>VLOOKUP(D2531,Товары!A:I,3,0)</f>
        <v>Тумба с раковиной  навес. Леон 600 оникс 2 ящика с умыв. Слим</v>
      </c>
      <c r="H2531">
        <f>VLOOKUP(D2531,Товары!A:I,6,0)</f>
        <v>60</v>
      </c>
      <c r="I2531" t="str">
        <f>VLOOKUP(C2531,Магазины!A:C,3,0)</f>
        <v>Набережные Челны</v>
      </c>
      <c r="J2531">
        <f>VLOOKUP(D2531,Товары!A:I,4,0)</f>
        <v>25125</v>
      </c>
      <c r="K2531">
        <f t="shared" si="39"/>
        <v>75375</v>
      </c>
    </row>
    <row r="2532" spans="1:11" hidden="1" x14ac:dyDescent="0.25">
      <c r="A2532">
        <v>2531</v>
      </c>
      <c r="B2532" s="1">
        <v>45755</v>
      </c>
      <c r="C2532" t="s">
        <v>43</v>
      </c>
      <c r="D2532" t="s">
        <v>119</v>
      </c>
      <c r="E2532" t="s">
        <v>13</v>
      </c>
      <c r="F2532">
        <v>2</v>
      </c>
      <c r="G2532" t="str">
        <f>VLOOKUP(D2532,Товары!A:I,3,0)</f>
        <v>Пенал навес./напол. Рица 350 cерый/керамика 2 двери</v>
      </c>
      <c r="H2532">
        <f>VLOOKUP(D2532,Товары!A:I,6,0)</f>
        <v>160</v>
      </c>
      <c r="I2532" t="str">
        <f>VLOOKUP(C2532,Магазины!A:C,3,0)</f>
        <v>Набережные Челны</v>
      </c>
      <c r="J2532">
        <f>VLOOKUP(D2532,Товары!A:I,4,0)</f>
        <v>11250</v>
      </c>
      <c r="K2532">
        <f t="shared" si="39"/>
        <v>22500</v>
      </c>
    </row>
    <row r="2533" spans="1:11" hidden="1" x14ac:dyDescent="0.25">
      <c r="A2533">
        <v>2532</v>
      </c>
      <c r="B2533" s="1">
        <v>45754</v>
      </c>
      <c r="C2533" t="s">
        <v>43</v>
      </c>
      <c r="D2533" t="s">
        <v>109</v>
      </c>
      <c r="E2533" t="s">
        <v>8</v>
      </c>
      <c r="F2533">
        <v>2</v>
      </c>
      <c r="G2533" t="str">
        <f>VLOOKUP(D2533,Товары!A:I,3,0)</f>
        <v>Тумба с раковиной  навес. Альба 600 антрацит 2 ящика с умыв. Океан</v>
      </c>
      <c r="H2533">
        <f>VLOOKUP(D2533,Товары!A:I,6,0)</f>
        <v>50</v>
      </c>
      <c r="I2533" t="str">
        <f>VLOOKUP(C2533,Магазины!A:C,3,0)</f>
        <v>Набережные Челны</v>
      </c>
      <c r="J2533">
        <f>VLOOKUP(D2533,Товары!A:I,4,0)</f>
        <v>24810</v>
      </c>
      <c r="K2533">
        <f t="shared" si="39"/>
        <v>49620</v>
      </c>
    </row>
    <row r="2534" spans="1:11" hidden="1" x14ac:dyDescent="0.25">
      <c r="A2534">
        <v>2533</v>
      </c>
      <c r="B2534" s="1">
        <v>45757</v>
      </c>
      <c r="C2534" t="s">
        <v>26</v>
      </c>
      <c r="D2534" t="s">
        <v>116</v>
      </c>
      <c r="E2534" t="s">
        <v>13</v>
      </c>
      <c r="F2534">
        <v>1</v>
      </c>
      <c r="G2534" t="str">
        <f>VLOOKUP(D2534,Товары!A:I,3,0)</f>
        <v>Зеркало Нева 60 дуб/белый со светильником</v>
      </c>
      <c r="H2534">
        <f>VLOOKUP(D2534,Товары!A:I,6,0)</f>
        <v>80</v>
      </c>
      <c r="I2534" t="str">
        <f>VLOOKUP(C2534,Магазины!A:C,3,0)</f>
        <v>Оренбург</v>
      </c>
      <c r="J2534">
        <f>VLOOKUP(D2534,Товары!A:I,4,0)</f>
        <v>5100</v>
      </c>
      <c r="K2534">
        <f t="shared" si="39"/>
        <v>5100</v>
      </c>
    </row>
    <row r="2535" spans="1:11" hidden="1" x14ac:dyDescent="0.25">
      <c r="A2535">
        <v>2534</v>
      </c>
      <c r="B2535" s="1">
        <v>45757</v>
      </c>
      <c r="C2535" t="s">
        <v>43</v>
      </c>
      <c r="D2535" t="s">
        <v>112</v>
      </c>
      <c r="E2535" t="s">
        <v>8</v>
      </c>
      <c r="F2535">
        <v>1</v>
      </c>
      <c r="G2535" t="str">
        <f>VLOOKUP(D2535,Товары!A:I,3,0)</f>
        <v>Тумба с раковиной  напол. Аква 560 белый 2 двери с умыв. Уют</v>
      </c>
      <c r="H2535">
        <f>VLOOKUP(D2535,Товары!A:I,6,0)</f>
        <v>85</v>
      </c>
      <c r="I2535" t="str">
        <f>VLOOKUP(C2535,Магазины!A:C,3,0)</f>
        <v>Набережные Челны</v>
      </c>
      <c r="J2535">
        <f>VLOOKUP(D2535,Товары!A:I,4,0)</f>
        <v>9330</v>
      </c>
      <c r="K2535">
        <f t="shared" si="39"/>
        <v>9330</v>
      </c>
    </row>
    <row r="2536" spans="1:11" hidden="1" x14ac:dyDescent="0.25">
      <c r="A2536">
        <v>2535</v>
      </c>
      <c r="B2536" s="1">
        <v>45751</v>
      </c>
      <c r="C2536" t="s">
        <v>63</v>
      </c>
      <c r="D2536" t="s">
        <v>7</v>
      </c>
      <c r="E2536" t="s">
        <v>8</v>
      </c>
      <c r="F2536">
        <v>1</v>
      </c>
      <c r="G2536" t="str">
        <f>VLOOKUP(D2536,Товары!A:I,3,0)</f>
        <v>Пенал напол. Леон Риф 400 солярис/белый риф 2 двери + 1 ящик</v>
      </c>
      <c r="H2536">
        <f>VLOOKUP(D2536,Товары!A:I,6,0)</f>
        <v>190</v>
      </c>
      <c r="I2536" t="str">
        <f>VLOOKUP(C2536,Магазины!A:C,3,0)</f>
        <v>Ставрополь</v>
      </c>
      <c r="J2536">
        <f>VLOOKUP(D2536,Товары!A:I,4,0)</f>
        <v>14490</v>
      </c>
      <c r="K2536">
        <f t="shared" si="39"/>
        <v>14490</v>
      </c>
    </row>
    <row r="2537" spans="1:11" hidden="1" x14ac:dyDescent="0.25">
      <c r="A2537">
        <v>2536</v>
      </c>
      <c r="B2537" s="1">
        <v>45757</v>
      </c>
      <c r="C2537" t="s">
        <v>11</v>
      </c>
      <c r="D2537" t="s">
        <v>120</v>
      </c>
      <c r="E2537" t="s">
        <v>8</v>
      </c>
      <c r="F2537">
        <v>2</v>
      </c>
      <c r="G2537" t="str">
        <f>VLOOKUP(D2537,Товары!A:I,3,0)</f>
        <v>Зеркальный шкаф Альба 60 со светильником правый цвет антрацит</v>
      </c>
      <c r="H2537">
        <f>VLOOKUP(D2537,Товары!A:I,6,0)</f>
        <v>75</v>
      </c>
      <c r="I2537" t="str">
        <f>VLOOKUP(C2537,Магазины!A:C,3,0)</f>
        <v>Кемерово</v>
      </c>
      <c r="J2537">
        <f>VLOOKUP(D2537,Товары!A:I,4,0)</f>
        <v>8910</v>
      </c>
      <c r="K2537">
        <f t="shared" si="39"/>
        <v>17820</v>
      </c>
    </row>
    <row r="2538" spans="1:11" hidden="1" x14ac:dyDescent="0.25">
      <c r="A2538">
        <v>2537</v>
      </c>
      <c r="B2538" s="1">
        <v>45753</v>
      </c>
      <c r="C2538" t="s">
        <v>26</v>
      </c>
      <c r="D2538" t="s">
        <v>119</v>
      </c>
      <c r="E2538" t="s">
        <v>13</v>
      </c>
      <c r="F2538">
        <v>3</v>
      </c>
      <c r="G2538" t="str">
        <f>VLOOKUP(D2538,Товары!A:I,3,0)</f>
        <v>Пенал навес./напол. Рица 350 cерый/керамика 2 двери</v>
      </c>
      <c r="H2538">
        <f>VLOOKUP(D2538,Товары!A:I,6,0)</f>
        <v>160</v>
      </c>
      <c r="I2538" t="str">
        <f>VLOOKUP(C2538,Магазины!A:C,3,0)</f>
        <v>Оренбург</v>
      </c>
      <c r="J2538">
        <f>VLOOKUP(D2538,Товары!A:I,4,0)</f>
        <v>11250</v>
      </c>
      <c r="K2538">
        <f t="shared" si="39"/>
        <v>33750</v>
      </c>
    </row>
    <row r="2539" spans="1:11" hidden="1" x14ac:dyDescent="0.25">
      <c r="A2539">
        <v>2538</v>
      </c>
      <c r="B2539" s="1">
        <v>45748</v>
      </c>
      <c r="C2539" t="s">
        <v>26</v>
      </c>
      <c r="D2539" t="s">
        <v>77</v>
      </c>
      <c r="E2539" t="s">
        <v>8</v>
      </c>
      <c r="F2539">
        <v>3</v>
      </c>
      <c r="G2539" t="str">
        <f>VLOOKUP(D2539,Товары!A:I,3,0)</f>
        <v>Тумба с раковиной  напол. Куба Риф 600 белый 2 ящика с умыв. Como</v>
      </c>
      <c r="H2539">
        <f>VLOOKUP(D2539,Товары!A:I,6,0)</f>
        <v>85</v>
      </c>
      <c r="I2539" t="str">
        <f>VLOOKUP(C2539,Магазины!A:C,3,0)</f>
        <v>Оренбург</v>
      </c>
      <c r="J2539">
        <f>VLOOKUP(D2539,Товары!A:I,4,0)</f>
        <v>15660</v>
      </c>
      <c r="K2539">
        <f t="shared" si="39"/>
        <v>46980</v>
      </c>
    </row>
    <row r="2540" spans="1:11" hidden="1" x14ac:dyDescent="0.25">
      <c r="A2540">
        <v>2539</v>
      </c>
      <c r="B2540" s="1">
        <v>45752</v>
      </c>
      <c r="C2540" t="s">
        <v>41</v>
      </c>
      <c r="D2540" t="s">
        <v>124</v>
      </c>
      <c r="E2540" t="s">
        <v>8</v>
      </c>
      <c r="F2540">
        <v>3</v>
      </c>
      <c r="G2540" t="str">
        <f>VLOOKUP(D2540,Товары!A:I,3,0)</f>
        <v>Тумба с раковиной  напол. Леон 600 оникс 2 ящика с умыв. Океан</v>
      </c>
      <c r="H2540">
        <f>VLOOKUP(D2540,Товары!A:I,6,0)</f>
        <v>80</v>
      </c>
      <c r="I2540" t="str">
        <f>VLOOKUP(C2540,Магазины!A:C,3,0)</f>
        <v>Ставрополь</v>
      </c>
      <c r="J2540">
        <f>VLOOKUP(D2540,Товары!A:I,4,0)</f>
        <v>25860</v>
      </c>
      <c r="K2540">
        <f t="shared" si="39"/>
        <v>77580</v>
      </c>
    </row>
    <row r="2541" spans="1:11" hidden="1" x14ac:dyDescent="0.25">
      <c r="A2541">
        <v>2540</v>
      </c>
      <c r="B2541" s="1">
        <v>45753</v>
      </c>
      <c r="C2541" t="s">
        <v>35</v>
      </c>
      <c r="D2541" t="s">
        <v>24</v>
      </c>
      <c r="E2541" t="s">
        <v>13</v>
      </c>
      <c r="F2541">
        <v>2</v>
      </c>
      <c r="G2541" t="str">
        <f>VLOOKUP(D2541,Товары!A:I,3,0)</f>
        <v>Тумба с раковиной  напол. Леон 600 форест 2 ящика с умыв. Слим</v>
      </c>
      <c r="H2541">
        <f>VLOOKUP(D2541,Товары!A:I,6,0)</f>
        <v>80</v>
      </c>
      <c r="I2541" t="str">
        <f>VLOOKUP(C2541,Магазины!A:C,3,0)</f>
        <v>Набережные Челны</v>
      </c>
      <c r="J2541">
        <f>VLOOKUP(D2541,Товары!A:I,4,0)</f>
        <v>27150</v>
      </c>
      <c r="K2541">
        <f t="shared" si="39"/>
        <v>54300</v>
      </c>
    </row>
    <row r="2542" spans="1:11" hidden="1" x14ac:dyDescent="0.25">
      <c r="A2542">
        <v>2541</v>
      </c>
      <c r="B2542" s="1">
        <v>45751</v>
      </c>
      <c r="C2542" t="s">
        <v>14</v>
      </c>
      <c r="D2542" t="s">
        <v>79</v>
      </c>
      <c r="E2542" t="s">
        <v>13</v>
      </c>
      <c r="F2542">
        <v>3</v>
      </c>
      <c r="G2542" t="str">
        <f>VLOOKUP(D2542,Товары!A:I,3,0)</f>
        <v>Зеркальный шкаф Альба 70 со светильником правый цвет мята</v>
      </c>
      <c r="H2542">
        <f>VLOOKUP(D2542,Товары!A:I,6,0)</f>
        <v>75</v>
      </c>
      <c r="I2542" t="str">
        <f>VLOOKUP(C2542,Магазины!A:C,3,0)</f>
        <v>Оренбург</v>
      </c>
      <c r="J2542">
        <f>VLOOKUP(D2542,Товары!A:I,4,0)</f>
        <v>9615</v>
      </c>
      <c r="K2542">
        <f t="shared" si="39"/>
        <v>28845</v>
      </c>
    </row>
    <row r="2543" spans="1:11" hidden="1" x14ac:dyDescent="0.25">
      <c r="A2543">
        <v>2542</v>
      </c>
      <c r="B2543" s="1">
        <v>45749</v>
      </c>
      <c r="C2543" t="s">
        <v>11</v>
      </c>
      <c r="D2543" t="s">
        <v>119</v>
      </c>
      <c r="E2543" t="s">
        <v>8</v>
      </c>
      <c r="F2543">
        <v>1</v>
      </c>
      <c r="G2543" t="str">
        <f>VLOOKUP(D2543,Товары!A:I,3,0)</f>
        <v>Пенал навес./напол. Рица 350 cерый/керамика 2 двери</v>
      </c>
      <c r="H2543">
        <f>VLOOKUP(D2543,Товары!A:I,6,0)</f>
        <v>160</v>
      </c>
      <c r="I2543" t="str">
        <f>VLOOKUP(C2543,Магазины!A:C,3,0)</f>
        <v>Кемерово</v>
      </c>
      <c r="J2543">
        <f>VLOOKUP(D2543,Товары!A:I,4,0)</f>
        <v>11250</v>
      </c>
      <c r="K2543">
        <f t="shared" si="39"/>
        <v>11250</v>
      </c>
    </row>
    <row r="2544" spans="1:11" hidden="1" x14ac:dyDescent="0.25">
      <c r="A2544">
        <v>2543</v>
      </c>
      <c r="B2544" s="1">
        <v>45754</v>
      </c>
      <c r="C2544" t="s">
        <v>43</v>
      </c>
      <c r="D2544" t="s">
        <v>47</v>
      </c>
      <c r="E2544" t="s">
        <v>8</v>
      </c>
      <c r="F2544">
        <v>1</v>
      </c>
      <c r="G2544" t="str">
        <f>VLOOKUP(D2544,Товары!A:I,3,0)</f>
        <v>Пенал напол. Кристалл 350 шато азур 2 двери</v>
      </c>
      <c r="H2544">
        <f>VLOOKUP(D2544,Товары!A:I,6,0)</f>
        <v>190</v>
      </c>
      <c r="I2544" t="str">
        <f>VLOOKUP(C2544,Магазины!A:C,3,0)</f>
        <v>Набережные Челны</v>
      </c>
      <c r="J2544">
        <f>VLOOKUP(D2544,Товары!A:I,4,0)</f>
        <v>15810</v>
      </c>
      <c r="K2544">
        <f t="shared" si="39"/>
        <v>15810</v>
      </c>
    </row>
    <row r="2545" spans="1:11" hidden="1" x14ac:dyDescent="0.25">
      <c r="A2545">
        <v>2544</v>
      </c>
      <c r="B2545" s="1">
        <v>45750</v>
      </c>
      <c r="C2545" t="s">
        <v>48</v>
      </c>
      <c r="D2545" t="s">
        <v>117</v>
      </c>
      <c r="E2545" t="s">
        <v>8</v>
      </c>
      <c r="F2545">
        <v>3</v>
      </c>
      <c r="G2545" t="str">
        <f>VLOOKUP(D2545,Товары!A:I,3,0)</f>
        <v>Тумба с раковиной  навес. Альба 700 антрацит 2 ящика с умыв. Слим</v>
      </c>
      <c r="H2545">
        <f>VLOOKUP(D2545,Товары!A:I,6,0)</f>
        <v>60</v>
      </c>
      <c r="I2545" t="str">
        <f>VLOOKUP(C2545,Магазины!A:C,3,0)</f>
        <v>Ставрополь</v>
      </c>
      <c r="J2545">
        <f>VLOOKUP(D2545,Товары!A:I,4,0)</f>
        <v>25095</v>
      </c>
      <c r="K2545">
        <f t="shared" si="39"/>
        <v>75285</v>
      </c>
    </row>
    <row r="2546" spans="1:11" hidden="1" x14ac:dyDescent="0.25">
      <c r="A2546">
        <v>2545</v>
      </c>
      <c r="B2546" s="1">
        <v>45750</v>
      </c>
      <c r="C2546" t="s">
        <v>43</v>
      </c>
      <c r="D2546" t="s">
        <v>25</v>
      </c>
      <c r="E2546" t="s">
        <v>8</v>
      </c>
      <c r="F2546">
        <v>1</v>
      </c>
      <c r="G2546" t="str">
        <f>VLOOKUP(D2546,Товары!A:I,3,0)</f>
        <v>Пенал напол. Леон 400 оникс 2 двери + 1 ящик</v>
      </c>
      <c r="H2546">
        <f>VLOOKUP(D2546,Товары!A:I,6,0)</f>
        <v>190</v>
      </c>
      <c r="I2546" t="str">
        <f>VLOOKUP(C2546,Магазины!A:C,3,0)</f>
        <v>Набережные Челны</v>
      </c>
      <c r="J2546">
        <f>VLOOKUP(D2546,Товары!A:I,4,0)</f>
        <v>18450</v>
      </c>
      <c r="K2546">
        <f t="shared" si="39"/>
        <v>18450</v>
      </c>
    </row>
    <row r="2547" spans="1:11" hidden="1" x14ac:dyDescent="0.25">
      <c r="A2547">
        <v>2546</v>
      </c>
      <c r="B2547" s="1">
        <v>45750</v>
      </c>
      <c r="C2547" t="s">
        <v>30</v>
      </c>
      <c r="D2547" t="s">
        <v>49</v>
      </c>
      <c r="E2547" t="s">
        <v>8</v>
      </c>
      <c r="F2547">
        <v>2</v>
      </c>
      <c r="G2547" t="str">
        <f>VLOOKUP(D2547,Товары!A:I,3,0)</f>
        <v>Тумба с раковиной  напол. Леон 700 оникс 2 ящика с умыв. Слим</v>
      </c>
      <c r="H2547">
        <f>VLOOKUP(D2547,Товары!A:I,6,0)</f>
        <v>80</v>
      </c>
      <c r="I2547" t="str">
        <f>VLOOKUP(C2547,Магазины!A:C,3,0)</f>
        <v>Кемерово</v>
      </c>
      <c r="J2547">
        <f>VLOOKUP(D2547,Товары!A:I,4,0)</f>
        <v>28380</v>
      </c>
      <c r="K2547">
        <f t="shared" si="39"/>
        <v>56760</v>
      </c>
    </row>
    <row r="2548" spans="1:11" hidden="1" x14ac:dyDescent="0.25">
      <c r="A2548">
        <v>2547</v>
      </c>
      <c r="B2548" s="1">
        <v>45750</v>
      </c>
      <c r="C2548" t="s">
        <v>6</v>
      </c>
      <c r="D2548" t="s">
        <v>117</v>
      </c>
      <c r="E2548" t="s">
        <v>8</v>
      </c>
      <c r="F2548">
        <v>3</v>
      </c>
      <c r="G2548" t="str">
        <f>VLOOKUP(D2548,Товары!A:I,3,0)</f>
        <v>Тумба с раковиной  навес. Альба 700 антрацит 2 ящика с умыв. Слим</v>
      </c>
      <c r="H2548">
        <f>VLOOKUP(D2548,Товары!A:I,6,0)</f>
        <v>60</v>
      </c>
      <c r="I2548" t="str">
        <f>VLOOKUP(C2548,Магазины!A:C,3,0)</f>
        <v>Оренбург</v>
      </c>
      <c r="J2548">
        <f>VLOOKUP(D2548,Товары!A:I,4,0)</f>
        <v>25095</v>
      </c>
      <c r="K2548">
        <f t="shared" si="39"/>
        <v>75285</v>
      </c>
    </row>
    <row r="2549" spans="1:11" hidden="1" x14ac:dyDescent="0.25">
      <c r="A2549">
        <v>2548</v>
      </c>
      <c r="B2549" s="1">
        <v>45756</v>
      </c>
      <c r="C2549" t="s">
        <v>18</v>
      </c>
      <c r="D2549" t="s">
        <v>17</v>
      </c>
      <c r="E2549" t="s">
        <v>8</v>
      </c>
      <c r="F2549">
        <v>2</v>
      </c>
      <c r="G2549" t="str">
        <f>VLOOKUP(D2549,Товары!A:I,3,0)</f>
        <v>Тумба с раковиной  навес. Альба 800 антрацит 1 ящик с умыв. Слим</v>
      </c>
      <c r="H2549">
        <f>VLOOKUP(D2549,Товары!A:I,6,0)</f>
        <v>45</v>
      </c>
      <c r="I2549" t="str">
        <f>VLOOKUP(C2549,Магазины!A:C,3,0)</f>
        <v>Набережные Челны</v>
      </c>
      <c r="J2549">
        <f>VLOOKUP(D2549,Товары!A:I,4,0)</f>
        <v>21630</v>
      </c>
      <c r="K2549">
        <f t="shared" si="39"/>
        <v>43260</v>
      </c>
    </row>
    <row r="2550" spans="1:11" hidden="1" x14ac:dyDescent="0.25">
      <c r="A2550">
        <v>2549</v>
      </c>
      <c r="B2550" s="1">
        <v>45752</v>
      </c>
      <c r="C2550" t="s">
        <v>63</v>
      </c>
      <c r="D2550" t="s">
        <v>55</v>
      </c>
      <c r="E2550" t="s">
        <v>8</v>
      </c>
      <c r="F2550">
        <v>1</v>
      </c>
      <c r="G2550" t="str">
        <f>VLOOKUP(D2550,Товары!A:I,3,0)</f>
        <v>Тумба с раковиной  напол. Рица 600 cерый/керамика 2 ящика с умыв. Океан</v>
      </c>
      <c r="H2550">
        <f>VLOOKUP(D2550,Товары!A:I,6,0)</f>
        <v>80</v>
      </c>
      <c r="I2550" t="str">
        <f>VLOOKUP(C2550,Магазины!A:C,3,0)</f>
        <v>Ставрополь</v>
      </c>
      <c r="J2550">
        <f>VLOOKUP(D2550,Товары!A:I,4,0)</f>
        <v>25560</v>
      </c>
      <c r="K2550">
        <f t="shared" si="39"/>
        <v>25560</v>
      </c>
    </row>
    <row r="2551" spans="1:11" hidden="1" x14ac:dyDescent="0.25">
      <c r="A2551">
        <v>2550</v>
      </c>
      <c r="B2551" s="1">
        <v>45749</v>
      </c>
      <c r="C2551" t="s">
        <v>11</v>
      </c>
      <c r="D2551" t="s">
        <v>73</v>
      </c>
      <c r="E2551" t="s">
        <v>8</v>
      </c>
      <c r="F2551">
        <v>3</v>
      </c>
      <c r="G2551" t="str">
        <f>VLOOKUP(D2551,Товары!A:I,3,0)</f>
        <v>Зеркальный шкаф Альба 70 со светильником правый цвет антрацит</v>
      </c>
      <c r="H2551">
        <f>VLOOKUP(D2551,Товары!A:I,6,0)</f>
        <v>75</v>
      </c>
      <c r="I2551" t="str">
        <f>VLOOKUP(C2551,Магазины!A:C,3,0)</f>
        <v>Кемерово</v>
      </c>
      <c r="J2551">
        <f>VLOOKUP(D2551,Товары!A:I,4,0)</f>
        <v>9615</v>
      </c>
      <c r="K2551">
        <f t="shared" si="39"/>
        <v>28845</v>
      </c>
    </row>
    <row r="2552" spans="1:11" hidden="1" x14ac:dyDescent="0.25">
      <c r="A2552">
        <v>2551</v>
      </c>
      <c r="B2552" s="1">
        <v>45753</v>
      </c>
      <c r="C2552" t="s">
        <v>18</v>
      </c>
      <c r="D2552" t="s">
        <v>38</v>
      </c>
      <c r="E2552" t="s">
        <v>8</v>
      </c>
      <c r="F2552">
        <v>3</v>
      </c>
      <c r="G2552" t="str">
        <f>VLOOKUP(D2552,Товары!A:I,3,0)</f>
        <v>Тумба с раковиной  навес. Куба Риф 600 белый 2 ящика с умыв. Como</v>
      </c>
      <c r="H2552">
        <f>VLOOKUP(D2552,Товары!A:I,6,0)</f>
        <v>55</v>
      </c>
      <c r="I2552" t="str">
        <f>VLOOKUP(C2552,Магазины!A:C,3,0)</f>
        <v>Набережные Челны</v>
      </c>
      <c r="J2552">
        <f>VLOOKUP(D2552,Товары!A:I,4,0)</f>
        <v>14265</v>
      </c>
      <c r="K2552">
        <f t="shared" si="39"/>
        <v>42795</v>
      </c>
    </row>
    <row r="2553" spans="1:11" hidden="1" x14ac:dyDescent="0.25">
      <c r="A2553">
        <v>2552</v>
      </c>
      <c r="B2553" s="1">
        <v>45749</v>
      </c>
      <c r="C2553" t="s">
        <v>63</v>
      </c>
      <c r="D2553" t="s">
        <v>24</v>
      </c>
      <c r="E2553" t="s">
        <v>13</v>
      </c>
      <c r="F2553">
        <v>1</v>
      </c>
      <c r="G2553" t="str">
        <f>VLOOKUP(D2553,Товары!A:I,3,0)</f>
        <v>Тумба с раковиной  напол. Леон 600 форест 2 ящика с умыв. Слим</v>
      </c>
      <c r="H2553">
        <f>VLOOKUP(D2553,Товары!A:I,6,0)</f>
        <v>80</v>
      </c>
      <c r="I2553" t="str">
        <f>VLOOKUP(C2553,Магазины!A:C,3,0)</f>
        <v>Ставрополь</v>
      </c>
      <c r="J2553">
        <f>VLOOKUP(D2553,Товары!A:I,4,0)</f>
        <v>27150</v>
      </c>
      <c r="K2553">
        <f t="shared" si="39"/>
        <v>27150</v>
      </c>
    </row>
    <row r="2554" spans="1:11" hidden="1" x14ac:dyDescent="0.25">
      <c r="A2554">
        <v>2553</v>
      </c>
      <c r="B2554" s="1">
        <v>45754</v>
      </c>
      <c r="C2554" t="s">
        <v>30</v>
      </c>
      <c r="D2554" t="s">
        <v>107</v>
      </c>
      <c r="E2554" t="s">
        <v>8</v>
      </c>
      <c r="F2554">
        <v>1</v>
      </c>
      <c r="G2554" t="str">
        <f>VLOOKUP(D2554,Товары!A:I,3,0)</f>
        <v>Комод Аква 35 напольный 1 дверь белый правый</v>
      </c>
      <c r="H2554">
        <f>VLOOKUP(D2554,Товары!A:I,6,0)</f>
        <v>90</v>
      </c>
      <c r="I2554" t="str">
        <f>VLOOKUP(C2554,Магазины!A:C,3,0)</f>
        <v>Кемерово</v>
      </c>
      <c r="J2554">
        <f>VLOOKUP(D2554,Товары!A:I,4,0)</f>
        <v>6705</v>
      </c>
      <c r="K2554">
        <f t="shared" si="39"/>
        <v>6705</v>
      </c>
    </row>
    <row r="2555" spans="1:11" hidden="1" x14ac:dyDescent="0.25">
      <c r="A2555">
        <v>2554</v>
      </c>
      <c r="B2555" s="1">
        <v>45751</v>
      </c>
      <c r="C2555" t="s">
        <v>14</v>
      </c>
      <c r="D2555" t="s">
        <v>130</v>
      </c>
      <c r="E2555" t="s">
        <v>13</v>
      </c>
      <c r="F2555">
        <v>3</v>
      </c>
      <c r="G2555" t="str">
        <f>VLOOKUP(D2555,Товары!A:I,3,0)</f>
        <v>Пенал напол. Леон 400 форест 2 двери + 1 ящик</v>
      </c>
      <c r="H2555">
        <f>VLOOKUP(D2555,Товары!A:I,6,0)</f>
        <v>190</v>
      </c>
      <c r="I2555" t="str">
        <f>VLOOKUP(C2555,Магазины!A:C,3,0)</f>
        <v>Оренбург</v>
      </c>
      <c r="J2555">
        <f>VLOOKUP(D2555,Товары!A:I,4,0)</f>
        <v>18450</v>
      </c>
      <c r="K2555">
        <f t="shared" si="39"/>
        <v>55350</v>
      </c>
    </row>
    <row r="2556" spans="1:11" hidden="1" x14ac:dyDescent="0.25">
      <c r="A2556">
        <v>2555</v>
      </c>
      <c r="B2556" s="1">
        <v>45749</v>
      </c>
      <c r="C2556" t="s">
        <v>26</v>
      </c>
      <c r="D2556" t="s">
        <v>56</v>
      </c>
      <c r="E2556" t="s">
        <v>8</v>
      </c>
      <c r="F2556">
        <v>3</v>
      </c>
      <c r="G2556" t="str">
        <f>VLOOKUP(D2556,Товары!A:I,3,0)</f>
        <v>Зеркальный шкаф Альба 80 со светильником правый цвет мята</v>
      </c>
      <c r="H2556">
        <f>VLOOKUP(D2556,Товары!A:I,6,0)</f>
        <v>75</v>
      </c>
      <c r="I2556" t="str">
        <f>VLOOKUP(C2556,Магазины!A:C,3,0)</f>
        <v>Оренбург</v>
      </c>
      <c r="J2556">
        <f>VLOOKUP(D2556,Товары!A:I,4,0)</f>
        <v>9930</v>
      </c>
      <c r="K2556">
        <f t="shared" si="39"/>
        <v>29790</v>
      </c>
    </row>
    <row r="2557" spans="1:11" hidden="1" x14ac:dyDescent="0.25">
      <c r="A2557">
        <v>2556</v>
      </c>
      <c r="B2557" s="1">
        <v>45753</v>
      </c>
      <c r="C2557" t="s">
        <v>20</v>
      </c>
      <c r="D2557" t="s">
        <v>31</v>
      </c>
      <c r="E2557" t="s">
        <v>13</v>
      </c>
      <c r="F2557">
        <v>1</v>
      </c>
      <c r="G2557" t="str">
        <f>VLOOKUP(D2557,Товары!A:I,3,0)</f>
        <v>Пенал напол. Виктория 350 белый 2 двери</v>
      </c>
      <c r="H2557">
        <f>VLOOKUP(D2557,Товары!A:I,6,0)</f>
        <v>190</v>
      </c>
      <c r="I2557" t="str">
        <f>VLOOKUP(C2557,Магазины!A:C,3,0)</f>
        <v>Оренбург</v>
      </c>
      <c r="J2557">
        <f>VLOOKUP(D2557,Товары!A:I,4,0)</f>
        <v>14085</v>
      </c>
      <c r="K2557">
        <f t="shared" si="39"/>
        <v>14085</v>
      </c>
    </row>
    <row r="2558" spans="1:11" hidden="1" x14ac:dyDescent="0.25">
      <c r="A2558">
        <v>2557</v>
      </c>
      <c r="B2558" s="1">
        <v>45755</v>
      </c>
      <c r="C2558" t="s">
        <v>63</v>
      </c>
      <c r="D2558" t="s">
        <v>59</v>
      </c>
      <c r="E2558" t="s">
        <v>13</v>
      </c>
      <c r="F2558">
        <v>1</v>
      </c>
      <c r="G2558" t="str">
        <f>VLOOKUP(D2558,Товары!A:I,3,0)</f>
        <v>Тумба с раковиной  навес. Куба Риф 600 белый 2 ящика с умыв. Океан</v>
      </c>
      <c r="H2558">
        <f>VLOOKUP(D2558,Товары!A:I,6,0)</f>
        <v>55</v>
      </c>
      <c r="I2558" t="str">
        <f>VLOOKUP(C2558,Магазины!A:C,3,0)</f>
        <v>Ставрополь</v>
      </c>
      <c r="J2558">
        <f>VLOOKUP(D2558,Товары!A:I,4,0)</f>
        <v>15765</v>
      </c>
      <c r="K2558">
        <f t="shared" si="39"/>
        <v>15765</v>
      </c>
    </row>
    <row r="2559" spans="1:11" hidden="1" x14ac:dyDescent="0.25">
      <c r="A2559">
        <v>2558</v>
      </c>
      <c r="B2559" s="1">
        <v>45756</v>
      </c>
      <c r="C2559" t="s">
        <v>30</v>
      </c>
      <c r="D2559" t="s">
        <v>24</v>
      </c>
      <c r="E2559" t="s">
        <v>13</v>
      </c>
      <c r="F2559">
        <v>2</v>
      </c>
      <c r="G2559" t="str">
        <f>VLOOKUP(D2559,Товары!A:I,3,0)</f>
        <v>Тумба с раковиной  напол. Леон 600 форест 2 ящика с умыв. Слим</v>
      </c>
      <c r="H2559">
        <f>VLOOKUP(D2559,Товары!A:I,6,0)</f>
        <v>80</v>
      </c>
      <c r="I2559" t="str">
        <f>VLOOKUP(C2559,Магазины!A:C,3,0)</f>
        <v>Кемерово</v>
      </c>
      <c r="J2559">
        <f>VLOOKUP(D2559,Товары!A:I,4,0)</f>
        <v>27150</v>
      </c>
      <c r="K2559">
        <f t="shared" si="39"/>
        <v>54300</v>
      </c>
    </row>
    <row r="2560" spans="1:11" hidden="1" x14ac:dyDescent="0.25">
      <c r="A2560">
        <v>2559</v>
      </c>
      <c r="B2560" s="1">
        <v>45757</v>
      </c>
      <c r="C2560" t="s">
        <v>103</v>
      </c>
      <c r="D2560" t="s">
        <v>97</v>
      </c>
      <c r="E2560" t="s">
        <v>13</v>
      </c>
      <c r="F2560">
        <v>2</v>
      </c>
      <c r="G2560" t="str">
        <f>VLOOKUP(D2560,Товары!A:I,3,0)</f>
        <v>Пенал напол. Кристалл 350 суфле 2 двери</v>
      </c>
      <c r="H2560">
        <f>VLOOKUP(D2560,Товары!A:I,6,0)</f>
        <v>190</v>
      </c>
      <c r="I2560" t="str">
        <f>VLOOKUP(C2560,Магазины!A:C,3,0)</f>
        <v>Ставрополь</v>
      </c>
      <c r="J2560">
        <f>VLOOKUP(D2560,Товары!A:I,4,0)</f>
        <v>15810</v>
      </c>
      <c r="K2560">
        <f t="shared" si="39"/>
        <v>31620</v>
      </c>
    </row>
    <row r="2561" spans="1:11" hidden="1" x14ac:dyDescent="0.25">
      <c r="A2561">
        <v>2560</v>
      </c>
      <c r="B2561" s="1">
        <v>45749</v>
      </c>
      <c r="C2561" t="s">
        <v>58</v>
      </c>
      <c r="D2561" t="s">
        <v>27</v>
      </c>
      <c r="E2561" t="s">
        <v>8</v>
      </c>
      <c r="F2561">
        <v>2</v>
      </c>
      <c r="G2561" t="str">
        <f>VLOOKUP(D2561,Товары!A:I,3,0)</f>
        <v>Тумба с раковиной  навес. Виктория 800 белый 2 ящика с умыв. Слим</v>
      </c>
      <c r="H2561">
        <f>VLOOKUP(D2561,Товары!A:I,6,0)</f>
        <v>60</v>
      </c>
      <c r="I2561" t="str">
        <f>VLOOKUP(C2561,Магазины!A:C,3,0)</f>
        <v>Ставрополь</v>
      </c>
      <c r="J2561">
        <f>VLOOKUP(D2561,Товары!A:I,4,0)</f>
        <v>25290</v>
      </c>
      <c r="K2561">
        <f t="shared" si="39"/>
        <v>50580</v>
      </c>
    </row>
    <row r="2562" spans="1:11" hidden="1" x14ac:dyDescent="0.25">
      <c r="A2562">
        <v>2561</v>
      </c>
      <c r="B2562" s="1">
        <v>45755</v>
      </c>
      <c r="C2562" t="s">
        <v>28</v>
      </c>
      <c r="D2562" t="s">
        <v>102</v>
      </c>
      <c r="E2562" t="s">
        <v>13</v>
      </c>
      <c r="F2562">
        <v>2</v>
      </c>
      <c r="G2562" t="str">
        <f>VLOOKUP(D2562,Товары!A:I,3,0)</f>
        <v>Тумба с раковиной  напол. Леон Риф 1000 солярис/белый риф 2 ящика с умыв. Слим</v>
      </c>
      <c r="H2562">
        <f>VLOOKUP(D2562,Товары!A:I,6,0)</f>
        <v>85</v>
      </c>
      <c r="I2562" t="str">
        <f>VLOOKUP(C2562,Магазины!A:C,3,0)</f>
        <v>Набережные Челны</v>
      </c>
      <c r="J2562">
        <f>VLOOKUP(D2562,Товары!A:I,4,0)</f>
        <v>32085</v>
      </c>
      <c r="K2562">
        <f t="shared" si="39"/>
        <v>64170</v>
      </c>
    </row>
    <row r="2563" spans="1:11" hidden="1" x14ac:dyDescent="0.25">
      <c r="A2563">
        <v>2562</v>
      </c>
      <c r="B2563" s="1">
        <v>45748</v>
      </c>
      <c r="C2563" t="s">
        <v>48</v>
      </c>
      <c r="D2563" t="s">
        <v>44</v>
      </c>
      <c r="E2563" t="s">
        <v>13</v>
      </c>
      <c r="F2563">
        <v>2</v>
      </c>
      <c r="G2563" t="str">
        <f>VLOOKUP(D2563,Товары!A:I,3,0)</f>
        <v>Тумба с раковиной  навес. Кристалл 800 шато азур 2 ящика с умыв. Комфорт</v>
      </c>
      <c r="H2563">
        <f>VLOOKUP(D2563,Товары!A:I,6,0)</f>
        <v>55</v>
      </c>
      <c r="I2563" t="str">
        <f>VLOOKUP(C2563,Магазины!A:C,3,0)</f>
        <v>Ставрополь</v>
      </c>
      <c r="J2563">
        <f>VLOOKUP(D2563,Товары!A:I,4,0)</f>
        <v>25080</v>
      </c>
      <c r="K2563">
        <f t="shared" ref="K2563:K2626" si="40">J2563*F2563</f>
        <v>50160</v>
      </c>
    </row>
    <row r="2564" spans="1:11" hidden="1" x14ac:dyDescent="0.25">
      <c r="A2564">
        <v>2563</v>
      </c>
      <c r="B2564" s="1">
        <v>45749</v>
      </c>
      <c r="C2564" t="s">
        <v>35</v>
      </c>
      <c r="D2564" t="s">
        <v>53</v>
      </c>
      <c r="E2564" t="s">
        <v>13</v>
      </c>
      <c r="F2564">
        <v>2</v>
      </c>
      <c r="G2564" t="str">
        <f>VLOOKUP(D2564,Товары!A:I,3,0)</f>
        <v>Тумба с раковиной  напол. Кристалл 600 шато азур 2 ящика с умыв. Океан</v>
      </c>
      <c r="H2564">
        <f>VLOOKUP(D2564,Товары!A:I,6,0)</f>
        <v>85</v>
      </c>
      <c r="I2564" t="str">
        <f>VLOOKUP(C2564,Магазины!A:C,3,0)</f>
        <v>Набережные Челны</v>
      </c>
      <c r="J2564">
        <f>VLOOKUP(D2564,Товары!A:I,4,0)</f>
        <v>27600</v>
      </c>
      <c r="K2564">
        <f t="shared" si="40"/>
        <v>55200</v>
      </c>
    </row>
    <row r="2565" spans="1:11" hidden="1" x14ac:dyDescent="0.25">
      <c r="A2565">
        <v>2564</v>
      </c>
      <c r="B2565" s="1">
        <v>45757</v>
      </c>
      <c r="C2565" t="s">
        <v>92</v>
      </c>
      <c r="D2565" t="s">
        <v>38</v>
      </c>
      <c r="E2565" t="s">
        <v>8</v>
      </c>
      <c r="F2565">
        <v>3</v>
      </c>
      <c r="G2565" t="str">
        <f>VLOOKUP(D2565,Товары!A:I,3,0)</f>
        <v>Тумба с раковиной  навес. Куба Риф 600 белый 2 ящика с умыв. Como</v>
      </c>
      <c r="H2565">
        <f>VLOOKUP(D2565,Товары!A:I,6,0)</f>
        <v>55</v>
      </c>
      <c r="I2565" t="str">
        <f>VLOOKUP(C2565,Магазины!A:C,3,0)</f>
        <v>Кемерово</v>
      </c>
      <c r="J2565">
        <f>VLOOKUP(D2565,Товары!A:I,4,0)</f>
        <v>14265</v>
      </c>
      <c r="K2565">
        <f t="shared" si="40"/>
        <v>42795</v>
      </c>
    </row>
    <row r="2566" spans="1:11" hidden="1" x14ac:dyDescent="0.25">
      <c r="A2566">
        <v>2565</v>
      </c>
      <c r="B2566" s="1">
        <v>45751</v>
      </c>
      <c r="C2566" t="s">
        <v>33</v>
      </c>
      <c r="D2566" t="s">
        <v>72</v>
      </c>
      <c r="E2566" t="s">
        <v>13</v>
      </c>
      <c r="F2566">
        <v>2</v>
      </c>
      <c r="G2566" t="str">
        <f>VLOOKUP(D2566,Товары!A:I,3,0)</f>
        <v>Тумба с раковиной  напол. Сохо 600 белый 2 ящика с умыв. Океан</v>
      </c>
      <c r="H2566">
        <f>VLOOKUP(D2566,Товары!A:I,6,0)</f>
        <v>85</v>
      </c>
      <c r="I2566" t="str">
        <f>VLOOKUP(C2566,Магазины!A:C,3,0)</f>
        <v>Набережные Челны</v>
      </c>
      <c r="J2566">
        <f>VLOOKUP(D2566,Товары!A:I,4,0)</f>
        <v>16140</v>
      </c>
      <c r="K2566">
        <f t="shared" si="40"/>
        <v>32280</v>
      </c>
    </row>
    <row r="2567" spans="1:11" hidden="1" x14ac:dyDescent="0.25">
      <c r="A2567">
        <v>2566</v>
      </c>
      <c r="B2567" s="1">
        <v>45751</v>
      </c>
      <c r="C2567" t="s">
        <v>33</v>
      </c>
      <c r="D2567" t="s">
        <v>130</v>
      </c>
      <c r="E2567" t="s">
        <v>13</v>
      </c>
      <c r="F2567">
        <v>1</v>
      </c>
      <c r="G2567" t="str">
        <f>VLOOKUP(D2567,Товары!A:I,3,0)</f>
        <v>Пенал напол. Леон 400 форест 2 двери + 1 ящик</v>
      </c>
      <c r="H2567">
        <f>VLOOKUP(D2567,Товары!A:I,6,0)</f>
        <v>190</v>
      </c>
      <c r="I2567" t="str">
        <f>VLOOKUP(C2567,Магазины!A:C,3,0)</f>
        <v>Набережные Челны</v>
      </c>
      <c r="J2567">
        <f>VLOOKUP(D2567,Товары!A:I,4,0)</f>
        <v>18450</v>
      </c>
      <c r="K2567">
        <f t="shared" si="40"/>
        <v>18450</v>
      </c>
    </row>
    <row r="2568" spans="1:11" hidden="1" x14ac:dyDescent="0.25">
      <c r="A2568">
        <v>2567</v>
      </c>
      <c r="B2568" s="1">
        <v>45755</v>
      </c>
      <c r="C2568" t="s">
        <v>58</v>
      </c>
      <c r="D2568" t="s">
        <v>93</v>
      </c>
      <c r="E2568" t="s">
        <v>8</v>
      </c>
      <c r="F2568">
        <v>1</v>
      </c>
      <c r="G2568" t="str">
        <f>VLOOKUP(D2568,Товары!A:I,3,0)</f>
        <v>Тумба с раковиной  напол. Леон Риф 800 солярис/белый риф 2 ящика с умыв. Слим</v>
      </c>
      <c r="H2568">
        <f>VLOOKUP(D2568,Товары!A:I,6,0)</f>
        <v>80</v>
      </c>
      <c r="I2568" t="str">
        <f>VLOOKUP(C2568,Магазины!A:C,3,0)</f>
        <v>Ставрополь</v>
      </c>
      <c r="J2568">
        <f>VLOOKUP(D2568,Товары!A:I,4,0)</f>
        <v>29340</v>
      </c>
      <c r="K2568">
        <f t="shared" si="40"/>
        <v>29340</v>
      </c>
    </row>
    <row r="2569" spans="1:11" hidden="1" x14ac:dyDescent="0.25">
      <c r="A2569">
        <v>2568</v>
      </c>
      <c r="B2569" s="1">
        <v>45752</v>
      </c>
      <c r="C2569" t="s">
        <v>111</v>
      </c>
      <c r="D2569" t="s">
        <v>59</v>
      </c>
      <c r="E2569" t="s">
        <v>13</v>
      </c>
      <c r="F2569">
        <v>3</v>
      </c>
      <c r="G2569" t="str">
        <f>VLOOKUP(D2569,Товары!A:I,3,0)</f>
        <v>Тумба с раковиной  навес. Куба Риф 600 белый 2 ящика с умыв. Океан</v>
      </c>
      <c r="H2569">
        <f>VLOOKUP(D2569,Товары!A:I,6,0)</f>
        <v>55</v>
      </c>
      <c r="I2569" t="str">
        <f>VLOOKUP(C2569,Магазины!A:C,3,0)</f>
        <v>Набережные Челны</v>
      </c>
      <c r="J2569">
        <f>VLOOKUP(D2569,Товары!A:I,4,0)</f>
        <v>15765</v>
      </c>
      <c r="K2569">
        <f t="shared" si="40"/>
        <v>47295</v>
      </c>
    </row>
    <row r="2570" spans="1:11" hidden="1" x14ac:dyDescent="0.25">
      <c r="A2570">
        <v>2569</v>
      </c>
      <c r="B2570" s="1">
        <v>45752</v>
      </c>
      <c r="C2570" t="s">
        <v>11</v>
      </c>
      <c r="D2570" t="s">
        <v>73</v>
      </c>
      <c r="E2570" t="s">
        <v>8</v>
      </c>
      <c r="F2570">
        <v>2</v>
      </c>
      <c r="G2570" t="str">
        <f>VLOOKUP(D2570,Товары!A:I,3,0)</f>
        <v>Зеркальный шкаф Альба 70 со светильником правый цвет антрацит</v>
      </c>
      <c r="H2570">
        <f>VLOOKUP(D2570,Товары!A:I,6,0)</f>
        <v>75</v>
      </c>
      <c r="I2570" t="str">
        <f>VLOOKUP(C2570,Магазины!A:C,3,0)</f>
        <v>Кемерово</v>
      </c>
      <c r="J2570">
        <f>VLOOKUP(D2570,Товары!A:I,4,0)</f>
        <v>9615</v>
      </c>
      <c r="K2570">
        <f t="shared" si="40"/>
        <v>19230</v>
      </c>
    </row>
    <row r="2571" spans="1:11" hidden="1" x14ac:dyDescent="0.25">
      <c r="A2571">
        <v>2570</v>
      </c>
      <c r="B2571" s="1">
        <v>45751</v>
      </c>
      <c r="C2571" t="s">
        <v>9</v>
      </c>
      <c r="D2571" t="s">
        <v>107</v>
      </c>
      <c r="E2571" t="s">
        <v>13</v>
      </c>
      <c r="F2571">
        <v>2</v>
      </c>
      <c r="G2571" t="str">
        <f>VLOOKUP(D2571,Товары!A:I,3,0)</f>
        <v>Комод Аква 35 напольный 1 дверь белый правый</v>
      </c>
      <c r="H2571">
        <f>VLOOKUP(D2571,Товары!A:I,6,0)</f>
        <v>90</v>
      </c>
      <c r="I2571" t="str">
        <f>VLOOKUP(C2571,Магазины!A:C,3,0)</f>
        <v>Кемерово</v>
      </c>
      <c r="J2571">
        <f>VLOOKUP(D2571,Товары!A:I,4,0)</f>
        <v>6705</v>
      </c>
      <c r="K2571">
        <f t="shared" si="40"/>
        <v>13410</v>
      </c>
    </row>
    <row r="2572" spans="1:11" hidden="1" x14ac:dyDescent="0.25">
      <c r="A2572">
        <v>2571</v>
      </c>
      <c r="B2572" s="1">
        <v>45756</v>
      </c>
      <c r="C2572" t="s">
        <v>92</v>
      </c>
      <c r="D2572" t="s">
        <v>86</v>
      </c>
      <c r="E2572" t="s">
        <v>8</v>
      </c>
      <c r="F2572">
        <v>3</v>
      </c>
      <c r="G2572" t="str">
        <f>VLOOKUP(D2572,Товары!A:I,3,0)</f>
        <v>Комод Аква 50 напольный 1 ящик 2 двери белый</v>
      </c>
      <c r="H2572">
        <f>VLOOKUP(D2572,Товары!A:I,6,0)</f>
        <v>90</v>
      </c>
      <c r="I2572" t="str">
        <f>VLOOKUP(C2572,Магазины!A:C,3,0)</f>
        <v>Кемерово</v>
      </c>
      <c r="J2572">
        <f>VLOOKUP(D2572,Товары!A:I,4,0)</f>
        <v>7260</v>
      </c>
      <c r="K2572">
        <f t="shared" si="40"/>
        <v>21780</v>
      </c>
    </row>
    <row r="2573" spans="1:11" hidden="1" x14ac:dyDescent="0.25">
      <c r="A2573">
        <v>2572</v>
      </c>
      <c r="B2573" s="1">
        <v>45754</v>
      </c>
      <c r="C2573" t="s">
        <v>35</v>
      </c>
      <c r="D2573" t="s">
        <v>31</v>
      </c>
      <c r="E2573" t="s">
        <v>8</v>
      </c>
      <c r="F2573">
        <v>2</v>
      </c>
      <c r="G2573" t="str">
        <f>VLOOKUP(D2573,Товары!A:I,3,0)</f>
        <v>Пенал напол. Виктория 350 белый 2 двери</v>
      </c>
      <c r="H2573">
        <f>VLOOKUP(D2573,Товары!A:I,6,0)</f>
        <v>190</v>
      </c>
      <c r="I2573" t="str">
        <f>VLOOKUP(C2573,Магазины!A:C,3,0)</f>
        <v>Набережные Челны</v>
      </c>
      <c r="J2573">
        <f>VLOOKUP(D2573,Товары!A:I,4,0)</f>
        <v>14085</v>
      </c>
      <c r="K2573">
        <f t="shared" si="40"/>
        <v>28170</v>
      </c>
    </row>
    <row r="2574" spans="1:11" hidden="1" x14ac:dyDescent="0.25">
      <c r="A2574">
        <v>2573</v>
      </c>
      <c r="B2574" s="1">
        <v>45750</v>
      </c>
      <c r="C2574" t="s">
        <v>35</v>
      </c>
      <c r="D2574" t="s">
        <v>45</v>
      </c>
      <c r="E2574" t="s">
        <v>8</v>
      </c>
      <c r="F2574">
        <v>1</v>
      </c>
      <c r="G2574" t="str">
        <f>VLOOKUP(D2574,Товары!A:I,3,0)</f>
        <v>Зеркальный шкаф Рица 80 со светильником правый цвет cерый/керамика</v>
      </c>
      <c r="H2574">
        <f>VLOOKUP(D2574,Товары!A:I,6,0)</f>
        <v>75</v>
      </c>
      <c r="I2574" t="str">
        <f>VLOOKUP(C2574,Магазины!A:C,3,0)</f>
        <v>Набережные Челны</v>
      </c>
      <c r="J2574">
        <f>VLOOKUP(D2574,Товары!A:I,4,0)</f>
        <v>9930</v>
      </c>
      <c r="K2574">
        <f t="shared" si="40"/>
        <v>9930</v>
      </c>
    </row>
    <row r="2575" spans="1:11" hidden="1" x14ac:dyDescent="0.25">
      <c r="A2575">
        <v>2574</v>
      </c>
      <c r="B2575" s="1">
        <v>45754</v>
      </c>
      <c r="C2575" t="s">
        <v>26</v>
      </c>
      <c r="D2575" t="s">
        <v>61</v>
      </c>
      <c r="E2575" t="s">
        <v>8</v>
      </c>
      <c r="F2575">
        <v>2</v>
      </c>
      <c r="G2575" t="str">
        <f>VLOOKUP(D2575,Товары!A:I,3,0)</f>
        <v>Тумба под стиральную машину Леон Риф 57 напольная 2 ящика под ст/маш, без умывальника /под Marshall 120 Солярис/Белый Риф</v>
      </c>
      <c r="H2575">
        <f>VLOOKUP(D2575,Товары!A:I,6,0)</f>
        <v>85</v>
      </c>
      <c r="I2575" t="str">
        <f>VLOOKUP(C2575,Магазины!A:C,3,0)</f>
        <v>Оренбург</v>
      </c>
      <c r="J2575">
        <f>VLOOKUP(D2575,Товары!A:I,4,0)</f>
        <v>17430</v>
      </c>
      <c r="K2575">
        <f t="shared" si="40"/>
        <v>34860</v>
      </c>
    </row>
    <row r="2576" spans="1:11" hidden="1" x14ac:dyDescent="0.25">
      <c r="A2576">
        <v>2575</v>
      </c>
      <c r="B2576" s="1">
        <v>45754</v>
      </c>
      <c r="C2576" t="s">
        <v>28</v>
      </c>
      <c r="D2576" t="s">
        <v>123</v>
      </c>
      <c r="E2576" t="s">
        <v>8</v>
      </c>
      <c r="F2576">
        <v>3</v>
      </c>
      <c r="G2576" t="str">
        <f>VLOOKUP(D2576,Товары!A:I,3,0)</f>
        <v>Тумба с раковиной  напол. Кристалл 800 суфле 2 ящика с умыв. Слим</v>
      </c>
      <c r="H2576">
        <f>VLOOKUP(D2576,Товары!A:I,6,0)</f>
        <v>80</v>
      </c>
      <c r="I2576" t="str">
        <f>VLOOKUP(C2576,Магазины!A:C,3,0)</f>
        <v>Набережные Челны</v>
      </c>
      <c r="J2576">
        <f>VLOOKUP(D2576,Товары!A:I,4,0)</f>
        <v>31125</v>
      </c>
      <c r="K2576">
        <f t="shared" si="40"/>
        <v>93375</v>
      </c>
    </row>
    <row r="2577" spans="1:12" hidden="1" x14ac:dyDescent="0.25">
      <c r="A2577">
        <v>2576</v>
      </c>
      <c r="B2577" s="1">
        <v>45751</v>
      </c>
      <c r="C2577" t="s">
        <v>92</v>
      </c>
      <c r="D2577" t="s">
        <v>51</v>
      </c>
      <c r="E2577" t="s">
        <v>13</v>
      </c>
      <c r="F2577">
        <v>2</v>
      </c>
      <c r="G2577" t="str">
        <f>VLOOKUP(D2577,Товары!A:I,3,0)</f>
        <v>Зеркальный шкаф Альба 80 со светильником правый цвет суфле</v>
      </c>
      <c r="H2577">
        <f>VLOOKUP(D2577,Товары!A:I,6,0)</f>
        <v>75</v>
      </c>
      <c r="I2577" t="str">
        <f>VLOOKUP(C2577,Магазины!A:C,3,0)</f>
        <v>Кемерово</v>
      </c>
      <c r="J2577">
        <f>VLOOKUP(D2577,Товары!A:I,4,0)</f>
        <v>9930</v>
      </c>
      <c r="K2577">
        <f t="shared" si="40"/>
        <v>19860</v>
      </c>
    </row>
    <row r="2578" spans="1:12" hidden="1" x14ac:dyDescent="0.25">
      <c r="A2578">
        <v>2577</v>
      </c>
      <c r="B2578" s="1">
        <v>45753</v>
      </c>
      <c r="C2578" t="s">
        <v>11</v>
      </c>
      <c r="D2578" t="s">
        <v>108</v>
      </c>
      <c r="E2578" t="s">
        <v>8</v>
      </c>
      <c r="F2578">
        <v>3</v>
      </c>
      <c r="G2578" t="str">
        <f>VLOOKUP(D2578,Товары!A:I,3,0)</f>
        <v>Тумба с раковиной  навес. Виктория 1000 белый 2 ящика с умыв. Слим</v>
      </c>
      <c r="H2578">
        <f>VLOOKUP(D2578,Товары!A:I,6,0)</f>
        <v>60</v>
      </c>
      <c r="I2578" t="str">
        <f>VLOOKUP(C2578,Магазины!A:C,3,0)</f>
        <v>Кемерово</v>
      </c>
      <c r="J2578">
        <f>VLOOKUP(D2578,Товары!A:I,4,0)</f>
        <v>29205</v>
      </c>
      <c r="K2578">
        <f t="shared" si="40"/>
        <v>87615</v>
      </c>
    </row>
    <row r="2579" spans="1:12" hidden="1" x14ac:dyDescent="0.25">
      <c r="A2579">
        <v>2578</v>
      </c>
      <c r="B2579" s="1">
        <v>45752</v>
      </c>
      <c r="C2579" t="s">
        <v>103</v>
      </c>
      <c r="D2579" t="s">
        <v>36</v>
      </c>
      <c r="E2579" t="s">
        <v>8</v>
      </c>
      <c r="F2579">
        <v>1</v>
      </c>
      <c r="G2579" t="str">
        <f>VLOOKUP(D2579,Товары!A:I,3,0)</f>
        <v>Тумба с раковиной  напол. Альба 800 мята 2 ящика с умыв. Слим</v>
      </c>
      <c r="H2579">
        <f>VLOOKUP(D2579,Товары!A:I,6,0)</f>
        <v>80</v>
      </c>
      <c r="I2579" t="str">
        <f>VLOOKUP(C2579,Магазины!A:C,3,0)</f>
        <v>Ставрополь</v>
      </c>
      <c r="J2579">
        <f>VLOOKUP(D2579,Товары!A:I,4,0)</f>
        <v>29340</v>
      </c>
      <c r="K2579">
        <f t="shared" si="40"/>
        <v>29340</v>
      </c>
    </row>
    <row r="2580" spans="1:12" hidden="1" x14ac:dyDescent="0.25">
      <c r="A2580">
        <v>2579</v>
      </c>
      <c r="B2580" s="1">
        <v>45753</v>
      </c>
      <c r="C2580" t="s">
        <v>14</v>
      </c>
      <c r="D2580" t="s">
        <v>45</v>
      </c>
      <c r="E2580" t="s">
        <v>8</v>
      </c>
      <c r="F2580">
        <v>2</v>
      </c>
      <c r="G2580" t="str">
        <f>VLOOKUP(D2580,Товары!A:I,3,0)</f>
        <v>Зеркальный шкаф Рица 80 со светильником правый цвет cерый/керамика</v>
      </c>
      <c r="H2580">
        <f>VLOOKUP(D2580,Товары!A:I,6,0)</f>
        <v>75</v>
      </c>
      <c r="I2580" t="str">
        <f>VLOOKUP(C2580,Магазины!A:C,3,0)</f>
        <v>Оренбург</v>
      </c>
      <c r="J2580">
        <f>VLOOKUP(D2580,Товары!A:I,4,0)</f>
        <v>9930</v>
      </c>
      <c r="K2580">
        <f t="shared" si="40"/>
        <v>19860</v>
      </c>
    </row>
    <row r="2581" spans="1:12" x14ac:dyDescent="0.25">
      <c r="A2581">
        <v>2580</v>
      </c>
      <c r="B2581" s="1">
        <v>45753</v>
      </c>
      <c r="C2581" t="s">
        <v>92</v>
      </c>
      <c r="D2581" t="s">
        <v>60</v>
      </c>
      <c r="E2581" t="s">
        <v>13</v>
      </c>
      <c r="F2581">
        <v>2</v>
      </c>
      <c r="G2581" t="str">
        <f>VLOOKUP(D2581,Товары!A:I,3,0)</f>
        <v>Пенал навес. Куба Риф 350 белый 2 двери</v>
      </c>
      <c r="H2581">
        <f>VLOOKUP(D2581,Товары!A:I,6,0)</f>
        <v>150</v>
      </c>
      <c r="I2581" t="str">
        <f>VLOOKUP(C2581,Магазины!A:C,3,0)</f>
        <v>Кемерово</v>
      </c>
      <c r="J2581">
        <f>VLOOKUP(D2581,Товары!A:I,4,0)</f>
        <v>9720</v>
      </c>
      <c r="K2581">
        <f t="shared" si="40"/>
        <v>19440</v>
      </c>
      <c r="L2581">
        <v>384660</v>
      </c>
    </row>
    <row r="2582" spans="1:12" hidden="1" x14ac:dyDescent="0.25">
      <c r="A2582">
        <v>2581</v>
      </c>
      <c r="B2582" s="1">
        <v>45750</v>
      </c>
      <c r="C2582" t="s">
        <v>28</v>
      </c>
      <c r="D2582" t="s">
        <v>71</v>
      </c>
      <c r="E2582" t="s">
        <v>13</v>
      </c>
      <c r="F2582">
        <v>2</v>
      </c>
      <c r="G2582" t="str">
        <f>VLOOKUP(D2582,Товары!A:I,3,0)</f>
        <v>Тумба с раковиной  навес. Альба 600 мята 2 ящика с умыв. Океан</v>
      </c>
      <c r="H2582">
        <f>VLOOKUP(D2582,Товары!A:I,6,0)</f>
        <v>50</v>
      </c>
      <c r="I2582" t="str">
        <f>VLOOKUP(C2582,Магазины!A:C,3,0)</f>
        <v>Набережные Челны</v>
      </c>
      <c r="J2582">
        <f>VLOOKUP(D2582,Товары!A:I,4,0)</f>
        <v>24810</v>
      </c>
      <c r="K2582">
        <f t="shared" si="40"/>
        <v>49620</v>
      </c>
    </row>
    <row r="2583" spans="1:12" hidden="1" x14ac:dyDescent="0.25">
      <c r="A2583">
        <v>2582</v>
      </c>
      <c r="B2583" s="1">
        <v>45751</v>
      </c>
      <c r="C2583" t="s">
        <v>30</v>
      </c>
      <c r="D2583" t="s">
        <v>116</v>
      </c>
      <c r="E2583" t="s">
        <v>8</v>
      </c>
      <c r="F2583">
        <v>2</v>
      </c>
      <c r="G2583" t="str">
        <f>VLOOKUP(D2583,Товары!A:I,3,0)</f>
        <v>Зеркало Нева 60 дуб/белый со светильником</v>
      </c>
      <c r="H2583">
        <f>VLOOKUP(D2583,Товары!A:I,6,0)</f>
        <v>80</v>
      </c>
      <c r="I2583" t="str">
        <f>VLOOKUP(C2583,Магазины!A:C,3,0)</f>
        <v>Кемерово</v>
      </c>
      <c r="J2583">
        <f>VLOOKUP(D2583,Товары!A:I,4,0)</f>
        <v>5100</v>
      </c>
      <c r="K2583">
        <f t="shared" si="40"/>
        <v>10200</v>
      </c>
    </row>
    <row r="2584" spans="1:12" hidden="1" x14ac:dyDescent="0.25">
      <c r="A2584">
        <v>2583</v>
      </c>
      <c r="B2584" s="1">
        <v>45752</v>
      </c>
      <c r="C2584" t="s">
        <v>28</v>
      </c>
      <c r="D2584" t="s">
        <v>29</v>
      </c>
      <c r="E2584" t="s">
        <v>13</v>
      </c>
      <c r="F2584">
        <v>3</v>
      </c>
      <c r="G2584" t="str">
        <f>VLOOKUP(D2584,Товары!A:I,3,0)</f>
        <v>Тумба с раковиной  напол. Леон Риф 600 солярис/белый риф 2 ящика с умыв. Океан</v>
      </c>
      <c r="H2584">
        <f>VLOOKUP(D2584,Товары!A:I,6,0)</f>
        <v>80</v>
      </c>
      <c r="I2584" t="str">
        <f>VLOOKUP(C2584,Магазины!A:C,3,0)</f>
        <v>Набережные Челны</v>
      </c>
      <c r="J2584">
        <f>VLOOKUP(D2584,Товары!A:I,4,0)</f>
        <v>24150</v>
      </c>
      <c r="K2584">
        <f t="shared" si="40"/>
        <v>72450</v>
      </c>
    </row>
    <row r="2585" spans="1:12" hidden="1" x14ac:dyDescent="0.25">
      <c r="A2585">
        <v>2584</v>
      </c>
      <c r="B2585" s="1">
        <v>45751</v>
      </c>
      <c r="C2585" t="s">
        <v>20</v>
      </c>
      <c r="D2585" t="s">
        <v>85</v>
      </c>
      <c r="E2585" t="s">
        <v>13</v>
      </c>
      <c r="F2585">
        <v>1</v>
      </c>
      <c r="G2585" t="str">
        <f>VLOOKUP(D2585,Товары!A:I,3,0)</f>
        <v>Пенал напол. Аква 450 белый 2 двери + 2 ящика + корзина</v>
      </c>
      <c r="H2585">
        <f>VLOOKUP(D2585,Товары!A:I,6,0)</f>
        <v>190</v>
      </c>
      <c r="I2585" t="str">
        <f>VLOOKUP(C2585,Магазины!A:C,3,0)</f>
        <v>Оренбург</v>
      </c>
      <c r="J2585">
        <f>VLOOKUP(D2585,Товары!A:I,4,0)</f>
        <v>13335</v>
      </c>
      <c r="K2585">
        <f t="shared" si="40"/>
        <v>13335</v>
      </c>
    </row>
    <row r="2586" spans="1:12" hidden="1" x14ac:dyDescent="0.25">
      <c r="A2586">
        <v>2585</v>
      </c>
      <c r="B2586" s="1">
        <v>45749</v>
      </c>
      <c r="C2586" t="s">
        <v>103</v>
      </c>
      <c r="D2586" t="s">
        <v>7</v>
      </c>
      <c r="E2586" t="s">
        <v>8</v>
      </c>
      <c r="F2586">
        <v>2</v>
      </c>
      <c r="G2586" t="str">
        <f>VLOOKUP(D2586,Товары!A:I,3,0)</f>
        <v>Пенал напол. Леон Риф 400 солярис/белый риф 2 двери + 1 ящик</v>
      </c>
      <c r="H2586">
        <f>VLOOKUP(D2586,Товары!A:I,6,0)</f>
        <v>190</v>
      </c>
      <c r="I2586" t="str">
        <f>VLOOKUP(C2586,Магазины!A:C,3,0)</f>
        <v>Ставрополь</v>
      </c>
      <c r="J2586">
        <f>VLOOKUP(D2586,Товары!A:I,4,0)</f>
        <v>14490</v>
      </c>
      <c r="K2586">
        <f t="shared" si="40"/>
        <v>28980</v>
      </c>
    </row>
    <row r="2587" spans="1:12" hidden="1" x14ac:dyDescent="0.25">
      <c r="A2587">
        <v>2586</v>
      </c>
      <c r="B2587" s="1">
        <v>45751</v>
      </c>
      <c r="C2587" t="s">
        <v>14</v>
      </c>
      <c r="D2587" t="s">
        <v>70</v>
      </c>
      <c r="E2587" t="s">
        <v>8</v>
      </c>
      <c r="F2587">
        <v>1</v>
      </c>
      <c r="G2587" t="str">
        <f>VLOOKUP(D2587,Товары!A:I,3,0)</f>
        <v>Тумба с раковиной  напол. Кристалл 700 шато азур 2 ящика с умыв. Слим</v>
      </c>
      <c r="H2587">
        <f>VLOOKUP(D2587,Товары!A:I,6,0)</f>
        <v>85</v>
      </c>
      <c r="I2587" t="str">
        <f>VLOOKUP(C2587,Магазины!A:C,3,0)</f>
        <v>Оренбург</v>
      </c>
      <c r="J2587">
        <f>VLOOKUP(D2587,Товары!A:I,4,0)</f>
        <v>29910</v>
      </c>
      <c r="K2587">
        <f t="shared" si="40"/>
        <v>29910</v>
      </c>
    </row>
    <row r="2588" spans="1:12" hidden="1" x14ac:dyDescent="0.25">
      <c r="A2588">
        <v>2587</v>
      </c>
      <c r="B2588" s="1">
        <v>45748</v>
      </c>
      <c r="C2588" t="s">
        <v>26</v>
      </c>
      <c r="D2588" t="s">
        <v>100</v>
      </c>
      <c r="E2588" t="s">
        <v>13</v>
      </c>
      <c r="F2588">
        <v>1</v>
      </c>
      <c r="G2588" t="str">
        <f>VLOOKUP(D2588,Товары!A:I,3,0)</f>
        <v>Тумба с раковиной  навес. Альба 800 мята 1 ящик с умыв. Слим</v>
      </c>
      <c r="H2588">
        <f>VLOOKUP(D2588,Товары!A:I,6,0)</f>
        <v>45</v>
      </c>
      <c r="I2588" t="str">
        <f>VLOOKUP(C2588,Магазины!A:C,3,0)</f>
        <v>Оренбург</v>
      </c>
      <c r="J2588">
        <f>VLOOKUP(D2588,Товары!A:I,4,0)</f>
        <v>21630</v>
      </c>
      <c r="K2588">
        <f t="shared" si="40"/>
        <v>21630</v>
      </c>
    </row>
    <row r="2589" spans="1:12" hidden="1" x14ac:dyDescent="0.25">
      <c r="A2589">
        <v>2588</v>
      </c>
      <c r="B2589" s="1">
        <v>45751</v>
      </c>
      <c r="C2589" t="s">
        <v>103</v>
      </c>
      <c r="D2589" t="s">
        <v>107</v>
      </c>
      <c r="E2589" t="s">
        <v>8</v>
      </c>
      <c r="F2589">
        <v>3</v>
      </c>
      <c r="G2589" t="str">
        <f>VLOOKUP(D2589,Товары!A:I,3,0)</f>
        <v>Комод Аква 35 напольный 1 дверь белый правый</v>
      </c>
      <c r="H2589">
        <f>VLOOKUP(D2589,Товары!A:I,6,0)</f>
        <v>90</v>
      </c>
      <c r="I2589" t="str">
        <f>VLOOKUP(C2589,Магазины!A:C,3,0)</f>
        <v>Ставрополь</v>
      </c>
      <c r="J2589">
        <f>VLOOKUP(D2589,Товары!A:I,4,0)</f>
        <v>6705</v>
      </c>
      <c r="K2589">
        <f t="shared" si="40"/>
        <v>20115</v>
      </c>
    </row>
    <row r="2590" spans="1:12" hidden="1" x14ac:dyDescent="0.25">
      <c r="A2590">
        <v>2589</v>
      </c>
      <c r="B2590" s="1">
        <v>45755</v>
      </c>
      <c r="C2590" t="s">
        <v>57</v>
      </c>
      <c r="D2590" t="s">
        <v>44</v>
      </c>
      <c r="E2590" t="s">
        <v>8</v>
      </c>
      <c r="F2590">
        <v>3</v>
      </c>
      <c r="G2590" t="str">
        <f>VLOOKUP(D2590,Товары!A:I,3,0)</f>
        <v>Тумба с раковиной  навес. Кристалл 800 шато азур 2 ящика с умыв. Комфорт</v>
      </c>
      <c r="H2590">
        <f>VLOOKUP(D2590,Товары!A:I,6,0)</f>
        <v>55</v>
      </c>
      <c r="I2590" t="str">
        <f>VLOOKUP(C2590,Магазины!A:C,3,0)</f>
        <v>Оренбург</v>
      </c>
      <c r="J2590">
        <f>VLOOKUP(D2590,Товары!A:I,4,0)</f>
        <v>25080</v>
      </c>
      <c r="K2590">
        <f t="shared" si="40"/>
        <v>75240</v>
      </c>
    </row>
    <row r="2591" spans="1:12" hidden="1" x14ac:dyDescent="0.25">
      <c r="A2591">
        <v>2590</v>
      </c>
      <c r="B2591" s="1">
        <v>45748</v>
      </c>
      <c r="C2591" t="s">
        <v>58</v>
      </c>
      <c r="D2591" t="s">
        <v>67</v>
      </c>
      <c r="E2591" t="s">
        <v>8</v>
      </c>
      <c r="F2591">
        <v>1</v>
      </c>
      <c r="G2591" t="str">
        <f>VLOOKUP(D2591,Товары!A:I,3,0)</f>
        <v>Пенал навес./напол. Альба 350 суфле 2 двери</v>
      </c>
      <c r="H2591">
        <f>VLOOKUP(D2591,Товары!A:I,6,0)</f>
        <v>150</v>
      </c>
      <c r="I2591" t="str">
        <f>VLOOKUP(C2591,Магазины!A:C,3,0)</f>
        <v>Ставрополь</v>
      </c>
      <c r="J2591">
        <f>VLOOKUP(D2591,Товары!A:I,4,0)</f>
        <v>11655</v>
      </c>
      <c r="K2591">
        <f t="shared" si="40"/>
        <v>11655</v>
      </c>
    </row>
    <row r="2592" spans="1:12" hidden="1" x14ac:dyDescent="0.25">
      <c r="A2592">
        <v>2591</v>
      </c>
      <c r="B2592" s="1">
        <v>45748</v>
      </c>
      <c r="C2592" t="s">
        <v>18</v>
      </c>
      <c r="D2592" t="s">
        <v>106</v>
      </c>
      <c r="E2592" t="s">
        <v>13</v>
      </c>
      <c r="F2592">
        <v>3</v>
      </c>
      <c r="G2592" t="str">
        <f>VLOOKUP(D2592,Товары!A:I,3,0)</f>
        <v>Тумба с раковиной  навес. Кристалл 700 шато азур 2 ящика с умыв. Слим</v>
      </c>
      <c r="H2592">
        <f>VLOOKUP(D2592,Товары!A:I,6,0)</f>
        <v>60</v>
      </c>
      <c r="I2592" t="str">
        <f>VLOOKUP(C2592,Магазины!A:C,3,0)</f>
        <v>Набережные Челны</v>
      </c>
      <c r="J2592">
        <f>VLOOKUP(D2592,Товары!A:I,4,0)</f>
        <v>24150</v>
      </c>
      <c r="K2592">
        <f t="shared" si="40"/>
        <v>72450</v>
      </c>
    </row>
    <row r="2593" spans="1:11" hidden="1" x14ac:dyDescent="0.25">
      <c r="A2593">
        <v>2592</v>
      </c>
      <c r="B2593" s="1">
        <v>45755</v>
      </c>
      <c r="C2593" t="s">
        <v>11</v>
      </c>
      <c r="D2593" t="s">
        <v>10</v>
      </c>
      <c r="E2593" t="s">
        <v>8</v>
      </c>
      <c r="F2593">
        <v>3</v>
      </c>
      <c r="G2593" t="str">
        <f>VLOOKUP(D2593,Товары!A:I,3,0)</f>
        <v>Тумба с раковиной  навес. Альба 700 антрацит 1 ящик с умыв. Слим</v>
      </c>
      <c r="H2593">
        <f>VLOOKUP(D2593,Товары!A:I,6,0)</f>
        <v>45</v>
      </c>
      <c r="I2593" t="str">
        <f>VLOOKUP(C2593,Магазины!A:C,3,0)</f>
        <v>Кемерово</v>
      </c>
      <c r="J2593">
        <f>VLOOKUP(D2593,Товары!A:I,4,0)</f>
        <v>20130</v>
      </c>
      <c r="K2593">
        <f t="shared" si="40"/>
        <v>60390</v>
      </c>
    </row>
    <row r="2594" spans="1:11" hidden="1" x14ac:dyDescent="0.25">
      <c r="A2594">
        <v>2593</v>
      </c>
      <c r="B2594" s="1">
        <v>45749</v>
      </c>
      <c r="C2594" t="s">
        <v>14</v>
      </c>
      <c r="D2594" t="s">
        <v>117</v>
      </c>
      <c r="E2594" t="s">
        <v>13</v>
      </c>
      <c r="F2594">
        <v>1</v>
      </c>
      <c r="G2594" t="str">
        <f>VLOOKUP(D2594,Товары!A:I,3,0)</f>
        <v>Тумба с раковиной  навес. Альба 700 антрацит 2 ящика с умыв. Слим</v>
      </c>
      <c r="H2594">
        <f>VLOOKUP(D2594,Товары!A:I,6,0)</f>
        <v>60</v>
      </c>
      <c r="I2594" t="str">
        <f>VLOOKUP(C2594,Магазины!A:C,3,0)</f>
        <v>Оренбург</v>
      </c>
      <c r="J2594">
        <f>VLOOKUP(D2594,Товары!A:I,4,0)</f>
        <v>25095</v>
      </c>
      <c r="K2594">
        <f t="shared" si="40"/>
        <v>25095</v>
      </c>
    </row>
    <row r="2595" spans="1:11" hidden="1" x14ac:dyDescent="0.25">
      <c r="A2595">
        <v>2594</v>
      </c>
      <c r="B2595" s="1">
        <v>45754</v>
      </c>
      <c r="C2595" t="s">
        <v>18</v>
      </c>
      <c r="D2595" t="s">
        <v>110</v>
      </c>
      <c r="E2595" t="s">
        <v>13</v>
      </c>
      <c r="F2595">
        <v>2</v>
      </c>
      <c r="G2595" t="str">
        <f>VLOOKUP(D2595,Товары!A:I,3,0)</f>
        <v>Тумба с раковиной  напол. Альба 600 антрацит 2 ящика с умыв. Океан</v>
      </c>
      <c r="H2595">
        <f>VLOOKUP(D2595,Товары!A:I,6,0)</f>
        <v>80</v>
      </c>
      <c r="I2595" t="str">
        <f>VLOOKUP(C2595,Магазины!A:C,3,0)</f>
        <v>Набережные Челны</v>
      </c>
      <c r="J2595">
        <f>VLOOKUP(D2595,Товары!A:I,4,0)</f>
        <v>26370</v>
      </c>
      <c r="K2595">
        <f t="shared" si="40"/>
        <v>52740</v>
      </c>
    </row>
    <row r="2596" spans="1:11" hidden="1" x14ac:dyDescent="0.25">
      <c r="A2596">
        <v>2595</v>
      </c>
      <c r="B2596" s="1">
        <v>45748</v>
      </c>
      <c r="C2596" t="s">
        <v>9</v>
      </c>
      <c r="D2596" t="s">
        <v>115</v>
      </c>
      <c r="E2596" t="s">
        <v>8</v>
      </c>
      <c r="F2596">
        <v>3</v>
      </c>
      <c r="G2596" t="str">
        <f>VLOOKUP(D2596,Товары!A:I,3,0)</f>
        <v>Тумба под стиральную машину Куба Риф 57 напольная 2 ящика под ст/маш, без умывальника /под Marshall 120 Белый</v>
      </c>
      <c r="H2596">
        <f>VLOOKUP(D2596,Товары!A:I,6,0)</f>
        <v>85</v>
      </c>
      <c r="I2596" t="str">
        <f>VLOOKUP(C2596,Магазины!A:C,3,0)</f>
        <v>Кемерово</v>
      </c>
      <c r="J2596">
        <f>VLOOKUP(D2596,Товары!A:I,4,0)</f>
        <v>10530</v>
      </c>
      <c r="K2596">
        <f t="shared" si="40"/>
        <v>31590</v>
      </c>
    </row>
    <row r="2597" spans="1:11" hidden="1" x14ac:dyDescent="0.25">
      <c r="A2597">
        <v>2596</v>
      </c>
      <c r="B2597" s="1">
        <v>45748</v>
      </c>
      <c r="C2597" t="s">
        <v>48</v>
      </c>
      <c r="D2597" t="s">
        <v>74</v>
      </c>
      <c r="E2597" t="s">
        <v>8</v>
      </c>
      <c r="F2597">
        <v>3</v>
      </c>
      <c r="G2597" t="str">
        <f>VLOOKUP(D2597,Товары!A:I,3,0)</f>
        <v>Тумба с раковиной  напол. Альба 800 суфле 2 ящика с умыв. Слим</v>
      </c>
      <c r="H2597">
        <f>VLOOKUP(D2597,Товары!A:I,6,0)</f>
        <v>80</v>
      </c>
      <c r="I2597" t="str">
        <f>VLOOKUP(C2597,Магазины!A:C,3,0)</f>
        <v>Ставрополь</v>
      </c>
      <c r="J2597">
        <f>VLOOKUP(D2597,Товары!A:I,4,0)</f>
        <v>29340</v>
      </c>
      <c r="K2597">
        <f t="shared" si="40"/>
        <v>88020</v>
      </c>
    </row>
    <row r="2598" spans="1:11" hidden="1" x14ac:dyDescent="0.25">
      <c r="A2598">
        <v>2597</v>
      </c>
      <c r="B2598" s="1">
        <v>45751</v>
      </c>
      <c r="C2598" t="s">
        <v>41</v>
      </c>
      <c r="D2598" t="s">
        <v>19</v>
      </c>
      <c r="E2598" t="s">
        <v>8</v>
      </c>
      <c r="F2598">
        <v>1</v>
      </c>
      <c r="G2598" t="str">
        <f>VLOOKUP(D2598,Товары!A:I,3,0)</f>
        <v>Тумба с раковиной  навес. Леон 800 оникс 2 ящика с умыв. Слим</v>
      </c>
      <c r="H2598">
        <f>VLOOKUP(D2598,Товары!A:I,6,0)</f>
        <v>60</v>
      </c>
      <c r="I2598" t="str">
        <f>VLOOKUP(C2598,Магазины!A:C,3,0)</f>
        <v>Ставрополь</v>
      </c>
      <c r="J2598">
        <f>VLOOKUP(D2598,Товары!A:I,4,0)</f>
        <v>27930</v>
      </c>
      <c r="K2598">
        <f t="shared" si="40"/>
        <v>27930</v>
      </c>
    </row>
    <row r="2599" spans="1:11" hidden="1" x14ac:dyDescent="0.25">
      <c r="A2599">
        <v>2598</v>
      </c>
      <c r="B2599" s="1">
        <v>45755</v>
      </c>
      <c r="C2599" t="s">
        <v>30</v>
      </c>
      <c r="D2599" t="s">
        <v>112</v>
      </c>
      <c r="E2599" t="s">
        <v>8</v>
      </c>
      <c r="F2599">
        <v>3</v>
      </c>
      <c r="G2599" t="str">
        <f>VLOOKUP(D2599,Товары!A:I,3,0)</f>
        <v>Тумба с раковиной  напол. Аква 560 белый 2 двери с умыв. Уют</v>
      </c>
      <c r="H2599">
        <f>VLOOKUP(D2599,Товары!A:I,6,0)</f>
        <v>85</v>
      </c>
      <c r="I2599" t="str">
        <f>VLOOKUP(C2599,Магазины!A:C,3,0)</f>
        <v>Кемерово</v>
      </c>
      <c r="J2599">
        <f>VLOOKUP(D2599,Товары!A:I,4,0)</f>
        <v>9330</v>
      </c>
      <c r="K2599">
        <f t="shared" si="40"/>
        <v>27990</v>
      </c>
    </row>
    <row r="2600" spans="1:11" hidden="1" x14ac:dyDescent="0.25">
      <c r="A2600">
        <v>2599</v>
      </c>
      <c r="B2600" s="1">
        <v>45751</v>
      </c>
      <c r="C2600" t="s">
        <v>111</v>
      </c>
      <c r="D2600" t="s">
        <v>78</v>
      </c>
      <c r="E2600" t="s">
        <v>8</v>
      </c>
      <c r="F2600">
        <v>2</v>
      </c>
      <c r="G2600" t="str">
        <f>VLOOKUP(D2600,Товары!A:I,3,0)</f>
        <v>Зеркальный шкаф Кристалл 70 со светильником правый, ручка кнопка дуб цвет Шато Азур</v>
      </c>
      <c r="H2600">
        <f>VLOOKUP(D2600,Товары!A:I,6,0)</f>
        <v>75</v>
      </c>
      <c r="I2600" t="str">
        <f>VLOOKUP(C2600,Магазины!A:C,3,0)</f>
        <v>Набережные Челны</v>
      </c>
      <c r="J2600">
        <f>VLOOKUP(D2600,Товары!A:I,4,0)</f>
        <v>9615</v>
      </c>
      <c r="K2600">
        <f t="shared" si="40"/>
        <v>19230</v>
      </c>
    </row>
    <row r="2601" spans="1:11" hidden="1" x14ac:dyDescent="0.25">
      <c r="A2601">
        <v>2600</v>
      </c>
      <c r="B2601" s="1">
        <v>45757</v>
      </c>
      <c r="C2601" t="s">
        <v>111</v>
      </c>
      <c r="D2601" t="s">
        <v>129</v>
      </c>
      <c r="E2601" t="s">
        <v>13</v>
      </c>
      <c r="F2601">
        <v>1</v>
      </c>
      <c r="G2601" t="str">
        <f>VLOOKUP(D2601,Товары!A:I,3,0)</f>
        <v>Тумба с раковиной  напол. Альба 700 антрацит 2 ящика с умыв. Слим</v>
      </c>
      <c r="H2601">
        <f>VLOOKUP(D2601,Товары!A:I,6,0)</f>
        <v>85</v>
      </c>
      <c r="I2601" t="str">
        <f>VLOOKUP(C2601,Магазины!A:C,3,0)</f>
        <v>Набережные Челны</v>
      </c>
      <c r="J2601">
        <f>VLOOKUP(D2601,Товары!A:I,4,0)</f>
        <v>28695</v>
      </c>
      <c r="K2601">
        <f t="shared" si="40"/>
        <v>28695</v>
      </c>
    </row>
    <row r="2602" spans="1:11" hidden="1" x14ac:dyDescent="0.25">
      <c r="A2602">
        <v>2601</v>
      </c>
      <c r="B2602" s="1">
        <v>45749</v>
      </c>
      <c r="C2602" t="s">
        <v>30</v>
      </c>
      <c r="D2602" t="s">
        <v>40</v>
      </c>
      <c r="E2602" t="s">
        <v>13</v>
      </c>
      <c r="F2602">
        <v>2</v>
      </c>
      <c r="G2602" t="str">
        <f>VLOOKUP(D2602,Товары!A:I,3,0)</f>
        <v>Тумба с раковиной  навес. Рица 800 cерый/керамика 1 ящик + ниша 1 с умыв. Слим</v>
      </c>
      <c r="H2602">
        <f>VLOOKUP(D2602,Товары!A:I,6,0)</f>
        <v>60</v>
      </c>
      <c r="I2602" t="str">
        <f>VLOOKUP(C2602,Магазины!A:C,3,0)</f>
        <v>Кемерово</v>
      </c>
      <c r="J2602">
        <f>VLOOKUP(D2602,Товары!A:I,4,0)</f>
        <v>22425</v>
      </c>
      <c r="K2602">
        <f t="shared" si="40"/>
        <v>44850</v>
      </c>
    </row>
    <row r="2603" spans="1:11" hidden="1" x14ac:dyDescent="0.25">
      <c r="A2603">
        <v>2602</v>
      </c>
      <c r="B2603" s="1">
        <v>45755</v>
      </c>
      <c r="C2603" t="s">
        <v>16</v>
      </c>
      <c r="D2603" t="s">
        <v>100</v>
      </c>
      <c r="E2603" t="s">
        <v>13</v>
      </c>
      <c r="F2603">
        <v>1</v>
      </c>
      <c r="G2603" t="str">
        <f>VLOOKUP(D2603,Товары!A:I,3,0)</f>
        <v>Тумба с раковиной  навес. Альба 800 мята 1 ящик с умыв. Слим</v>
      </c>
      <c r="H2603">
        <f>VLOOKUP(D2603,Товары!A:I,6,0)</f>
        <v>45</v>
      </c>
      <c r="I2603" t="str">
        <f>VLOOKUP(C2603,Магазины!A:C,3,0)</f>
        <v>Оренбург</v>
      </c>
      <c r="J2603">
        <f>VLOOKUP(D2603,Товары!A:I,4,0)</f>
        <v>21630</v>
      </c>
      <c r="K2603">
        <f t="shared" si="40"/>
        <v>21630</v>
      </c>
    </row>
    <row r="2604" spans="1:11" hidden="1" x14ac:dyDescent="0.25">
      <c r="A2604">
        <v>2603</v>
      </c>
      <c r="B2604" s="1">
        <v>45757</v>
      </c>
      <c r="C2604" t="s">
        <v>41</v>
      </c>
      <c r="D2604" t="s">
        <v>65</v>
      </c>
      <c r="E2604" t="s">
        <v>13</v>
      </c>
      <c r="F2604">
        <v>2</v>
      </c>
      <c r="G2604" t="str">
        <f>VLOOKUP(D2604,Товары!A:I,3,0)</f>
        <v>Тумба с раковиной  навес. Альба 800 суфле 2 ящика с умыв. Слим</v>
      </c>
      <c r="H2604">
        <f>VLOOKUP(D2604,Товары!A:I,6,0)</f>
        <v>50</v>
      </c>
      <c r="I2604" t="str">
        <f>VLOOKUP(C2604,Магазины!A:C,3,0)</f>
        <v>Ставрополь</v>
      </c>
      <c r="J2604">
        <f>VLOOKUP(D2604,Товары!A:I,4,0)</f>
        <v>26070</v>
      </c>
      <c r="K2604">
        <f t="shared" si="40"/>
        <v>52140</v>
      </c>
    </row>
    <row r="2605" spans="1:11" hidden="1" x14ac:dyDescent="0.25">
      <c r="A2605">
        <v>2604</v>
      </c>
      <c r="B2605" s="1">
        <v>45749</v>
      </c>
      <c r="C2605" t="s">
        <v>14</v>
      </c>
      <c r="D2605" t="s">
        <v>45</v>
      </c>
      <c r="E2605" t="s">
        <v>13</v>
      </c>
      <c r="F2605">
        <v>2</v>
      </c>
      <c r="G2605" t="str">
        <f>VLOOKUP(D2605,Товары!A:I,3,0)</f>
        <v>Зеркальный шкаф Рица 80 со светильником правый цвет cерый/керамика</v>
      </c>
      <c r="H2605">
        <f>VLOOKUP(D2605,Товары!A:I,6,0)</f>
        <v>75</v>
      </c>
      <c r="I2605" t="str">
        <f>VLOOKUP(C2605,Магазины!A:C,3,0)</f>
        <v>Оренбург</v>
      </c>
      <c r="J2605">
        <f>VLOOKUP(D2605,Товары!A:I,4,0)</f>
        <v>9930</v>
      </c>
      <c r="K2605">
        <f t="shared" si="40"/>
        <v>19860</v>
      </c>
    </row>
    <row r="2606" spans="1:11" hidden="1" x14ac:dyDescent="0.25">
      <c r="A2606">
        <v>2605</v>
      </c>
      <c r="B2606" s="1">
        <v>45749</v>
      </c>
      <c r="C2606" t="s">
        <v>54</v>
      </c>
      <c r="D2606" t="s">
        <v>104</v>
      </c>
      <c r="E2606" t="s">
        <v>13</v>
      </c>
      <c r="F2606">
        <v>2</v>
      </c>
      <c r="G2606" t="str">
        <f>VLOOKUP(D2606,Товары!A:I,3,0)</f>
        <v>Тумба под стиральную машину Куба Риф 57 подвесная 2 ящика под ст/маш, без умывальника /под Marshall 120 Белый</v>
      </c>
      <c r="H2606">
        <f>VLOOKUP(D2606,Товары!A:I,6,0)</f>
        <v>50</v>
      </c>
      <c r="I2606" t="str">
        <f>VLOOKUP(C2606,Магазины!A:C,3,0)</f>
        <v>Ставрополь</v>
      </c>
      <c r="J2606">
        <f>VLOOKUP(D2606,Товары!A:I,4,0)</f>
        <v>8505</v>
      </c>
      <c r="K2606">
        <f t="shared" si="40"/>
        <v>17010</v>
      </c>
    </row>
    <row r="2607" spans="1:11" hidden="1" x14ac:dyDescent="0.25">
      <c r="A2607">
        <v>2606</v>
      </c>
      <c r="B2607" s="1">
        <v>45752</v>
      </c>
      <c r="C2607" t="s">
        <v>20</v>
      </c>
      <c r="D2607" t="s">
        <v>61</v>
      </c>
      <c r="E2607" t="s">
        <v>13</v>
      </c>
      <c r="F2607">
        <v>3</v>
      </c>
      <c r="G2607" t="str">
        <f>VLOOKUP(D2607,Товары!A:I,3,0)</f>
        <v>Тумба под стиральную машину Леон Риф 57 напольная 2 ящика под ст/маш, без умывальника /под Marshall 120 Солярис/Белый Риф</v>
      </c>
      <c r="H2607">
        <f>VLOOKUP(D2607,Товары!A:I,6,0)</f>
        <v>85</v>
      </c>
      <c r="I2607" t="str">
        <f>VLOOKUP(C2607,Магазины!A:C,3,0)</f>
        <v>Оренбург</v>
      </c>
      <c r="J2607">
        <f>VLOOKUP(D2607,Товары!A:I,4,0)</f>
        <v>17430</v>
      </c>
      <c r="K2607">
        <f t="shared" si="40"/>
        <v>52290</v>
      </c>
    </row>
    <row r="2608" spans="1:11" hidden="1" x14ac:dyDescent="0.25">
      <c r="A2608">
        <v>2607</v>
      </c>
      <c r="B2608" s="1">
        <v>45751</v>
      </c>
      <c r="C2608" t="s">
        <v>41</v>
      </c>
      <c r="D2608" t="s">
        <v>78</v>
      </c>
      <c r="E2608" t="s">
        <v>8</v>
      </c>
      <c r="F2608">
        <v>3</v>
      </c>
      <c r="G2608" t="str">
        <f>VLOOKUP(D2608,Товары!A:I,3,0)</f>
        <v>Зеркальный шкаф Кристалл 70 со светильником правый, ручка кнопка дуб цвет Шато Азур</v>
      </c>
      <c r="H2608">
        <f>VLOOKUP(D2608,Товары!A:I,6,0)</f>
        <v>75</v>
      </c>
      <c r="I2608" t="str">
        <f>VLOOKUP(C2608,Магазины!A:C,3,0)</f>
        <v>Ставрополь</v>
      </c>
      <c r="J2608">
        <f>VLOOKUP(D2608,Товары!A:I,4,0)</f>
        <v>9615</v>
      </c>
      <c r="K2608">
        <f t="shared" si="40"/>
        <v>28845</v>
      </c>
    </row>
    <row r="2609" spans="1:11" hidden="1" x14ac:dyDescent="0.25">
      <c r="A2609">
        <v>2608</v>
      </c>
      <c r="B2609" s="1">
        <v>45750</v>
      </c>
      <c r="C2609" t="s">
        <v>57</v>
      </c>
      <c r="D2609" t="s">
        <v>84</v>
      </c>
      <c r="E2609" t="s">
        <v>13</v>
      </c>
      <c r="F2609">
        <v>2</v>
      </c>
      <c r="G2609" t="str">
        <f>VLOOKUP(D2609,Товары!A:I,3,0)</f>
        <v>Тумба с раковиной  напол. Куба Риф 800 белый 3 двери с умыв. Слим</v>
      </c>
      <c r="H2609">
        <f>VLOOKUP(D2609,Товары!A:I,6,0)</f>
        <v>85</v>
      </c>
      <c r="I2609" t="str">
        <f>VLOOKUP(C2609,Магазины!A:C,3,0)</f>
        <v>Оренбург</v>
      </c>
      <c r="J2609">
        <f>VLOOKUP(D2609,Товары!A:I,4,0)</f>
        <v>19920</v>
      </c>
      <c r="K2609">
        <f t="shared" si="40"/>
        <v>39840</v>
      </c>
    </row>
    <row r="2610" spans="1:11" hidden="1" x14ac:dyDescent="0.25">
      <c r="A2610">
        <v>2609</v>
      </c>
      <c r="B2610" s="1">
        <v>45750</v>
      </c>
      <c r="C2610" t="s">
        <v>111</v>
      </c>
      <c r="D2610" t="s">
        <v>118</v>
      </c>
      <c r="E2610" t="s">
        <v>13</v>
      </c>
      <c r="F2610">
        <v>1</v>
      </c>
      <c r="G2610" t="str">
        <f>VLOOKUP(D2610,Товары!A:I,3,0)</f>
        <v>Тумба с раковиной  напол. Сохо 800 белый 2 ящика с умыв. Слим</v>
      </c>
      <c r="H2610">
        <f>VLOOKUP(D2610,Товары!A:I,6,0)</f>
        <v>85</v>
      </c>
      <c r="I2610" t="str">
        <f>VLOOKUP(C2610,Магазины!A:C,3,0)</f>
        <v>Набережные Челны</v>
      </c>
      <c r="J2610">
        <f>VLOOKUP(D2610,Товары!A:I,4,0)</f>
        <v>19575</v>
      </c>
      <c r="K2610">
        <f t="shared" si="40"/>
        <v>19575</v>
      </c>
    </row>
    <row r="2611" spans="1:11" hidden="1" x14ac:dyDescent="0.25">
      <c r="A2611">
        <v>2610</v>
      </c>
      <c r="B2611" s="1">
        <v>45753</v>
      </c>
      <c r="C2611" t="s">
        <v>63</v>
      </c>
      <c r="D2611" t="s">
        <v>40</v>
      </c>
      <c r="E2611" t="s">
        <v>8</v>
      </c>
      <c r="F2611">
        <v>3</v>
      </c>
      <c r="G2611" t="str">
        <f>VLOOKUP(D2611,Товары!A:I,3,0)</f>
        <v>Тумба с раковиной  навес. Рица 800 cерый/керамика 1 ящик + ниша 1 с умыв. Слим</v>
      </c>
      <c r="H2611">
        <f>VLOOKUP(D2611,Товары!A:I,6,0)</f>
        <v>60</v>
      </c>
      <c r="I2611" t="str">
        <f>VLOOKUP(C2611,Магазины!A:C,3,0)</f>
        <v>Ставрополь</v>
      </c>
      <c r="J2611">
        <f>VLOOKUP(D2611,Товары!A:I,4,0)</f>
        <v>22425</v>
      </c>
      <c r="K2611">
        <f t="shared" si="40"/>
        <v>67275</v>
      </c>
    </row>
    <row r="2612" spans="1:11" hidden="1" x14ac:dyDescent="0.25">
      <c r="A2612">
        <v>2611</v>
      </c>
      <c r="B2612" s="1">
        <v>45752</v>
      </c>
      <c r="C2612" t="s">
        <v>63</v>
      </c>
      <c r="D2612" t="s">
        <v>73</v>
      </c>
      <c r="E2612" t="s">
        <v>13</v>
      </c>
      <c r="F2612">
        <v>3</v>
      </c>
      <c r="G2612" t="str">
        <f>VLOOKUP(D2612,Товары!A:I,3,0)</f>
        <v>Зеркальный шкаф Альба 70 со светильником правый цвет антрацит</v>
      </c>
      <c r="H2612">
        <f>VLOOKUP(D2612,Товары!A:I,6,0)</f>
        <v>75</v>
      </c>
      <c r="I2612" t="str">
        <f>VLOOKUP(C2612,Магазины!A:C,3,0)</f>
        <v>Ставрополь</v>
      </c>
      <c r="J2612">
        <f>VLOOKUP(D2612,Товары!A:I,4,0)</f>
        <v>9615</v>
      </c>
      <c r="K2612">
        <f t="shared" si="40"/>
        <v>28845</v>
      </c>
    </row>
    <row r="2613" spans="1:11" hidden="1" x14ac:dyDescent="0.25">
      <c r="A2613">
        <v>2612</v>
      </c>
      <c r="B2613" s="1">
        <v>45752</v>
      </c>
      <c r="C2613" t="s">
        <v>92</v>
      </c>
      <c r="D2613" t="s">
        <v>10</v>
      </c>
      <c r="E2613" t="s">
        <v>13</v>
      </c>
      <c r="F2613">
        <v>3</v>
      </c>
      <c r="G2613" t="str">
        <f>VLOOKUP(D2613,Товары!A:I,3,0)</f>
        <v>Тумба с раковиной  навес. Альба 700 антрацит 1 ящик с умыв. Слим</v>
      </c>
      <c r="H2613">
        <f>VLOOKUP(D2613,Товары!A:I,6,0)</f>
        <v>45</v>
      </c>
      <c r="I2613" t="str">
        <f>VLOOKUP(C2613,Магазины!A:C,3,0)</f>
        <v>Кемерово</v>
      </c>
      <c r="J2613">
        <f>VLOOKUP(D2613,Товары!A:I,4,0)</f>
        <v>20130</v>
      </c>
      <c r="K2613">
        <f t="shared" si="40"/>
        <v>60390</v>
      </c>
    </row>
    <row r="2614" spans="1:11" hidden="1" x14ac:dyDescent="0.25">
      <c r="A2614">
        <v>2613</v>
      </c>
      <c r="B2614" s="1">
        <v>45755</v>
      </c>
      <c r="C2614" t="s">
        <v>28</v>
      </c>
      <c r="D2614" t="s">
        <v>107</v>
      </c>
      <c r="E2614" t="s">
        <v>8</v>
      </c>
      <c r="F2614">
        <v>1</v>
      </c>
      <c r="G2614" t="str">
        <f>VLOOKUP(D2614,Товары!A:I,3,0)</f>
        <v>Комод Аква 35 напольный 1 дверь белый правый</v>
      </c>
      <c r="H2614">
        <f>VLOOKUP(D2614,Товары!A:I,6,0)</f>
        <v>90</v>
      </c>
      <c r="I2614" t="str">
        <f>VLOOKUP(C2614,Магазины!A:C,3,0)</f>
        <v>Набережные Челны</v>
      </c>
      <c r="J2614">
        <f>VLOOKUP(D2614,Товары!A:I,4,0)</f>
        <v>6705</v>
      </c>
      <c r="K2614">
        <f t="shared" si="40"/>
        <v>6705</v>
      </c>
    </row>
    <row r="2615" spans="1:11" hidden="1" x14ac:dyDescent="0.25">
      <c r="A2615">
        <v>2614</v>
      </c>
      <c r="B2615" s="1">
        <v>45754</v>
      </c>
      <c r="C2615" t="s">
        <v>54</v>
      </c>
      <c r="D2615" t="s">
        <v>117</v>
      </c>
      <c r="E2615" t="s">
        <v>13</v>
      </c>
      <c r="F2615">
        <v>2</v>
      </c>
      <c r="G2615" t="str">
        <f>VLOOKUP(D2615,Товары!A:I,3,0)</f>
        <v>Тумба с раковиной  навес. Альба 700 антрацит 2 ящика с умыв. Слим</v>
      </c>
      <c r="H2615">
        <f>VLOOKUP(D2615,Товары!A:I,6,0)</f>
        <v>60</v>
      </c>
      <c r="I2615" t="str">
        <f>VLOOKUP(C2615,Магазины!A:C,3,0)</f>
        <v>Ставрополь</v>
      </c>
      <c r="J2615">
        <f>VLOOKUP(D2615,Товары!A:I,4,0)</f>
        <v>25095</v>
      </c>
      <c r="K2615">
        <f t="shared" si="40"/>
        <v>50190</v>
      </c>
    </row>
    <row r="2616" spans="1:11" hidden="1" x14ac:dyDescent="0.25">
      <c r="A2616">
        <v>2615</v>
      </c>
      <c r="B2616" s="1">
        <v>45752</v>
      </c>
      <c r="C2616" t="s">
        <v>63</v>
      </c>
      <c r="D2616" t="s">
        <v>40</v>
      </c>
      <c r="E2616" t="s">
        <v>13</v>
      </c>
      <c r="F2616">
        <v>2</v>
      </c>
      <c r="G2616" t="str">
        <f>VLOOKUP(D2616,Товары!A:I,3,0)</f>
        <v>Тумба с раковиной  навес. Рица 800 cерый/керамика 1 ящик + ниша 1 с умыв. Слим</v>
      </c>
      <c r="H2616">
        <f>VLOOKUP(D2616,Товары!A:I,6,0)</f>
        <v>60</v>
      </c>
      <c r="I2616" t="str">
        <f>VLOOKUP(C2616,Магазины!A:C,3,0)</f>
        <v>Ставрополь</v>
      </c>
      <c r="J2616">
        <f>VLOOKUP(D2616,Товары!A:I,4,0)</f>
        <v>22425</v>
      </c>
      <c r="K2616">
        <f t="shared" si="40"/>
        <v>44850</v>
      </c>
    </row>
    <row r="2617" spans="1:11" hidden="1" x14ac:dyDescent="0.25">
      <c r="A2617">
        <v>2616</v>
      </c>
      <c r="B2617" s="1">
        <v>45754</v>
      </c>
      <c r="C2617" t="s">
        <v>41</v>
      </c>
      <c r="D2617" t="s">
        <v>112</v>
      </c>
      <c r="E2617" t="s">
        <v>8</v>
      </c>
      <c r="F2617">
        <v>1</v>
      </c>
      <c r="G2617" t="str">
        <f>VLOOKUP(D2617,Товары!A:I,3,0)</f>
        <v>Тумба с раковиной  напол. Аква 560 белый 2 двери с умыв. Уют</v>
      </c>
      <c r="H2617">
        <f>VLOOKUP(D2617,Товары!A:I,6,0)</f>
        <v>85</v>
      </c>
      <c r="I2617" t="str">
        <f>VLOOKUP(C2617,Магазины!A:C,3,0)</f>
        <v>Ставрополь</v>
      </c>
      <c r="J2617">
        <f>VLOOKUP(D2617,Товары!A:I,4,0)</f>
        <v>9330</v>
      </c>
      <c r="K2617">
        <f t="shared" si="40"/>
        <v>9330</v>
      </c>
    </row>
    <row r="2618" spans="1:11" hidden="1" x14ac:dyDescent="0.25">
      <c r="A2618">
        <v>2617</v>
      </c>
      <c r="B2618" s="1">
        <v>45750</v>
      </c>
      <c r="C2618" t="s">
        <v>63</v>
      </c>
      <c r="D2618" t="s">
        <v>116</v>
      </c>
      <c r="E2618" t="s">
        <v>13</v>
      </c>
      <c r="F2618">
        <v>1</v>
      </c>
      <c r="G2618" t="str">
        <f>VLOOKUP(D2618,Товары!A:I,3,0)</f>
        <v>Зеркало Нева 60 дуб/белый со светильником</v>
      </c>
      <c r="H2618">
        <f>VLOOKUP(D2618,Товары!A:I,6,0)</f>
        <v>80</v>
      </c>
      <c r="I2618" t="str">
        <f>VLOOKUP(C2618,Магазины!A:C,3,0)</f>
        <v>Ставрополь</v>
      </c>
      <c r="J2618">
        <f>VLOOKUP(D2618,Товары!A:I,4,0)</f>
        <v>5100</v>
      </c>
      <c r="K2618">
        <f t="shared" si="40"/>
        <v>5100</v>
      </c>
    </row>
    <row r="2619" spans="1:11" hidden="1" x14ac:dyDescent="0.25">
      <c r="A2619">
        <v>2618</v>
      </c>
      <c r="B2619" s="1">
        <v>45756</v>
      </c>
      <c r="C2619" t="s">
        <v>43</v>
      </c>
      <c r="D2619" t="s">
        <v>15</v>
      </c>
      <c r="E2619" t="s">
        <v>13</v>
      </c>
      <c r="F2619">
        <v>2</v>
      </c>
      <c r="G2619" t="str">
        <f>VLOOKUP(D2619,Товары!A:I,3,0)</f>
        <v>Зеркальный шкаф Кристалл 60 со светильником правый, ручка кнопка дуб цвет Шато Азур</v>
      </c>
      <c r="H2619">
        <f>VLOOKUP(D2619,Товары!A:I,6,0)</f>
        <v>75</v>
      </c>
      <c r="I2619" t="str">
        <f>VLOOKUP(C2619,Магазины!A:C,3,0)</f>
        <v>Набережные Челны</v>
      </c>
      <c r="J2619">
        <f>VLOOKUP(D2619,Товары!A:I,4,0)</f>
        <v>9195</v>
      </c>
      <c r="K2619">
        <f t="shared" si="40"/>
        <v>18390</v>
      </c>
    </row>
    <row r="2620" spans="1:11" hidden="1" x14ac:dyDescent="0.25">
      <c r="A2620">
        <v>2619</v>
      </c>
      <c r="B2620" s="1">
        <v>45751</v>
      </c>
      <c r="C2620" t="s">
        <v>11</v>
      </c>
      <c r="D2620" t="s">
        <v>118</v>
      </c>
      <c r="E2620" t="s">
        <v>8</v>
      </c>
      <c r="F2620">
        <v>2</v>
      </c>
      <c r="G2620" t="str">
        <f>VLOOKUP(D2620,Товары!A:I,3,0)</f>
        <v>Тумба с раковиной  напол. Сохо 800 белый 2 ящика с умыв. Слим</v>
      </c>
      <c r="H2620">
        <f>VLOOKUP(D2620,Товары!A:I,6,0)</f>
        <v>85</v>
      </c>
      <c r="I2620" t="str">
        <f>VLOOKUP(C2620,Магазины!A:C,3,0)</f>
        <v>Кемерово</v>
      </c>
      <c r="J2620">
        <f>VLOOKUP(D2620,Товары!A:I,4,0)</f>
        <v>19575</v>
      </c>
      <c r="K2620">
        <f t="shared" si="40"/>
        <v>39150</v>
      </c>
    </row>
    <row r="2621" spans="1:11" hidden="1" x14ac:dyDescent="0.25">
      <c r="A2621">
        <v>2620</v>
      </c>
      <c r="B2621" s="1">
        <v>45752</v>
      </c>
      <c r="C2621" t="s">
        <v>92</v>
      </c>
      <c r="D2621" t="s">
        <v>50</v>
      </c>
      <c r="E2621" t="s">
        <v>8</v>
      </c>
      <c r="F2621">
        <v>1</v>
      </c>
      <c r="G2621" t="str">
        <f>VLOOKUP(D2621,Товары!A:I,3,0)</f>
        <v>Тумба с раковиной  напол. Леон 800 оникс 2 ящика с умыв. Слим</v>
      </c>
      <c r="H2621">
        <f>VLOOKUP(D2621,Товары!A:I,6,0)</f>
        <v>80</v>
      </c>
      <c r="I2621" t="str">
        <f>VLOOKUP(C2621,Магазины!A:C,3,0)</f>
        <v>Кемерово</v>
      </c>
      <c r="J2621">
        <f>VLOOKUP(D2621,Товары!A:I,4,0)</f>
        <v>29400</v>
      </c>
      <c r="K2621">
        <f t="shared" si="40"/>
        <v>29400</v>
      </c>
    </row>
    <row r="2622" spans="1:11" hidden="1" x14ac:dyDescent="0.25">
      <c r="A2622">
        <v>2621</v>
      </c>
      <c r="B2622" s="1">
        <v>45749</v>
      </c>
      <c r="C2622" t="s">
        <v>103</v>
      </c>
      <c r="D2622" t="s">
        <v>84</v>
      </c>
      <c r="E2622" t="s">
        <v>8</v>
      </c>
      <c r="F2622">
        <v>3</v>
      </c>
      <c r="G2622" t="str">
        <f>VLOOKUP(D2622,Товары!A:I,3,0)</f>
        <v>Тумба с раковиной  напол. Куба Риф 800 белый 3 двери с умыв. Слим</v>
      </c>
      <c r="H2622">
        <f>VLOOKUP(D2622,Товары!A:I,6,0)</f>
        <v>85</v>
      </c>
      <c r="I2622" t="str">
        <f>VLOOKUP(C2622,Магазины!A:C,3,0)</f>
        <v>Ставрополь</v>
      </c>
      <c r="J2622">
        <f>VLOOKUP(D2622,Товары!A:I,4,0)</f>
        <v>19920</v>
      </c>
      <c r="K2622">
        <f t="shared" si="40"/>
        <v>59760</v>
      </c>
    </row>
    <row r="2623" spans="1:11" hidden="1" x14ac:dyDescent="0.25">
      <c r="A2623">
        <v>2622</v>
      </c>
      <c r="B2623" s="1">
        <v>45750</v>
      </c>
      <c r="C2623" t="s">
        <v>28</v>
      </c>
      <c r="D2623" t="s">
        <v>112</v>
      </c>
      <c r="E2623" t="s">
        <v>8</v>
      </c>
      <c r="F2623">
        <v>2</v>
      </c>
      <c r="G2623" t="str">
        <f>VLOOKUP(D2623,Товары!A:I,3,0)</f>
        <v>Тумба с раковиной  напол. Аква 560 белый 2 двери с умыв. Уют</v>
      </c>
      <c r="H2623">
        <f>VLOOKUP(D2623,Товары!A:I,6,0)</f>
        <v>85</v>
      </c>
      <c r="I2623" t="str">
        <f>VLOOKUP(C2623,Магазины!A:C,3,0)</f>
        <v>Набережные Челны</v>
      </c>
      <c r="J2623">
        <f>VLOOKUP(D2623,Товары!A:I,4,0)</f>
        <v>9330</v>
      </c>
      <c r="K2623">
        <f t="shared" si="40"/>
        <v>18660</v>
      </c>
    </row>
    <row r="2624" spans="1:11" hidden="1" x14ac:dyDescent="0.25">
      <c r="A2624">
        <v>2623</v>
      </c>
      <c r="B2624" s="1">
        <v>45755</v>
      </c>
      <c r="C2624" t="s">
        <v>14</v>
      </c>
      <c r="D2624" t="s">
        <v>65</v>
      </c>
      <c r="E2624" t="s">
        <v>13</v>
      </c>
      <c r="F2624">
        <v>2</v>
      </c>
      <c r="G2624" t="str">
        <f>VLOOKUP(D2624,Товары!A:I,3,0)</f>
        <v>Тумба с раковиной  навес. Альба 800 суфле 2 ящика с умыв. Слим</v>
      </c>
      <c r="H2624">
        <f>VLOOKUP(D2624,Товары!A:I,6,0)</f>
        <v>50</v>
      </c>
      <c r="I2624" t="str">
        <f>VLOOKUP(C2624,Магазины!A:C,3,0)</f>
        <v>Оренбург</v>
      </c>
      <c r="J2624">
        <f>VLOOKUP(D2624,Товары!A:I,4,0)</f>
        <v>26070</v>
      </c>
      <c r="K2624">
        <f t="shared" si="40"/>
        <v>52140</v>
      </c>
    </row>
    <row r="2625" spans="1:11" hidden="1" x14ac:dyDescent="0.25">
      <c r="A2625">
        <v>2624</v>
      </c>
      <c r="B2625" s="1">
        <v>45753</v>
      </c>
      <c r="C2625" t="s">
        <v>26</v>
      </c>
      <c r="D2625" t="s">
        <v>51</v>
      </c>
      <c r="E2625" t="s">
        <v>8</v>
      </c>
      <c r="F2625">
        <v>3</v>
      </c>
      <c r="G2625" t="str">
        <f>VLOOKUP(D2625,Товары!A:I,3,0)</f>
        <v>Зеркальный шкаф Альба 80 со светильником правый цвет суфле</v>
      </c>
      <c r="H2625">
        <f>VLOOKUP(D2625,Товары!A:I,6,0)</f>
        <v>75</v>
      </c>
      <c r="I2625" t="str">
        <f>VLOOKUP(C2625,Магазины!A:C,3,0)</f>
        <v>Оренбург</v>
      </c>
      <c r="J2625">
        <f>VLOOKUP(D2625,Товары!A:I,4,0)</f>
        <v>9930</v>
      </c>
      <c r="K2625">
        <f t="shared" si="40"/>
        <v>29790</v>
      </c>
    </row>
    <row r="2626" spans="1:11" hidden="1" x14ac:dyDescent="0.25">
      <c r="A2626">
        <v>2625</v>
      </c>
      <c r="B2626" s="1">
        <v>45749</v>
      </c>
      <c r="C2626" t="s">
        <v>43</v>
      </c>
      <c r="D2626" t="s">
        <v>125</v>
      </c>
      <c r="E2626" t="s">
        <v>13</v>
      </c>
      <c r="F2626">
        <v>1</v>
      </c>
      <c r="G2626" t="str">
        <f>VLOOKUP(D2626,Товары!A:I,3,0)</f>
        <v>Зеркальный шкаф Сохо 60 белый со светильником правый цвет Белый глянец</v>
      </c>
      <c r="H2626">
        <f>VLOOKUP(D2626,Товары!A:I,6,0)</f>
        <v>75</v>
      </c>
      <c r="I2626" t="str">
        <f>VLOOKUP(C2626,Магазины!A:C,3,0)</f>
        <v>Набережные Челны</v>
      </c>
      <c r="J2626">
        <f>VLOOKUP(D2626,Товары!A:I,4,0)</f>
        <v>7395</v>
      </c>
      <c r="K2626">
        <f t="shared" si="40"/>
        <v>7395</v>
      </c>
    </row>
    <row r="2627" spans="1:11" hidden="1" x14ac:dyDescent="0.25">
      <c r="A2627">
        <v>2626</v>
      </c>
      <c r="B2627" s="1">
        <v>45751</v>
      </c>
      <c r="C2627" t="s">
        <v>111</v>
      </c>
      <c r="D2627" t="s">
        <v>102</v>
      </c>
      <c r="E2627" t="s">
        <v>8</v>
      </c>
      <c r="F2627">
        <v>2</v>
      </c>
      <c r="G2627" t="str">
        <f>VLOOKUP(D2627,Товары!A:I,3,0)</f>
        <v>Тумба с раковиной  напол. Леон Риф 1000 солярис/белый риф 2 ящика с умыв. Слим</v>
      </c>
      <c r="H2627">
        <f>VLOOKUP(D2627,Товары!A:I,6,0)</f>
        <v>85</v>
      </c>
      <c r="I2627" t="str">
        <f>VLOOKUP(C2627,Магазины!A:C,3,0)</f>
        <v>Набережные Челны</v>
      </c>
      <c r="J2627">
        <f>VLOOKUP(D2627,Товары!A:I,4,0)</f>
        <v>32085</v>
      </c>
      <c r="K2627">
        <f t="shared" ref="K2627:K2690" si="41">J2627*F2627</f>
        <v>64170</v>
      </c>
    </row>
    <row r="2628" spans="1:11" hidden="1" x14ac:dyDescent="0.25">
      <c r="A2628">
        <v>2627</v>
      </c>
      <c r="B2628" s="1">
        <v>45757</v>
      </c>
      <c r="C2628" t="s">
        <v>48</v>
      </c>
      <c r="D2628" t="s">
        <v>62</v>
      </c>
      <c r="E2628" t="s">
        <v>13</v>
      </c>
      <c r="F2628">
        <v>2</v>
      </c>
      <c r="G2628" t="str">
        <f>VLOOKUP(D2628,Товары!A:I,3,0)</f>
        <v>Тумба с раковиной  напол. Альба 600 мята 2 ящика с умыв. Океан</v>
      </c>
      <c r="H2628">
        <f>VLOOKUP(D2628,Товары!A:I,6,0)</f>
        <v>80</v>
      </c>
      <c r="I2628" t="str">
        <f>VLOOKUP(C2628,Магазины!A:C,3,0)</f>
        <v>Ставрополь</v>
      </c>
      <c r="J2628">
        <f>VLOOKUP(D2628,Товары!A:I,4,0)</f>
        <v>26370</v>
      </c>
      <c r="K2628">
        <f t="shared" si="41"/>
        <v>52740</v>
      </c>
    </row>
    <row r="2629" spans="1:11" hidden="1" x14ac:dyDescent="0.25">
      <c r="A2629">
        <v>2628</v>
      </c>
      <c r="B2629" s="1">
        <v>45757</v>
      </c>
      <c r="C2629" t="s">
        <v>111</v>
      </c>
      <c r="D2629" t="s">
        <v>121</v>
      </c>
      <c r="E2629" t="s">
        <v>13</v>
      </c>
      <c r="F2629">
        <v>3</v>
      </c>
      <c r="G2629" t="str">
        <f>VLOOKUP(D2629,Товары!A:I,3,0)</f>
        <v>Тумба с раковиной  напол. Куба Риф 600 белый 2 двери с умыв. Como</v>
      </c>
      <c r="H2629">
        <f>VLOOKUP(D2629,Товары!A:I,6,0)</f>
        <v>85</v>
      </c>
      <c r="I2629" t="str">
        <f>VLOOKUP(C2629,Магазины!A:C,3,0)</f>
        <v>Набережные Челны</v>
      </c>
      <c r="J2629">
        <f>VLOOKUP(D2629,Товары!A:I,4,0)</f>
        <v>13695</v>
      </c>
      <c r="K2629">
        <f t="shared" si="41"/>
        <v>41085</v>
      </c>
    </row>
    <row r="2630" spans="1:11" hidden="1" x14ac:dyDescent="0.25">
      <c r="A2630">
        <v>2629</v>
      </c>
      <c r="B2630" s="1">
        <v>45754</v>
      </c>
      <c r="C2630" t="s">
        <v>20</v>
      </c>
      <c r="D2630" t="s">
        <v>110</v>
      </c>
      <c r="E2630" t="s">
        <v>13</v>
      </c>
      <c r="F2630">
        <v>1</v>
      </c>
      <c r="G2630" t="str">
        <f>VLOOKUP(D2630,Товары!A:I,3,0)</f>
        <v>Тумба с раковиной  напол. Альба 600 антрацит 2 ящика с умыв. Океан</v>
      </c>
      <c r="H2630">
        <f>VLOOKUP(D2630,Товары!A:I,6,0)</f>
        <v>80</v>
      </c>
      <c r="I2630" t="str">
        <f>VLOOKUP(C2630,Магазины!A:C,3,0)</f>
        <v>Оренбург</v>
      </c>
      <c r="J2630">
        <f>VLOOKUP(D2630,Товары!A:I,4,0)</f>
        <v>26370</v>
      </c>
      <c r="K2630">
        <f t="shared" si="41"/>
        <v>26370</v>
      </c>
    </row>
    <row r="2631" spans="1:11" hidden="1" x14ac:dyDescent="0.25">
      <c r="A2631">
        <v>2630</v>
      </c>
      <c r="B2631" s="1">
        <v>45749</v>
      </c>
      <c r="C2631" t="s">
        <v>6</v>
      </c>
      <c r="D2631" t="s">
        <v>68</v>
      </c>
      <c r="E2631" t="s">
        <v>13</v>
      </c>
      <c r="F2631">
        <v>3</v>
      </c>
      <c r="G2631" t="str">
        <f>VLOOKUP(D2631,Товары!A:I,3,0)</f>
        <v>Тумба с раковиной  навес. Альба 600 антрацит 1 ящик с умыв. Океан</v>
      </c>
      <c r="H2631">
        <f>VLOOKUP(D2631,Товары!A:I,6,0)</f>
        <v>85</v>
      </c>
      <c r="I2631" t="str">
        <f>VLOOKUP(C2631,Магазины!A:C,3,0)</f>
        <v>Оренбург</v>
      </c>
      <c r="J2631">
        <f>VLOOKUP(D2631,Товары!A:I,4,0)</f>
        <v>17625</v>
      </c>
      <c r="K2631">
        <f t="shared" si="41"/>
        <v>52875</v>
      </c>
    </row>
    <row r="2632" spans="1:11" hidden="1" x14ac:dyDescent="0.25">
      <c r="A2632">
        <v>2631</v>
      </c>
      <c r="B2632" s="1">
        <v>45748</v>
      </c>
      <c r="C2632" t="s">
        <v>20</v>
      </c>
      <c r="D2632" t="s">
        <v>81</v>
      </c>
      <c r="E2632" t="s">
        <v>8</v>
      </c>
      <c r="F2632">
        <v>1</v>
      </c>
      <c r="G2632" t="str">
        <f>VLOOKUP(D2632,Товары!A:I,3,0)</f>
        <v>Тумба с раковиной  навес. Рица 600 cерый/керамика 1 ящик + ниша 1 с умыв. Океан</v>
      </c>
      <c r="H2632">
        <f>VLOOKUP(D2632,Товары!A:I,6,0)</f>
        <v>60</v>
      </c>
      <c r="I2632" t="str">
        <f>VLOOKUP(C2632,Магазины!A:C,3,0)</f>
        <v>Оренбург</v>
      </c>
      <c r="J2632">
        <f>VLOOKUP(D2632,Товары!A:I,4,0)</f>
        <v>18900</v>
      </c>
      <c r="K2632">
        <f t="shared" si="41"/>
        <v>18900</v>
      </c>
    </row>
    <row r="2633" spans="1:11" hidden="1" x14ac:dyDescent="0.25">
      <c r="A2633">
        <v>2632</v>
      </c>
      <c r="B2633" s="1">
        <v>45752</v>
      </c>
      <c r="C2633" t="s">
        <v>41</v>
      </c>
      <c r="D2633" t="s">
        <v>7</v>
      </c>
      <c r="E2633" t="s">
        <v>13</v>
      </c>
      <c r="F2633">
        <v>1</v>
      </c>
      <c r="G2633" t="str">
        <f>VLOOKUP(D2633,Товары!A:I,3,0)</f>
        <v>Пенал напол. Леон Риф 400 солярис/белый риф 2 двери + 1 ящик</v>
      </c>
      <c r="H2633">
        <f>VLOOKUP(D2633,Товары!A:I,6,0)</f>
        <v>190</v>
      </c>
      <c r="I2633" t="str">
        <f>VLOOKUP(C2633,Магазины!A:C,3,0)</f>
        <v>Ставрополь</v>
      </c>
      <c r="J2633">
        <f>VLOOKUP(D2633,Товары!A:I,4,0)</f>
        <v>14490</v>
      </c>
      <c r="K2633">
        <f t="shared" si="41"/>
        <v>14490</v>
      </c>
    </row>
    <row r="2634" spans="1:11" hidden="1" x14ac:dyDescent="0.25">
      <c r="A2634">
        <v>2633</v>
      </c>
      <c r="B2634" s="1">
        <v>45757</v>
      </c>
      <c r="C2634" t="s">
        <v>43</v>
      </c>
      <c r="D2634" t="s">
        <v>72</v>
      </c>
      <c r="E2634" t="s">
        <v>13</v>
      </c>
      <c r="F2634">
        <v>3</v>
      </c>
      <c r="G2634" t="str">
        <f>VLOOKUP(D2634,Товары!A:I,3,0)</f>
        <v>Тумба с раковиной  напол. Сохо 600 белый 2 ящика с умыв. Океан</v>
      </c>
      <c r="H2634">
        <f>VLOOKUP(D2634,Товары!A:I,6,0)</f>
        <v>85</v>
      </c>
      <c r="I2634" t="str">
        <f>VLOOKUP(C2634,Магазины!A:C,3,0)</f>
        <v>Набережные Челны</v>
      </c>
      <c r="J2634">
        <f>VLOOKUP(D2634,Товары!A:I,4,0)</f>
        <v>16140</v>
      </c>
      <c r="K2634">
        <f t="shared" si="41"/>
        <v>48420</v>
      </c>
    </row>
    <row r="2635" spans="1:11" hidden="1" x14ac:dyDescent="0.25">
      <c r="A2635">
        <v>2634</v>
      </c>
      <c r="B2635" s="1">
        <v>45756</v>
      </c>
      <c r="C2635" t="s">
        <v>54</v>
      </c>
      <c r="D2635" t="s">
        <v>75</v>
      </c>
      <c r="E2635" t="s">
        <v>13</v>
      </c>
      <c r="F2635">
        <v>1</v>
      </c>
      <c r="G2635" t="str">
        <f>VLOOKUP(D2635,Товары!A:I,3,0)</f>
        <v>Тумба с раковиной  напол. Альба 600 суфле 2 ящика с умыв. Океан</v>
      </c>
      <c r="H2635">
        <f>VLOOKUP(D2635,Товары!A:I,6,0)</f>
        <v>80</v>
      </c>
      <c r="I2635" t="str">
        <f>VLOOKUP(C2635,Магазины!A:C,3,0)</f>
        <v>Ставрополь</v>
      </c>
      <c r="J2635">
        <f>VLOOKUP(D2635,Товары!A:I,4,0)</f>
        <v>26370</v>
      </c>
      <c r="K2635">
        <f t="shared" si="41"/>
        <v>26370</v>
      </c>
    </row>
    <row r="2636" spans="1:11" hidden="1" x14ac:dyDescent="0.25">
      <c r="A2636">
        <v>2635</v>
      </c>
      <c r="B2636" s="1">
        <v>45755</v>
      </c>
      <c r="C2636" t="s">
        <v>11</v>
      </c>
      <c r="D2636" t="s">
        <v>29</v>
      </c>
      <c r="E2636" t="s">
        <v>13</v>
      </c>
      <c r="F2636">
        <v>3</v>
      </c>
      <c r="G2636" t="str">
        <f>VLOOKUP(D2636,Товары!A:I,3,0)</f>
        <v>Тумба с раковиной  напол. Леон Риф 600 солярис/белый риф 2 ящика с умыв. Океан</v>
      </c>
      <c r="H2636">
        <f>VLOOKUP(D2636,Товары!A:I,6,0)</f>
        <v>80</v>
      </c>
      <c r="I2636" t="str">
        <f>VLOOKUP(C2636,Магазины!A:C,3,0)</f>
        <v>Кемерово</v>
      </c>
      <c r="J2636">
        <f>VLOOKUP(D2636,Товары!A:I,4,0)</f>
        <v>24150</v>
      </c>
      <c r="K2636">
        <f t="shared" si="41"/>
        <v>72450</v>
      </c>
    </row>
    <row r="2637" spans="1:11" hidden="1" x14ac:dyDescent="0.25">
      <c r="A2637">
        <v>2636</v>
      </c>
      <c r="B2637" s="1">
        <v>45751</v>
      </c>
      <c r="C2637" t="s">
        <v>22</v>
      </c>
      <c r="D2637" t="s">
        <v>127</v>
      </c>
      <c r="E2637" t="s">
        <v>13</v>
      </c>
      <c r="F2637">
        <v>2</v>
      </c>
      <c r="G2637" t="str">
        <f>VLOOKUP(D2637,Товары!A:I,3,0)</f>
        <v>Тумба с раковиной  навес. Альба 700 мята 1 ящик с умыв. Слим</v>
      </c>
      <c r="H2637">
        <f>VLOOKUP(D2637,Товары!A:I,6,0)</f>
        <v>45</v>
      </c>
      <c r="I2637" t="str">
        <f>VLOOKUP(C2637,Магазины!A:C,3,0)</f>
        <v>Кемерово</v>
      </c>
      <c r="J2637">
        <f>VLOOKUP(D2637,Товары!A:I,4,0)</f>
        <v>20130</v>
      </c>
      <c r="K2637">
        <f t="shared" si="41"/>
        <v>40260</v>
      </c>
    </row>
    <row r="2638" spans="1:11" hidden="1" x14ac:dyDescent="0.25">
      <c r="A2638">
        <v>2637</v>
      </c>
      <c r="B2638" s="1">
        <v>45754</v>
      </c>
      <c r="C2638" t="s">
        <v>103</v>
      </c>
      <c r="D2638" t="s">
        <v>104</v>
      </c>
      <c r="E2638" t="s">
        <v>8</v>
      </c>
      <c r="F2638">
        <v>1</v>
      </c>
      <c r="G2638" t="str">
        <f>VLOOKUP(D2638,Товары!A:I,3,0)</f>
        <v>Тумба под стиральную машину Куба Риф 57 подвесная 2 ящика под ст/маш, без умывальника /под Marshall 120 Белый</v>
      </c>
      <c r="H2638">
        <f>VLOOKUP(D2638,Товары!A:I,6,0)</f>
        <v>50</v>
      </c>
      <c r="I2638" t="str">
        <f>VLOOKUP(C2638,Магазины!A:C,3,0)</f>
        <v>Ставрополь</v>
      </c>
      <c r="J2638">
        <f>VLOOKUP(D2638,Товары!A:I,4,0)</f>
        <v>8505</v>
      </c>
      <c r="K2638">
        <f t="shared" si="41"/>
        <v>8505</v>
      </c>
    </row>
    <row r="2639" spans="1:11" hidden="1" x14ac:dyDescent="0.25">
      <c r="A2639">
        <v>2638</v>
      </c>
      <c r="B2639" s="1">
        <v>45753</v>
      </c>
      <c r="C2639" t="s">
        <v>16</v>
      </c>
      <c r="D2639" t="s">
        <v>27</v>
      </c>
      <c r="E2639" t="s">
        <v>8</v>
      </c>
      <c r="F2639">
        <v>3</v>
      </c>
      <c r="G2639" t="str">
        <f>VLOOKUP(D2639,Товары!A:I,3,0)</f>
        <v>Тумба с раковиной  навес. Виктория 800 белый 2 ящика с умыв. Слим</v>
      </c>
      <c r="H2639">
        <f>VLOOKUP(D2639,Товары!A:I,6,0)</f>
        <v>60</v>
      </c>
      <c r="I2639" t="str">
        <f>VLOOKUP(C2639,Магазины!A:C,3,0)</f>
        <v>Оренбург</v>
      </c>
      <c r="J2639">
        <f>VLOOKUP(D2639,Товары!A:I,4,0)</f>
        <v>25290</v>
      </c>
      <c r="K2639">
        <f t="shared" si="41"/>
        <v>75870</v>
      </c>
    </row>
    <row r="2640" spans="1:11" hidden="1" x14ac:dyDescent="0.25">
      <c r="A2640">
        <v>2639</v>
      </c>
      <c r="B2640" s="1">
        <v>45757</v>
      </c>
      <c r="C2640" t="s">
        <v>11</v>
      </c>
      <c r="D2640" t="s">
        <v>123</v>
      </c>
      <c r="E2640" t="s">
        <v>13</v>
      </c>
      <c r="F2640">
        <v>1</v>
      </c>
      <c r="G2640" t="str">
        <f>VLOOKUP(D2640,Товары!A:I,3,0)</f>
        <v>Тумба с раковиной  напол. Кристалл 800 суфле 2 ящика с умыв. Слим</v>
      </c>
      <c r="H2640">
        <f>VLOOKUP(D2640,Товары!A:I,6,0)</f>
        <v>80</v>
      </c>
      <c r="I2640" t="str">
        <f>VLOOKUP(C2640,Магазины!A:C,3,0)</f>
        <v>Кемерово</v>
      </c>
      <c r="J2640">
        <f>VLOOKUP(D2640,Товары!A:I,4,0)</f>
        <v>31125</v>
      </c>
      <c r="K2640">
        <f t="shared" si="41"/>
        <v>31125</v>
      </c>
    </row>
    <row r="2641" spans="1:11" hidden="1" x14ac:dyDescent="0.25">
      <c r="A2641">
        <v>2640</v>
      </c>
      <c r="B2641" s="1">
        <v>45752</v>
      </c>
      <c r="C2641" t="s">
        <v>20</v>
      </c>
      <c r="D2641" t="s">
        <v>79</v>
      </c>
      <c r="E2641" t="s">
        <v>13</v>
      </c>
      <c r="F2641">
        <v>2</v>
      </c>
      <c r="G2641" t="str">
        <f>VLOOKUP(D2641,Товары!A:I,3,0)</f>
        <v>Зеркальный шкаф Альба 70 со светильником правый цвет мята</v>
      </c>
      <c r="H2641">
        <f>VLOOKUP(D2641,Товары!A:I,6,0)</f>
        <v>75</v>
      </c>
      <c r="I2641" t="str">
        <f>VLOOKUP(C2641,Магазины!A:C,3,0)</f>
        <v>Оренбург</v>
      </c>
      <c r="J2641">
        <f>VLOOKUP(D2641,Товары!A:I,4,0)</f>
        <v>9615</v>
      </c>
      <c r="K2641">
        <f t="shared" si="41"/>
        <v>19230</v>
      </c>
    </row>
    <row r="2642" spans="1:11" hidden="1" x14ac:dyDescent="0.25">
      <c r="A2642">
        <v>2641</v>
      </c>
      <c r="B2642" s="1">
        <v>45752</v>
      </c>
      <c r="C2642" t="s">
        <v>58</v>
      </c>
      <c r="D2642" t="s">
        <v>56</v>
      </c>
      <c r="E2642" t="s">
        <v>8</v>
      </c>
      <c r="F2642">
        <v>2</v>
      </c>
      <c r="G2642" t="str">
        <f>VLOOKUP(D2642,Товары!A:I,3,0)</f>
        <v>Зеркальный шкаф Альба 80 со светильником правый цвет мята</v>
      </c>
      <c r="H2642">
        <f>VLOOKUP(D2642,Товары!A:I,6,0)</f>
        <v>75</v>
      </c>
      <c r="I2642" t="str">
        <f>VLOOKUP(C2642,Магазины!A:C,3,0)</f>
        <v>Ставрополь</v>
      </c>
      <c r="J2642">
        <f>VLOOKUP(D2642,Товары!A:I,4,0)</f>
        <v>9930</v>
      </c>
      <c r="K2642">
        <f t="shared" si="41"/>
        <v>19860</v>
      </c>
    </row>
    <row r="2643" spans="1:11" hidden="1" x14ac:dyDescent="0.25">
      <c r="A2643">
        <v>2642</v>
      </c>
      <c r="B2643" s="1">
        <v>45748</v>
      </c>
      <c r="C2643" t="s">
        <v>16</v>
      </c>
      <c r="D2643" t="s">
        <v>112</v>
      </c>
      <c r="E2643" t="s">
        <v>13</v>
      </c>
      <c r="F2643">
        <v>1</v>
      </c>
      <c r="G2643" t="str">
        <f>VLOOKUP(D2643,Товары!A:I,3,0)</f>
        <v>Тумба с раковиной  напол. Аква 560 белый 2 двери с умыв. Уют</v>
      </c>
      <c r="H2643">
        <f>VLOOKUP(D2643,Товары!A:I,6,0)</f>
        <v>85</v>
      </c>
      <c r="I2643" t="str">
        <f>VLOOKUP(C2643,Магазины!A:C,3,0)</f>
        <v>Оренбург</v>
      </c>
      <c r="J2643">
        <f>VLOOKUP(D2643,Товары!A:I,4,0)</f>
        <v>9330</v>
      </c>
      <c r="K2643">
        <f t="shared" si="41"/>
        <v>9330</v>
      </c>
    </row>
    <row r="2644" spans="1:11" hidden="1" x14ac:dyDescent="0.25">
      <c r="A2644">
        <v>2643</v>
      </c>
      <c r="B2644" s="1">
        <v>45755</v>
      </c>
      <c r="C2644" t="s">
        <v>58</v>
      </c>
      <c r="D2644" t="s">
        <v>101</v>
      </c>
      <c r="E2644" t="s">
        <v>13</v>
      </c>
      <c r="F2644">
        <v>2</v>
      </c>
      <c r="G2644" t="str">
        <f>VLOOKUP(D2644,Товары!A:I,3,0)</f>
        <v>Пенал напол. Сохо 400 белый 2 двери + 1 ящик</v>
      </c>
      <c r="H2644">
        <f>VLOOKUP(D2644,Товары!A:I,6,0)</f>
        <v>190</v>
      </c>
      <c r="I2644" t="str">
        <f>VLOOKUP(C2644,Магазины!A:C,3,0)</f>
        <v>Ставрополь</v>
      </c>
      <c r="J2644">
        <f>VLOOKUP(D2644,Товары!A:I,4,0)</f>
        <v>11040</v>
      </c>
      <c r="K2644">
        <f t="shared" si="41"/>
        <v>22080</v>
      </c>
    </row>
    <row r="2645" spans="1:11" hidden="1" x14ac:dyDescent="0.25">
      <c r="A2645">
        <v>2644</v>
      </c>
      <c r="B2645" s="1">
        <v>45750</v>
      </c>
      <c r="C2645" t="s">
        <v>9</v>
      </c>
      <c r="D2645" t="s">
        <v>129</v>
      </c>
      <c r="E2645" t="s">
        <v>8</v>
      </c>
      <c r="F2645">
        <v>2</v>
      </c>
      <c r="G2645" t="str">
        <f>VLOOKUP(D2645,Товары!A:I,3,0)</f>
        <v>Тумба с раковиной  напол. Альба 700 антрацит 2 ящика с умыв. Слим</v>
      </c>
      <c r="H2645">
        <f>VLOOKUP(D2645,Товары!A:I,6,0)</f>
        <v>85</v>
      </c>
      <c r="I2645" t="str">
        <f>VLOOKUP(C2645,Магазины!A:C,3,0)</f>
        <v>Кемерово</v>
      </c>
      <c r="J2645">
        <f>VLOOKUP(D2645,Товары!A:I,4,0)</f>
        <v>28695</v>
      </c>
      <c r="K2645">
        <f t="shared" si="41"/>
        <v>57390</v>
      </c>
    </row>
    <row r="2646" spans="1:11" hidden="1" x14ac:dyDescent="0.25">
      <c r="A2646">
        <v>2645</v>
      </c>
      <c r="B2646" s="1">
        <v>45754</v>
      </c>
      <c r="C2646" t="s">
        <v>35</v>
      </c>
      <c r="D2646" t="s">
        <v>62</v>
      </c>
      <c r="E2646" t="s">
        <v>13</v>
      </c>
      <c r="F2646">
        <v>1</v>
      </c>
      <c r="G2646" t="str">
        <f>VLOOKUP(D2646,Товары!A:I,3,0)</f>
        <v>Тумба с раковиной  напол. Альба 600 мята 2 ящика с умыв. Океан</v>
      </c>
      <c r="H2646">
        <f>VLOOKUP(D2646,Товары!A:I,6,0)</f>
        <v>80</v>
      </c>
      <c r="I2646" t="str">
        <f>VLOOKUP(C2646,Магазины!A:C,3,0)</f>
        <v>Набережные Челны</v>
      </c>
      <c r="J2646">
        <f>VLOOKUP(D2646,Товары!A:I,4,0)</f>
        <v>26370</v>
      </c>
      <c r="K2646">
        <f t="shared" si="41"/>
        <v>26370</v>
      </c>
    </row>
    <row r="2647" spans="1:11" hidden="1" x14ac:dyDescent="0.25">
      <c r="A2647">
        <v>2646</v>
      </c>
      <c r="B2647" s="1">
        <v>45749</v>
      </c>
      <c r="C2647" t="s">
        <v>16</v>
      </c>
      <c r="D2647" t="s">
        <v>122</v>
      </c>
      <c r="E2647" t="s">
        <v>8</v>
      </c>
      <c r="F2647">
        <v>2</v>
      </c>
      <c r="G2647" t="str">
        <f>VLOOKUP(D2647,Товары!A:I,3,0)</f>
        <v>Тумба с раковиной  навес. Кристалл 600 шато азур 2 ящика с умыв. Океан</v>
      </c>
      <c r="H2647">
        <f>VLOOKUP(D2647,Товары!A:I,6,0)</f>
        <v>55</v>
      </c>
      <c r="I2647" t="str">
        <f>VLOOKUP(C2647,Магазины!A:C,3,0)</f>
        <v>Оренбург</v>
      </c>
      <c r="J2647">
        <f>VLOOKUP(D2647,Товары!A:I,4,0)</f>
        <v>21960</v>
      </c>
      <c r="K2647">
        <f t="shared" si="41"/>
        <v>43920</v>
      </c>
    </row>
    <row r="2648" spans="1:11" hidden="1" x14ac:dyDescent="0.25">
      <c r="A2648">
        <v>2647</v>
      </c>
      <c r="B2648" s="1">
        <v>45750</v>
      </c>
      <c r="C2648" t="s">
        <v>6</v>
      </c>
      <c r="D2648" t="s">
        <v>73</v>
      </c>
      <c r="E2648" t="s">
        <v>8</v>
      </c>
      <c r="F2648">
        <v>2</v>
      </c>
      <c r="G2648" t="str">
        <f>VLOOKUP(D2648,Товары!A:I,3,0)</f>
        <v>Зеркальный шкаф Альба 70 со светильником правый цвет антрацит</v>
      </c>
      <c r="H2648">
        <f>VLOOKUP(D2648,Товары!A:I,6,0)</f>
        <v>75</v>
      </c>
      <c r="I2648" t="str">
        <f>VLOOKUP(C2648,Магазины!A:C,3,0)</f>
        <v>Оренбург</v>
      </c>
      <c r="J2648">
        <f>VLOOKUP(D2648,Товары!A:I,4,0)</f>
        <v>9615</v>
      </c>
      <c r="K2648">
        <f t="shared" si="41"/>
        <v>19230</v>
      </c>
    </row>
    <row r="2649" spans="1:11" hidden="1" x14ac:dyDescent="0.25">
      <c r="A2649">
        <v>2648</v>
      </c>
      <c r="B2649" s="1">
        <v>45751</v>
      </c>
      <c r="C2649" t="s">
        <v>48</v>
      </c>
      <c r="D2649" t="s">
        <v>42</v>
      </c>
      <c r="E2649" t="s">
        <v>13</v>
      </c>
      <c r="F2649">
        <v>1</v>
      </c>
      <c r="G2649" t="str">
        <f>VLOOKUP(D2649,Товары!A:I,3,0)</f>
        <v>Тумба под стиральную машину Леон Риф 57 подвесная 2 ящика под ст/маш, без умывальника /под Marshall 120 Солярис/Белый Риф</v>
      </c>
      <c r="H2649">
        <f>VLOOKUP(D2649,Товары!A:I,6,0)</f>
        <v>60</v>
      </c>
      <c r="I2649" t="str">
        <f>VLOOKUP(C2649,Магазины!A:C,3,0)</f>
        <v>Ставрополь</v>
      </c>
      <c r="J2649">
        <f>VLOOKUP(D2649,Товары!A:I,4,0)</f>
        <v>15495</v>
      </c>
      <c r="K2649">
        <f t="shared" si="41"/>
        <v>15495</v>
      </c>
    </row>
    <row r="2650" spans="1:11" hidden="1" x14ac:dyDescent="0.25">
      <c r="A2650">
        <v>2649</v>
      </c>
      <c r="B2650" s="1">
        <v>45756</v>
      </c>
      <c r="C2650" t="s">
        <v>63</v>
      </c>
      <c r="D2650" t="s">
        <v>38</v>
      </c>
      <c r="E2650" t="s">
        <v>13</v>
      </c>
      <c r="F2650">
        <v>1</v>
      </c>
      <c r="G2650" t="str">
        <f>VLOOKUP(D2650,Товары!A:I,3,0)</f>
        <v>Тумба с раковиной  навес. Куба Риф 600 белый 2 ящика с умыв. Como</v>
      </c>
      <c r="H2650">
        <f>VLOOKUP(D2650,Товары!A:I,6,0)</f>
        <v>55</v>
      </c>
      <c r="I2650" t="str">
        <f>VLOOKUP(C2650,Магазины!A:C,3,0)</f>
        <v>Ставрополь</v>
      </c>
      <c r="J2650">
        <f>VLOOKUP(D2650,Товары!A:I,4,0)</f>
        <v>14265</v>
      </c>
      <c r="K2650">
        <f t="shared" si="41"/>
        <v>14265</v>
      </c>
    </row>
    <row r="2651" spans="1:11" hidden="1" x14ac:dyDescent="0.25">
      <c r="A2651">
        <v>2650</v>
      </c>
      <c r="B2651" s="1">
        <v>45757</v>
      </c>
      <c r="C2651" t="s">
        <v>48</v>
      </c>
      <c r="D2651" t="s">
        <v>60</v>
      </c>
      <c r="E2651" t="s">
        <v>8</v>
      </c>
      <c r="F2651">
        <v>2</v>
      </c>
      <c r="G2651" t="str">
        <f>VLOOKUP(D2651,Товары!A:I,3,0)</f>
        <v>Пенал навес. Куба Риф 350 белый 2 двери</v>
      </c>
      <c r="H2651">
        <f>VLOOKUP(D2651,Товары!A:I,6,0)</f>
        <v>150</v>
      </c>
      <c r="I2651" t="str">
        <f>VLOOKUP(C2651,Магазины!A:C,3,0)</f>
        <v>Ставрополь</v>
      </c>
      <c r="J2651">
        <f>VLOOKUP(D2651,Товары!A:I,4,0)</f>
        <v>9720</v>
      </c>
      <c r="K2651">
        <f t="shared" si="41"/>
        <v>19440</v>
      </c>
    </row>
    <row r="2652" spans="1:11" hidden="1" x14ac:dyDescent="0.25">
      <c r="A2652">
        <v>2651</v>
      </c>
      <c r="B2652" s="1">
        <v>45751</v>
      </c>
      <c r="C2652" t="s">
        <v>22</v>
      </c>
      <c r="D2652" t="s">
        <v>114</v>
      </c>
      <c r="E2652" t="s">
        <v>13</v>
      </c>
      <c r="F2652">
        <v>3</v>
      </c>
      <c r="G2652" t="str">
        <f>VLOOKUP(D2652,Товары!A:I,3,0)</f>
        <v>Тумба с раковиной  навес. Альба 700 мята 2 ящика с умыв. Слим</v>
      </c>
      <c r="H2652">
        <f>VLOOKUP(D2652,Товары!A:I,6,0)</f>
        <v>60</v>
      </c>
      <c r="I2652" t="str">
        <f>VLOOKUP(C2652,Магазины!A:C,3,0)</f>
        <v>Кемерово</v>
      </c>
      <c r="J2652">
        <f>VLOOKUP(D2652,Товары!A:I,4,0)</f>
        <v>25095</v>
      </c>
      <c r="K2652">
        <f t="shared" si="41"/>
        <v>75285</v>
      </c>
    </row>
    <row r="2653" spans="1:11" hidden="1" x14ac:dyDescent="0.25">
      <c r="A2653">
        <v>2652</v>
      </c>
      <c r="B2653" s="1">
        <v>45755</v>
      </c>
      <c r="C2653" t="s">
        <v>9</v>
      </c>
      <c r="D2653" t="s">
        <v>81</v>
      </c>
      <c r="E2653" t="s">
        <v>13</v>
      </c>
      <c r="F2653">
        <v>2</v>
      </c>
      <c r="G2653" t="str">
        <f>VLOOKUP(D2653,Товары!A:I,3,0)</f>
        <v>Тумба с раковиной  навес. Рица 600 cерый/керамика 1 ящик + ниша 1 с умыв. Океан</v>
      </c>
      <c r="H2653">
        <f>VLOOKUP(D2653,Товары!A:I,6,0)</f>
        <v>60</v>
      </c>
      <c r="I2653" t="str">
        <f>VLOOKUP(C2653,Магазины!A:C,3,0)</f>
        <v>Кемерово</v>
      </c>
      <c r="J2653">
        <f>VLOOKUP(D2653,Товары!A:I,4,0)</f>
        <v>18900</v>
      </c>
      <c r="K2653">
        <f t="shared" si="41"/>
        <v>37800</v>
      </c>
    </row>
    <row r="2654" spans="1:11" hidden="1" x14ac:dyDescent="0.25">
      <c r="A2654">
        <v>2653</v>
      </c>
      <c r="B2654" s="1">
        <v>45753</v>
      </c>
      <c r="C2654" t="s">
        <v>11</v>
      </c>
      <c r="D2654" t="s">
        <v>83</v>
      </c>
      <c r="E2654" t="s">
        <v>8</v>
      </c>
      <c r="F2654">
        <v>3</v>
      </c>
      <c r="G2654" t="str">
        <f>VLOOKUP(D2654,Товары!A:I,3,0)</f>
        <v>Зеркальный шкаф Альба 60 со светильником правый цвет суфле</v>
      </c>
      <c r="H2654">
        <f>VLOOKUP(D2654,Товары!A:I,6,0)</f>
        <v>75</v>
      </c>
      <c r="I2654" t="str">
        <f>VLOOKUP(C2654,Магазины!A:C,3,0)</f>
        <v>Кемерово</v>
      </c>
      <c r="J2654">
        <f>VLOOKUP(D2654,Товары!A:I,4,0)</f>
        <v>8910</v>
      </c>
      <c r="K2654">
        <f t="shared" si="41"/>
        <v>26730</v>
      </c>
    </row>
    <row r="2655" spans="1:11" hidden="1" x14ac:dyDescent="0.25">
      <c r="A2655">
        <v>2654</v>
      </c>
      <c r="B2655" s="1">
        <v>45748</v>
      </c>
      <c r="C2655" t="s">
        <v>58</v>
      </c>
      <c r="D2655" t="s">
        <v>85</v>
      </c>
      <c r="E2655" t="s">
        <v>13</v>
      </c>
      <c r="F2655">
        <v>2</v>
      </c>
      <c r="G2655" t="str">
        <f>VLOOKUP(D2655,Товары!A:I,3,0)</f>
        <v>Пенал напол. Аква 450 белый 2 двери + 2 ящика + корзина</v>
      </c>
      <c r="H2655">
        <f>VLOOKUP(D2655,Товары!A:I,6,0)</f>
        <v>190</v>
      </c>
      <c r="I2655" t="str">
        <f>VLOOKUP(C2655,Магазины!A:C,3,0)</f>
        <v>Ставрополь</v>
      </c>
      <c r="J2655">
        <f>VLOOKUP(D2655,Товары!A:I,4,0)</f>
        <v>13335</v>
      </c>
      <c r="K2655">
        <f t="shared" si="41"/>
        <v>26670</v>
      </c>
    </row>
    <row r="2656" spans="1:11" hidden="1" x14ac:dyDescent="0.25">
      <c r="A2656">
        <v>2655</v>
      </c>
      <c r="B2656" s="1">
        <v>45755</v>
      </c>
      <c r="C2656" t="s">
        <v>20</v>
      </c>
      <c r="D2656" t="s">
        <v>38</v>
      </c>
      <c r="E2656" t="s">
        <v>8</v>
      </c>
      <c r="F2656">
        <v>2</v>
      </c>
      <c r="G2656" t="str">
        <f>VLOOKUP(D2656,Товары!A:I,3,0)</f>
        <v>Тумба с раковиной  навес. Куба Риф 600 белый 2 ящика с умыв. Como</v>
      </c>
      <c r="H2656">
        <f>VLOOKUP(D2656,Товары!A:I,6,0)</f>
        <v>55</v>
      </c>
      <c r="I2656" t="str">
        <f>VLOOKUP(C2656,Магазины!A:C,3,0)</f>
        <v>Оренбург</v>
      </c>
      <c r="J2656">
        <f>VLOOKUP(D2656,Товары!A:I,4,0)</f>
        <v>14265</v>
      </c>
      <c r="K2656">
        <f t="shared" si="41"/>
        <v>28530</v>
      </c>
    </row>
    <row r="2657" spans="1:11" hidden="1" x14ac:dyDescent="0.25">
      <c r="A2657">
        <v>2656</v>
      </c>
      <c r="B2657" s="1">
        <v>45754</v>
      </c>
      <c r="C2657" t="s">
        <v>48</v>
      </c>
      <c r="D2657" t="s">
        <v>76</v>
      </c>
      <c r="E2657" t="s">
        <v>8</v>
      </c>
      <c r="F2657">
        <v>1</v>
      </c>
      <c r="G2657" t="str">
        <f>VLOOKUP(D2657,Товары!A:I,3,0)</f>
        <v>Тумба с раковиной  напол. Леон 600 оникс 2 ящика с умыв. Слим</v>
      </c>
      <c r="H2657">
        <f>VLOOKUP(D2657,Товары!A:I,6,0)</f>
        <v>80</v>
      </c>
      <c r="I2657" t="str">
        <f>VLOOKUP(C2657,Магазины!A:C,3,0)</f>
        <v>Ставрополь</v>
      </c>
      <c r="J2657">
        <f>VLOOKUP(D2657,Товары!A:I,4,0)</f>
        <v>25860</v>
      </c>
      <c r="K2657">
        <f t="shared" si="41"/>
        <v>25860</v>
      </c>
    </row>
    <row r="2658" spans="1:11" hidden="1" x14ac:dyDescent="0.25">
      <c r="A2658">
        <v>2657</v>
      </c>
      <c r="B2658" s="1">
        <v>45751</v>
      </c>
      <c r="C2658" t="s">
        <v>103</v>
      </c>
      <c r="D2658" t="s">
        <v>42</v>
      </c>
      <c r="E2658" t="s">
        <v>8</v>
      </c>
      <c r="F2658">
        <v>1</v>
      </c>
      <c r="G2658" t="str">
        <f>VLOOKUP(D2658,Товары!A:I,3,0)</f>
        <v>Тумба под стиральную машину Леон Риф 57 подвесная 2 ящика под ст/маш, без умывальника /под Marshall 120 Солярис/Белый Риф</v>
      </c>
      <c r="H2658">
        <f>VLOOKUP(D2658,Товары!A:I,6,0)</f>
        <v>60</v>
      </c>
      <c r="I2658" t="str">
        <f>VLOOKUP(C2658,Магазины!A:C,3,0)</f>
        <v>Ставрополь</v>
      </c>
      <c r="J2658">
        <f>VLOOKUP(D2658,Товары!A:I,4,0)</f>
        <v>15495</v>
      </c>
      <c r="K2658">
        <f t="shared" si="41"/>
        <v>15495</v>
      </c>
    </row>
    <row r="2659" spans="1:11" hidden="1" x14ac:dyDescent="0.25">
      <c r="A2659">
        <v>2658</v>
      </c>
      <c r="B2659" s="1">
        <v>45753</v>
      </c>
      <c r="C2659" t="s">
        <v>33</v>
      </c>
      <c r="D2659" t="s">
        <v>119</v>
      </c>
      <c r="E2659" t="s">
        <v>8</v>
      </c>
      <c r="F2659">
        <v>1</v>
      </c>
      <c r="G2659" t="str">
        <f>VLOOKUP(D2659,Товары!A:I,3,0)</f>
        <v>Пенал навес./напол. Рица 350 cерый/керамика 2 двери</v>
      </c>
      <c r="H2659">
        <f>VLOOKUP(D2659,Товары!A:I,6,0)</f>
        <v>160</v>
      </c>
      <c r="I2659" t="str">
        <f>VLOOKUP(C2659,Магазины!A:C,3,0)</f>
        <v>Набережные Челны</v>
      </c>
      <c r="J2659">
        <f>VLOOKUP(D2659,Товары!A:I,4,0)</f>
        <v>11250</v>
      </c>
      <c r="K2659">
        <f t="shared" si="41"/>
        <v>11250</v>
      </c>
    </row>
    <row r="2660" spans="1:11" hidden="1" x14ac:dyDescent="0.25">
      <c r="A2660">
        <v>2659</v>
      </c>
      <c r="B2660" s="1">
        <v>45755</v>
      </c>
      <c r="C2660" t="s">
        <v>54</v>
      </c>
      <c r="D2660" t="s">
        <v>47</v>
      </c>
      <c r="E2660" t="s">
        <v>8</v>
      </c>
      <c r="F2660">
        <v>3</v>
      </c>
      <c r="G2660" t="str">
        <f>VLOOKUP(D2660,Товары!A:I,3,0)</f>
        <v>Пенал напол. Кристалл 350 шато азур 2 двери</v>
      </c>
      <c r="H2660">
        <f>VLOOKUP(D2660,Товары!A:I,6,0)</f>
        <v>190</v>
      </c>
      <c r="I2660" t="str">
        <f>VLOOKUP(C2660,Магазины!A:C,3,0)</f>
        <v>Ставрополь</v>
      </c>
      <c r="J2660">
        <f>VLOOKUP(D2660,Товары!A:I,4,0)</f>
        <v>15810</v>
      </c>
      <c r="K2660">
        <f t="shared" si="41"/>
        <v>47430</v>
      </c>
    </row>
    <row r="2661" spans="1:11" hidden="1" x14ac:dyDescent="0.25">
      <c r="A2661">
        <v>2660</v>
      </c>
      <c r="B2661" s="1">
        <v>45756</v>
      </c>
      <c r="C2661" t="s">
        <v>20</v>
      </c>
      <c r="D2661" t="s">
        <v>106</v>
      </c>
      <c r="E2661" t="s">
        <v>8</v>
      </c>
      <c r="F2661">
        <v>3</v>
      </c>
      <c r="G2661" t="str">
        <f>VLOOKUP(D2661,Товары!A:I,3,0)</f>
        <v>Тумба с раковиной  навес. Кристалл 700 шато азур 2 ящика с умыв. Слим</v>
      </c>
      <c r="H2661">
        <f>VLOOKUP(D2661,Товары!A:I,6,0)</f>
        <v>60</v>
      </c>
      <c r="I2661" t="str">
        <f>VLOOKUP(C2661,Магазины!A:C,3,0)</f>
        <v>Оренбург</v>
      </c>
      <c r="J2661">
        <f>VLOOKUP(D2661,Товары!A:I,4,0)</f>
        <v>24150</v>
      </c>
      <c r="K2661">
        <f t="shared" si="41"/>
        <v>72450</v>
      </c>
    </row>
    <row r="2662" spans="1:11" hidden="1" x14ac:dyDescent="0.25">
      <c r="A2662">
        <v>2661</v>
      </c>
      <c r="B2662" s="1">
        <v>45754</v>
      </c>
      <c r="C2662" t="s">
        <v>35</v>
      </c>
      <c r="D2662" t="s">
        <v>37</v>
      </c>
      <c r="E2662" t="s">
        <v>8</v>
      </c>
      <c r="F2662">
        <v>3</v>
      </c>
      <c r="G2662" t="str">
        <f>VLOOKUP(D2662,Товары!A:I,3,0)</f>
        <v>Зеркальный шкаф Сохо 70 белый со светильником правый цвет Белый глянец</v>
      </c>
      <c r="H2662">
        <f>VLOOKUP(D2662,Товары!A:I,6,0)</f>
        <v>75</v>
      </c>
      <c r="I2662" t="str">
        <f>VLOOKUP(C2662,Магазины!A:C,3,0)</f>
        <v>Набережные Челны</v>
      </c>
      <c r="J2662">
        <f>VLOOKUP(D2662,Товары!A:I,4,0)</f>
        <v>7935</v>
      </c>
      <c r="K2662">
        <f t="shared" si="41"/>
        <v>23805</v>
      </c>
    </row>
    <row r="2663" spans="1:11" hidden="1" x14ac:dyDescent="0.25">
      <c r="A2663">
        <v>2662</v>
      </c>
      <c r="B2663" s="1">
        <v>45749</v>
      </c>
      <c r="C2663" t="s">
        <v>57</v>
      </c>
      <c r="D2663" t="s">
        <v>17</v>
      </c>
      <c r="E2663" t="s">
        <v>13</v>
      </c>
      <c r="F2663">
        <v>3</v>
      </c>
      <c r="G2663" t="str">
        <f>VLOOKUP(D2663,Товары!A:I,3,0)</f>
        <v>Тумба с раковиной  навес. Альба 800 антрацит 1 ящик с умыв. Слим</v>
      </c>
      <c r="H2663">
        <f>VLOOKUP(D2663,Товары!A:I,6,0)</f>
        <v>45</v>
      </c>
      <c r="I2663" t="str">
        <f>VLOOKUP(C2663,Магазины!A:C,3,0)</f>
        <v>Оренбург</v>
      </c>
      <c r="J2663">
        <f>VLOOKUP(D2663,Товары!A:I,4,0)</f>
        <v>21630</v>
      </c>
      <c r="K2663">
        <f t="shared" si="41"/>
        <v>64890</v>
      </c>
    </row>
    <row r="2664" spans="1:11" hidden="1" x14ac:dyDescent="0.25">
      <c r="A2664">
        <v>2663</v>
      </c>
      <c r="B2664" s="1">
        <v>45754</v>
      </c>
      <c r="C2664" t="s">
        <v>41</v>
      </c>
      <c r="D2664" t="s">
        <v>49</v>
      </c>
      <c r="E2664" t="s">
        <v>13</v>
      </c>
      <c r="F2664">
        <v>3</v>
      </c>
      <c r="G2664" t="str">
        <f>VLOOKUP(D2664,Товары!A:I,3,0)</f>
        <v>Тумба с раковиной  напол. Леон 700 оникс 2 ящика с умыв. Слим</v>
      </c>
      <c r="H2664">
        <f>VLOOKUP(D2664,Товары!A:I,6,0)</f>
        <v>80</v>
      </c>
      <c r="I2664" t="str">
        <f>VLOOKUP(C2664,Магазины!A:C,3,0)</f>
        <v>Ставрополь</v>
      </c>
      <c r="J2664">
        <f>VLOOKUP(D2664,Товары!A:I,4,0)</f>
        <v>28380</v>
      </c>
      <c r="K2664">
        <f t="shared" si="41"/>
        <v>85140</v>
      </c>
    </row>
    <row r="2665" spans="1:11" hidden="1" x14ac:dyDescent="0.25">
      <c r="A2665">
        <v>2664</v>
      </c>
      <c r="B2665" s="1">
        <v>45757</v>
      </c>
      <c r="C2665" t="s">
        <v>26</v>
      </c>
      <c r="D2665" t="s">
        <v>87</v>
      </c>
      <c r="E2665" t="s">
        <v>8</v>
      </c>
      <c r="F2665">
        <v>3</v>
      </c>
      <c r="G2665" t="str">
        <f>VLOOKUP(D2665,Товары!A:I,3,0)</f>
        <v>Тумба с раковиной  напол. Леон 700 форест 2 ящика с умыв. Слим</v>
      </c>
      <c r="H2665">
        <f>VLOOKUP(D2665,Товары!A:I,6,0)</f>
        <v>80</v>
      </c>
      <c r="I2665" t="str">
        <f>VLOOKUP(C2665,Магазины!A:C,3,0)</f>
        <v>Оренбург</v>
      </c>
      <c r="J2665">
        <f>VLOOKUP(D2665,Товары!A:I,4,0)</f>
        <v>28380</v>
      </c>
      <c r="K2665">
        <f t="shared" si="41"/>
        <v>85140</v>
      </c>
    </row>
    <row r="2666" spans="1:11" hidden="1" x14ac:dyDescent="0.25">
      <c r="A2666">
        <v>2665</v>
      </c>
      <c r="B2666" s="1">
        <v>45755</v>
      </c>
      <c r="C2666" t="s">
        <v>16</v>
      </c>
      <c r="D2666" t="s">
        <v>65</v>
      </c>
      <c r="E2666" t="s">
        <v>13</v>
      </c>
      <c r="F2666">
        <v>3</v>
      </c>
      <c r="G2666" t="str">
        <f>VLOOKUP(D2666,Товары!A:I,3,0)</f>
        <v>Тумба с раковиной  навес. Альба 800 суфле 2 ящика с умыв. Слим</v>
      </c>
      <c r="H2666">
        <f>VLOOKUP(D2666,Товары!A:I,6,0)</f>
        <v>50</v>
      </c>
      <c r="I2666" t="str">
        <f>VLOOKUP(C2666,Магазины!A:C,3,0)</f>
        <v>Оренбург</v>
      </c>
      <c r="J2666">
        <f>VLOOKUP(D2666,Товары!A:I,4,0)</f>
        <v>26070</v>
      </c>
      <c r="K2666">
        <f t="shared" si="41"/>
        <v>78210</v>
      </c>
    </row>
    <row r="2667" spans="1:11" hidden="1" x14ac:dyDescent="0.25">
      <c r="A2667">
        <v>2666</v>
      </c>
      <c r="B2667" s="1">
        <v>45748</v>
      </c>
      <c r="C2667" t="s">
        <v>111</v>
      </c>
      <c r="D2667" t="s">
        <v>70</v>
      </c>
      <c r="E2667" t="s">
        <v>13</v>
      </c>
      <c r="F2667">
        <v>1</v>
      </c>
      <c r="G2667" t="str">
        <f>VLOOKUP(D2667,Товары!A:I,3,0)</f>
        <v>Тумба с раковиной  напол. Кристалл 700 шато азур 2 ящика с умыв. Слим</v>
      </c>
      <c r="H2667">
        <f>VLOOKUP(D2667,Товары!A:I,6,0)</f>
        <v>85</v>
      </c>
      <c r="I2667" t="str">
        <f>VLOOKUP(C2667,Магазины!A:C,3,0)</f>
        <v>Набережные Челны</v>
      </c>
      <c r="J2667">
        <f>VLOOKUP(D2667,Товары!A:I,4,0)</f>
        <v>29910</v>
      </c>
      <c r="K2667">
        <f t="shared" si="41"/>
        <v>29910</v>
      </c>
    </row>
    <row r="2668" spans="1:11" hidden="1" x14ac:dyDescent="0.25">
      <c r="A2668">
        <v>2667</v>
      </c>
      <c r="B2668" s="1">
        <v>45749</v>
      </c>
      <c r="C2668" t="s">
        <v>43</v>
      </c>
      <c r="D2668" t="s">
        <v>110</v>
      </c>
      <c r="E2668" t="s">
        <v>13</v>
      </c>
      <c r="F2668">
        <v>1</v>
      </c>
      <c r="G2668" t="str">
        <f>VLOOKUP(D2668,Товары!A:I,3,0)</f>
        <v>Тумба с раковиной  напол. Альба 600 антрацит 2 ящика с умыв. Океан</v>
      </c>
      <c r="H2668">
        <f>VLOOKUP(D2668,Товары!A:I,6,0)</f>
        <v>80</v>
      </c>
      <c r="I2668" t="str">
        <f>VLOOKUP(C2668,Магазины!A:C,3,0)</f>
        <v>Набережные Челны</v>
      </c>
      <c r="J2668">
        <f>VLOOKUP(D2668,Товары!A:I,4,0)</f>
        <v>26370</v>
      </c>
      <c r="K2668">
        <f t="shared" si="41"/>
        <v>26370</v>
      </c>
    </row>
    <row r="2669" spans="1:11" hidden="1" x14ac:dyDescent="0.25">
      <c r="A2669">
        <v>2668</v>
      </c>
      <c r="B2669" s="1">
        <v>45754</v>
      </c>
      <c r="C2669" t="s">
        <v>57</v>
      </c>
      <c r="D2669" t="s">
        <v>86</v>
      </c>
      <c r="E2669" t="s">
        <v>8</v>
      </c>
      <c r="F2669">
        <v>3</v>
      </c>
      <c r="G2669" t="str">
        <f>VLOOKUP(D2669,Товары!A:I,3,0)</f>
        <v>Комод Аква 50 напольный 1 ящик 2 двери белый</v>
      </c>
      <c r="H2669">
        <f>VLOOKUP(D2669,Товары!A:I,6,0)</f>
        <v>90</v>
      </c>
      <c r="I2669" t="str">
        <f>VLOOKUP(C2669,Магазины!A:C,3,0)</f>
        <v>Оренбург</v>
      </c>
      <c r="J2669">
        <f>VLOOKUP(D2669,Товары!A:I,4,0)</f>
        <v>7260</v>
      </c>
      <c r="K2669">
        <f t="shared" si="41"/>
        <v>21780</v>
      </c>
    </row>
    <row r="2670" spans="1:11" hidden="1" x14ac:dyDescent="0.25">
      <c r="A2670">
        <v>2669</v>
      </c>
      <c r="B2670" s="1">
        <v>45752</v>
      </c>
      <c r="C2670" t="s">
        <v>20</v>
      </c>
      <c r="D2670" t="s">
        <v>69</v>
      </c>
      <c r="E2670" t="s">
        <v>8</v>
      </c>
      <c r="F2670">
        <v>3</v>
      </c>
      <c r="G2670" t="str">
        <f>VLOOKUP(D2670,Товары!A:I,3,0)</f>
        <v>Пенал навес./напол. Альба 350 антрацит 2 двери</v>
      </c>
      <c r="H2670">
        <f>VLOOKUP(D2670,Товары!A:I,6,0)</f>
        <v>150</v>
      </c>
      <c r="I2670" t="str">
        <f>VLOOKUP(C2670,Магазины!A:C,3,0)</f>
        <v>Оренбург</v>
      </c>
      <c r="J2670">
        <f>VLOOKUP(D2670,Товары!A:I,4,0)</f>
        <v>11655</v>
      </c>
      <c r="K2670">
        <f t="shared" si="41"/>
        <v>34965</v>
      </c>
    </row>
    <row r="2671" spans="1:11" hidden="1" x14ac:dyDescent="0.25">
      <c r="A2671">
        <v>2670</v>
      </c>
      <c r="B2671" s="1">
        <v>45749</v>
      </c>
      <c r="C2671" t="s">
        <v>20</v>
      </c>
      <c r="D2671" t="s">
        <v>76</v>
      </c>
      <c r="E2671" t="s">
        <v>13</v>
      </c>
      <c r="F2671">
        <v>3</v>
      </c>
      <c r="G2671" t="str">
        <f>VLOOKUP(D2671,Товары!A:I,3,0)</f>
        <v>Тумба с раковиной  напол. Леон 600 оникс 2 ящика с умыв. Слим</v>
      </c>
      <c r="H2671">
        <f>VLOOKUP(D2671,Товары!A:I,6,0)</f>
        <v>80</v>
      </c>
      <c r="I2671" t="str">
        <f>VLOOKUP(C2671,Магазины!A:C,3,0)</f>
        <v>Оренбург</v>
      </c>
      <c r="J2671">
        <f>VLOOKUP(D2671,Товары!A:I,4,0)</f>
        <v>25860</v>
      </c>
      <c r="K2671">
        <f t="shared" si="41"/>
        <v>77580</v>
      </c>
    </row>
    <row r="2672" spans="1:11" hidden="1" x14ac:dyDescent="0.25">
      <c r="A2672">
        <v>2671</v>
      </c>
      <c r="B2672" s="1">
        <v>45753</v>
      </c>
      <c r="C2672" t="s">
        <v>20</v>
      </c>
      <c r="D2672" t="s">
        <v>108</v>
      </c>
      <c r="E2672" t="s">
        <v>8</v>
      </c>
      <c r="F2672">
        <v>2</v>
      </c>
      <c r="G2672" t="str">
        <f>VLOOKUP(D2672,Товары!A:I,3,0)</f>
        <v>Тумба с раковиной  навес. Виктория 1000 белый 2 ящика с умыв. Слим</v>
      </c>
      <c r="H2672">
        <f>VLOOKUP(D2672,Товары!A:I,6,0)</f>
        <v>60</v>
      </c>
      <c r="I2672" t="str">
        <f>VLOOKUP(C2672,Магазины!A:C,3,0)</f>
        <v>Оренбург</v>
      </c>
      <c r="J2672">
        <f>VLOOKUP(D2672,Товары!A:I,4,0)</f>
        <v>29205</v>
      </c>
      <c r="K2672">
        <f t="shared" si="41"/>
        <v>58410</v>
      </c>
    </row>
    <row r="2673" spans="1:11" hidden="1" x14ac:dyDescent="0.25">
      <c r="A2673">
        <v>2672</v>
      </c>
      <c r="B2673" s="1">
        <v>45757</v>
      </c>
      <c r="C2673" t="s">
        <v>35</v>
      </c>
      <c r="D2673" t="s">
        <v>85</v>
      </c>
      <c r="E2673" t="s">
        <v>8</v>
      </c>
      <c r="F2673">
        <v>3</v>
      </c>
      <c r="G2673" t="str">
        <f>VLOOKUP(D2673,Товары!A:I,3,0)</f>
        <v>Пенал напол. Аква 450 белый 2 двери + 2 ящика + корзина</v>
      </c>
      <c r="H2673">
        <f>VLOOKUP(D2673,Товары!A:I,6,0)</f>
        <v>190</v>
      </c>
      <c r="I2673" t="str">
        <f>VLOOKUP(C2673,Магазины!A:C,3,0)</f>
        <v>Набережные Челны</v>
      </c>
      <c r="J2673">
        <f>VLOOKUP(D2673,Товары!A:I,4,0)</f>
        <v>13335</v>
      </c>
      <c r="K2673">
        <f t="shared" si="41"/>
        <v>40005</v>
      </c>
    </row>
    <row r="2674" spans="1:11" hidden="1" x14ac:dyDescent="0.25">
      <c r="A2674">
        <v>2673</v>
      </c>
      <c r="B2674" s="1">
        <v>45748</v>
      </c>
      <c r="C2674" t="s">
        <v>9</v>
      </c>
      <c r="D2674" t="s">
        <v>73</v>
      </c>
      <c r="E2674" t="s">
        <v>13</v>
      </c>
      <c r="F2674">
        <v>2</v>
      </c>
      <c r="G2674" t="str">
        <f>VLOOKUP(D2674,Товары!A:I,3,0)</f>
        <v>Зеркальный шкаф Альба 70 со светильником правый цвет антрацит</v>
      </c>
      <c r="H2674">
        <f>VLOOKUP(D2674,Товары!A:I,6,0)</f>
        <v>75</v>
      </c>
      <c r="I2674" t="str">
        <f>VLOOKUP(C2674,Магазины!A:C,3,0)</f>
        <v>Кемерово</v>
      </c>
      <c r="J2674">
        <f>VLOOKUP(D2674,Товары!A:I,4,0)</f>
        <v>9615</v>
      </c>
      <c r="K2674">
        <f t="shared" si="41"/>
        <v>19230</v>
      </c>
    </row>
    <row r="2675" spans="1:11" hidden="1" x14ac:dyDescent="0.25">
      <c r="A2675">
        <v>2674</v>
      </c>
      <c r="B2675" s="1">
        <v>45752</v>
      </c>
      <c r="C2675" t="s">
        <v>58</v>
      </c>
      <c r="D2675" t="s">
        <v>126</v>
      </c>
      <c r="E2675" t="s">
        <v>13</v>
      </c>
      <c r="F2675">
        <v>3</v>
      </c>
      <c r="G2675" t="str">
        <f>VLOOKUP(D2675,Товары!A:I,3,0)</f>
        <v>Тумба с раковиной  напол. Кристалл 800 шато азур 2 ящика с умыв. Комфорт</v>
      </c>
      <c r="H2675">
        <f>VLOOKUP(D2675,Товары!A:I,6,0)</f>
        <v>85</v>
      </c>
      <c r="I2675" t="str">
        <f>VLOOKUP(C2675,Магазины!A:C,3,0)</f>
        <v>Ставрополь</v>
      </c>
      <c r="J2675">
        <f>VLOOKUP(D2675,Товары!A:I,4,0)</f>
        <v>31125</v>
      </c>
      <c r="K2675">
        <f t="shared" si="41"/>
        <v>93375</v>
      </c>
    </row>
    <row r="2676" spans="1:11" hidden="1" x14ac:dyDescent="0.25">
      <c r="A2676">
        <v>2675</v>
      </c>
      <c r="B2676" s="1">
        <v>45750</v>
      </c>
      <c r="C2676" t="s">
        <v>58</v>
      </c>
      <c r="D2676" t="s">
        <v>97</v>
      </c>
      <c r="E2676" t="s">
        <v>13</v>
      </c>
      <c r="F2676">
        <v>3</v>
      </c>
      <c r="G2676" t="str">
        <f>VLOOKUP(D2676,Товары!A:I,3,0)</f>
        <v>Пенал напол. Кристалл 350 суфле 2 двери</v>
      </c>
      <c r="H2676">
        <f>VLOOKUP(D2676,Товары!A:I,6,0)</f>
        <v>190</v>
      </c>
      <c r="I2676" t="str">
        <f>VLOOKUP(C2676,Магазины!A:C,3,0)</f>
        <v>Ставрополь</v>
      </c>
      <c r="J2676">
        <f>VLOOKUP(D2676,Товары!A:I,4,0)</f>
        <v>15810</v>
      </c>
      <c r="K2676">
        <f t="shared" si="41"/>
        <v>47430</v>
      </c>
    </row>
    <row r="2677" spans="1:11" hidden="1" x14ac:dyDescent="0.25">
      <c r="A2677">
        <v>2676</v>
      </c>
      <c r="B2677" s="1">
        <v>45749</v>
      </c>
      <c r="C2677" t="s">
        <v>11</v>
      </c>
      <c r="D2677" t="s">
        <v>12</v>
      </c>
      <c r="E2677" t="s">
        <v>8</v>
      </c>
      <c r="F2677">
        <v>3</v>
      </c>
      <c r="G2677" t="str">
        <f>VLOOKUP(D2677,Товары!A:I,3,0)</f>
        <v>Тумба с раковиной  напол. Сохо 700 белый 2 двери с умыв. Слим</v>
      </c>
      <c r="H2677">
        <f>VLOOKUP(D2677,Товары!A:I,6,0)</f>
        <v>85</v>
      </c>
      <c r="I2677" t="str">
        <f>VLOOKUP(C2677,Магазины!A:C,3,0)</f>
        <v>Кемерово</v>
      </c>
      <c r="J2677">
        <f>VLOOKUP(D2677,Товары!A:I,4,0)</f>
        <v>17160</v>
      </c>
      <c r="K2677">
        <f t="shared" si="41"/>
        <v>51480</v>
      </c>
    </row>
    <row r="2678" spans="1:11" hidden="1" x14ac:dyDescent="0.25">
      <c r="A2678">
        <v>2677</v>
      </c>
      <c r="B2678" s="1">
        <v>45751</v>
      </c>
      <c r="C2678" t="s">
        <v>30</v>
      </c>
      <c r="D2678" t="s">
        <v>80</v>
      </c>
      <c r="E2678" t="s">
        <v>8</v>
      </c>
      <c r="F2678">
        <v>1</v>
      </c>
      <c r="G2678" t="str">
        <f>VLOOKUP(D2678,Товары!A:I,3,0)</f>
        <v>Тумба с раковиной  навес. Сохо 600 белый 2 ящика с умыв. Океан</v>
      </c>
      <c r="H2678">
        <f>VLOOKUP(D2678,Товары!A:I,6,0)</f>
        <v>55</v>
      </c>
      <c r="I2678" t="str">
        <f>VLOOKUP(C2678,Магазины!A:C,3,0)</f>
        <v>Кемерово</v>
      </c>
      <c r="J2678">
        <f>VLOOKUP(D2678,Товары!A:I,4,0)</f>
        <v>13950</v>
      </c>
      <c r="K2678">
        <f t="shared" si="41"/>
        <v>13950</v>
      </c>
    </row>
    <row r="2679" spans="1:11" hidden="1" x14ac:dyDescent="0.25">
      <c r="A2679">
        <v>2678</v>
      </c>
      <c r="B2679" s="1">
        <v>45754</v>
      </c>
      <c r="C2679" t="s">
        <v>63</v>
      </c>
      <c r="D2679" t="s">
        <v>105</v>
      </c>
      <c r="E2679" t="s">
        <v>8</v>
      </c>
      <c r="F2679">
        <v>3</v>
      </c>
      <c r="G2679" t="str">
        <f>VLOOKUP(D2679,Товары!A:I,3,0)</f>
        <v>Тумба с раковиной  напол. Нева 600 белый 2 двери + 1 ящик с умыв. Como</v>
      </c>
      <c r="H2679">
        <f>VLOOKUP(D2679,Товары!A:I,6,0)</f>
        <v>80</v>
      </c>
      <c r="I2679" t="str">
        <f>VLOOKUP(C2679,Магазины!A:C,3,0)</f>
        <v>Ставрополь</v>
      </c>
      <c r="J2679">
        <f>VLOOKUP(D2679,Товары!A:I,4,0)</f>
        <v>13470</v>
      </c>
      <c r="K2679">
        <f t="shared" si="41"/>
        <v>40410</v>
      </c>
    </row>
    <row r="2680" spans="1:11" hidden="1" x14ac:dyDescent="0.25">
      <c r="A2680">
        <v>2679</v>
      </c>
      <c r="B2680" s="1">
        <v>45757</v>
      </c>
      <c r="C2680" t="s">
        <v>20</v>
      </c>
      <c r="D2680" t="s">
        <v>129</v>
      </c>
      <c r="E2680" t="s">
        <v>13</v>
      </c>
      <c r="F2680">
        <v>2</v>
      </c>
      <c r="G2680" t="str">
        <f>VLOOKUP(D2680,Товары!A:I,3,0)</f>
        <v>Тумба с раковиной  напол. Альба 700 антрацит 2 ящика с умыв. Слим</v>
      </c>
      <c r="H2680">
        <f>VLOOKUP(D2680,Товары!A:I,6,0)</f>
        <v>85</v>
      </c>
      <c r="I2680" t="str">
        <f>VLOOKUP(C2680,Магазины!A:C,3,0)</f>
        <v>Оренбург</v>
      </c>
      <c r="J2680">
        <f>VLOOKUP(D2680,Товары!A:I,4,0)</f>
        <v>28695</v>
      </c>
      <c r="K2680">
        <f t="shared" si="41"/>
        <v>57390</v>
      </c>
    </row>
    <row r="2681" spans="1:11" hidden="1" x14ac:dyDescent="0.25">
      <c r="A2681">
        <v>2680</v>
      </c>
      <c r="B2681" s="1">
        <v>45753</v>
      </c>
      <c r="C2681" t="s">
        <v>16</v>
      </c>
      <c r="D2681" t="s">
        <v>7</v>
      </c>
      <c r="E2681" t="s">
        <v>8</v>
      </c>
      <c r="F2681">
        <v>1</v>
      </c>
      <c r="G2681" t="str">
        <f>VLOOKUP(D2681,Товары!A:I,3,0)</f>
        <v>Пенал напол. Леон Риф 400 солярис/белый риф 2 двери + 1 ящик</v>
      </c>
      <c r="H2681">
        <f>VLOOKUP(D2681,Товары!A:I,6,0)</f>
        <v>190</v>
      </c>
      <c r="I2681" t="str">
        <f>VLOOKUP(C2681,Магазины!A:C,3,0)</f>
        <v>Оренбург</v>
      </c>
      <c r="J2681">
        <f>VLOOKUP(D2681,Товары!A:I,4,0)</f>
        <v>14490</v>
      </c>
      <c r="K2681">
        <f t="shared" si="41"/>
        <v>14490</v>
      </c>
    </row>
    <row r="2682" spans="1:11" hidden="1" x14ac:dyDescent="0.25">
      <c r="A2682">
        <v>2681</v>
      </c>
      <c r="B2682" s="1">
        <v>45754</v>
      </c>
      <c r="C2682" t="s">
        <v>26</v>
      </c>
      <c r="D2682" t="s">
        <v>93</v>
      </c>
      <c r="E2682" t="s">
        <v>8</v>
      </c>
      <c r="F2682">
        <v>2</v>
      </c>
      <c r="G2682" t="str">
        <f>VLOOKUP(D2682,Товары!A:I,3,0)</f>
        <v>Тумба с раковиной  напол. Леон Риф 800 солярис/белый риф 2 ящика с умыв. Слим</v>
      </c>
      <c r="H2682">
        <f>VLOOKUP(D2682,Товары!A:I,6,0)</f>
        <v>80</v>
      </c>
      <c r="I2682" t="str">
        <f>VLOOKUP(C2682,Магазины!A:C,3,0)</f>
        <v>Оренбург</v>
      </c>
      <c r="J2682">
        <f>VLOOKUP(D2682,Товары!A:I,4,0)</f>
        <v>29340</v>
      </c>
      <c r="K2682">
        <f t="shared" si="41"/>
        <v>58680</v>
      </c>
    </row>
    <row r="2683" spans="1:11" hidden="1" x14ac:dyDescent="0.25">
      <c r="A2683">
        <v>2682</v>
      </c>
      <c r="B2683" s="1">
        <v>45751</v>
      </c>
      <c r="C2683" t="s">
        <v>16</v>
      </c>
      <c r="D2683" t="s">
        <v>51</v>
      </c>
      <c r="E2683" t="s">
        <v>13</v>
      </c>
      <c r="F2683">
        <v>3</v>
      </c>
      <c r="G2683" t="str">
        <f>VLOOKUP(D2683,Товары!A:I,3,0)</f>
        <v>Зеркальный шкаф Альба 80 со светильником правый цвет суфле</v>
      </c>
      <c r="H2683">
        <f>VLOOKUP(D2683,Товары!A:I,6,0)</f>
        <v>75</v>
      </c>
      <c r="I2683" t="str">
        <f>VLOOKUP(C2683,Магазины!A:C,3,0)</f>
        <v>Оренбург</v>
      </c>
      <c r="J2683">
        <f>VLOOKUP(D2683,Товары!A:I,4,0)</f>
        <v>9930</v>
      </c>
      <c r="K2683">
        <f t="shared" si="41"/>
        <v>29790</v>
      </c>
    </row>
    <row r="2684" spans="1:11" hidden="1" x14ac:dyDescent="0.25">
      <c r="A2684">
        <v>2683</v>
      </c>
      <c r="B2684" s="1">
        <v>45754</v>
      </c>
      <c r="C2684" t="s">
        <v>22</v>
      </c>
      <c r="D2684" t="s">
        <v>17</v>
      </c>
      <c r="E2684" t="s">
        <v>13</v>
      </c>
      <c r="F2684">
        <v>1</v>
      </c>
      <c r="G2684" t="str">
        <f>VLOOKUP(D2684,Товары!A:I,3,0)</f>
        <v>Тумба с раковиной  навес. Альба 800 антрацит 1 ящик с умыв. Слим</v>
      </c>
      <c r="H2684">
        <f>VLOOKUP(D2684,Товары!A:I,6,0)</f>
        <v>45</v>
      </c>
      <c r="I2684" t="str">
        <f>VLOOKUP(C2684,Магазины!A:C,3,0)</f>
        <v>Кемерово</v>
      </c>
      <c r="J2684">
        <f>VLOOKUP(D2684,Товары!A:I,4,0)</f>
        <v>21630</v>
      </c>
      <c r="K2684">
        <f t="shared" si="41"/>
        <v>21630</v>
      </c>
    </row>
    <row r="2685" spans="1:11" hidden="1" x14ac:dyDescent="0.25">
      <c r="A2685">
        <v>2684</v>
      </c>
      <c r="B2685" s="1">
        <v>45751</v>
      </c>
      <c r="C2685" t="s">
        <v>111</v>
      </c>
      <c r="D2685" t="s">
        <v>114</v>
      </c>
      <c r="E2685" t="s">
        <v>8</v>
      </c>
      <c r="F2685">
        <v>2</v>
      </c>
      <c r="G2685" t="str">
        <f>VLOOKUP(D2685,Товары!A:I,3,0)</f>
        <v>Тумба с раковиной  навес. Альба 700 мята 2 ящика с умыв. Слим</v>
      </c>
      <c r="H2685">
        <f>VLOOKUP(D2685,Товары!A:I,6,0)</f>
        <v>60</v>
      </c>
      <c r="I2685" t="str">
        <f>VLOOKUP(C2685,Магазины!A:C,3,0)</f>
        <v>Набережные Челны</v>
      </c>
      <c r="J2685">
        <f>VLOOKUP(D2685,Товары!A:I,4,0)</f>
        <v>25095</v>
      </c>
      <c r="K2685">
        <f t="shared" si="41"/>
        <v>50190</v>
      </c>
    </row>
    <row r="2686" spans="1:11" hidden="1" x14ac:dyDescent="0.25">
      <c r="A2686">
        <v>2685</v>
      </c>
      <c r="B2686" s="1">
        <v>45751</v>
      </c>
      <c r="C2686" t="s">
        <v>103</v>
      </c>
      <c r="D2686" t="s">
        <v>102</v>
      </c>
      <c r="E2686" t="s">
        <v>13</v>
      </c>
      <c r="F2686">
        <v>1</v>
      </c>
      <c r="G2686" t="str">
        <f>VLOOKUP(D2686,Товары!A:I,3,0)</f>
        <v>Тумба с раковиной  напол. Леон Риф 1000 солярис/белый риф 2 ящика с умыв. Слим</v>
      </c>
      <c r="H2686">
        <f>VLOOKUP(D2686,Товары!A:I,6,0)</f>
        <v>85</v>
      </c>
      <c r="I2686" t="str">
        <f>VLOOKUP(C2686,Магазины!A:C,3,0)</f>
        <v>Ставрополь</v>
      </c>
      <c r="J2686">
        <f>VLOOKUP(D2686,Товары!A:I,4,0)</f>
        <v>32085</v>
      </c>
      <c r="K2686">
        <f t="shared" si="41"/>
        <v>32085</v>
      </c>
    </row>
    <row r="2687" spans="1:11" hidden="1" x14ac:dyDescent="0.25">
      <c r="A2687">
        <v>2686</v>
      </c>
      <c r="B2687" s="1">
        <v>45757</v>
      </c>
      <c r="C2687" t="s">
        <v>41</v>
      </c>
      <c r="D2687" t="s">
        <v>37</v>
      </c>
      <c r="E2687" t="s">
        <v>8</v>
      </c>
      <c r="F2687">
        <v>2</v>
      </c>
      <c r="G2687" t="str">
        <f>VLOOKUP(D2687,Товары!A:I,3,0)</f>
        <v>Зеркальный шкаф Сохо 70 белый со светильником правый цвет Белый глянец</v>
      </c>
      <c r="H2687">
        <f>VLOOKUP(D2687,Товары!A:I,6,0)</f>
        <v>75</v>
      </c>
      <c r="I2687" t="str">
        <f>VLOOKUP(C2687,Магазины!A:C,3,0)</f>
        <v>Ставрополь</v>
      </c>
      <c r="J2687">
        <f>VLOOKUP(D2687,Товары!A:I,4,0)</f>
        <v>7935</v>
      </c>
      <c r="K2687">
        <f t="shared" si="41"/>
        <v>15870</v>
      </c>
    </row>
    <row r="2688" spans="1:11" hidden="1" x14ac:dyDescent="0.25">
      <c r="A2688">
        <v>2687</v>
      </c>
      <c r="B2688" s="1">
        <v>45757</v>
      </c>
      <c r="C2688" t="s">
        <v>30</v>
      </c>
      <c r="D2688" t="s">
        <v>96</v>
      </c>
      <c r="E2688" t="s">
        <v>13</v>
      </c>
      <c r="F2688">
        <v>1</v>
      </c>
      <c r="G2688" t="str">
        <f>VLOOKUP(D2688,Товары!A:I,3,0)</f>
        <v>Тумба с раковиной  навес. Альба 600 мята 1 ящик с умыв. Океан</v>
      </c>
      <c r="H2688">
        <f>VLOOKUP(D2688,Товары!A:I,6,0)</f>
        <v>85</v>
      </c>
      <c r="I2688" t="str">
        <f>VLOOKUP(C2688,Магазины!A:C,3,0)</f>
        <v>Кемерово</v>
      </c>
      <c r="J2688">
        <f>VLOOKUP(D2688,Товары!A:I,4,0)</f>
        <v>17625</v>
      </c>
      <c r="K2688">
        <f t="shared" si="41"/>
        <v>17625</v>
      </c>
    </row>
    <row r="2689" spans="1:11" hidden="1" x14ac:dyDescent="0.25">
      <c r="A2689">
        <v>2688</v>
      </c>
      <c r="B2689" s="1">
        <v>45748</v>
      </c>
      <c r="C2689" t="s">
        <v>20</v>
      </c>
      <c r="D2689" t="s">
        <v>62</v>
      </c>
      <c r="E2689" t="s">
        <v>13</v>
      </c>
      <c r="F2689">
        <v>1</v>
      </c>
      <c r="G2689" t="str">
        <f>VLOOKUP(D2689,Товары!A:I,3,0)</f>
        <v>Тумба с раковиной  напол. Альба 600 мята 2 ящика с умыв. Океан</v>
      </c>
      <c r="H2689">
        <f>VLOOKUP(D2689,Товары!A:I,6,0)</f>
        <v>80</v>
      </c>
      <c r="I2689" t="str">
        <f>VLOOKUP(C2689,Магазины!A:C,3,0)</f>
        <v>Оренбург</v>
      </c>
      <c r="J2689">
        <f>VLOOKUP(D2689,Товары!A:I,4,0)</f>
        <v>26370</v>
      </c>
      <c r="K2689">
        <f t="shared" si="41"/>
        <v>26370</v>
      </c>
    </row>
    <row r="2690" spans="1:11" hidden="1" x14ac:dyDescent="0.25">
      <c r="A2690">
        <v>2689</v>
      </c>
      <c r="B2690" s="1">
        <v>45751</v>
      </c>
      <c r="C2690" t="s">
        <v>28</v>
      </c>
      <c r="D2690" t="s">
        <v>93</v>
      </c>
      <c r="E2690" t="s">
        <v>8</v>
      </c>
      <c r="F2690">
        <v>3</v>
      </c>
      <c r="G2690" t="str">
        <f>VLOOKUP(D2690,Товары!A:I,3,0)</f>
        <v>Тумба с раковиной  напол. Леон Риф 800 солярис/белый риф 2 ящика с умыв. Слим</v>
      </c>
      <c r="H2690">
        <f>VLOOKUP(D2690,Товары!A:I,6,0)</f>
        <v>80</v>
      </c>
      <c r="I2690" t="str">
        <f>VLOOKUP(C2690,Магазины!A:C,3,0)</f>
        <v>Набережные Челны</v>
      </c>
      <c r="J2690">
        <f>VLOOKUP(D2690,Товары!A:I,4,0)</f>
        <v>29340</v>
      </c>
      <c r="K2690">
        <f t="shared" si="41"/>
        <v>88020</v>
      </c>
    </row>
    <row r="2691" spans="1:11" hidden="1" x14ac:dyDescent="0.25">
      <c r="A2691">
        <v>2690</v>
      </c>
      <c r="B2691" s="1">
        <v>45750</v>
      </c>
      <c r="C2691" t="s">
        <v>41</v>
      </c>
      <c r="D2691" t="s">
        <v>121</v>
      </c>
      <c r="E2691" t="s">
        <v>13</v>
      </c>
      <c r="F2691">
        <v>3</v>
      </c>
      <c r="G2691" t="str">
        <f>VLOOKUP(D2691,Товары!A:I,3,0)</f>
        <v>Тумба с раковиной  напол. Куба Риф 600 белый 2 двери с умыв. Como</v>
      </c>
      <c r="H2691">
        <f>VLOOKUP(D2691,Товары!A:I,6,0)</f>
        <v>85</v>
      </c>
      <c r="I2691" t="str">
        <f>VLOOKUP(C2691,Магазины!A:C,3,0)</f>
        <v>Ставрополь</v>
      </c>
      <c r="J2691">
        <f>VLOOKUP(D2691,Товары!A:I,4,0)</f>
        <v>13695</v>
      </c>
      <c r="K2691">
        <f t="shared" ref="K2691:K2754" si="42">J2691*F2691</f>
        <v>41085</v>
      </c>
    </row>
    <row r="2692" spans="1:11" hidden="1" x14ac:dyDescent="0.25">
      <c r="A2692">
        <v>2691</v>
      </c>
      <c r="B2692" s="1">
        <v>45751</v>
      </c>
      <c r="C2692" t="s">
        <v>63</v>
      </c>
      <c r="D2692" t="s">
        <v>79</v>
      </c>
      <c r="E2692" t="s">
        <v>13</v>
      </c>
      <c r="F2692">
        <v>2</v>
      </c>
      <c r="G2692" t="str">
        <f>VLOOKUP(D2692,Товары!A:I,3,0)</f>
        <v>Зеркальный шкаф Альба 70 со светильником правый цвет мята</v>
      </c>
      <c r="H2692">
        <f>VLOOKUP(D2692,Товары!A:I,6,0)</f>
        <v>75</v>
      </c>
      <c r="I2692" t="str">
        <f>VLOOKUP(C2692,Магазины!A:C,3,0)</f>
        <v>Ставрополь</v>
      </c>
      <c r="J2692">
        <f>VLOOKUP(D2692,Товары!A:I,4,0)</f>
        <v>9615</v>
      </c>
      <c r="K2692">
        <f t="shared" si="42"/>
        <v>19230</v>
      </c>
    </row>
    <row r="2693" spans="1:11" hidden="1" x14ac:dyDescent="0.25">
      <c r="A2693">
        <v>2692</v>
      </c>
      <c r="B2693" s="1">
        <v>45752</v>
      </c>
      <c r="C2693" t="s">
        <v>111</v>
      </c>
      <c r="D2693" t="s">
        <v>50</v>
      </c>
      <c r="E2693" t="s">
        <v>13</v>
      </c>
      <c r="F2693">
        <v>3</v>
      </c>
      <c r="G2693" t="str">
        <f>VLOOKUP(D2693,Товары!A:I,3,0)</f>
        <v>Тумба с раковиной  напол. Леон 800 оникс 2 ящика с умыв. Слим</v>
      </c>
      <c r="H2693">
        <f>VLOOKUP(D2693,Товары!A:I,6,0)</f>
        <v>80</v>
      </c>
      <c r="I2693" t="str">
        <f>VLOOKUP(C2693,Магазины!A:C,3,0)</f>
        <v>Набережные Челны</v>
      </c>
      <c r="J2693">
        <f>VLOOKUP(D2693,Товары!A:I,4,0)</f>
        <v>29400</v>
      </c>
      <c r="K2693">
        <f t="shared" si="42"/>
        <v>88200</v>
      </c>
    </row>
    <row r="2694" spans="1:11" hidden="1" x14ac:dyDescent="0.25">
      <c r="A2694">
        <v>2693</v>
      </c>
      <c r="B2694" s="1">
        <v>45757</v>
      </c>
      <c r="C2694" t="s">
        <v>22</v>
      </c>
      <c r="D2694" t="s">
        <v>105</v>
      </c>
      <c r="E2694" t="s">
        <v>13</v>
      </c>
      <c r="F2694">
        <v>1</v>
      </c>
      <c r="G2694" t="str">
        <f>VLOOKUP(D2694,Товары!A:I,3,0)</f>
        <v>Тумба с раковиной  напол. Нева 600 белый 2 двери + 1 ящик с умыв. Como</v>
      </c>
      <c r="H2694">
        <f>VLOOKUP(D2694,Товары!A:I,6,0)</f>
        <v>80</v>
      </c>
      <c r="I2694" t="str">
        <f>VLOOKUP(C2694,Магазины!A:C,3,0)</f>
        <v>Кемерово</v>
      </c>
      <c r="J2694">
        <f>VLOOKUP(D2694,Товары!A:I,4,0)</f>
        <v>13470</v>
      </c>
      <c r="K2694">
        <f t="shared" si="42"/>
        <v>13470</v>
      </c>
    </row>
    <row r="2695" spans="1:11" hidden="1" x14ac:dyDescent="0.25">
      <c r="A2695">
        <v>2694</v>
      </c>
      <c r="B2695" s="1">
        <v>45753</v>
      </c>
      <c r="C2695" t="s">
        <v>18</v>
      </c>
      <c r="D2695" t="s">
        <v>91</v>
      </c>
      <c r="E2695" t="s">
        <v>13</v>
      </c>
      <c r="F2695">
        <v>1</v>
      </c>
      <c r="G2695" t="str">
        <f>VLOOKUP(D2695,Товары!A:I,3,0)</f>
        <v>Пенал навес./напол. Альба 350 мята 2 двери</v>
      </c>
      <c r="H2695">
        <f>VLOOKUP(D2695,Товары!A:I,6,0)</f>
        <v>150</v>
      </c>
      <c r="I2695" t="str">
        <f>VLOOKUP(C2695,Магазины!A:C,3,0)</f>
        <v>Набережные Челны</v>
      </c>
      <c r="J2695">
        <f>VLOOKUP(D2695,Товары!A:I,4,0)</f>
        <v>11655</v>
      </c>
      <c r="K2695">
        <f t="shared" si="42"/>
        <v>11655</v>
      </c>
    </row>
    <row r="2696" spans="1:11" hidden="1" x14ac:dyDescent="0.25">
      <c r="A2696">
        <v>2695</v>
      </c>
      <c r="B2696" s="1">
        <v>45750</v>
      </c>
      <c r="C2696" t="s">
        <v>103</v>
      </c>
      <c r="D2696" t="s">
        <v>102</v>
      </c>
      <c r="E2696" t="s">
        <v>8</v>
      </c>
      <c r="F2696">
        <v>3</v>
      </c>
      <c r="G2696" t="str">
        <f>VLOOKUP(D2696,Товары!A:I,3,0)</f>
        <v>Тумба с раковиной  напол. Леон Риф 1000 солярис/белый риф 2 ящика с умыв. Слим</v>
      </c>
      <c r="H2696">
        <f>VLOOKUP(D2696,Товары!A:I,6,0)</f>
        <v>85</v>
      </c>
      <c r="I2696" t="str">
        <f>VLOOKUP(C2696,Магазины!A:C,3,0)</f>
        <v>Ставрополь</v>
      </c>
      <c r="J2696">
        <f>VLOOKUP(D2696,Товары!A:I,4,0)</f>
        <v>32085</v>
      </c>
      <c r="K2696">
        <f t="shared" si="42"/>
        <v>96255</v>
      </c>
    </row>
    <row r="2697" spans="1:11" hidden="1" x14ac:dyDescent="0.25">
      <c r="A2697">
        <v>2696</v>
      </c>
      <c r="B2697" s="1">
        <v>45750</v>
      </c>
      <c r="C2697" t="s">
        <v>43</v>
      </c>
      <c r="D2697" t="s">
        <v>47</v>
      </c>
      <c r="E2697" t="s">
        <v>13</v>
      </c>
      <c r="F2697">
        <v>3</v>
      </c>
      <c r="G2697" t="str">
        <f>VLOOKUP(D2697,Товары!A:I,3,0)</f>
        <v>Пенал напол. Кристалл 350 шато азур 2 двери</v>
      </c>
      <c r="H2697">
        <f>VLOOKUP(D2697,Товары!A:I,6,0)</f>
        <v>190</v>
      </c>
      <c r="I2697" t="str">
        <f>VLOOKUP(C2697,Магазины!A:C,3,0)</f>
        <v>Набережные Челны</v>
      </c>
      <c r="J2697">
        <f>VLOOKUP(D2697,Товары!A:I,4,0)</f>
        <v>15810</v>
      </c>
      <c r="K2697">
        <f t="shared" si="42"/>
        <v>47430</v>
      </c>
    </row>
    <row r="2698" spans="1:11" hidden="1" x14ac:dyDescent="0.25">
      <c r="A2698">
        <v>2697</v>
      </c>
      <c r="B2698" s="1">
        <v>45755</v>
      </c>
      <c r="C2698" t="s">
        <v>22</v>
      </c>
      <c r="D2698" t="s">
        <v>15</v>
      </c>
      <c r="E2698" t="s">
        <v>8</v>
      </c>
      <c r="F2698">
        <v>1</v>
      </c>
      <c r="G2698" t="str">
        <f>VLOOKUP(D2698,Товары!A:I,3,0)</f>
        <v>Зеркальный шкаф Кристалл 60 со светильником правый, ручка кнопка дуб цвет Шато Азур</v>
      </c>
      <c r="H2698">
        <f>VLOOKUP(D2698,Товары!A:I,6,0)</f>
        <v>75</v>
      </c>
      <c r="I2698" t="str">
        <f>VLOOKUP(C2698,Магазины!A:C,3,0)</f>
        <v>Кемерово</v>
      </c>
      <c r="J2698">
        <f>VLOOKUP(D2698,Товары!A:I,4,0)</f>
        <v>9195</v>
      </c>
      <c r="K2698">
        <f t="shared" si="42"/>
        <v>9195</v>
      </c>
    </row>
    <row r="2699" spans="1:11" hidden="1" x14ac:dyDescent="0.25">
      <c r="A2699">
        <v>2698</v>
      </c>
      <c r="B2699" s="1">
        <v>45755</v>
      </c>
      <c r="C2699" t="s">
        <v>22</v>
      </c>
      <c r="D2699" t="s">
        <v>79</v>
      </c>
      <c r="E2699" t="s">
        <v>13</v>
      </c>
      <c r="F2699">
        <v>3</v>
      </c>
      <c r="G2699" t="str">
        <f>VLOOKUP(D2699,Товары!A:I,3,0)</f>
        <v>Зеркальный шкаф Альба 70 со светильником правый цвет мята</v>
      </c>
      <c r="H2699">
        <f>VLOOKUP(D2699,Товары!A:I,6,0)</f>
        <v>75</v>
      </c>
      <c r="I2699" t="str">
        <f>VLOOKUP(C2699,Магазины!A:C,3,0)</f>
        <v>Кемерово</v>
      </c>
      <c r="J2699">
        <f>VLOOKUP(D2699,Товары!A:I,4,0)</f>
        <v>9615</v>
      </c>
      <c r="K2699">
        <f t="shared" si="42"/>
        <v>28845</v>
      </c>
    </row>
    <row r="2700" spans="1:11" hidden="1" x14ac:dyDescent="0.25">
      <c r="A2700">
        <v>2699</v>
      </c>
      <c r="B2700" s="1">
        <v>45753</v>
      </c>
      <c r="C2700" t="s">
        <v>6</v>
      </c>
      <c r="D2700" t="s">
        <v>7</v>
      </c>
      <c r="E2700" t="s">
        <v>8</v>
      </c>
      <c r="F2700">
        <v>2</v>
      </c>
      <c r="G2700" t="str">
        <f>VLOOKUP(D2700,Товары!A:I,3,0)</f>
        <v>Пенал напол. Леон Риф 400 солярис/белый риф 2 двери + 1 ящик</v>
      </c>
      <c r="H2700">
        <f>VLOOKUP(D2700,Товары!A:I,6,0)</f>
        <v>190</v>
      </c>
      <c r="I2700" t="str">
        <f>VLOOKUP(C2700,Магазины!A:C,3,0)</f>
        <v>Оренбург</v>
      </c>
      <c r="J2700">
        <f>VLOOKUP(D2700,Товары!A:I,4,0)</f>
        <v>14490</v>
      </c>
      <c r="K2700">
        <f t="shared" si="42"/>
        <v>28980</v>
      </c>
    </row>
    <row r="2701" spans="1:11" hidden="1" x14ac:dyDescent="0.25">
      <c r="A2701">
        <v>2700</v>
      </c>
      <c r="B2701" s="1">
        <v>45753</v>
      </c>
      <c r="C2701" t="s">
        <v>54</v>
      </c>
      <c r="D2701" t="s">
        <v>29</v>
      </c>
      <c r="E2701" t="s">
        <v>8</v>
      </c>
      <c r="F2701">
        <v>1</v>
      </c>
      <c r="G2701" t="str">
        <f>VLOOKUP(D2701,Товары!A:I,3,0)</f>
        <v>Тумба с раковиной  напол. Леон Риф 600 солярис/белый риф 2 ящика с умыв. Океан</v>
      </c>
      <c r="H2701">
        <f>VLOOKUP(D2701,Товары!A:I,6,0)</f>
        <v>80</v>
      </c>
      <c r="I2701" t="str">
        <f>VLOOKUP(C2701,Магазины!A:C,3,0)</f>
        <v>Ставрополь</v>
      </c>
      <c r="J2701">
        <f>VLOOKUP(D2701,Товары!A:I,4,0)</f>
        <v>24150</v>
      </c>
      <c r="K2701">
        <f t="shared" si="42"/>
        <v>24150</v>
      </c>
    </row>
    <row r="2702" spans="1:11" hidden="1" x14ac:dyDescent="0.25">
      <c r="A2702">
        <v>2701</v>
      </c>
      <c r="B2702" s="1">
        <v>45754</v>
      </c>
      <c r="C2702" t="s">
        <v>58</v>
      </c>
      <c r="D2702" t="s">
        <v>29</v>
      </c>
      <c r="E2702" t="s">
        <v>8</v>
      </c>
      <c r="F2702">
        <v>1</v>
      </c>
      <c r="G2702" t="str">
        <f>VLOOKUP(D2702,Товары!A:I,3,0)</f>
        <v>Тумба с раковиной  напол. Леон Риф 600 солярис/белый риф 2 ящика с умыв. Океан</v>
      </c>
      <c r="H2702">
        <f>VLOOKUP(D2702,Товары!A:I,6,0)</f>
        <v>80</v>
      </c>
      <c r="I2702" t="str">
        <f>VLOOKUP(C2702,Магазины!A:C,3,0)</f>
        <v>Ставрополь</v>
      </c>
      <c r="J2702">
        <f>VLOOKUP(D2702,Товары!A:I,4,0)</f>
        <v>24150</v>
      </c>
      <c r="K2702">
        <f t="shared" si="42"/>
        <v>24150</v>
      </c>
    </row>
    <row r="2703" spans="1:11" hidden="1" x14ac:dyDescent="0.25">
      <c r="A2703">
        <v>2702</v>
      </c>
      <c r="B2703" s="1">
        <v>45748</v>
      </c>
      <c r="C2703" t="s">
        <v>20</v>
      </c>
      <c r="D2703" t="s">
        <v>129</v>
      </c>
      <c r="E2703" t="s">
        <v>13</v>
      </c>
      <c r="F2703">
        <v>1</v>
      </c>
      <c r="G2703" t="str">
        <f>VLOOKUP(D2703,Товары!A:I,3,0)</f>
        <v>Тумба с раковиной  напол. Альба 700 антрацит 2 ящика с умыв. Слим</v>
      </c>
      <c r="H2703">
        <f>VLOOKUP(D2703,Товары!A:I,6,0)</f>
        <v>85</v>
      </c>
      <c r="I2703" t="str">
        <f>VLOOKUP(C2703,Магазины!A:C,3,0)</f>
        <v>Оренбург</v>
      </c>
      <c r="J2703">
        <f>VLOOKUP(D2703,Товары!A:I,4,0)</f>
        <v>28695</v>
      </c>
      <c r="K2703">
        <f t="shared" si="42"/>
        <v>28695</v>
      </c>
    </row>
    <row r="2704" spans="1:11" hidden="1" x14ac:dyDescent="0.25">
      <c r="A2704">
        <v>2703</v>
      </c>
      <c r="B2704" s="1">
        <v>45751</v>
      </c>
      <c r="C2704" t="s">
        <v>22</v>
      </c>
      <c r="D2704" t="s">
        <v>106</v>
      </c>
      <c r="E2704" t="s">
        <v>13</v>
      </c>
      <c r="F2704">
        <v>2</v>
      </c>
      <c r="G2704" t="str">
        <f>VLOOKUP(D2704,Товары!A:I,3,0)</f>
        <v>Тумба с раковиной  навес. Кристалл 700 шато азур 2 ящика с умыв. Слим</v>
      </c>
      <c r="H2704">
        <f>VLOOKUP(D2704,Товары!A:I,6,0)</f>
        <v>60</v>
      </c>
      <c r="I2704" t="str">
        <f>VLOOKUP(C2704,Магазины!A:C,3,0)</f>
        <v>Кемерово</v>
      </c>
      <c r="J2704">
        <f>VLOOKUP(D2704,Товары!A:I,4,0)</f>
        <v>24150</v>
      </c>
      <c r="K2704">
        <f t="shared" si="42"/>
        <v>48300</v>
      </c>
    </row>
    <row r="2705" spans="1:11" hidden="1" x14ac:dyDescent="0.25">
      <c r="A2705">
        <v>2704</v>
      </c>
      <c r="B2705" s="1">
        <v>45751</v>
      </c>
      <c r="C2705" t="s">
        <v>20</v>
      </c>
      <c r="D2705" t="s">
        <v>45</v>
      </c>
      <c r="E2705" t="s">
        <v>13</v>
      </c>
      <c r="F2705">
        <v>2</v>
      </c>
      <c r="G2705" t="str">
        <f>VLOOKUP(D2705,Товары!A:I,3,0)</f>
        <v>Зеркальный шкаф Рица 80 со светильником правый цвет cерый/керамика</v>
      </c>
      <c r="H2705">
        <f>VLOOKUP(D2705,Товары!A:I,6,0)</f>
        <v>75</v>
      </c>
      <c r="I2705" t="str">
        <f>VLOOKUP(C2705,Магазины!A:C,3,0)</f>
        <v>Оренбург</v>
      </c>
      <c r="J2705">
        <f>VLOOKUP(D2705,Товары!A:I,4,0)</f>
        <v>9930</v>
      </c>
      <c r="K2705">
        <f t="shared" si="42"/>
        <v>19860</v>
      </c>
    </row>
    <row r="2706" spans="1:11" hidden="1" x14ac:dyDescent="0.25">
      <c r="A2706">
        <v>2705</v>
      </c>
      <c r="B2706" s="1">
        <v>45754</v>
      </c>
      <c r="C2706" t="s">
        <v>57</v>
      </c>
      <c r="D2706" t="s">
        <v>7</v>
      </c>
      <c r="E2706" t="s">
        <v>13</v>
      </c>
      <c r="F2706">
        <v>3</v>
      </c>
      <c r="G2706" t="str">
        <f>VLOOKUP(D2706,Товары!A:I,3,0)</f>
        <v>Пенал напол. Леон Риф 400 солярис/белый риф 2 двери + 1 ящик</v>
      </c>
      <c r="H2706">
        <f>VLOOKUP(D2706,Товары!A:I,6,0)</f>
        <v>190</v>
      </c>
      <c r="I2706" t="str">
        <f>VLOOKUP(C2706,Магазины!A:C,3,0)</f>
        <v>Оренбург</v>
      </c>
      <c r="J2706">
        <f>VLOOKUP(D2706,Товары!A:I,4,0)</f>
        <v>14490</v>
      </c>
      <c r="K2706">
        <f t="shared" si="42"/>
        <v>43470</v>
      </c>
    </row>
    <row r="2707" spans="1:11" hidden="1" x14ac:dyDescent="0.25">
      <c r="A2707">
        <v>2706</v>
      </c>
      <c r="B2707" s="1">
        <v>45752</v>
      </c>
      <c r="C2707" t="s">
        <v>26</v>
      </c>
      <c r="D2707" t="s">
        <v>55</v>
      </c>
      <c r="E2707" t="s">
        <v>13</v>
      </c>
      <c r="F2707">
        <v>3</v>
      </c>
      <c r="G2707" t="str">
        <f>VLOOKUP(D2707,Товары!A:I,3,0)</f>
        <v>Тумба с раковиной  напол. Рица 600 cерый/керамика 2 ящика с умыв. Океан</v>
      </c>
      <c r="H2707">
        <f>VLOOKUP(D2707,Товары!A:I,6,0)</f>
        <v>80</v>
      </c>
      <c r="I2707" t="str">
        <f>VLOOKUP(C2707,Магазины!A:C,3,0)</f>
        <v>Оренбург</v>
      </c>
      <c r="J2707">
        <f>VLOOKUP(D2707,Товары!A:I,4,0)</f>
        <v>25560</v>
      </c>
      <c r="K2707">
        <f t="shared" si="42"/>
        <v>76680</v>
      </c>
    </row>
    <row r="2708" spans="1:11" hidden="1" x14ac:dyDescent="0.25">
      <c r="A2708">
        <v>2707</v>
      </c>
      <c r="B2708" s="1">
        <v>45751</v>
      </c>
      <c r="C2708" t="s">
        <v>63</v>
      </c>
      <c r="D2708" t="s">
        <v>89</v>
      </c>
      <c r="E2708" t="s">
        <v>13</v>
      </c>
      <c r="F2708">
        <v>2</v>
      </c>
      <c r="G2708" t="str">
        <f>VLOOKUP(D2708,Товары!A:I,3,0)</f>
        <v>Тумба с раковиной  напол. Сохо 600 белый 2 двери с умыв. Океан</v>
      </c>
      <c r="H2708">
        <f>VLOOKUP(D2708,Товары!A:I,6,0)</f>
        <v>85</v>
      </c>
      <c r="I2708" t="str">
        <f>VLOOKUP(C2708,Магазины!A:C,3,0)</f>
        <v>Ставрополь</v>
      </c>
      <c r="J2708">
        <f>VLOOKUP(D2708,Товары!A:I,4,0)</f>
        <v>14880</v>
      </c>
      <c r="K2708">
        <f t="shared" si="42"/>
        <v>29760</v>
      </c>
    </row>
    <row r="2709" spans="1:11" hidden="1" x14ac:dyDescent="0.25">
      <c r="A2709">
        <v>2708</v>
      </c>
      <c r="B2709" s="1">
        <v>45752</v>
      </c>
      <c r="C2709" t="s">
        <v>14</v>
      </c>
      <c r="D2709" t="s">
        <v>106</v>
      </c>
      <c r="E2709" t="s">
        <v>13</v>
      </c>
      <c r="F2709">
        <v>3</v>
      </c>
      <c r="G2709" t="str">
        <f>VLOOKUP(D2709,Товары!A:I,3,0)</f>
        <v>Тумба с раковиной  навес. Кристалл 700 шато азур 2 ящика с умыв. Слим</v>
      </c>
      <c r="H2709">
        <f>VLOOKUP(D2709,Товары!A:I,6,0)</f>
        <v>60</v>
      </c>
      <c r="I2709" t="str">
        <f>VLOOKUP(C2709,Магазины!A:C,3,0)</f>
        <v>Оренбург</v>
      </c>
      <c r="J2709">
        <f>VLOOKUP(D2709,Товары!A:I,4,0)</f>
        <v>24150</v>
      </c>
      <c r="K2709">
        <f t="shared" si="42"/>
        <v>72450</v>
      </c>
    </row>
    <row r="2710" spans="1:11" hidden="1" x14ac:dyDescent="0.25">
      <c r="A2710">
        <v>2709</v>
      </c>
      <c r="B2710" s="1">
        <v>45753</v>
      </c>
      <c r="C2710" t="s">
        <v>43</v>
      </c>
      <c r="D2710" t="s">
        <v>118</v>
      </c>
      <c r="E2710" t="s">
        <v>13</v>
      </c>
      <c r="F2710">
        <v>3</v>
      </c>
      <c r="G2710" t="str">
        <f>VLOOKUP(D2710,Товары!A:I,3,0)</f>
        <v>Тумба с раковиной  напол. Сохо 800 белый 2 ящика с умыв. Слим</v>
      </c>
      <c r="H2710">
        <f>VLOOKUP(D2710,Товары!A:I,6,0)</f>
        <v>85</v>
      </c>
      <c r="I2710" t="str">
        <f>VLOOKUP(C2710,Магазины!A:C,3,0)</f>
        <v>Набережные Челны</v>
      </c>
      <c r="J2710">
        <f>VLOOKUP(D2710,Товары!A:I,4,0)</f>
        <v>19575</v>
      </c>
      <c r="K2710">
        <f t="shared" si="42"/>
        <v>58725</v>
      </c>
    </row>
    <row r="2711" spans="1:11" hidden="1" x14ac:dyDescent="0.25">
      <c r="A2711">
        <v>2710</v>
      </c>
      <c r="B2711" s="1">
        <v>45753</v>
      </c>
      <c r="C2711" t="s">
        <v>18</v>
      </c>
      <c r="D2711" t="s">
        <v>68</v>
      </c>
      <c r="E2711" t="s">
        <v>8</v>
      </c>
      <c r="F2711">
        <v>2</v>
      </c>
      <c r="G2711" t="str">
        <f>VLOOKUP(D2711,Товары!A:I,3,0)</f>
        <v>Тумба с раковиной  навес. Альба 600 антрацит 1 ящик с умыв. Океан</v>
      </c>
      <c r="H2711">
        <f>VLOOKUP(D2711,Товары!A:I,6,0)</f>
        <v>85</v>
      </c>
      <c r="I2711" t="str">
        <f>VLOOKUP(C2711,Магазины!A:C,3,0)</f>
        <v>Набережные Челны</v>
      </c>
      <c r="J2711">
        <f>VLOOKUP(D2711,Товары!A:I,4,0)</f>
        <v>17625</v>
      </c>
      <c r="K2711">
        <f t="shared" si="42"/>
        <v>35250</v>
      </c>
    </row>
    <row r="2712" spans="1:11" hidden="1" x14ac:dyDescent="0.25">
      <c r="A2712">
        <v>2711</v>
      </c>
      <c r="B2712" s="1">
        <v>45756</v>
      </c>
      <c r="C2712" t="s">
        <v>111</v>
      </c>
      <c r="D2712" t="s">
        <v>83</v>
      </c>
      <c r="E2712" t="s">
        <v>8</v>
      </c>
      <c r="F2712">
        <v>2</v>
      </c>
      <c r="G2712" t="str">
        <f>VLOOKUP(D2712,Товары!A:I,3,0)</f>
        <v>Зеркальный шкаф Альба 60 со светильником правый цвет суфле</v>
      </c>
      <c r="H2712">
        <f>VLOOKUP(D2712,Товары!A:I,6,0)</f>
        <v>75</v>
      </c>
      <c r="I2712" t="str">
        <f>VLOOKUP(C2712,Магазины!A:C,3,0)</f>
        <v>Набережные Челны</v>
      </c>
      <c r="J2712">
        <f>VLOOKUP(D2712,Товары!A:I,4,0)</f>
        <v>8910</v>
      </c>
      <c r="K2712">
        <f t="shared" si="42"/>
        <v>17820</v>
      </c>
    </row>
    <row r="2713" spans="1:11" hidden="1" x14ac:dyDescent="0.25">
      <c r="A2713">
        <v>2712</v>
      </c>
      <c r="B2713" s="1">
        <v>45757</v>
      </c>
      <c r="C2713" t="s">
        <v>92</v>
      </c>
      <c r="D2713" t="s">
        <v>130</v>
      </c>
      <c r="E2713" t="s">
        <v>8</v>
      </c>
      <c r="F2713">
        <v>1</v>
      </c>
      <c r="G2713" t="str">
        <f>VLOOKUP(D2713,Товары!A:I,3,0)</f>
        <v>Пенал напол. Леон 400 форест 2 двери + 1 ящик</v>
      </c>
      <c r="H2713">
        <f>VLOOKUP(D2713,Товары!A:I,6,0)</f>
        <v>190</v>
      </c>
      <c r="I2713" t="str">
        <f>VLOOKUP(C2713,Магазины!A:C,3,0)</f>
        <v>Кемерово</v>
      </c>
      <c r="J2713">
        <f>VLOOKUP(D2713,Товары!A:I,4,0)</f>
        <v>18450</v>
      </c>
      <c r="K2713">
        <f t="shared" si="42"/>
        <v>18450</v>
      </c>
    </row>
    <row r="2714" spans="1:11" hidden="1" x14ac:dyDescent="0.25">
      <c r="A2714">
        <v>2713</v>
      </c>
      <c r="B2714" s="1">
        <v>45748</v>
      </c>
      <c r="C2714" t="s">
        <v>22</v>
      </c>
      <c r="D2714" t="s">
        <v>73</v>
      </c>
      <c r="E2714" t="s">
        <v>8</v>
      </c>
      <c r="F2714">
        <v>3</v>
      </c>
      <c r="G2714" t="str">
        <f>VLOOKUP(D2714,Товары!A:I,3,0)</f>
        <v>Зеркальный шкаф Альба 70 со светильником правый цвет антрацит</v>
      </c>
      <c r="H2714">
        <f>VLOOKUP(D2714,Товары!A:I,6,0)</f>
        <v>75</v>
      </c>
      <c r="I2714" t="str">
        <f>VLOOKUP(C2714,Магазины!A:C,3,0)</f>
        <v>Кемерово</v>
      </c>
      <c r="J2714">
        <f>VLOOKUP(D2714,Товары!A:I,4,0)</f>
        <v>9615</v>
      </c>
      <c r="K2714">
        <f t="shared" si="42"/>
        <v>28845</v>
      </c>
    </row>
    <row r="2715" spans="1:11" hidden="1" x14ac:dyDescent="0.25">
      <c r="A2715">
        <v>2714</v>
      </c>
      <c r="B2715" s="1">
        <v>45748</v>
      </c>
      <c r="C2715" t="s">
        <v>18</v>
      </c>
      <c r="D2715" t="s">
        <v>118</v>
      </c>
      <c r="E2715" t="s">
        <v>13</v>
      </c>
      <c r="F2715">
        <v>1</v>
      </c>
      <c r="G2715" t="str">
        <f>VLOOKUP(D2715,Товары!A:I,3,0)</f>
        <v>Тумба с раковиной  напол. Сохо 800 белый 2 ящика с умыв. Слим</v>
      </c>
      <c r="H2715">
        <f>VLOOKUP(D2715,Товары!A:I,6,0)</f>
        <v>85</v>
      </c>
      <c r="I2715" t="str">
        <f>VLOOKUP(C2715,Магазины!A:C,3,0)</f>
        <v>Набережные Челны</v>
      </c>
      <c r="J2715">
        <f>VLOOKUP(D2715,Товары!A:I,4,0)</f>
        <v>19575</v>
      </c>
      <c r="K2715">
        <f t="shared" si="42"/>
        <v>19575</v>
      </c>
    </row>
    <row r="2716" spans="1:11" hidden="1" x14ac:dyDescent="0.25">
      <c r="A2716">
        <v>2715</v>
      </c>
      <c r="B2716" s="1">
        <v>45748</v>
      </c>
      <c r="C2716" t="s">
        <v>26</v>
      </c>
      <c r="D2716" t="s">
        <v>52</v>
      </c>
      <c r="E2716" t="s">
        <v>8</v>
      </c>
      <c r="F2716">
        <v>3</v>
      </c>
      <c r="G2716" t="str">
        <f>VLOOKUP(D2716,Товары!A:I,3,0)</f>
        <v>Тумба с раковиной  напол. Кристалл 600 суфле 2 ящика с умыв. Океан</v>
      </c>
      <c r="H2716">
        <f>VLOOKUP(D2716,Товары!A:I,6,0)</f>
        <v>80</v>
      </c>
      <c r="I2716" t="str">
        <f>VLOOKUP(C2716,Магазины!A:C,3,0)</f>
        <v>Оренбург</v>
      </c>
      <c r="J2716">
        <f>VLOOKUP(D2716,Товары!A:I,4,0)</f>
        <v>27600</v>
      </c>
      <c r="K2716">
        <f t="shared" si="42"/>
        <v>82800</v>
      </c>
    </row>
    <row r="2717" spans="1:11" hidden="1" x14ac:dyDescent="0.25">
      <c r="A2717">
        <v>2716</v>
      </c>
      <c r="B2717" s="1">
        <v>45751</v>
      </c>
      <c r="C2717" t="s">
        <v>41</v>
      </c>
      <c r="D2717" t="s">
        <v>29</v>
      </c>
      <c r="E2717" t="s">
        <v>8</v>
      </c>
      <c r="F2717">
        <v>3</v>
      </c>
      <c r="G2717" t="str">
        <f>VLOOKUP(D2717,Товары!A:I,3,0)</f>
        <v>Тумба с раковиной  напол. Леон Риф 600 солярис/белый риф 2 ящика с умыв. Океан</v>
      </c>
      <c r="H2717">
        <f>VLOOKUP(D2717,Товары!A:I,6,0)</f>
        <v>80</v>
      </c>
      <c r="I2717" t="str">
        <f>VLOOKUP(C2717,Магазины!A:C,3,0)</f>
        <v>Ставрополь</v>
      </c>
      <c r="J2717">
        <f>VLOOKUP(D2717,Товары!A:I,4,0)</f>
        <v>24150</v>
      </c>
      <c r="K2717">
        <f t="shared" si="42"/>
        <v>72450</v>
      </c>
    </row>
    <row r="2718" spans="1:11" hidden="1" x14ac:dyDescent="0.25">
      <c r="A2718">
        <v>2717</v>
      </c>
      <c r="B2718" s="1">
        <v>45749</v>
      </c>
      <c r="C2718" t="s">
        <v>57</v>
      </c>
      <c r="D2718" t="s">
        <v>128</v>
      </c>
      <c r="E2718" t="s">
        <v>8</v>
      </c>
      <c r="F2718">
        <v>3</v>
      </c>
      <c r="G2718" t="str">
        <f>VLOOKUP(D2718,Товары!A:I,3,0)</f>
        <v>Тумба с раковиной  напол. Куба Риф 1000 белый 2 ящика с умыв. Слим</v>
      </c>
      <c r="H2718">
        <f>VLOOKUP(D2718,Товары!A:I,6,0)</f>
        <v>85</v>
      </c>
      <c r="I2718" t="str">
        <f>VLOOKUP(C2718,Магазины!A:C,3,0)</f>
        <v>Оренбург</v>
      </c>
      <c r="J2718">
        <f>VLOOKUP(D2718,Товары!A:I,4,0)</f>
        <v>22905</v>
      </c>
      <c r="K2718">
        <f t="shared" si="42"/>
        <v>68715</v>
      </c>
    </row>
    <row r="2719" spans="1:11" hidden="1" x14ac:dyDescent="0.25">
      <c r="A2719">
        <v>2718</v>
      </c>
      <c r="B2719" s="1">
        <v>45755</v>
      </c>
      <c r="C2719" t="s">
        <v>41</v>
      </c>
      <c r="D2719" t="s">
        <v>12</v>
      </c>
      <c r="E2719" t="s">
        <v>8</v>
      </c>
      <c r="F2719">
        <v>1</v>
      </c>
      <c r="G2719" t="str">
        <f>VLOOKUP(D2719,Товары!A:I,3,0)</f>
        <v>Тумба с раковиной  напол. Сохо 700 белый 2 двери с умыв. Слим</v>
      </c>
      <c r="H2719">
        <f>VLOOKUP(D2719,Товары!A:I,6,0)</f>
        <v>85</v>
      </c>
      <c r="I2719" t="str">
        <f>VLOOKUP(C2719,Магазины!A:C,3,0)</f>
        <v>Ставрополь</v>
      </c>
      <c r="J2719">
        <f>VLOOKUP(D2719,Товары!A:I,4,0)</f>
        <v>17160</v>
      </c>
      <c r="K2719">
        <f t="shared" si="42"/>
        <v>17160</v>
      </c>
    </row>
    <row r="2720" spans="1:11" hidden="1" x14ac:dyDescent="0.25">
      <c r="A2720">
        <v>2719</v>
      </c>
      <c r="B2720" s="1">
        <v>45750</v>
      </c>
      <c r="C2720" t="s">
        <v>41</v>
      </c>
      <c r="D2720" t="s">
        <v>55</v>
      </c>
      <c r="E2720" t="s">
        <v>8</v>
      </c>
      <c r="F2720">
        <v>2</v>
      </c>
      <c r="G2720" t="str">
        <f>VLOOKUP(D2720,Товары!A:I,3,0)</f>
        <v>Тумба с раковиной  напол. Рица 600 cерый/керамика 2 ящика с умыв. Океан</v>
      </c>
      <c r="H2720">
        <f>VLOOKUP(D2720,Товары!A:I,6,0)</f>
        <v>80</v>
      </c>
      <c r="I2720" t="str">
        <f>VLOOKUP(C2720,Магазины!A:C,3,0)</f>
        <v>Ставрополь</v>
      </c>
      <c r="J2720">
        <f>VLOOKUP(D2720,Товары!A:I,4,0)</f>
        <v>25560</v>
      </c>
      <c r="K2720">
        <f t="shared" si="42"/>
        <v>51120</v>
      </c>
    </row>
    <row r="2721" spans="1:11" hidden="1" x14ac:dyDescent="0.25">
      <c r="A2721">
        <v>2720</v>
      </c>
      <c r="B2721" s="1">
        <v>45754</v>
      </c>
      <c r="C2721" t="s">
        <v>16</v>
      </c>
      <c r="D2721" t="s">
        <v>38</v>
      </c>
      <c r="E2721" t="s">
        <v>13</v>
      </c>
      <c r="F2721">
        <v>2</v>
      </c>
      <c r="G2721" t="str">
        <f>VLOOKUP(D2721,Товары!A:I,3,0)</f>
        <v>Тумба с раковиной  навес. Куба Риф 600 белый 2 ящика с умыв. Como</v>
      </c>
      <c r="H2721">
        <f>VLOOKUP(D2721,Товары!A:I,6,0)</f>
        <v>55</v>
      </c>
      <c r="I2721" t="str">
        <f>VLOOKUP(C2721,Магазины!A:C,3,0)</f>
        <v>Оренбург</v>
      </c>
      <c r="J2721">
        <f>VLOOKUP(D2721,Товары!A:I,4,0)</f>
        <v>14265</v>
      </c>
      <c r="K2721">
        <f t="shared" si="42"/>
        <v>28530</v>
      </c>
    </row>
    <row r="2722" spans="1:11" hidden="1" x14ac:dyDescent="0.25">
      <c r="A2722">
        <v>2721</v>
      </c>
      <c r="B2722" s="1">
        <v>45756</v>
      </c>
      <c r="C2722" t="s">
        <v>58</v>
      </c>
      <c r="D2722" t="s">
        <v>88</v>
      </c>
      <c r="E2722" t="s">
        <v>13</v>
      </c>
      <c r="F2722">
        <v>3</v>
      </c>
      <c r="G2722" t="str">
        <f>VLOOKUP(D2722,Товары!A:I,3,0)</f>
        <v>Тумба с раковиной  навес. Альба 800 антрацит 2 ящика с умыв. Слим</v>
      </c>
      <c r="H2722">
        <f>VLOOKUP(D2722,Товары!A:I,6,0)</f>
        <v>50</v>
      </c>
      <c r="I2722" t="str">
        <f>VLOOKUP(C2722,Магазины!A:C,3,0)</f>
        <v>Ставрополь</v>
      </c>
      <c r="J2722">
        <f>VLOOKUP(D2722,Товары!A:I,4,0)</f>
        <v>26070</v>
      </c>
      <c r="K2722">
        <f t="shared" si="42"/>
        <v>78210</v>
      </c>
    </row>
    <row r="2723" spans="1:11" hidden="1" x14ac:dyDescent="0.25">
      <c r="A2723">
        <v>2722</v>
      </c>
      <c r="B2723" s="1">
        <v>45754</v>
      </c>
      <c r="C2723" t="s">
        <v>54</v>
      </c>
      <c r="D2723" t="s">
        <v>116</v>
      </c>
      <c r="E2723" t="s">
        <v>13</v>
      </c>
      <c r="F2723">
        <v>1</v>
      </c>
      <c r="G2723" t="str">
        <f>VLOOKUP(D2723,Товары!A:I,3,0)</f>
        <v>Зеркало Нева 60 дуб/белый со светильником</v>
      </c>
      <c r="H2723">
        <f>VLOOKUP(D2723,Товары!A:I,6,0)</f>
        <v>80</v>
      </c>
      <c r="I2723" t="str">
        <f>VLOOKUP(C2723,Магазины!A:C,3,0)</f>
        <v>Ставрополь</v>
      </c>
      <c r="J2723">
        <f>VLOOKUP(D2723,Товары!A:I,4,0)</f>
        <v>5100</v>
      </c>
      <c r="K2723">
        <f t="shared" si="42"/>
        <v>5100</v>
      </c>
    </row>
    <row r="2724" spans="1:11" hidden="1" x14ac:dyDescent="0.25">
      <c r="A2724">
        <v>2723</v>
      </c>
      <c r="B2724" s="1">
        <v>45748</v>
      </c>
      <c r="C2724" t="s">
        <v>63</v>
      </c>
      <c r="D2724" t="s">
        <v>119</v>
      </c>
      <c r="E2724" t="s">
        <v>13</v>
      </c>
      <c r="F2724">
        <v>2</v>
      </c>
      <c r="G2724" t="str">
        <f>VLOOKUP(D2724,Товары!A:I,3,0)</f>
        <v>Пенал навес./напол. Рица 350 cерый/керамика 2 двери</v>
      </c>
      <c r="H2724">
        <f>VLOOKUP(D2724,Товары!A:I,6,0)</f>
        <v>160</v>
      </c>
      <c r="I2724" t="str">
        <f>VLOOKUP(C2724,Магазины!A:C,3,0)</f>
        <v>Ставрополь</v>
      </c>
      <c r="J2724">
        <f>VLOOKUP(D2724,Товары!A:I,4,0)</f>
        <v>11250</v>
      </c>
      <c r="K2724">
        <f t="shared" si="42"/>
        <v>22500</v>
      </c>
    </row>
    <row r="2725" spans="1:11" hidden="1" x14ac:dyDescent="0.25">
      <c r="A2725">
        <v>2724</v>
      </c>
      <c r="B2725" s="1">
        <v>45756</v>
      </c>
      <c r="C2725" t="s">
        <v>92</v>
      </c>
      <c r="D2725" t="s">
        <v>59</v>
      </c>
      <c r="E2725" t="s">
        <v>8</v>
      </c>
      <c r="F2725">
        <v>3</v>
      </c>
      <c r="G2725" t="str">
        <f>VLOOKUP(D2725,Товары!A:I,3,0)</f>
        <v>Тумба с раковиной  навес. Куба Риф 600 белый 2 ящика с умыв. Океан</v>
      </c>
      <c r="H2725">
        <f>VLOOKUP(D2725,Товары!A:I,6,0)</f>
        <v>55</v>
      </c>
      <c r="I2725" t="str">
        <f>VLOOKUP(C2725,Магазины!A:C,3,0)</f>
        <v>Кемерово</v>
      </c>
      <c r="J2725">
        <f>VLOOKUP(D2725,Товары!A:I,4,0)</f>
        <v>15765</v>
      </c>
      <c r="K2725">
        <f t="shared" si="42"/>
        <v>47295</v>
      </c>
    </row>
    <row r="2726" spans="1:11" hidden="1" x14ac:dyDescent="0.25">
      <c r="A2726">
        <v>2725</v>
      </c>
      <c r="B2726" s="1">
        <v>45756</v>
      </c>
      <c r="C2726" t="s">
        <v>14</v>
      </c>
      <c r="D2726" t="s">
        <v>67</v>
      </c>
      <c r="E2726" t="s">
        <v>13</v>
      </c>
      <c r="F2726">
        <v>2</v>
      </c>
      <c r="G2726" t="str">
        <f>VLOOKUP(D2726,Товары!A:I,3,0)</f>
        <v>Пенал навес./напол. Альба 350 суфле 2 двери</v>
      </c>
      <c r="H2726">
        <f>VLOOKUP(D2726,Товары!A:I,6,0)</f>
        <v>150</v>
      </c>
      <c r="I2726" t="str">
        <f>VLOOKUP(C2726,Магазины!A:C,3,0)</f>
        <v>Оренбург</v>
      </c>
      <c r="J2726">
        <f>VLOOKUP(D2726,Товары!A:I,4,0)</f>
        <v>11655</v>
      </c>
      <c r="K2726">
        <f t="shared" si="42"/>
        <v>23310</v>
      </c>
    </row>
    <row r="2727" spans="1:11" hidden="1" x14ac:dyDescent="0.25">
      <c r="A2727">
        <v>2726</v>
      </c>
      <c r="B2727" s="1">
        <v>45750</v>
      </c>
      <c r="C2727" t="s">
        <v>20</v>
      </c>
      <c r="D2727" t="s">
        <v>52</v>
      </c>
      <c r="E2727" t="s">
        <v>8</v>
      </c>
      <c r="F2727">
        <v>3</v>
      </c>
      <c r="G2727" t="str">
        <f>VLOOKUP(D2727,Товары!A:I,3,0)</f>
        <v>Тумба с раковиной  напол. Кристалл 600 суфле 2 ящика с умыв. Океан</v>
      </c>
      <c r="H2727">
        <f>VLOOKUP(D2727,Товары!A:I,6,0)</f>
        <v>80</v>
      </c>
      <c r="I2727" t="str">
        <f>VLOOKUP(C2727,Магазины!A:C,3,0)</f>
        <v>Оренбург</v>
      </c>
      <c r="J2727">
        <f>VLOOKUP(D2727,Товары!A:I,4,0)</f>
        <v>27600</v>
      </c>
      <c r="K2727">
        <f t="shared" si="42"/>
        <v>82800</v>
      </c>
    </row>
    <row r="2728" spans="1:11" x14ac:dyDescent="0.25">
      <c r="A2728">
        <v>2727</v>
      </c>
      <c r="B2728" s="1">
        <v>45753</v>
      </c>
      <c r="C2728" t="s">
        <v>92</v>
      </c>
      <c r="D2728" t="s">
        <v>60</v>
      </c>
      <c r="E2728" t="s">
        <v>13</v>
      </c>
      <c r="F2728">
        <v>3</v>
      </c>
      <c r="G2728" t="str">
        <f>VLOOKUP(D2728,Товары!A:I,3,0)</f>
        <v>Пенал навес. Куба Риф 350 белый 2 двери</v>
      </c>
      <c r="H2728">
        <f>VLOOKUP(D2728,Товары!A:I,6,0)</f>
        <v>150</v>
      </c>
      <c r="I2728" t="str">
        <f>VLOOKUP(C2728,Магазины!A:C,3,0)</f>
        <v>Кемерово</v>
      </c>
      <c r="J2728">
        <f>VLOOKUP(D2728,Товары!A:I,4,0)</f>
        <v>9720</v>
      </c>
      <c r="K2728">
        <f t="shared" si="42"/>
        <v>29160</v>
      </c>
    </row>
    <row r="2729" spans="1:11" hidden="1" x14ac:dyDescent="0.25">
      <c r="A2729">
        <v>2728</v>
      </c>
      <c r="B2729" s="1">
        <v>45751</v>
      </c>
      <c r="C2729" t="s">
        <v>35</v>
      </c>
      <c r="D2729" t="s">
        <v>34</v>
      </c>
      <c r="E2729" t="s">
        <v>13</v>
      </c>
      <c r="F2729">
        <v>1</v>
      </c>
      <c r="G2729" t="str">
        <f>VLOOKUP(D2729,Товары!A:I,3,0)</f>
        <v>Тумба с раковиной  навес. Леон 700 форест 2 ящика с умыв. Слим</v>
      </c>
      <c r="H2729">
        <f>VLOOKUP(D2729,Товары!A:I,6,0)</f>
        <v>60</v>
      </c>
      <c r="I2729" t="str">
        <f>VLOOKUP(C2729,Магазины!A:C,3,0)</f>
        <v>Набережные Челны</v>
      </c>
      <c r="J2729">
        <f>VLOOKUP(D2729,Товары!A:I,4,0)</f>
        <v>26220</v>
      </c>
      <c r="K2729">
        <f t="shared" si="42"/>
        <v>26220</v>
      </c>
    </row>
    <row r="2730" spans="1:11" hidden="1" x14ac:dyDescent="0.25">
      <c r="A2730">
        <v>2729</v>
      </c>
      <c r="B2730" s="1">
        <v>45749</v>
      </c>
      <c r="C2730" t="s">
        <v>58</v>
      </c>
      <c r="D2730" t="s">
        <v>70</v>
      </c>
      <c r="E2730" t="s">
        <v>8</v>
      </c>
      <c r="F2730">
        <v>2</v>
      </c>
      <c r="G2730" t="str">
        <f>VLOOKUP(D2730,Товары!A:I,3,0)</f>
        <v>Тумба с раковиной  напол. Кристалл 700 шато азур 2 ящика с умыв. Слим</v>
      </c>
      <c r="H2730">
        <f>VLOOKUP(D2730,Товары!A:I,6,0)</f>
        <v>85</v>
      </c>
      <c r="I2730" t="str">
        <f>VLOOKUP(C2730,Магазины!A:C,3,0)</f>
        <v>Ставрополь</v>
      </c>
      <c r="J2730">
        <f>VLOOKUP(D2730,Товары!A:I,4,0)</f>
        <v>29910</v>
      </c>
      <c r="K2730">
        <f t="shared" si="42"/>
        <v>59820</v>
      </c>
    </row>
    <row r="2731" spans="1:11" hidden="1" x14ac:dyDescent="0.25">
      <c r="A2731">
        <v>2730</v>
      </c>
      <c r="B2731" s="1">
        <v>45752</v>
      </c>
      <c r="C2731" t="s">
        <v>92</v>
      </c>
      <c r="D2731" t="s">
        <v>71</v>
      </c>
      <c r="E2731" t="s">
        <v>8</v>
      </c>
      <c r="F2731">
        <v>1</v>
      </c>
      <c r="G2731" t="str">
        <f>VLOOKUP(D2731,Товары!A:I,3,0)</f>
        <v>Тумба с раковиной  навес. Альба 600 мята 2 ящика с умыв. Океан</v>
      </c>
      <c r="H2731">
        <f>VLOOKUP(D2731,Товары!A:I,6,0)</f>
        <v>50</v>
      </c>
      <c r="I2731" t="str">
        <f>VLOOKUP(C2731,Магазины!A:C,3,0)</f>
        <v>Кемерово</v>
      </c>
      <c r="J2731">
        <f>VLOOKUP(D2731,Товары!A:I,4,0)</f>
        <v>24810</v>
      </c>
      <c r="K2731">
        <f t="shared" si="42"/>
        <v>24810</v>
      </c>
    </row>
    <row r="2732" spans="1:11" hidden="1" x14ac:dyDescent="0.25">
      <c r="A2732">
        <v>2731</v>
      </c>
      <c r="B2732" s="1">
        <v>45751</v>
      </c>
      <c r="C2732" t="s">
        <v>20</v>
      </c>
      <c r="D2732" t="s">
        <v>98</v>
      </c>
      <c r="E2732" t="s">
        <v>8</v>
      </c>
      <c r="F2732">
        <v>1</v>
      </c>
      <c r="G2732" t="str">
        <f>VLOOKUP(D2732,Товары!A:I,3,0)</f>
        <v>Тумба с раковиной  напол. Рица 800 cерый/керамика 2 ящика с умыв. Слим</v>
      </c>
      <c r="H2732">
        <f>VLOOKUP(D2732,Товары!A:I,6,0)</f>
        <v>80</v>
      </c>
      <c r="I2732" t="str">
        <f>VLOOKUP(C2732,Магазины!A:C,3,0)</f>
        <v>Оренбург</v>
      </c>
      <c r="J2732">
        <f>VLOOKUP(D2732,Товары!A:I,4,0)</f>
        <v>28980</v>
      </c>
      <c r="K2732">
        <f t="shared" si="42"/>
        <v>28980</v>
      </c>
    </row>
    <row r="2733" spans="1:11" hidden="1" x14ac:dyDescent="0.25">
      <c r="A2733">
        <v>2732</v>
      </c>
      <c r="B2733" s="1">
        <v>45753</v>
      </c>
      <c r="C2733" t="s">
        <v>63</v>
      </c>
      <c r="D2733" t="s">
        <v>10</v>
      </c>
      <c r="E2733" t="s">
        <v>13</v>
      </c>
      <c r="F2733">
        <v>1</v>
      </c>
      <c r="G2733" t="str">
        <f>VLOOKUP(D2733,Товары!A:I,3,0)</f>
        <v>Тумба с раковиной  навес. Альба 700 антрацит 1 ящик с умыв. Слим</v>
      </c>
      <c r="H2733">
        <f>VLOOKUP(D2733,Товары!A:I,6,0)</f>
        <v>45</v>
      </c>
      <c r="I2733" t="str">
        <f>VLOOKUP(C2733,Магазины!A:C,3,0)</f>
        <v>Ставрополь</v>
      </c>
      <c r="J2733">
        <f>VLOOKUP(D2733,Товары!A:I,4,0)</f>
        <v>20130</v>
      </c>
      <c r="K2733">
        <f t="shared" si="42"/>
        <v>20130</v>
      </c>
    </row>
    <row r="2734" spans="1:11" hidden="1" x14ac:dyDescent="0.25">
      <c r="A2734">
        <v>2733</v>
      </c>
      <c r="B2734" s="1">
        <v>45754</v>
      </c>
      <c r="C2734" t="s">
        <v>26</v>
      </c>
      <c r="D2734" t="s">
        <v>113</v>
      </c>
      <c r="E2734" t="s">
        <v>8</v>
      </c>
      <c r="F2734">
        <v>2</v>
      </c>
      <c r="G2734" t="str">
        <f>VLOOKUP(D2734,Товары!A:I,3,0)</f>
        <v>Зеркальный шкаф Альба 60 со светильником правый цвет мята</v>
      </c>
      <c r="H2734">
        <f>VLOOKUP(D2734,Товары!A:I,6,0)</f>
        <v>75</v>
      </c>
      <c r="I2734" t="str">
        <f>VLOOKUP(C2734,Магазины!A:C,3,0)</f>
        <v>Оренбург</v>
      </c>
      <c r="J2734">
        <f>VLOOKUP(D2734,Товары!A:I,4,0)</f>
        <v>8910</v>
      </c>
      <c r="K2734">
        <f t="shared" si="42"/>
        <v>17820</v>
      </c>
    </row>
    <row r="2735" spans="1:11" hidden="1" x14ac:dyDescent="0.25">
      <c r="A2735">
        <v>2734</v>
      </c>
      <c r="B2735" s="1">
        <v>45755</v>
      </c>
      <c r="C2735" t="s">
        <v>57</v>
      </c>
      <c r="D2735" t="s">
        <v>110</v>
      </c>
      <c r="E2735" t="s">
        <v>13</v>
      </c>
      <c r="F2735">
        <v>1</v>
      </c>
      <c r="G2735" t="str">
        <f>VLOOKUP(D2735,Товары!A:I,3,0)</f>
        <v>Тумба с раковиной  напол. Альба 600 антрацит 2 ящика с умыв. Океан</v>
      </c>
      <c r="H2735">
        <f>VLOOKUP(D2735,Товары!A:I,6,0)</f>
        <v>80</v>
      </c>
      <c r="I2735" t="str">
        <f>VLOOKUP(C2735,Магазины!A:C,3,0)</f>
        <v>Оренбург</v>
      </c>
      <c r="J2735">
        <f>VLOOKUP(D2735,Товары!A:I,4,0)</f>
        <v>26370</v>
      </c>
      <c r="K2735">
        <f t="shared" si="42"/>
        <v>26370</v>
      </c>
    </row>
    <row r="2736" spans="1:11" hidden="1" x14ac:dyDescent="0.25">
      <c r="A2736">
        <v>2735</v>
      </c>
      <c r="B2736" s="1">
        <v>45755</v>
      </c>
      <c r="C2736" t="s">
        <v>30</v>
      </c>
      <c r="D2736" t="s">
        <v>106</v>
      </c>
      <c r="E2736" t="s">
        <v>13</v>
      </c>
      <c r="F2736">
        <v>2</v>
      </c>
      <c r="G2736" t="str">
        <f>VLOOKUP(D2736,Товары!A:I,3,0)</f>
        <v>Тумба с раковиной  навес. Кристалл 700 шато азур 2 ящика с умыв. Слим</v>
      </c>
      <c r="H2736">
        <f>VLOOKUP(D2736,Товары!A:I,6,0)</f>
        <v>60</v>
      </c>
      <c r="I2736" t="str">
        <f>VLOOKUP(C2736,Магазины!A:C,3,0)</f>
        <v>Кемерово</v>
      </c>
      <c r="J2736">
        <f>VLOOKUP(D2736,Товары!A:I,4,0)</f>
        <v>24150</v>
      </c>
      <c r="K2736">
        <f t="shared" si="42"/>
        <v>48300</v>
      </c>
    </row>
    <row r="2737" spans="1:11" hidden="1" x14ac:dyDescent="0.25">
      <c r="A2737">
        <v>2736</v>
      </c>
      <c r="B2737" s="1">
        <v>45757</v>
      </c>
      <c r="C2737" t="s">
        <v>43</v>
      </c>
      <c r="D2737" t="s">
        <v>125</v>
      </c>
      <c r="E2737" t="s">
        <v>13</v>
      </c>
      <c r="F2737">
        <v>3</v>
      </c>
      <c r="G2737" t="str">
        <f>VLOOKUP(D2737,Товары!A:I,3,0)</f>
        <v>Зеркальный шкаф Сохо 60 белый со светильником правый цвет Белый глянец</v>
      </c>
      <c r="H2737">
        <f>VLOOKUP(D2737,Товары!A:I,6,0)</f>
        <v>75</v>
      </c>
      <c r="I2737" t="str">
        <f>VLOOKUP(C2737,Магазины!A:C,3,0)</f>
        <v>Набережные Челны</v>
      </c>
      <c r="J2737">
        <f>VLOOKUP(D2737,Товары!A:I,4,0)</f>
        <v>7395</v>
      </c>
      <c r="K2737">
        <f t="shared" si="42"/>
        <v>22185</v>
      </c>
    </row>
    <row r="2738" spans="1:11" hidden="1" x14ac:dyDescent="0.25">
      <c r="A2738">
        <v>2737</v>
      </c>
      <c r="B2738" s="1">
        <v>45757</v>
      </c>
      <c r="C2738" t="s">
        <v>63</v>
      </c>
      <c r="D2738" t="s">
        <v>113</v>
      </c>
      <c r="E2738" t="s">
        <v>8</v>
      </c>
      <c r="F2738">
        <v>1</v>
      </c>
      <c r="G2738" t="str">
        <f>VLOOKUP(D2738,Товары!A:I,3,0)</f>
        <v>Зеркальный шкаф Альба 60 со светильником правый цвет мята</v>
      </c>
      <c r="H2738">
        <f>VLOOKUP(D2738,Товары!A:I,6,0)</f>
        <v>75</v>
      </c>
      <c r="I2738" t="str">
        <f>VLOOKUP(C2738,Магазины!A:C,3,0)</f>
        <v>Ставрополь</v>
      </c>
      <c r="J2738">
        <f>VLOOKUP(D2738,Товары!A:I,4,0)</f>
        <v>8910</v>
      </c>
      <c r="K2738">
        <f t="shared" si="42"/>
        <v>8910</v>
      </c>
    </row>
    <row r="2739" spans="1:11" hidden="1" x14ac:dyDescent="0.25">
      <c r="A2739">
        <v>2738</v>
      </c>
      <c r="B2739" s="1">
        <v>45752</v>
      </c>
      <c r="C2739" t="s">
        <v>58</v>
      </c>
      <c r="D2739" t="s">
        <v>105</v>
      </c>
      <c r="E2739" t="s">
        <v>13</v>
      </c>
      <c r="F2739">
        <v>3</v>
      </c>
      <c r="G2739" t="str">
        <f>VLOOKUP(D2739,Товары!A:I,3,0)</f>
        <v>Тумба с раковиной  напол. Нева 600 белый 2 двери + 1 ящик с умыв. Como</v>
      </c>
      <c r="H2739">
        <f>VLOOKUP(D2739,Товары!A:I,6,0)</f>
        <v>80</v>
      </c>
      <c r="I2739" t="str">
        <f>VLOOKUP(C2739,Магазины!A:C,3,0)</f>
        <v>Ставрополь</v>
      </c>
      <c r="J2739">
        <f>VLOOKUP(D2739,Товары!A:I,4,0)</f>
        <v>13470</v>
      </c>
      <c r="K2739">
        <f t="shared" si="42"/>
        <v>40410</v>
      </c>
    </row>
    <row r="2740" spans="1:11" hidden="1" x14ac:dyDescent="0.25">
      <c r="A2740">
        <v>2739</v>
      </c>
      <c r="B2740" s="1">
        <v>45757</v>
      </c>
      <c r="C2740" t="s">
        <v>28</v>
      </c>
      <c r="D2740" t="s">
        <v>96</v>
      </c>
      <c r="E2740" t="s">
        <v>13</v>
      </c>
      <c r="F2740">
        <v>3</v>
      </c>
      <c r="G2740" t="str">
        <f>VLOOKUP(D2740,Товары!A:I,3,0)</f>
        <v>Тумба с раковиной  навес. Альба 600 мята 1 ящик с умыв. Океан</v>
      </c>
      <c r="H2740">
        <f>VLOOKUP(D2740,Товары!A:I,6,0)</f>
        <v>85</v>
      </c>
      <c r="I2740" t="str">
        <f>VLOOKUP(C2740,Магазины!A:C,3,0)</f>
        <v>Набережные Челны</v>
      </c>
      <c r="J2740">
        <f>VLOOKUP(D2740,Товары!A:I,4,0)</f>
        <v>17625</v>
      </c>
      <c r="K2740">
        <f t="shared" si="42"/>
        <v>52875</v>
      </c>
    </row>
    <row r="2741" spans="1:11" hidden="1" x14ac:dyDescent="0.25">
      <c r="A2741">
        <v>2740</v>
      </c>
      <c r="B2741" s="1">
        <v>45753</v>
      </c>
      <c r="C2741" t="s">
        <v>33</v>
      </c>
      <c r="D2741" t="s">
        <v>125</v>
      </c>
      <c r="E2741" t="s">
        <v>8</v>
      </c>
      <c r="F2741">
        <v>2</v>
      </c>
      <c r="G2741" t="str">
        <f>VLOOKUP(D2741,Товары!A:I,3,0)</f>
        <v>Зеркальный шкаф Сохо 60 белый со светильником правый цвет Белый глянец</v>
      </c>
      <c r="H2741">
        <f>VLOOKUP(D2741,Товары!A:I,6,0)</f>
        <v>75</v>
      </c>
      <c r="I2741" t="str">
        <f>VLOOKUP(C2741,Магазины!A:C,3,0)</f>
        <v>Набережные Челны</v>
      </c>
      <c r="J2741">
        <f>VLOOKUP(D2741,Товары!A:I,4,0)</f>
        <v>7395</v>
      </c>
      <c r="K2741">
        <f t="shared" si="42"/>
        <v>14790</v>
      </c>
    </row>
    <row r="2742" spans="1:11" hidden="1" x14ac:dyDescent="0.25">
      <c r="A2742">
        <v>2741</v>
      </c>
      <c r="B2742" s="1">
        <v>45753</v>
      </c>
      <c r="C2742" t="s">
        <v>35</v>
      </c>
      <c r="D2742" t="s">
        <v>38</v>
      </c>
      <c r="E2742" t="s">
        <v>13</v>
      </c>
      <c r="F2742">
        <v>2</v>
      </c>
      <c r="G2742" t="str">
        <f>VLOOKUP(D2742,Товары!A:I,3,0)</f>
        <v>Тумба с раковиной  навес. Куба Риф 600 белый 2 ящика с умыв. Como</v>
      </c>
      <c r="H2742">
        <f>VLOOKUP(D2742,Товары!A:I,6,0)</f>
        <v>55</v>
      </c>
      <c r="I2742" t="str">
        <f>VLOOKUP(C2742,Магазины!A:C,3,0)</f>
        <v>Набережные Челны</v>
      </c>
      <c r="J2742">
        <f>VLOOKUP(D2742,Товары!A:I,4,0)</f>
        <v>14265</v>
      </c>
      <c r="K2742">
        <f t="shared" si="42"/>
        <v>28530</v>
      </c>
    </row>
    <row r="2743" spans="1:11" hidden="1" x14ac:dyDescent="0.25">
      <c r="A2743">
        <v>2742</v>
      </c>
      <c r="B2743" s="1">
        <v>45751</v>
      </c>
      <c r="C2743" t="s">
        <v>35</v>
      </c>
      <c r="D2743" t="s">
        <v>73</v>
      </c>
      <c r="E2743" t="s">
        <v>13</v>
      </c>
      <c r="F2743">
        <v>1</v>
      </c>
      <c r="G2743" t="str">
        <f>VLOOKUP(D2743,Товары!A:I,3,0)</f>
        <v>Зеркальный шкаф Альба 70 со светильником правый цвет антрацит</v>
      </c>
      <c r="H2743">
        <f>VLOOKUP(D2743,Товары!A:I,6,0)</f>
        <v>75</v>
      </c>
      <c r="I2743" t="str">
        <f>VLOOKUP(C2743,Магазины!A:C,3,0)</f>
        <v>Набережные Челны</v>
      </c>
      <c r="J2743">
        <f>VLOOKUP(D2743,Товары!A:I,4,0)</f>
        <v>9615</v>
      </c>
      <c r="K2743">
        <f t="shared" si="42"/>
        <v>9615</v>
      </c>
    </row>
    <row r="2744" spans="1:11" hidden="1" x14ac:dyDescent="0.25">
      <c r="A2744">
        <v>2743</v>
      </c>
      <c r="B2744" s="1">
        <v>45757</v>
      </c>
      <c r="C2744" t="s">
        <v>11</v>
      </c>
      <c r="D2744" t="s">
        <v>82</v>
      </c>
      <c r="E2744" t="s">
        <v>13</v>
      </c>
      <c r="F2744">
        <v>2</v>
      </c>
      <c r="G2744" t="str">
        <f>VLOOKUP(D2744,Товары!A:I,3,0)</f>
        <v>Тумба с раковиной  навес. Леон 800 форест 2 ящика с умыв. Слим</v>
      </c>
      <c r="H2744">
        <f>VLOOKUP(D2744,Товары!A:I,6,0)</f>
        <v>60</v>
      </c>
      <c r="I2744" t="str">
        <f>VLOOKUP(C2744,Магазины!A:C,3,0)</f>
        <v>Кемерово</v>
      </c>
      <c r="J2744">
        <f>VLOOKUP(D2744,Товары!A:I,4,0)</f>
        <v>27930</v>
      </c>
      <c r="K2744">
        <f t="shared" si="42"/>
        <v>55860</v>
      </c>
    </row>
    <row r="2745" spans="1:11" hidden="1" x14ac:dyDescent="0.25">
      <c r="A2745">
        <v>2744</v>
      </c>
      <c r="B2745" s="1">
        <v>45751</v>
      </c>
      <c r="C2745" t="s">
        <v>63</v>
      </c>
      <c r="D2745" t="s">
        <v>131</v>
      </c>
      <c r="E2745" t="s">
        <v>8</v>
      </c>
      <c r="F2745">
        <v>3</v>
      </c>
      <c r="G2745" t="str">
        <f>VLOOKUP(D2745,Товары!A:I,3,0)</f>
        <v>Тумба с раковиной  напол. Леон 800 форест 2 ящика с умыв. Слим</v>
      </c>
      <c r="H2745">
        <f>VLOOKUP(D2745,Товары!A:I,6,0)</f>
        <v>80</v>
      </c>
      <c r="I2745" t="str">
        <f>VLOOKUP(C2745,Магазины!A:C,3,0)</f>
        <v>Ставрополь</v>
      </c>
      <c r="J2745">
        <f>VLOOKUP(D2745,Товары!A:I,4,0)</f>
        <v>29400</v>
      </c>
      <c r="K2745">
        <f t="shared" si="42"/>
        <v>88200</v>
      </c>
    </row>
    <row r="2746" spans="1:11" hidden="1" x14ac:dyDescent="0.25">
      <c r="A2746">
        <v>2745</v>
      </c>
      <c r="B2746" s="1">
        <v>45748</v>
      </c>
      <c r="C2746" t="s">
        <v>58</v>
      </c>
      <c r="D2746" t="s">
        <v>128</v>
      </c>
      <c r="E2746" t="s">
        <v>13</v>
      </c>
      <c r="F2746">
        <v>3</v>
      </c>
      <c r="G2746" t="str">
        <f>VLOOKUP(D2746,Товары!A:I,3,0)</f>
        <v>Тумба с раковиной  напол. Куба Риф 1000 белый 2 ящика с умыв. Слим</v>
      </c>
      <c r="H2746">
        <f>VLOOKUP(D2746,Товары!A:I,6,0)</f>
        <v>85</v>
      </c>
      <c r="I2746" t="str">
        <f>VLOOKUP(C2746,Магазины!A:C,3,0)</f>
        <v>Ставрополь</v>
      </c>
      <c r="J2746">
        <f>VLOOKUP(D2746,Товары!A:I,4,0)</f>
        <v>22905</v>
      </c>
      <c r="K2746">
        <f t="shared" si="42"/>
        <v>68715</v>
      </c>
    </row>
    <row r="2747" spans="1:11" hidden="1" x14ac:dyDescent="0.25">
      <c r="A2747">
        <v>2746</v>
      </c>
      <c r="B2747" s="1">
        <v>45756</v>
      </c>
      <c r="C2747" t="s">
        <v>9</v>
      </c>
      <c r="D2747" t="s">
        <v>96</v>
      </c>
      <c r="E2747" t="s">
        <v>13</v>
      </c>
      <c r="F2747">
        <v>2</v>
      </c>
      <c r="G2747" t="str">
        <f>VLOOKUP(D2747,Товары!A:I,3,0)</f>
        <v>Тумба с раковиной  навес. Альба 600 мята 1 ящик с умыв. Океан</v>
      </c>
      <c r="H2747">
        <f>VLOOKUP(D2747,Товары!A:I,6,0)</f>
        <v>85</v>
      </c>
      <c r="I2747" t="str">
        <f>VLOOKUP(C2747,Магазины!A:C,3,0)</f>
        <v>Кемерово</v>
      </c>
      <c r="J2747">
        <f>VLOOKUP(D2747,Товары!A:I,4,0)</f>
        <v>17625</v>
      </c>
      <c r="K2747">
        <f t="shared" si="42"/>
        <v>35250</v>
      </c>
    </row>
    <row r="2748" spans="1:11" hidden="1" x14ac:dyDescent="0.25">
      <c r="A2748">
        <v>2747</v>
      </c>
      <c r="B2748" s="1">
        <v>45753</v>
      </c>
      <c r="C2748" t="s">
        <v>22</v>
      </c>
      <c r="D2748" t="s">
        <v>71</v>
      </c>
      <c r="E2748" t="s">
        <v>8</v>
      </c>
      <c r="F2748">
        <v>3</v>
      </c>
      <c r="G2748" t="str">
        <f>VLOOKUP(D2748,Товары!A:I,3,0)</f>
        <v>Тумба с раковиной  навес. Альба 600 мята 2 ящика с умыв. Океан</v>
      </c>
      <c r="H2748">
        <f>VLOOKUP(D2748,Товары!A:I,6,0)</f>
        <v>50</v>
      </c>
      <c r="I2748" t="str">
        <f>VLOOKUP(C2748,Магазины!A:C,3,0)</f>
        <v>Кемерово</v>
      </c>
      <c r="J2748">
        <f>VLOOKUP(D2748,Товары!A:I,4,0)</f>
        <v>24810</v>
      </c>
      <c r="K2748">
        <f t="shared" si="42"/>
        <v>74430</v>
      </c>
    </row>
    <row r="2749" spans="1:11" hidden="1" x14ac:dyDescent="0.25">
      <c r="A2749">
        <v>2748</v>
      </c>
      <c r="B2749" s="1">
        <v>45750</v>
      </c>
      <c r="C2749" t="s">
        <v>58</v>
      </c>
      <c r="D2749" t="s">
        <v>110</v>
      </c>
      <c r="E2749" t="s">
        <v>13</v>
      </c>
      <c r="F2749">
        <v>3</v>
      </c>
      <c r="G2749" t="str">
        <f>VLOOKUP(D2749,Товары!A:I,3,0)</f>
        <v>Тумба с раковиной  напол. Альба 600 антрацит 2 ящика с умыв. Океан</v>
      </c>
      <c r="H2749">
        <f>VLOOKUP(D2749,Товары!A:I,6,0)</f>
        <v>80</v>
      </c>
      <c r="I2749" t="str">
        <f>VLOOKUP(C2749,Магазины!A:C,3,0)</f>
        <v>Ставрополь</v>
      </c>
      <c r="J2749">
        <f>VLOOKUP(D2749,Товары!A:I,4,0)</f>
        <v>26370</v>
      </c>
      <c r="K2749">
        <f t="shared" si="42"/>
        <v>79110</v>
      </c>
    </row>
    <row r="2750" spans="1:11" hidden="1" x14ac:dyDescent="0.25">
      <c r="A2750">
        <v>2749</v>
      </c>
      <c r="B2750" s="1">
        <v>45754</v>
      </c>
      <c r="C2750" t="s">
        <v>30</v>
      </c>
      <c r="D2750" t="s">
        <v>107</v>
      </c>
      <c r="E2750" t="s">
        <v>8</v>
      </c>
      <c r="F2750">
        <v>3</v>
      </c>
      <c r="G2750" t="str">
        <f>VLOOKUP(D2750,Товары!A:I,3,0)</f>
        <v>Комод Аква 35 напольный 1 дверь белый правый</v>
      </c>
      <c r="H2750">
        <f>VLOOKUP(D2750,Товары!A:I,6,0)</f>
        <v>90</v>
      </c>
      <c r="I2750" t="str">
        <f>VLOOKUP(C2750,Магазины!A:C,3,0)</f>
        <v>Кемерово</v>
      </c>
      <c r="J2750">
        <f>VLOOKUP(D2750,Товары!A:I,4,0)</f>
        <v>6705</v>
      </c>
      <c r="K2750">
        <f t="shared" si="42"/>
        <v>20115</v>
      </c>
    </row>
    <row r="2751" spans="1:11" hidden="1" x14ac:dyDescent="0.25">
      <c r="A2751">
        <v>2750</v>
      </c>
      <c r="B2751" s="1">
        <v>45752</v>
      </c>
      <c r="C2751" t="s">
        <v>9</v>
      </c>
      <c r="D2751" t="s">
        <v>45</v>
      </c>
      <c r="E2751" t="s">
        <v>8</v>
      </c>
      <c r="F2751">
        <v>1</v>
      </c>
      <c r="G2751" t="str">
        <f>VLOOKUP(D2751,Товары!A:I,3,0)</f>
        <v>Зеркальный шкаф Рица 80 со светильником правый цвет cерый/керамика</v>
      </c>
      <c r="H2751">
        <f>VLOOKUP(D2751,Товары!A:I,6,0)</f>
        <v>75</v>
      </c>
      <c r="I2751" t="str">
        <f>VLOOKUP(C2751,Магазины!A:C,3,0)</f>
        <v>Кемерово</v>
      </c>
      <c r="J2751">
        <f>VLOOKUP(D2751,Товары!A:I,4,0)</f>
        <v>9930</v>
      </c>
      <c r="K2751">
        <f t="shared" si="42"/>
        <v>9930</v>
      </c>
    </row>
    <row r="2752" spans="1:11" hidden="1" x14ac:dyDescent="0.25">
      <c r="A2752">
        <v>2751</v>
      </c>
      <c r="B2752" s="1">
        <v>45751</v>
      </c>
      <c r="C2752" t="s">
        <v>92</v>
      </c>
      <c r="D2752" t="s">
        <v>87</v>
      </c>
      <c r="E2752" t="s">
        <v>8</v>
      </c>
      <c r="F2752">
        <v>1</v>
      </c>
      <c r="G2752" t="str">
        <f>VLOOKUP(D2752,Товары!A:I,3,0)</f>
        <v>Тумба с раковиной  напол. Леон 700 форест 2 ящика с умыв. Слим</v>
      </c>
      <c r="H2752">
        <f>VLOOKUP(D2752,Товары!A:I,6,0)</f>
        <v>80</v>
      </c>
      <c r="I2752" t="str">
        <f>VLOOKUP(C2752,Магазины!A:C,3,0)</f>
        <v>Кемерово</v>
      </c>
      <c r="J2752">
        <f>VLOOKUP(D2752,Товары!A:I,4,0)</f>
        <v>28380</v>
      </c>
      <c r="K2752">
        <f t="shared" si="42"/>
        <v>28380</v>
      </c>
    </row>
    <row r="2753" spans="1:11" hidden="1" x14ac:dyDescent="0.25">
      <c r="A2753">
        <v>2752</v>
      </c>
      <c r="B2753" s="1">
        <v>45749</v>
      </c>
      <c r="C2753" t="s">
        <v>6</v>
      </c>
      <c r="D2753" t="s">
        <v>120</v>
      </c>
      <c r="E2753" t="s">
        <v>13</v>
      </c>
      <c r="F2753">
        <v>1</v>
      </c>
      <c r="G2753" t="str">
        <f>VLOOKUP(D2753,Товары!A:I,3,0)</f>
        <v>Зеркальный шкаф Альба 60 со светильником правый цвет антрацит</v>
      </c>
      <c r="H2753">
        <f>VLOOKUP(D2753,Товары!A:I,6,0)</f>
        <v>75</v>
      </c>
      <c r="I2753" t="str">
        <f>VLOOKUP(C2753,Магазины!A:C,3,0)</f>
        <v>Оренбург</v>
      </c>
      <c r="J2753">
        <f>VLOOKUP(D2753,Товары!A:I,4,0)</f>
        <v>8910</v>
      </c>
      <c r="K2753">
        <f t="shared" si="42"/>
        <v>8910</v>
      </c>
    </row>
    <row r="2754" spans="1:11" hidden="1" x14ac:dyDescent="0.25">
      <c r="A2754">
        <v>2753</v>
      </c>
      <c r="B2754" s="1">
        <v>45750</v>
      </c>
      <c r="C2754" t="s">
        <v>63</v>
      </c>
      <c r="D2754" t="s">
        <v>31</v>
      </c>
      <c r="E2754" t="s">
        <v>13</v>
      </c>
      <c r="F2754">
        <v>3</v>
      </c>
      <c r="G2754" t="str">
        <f>VLOOKUP(D2754,Товары!A:I,3,0)</f>
        <v>Пенал напол. Виктория 350 белый 2 двери</v>
      </c>
      <c r="H2754">
        <f>VLOOKUP(D2754,Товары!A:I,6,0)</f>
        <v>190</v>
      </c>
      <c r="I2754" t="str">
        <f>VLOOKUP(C2754,Магазины!A:C,3,0)</f>
        <v>Ставрополь</v>
      </c>
      <c r="J2754">
        <f>VLOOKUP(D2754,Товары!A:I,4,0)</f>
        <v>14085</v>
      </c>
      <c r="K2754">
        <f t="shared" si="42"/>
        <v>42255</v>
      </c>
    </row>
    <row r="2755" spans="1:11" hidden="1" x14ac:dyDescent="0.25">
      <c r="A2755">
        <v>2754</v>
      </c>
      <c r="B2755" s="1">
        <v>45756</v>
      </c>
      <c r="C2755" t="s">
        <v>35</v>
      </c>
      <c r="D2755" t="s">
        <v>23</v>
      </c>
      <c r="E2755" t="s">
        <v>13</v>
      </c>
      <c r="F2755">
        <v>3</v>
      </c>
      <c r="G2755" t="str">
        <f>VLOOKUP(D2755,Товары!A:I,3,0)</f>
        <v>Тумба с раковиной  напол. Альба 800 антрацит 2 ящика с умыв. Слим</v>
      </c>
      <c r="H2755">
        <f>VLOOKUP(D2755,Товары!A:I,6,0)</f>
        <v>80</v>
      </c>
      <c r="I2755" t="str">
        <f>VLOOKUP(C2755,Магазины!A:C,3,0)</f>
        <v>Набережные Челны</v>
      </c>
      <c r="J2755">
        <f>VLOOKUP(D2755,Товары!A:I,4,0)</f>
        <v>29340</v>
      </c>
      <c r="K2755">
        <f t="shared" ref="K2755:K2818" si="43">J2755*F2755</f>
        <v>88020</v>
      </c>
    </row>
    <row r="2756" spans="1:11" hidden="1" x14ac:dyDescent="0.25">
      <c r="A2756">
        <v>2755</v>
      </c>
      <c r="B2756" s="1">
        <v>45753</v>
      </c>
      <c r="C2756" t="s">
        <v>16</v>
      </c>
      <c r="D2756" t="s">
        <v>62</v>
      </c>
      <c r="E2756" t="s">
        <v>8</v>
      </c>
      <c r="F2756">
        <v>2</v>
      </c>
      <c r="G2756" t="str">
        <f>VLOOKUP(D2756,Товары!A:I,3,0)</f>
        <v>Тумба с раковиной  напол. Альба 600 мята 2 ящика с умыв. Океан</v>
      </c>
      <c r="H2756">
        <f>VLOOKUP(D2756,Товары!A:I,6,0)</f>
        <v>80</v>
      </c>
      <c r="I2756" t="str">
        <f>VLOOKUP(C2756,Магазины!A:C,3,0)</f>
        <v>Оренбург</v>
      </c>
      <c r="J2756">
        <f>VLOOKUP(D2756,Товары!A:I,4,0)</f>
        <v>26370</v>
      </c>
      <c r="K2756">
        <f t="shared" si="43"/>
        <v>52740</v>
      </c>
    </row>
    <row r="2757" spans="1:11" hidden="1" x14ac:dyDescent="0.25">
      <c r="A2757">
        <v>2756</v>
      </c>
      <c r="B2757" s="1">
        <v>45750</v>
      </c>
      <c r="C2757" t="s">
        <v>9</v>
      </c>
      <c r="D2757" t="s">
        <v>94</v>
      </c>
      <c r="E2757" t="s">
        <v>8</v>
      </c>
      <c r="F2757">
        <v>1</v>
      </c>
      <c r="G2757" t="str">
        <f>VLOOKUP(D2757,Товары!A:I,3,0)</f>
        <v>Зеркальный шкаф Альба 80 со светильником правый цвет антрацит</v>
      </c>
      <c r="H2757">
        <f>VLOOKUP(D2757,Товары!A:I,6,0)</f>
        <v>75</v>
      </c>
      <c r="I2757" t="str">
        <f>VLOOKUP(C2757,Магазины!A:C,3,0)</f>
        <v>Кемерово</v>
      </c>
      <c r="J2757">
        <f>VLOOKUP(D2757,Товары!A:I,4,0)</f>
        <v>9930</v>
      </c>
      <c r="K2757">
        <f t="shared" si="43"/>
        <v>9930</v>
      </c>
    </row>
    <row r="2758" spans="1:11" hidden="1" x14ac:dyDescent="0.25">
      <c r="A2758">
        <v>2757</v>
      </c>
      <c r="B2758" s="1">
        <v>45748</v>
      </c>
      <c r="C2758" t="s">
        <v>22</v>
      </c>
      <c r="D2758" t="s">
        <v>79</v>
      </c>
      <c r="E2758" t="s">
        <v>13</v>
      </c>
      <c r="F2758">
        <v>3</v>
      </c>
      <c r="G2758" t="str">
        <f>VLOOKUP(D2758,Товары!A:I,3,0)</f>
        <v>Зеркальный шкаф Альба 70 со светильником правый цвет мята</v>
      </c>
      <c r="H2758">
        <f>VLOOKUP(D2758,Товары!A:I,6,0)</f>
        <v>75</v>
      </c>
      <c r="I2758" t="str">
        <f>VLOOKUP(C2758,Магазины!A:C,3,0)</f>
        <v>Кемерово</v>
      </c>
      <c r="J2758">
        <f>VLOOKUP(D2758,Товары!A:I,4,0)</f>
        <v>9615</v>
      </c>
      <c r="K2758">
        <f t="shared" si="43"/>
        <v>28845</v>
      </c>
    </row>
    <row r="2759" spans="1:11" hidden="1" x14ac:dyDescent="0.25">
      <c r="A2759">
        <v>2758</v>
      </c>
      <c r="B2759" s="1">
        <v>45749</v>
      </c>
      <c r="C2759" t="s">
        <v>22</v>
      </c>
      <c r="D2759" t="s">
        <v>50</v>
      </c>
      <c r="E2759" t="s">
        <v>13</v>
      </c>
      <c r="F2759">
        <v>1</v>
      </c>
      <c r="G2759" t="str">
        <f>VLOOKUP(D2759,Товары!A:I,3,0)</f>
        <v>Тумба с раковиной  напол. Леон 800 оникс 2 ящика с умыв. Слим</v>
      </c>
      <c r="H2759">
        <f>VLOOKUP(D2759,Товары!A:I,6,0)</f>
        <v>80</v>
      </c>
      <c r="I2759" t="str">
        <f>VLOOKUP(C2759,Магазины!A:C,3,0)</f>
        <v>Кемерово</v>
      </c>
      <c r="J2759">
        <f>VLOOKUP(D2759,Товары!A:I,4,0)</f>
        <v>29400</v>
      </c>
      <c r="K2759">
        <f t="shared" si="43"/>
        <v>29400</v>
      </c>
    </row>
    <row r="2760" spans="1:11" hidden="1" x14ac:dyDescent="0.25">
      <c r="A2760">
        <v>2759</v>
      </c>
      <c r="B2760" s="1">
        <v>45757</v>
      </c>
      <c r="C2760" t="s">
        <v>92</v>
      </c>
      <c r="D2760" t="s">
        <v>83</v>
      </c>
      <c r="E2760" t="s">
        <v>13</v>
      </c>
      <c r="F2760">
        <v>3</v>
      </c>
      <c r="G2760" t="str">
        <f>VLOOKUP(D2760,Товары!A:I,3,0)</f>
        <v>Зеркальный шкаф Альба 60 со светильником правый цвет суфле</v>
      </c>
      <c r="H2760">
        <f>VLOOKUP(D2760,Товары!A:I,6,0)</f>
        <v>75</v>
      </c>
      <c r="I2760" t="str">
        <f>VLOOKUP(C2760,Магазины!A:C,3,0)</f>
        <v>Кемерово</v>
      </c>
      <c r="J2760">
        <f>VLOOKUP(D2760,Товары!A:I,4,0)</f>
        <v>8910</v>
      </c>
      <c r="K2760">
        <f t="shared" si="43"/>
        <v>26730</v>
      </c>
    </row>
    <row r="2761" spans="1:11" hidden="1" x14ac:dyDescent="0.25">
      <c r="A2761">
        <v>2760</v>
      </c>
      <c r="B2761" s="1">
        <v>45750</v>
      </c>
      <c r="C2761" t="s">
        <v>6</v>
      </c>
      <c r="D2761" t="s">
        <v>105</v>
      </c>
      <c r="E2761" t="s">
        <v>13</v>
      </c>
      <c r="F2761">
        <v>2</v>
      </c>
      <c r="G2761" t="str">
        <f>VLOOKUP(D2761,Товары!A:I,3,0)</f>
        <v>Тумба с раковиной  напол. Нева 600 белый 2 двери + 1 ящик с умыв. Como</v>
      </c>
      <c r="H2761">
        <f>VLOOKUP(D2761,Товары!A:I,6,0)</f>
        <v>80</v>
      </c>
      <c r="I2761" t="str">
        <f>VLOOKUP(C2761,Магазины!A:C,3,0)</f>
        <v>Оренбург</v>
      </c>
      <c r="J2761">
        <f>VLOOKUP(D2761,Товары!A:I,4,0)</f>
        <v>13470</v>
      </c>
      <c r="K2761">
        <f t="shared" si="43"/>
        <v>26940</v>
      </c>
    </row>
    <row r="2762" spans="1:11" hidden="1" x14ac:dyDescent="0.25">
      <c r="A2762">
        <v>2761</v>
      </c>
      <c r="B2762" s="1">
        <v>45750</v>
      </c>
      <c r="C2762" t="s">
        <v>92</v>
      </c>
      <c r="D2762" t="s">
        <v>25</v>
      </c>
      <c r="E2762" t="s">
        <v>13</v>
      </c>
      <c r="F2762">
        <v>2</v>
      </c>
      <c r="G2762" t="str">
        <f>VLOOKUP(D2762,Товары!A:I,3,0)</f>
        <v>Пенал напол. Леон 400 оникс 2 двери + 1 ящик</v>
      </c>
      <c r="H2762">
        <f>VLOOKUP(D2762,Товары!A:I,6,0)</f>
        <v>190</v>
      </c>
      <c r="I2762" t="str">
        <f>VLOOKUP(C2762,Магазины!A:C,3,0)</f>
        <v>Кемерово</v>
      </c>
      <c r="J2762">
        <f>VLOOKUP(D2762,Товары!A:I,4,0)</f>
        <v>18450</v>
      </c>
      <c r="K2762">
        <f t="shared" si="43"/>
        <v>36900</v>
      </c>
    </row>
    <row r="2763" spans="1:11" hidden="1" x14ac:dyDescent="0.25">
      <c r="A2763">
        <v>2762</v>
      </c>
      <c r="B2763" s="1">
        <v>45750</v>
      </c>
      <c r="C2763" t="s">
        <v>16</v>
      </c>
      <c r="D2763" t="s">
        <v>112</v>
      </c>
      <c r="E2763" t="s">
        <v>13</v>
      </c>
      <c r="F2763">
        <v>1</v>
      </c>
      <c r="G2763" t="str">
        <f>VLOOKUP(D2763,Товары!A:I,3,0)</f>
        <v>Тумба с раковиной  напол. Аква 560 белый 2 двери с умыв. Уют</v>
      </c>
      <c r="H2763">
        <f>VLOOKUP(D2763,Товары!A:I,6,0)</f>
        <v>85</v>
      </c>
      <c r="I2763" t="str">
        <f>VLOOKUP(C2763,Магазины!A:C,3,0)</f>
        <v>Оренбург</v>
      </c>
      <c r="J2763">
        <f>VLOOKUP(D2763,Товары!A:I,4,0)</f>
        <v>9330</v>
      </c>
      <c r="K2763">
        <f t="shared" si="43"/>
        <v>9330</v>
      </c>
    </row>
    <row r="2764" spans="1:11" hidden="1" x14ac:dyDescent="0.25">
      <c r="A2764">
        <v>2763</v>
      </c>
      <c r="B2764" s="1">
        <v>45754</v>
      </c>
      <c r="C2764" t="s">
        <v>18</v>
      </c>
      <c r="D2764" t="s">
        <v>90</v>
      </c>
      <c r="E2764" t="s">
        <v>13</v>
      </c>
      <c r="F2764">
        <v>2</v>
      </c>
      <c r="G2764" t="str">
        <f>VLOOKUP(D2764,Товары!A:I,3,0)</f>
        <v>Пенал напол. Аква 350 белый 2 двери + 2 ящика</v>
      </c>
      <c r="H2764">
        <f>VLOOKUP(D2764,Товары!A:I,6,0)</f>
        <v>190</v>
      </c>
      <c r="I2764" t="str">
        <f>VLOOKUP(C2764,Магазины!A:C,3,0)</f>
        <v>Набережные Челны</v>
      </c>
      <c r="J2764">
        <f>VLOOKUP(D2764,Товары!A:I,4,0)</f>
        <v>10650</v>
      </c>
      <c r="K2764">
        <f t="shared" si="43"/>
        <v>21300</v>
      </c>
    </row>
    <row r="2765" spans="1:11" hidden="1" x14ac:dyDescent="0.25">
      <c r="A2765">
        <v>2764</v>
      </c>
      <c r="B2765" s="1">
        <v>45753</v>
      </c>
      <c r="C2765" t="s">
        <v>48</v>
      </c>
      <c r="D2765" t="s">
        <v>119</v>
      </c>
      <c r="E2765" t="s">
        <v>13</v>
      </c>
      <c r="F2765">
        <v>3</v>
      </c>
      <c r="G2765" t="str">
        <f>VLOOKUP(D2765,Товары!A:I,3,0)</f>
        <v>Пенал навес./напол. Рица 350 cерый/керамика 2 двери</v>
      </c>
      <c r="H2765">
        <f>VLOOKUP(D2765,Товары!A:I,6,0)</f>
        <v>160</v>
      </c>
      <c r="I2765" t="str">
        <f>VLOOKUP(C2765,Магазины!A:C,3,0)</f>
        <v>Ставрополь</v>
      </c>
      <c r="J2765">
        <f>VLOOKUP(D2765,Товары!A:I,4,0)</f>
        <v>11250</v>
      </c>
      <c r="K2765">
        <f t="shared" si="43"/>
        <v>33750</v>
      </c>
    </row>
    <row r="2766" spans="1:11" hidden="1" x14ac:dyDescent="0.25">
      <c r="A2766">
        <v>2765</v>
      </c>
      <c r="B2766" s="1">
        <v>45750</v>
      </c>
      <c r="C2766" t="s">
        <v>35</v>
      </c>
      <c r="D2766" t="s">
        <v>85</v>
      </c>
      <c r="E2766" t="s">
        <v>8</v>
      </c>
      <c r="F2766">
        <v>2</v>
      </c>
      <c r="G2766" t="str">
        <f>VLOOKUP(D2766,Товары!A:I,3,0)</f>
        <v>Пенал напол. Аква 450 белый 2 двери + 2 ящика + корзина</v>
      </c>
      <c r="H2766">
        <f>VLOOKUP(D2766,Товары!A:I,6,0)</f>
        <v>190</v>
      </c>
      <c r="I2766" t="str">
        <f>VLOOKUP(C2766,Магазины!A:C,3,0)</f>
        <v>Набережные Челны</v>
      </c>
      <c r="J2766">
        <f>VLOOKUP(D2766,Товары!A:I,4,0)</f>
        <v>13335</v>
      </c>
      <c r="K2766">
        <f t="shared" si="43"/>
        <v>26670</v>
      </c>
    </row>
    <row r="2767" spans="1:11" hidden="1" x14ac:dyDescent="0.25">
      <c r="A2767">
        <v>2766</v>
      </c>
      <c r="B2767" s="1">
        <v>45751</v>
      </c>
      <c r="C2767" t="s">
        <v>30</v>
      </c>
      <c r="D2767" t="s">
        <v>84</v>
      </c>
      <c r="E2767" t="s">
        <v>13</v>
      </c>
      <c r="F2767">
        <v>1</v>
      </c>
      <c r="G2767" t="str">
        <f>VLOOKUP(D2767,Товары!A:I,3,0)</f>
        <v>Тумба с раковиной  напол. Куба Риф 800 белый 3 двери с умыв. Слим</v>
      </c>
      <c r="H2767">
        <f>VLOOKUP(D2767,Товары!A:I,6,0)</f>
        <v>85</v>
      </c>
      <c r="I2767" t="str">
        <f>VLOOKUP(C2767,Магазины!A:C,3,0)</f>
        <v>Кемерово</v>
      </c>
      <c r="J2767">
        <f>VLOOKUP(D2767,Товары!A:I,4,0)</f>
        <v>19920</v>
      </c>
      <c r="K2767">
        <f t="shared" si="43"/>
        <v>19920</v>
      </c>
    </row>
    <row r="2768" spans="1:11" hidden="1" x14ac:dyDescent="0.25">
      <c r="A2768">
        <v>2767</v>
      </c>
      <c r="B2768" s="1">
        <v>45749</v>
      </c>
      <c r="C2768" t="s">
        <v>16</v>
      </c>
      <c r="D2768" t="s">
        <v>120</v>
      </c>
      <c r="E2768" t="s">
        <v>13</v>
      </c>
      <c r="F2768">
        <v>2</v>
      </c>
      <c r="G2768" t="str">
        <f>VLOOKUP(D2768,Товары!A:I,3,0)</f>
        <v>Зеркальный шкаф Альба 60 со светильником правый цвет антрацит</v>
      </c>
      <c r="H2768">
        <f>VLOOKUP(D2768,Товары!A:I,6,0)</f>
        <v>75</v>
      </c>
      <c r="I2768" t="str">
        <f>VLOOKUP(C2768,Магазины!A:C,3,0)</f>
        <v>Оренбург</v>
      </c>
      <c r="J2768">
        <f>VLOOKUP(D2768,Товары!A:I,4,0)</f>
        <v>8910</v>
      </c>
      <c r="K2768">
        <f t="shared" si="43"/>
        <v>17820</v>
      </c>
    </row>
    <row r="2769" spans="1:11" hidden="1" x14ac:dyDescent="0.25">
      <c r="A2769">
        <v>2768</v>
      </c>
      <c r="B2769" s="1">
        <v>45757</v>
      </c>
      <c r="C2769" t="s">
        <v>33</v>
      </c>
      <c r="D2769" t="s">
        <v>62</v>
      </c>
      <c r="E2769" t="s">
        <v>13</v>
      </c>
      <c r="F2769">
        <v>3</v>
      </c>
      <c r="G2769" t="str">
        <f>VLOOKUP(D2769,Товары!A:I,3,0)</f>
        <v>Тумба с раковиной  напол. Альба 600 мята 2 ящика с умыв. Океан</v>
      </c>
      <c r="H2769">
        <f>VLOOKUP(D2769,Товары!A:I,6,0)</f>
        <v>80</v>
      </c>
      <c r="I2769" t="str">
        <f>VLOOKUP(C2769,Магазины!A:C,3,0)</f>
        <v>Набережные Челны</v>
      </c>
      <c r="J2769">
        <f>VLOOKUP(D2769,Товары!A:I,4,0)</f>
        <v>26370</v>
      </c>
      <c r="K2769">
        <f t="shared" si="43"/>
        <v>79110</v>
      </c>
    </row>
    <row r="2770" spans="1:11" hidden="1" x14ac:dyDescent="0.25">
      <c r="A2770">
        <v>2769</v>
      </c>
      <c r="B2770" s="1">
        <v>45754</v>
      </c>
      <c r="C2770" t="s">
        <v>28</v>
      </c>
      <c r="D2770" t="s">
        <v>99</v>
      </c>
      <c r="E2770" t="s">
        <v>13</v>
      </c>
      <c r="F2770">
        <v>1</v>
      </c>
      <c r="G2770" t="str">
        <f>VLOOKUP(D2770,Товары!A:I,3,0)</f>
        <v>Тумба с раковиной  навес. Леон 600 оникс 2 ящика с умыв. Слим</v>
      </c>
      <c r="H2770">
        <f>VLOOKUP(D2770,Товары!A:I,6,0)</f>
        <v>60</v>
      </c>
      <c r="I2770" t="str">
        <f>VLOOKUP(C2770,Магазины!A:C,3,0)</f>
        <v>Набережные Челны</v>
      </c>
      <c r="J2770">
        <f>VLOOKUP(D2770,Товары!A:I,4,0)</f>
        <v>25125</v>
      </c>
      <c r="K2770">
        <f t="shared" si="43"/>
        <v>25125</v>
      </c>
    </row>
    <row r="2771" spans="1:11" hidden="1" x14ac:dyDescent="0.25">
      <c r="A2771">
        <v>2770</v>
      </c>
      <c r="B2771" s="1">
        <v>45752</v>
      </c>
      <c r="C2771" t="s">
        <v>28</v>
      </c>
      <c r="D2771" t="s">
        <v>93</v>
      </c>
      <c r="E2771" t="s">
        <v>8</v>
      </c>
      <c r="F2771">
        <v>2</v>
      </c>
      <c r="G2771" t="str">
        <f>VLOOKUP(D2771,Товары!A:I,3,0)</f>
        <v>Тумба с раковиной  напол. Леон Риф 800 солярис/белый риф 2 ящика с умыв. Слим</v>
      </c>
      <c r="H2771">
        <f>VLOOKUP(D2771,Товары!A:I,6,0)</f>
        <v>80</v>
      </c>
      <c r="I2771" t="str">
        <f>VLOOKUP(C2771,Магазины!A:C,3,0)</f>
        <v>Набережные Челны</v>
      </c>
      <c r="J2771">
        <f>VLOOKUP(D2771,Товары!A:I,4,0)</f>
        <v>29340</v>
      </c>
      <c r="K2771">
        <f t="shared" si="43"/>
        <v>58680</v>
      </c>
    </row>
    <row r="2772" spans="1:11" hidden="1" x14ac:dyDescent="0.25">
      <c r="A2772">
        <v>2771</v>
      </c>
      <c r="B2772" s="1">
        <v>45755</v>
      </c>
      <c r="C2772" t="s">
        <v>103</v>
      </c>
      <c r="D2772" t="s">
        <v>69</v>
      </c>
      <c r="E2772" t="s">
        <v>8</v>
      </c>
      <c r="F2772">
        <v>1</v>
      </c>
      <c r="G2772" t="str">
        <f>VLOOKUP(D2772,Товары!A:I,3,0)</f>
        <v>Пенал навес./напол. Альба 350 антрацит 2 двери</v>
      </c>
      <c r="H2772">
        <f>VLOOKUP(D2772,Товары!A:I,6,0)</f>
        <v>150</v>
      </c>
      <c r="I2772" t="str">
        <f>VLOOKUP(C2772,Магазины!A:C,3,0)</f>
        <v>Ставрополь</v>
      </c>
      <c r="J2772">
        <f>VLOOKUP(D2772,Товары!A:I,4,0)</f>
        <v>11655</v>
      </c>
      <c r="K2772">
        <f t="shared" si="43"/>
        <v>11655</v>
      </c>
    </row>
    <row r="2773" spans="1:11" hidden="1" x14ac:dyDescent="0.25">
      <c r="A2773">
        <v>2772</v>
      </c>
      <c r="B2773" s="1">
        <v>45752</v>
      </c>
      <c r="C2773" t="s">
        <v>30</v>
      </c>
      <c r="D2773" t="s">
        <v>123</v>
      </c>
      <c r="E2773" t="s">
        <v>13</v>
      </c>
      <c r="F2773">
        <v>3</v>
      </c>
      <c r="G2773" t="str">
        <f>VLOOKUP(D2773,Товары!A:I,3,0)</f>
        <v>Тумба с раковиной  напол. Кристалл 800 суфле 2 ящика с умыв. Слим</v>
      </c>
      <c r="H2773">
        <f>VLOOKUP(D2773,Товары!A:I,6,0)</f>
        <v>80</v>
      </c>
      <c r="I2773" t="str">
        <f>VLOOKUP(C2773,Магазины!A:C,3,0)</f>
        <v>Кемерово</v>
      </c>
      <c r="J2773">
        <f>VLOOKUP(D2773,Товары!A:I,4,0)</f>
        <v>31125</v>
      </c>
      <c r="K2773">
        <f t="shared" si="43"/>
        <v>93375</v>
      </c>
    </row>
    <row r="2774" spans="1:11" hidden="1" x14ac:dyDescent="0.25">
      <c r="A2774">
        <v>2773</v>
      </c>
      <c r="B2774" s="1">
        <v>45753</v>
      </c>
      <c r="C2774" t="s">
        <v>57</v>
      </c>
      <c r="D2774" t="s">
        <v>102</v>
      </c>
      <c r="E2774" t="s">
        <v>8</v>
      </c>
      <c r="F2774">
        <v>1</v>
      </c>
      <c r="G2774" t="str">
        <f>VLOOKUP(D2774,Товары!A:I,3,0)</f>
        <v>Тумба с раковиной  напол. Леон Риф 1000 солярис/белый риф 2 ящика с умыв. Слим</v>
      </c>
      <c r="H2774">
        <f>VLOOKUP(D2774,Товары!A:I,6,0)</f>
        <v>85</v>
      </c>
      <c r="I2774" t="str">
        <f>VLOOKUP(C2774,Магазины!A:C,3,0)</f>
        <v>Оренбург</v>
      </c>
      <c r="J2774">
        <f>VLOOKUP(D2774,Товары!A:I,4,0)</f>
        <v>32085</v>
      </c>
      <c r="K2774">
        <f t="shared" si="43"/>
        <v>32085</v>
      </c>
    </row>
    <row r="2775" spans="1:11" hidden="1" x14ac:dyDescent="0.25">
      <c r="A2775">
        <v>2774</v>
      </c>
      <c r="B2775" s="1">
        <v>45757</v>
      </c>
      <c r="C2775" t="s">
        <v>57</v>
      </c>
      <c r="D2775" t="s">
        <v>97</v>
      </c>
      <c r="E2775" t="s">
        <v>8</v>
      </c>
      <c r="F2775">
        <v>1</v>
      </c>
      <c r="G2775" t="str">
        <f>VLOOKUP(D2775,Товары!A:I,3,0)</f>
        <v>Пенал напол. Кристалл 350 суфле 2 двери</v>
      </c>
      <c r="H2775">
        <f>VLOOKUP(D2775,Товары!A:I,6,0)</f>
        <v>190</v>
      </c>
      <c r="I2775" t="str">
        <f>VLOOKUP(C2775,Магазины!A:C,3,0)</f>
        <v>Оренбург</v>
      </c>
      <c r="J2775">
        <f>VLOOKUP(D2775,Товары!A:I,4,0)</f>
        <v>15810</v>
      </c>
      <c r="K2775">
        <f t="shared" si="43"/>
        <v>15810</v>
      </c>
    </row>
    <row r="2776" spans="1:11" hidden="1" x14ac:dyDescent="0.25">
      <c r="A2776">
        <v>2775</v>
      </c>
      <c r="B2776" s="1">
        <v>45756</v>
      </c>
      <c r="C2776" t="s">
        <v>111</v>
      </c>
      <c r="D2776" t="s">
        <v>10</v>
      </c>
      <c r="E2776" t="s">
        <v>8</v>
      </c>
      <c r="F2776">
        <v>2</v>
      </c>
      <c r="G2776" t="str">
        <f>VLOOKUP(D2776,Товары!A:I,3,0)</f>
        <v>Тумба с раковиной  навес. Альба 700 антрацит 1 ящик с умыв. Слим</v>
      </c>
      <c r="H2776">
        <f>VLOOKUP(D2776,Товары!A:I,6,0)</f>
        <v>45</v>
      </c>
      <c r="I2776" t="str">
        <f>VLOOKUP(C2776,Магазины!A:C,3,0)</f>
        <v>Набережные Челны</v>
      </c>
      <c r="J2776">
        <f>VLOOKUP(D2776,Товары!A:I,4,0)</f>
        <v>20130</v>
      </c>
      <c r="K2776">
        <f t="shared" si="43"/>
        <v>40260</v>
      </c>
    </row>
    <row r="2777" spans="1:11" hidden="1" x14ac:dyDescent="0.25">
      <c r="A2777">
        <v>2776</v>
      </c>
      <c r="B2777" s="1">
        <v>45756</v>
      </c>
      <c r="C2777" t="s">
        <v>18</v>
      </c>
      <c r="D2777" t="s">
        <v>52</v>
      </c>
      <c r="E2777" t="s">
        <v>13</v>
      </c>
      <c r="F2777">
        <v>1</v>
      </c>
      <c r="G2777" t="str">
        <f>VLOOKUP(D2777,Товары!A:I,3,0)</f>
        <v>Тумба с раковиной  напол. Кристалл 600 суфле 2 ящика с умыв. Океан</v>
      </c>
      <c r="H2777">
        <f>VLOOKUP(D2777,Товары!A:I,6,0)</f>
        <v>80</v>
      </c>
      <c r="I2777" t="str">
        <f>VLOOKUP(C2777,Магазины!A:C,3,0)</f>
        <v>Набережные Челны</v>
      </c>
      <c r="J2777">
        <f>VLOOKUP(D2777,Товары!A:I,4,0)</f>
        <v>27600</v>
      </c>
      <c r="K2777">
        <f t="shared" si="43"/>
        <v>27600</v>
      </c>
    </row>
    <row r="2778" spans="1:11" hidden="1" x14ac:dyDescent="0.25">
      <c r="A2778">
        <v>2777</v>
      </c>
      <c r="B2778" s="1">
        <v>45755</v>
      </c>
      <c r="C2778" t="s">
        <v>103</v>
      </c>
      <c r="D2778" t="s">
        <v>36</v>
      </c>
      <c r="E2778" t="s">
        <v>13</v>
      </c>
      <c r="F2778">
        <v>3</v>
      </c>
      <c r="G2778" t="str">
        <f>VLOOKUP(D2778,Товары!A:I,3,0)</f>
        <v>Тумба с раковиной  напол. Альба 800 мята 2 ящика с умыв. Слим</v>
      </c>
      <c r="H2778">
        <f>VLOOKUP(D2778,Товары!A:I,6,0)</f>
        <v>80</v>
      </c>
      <c r="I2778" t="str">
        <f>VLOOKUP(C2778,Магазины!A:C,3,0)</f>
        <v>Ставрополь</v>
      </c>
      <c r="J2778">
        <f>VLOOKUP(D2778,Товары!A:I,4,0)</f>
        <v>29340</v>
      </c>
      <c r="K2778">
        <f t="shared" si="43"/>
        <v>88020</v>
      </c>
    </row>
    <row r="2779" spans="1:11" hidden="1" x14ac:dyDescent="0.25">
      <c r="A2779">
        <v>2778</v>
      </c>
      <c r="B2779" s="1">
        <v>45752</v>
      </c>
      <c r="C2779" t="s">
        <v>103</v>
      </c>
      <c r="D2779" t="s">
        <v>55</v>
      </c>
      <c r="E2779" t="s">
        <v>8</v>
      </c>
      <c r="F2779">
        <v>1</v>
      </c>
      <c r="G2779" t="str">
        <f>VLOOKUP(D2779,Товары!A:I,3,0)</f>
        <v>Тумба с раковиной  напол. Рица 600 cерый/керамика 2 ящика с умыв. Океан</v>
      </c>
      <c r="H2779">
        <f>VLOOKUP(D2779,Товары!A:I,6,0)</f>
        <v>80</v>
      </c>
      <c r="I2779" t="str">
        <f>VLOOKUP(C2779,Магазины!A:C,3,0)</f>
        <v>Ставрополь</v>
      </c>
      <c r="J2779">
        <f>VLOOKUP(D2779,Товары!A:I,4,0)</f>
        <v>25560</v>
      </c>
      <c r="K2779">
        <f t="shared" si="43"/>
        <v>25560</v>
      </c>
    </row>
    <row r="2780" spans="1:11" hidden="1" x14ac:dyDescent="0.25">
      <c r="A2780">
        <v>2779</v>
      </c>
      <c r="B2780" s="1">
        <v>45748</v>
      </c>
      <c r="C2780" t="s">
        <v>63</v>
      </c>
      <c r="D2780" t="s">
        <v>107</v>
      </c>
      <c r="E2780" t="s">
        <v>8</v>
      </c>
      <c r="F2780">
        <v>3</v>
      </c>
      <c r="G2780" t="str">
        <f>VLOOKUP(D2780,Товары!A:I,3,0)</f>
        <v>Комод Аква 35 напольный 1 дверь белый правый</v>
      </c>
      <c r="H2780">
        <f>VLOOKUP(D2780,Товары!A:I,6,0)</f>
        <v>90</v>
      </c>
      <c r="I2780" t="str">
        <f>VLOOKUP(C2780,Магазины!A:C,3,0)</f>
        <v>Ставрополь</v>
      </c>
      <c r="J2780">
        <f>VLOOKUP(D2780,Товары!A:I,4,0)</f>
        <v>6705</v>
      </c>
      <c r="K2780">
        <f t="shared" si="43"/>
        <v>20115</v>
      </c>
    </row>
    <row r="2781" spans="1:11" hidden="1" x14ac:dyDescent="0.25">
      <c r="A2781">
        <v>2780</v>
      </c>
      <c r="B2781" s="1">
        <v>45753</v>
      </c>
      <c r="C2781" t="s">
        <v>16</v>
      </c>
      <c r="D2781" t="s">
        <v>130</v>
      </c>
      <c r="E2781" t="s">
        <v>13</v>
      </c>
      <c r="F2781">
        <v>2</v>
      </c>
      <c r="G2781" t="str">
        <f>VLOOKUP(D2781,Товары!A:I,3,0)</f>
        <v>Пенал напол. Леон 400 форест 2 двери + 1 ящик</v>
      </c>
      <c r="H2781">
        <f>VLOOKUP(D2781,Товары!A:I,6,0)</f>
        <v>190</v>
      </c>
      <c r="I2781" t="str">
        <f>VLOOKUP(C2781,Магазины!A:C,3,0)</f>
        <v>Оренбург</v>
      </c>
      <c r="J2781">
        <f>VLOOKUP(D2781,Товары!A:I,4,0)</f>
        <v>18450</v>
      </c>
      <c r="K2781">
        <f t="shared" si="43"/>
        <v>36900</v>
      </c>
    </row>
    <row r="2782" spans="1:11" hidden="1" x14ac:dyDescent="0.25">
      <c r="A2782">
        <v>2781</v>
      </c>
      <c r="B2782" s="1">
        <v>45756</v>
      </c>
      <c r="C2782" t="s">
        <v>22</v>
      </c>
      <c r="D2782" t="s">
        <v>53</v>
      </c>
      <c r="E2782" t="s">
        <v>13</v>
      </c>
      <c r="F2782">
        <v>3</v>
      </c>
      <c r="G2782" t="str">
        <f>VLOOKUP(D2782,Товары!A:I,3,0)</f>
        <v>Тумба с раковиной  напол. Кристалл 600 шато азур 2 ящика с умыв. Океан</v>
      </c>
      <c r="H2782">
        <f>VLOOKUP(D2782,Товары!A:I,6,0)</f>
        <v>85</v>
      </c>
      <c r="I2782" t="str">
        <f>VLOOKUP(C2782,Магазины!A:C,3,0)</f>
        <v>Кемерово</v>
      </c>
      <c r="J2782">
        <f>VLOOKUP(D2782,Товары!A:I,4,0)</f>
        <v>27600</v>
      </c>
      <c r="K2782">
        <f t="shared" si="43"/>
        <v>82800</v>
      </c>
    </row>
    <row r="2783" spans="1:11" hidden="1" x14ac:dyDescent="0.25">
      <c r="A2783">
        <v>2782</v>
      </c>
      <c r="B2783" s="1">
        <v>45750</v>
      </c>
      <c r="C2783" t="s">
        <v>58</v>
      </c>
      <c r="D2783" t="s">
        <v>124</v>
      </c>
      <c r="E2783" t="s">
        <v>8</v>
      </c>
      <c r="F2783">
        <v>3</v>
      </c>
      <c r="G2783" t="str">
        <f>VLOOKUP(D2783,Товары!A:I,3,0)</f>
        <v>Тумба с раковиной  напол. Леон 600 оникс 2 ящика с умыв. Океан</v>
      </c>
      <c r="H2783">
        <f>VLOOKUP(D2783,Товары!A:I,6,0)</f>
        <v>80</v>
      </c>
      <c r="I2783" t="str">
        <f>VLOOKUP(C2783,Магазины!A:C,3,0)</f>
        <v>Ставрополь</v>
      </c>
      <c r="J2783">
        <f>VLOOKUP(D2783,Товары!A:I,4,0)</f>
        <v>25860</v>
      </c>
      <c r="K2783">
        <f t="shared" si="43"/>
        <v>77580</v>
      </c>
    </row>
    <row r="2784" spans="1:11" hidden="1" x14ac:dyDescent="0.25">
      <c r="A2784">
        <v>2783</v>
      </c>
      <c r="B2784" s="1">
        <v>45750</v>
      </c>
      <c r="C2784" t="s">
        <v>11</v>
      </c>
      <c r="D2784" t="s">
        <v>61</v>
      </c>
      <c r="E2784" t="s">
        <v>13</v>
      </c>
      <c r="F2784">
        <v>3</v>
      </c>
      <c r="G2784" t="str">
        <f>VLOOKUP(D2784,Товары!A:I,3,0)</f>
        <v>Тумба под стиральную машину Леон Риф 57 напольная 2 ящика под ст/маш, без умывальника /под Marshall 120 Солярис/Белый Риф</v>
      </c>
      <c r="H2784">
        <f>VLOOKUP(D2784,Товары!A:I,6,0)</f>
        <v>85</v>
      </c>
      <c r="I2784" t="str">
        <f>VLOOKUP(C2784,Магазины!A:C,3,0)</f>
        <v>Кемерово</v>
      </c>
      <c r="J2784">
        <f>VLOOKUP(D2784,Товары!A:I,4,0)</f>
        <v>17430</v>
      </c>
      <c r="K2784">
        <f t="shared" si="43"/>
        <v>52290</v>
      </c>
    </row>
    <row r="2785" spans="1:11" hidden="1" x14ac:dyDescent="0.25">
      <c r="A2785">
        <v>2784</v>
      </c>
      <c r="B2785" s="1">
        <v>45751</v>
      </c>
      <c r="C2785" t="s">
        <v>18</v>
      </c>
      <c r="D2785" t="s">
        <v>40</v>
      </c>
      <c r="E2785" t="s">
        <v>8</v>
      </c>
      <c r="F2785">
        <v>3</v>
      </c>
      <c r="G2785" t="str">
        <f>VLOOKUP(D2785,Товары!A:I,3,0)</f>
        <v>Тумба с раковиной  навес. Рица 800 cерый/керамика 1 ящик + ниша 1 с умыв. Слим</v>
      </c>
      <c r="H2785">
        <f>VLOOKUP(D2785,Товары!A:I,6,0)</f>
        <v>60</v>
      </c>
      <c r="I2785" t="str">
        <f>VLOOKUP(C2785,Магазины!A:C,3,0)</f>
        <v>Набережные Челны</v>
      </c>
      <c r="J2785">
        <f>VLOOKUP(D2785,Товары!A:I,4,0)</f>
        <v>22425</v>
      </c>
      <c r="K2785">
        <f t="shared" si="43"/>
        <v>67275</v>
      </c>
    </row>
    <row r="2786" spans="1:11" hidden="1" x14ac:dyDescent="0.25">
      <c r="A2786">
        <v>2785</v>
      </c>
      <c r="B2786" s="1">
        <v>45753</v>
      </c>
      <c r="C2786" t="s">
        <v>57</v>
      </c>
      <c r="D2786" t="s">
        <v>62</v>
      </c>
      <c r="E2786" t="s">
        <v>8</v>
      </c>
      <c r="F2786">
        <v>2</v>
      </c>
      <c r="G2786" t="str">
        <f>VLOOKUP(D2786,Товары!A:I,3,0)</f>
        <v>Тумба с раковиной  напол. Альба 600 мята 2 ящика с умыв. Океан</v>
      </c>
      <c r="H2786">
        <f>VLOOKUP(D2786,Товары!A:I,6,0)</f>
        <v>80</v>
      </c>
      <c r="I2786" t="str">
        <f>VLOOKUP(C2786,Магазины!A:C,3,0)</f>
        <v>Оренбург</v>
      </c>
      <c r="J2786">
        <f>VLOOKUP(D2786,Товары!A:I,4,0)</f>
        <v>26370</v>
      </c>
      <c r="K2786">
        <f t="shared" si="43"/>
        <v>52740</v>
      </c>
    </row>
    <row r="2787" spans="1:11" hidden="1" x14ac:dyDescent="0.25">
      <c r="A2787">
        <v>2786</v>
      </c>
      <c r="B2787" s="1">
        <v>45752</v>
      </c>
      <c r="C2787" t="s">
        <v>16</v>
      </c>
      <c r="D2787" t="s">
        <v>37</v>
      </c>
      <c r="E2787" t="s">
        <v>8</v>
      </c>
      <c r="F2787">
        <v>1</v>
      </c>
      <c r="G2787" t="str">
        <f>VLOOKUP(D2787,Товары!A:I,3,0)</f>
        <v>Зеркальный шкаф Сохо 70 белый со светильником правый цвет Белый глянец</v>
      </c>
      <c r="H2787">
        <f>VLOOKUP(D2787,Товары!A:I,6,0)</f>
        <v>75</v>
      </c>
      <c r="I2787" t="str">
        <f>VLOOKUP(C2787,Магазины!A:C,3,0)</f>
        <v>Оренбург</v>
      </c>
      <c r="J2787">
        <f>VLOOKUP(D2787,Товары!A:I,4,0)</f>
        <v>7935</v>
      </c>
      <c r="K2787">
        <f t="shared" si="43"/>
        <v>7935</v>
      </c>
    </row>
    <row r="2788" spans="1:11" hidden="1" x14ac:dyDescent="0.25">
      <c r="A2788">
        <v>2787</v>
      </c>
      <c r="B2788" s="1">
        <v>45753</v>
      </c>
      <c r="C2788" t="s">
        <v>63</v>
      </c>
      <c r="D2788" t="s">
        <v>100</v>
      </c>
      <c r="E2788" t="s">
        <v>8</v>
      </c>
      <c r="F2788">
        <v>1</v>
      </c>
      <c r="G2788" t="str">
        <f>VLOOKUP(D2788,Товары!A:I,3,0)</f>
        <v>Тумба с раковиной  навес. Альба 800 мята 1 ящик с умыв. Слим</v>
      </c>
      <c r="H2788">
        <f>VLOOKUP(D2788,Товары!A:I,6,0)</f>
        <v>45</v>
      </c>
      <c r="I2788" t="str">
        <f>VLOOKUP(C2788,Магазины!A:C,3,0)</f>
        <v>Ставрополь</v>
      </c>
      <c r="J2788">
        <f>VLOOKUP(D2788,Товары!A:I,4,0)</f>
        <v>21630</v>
      </c>
      <c r="K2788">
        <f t="shared" si="43"/>
        <v>21630</v>
      </c>
    </row>
    <row r="2789" spans="1:11" hidden="1" x14ac:dyDescent="0.25">
      <c r="A2789">
        <v>2788</v>
      </c>
      <c r="B2789" s="1">
        <v>45750</v>
      </c>
      <c r="C2789" t="s">
        <v>16</v>
      </c>
      <c r="D2789" t="s">
        <v>129</v>
      </c>
      <c r="E2789" t="s">
        <v>13</v>
      </c>
      <c r="F2789">
        <v>1</v>
      </c>
      <c r="G2789" t="str">
        <f>VLOOKUP(D2789,Товары!A:I,3,0)</f>
        <v>Тумба с раковиной  напол. Альба 700 антрацит 2 ящика с умыв. Слим</v>
      </c>
      <c r="H2789">
        <f>VLOOKUP(D2789,Товары!A:I,6,0)</f>
        <v>85</v>
      </c>
      <c r="I2789" t="str">
        <f>VLOOKUP(C2789,Магазины!A:C,3,0)</f>
        <v>Оренбург</v>
      </c>
      <c r="J2789">
        <f>VLOOKUP(D2789,Товары!A:I,4,0)</f>
        <v>28695</v>
      </c>
      <c r="K2789">
        <f t="shared" si="43"/>
        <v>28695</v>
      </c>
    </row>
    <row r="2790" spans="1:11" hidden="1" x14ac:dyDescent="0.25">
      <c r="A2790">
        <v>2789</v>
      </c>
      <c r="B2790" s="1">
        <v>45753</v>
      </c>
      <c r="C2790" t="s">
        <v>43</v>
      </c>
      <c r="D2790" t="s">
        <v>31</v>
      </c>
      <c r="E2790" t="s">
        <v>8</v>
      </c>
      <c r="F2790">
        <v>1</v>
      </c>
      <c r="G2790" t="str">
        <f>VLOOKUP(D2790,Товары!A:I,3,0)</f>
        <v>Пенал напол. Виктория 350 белый 2 двери</v>
      </c>
      <c r="H2790">
        <f>VLOOKUP(D2790,Товары!A:I,6,0)</f>
        <v>190</v>
      </c>
      <c r="I2790" t="str">
        <f>VLOOKUP(C2790,Магазины!A:C,3,0)</f>
        <v>Набережные Челны</v>
      </c>
      <c r="J2790">
        <f>VLOOKUP(D2790,Товары!A:I,4,0)</f>
        <v>14085</v>
      </c>
      <c r="K2790">
        <f t="shared" si="43"/>
        <v>14085</v>
      </c>
    </row>
    <row r="2791" spans="1:11" hidden="1" x14ac:dyDescent="0.25">
      <c r="A2791">
        <v>2790</v>
      </c>
      <c r="B2791" s="1">
        <v>45756</v>
      </c>
      <c r="C2791" t="s">
        <v>111</v>
      </c>
      <c r="D2791" t="s">
        <v>74</v>
      </c>
      <c r="E2791" t="s">
        <v>8</v>
      </c>
      <c r="F2791">
        <v>2</v>
      </c>
      <c r="G2791" t="str">
        <f>VLOOKUP(D2791,Товары!A:I,3,0)</f>
        <v>Тумба с раковиной  напол. Альба 800 суфле 2 ящика с умыв. Слим</v>
      </c>
      <c r="H2791">
        <f>VLOOKUP(D2791,Товары!A:I,6,0)</f>
        <v>80</v>
      </c>
      <c r="I2791" t="str">
        <f>VLOOKUP(C2791,Магазины!A:C,3,0)</f>
        <v>Набережные Челны</v>
      </c>
      <c r="J2791">
        <f>VLOOKUP(D2791,Товары!A:I,4,0)</f>
        <v>29340</v>
      </c>
      <c r="K2791">
        <f t="shared" si="43"/>
        <v>58680</v>
      </c>
    </row>
    <row r="2792" spans="1:11" hidden="1" x14ac:dyDescent="0.25">
      <c r="A2792">
        <v>2791</v>
      </c>
      <c r="B2792" s="1">
        <v>45756</v>
      </c>
      <c r="C2792" t="s">
        <v>18</v>
      </c>
      <c r="D2792" t="s">
        <v>38</v>
      </c>
      <c r="E2792" t="s">
        <v>13</v>
      </c>
      <c r="F2792">
        <v>3</v>
      </c>
      <c r="G2792" t="str">
        <f>VLOOKUP(D2792,Товары!A:I,3,0)</f>
        <v>Тумба с раковиной  навес. Куба Риф 600 белый 2 ящика с умыв. Como</v>
      </c>
      <c r="H2792">
        <f>VLOOKUP(D2792,Товары!A:I,6,0)</f>
        <v>55</v>
      </c>
      <c r="I2792" t="str">
        <f>VLOOKUP(C2792,Магазины!A:C,3,0)</f>
        <v>Набережные Челны</v>
      </c>
      <c r="J2792">
        <f>VLOOKUP(D2792,Товары!A:I,4,0)</f>
        <v>14265</v>
      </c>
      <c r="K2792">
        <f t="shared" si="43"/>
        <v>42795</v>
      </c>
    </row>
    <row r="2793" spans="1:11" hidden="1" x14ac:dyDescent="0.25">
      <c r="A2793">
        <v>2792</v>
      </c>
      <c r="B2793" s="1">
        <v>45752</v>
      </c>
      <c r="C2793" t="s">
        <v>30</v>
      </c>
      <c r="D2793" t="s">
        <v>90</v>
      </c>
      <c r="E2793" t="s">
        <v>13</v>
      </c>
      <c r="F2793">
        <v>3</v>
      </c>
      <c r="G2793" t="str">
        <f>VLOOKUP(D2793,Товары!A:I,3,0)</f>
        <v>Пенал напол. Аква 350 белый 2 двери + 2 ящика</v>
      </c>
      <c r="H2793">
        <f>VLOOKUP(D2793,Товары!A:I,6,0)</f>
        <v>190</v>
      </c>
      <c r="I2793" t="str">
        <f>VLOOKUP(C2793,Магазины!A:C,3,0)</f>
        <v>Кемерово</v>
      </c>
      <c r="J2793">
        <f>VLOOKUP(D2793,Товары!A:I,4,0)</f>
        <v>10650</v>
      </c>
      <c r="K2793">
        <f t="shared" si="43"/>
        <v>31950</v>
      </c>
    </row>
    <row r="2794" spans="1:11" hidden="1" x14ac:dyDescent="0.25">
      <c r="A2794">
        <v>2793</v>
      </c>
      <c r="B2794" s="1">
        <v>45754</v>
      </c>
      <c r="C2794" t="s">
        <v>43</v>
      </c>
      <c r="D2794" t="s">
        <v>71</v>
      </c>
      <c r="E2794" t="s">
        <v>13</v>
      </c>
      <c r="F2794">
        <v>1</v>
      </c>
      <c r="G2794" t="str">
        <f>VLOOKUP(D2794,Товары!A:I,3,0)</f>
        <v>Тумба с раковиной  навес. Альба 600 мята 2 ящика с умыв. Океан</v>
      </c>
      <c r="H2794">
        <f>VLOOKUP(D2794,Товары!A:I,6,0)</f>
        <v>50</v>
      </c>
      <c r="I2794" t="str">
        <f>VLOOKUP(C2794,Магазины!A:C,3,0)</f>
        <v>Набережные Челны</v>
      </c>
      <c r="J2794">
        <f>VLOOKUP(D2794,Товары!A:I,4,0)</f>
        <v>24810</v>
      </c>
      <c r="K2794">
        <f t="shared" si="43"/>
        <v>24810</v>
      </c>
    </row>
    <row r="2795" spans="1:11" hidden="1" x14ac:dyDescent="0.25">
      <c r="A2795">
        <v>2794</v>
      </c>
      <c r="B2795" s="1">
        <v>45752</v>
      </c>
      <c r="C2795" t="s">
        <v>11</v>
      </c>
      <c r="D2795" t="s">
        <v>109</v>
      </c>
      <c r="E2795" t="s">
        <v>13</v>
      </c>
      <c r="F2795">
        <v>3</v>
      </c>
      <c r="G2795" t="str">
        <f>VLOOKUP(D2795,Товары!A:I,3,0)</f>
        <v>Тумба с раковиной  навес. Альба 600 антрацит 2 ящика с умыв. Океан</v>
      </c>
      <c r="H2795">
        <f>VLOOKUP(D2795,Товары!A:I,6,0)</f>
        <v>50</v>
      </c>
      <c r="I2795" t="str">
        <f>VLOOKUP(C2795,Магазины!A:C,3,0)</f>
        <v>Кемерово</v>
      </c>
      <c r="J2795">
        <f>VLOOKUP(D2795,Товары!A:I,4,0)</f>
        <v>24810</v>
      </c>
      <c r="K2795">
        <f t="shared" si="43"/>
        <v>74430</v>
      </c>
    </row>
    <row r="2796" spans="1:11" hidden="1" x14ac:dyDescent="0.25">
      <c r="A2796">
        <v>2795</v>
      </c>
      <c r="B2796" s="1">
        <v>45751</v>
      </c>
      <c r="C2796" t="s">
        <v>22</v>
      </c>
      <c r="D2796" t="s">
        <v>126</v>
      </c>
      <c r="E2796" t="s">
        <v>13</v>
      </c>
      <c r="F2796">
        <v>1</v>
      </c>
      <c r="G2796" t="str">
        <f>VLOOKUP(D2796,Товары!A:I,3,0)</f>
        <v>Тумба с раковиной  напол. Кристалл 800 шато азур 2 ящика с умыв. Комфорт</v>
      </c>
      <c r="H2796">
        <f>VLOOKUP(D2796,Товары!A:I,6,0)</f>
        <v>85</v>
      </c>
      <c r="I2796" t="str">
        <f>VLOOKUP(C2796,Магазины!A:C,3,0)</f>
        <v>Кемерово</v>
      </c>
      <c r="J2796">
        <f>VLOOKUP(D2796,Товары!A:I,4,0)</f>
        <v>31125</v>
      </c>
      <c r="K2796">
        <f t="shared" si="43"/>
        <v>31125</v>
      </c>
    </row>
    <row r="2797" spans="1:11" hidden="1" x14ac:dyDescent="0.25">
      <c r="A2797">
        <v>2796</v>
      </c>
      <c r="B2797" s="1">
        <v>45753</v>
      </c>
      <c r="C2797" t="s">
        <v>54</v>
      </c>
      <c r="D2797" t="s">
        <v>121</v>
      </c>
      <c r="E2797" t="s">
        <v>13</v>
      </c>
      <c r="F2797">
        <v>1</v>
      </c>
      <c r="G2797" t="str">
        <f>VLOOKUP(D2797,Товары!A:I,3,0)</f>
        <v>Тумба с раковиной  напол. Куба Риф 600 белый 2 двери с умыв. Como</v>
      </c>
      <c r="H2797">
        <f>VLOOKUP(D2797,Товары!A:I,6,0)</f>
        <v>85</v>
      </c>
      <c r="I2797" t="str">
        <f>VLOOKUP(C2797,Магазины!A:C,3,0)</f>
        <v>Ставрополь</v>
      </c>
      <c r="J2797">
        <f>VLOOKUP(D2797,Товары!A:I,4,0)</f>
        <v>13695</v>
      </c>
      <c r="K2797">
        <f t="shared" si="43"/>
        <v>13695</v>
      </c>
    </row>
    <row r="2798" spans="1:11" hidden="1" x14ac:dyDescent="0.25">
      <c r="A2798">
        <v>2797</v>
      </c>
      <c r="B2798" s="1">
        <v>45757</v>
      </c>
      <c r="C2798" t="s">
        <v>22</v>
      </c>
      <c r="D2798" t="s">
        <v>95</v>
      </c>
      <c r="E2798" t="s">
        <v>13</v>
      </c>
      <c r="F2798">
        <v>1</v>
      </c>
      <c r="G2798" t="str">
        <f>VLOOKUP(D2798,Товары!A:I,3,0)</f>
        <v>Тумба с раковиной  напол. Рица 600 антрацит 2 ящика с умыв. Океан</v>
      </c>
      <c r="H2798">
        <f>VLOOKUP(D2798,Товары!A:I,6,0)</f>
        <v>80</v>
      </c>
      <c r="I2798" t="str">
        <f>VLOOKUP(C2798,Магазины!A:C,3,0)</f>
        <v>Кемерово</v>
      </c>
      <c r="J2798">
        <f>VLOOKUP(D2798,Товары!A:I,4,0)</f>
        <v>25560</v>
      </c>
      <c r="K2798">
        <f t="shared" si="43"/>
        <v>25560</v>
      </c>
    </row>
    <row r="2799" spans="1:11" hidden="1" x14ac:dyDescent="0.25">
      <c r="A2799">
        <v>2798</v>
      </c>
      <c r="B2799" s="1">
        <v>45750</v>
      </c>
      <c r="C2799" t="s">
        <v>6</v>
      </c>
      <c r="D2799" t="s">
        <v>37</v>
      </c>
      <c r="E2799" t="s">
        <v>8</v>
      </c>
      <c r="F2799">
        <v>3</v>
      </c>
      <c r="G2799" t="str">
        <f>VLOOKUP(D2799,Товары!A:I,3,0)</f>
        <v>Зеркальный шкаф Сохо 70 белый со светильником правый цвет Белый глянец</v>
      </c>
      <c r="H2799">
        <f>VLOOKUP(D2799,Товары!A:I,6,0)</f>
        <v>75</v>
      </c>
      <c r="I2799" t="str">
        <f>VLOOKUP(C2799,Магазины!A:C,3,0)</f>
        <v>Оренбург</v>
      </c>
      <c r="J2799">
        <f>VLOOKUP(D2799,Товары!A:I,4,0)</f>
        <v>7935</v>
      </c>
      <c r="K2799">
        <f t="shared" si="43"/>
        <v>23805</v>
      </c>
    </row>
    <row r="2800" spans="1:11" hidden="1" x14ac:dyDescent="0.25">
      <c r="A2800">
        <v>2799</v>
      </c>
      <c r="B2800" s="1">
        <v>45750</v>
      </c>
      <c r="C2800" t="s">
        <v>28</v>
      </c>
      <c r="D2800" t="s">
        <v>23</v>
      </c>
      <c r="E2800" t="s">
        <v>8</v>
      </c>
      <c r="F2800">
        <v>3</v>
      </c>
      <c r="G2800" t="str">
        <f>VLOOKUP(D2800,Товары!A:I,3,0)</f>
        <v>Тумба с раковиной  напол. Альба 800 антрацит 2 ящика с умыв. Слим</v>
      </c>
      <c r="H2800">
        <f>VLOOKUP(D2800,Товары!A:I,6,0)</f>
        <v>80</v>
      </c>
      <c r="I2800" t="str">
        <f>VLOOKUP(C2800,Магазины!A:C,3,0)</f>
        <v>Набережные Челны</v>
      </c>
      <c r="J2800">
        <f>VLOOKUP(D2800,Товары!A:I,4,0)</f>
        <v>29340</v>
      </c>
      <c r="K2800">
        <f t="shared" si="43"/>
        <v>88020</v>
      </c>
    </row>
    <row r="2801" spans="1:11" hidden="1" x14ac:dyDescent="0.25">
      <c r="A2801">
        <v>2800</v>
      </c>
      <c r="B2801" s="1">
        <v>45754</v>
      </c>
      <c r="C2801" t="s">
        <v>43</v>
      </c>
      <c r="D2801" t="s">
        <v>70</v>
      </c>
      <c r="E2801" t="s">
        <v>8</v>
      </c>
      <c r="F2801">
        <v>2</v>
      </c>
      <c r="G2801" t="str">
        <f>VLOOKUP(D2801,Товары!A:I,3,0)</f>
        <v>Тумба с раковиной  напол. Кристалл 700 шато азур 2 ящика с умыв. Слим</v>
      </c>
      <c r="H2801">
        <f>VLOOKUP(D2801,Товары!A:I,6,0)</f>
        <v>85</v>
      </c>
      <c r="I2801" t="str">
        <f>VLOOKUP(C2801,Магазины!A:C,3,0)</f>
        <v>Набережные Челны</v>
      </c>
      <c r="J2801">
        <f>VLOOKUP(D2801,Товары!A:I,4,0)</f>
        <v>29910</v>
      </c>
      <c r="K2801">
        <f t="shared" si="43"/>
        <v>59820</v>
      </c>
    </row>
    <row r="2802" spans="1:11" hidden="1" x14ac:dyDescent="0.25">
      <c r="A2802">
        <v>2801</v>
      </c>
      <c r="B2802" s="1">
        <v>45750</v>
      </c>
      <c r="C2802" t="s">
        <v>111</v>
      </c>
      <c r="D2802" t="s">
        <v>84</v>
      </c>
      <c r="E2802" t="s">
        <v>13</v>
      </c>
      <c r="F2802">
        <v>3</v>
      </c>
      <c r="G2802" t="str">
        <f>VLOOKUP(D2802,Товары!A:I,3,0)</f>
        <v>Тумба с раковиной  напол. Куба Риф 800 белый 3 двери с умыв. Слим</v>
      </c>
      <c r="H2802">
        <f>VLOOKUP(D2802,Товары!A:I,6,0)</f>
        <v>85</v>
      </c>
      <c r="I2802" t="str">
        <f>VLOOKUP(C2802,Магазины!A:C,3,0)</f>
        <v>Набережные Челны</v>
      </c>
      <c r="J2802">
        <f>VLOOKUP(D2802,Товары!A:I,4,0)</f>
        <v>19920</v>
      </c>
      <c r="K2802">
        <f t="shared" si="43"/>
        <v>59760</v>
      </c>
    </row>
    <row r="2803" spans="1:11" hidden="1" x14ac:dyDescent="0.25">
      <c r="A2803">
        <v>2802</v>
      </c>
      <c r="B2803" s="1">
        <v>45748</v>
      </c>
      <c r="C2803" t="s">
        <v>41</v>
      </c>
      <c r="D2803" t="s">
        <v>77</v>
      </c>
      <c r="E2803" t="s">
        <v>13</v>
      </c>
      <c r="F2803">
        <v>1</v>
      </c>
      <c r="G2803" t="str">
        <f>VLOOKUP(D2803,Товары!A:I,3,0)</f>
        <v>Тумба с раковиной  напол. Куба Риф 600 белый 2 ящика с умыв. Como</v>
      </c>
      <c r="H2803">
        <f>VLOOKUP(D2803,Товары!A:I,6,0)</f>
        <v>85</v>
      </c>
      <c r="I2803" t="str">
        <f>VLOOKUP(C2803,Магазины!A:C,3,0)</f>
        <v>Ставрополь</v>
      </c>
      <c r="J2803">
        <f>VLOOKUP(D2803,Товары!A:I,4,0)</f>
        <v>15660</v>
      </c>
      <c r="K2803">
        <f t="shared" si="43"/>
        <v>15660</v>
      </c>
    </row>
    <row r="2804" spans="1:11" hidden="1" x14ac:dyDescent="0.25">
      <c r="A2804">
        <v>2803</v>
      </c>
      <c r="B2804" s="1">
        <v>45756</v>
      </c>
      <c r="C2804" t="s">
        <v>35</v>
      </c>
      <c r="D2804" t="s">
        <v>131</v>
      </c>
      <c r="E2804" t="s">
        <v>13</v>
      </c>
      <c r="F2804">
        <v>2</v>
      </c>
      <c r="G2804" t="str">
        <f>VLOOKUP(D2804,Товары!A:I,3,0)</f>
        <v>Тумба с раковиной  напол. Леон 800 форест 2 ящика с умыв. Слим</v>
      </c>
      <c r="H2804">
        <f>VLOOKUP(D2804,Товары!A:I,6,0)</f>
        <v>80</v>
      </c>
      <c r="I2804" t="str">
        <f>VLOOKUP(C2804,Магазины!A:C,3,0)</f>
        <v>Набережные Челны</v>
      </c>
      <c r="J2804">
        <f>VLOOKUP(D2804,Товары!A:I,4,0)</f>
        <v>29400</v>
      </c>
      <c r="K2804">
        <f t="shared" si="43"/>
        <v>58800</v>
      </c>
    </row>
    <row r="2805" spans="1:11" hidden="1" x14ac:dyDescent="0.25">
      <c r="A2805">
        <v>2804</v>
      </c>
      <c r="B2805" s="1">
        <v>45757</v>
      </c>
      <c r="C2805" t="s">
        <v>9</v>
      </c>
      <c r="D2805" t="s">
        <v>97</v>
      </c>
      <c r="E2805" t="s">
        <v>13</v>
      </c>
      <c r="F2805">
        <v>3</v>
      </c>
      <c r="G2805" t="str">
        <f>VLOOKUP(D2805,Товары!A:I,3,0)</f>
        <v>Пенал напол. Кристалл 350 суфле 2 двери</v>
      </c>
      <c r="H2805">
        <f>VLOOKUP(D2805,Товары!A:I,6,0)</f>
        <v>190</v>
      </c>
      <c r="I2805" t="str">
        <f>VLOOKUP(C2805,Магазины!A:C,3,0)</f>
        <v>Кемерово</v>
      </c>
      <c r="J2805">
        <f>VLOOKUP(D2805,Товары!A:I,4,0)</f>
        <v>15810</v>
      </c>
      <c r="K2805">
        <f t="shared" si="43"/>
        <v>47430</v>
      </c>
    </row>
    <row r="2806" spans="1:11" hidden="1" x14ac:dyDescent="0.25">
      <c r="A2806">
        <v>2805</v>
      </c>
      <c r="B2806" s="1">
        <v>45751</v>
      </c>
      <c r="C2806" t="s">
        <v>9</v>
      </c>
      <c r="D2806" t="s">
        <v>12</v>
      </c>
      <c r="E2806" t="s">
        <v>13</v>
      </c>
      <c r="F2806">
        <v>1</v>
      </c>
      <c r="G2806" t="str">
        <f>VLOOKUP(D2806,Товары!A:I,3,0)</f>
        <v>Тумба с раковиной  напол. Сохо 700 белый 2 двери с умыв. Слим</v>
      </c>
      <c r="H2806">
        <f>VLOOKUP(D2806,Товары!A:I,6,0)</f>
        <v>85</v>
      </c>
      <c r="I2806" t="str">
        <f>VLOOKUP(C2806,Магазины!A:C,3,0)</f>
        <v>Кемерово</v>
      </c>
      <c r="J2806">
        <f>VLOOKUP(D2806,Товары!A:I,4,0)</f>
        <v>17160</v>
      </c>
      <c r="K2806">
        <f t="shared" si="43"/>
        <v>17160</v>
      </c>
    </row>
    <row r="2807" spans="1:11" hidden="1" x14ac:dyDescent="0.25">
      <c r="A2807">
        <v>2806</v>
      </c>
      <c r="B2807" s="1">
        <v>45754</v>
      </c>
      <c r="C2807" t="s">
        <v>22</v>
      </c>
      <c r="D2807" t="s">
        <v>36</v>
      </c>
      <c r="E2807" t="s">
        <v>8</v>
      </c>
      <c r="F2807">
        <v>3</v>
      </c>
      <c r="G2807" t="str">
        <f>VLOOKUP(D2807,Товары!A:I,3,0)</f>
        <v>Тумба с раковиной  напол. Альба 800 мята 2 ящика с умыв. Слим</v>
      </c>
      <c r="H2807">
        <f>VLOOKUP(D2807,Товары!A:I,6,0)</f>
        <v>80</v>
      </c>
      <c r="I2807" t="str">
        <f>VLOOKUP(C2807,Магазины!A:C,3,0)</f>
        <v>Кемерово</v>
      </c>
      <c r="J2807">
        <f>VLOOKUP(D2807,Товары!A:I,4,0)</f>
        <v>29340</v>
      </c>
      <c r="K2807">
        <f t="shared" si="43"/>
        <v>88020</v>
      </c>
    </row>
    <row r="2808" spans="1:11" hidden="1" x14ac:dyDescent="0.25">
      <c r="A2808">
        <v>2807</v>
      </c>
      <c r="B2808" s="1">
        <v>45752</v>
      </c>
      <c r="C2808" t="s">
        <v>6</v>
      </c>
      <c r="D2808" t="s">
        <v>76</v>
      </c>
      <c r="E2808" t="s">
        <v>8</v>
      </c>
      <c r="F2808">
        <v>3</v>
      </c>
      <c r="G2808" t="str">
        <f>VLOOKUP(D2808,Товары!A:I,3,0)</f>
        <v>Тумба с раковиной  напол. Леон 600 оникс 2 ящика с умыв. Слим</v>
      </c>
      <c r="H2808">
        <f>VLOOKUP(D2808,Товары!A:I,6,0)</f>
        <v>80</v>
      </c>
      <c r="I2808" t="str">
        <f>VLOOKUP(C2808,Магазины!A:C,3,0)</f>
        <v>Оренбург</v>
      </c>
      <c r="J2808">
        <f>VLOOKUP(D2808,Товары!A:I,4,0)</f>
        <v>25860</v>
      </c>
      <c r="K2808">
        <f t="shared" si="43"/>
        <v>77580</v>
      </c>
    </row>
    <row r="2809" spans="1:11" hidden="1" x14ac:dyDescent="0.25">
      <c r="A2809">
        <v>2808</v>
      </c>
      <c r="B2809" s="1">
        <v>45757</v>
      </c>
      <c r="C2809" t="s">
        <v>111</v>
      </c>
      <c r="D2809" t="s">
        <v>87</v>
      </c>
      <c r="E2809" t="s">
        <v>13</v>
      </c>
      <c r="F2809">
        <v>1</v>
      </c>
      <c r="G2809" t="str">
        <f>VLOOKUP(D2809,Товары!A:I,3,0)</f>
        <v>Тумба с раковиной  напол. Леон 700 форест 2 ящика с умыв. Слим</v>
      </c>
      <c r="H2809">
        <f>VLOOKUP(D2809,Товары!A:I,6,0)</f>
        <v>80</v>
      </c>
      <c r="I2809" t="str">
        <f>VLOOKUP(C2809,Магазины!A:C,3,0)</f>
        <v>Набережные Челны</v>
      </c>
      <c r="J2809">
        <f>VLOOKUP(D2809,Товары!A:I,4,0)</f>
        <v>28380</v>
      </c>
      <c r="K2809">
        <f t="shared" si="43"/>
        <v>28380</v>
      </c>
    </row>
    <row r="2810" spans="1:11" hidden="1" x14ac:dyDescent="0.25">
      <c r="A2810">
        <v>2809</v>
      </c>
      <c r="B2810" s="1">
        <v>45748</v>
      </c>
      <c r="C2810" t="s">
        <v>20</v>
      </c>
      <c r="D2810" t="s">
        <v>115</v>
      </c>
      <c r="E2810" t="s">
        <v>13</v>
      </c>
      <c r="F2810">
        <v>3</v>
      </c>
      <c r="G2810" t="str">
        <f>VLOOKUP(D2810,Товары!A:I,3,0)</f>
        <v>Тумба под стиральную машину Куба Риф 57 напольная 2 ящика под ст/маш, без умывальника /под Marshall 120 Белый</v>
      </c>
      <c r="H2810">
        <f>VLOOKUP(D2810,Товары!A:I,6,0)</f>
        <v>85</v>
      </c>
      <c r="I2810" t="str">
        <f>VLOOKUP(C2810,Магазины!A:C,3,0)</f>
        <v>Оренбург</v>
      </c>
      <c r="J2810">
        <f>VLOOKUP(D2810,Товары!A:I,4,0)</f>
        <v>10530</v>
      </c>
      <c r="K2810">
        <f t="shared" si="43"/>
        <v>31590</v>
      </c>
    </row>
    <row r="2811" spans="1:11" hidden="1" x14ac:dyDescent="0.25">
      <c r="A2811">
        <v>2810</v>
      </c>
      <c r="B2811" s="1">
        <v>45749</v>
      </c>
      <c r="C2811" t="s">
        <v>18</v>
      </c>
      <c r="D2811" t="s">
        <v>73</v>
      </c>
      <c r="E2811" t="s">
        <v>13</v>
      </c>
      <c r="F2811">
        <v>2</v>
      </c>
      <c r="G2811" t="str">
        <f>VLOOKUP(D2811,Товары!A:I,3,0)</f>
        <v>Зеркальный шкаф Альба 70 со светильником правый цвет антрацит</v>
      </c>
      <c r="H2811">
        <f>VLOOKUP(D2811,Товары!A:I,6,0)</f>
        <v>75</v>
      </c>
      <c r="I2811" t="str">
        <f>VLOOKUP(C2811,Магазины!A:C,3,0)</f>
        <v>Набережные Челны</v>
      </c>
      <c r="J2811">
        <f>VLOOKUP(D2811,Товары!A:I,4,0)</f>
        <v>9615</v>
      </c>
      <c r="K2811">
        <f t="shared" si="43"/>
        <v>19230</v>
      </c>
    </row>
    <row r="2812" spans="1:11" hidden="1" x14ac:dyDescent="0.25">
      <c r="A2812">
        <v>2811</v>
      </c>
      <c r="B2812" s="1">
        <v>45752</v>
      </c>
      <c r="C2812" t="s">
        <v>20</v>
      </c>
      <c r="D2812" t="s">
        <v>77</v>
      </c>
      <c r="E2812" t="s">
        <v>8</v>
      </c>
      <c r="F2812">
        <v>1</v>
      </c>
      <c r="G2812" t="str">
        <f>VLOOKUP(D2812,Товары!A:I,3,0)</f>
        <v>Тумба с раковиной  напол. Куба Риф 600 белый 2 ящика с умыв. Como</v>
      </c>
      <c r="H2812">
        <f>VLOOKUP(D2812,Товары!A:I,6,0)</f>
        <v>85</v>
      </c>
      <c r="I2812" t="str">
        <f>VLOOKUP(C2812,Магазины!A:C,3,0)</f>
        <v>Оренбург</v>
      </c>
      <c r="J2812">
        <f>VLOOKUP(D2812,Товары!A:I,4,0)</f>
        <v>15660</v>
      </c>
      <c r="K2812">
        <f t="shared" si="43"/>
        <v>15660</v>
      </c>
    </row>
    <row r="2813" spans="1:11" hidden="1" x14ac:dyDescent="0.25">
      <c r="A2813">
        <v>2812</v>
      </c>
      <c r="B2813" s="1">
        <v>45753</v>
      </c>
      <c r="C2813" t="s">
        <v>30</v>
      </c>
      <c r="D2813" t="s">
        <v>100</v>
      </c>
      <c r="E2813" t="s">
        <v>13</v>
      </c>
      <c r="F2813">
        <v>3</v>
      </c>
      <c r="G2813" t="str">
        <f>VLOOKUP(D2813,Товары!A:I,3,0)</f>
        <v>Тумба с раковиной  навес. Альба 800 мята 1 ящик с умыв. Слим</v>
      </c>
      <c r="H2813">
        <f>VLOOKUP(D2813,Товары!A:I,6,0)</f>
        <v>45</v>
      </c>
      <c r="I2813" t="str">
        <f>VLOOKUP(C2813,Магазины!A:C,3,0)</f>
        <v>Кемерово</v>
      </c>
      <c r="J2813">
        <f>VLOOKUP(D2813,Товары!A:I,4,0)</f>
        <v>21630</v>
      </c>
      <c r="K2813">
        <f t="shared" si="43"/>
        <v>64890</v>
      </c>
    </row>
    <row r="2814" spans="1:11" hidden="1" x14ac:dyDescent="0.25">
      <c r="A2814">
        <v>2813</v>
      </c>
      <c r="B2814" s="1">
        <v>45751</v>
      </c>
      <c r="C2814" t="s">
        <v>14</v>
      </c>
      <c r="D2814" t="s">
        <v>101</v>
      </c>
      <c r="E2814" t="s">
        <v>8</v>
      </c>
      <c r="F2814">
        <v>2</v>
      </c>
      <c r="G2814" t="str">
        <f>VLOOKUP(D2814,Товары!A:I,3,0)</f>
        <v>Пенал напол. Сохо 400 белый 2 двери + 1 ящик</v>
      </c>
      <c r="H2814">
        <f>VLOOKUP(D2814,Товары!A:I,6,0)</f>
        <v>190</v>
      </c>
      <c r="I2814" t="str">
        <f>VLOOKUP(C2814,Магазины!A:C,3,0)</f>
        <v>Оренбург</v>
      </c>
      <c r="J2814">
        <f>VLOOKUP(D2814,Товары!A:I,4,0)</f>
        <v>11040</v>
      </c>
      <c r="K2814">
        <f t="shared" si="43"/>
        <v>22080</v>
      </c>
    </row>
    <row r="2815" spans="1:11" hidden="1" x14ac:dyDescent="0.25">
      <c r="A2815">
        <v>2814</v>
      </c>
      <c r="B2815" s="1">
        <v>45754</v>
      </c>
      <c r="C2815" t="s">
        <v>41</v>
      </c>
      <c r="D2815" t="s">
        <v>120</v>
      </c>
      <c r="E2815" t="s">
        <v>8</v>
      </c>
      <c r="F2815">
        <v>2</v>
      </c>
      <c r="G2815" t="str">
        <f>VLOOKUP(D2815,Товары!A:I,3,0)</f>
        <v>Зеркальный шкаф Альба 60 со светильником правый цвет антрацит</v>
      </c>
      <c r="H2815">
        <f>VLOOKUP(D2815,Товары!A:I,6,0)</f>
        <v>75</v>
      </c>
      <c r="I2815" t="str">
        <f>VLOOKUP(C2815,Магазины!A:C,3,0)</f>
        <v>Ставрополь</v>
      </c>
      <c r="J2815">
        <f>VLOOKUP(D2815,Товары!A:I,4,0)</f>
        <v>8910</v>
      </c>
      <c r="K2815">
        <f t="shared" si="43"/>
        <v>17820</v>
      </c>
    </row>
    <row r="2816" spans="1:11" hidden="1" x14ac:dyDescent="0.25">
      <c r="A2816">
        <v>2815</v>
      </c>
      <c r="B2816" s="1">
        <v>45750</v>
      </c>
      <c r="C2816" t="s">
        <v>6</v>
      </c>
      <c r="D2816" t="s">
        <v>128</v>
      </c>
      <c r="E2816" t="s">
        <v>8</v>
      </c>
      <c r="F2816">
        <v>3</v>
      </c>
      <c r="G2816" t="str">
        <f>VLOOKUP(D2816,Товары!A:I,3,0)</f>
        <v>Тумба с раковиной  напол. Куба Риф 1000 белый 2 ящика с умыв. Слим</v>
      </c>
      <c r="H2816">
        <f>VLOOKUP(D2816,Товары!A:I,6,0)</f>
        <v>85</v>
      </c>
      <c r="I2816" t="str">
        <f>VLOOKUP(C2816,Магазины!A:C,3,0)</f>
        <v>Оренбург</v>
      </c>
      <c r="J2816">
        <f>VLOOKUP(D2816,Товары!A:I,4,0)</f>
        <v>22905</v>
      </c>
      <c r="K2816">
        <f t="shared" si="43"/>
        <v>68715</v>
      </c>
    </row>
    <row r="2817" spans="1:11" hidden="1" x14ac:dyDescent="0.25">
      <c r="A2817">
        <v>2816</v>
      </c>
      <c r="B2817" s="1">
        <v>45756</v>
      </c>
      <c r="C2817" t="s">
        <v>92</v>
      </c>
      <c r="D2817" t="s">
        <v>71</v>
      </c>
      <c r="E2817" t="s">
        <v>8</v>
      </c>
      <c r="F2817">
        <v>1</v>
      </c>
      <c r="G2817" t="str">
        <f>VLOOKUP(D2817,Товары!A:I,3,0)</f>
        <v>Тумба с раковиной  навес. Альба 600 мята 2 ящика с умыв. Океан</v>
      </c>
      <c r="H2817">
        <f>VLOOKUP(D2817,Товары!A:I,6,0)</f>
        <v>50</v>
      </c>
      <c r="I2817" t="str">
        <f>VLOOKUP(C2817,Магазины!A:C,3,0)</f>
        <v>Кемерово</v>
      </c>
      <c r="J2817">
        <f>VLOOKUP(D2817,Товары!A:I,4,0)</f>
        <v>24810</v>
      </c>
      <c r="K2817">
        <f t="shared" si="43"/>
        <v>24810</v>
      </c>
    </row>
    <row r="2818" spans="1:11" hidden="1" x14ac:dyDescent="0.25">
      <c r="A2818">
        <v>2817</v>
      </c>
      <c r="B2818" s="1">
        <v>45754</v>
      </c>
      <c r="C2818" t="s">
        <v>11</v>
      </c>
      <c r="D2818" t="s">
        <v>119</v>
      </c>
      <c r="E2818" t="s">
        <v>8</v>
      </c>
      <c r="F2818">
        <v>3</v>
      </c>
      <c r="G2818" t="str">
        <f>VLOOKUP(D2818,Товары!A:I,3,0)</f>
        <v>Пенал навес./напол. Рица 350 cерый/керамика 2 двери</v>
      </c>
      <c r="H2818">
        <f>VLOOKUP(D2818,Товары!A:I,6,0)</f>
        <v>160</v>
      </c>
      <c r="I2818" t="str">
        <f>VLOOKUP(C2818,Магазины!A:C,3,0)</f>
        <v>Кемерово</v>
      </c>
      <c r="J2818">
        <f>VLOOKUP(D2818,Товары!A:I,4,0)</f>
        <v>11250</v>
      </c>
      <c r="K2818">
        <f t="shared" si="43"/>
        <v>33750</v>
      </c>
    </row>
    <row r="2819" spans="1:11" hidden="1" x14ac:dyDescent="0.25">
      <c r="A2819">
        <v>2818</v>
      </c>
      <c r="B2819" s="1">
        <v>45755</v>
      </c>
      <c r="C2819" t="s">
        <v>92</v>
      </c>
      <c r="D2819" t="s">
        <v>42</v>
      </c>
      <c r="E2819" t="s">
        <v>8</v>
      </c>
      <c r="F2819">
        <v>2</v>
      </c>
      <c r="G2819" t="str">
        <f>VLOOKUP(D2819,Товары!A:I,3,0)</f>
        <v>Тумба под стиральную машину Леон Риф 57 подвесная 2 ящика под ст/маш, без умывальника /под Marshall 120 Солярис/Белый Риф</v>
      </c>
      <c r="H2819">
        <f>VLOOKUP(D2819,Товары!A:I,6,0)</f>
        <v>60</v>
      </c>
      <c r="I2819" t="str">
        <f>VLOOKUP(C2819,Магазины!A:C,3,0)</f>
        <v>Кемерово</v>
      </c>
      <c r="J2819">
        <f>VLOOKUP(D2819,Товары!A:I,4,0)</f>
        <v>15495</v>
      </c>
      <c r="K2819">
        <f t="shared" ref="K2819:K2882" si="44">J2819*F2819</f>
        <v>30990</v>
      </c>
    </row>
    <row r="2820" spans="1:11" hidden="1" x14ac:dyDescent="0.25">
      <c r="A2820">
        <v>2819</v>
      </c>
      <c r="B2820" s="1">
        <v>45754</v>
      </c>
      <c r="C2820" t="s">
        <v>92</v>
      </c>
      <c r="D2820" t="s">
        <v>94</v>
      </c>
      <c r="E2820" t="s">
        <v>13</v>
      </c>
      <c r="F2820">
        <v>1</v>
      </c>
      <c r="G2820" t="str">
        <f>VLOOKUP(D2820,Товары!A:I,3,0)</f>
        <v>Зеркальный шкаф Альба 80 со светильником правый цвет антрацит</v>
      </c>
      <c r="H2820">
        <f>VLOOKUP(D2820,Товары!A:I,6,0)</f>
        <v>75</v>
      </c>
      <c r="I2820" t="str">
        <f>VLOOKUP(C2820,Магазины!A:C,3,0)</f>
        <v>Кемерово</v>
      </c>
      <c r="J2820">
        <f>VLOOKUP(D2820,Товары!A:I,4,0)</f>
        <v>9930</v>
      </c>
      <c r="K2820">
        <f t="shared" si="44"/>
        <v>9930</v>
      </c>
    </row>
    <row r="2821" spans="1:11" hidden="1" x14ac:dyDescent="0.25">
      <c r="A2821">
        <v>2820</v>
      </c>
      <c r="B2821" s="1">
        <v>45753</v>
      </c>
      <c r="C2821" t="s">
        <v>35</v>
      </c>
      <c r="D2821" t="s">
        <v>80</v>
      </c>
      <c r="E2821" t="s">
        <v>13</v>
      </c>
      <c r="F2821">
        <v>2</v>
      </c>
      <c r="G2821" t="str">
        <f>VLOOKUP(D2821,Товары!A:I,3,0)</f>
        <v>Тумба с раковиной  навес. Сохо 600 белый 2 ящика с умыв. Океан</v>
      </c>
      <c r="H2821">
        <f>VLOOKUP(D2821,Товары!A:I,6,0)</f>
        <v>55</v>
      </c>
      <c r="I2821" t="str">
        <f>VLOOKUP(C2821,Магазины!A:C,3,0)</f>
        <v>Набережные Челны</v>
      </c>
      <c r="J2821">
        <f>VLOOKUP(D2821,Товары!A:I,4,0)</f>
        <v>13950</v>
      </c>
      <c r="K2821">
        <f t="shared" si="44"/>
        <v>27900</v>
      </c>
    </row>
    <row r="2822" spans="1:11" hidden="1" x14ac:dyDescent="0.25">
      <c r="A2822">
        <v>2821</v>
      </c>
      <c r="B2822" s="1">
        <v>45750</v>
      </c>
      <c r="C2822" t="s">
        <v>30</v>
      </c>
      <c r="D2822" t="s">
        <v>130</v>
      </c>
      <c r="E2822" t="s">
        <v>8</v>
      </c>
      <c r="F2822">
        <v>2</v>
      </c>
      <c r="G2822" t="str">
        <f>VLOOKUP(D2822,Товары!A:I,3,0)</f>
        <v>Пенал напол. Леон 400 форест 2 двери + 1 ящик</v>
      </c>
      <c r="H2822">
        <f>VLOOKUP(D2822,Товары!A:I,6,0)</f>
        <v>190</v>
      </c>
      <c r="I2822" t="str">
        <f>VLOOKUP(C2822,Магазины!A:C,3,0)</f>
        <v>Кемерово</v>
      </c>
      <c r="J2822">
        <f>VLOOKUP(D2822,Товары!A:I,4,0)</f>
        <v>18450</v>
      </c>
      <c r="K2822">
        <f t="shared" si="44"/>
        <v>36900</v>
      </c>
    </row>
    <row r="2823" spans="1:11" hidden="1" x14ac:dyDescent="0.25">
      <c r="A2823">
        <v>2822</v>
      </c>
      <c r="B2823" s="1">
        <v>45755</v>
      </c>
      <c r="C2823" t="s">
        <v>41</v>
      </c>
      <c r="D2823" t="s">
        <v>131</v>
      </c>
      <c r="E2823" t="s">
        <v>8</v>
      </c>
      <c r="F2823">
        <v>2</v>
      </c>
      <c r="G2823" t="str">
        <f>VLOOKUP(D2823,Товары!A:I,3,0)</f>
        <v>Тумба с раковиной  напол. Леон 800 форест 2 ящика с умыв. Слим</v>
      </c>
      <c r="H2823">
        <f>VLOOKUP(D2823,Товары!A:I,6,0)</f>
        <v>80</v>
      </c>
      <c r="I2823" t="str">
        <f>VLOOKUP(C2823,Магазины!A:C,3,0)</f>
        <v>Ставрополь</v>
      </c>
      <c r="J2823">
        <f>VLOOKUP(D2823,Товары!A:I,4,0)</f>
        <v>29400</v>
      </c>
      <c r="K2823">
        <f t="shared" si="44"/>
        <v>58800</v>
      </c>
    </row>
    <row r="2824" spans="1:11" hidden="1" x14ac:dyDescent="0.25">
      <c r="A2824">
        <v>2823</v>
      </c>
      <c r="B2824" s="1">
        <v>45748</v>
      </c>
      <c r="C2824" t="s">
        <v>92</v>
      </c>
      <c r="D2824" t="s">
        <v>127</v>
      </c>
      <c r="E2824" t="s">
        <v>8</v>
      </c>
      <c r="F2824">
        <v>1</v>
      </c>
      <c r="G2824" t="str">
        <f>VLOOKUP(D2824,Товары!A:I,3,0)</f>
        <v>Тумба с раковиной  навес. Альба 700 мята 1 ящик с умыв. Слим</v>
      </c>
      <c r="H2824">
        <f>VLOOKUP(D2824,Товары!A:I,6,0)</f>
        <v>45</v>
      </c>
      <c r="I2824" t="str">
        <f>VLOOKUP(C2824,Магазины!A:C,3,0)</f>
        <v>Кемерово</v>
      </c>
      <c r="J2824">
        <f>VLOOKUP(D2824,Товары!A:I,4,0)</f>
        <v>20130</v>
      </c>
      <c r="K2824">
        <f t="shared" si="44"/>
        <v>20130</v>
      </c>
    </row>
    <row r="2825" spans="1:11" hidden="1" x14ac:dyDescent="0.25">
      <c r="A2825">
        <v>2824</v>
      </c>
      <c r="B2825" s="1">
        <v>45750</v>
      </c>
      <c r="C2825" t="s">
        <v>18</v>
      </c>
      <c r="D2825" t="s">
        <v>130</v>
      </c>
      <c r="E2825" t="s">
        <v>8</v>
      </c>
      <c r="F2825">
        <v>1</v>
      </c>
      <c r="G2825" t="str">
        <f>VLOOKUP(D2825,Товары!A:I,3,0)</f>
        <v>Пенал напол. Леон 400 форест 2 двери + 1 ящик</v>
      </c>
      <c r="H2825">
        <f>VLOOKUP(D2825,Товары!A:I,6,0)</f>
        <v>190</v>
      </c>
      <c r="I2825" t="str">
        <f>VLOOKUP(C2825,Магазины!A:C,3,0)</f>
        <v>Набережные Челны</v>
      </c>
      <c r="J2825">
        <f>VLOOKUP(D2825,Товары!A:I,4,0)</f>
        <v>18450</v>
      </c>
      <c r="K2825">
        <f t="shared" si="44"/>
        <v>18450</v>
      </c>
    </row>
    <row r="2826" spans="1:11" hidden="1" x14ac:dyDescent="0.25">
      <c r="A2826">
        <v>2825</v>
      </c>
      <c r="B2826" s="1">
        <v>45750</v>
      </c>
      <c r="C2826" t="s">
        <v>33</v>
      </c>
      <c r="D2826" t="s">
        <v>108</v>
      </c>
      <c r="E2826" t="s">
        <v>8</v>
      </c>
      <c r="F2826">
        <v>1</v>
      </c>
      <c r="G2826" t="str">
        <f>VLOOKUP(D2826,Товары!A:I,3,0)</f>
        <v>Тумба с раковиной  навес. Виктория 1000 белый 2 ящика с умыв. Слим</v>
      </c>
      <c r="H2826">
        <f>VLOOKUP(D2826,Товары!A:I,6,0)</f>
        <v>60</v>
      </c>
      <c r="I2826" t="str">
        <f>VLOOKUP(C2826,Магазины!A:C,3,0)</f>
        <v>Набережные Челны</v>
      </c>
      <c r="J2826">
        <f>VLOOKUP(D2826,Товары!A:I,4,0)</f>
        <v>29205</v>
      </c>
      <c r="K2826">
        <f t="shared" si="44"/>
        <v>29205</v>
      </c>
    </row>
    <row r="2827" spans="1:11" hidden="1" x14ac:dyDescent="0.25">
      <c r="A2827">
        <v>2826</v>
      </c>
      <c r="B2827" s="1">
        <v>45749</v>
      </c>
      <c r="C2827" t="s">
        <v>103</v>
      </c>
      <c r="D2827" t="s">
        <v>53</v>
      </c>
      <c r="E2827" t="s">
        <v>13</v>
      </c>
      <c r="F2827">
        <v>2</v>
      </c>
      <c r="G2827" t="str">
        <f>VLOOKUP(D2827,Товары!A:I,3,0)</f>
        <v>Тумба с раковиной  напол. Кристалл 600 шато азур 2 ящика с умыв. Океан</v>
      </c>
      <c r="H2827">
        <f>VLOOKUP(D2827,Товары!A:I,6,0)</f>
        <v>85</v>
      </c>
      <c r="I2827" t="str">
        <f>VLOOKUP(C2827,Магазины!A:C,3,0)</f>
        <v>Ставрополь</v>
      </c>
      <c r="J2827">
        <f>VLOOKUP(D2827,Товары!A:I,4,0)</f>
        <v>27600</v>
      </c>
      <c r="K2827">
        <f t="shared" si="44"/>
        <v>55200</v>
      </c>
    </row>
    <row r="2828" spans="1:11" hidden="1" x14ac:dyDescent="0.25">
      <c r="A2828">
        <v>2827</v>
      </c>
      <c r="B2828" s="1">
        <v>45752</v>
      </c>
      <c r="C2828" t="s">
        <v>63</v>
      </c>
      <c r="D2828" t="s">
        <v>69</v>
      </c>
      <c r="E2828" t="s">
        <v>13</v>
      </c>
      <c r="F2828">
        <v>1</v>
      </c>
      <c r="G2828" t="str">
        <f>VLOOKUP(D2828,Товары!A:I,3,0)</f>
        <v>Пенал навес./напол. Альба 350 антрацит 2 двери</v>
      </c>
      <c r="H2828">
        <f>VLOOKUP(D2828,Товары!A:I,6,0)</f>
        <v>150</v>
      </c>
      <c r="I2828" t="str">
        <f>VLOOKUP(C2828,Магазины!A:C,3,0)</f>
        <v>Ставрополь</v>
      </c>
      <c r="J2828">
        <f>VLOOKUP(D2828,Товары!A:I,4,0)</f>
        <v>11655</v>
      </c>
      <c r="K2828">
        <f t="shared" si="44"/>
        <v>11655</v>
      </c>
    </row>
    <row r="2829" spans="1:11" hidden="1" x14ac:dyDescent="0.25">
      <c r="A2829">
        <v>2828</v>
      </c>
      <c r="B2829" s="1">
        <v>45749</v>
      </c>
      <c r="C2829" t="s">
        <v>92</v>
      </c>
      <c r="D2829" t="s">
        <v>39</v>
      </c>
      <c r="E2829" t="s">
        <v>8</v>
      </c>
      <c r="F2829">
        <v>1</v>
      </c>
      <c r="G2829" t="str">
        <f>VLOOKUP(D2829,Товары!A:I,3,0)</f>
        <v>Тумба с раковиной  напол. Альба 700 мята 2 ящика с умыв. Слим</v>
      </c>
      <c r="H2829">
        <f>VLOOKUP(D2829,Товары!A:I,6,0)</f>
        <v>85</v>
      </c>
      <c r="I2829" t="str">
        <f>VLOOKUP(C2829,Магазины!A:C,3,0)</f>
        <v>Кемерово</v>
      </c>
      <c r="J2829">
        <f>VLOOKUP(D2829,Товары!A:I,4,0)</f>
        <v>28695</v>
      </c>
      <c r="K2829">
        <f t="shared" si="44"/>
        <v>28695</v>
      </c>
    </row>
    <row r="2830" spans="1:11" hidden="1" x14ac:dyDescent="0.25">
      <c r="A2830">
        <v>2829</v>
      </c>
      <c r="B2830" s="1">
        <v>45755</v>
      </c>
      <c r="C2830" t="s">
        <v>48</v>
      </c>
      <c r="D2830" t="s">
        <v>93</v>
      </c>
      <c r="E2830" t="s">
        <v>8</v>
      </c>
      <c r="F2830">
        <v>1</v>
      </c>
      <c r="G2830" t="str">
        <f>VLOOKUP(D2830,Товары!A:I,3,0)</f>
        <v>Тумба с раковиной  напол. Леон Риф 800 солярис/белый риф 2 ящика с умыв. Слим</v>
      </c>
      <c r="H2830">
        <f>VLOOKUP(D2830,Товары!A:I,6,0)</f>
        <v>80</v>
      </c>
      <c r="I2830" t="str">
        <f>VLOOKUP(C2830,Магазины!A:C,3,0)</f>
        <v>Ставрополь</v>
      </c>
      <c r="J2830">
        <f>VLOOKUP(D2830,Товары!A:I,4,0)</f>
        <v>29340</v>
      </c>
      <c r="K2830">
        <f t="shared" si="44"/>
        <v>29340</v>
      </c>
    </row>
    <row r="2831" spans="1:11" hidden="1" x14ac:dyDescent="0.25">
      <c r="A2831">
        <v>2830</v>
      </c>
      <c r="B2831" s="1">
        <v>45756</v>
      </c>
      <c r="C2831" t="s">
        <v>43</v>
      </c>
      <c r="D2831" t="s">
        <v>104</v>
      </c>
      <c r="E2831" t="s">
        <v>8</v>
      </c>
      <c r="F2831">
        <v>3</v>
      </c>
      <c r="G2831" t="str">
        <f>VLOOKUP(D2831,Товары!A:I,3,0)</f>
        <v>Тумба под стиральную машину Куба Риф 57 подвесная 2 ящика под ст/маш, без умывальника /под Marshall 120 Белый</v>
      </c>
      <c r="H2831">
        <f>VLOOKUP(D2831,Товары!A:I,6,0)</f>
        <v>50</v>
      </c>
      <c r="I2831" t="str">
        <f>VLOOKUP(C2831,Магазины!A:C,3,0)</f>
        <v>Набережные Челны</v>
      </c>
      <c r="J2831">
        <f>VLOOKUP(D2831,Товары!A:I,4,0)</f>
        <v>8505</v>
      </c>
      <c r="K2831">
        <f t="shared" si="44"/>
        <v>25515</v>
      </c>
    </row>
    <row r="2832" spans="1:11" hidden="1" x14ac:dyDescent="0.25">
      <c r="A2832">
        <v>2831</v>
      </c>
      <c r="B2832" s="1">
        <v>45754</v>
      </c>
      <c r="C2832" t="s">
        <v>111</v>
      </c>
      <c r="D2832" t="s">
        <v>98</v>
      </c>
      <c r="E2832" t="s">
        <v>13</v>
      </c>
      <c r="F2832">
        <v>3</v>
      </c>
      <c r="G2832" t="str">
        <f>VLOOKUP(D2832,Товары!A:I,3,0)</f>
        <v>Тумба с раковиной  напол. Рица 800 cерый/керамика 2 ящика с умыв. Слим</v>
      </c>
      <c r="H2832">
        <f>VLOOKUP(D2832,Товары!A:I,6,0)</f>
        <v>80</v>
      </c>
      <c r="I2832" t="str">
        <f>VLOOKUP(C2832,Магазины!A:C,3,0)</f>
        <v>Набережные Челны</v>
      </c>
      <c r="J2832">
        <f>VLOOKUP(D2832,Товары!A:I,4,0)</f>
        <v>28980</v>
      </c>
      <c r="K2832">
        <f t="shared" si="44"/>
        <v>86940</v>
      </c>
    </row>
    <row r="2833" spans="1:11" hidden="1" x14ac:dyDescent="0.25">
      <c r="A2833">
        <v>2832</v>
      </c>
      <c r="B2833" s="1">
        <v>45748</v>
      </c>
      <c r="C2833" t="s">
        <v>57</v>
      </c>
      <c r="D2833" t="s">
        <v>29</v>
      </c>
      <c r="E2833" t="s">
        <v>13</v>
      </c>
      <c r="F2833">
        <v>2</v>
      </c>
      <c r="G2833" t="str">
        <f>VLOOKUP(D2833,Товары!A:I,3,0)</f>
        <v>Тумба с раковиной  напол. Леон Риф 600 солярис/белый риф 2 ящика с умыв. Океан</v>
      </c>
      <c r="H2833">
        <f>VLOOKUP(D2833,Товары!A:I,6,0)</f>
        <v>80</v>
      </c>
      <c r="I2833" t="str">
        <f>VLOOKUP(C2833,Магазины!A:C,3,0)</f>
        <v>Оренбург</v>
      </c>
      <c r="J2833">
        <f>VLOOKUP(D2833,Товары!A:I,4,0)</f>
        <v>24150</v>
      </c>
      <c r="K2833">
        <f t="shared" si="44"/>
        <v>48300</v>
      </c>
    </row>
    <row r="2834" spans="1:11" hidden="1" x14ac:dyDescent="0.25">
      <c r="A2834">
        <v>2833</v>
      </c>
      <c r="B2834" s="1">
        <v>45749</v>
      </c>
      <c r="C2834" t="s">
        <v>14</v>
      </c>
      <c r="D2834" t="s">
        <v>29</v>
      </c>
      <c r="E2834" t="s">
        <v>8</v>
      </c>
      <c r="F2834">
        <v>1</v>
      </c>
      <c r="G2834" t="str">
        <f>VLOOKUP(D2834,Товары!A:I,3,0)</f>
        <v>Тумба с раковиной  напол. Леон Риф 600 солярис/белый риф 2 ящика с умыв. Океан</v>
      </c>
      <c r="H2834">
        <f>VLOOKUP(D2834,Товары!A:I,6,0)</f>
        <v>80</v>
      </c>
      <c r="I2834" t="str">
        <f>VLOOKUP(C2834,Магазины!A:C,3,0)</f>
        <v>Оренбург</v>
      </c>
      <c r="J2834">
        <f>VLOOKUP(D2834,Товары!A:I,4,0)</f>
        <v>24150</v>
      </c>
      <c r="K2834">
        <f t="shared" si="44"/>
        <v>24150</v>
      </c>
    </row>
    <row r="2835" spans="1:11" hidden="1" x14ac:dyDescent="0.25">
      <c r="A2835">
        <v>2834</v>
      </c>
      <c r="B2835" s="1">
        <v>45749</v>
      </c>
      <c r="C2835" t="s">
        <v>35</v>
      </c>
      <c r="D2835" t="s">
        <v>113</v>
      </c>
      <c r="E2835" t="s">
        <v>8</v>
      </c>
      <c r="F2835">
        <v>1</v>
      </c>
      <c r="G2835" t="str">
        <f>VLOOKUP(D2835,Товары!A:I,3,0)</f>
        <v>Зеркальный шкаф Альба 60 со светильником правый цвет мята</v>
      </c>
      <c r="H2835">
        <f>VLOOKUP(D2835,Товары!A:I,6,0)</f>
        <v>75</v>
      </c>
      <c r="I2835" t="str">
        <f>VLOOKUP(C2835,Магазины!A:C,3,0)</f>
        <v>Набережные Челны</v>
      </c>
      <c r="J2835">
        <f>VLOOKUP(D2835,Товары!A:I,4,0)</f>
        <v>8910</v>
      </c>
      <c r="K2835">
        <f t="shared" si="44"/>
        <v>8910</v>
      </c>
    </row>
    <row r="2836" spans="1:11" hidden="1" x14ac:dyDescent="0.25">
      <c r="A2836">
        <v>2835</v>
      </c>
      <c r="B2836" s="1">
        <v>45751</v>
      </c>
      <c r="C2836" t="s">
        <v>22</v>
      </c>
      <c r="D2836" t="s">
        <v>42</v>
      </c>
      <c r="E2836" t="s">
        <v>8</v>
      </c>
      <c r="F2836">
        <v>3</v>
      </c>
      <c r="G2836" t="str">
        <f>VLOOKUP(D2836,Товары!A:I,3,0)</f>
        <v>Тумба под стиральную машину Леон Риф 57 подвесная 2 ящика под ст/маш, без умывальника /под Marshall 120 Солярис/Белый Риф</v>
      </c>
      <c r="H2836">
        <f>VLOOKUP(D2836,Товары!A:I,6,0)</f>
        <v>60</v>
      </c>
      <c r="I2836" t="str">
        <f>VLOOKUP(C2836,Магазины!A:C,3,0)</f>
        <v>Кемерово</v>
      </c>
      <c r="J2836">
        <f>VLOOKUP(D2836,Товары!A:I,4,0)</f>
        <v>15495</v>
      </c>
      <c r="K2836">
        <f t="shared" si="44"/>
        <v>46485</v>
      </c>
    </row>
    <row r="2837" spans="1:11" hidden="1" x14ac:dyDescent="0.25">
      <c r="A2837">
        <v>2836</v>
      </c>
      <c r="B2837" s="1">
        <v>45756</v>
      </c>
      <c r="C2837" t="s">
        <v>57</v>
      </c>
      <c r="D2837" t="s">
        <v>50</v>
      </c>
      <c r="E2837" t="s">
        <v>13</v>
      </c>
      <c r="F2837">
        <v>3</v>
      </c>
      <c r="G2837" t="str">
        <f>VLOOKUP(D2837,Товары!A:I,3,0)</f>
        <v>Тумба с раковиной  напол. Леон 800 оникс 2 ящика с умыв. Слим</v>
      </c>
      <c r="H2837">
        <f>VLOOKUP(D2837,Товары!A:I,6,0)</f>
        <v>80</v>
      </c>
      <c r="I2837" t="str">
        <f>VLOOKUP(C2837,Магазины!A:C,3,0)</f>
        <v>Оренбург</v>
      </c>
      <c r="J2837">
        <f>VLOOKUP(D2837,Товары!A:I,4,0)</f>
        <v>29400</v>
      </c>
      <c r="K2837">
        <f t="shared" si="44"/>
        <v>88200</v>
      </c>
    </row>
    <row r="2838" spans="1:11" hidden="1" x14ac:dyDescent="0.25">
      <c r="A2838">
        <v>2837</v>
      </c>
      <c r="B2838" s="1">
        <v>45752</v>
      </c>
      <c r="C2838" t="s">
        <v>41</v>
      </c>
      <c r="D2838" t="s">
        <v>7</v>
      </c>
      <c r="E2838" t="s">
        <v>8</v>
      </c>
      <c r="F2838">
        <v>2</v>
      </c>
      <c r="G2838" t="str">
        <f>VLOOKUP(D2838,Товары!A:I,3,0)</f>
        <v>Пенал напол. Леон Риф 400 солярис/белый риф 2 двери + 1 ящик</v>
      </c>
      <c r="H2838">
        <f>VLOOKUP(D2838,Товары!A:I,6,0)</f>
        <v>190</v>
      </c>
      <c r="I2838" t="str">
        <f>VLOOKUP(C2838,Магазины!A:C,3,0)</f>
        <v>Ставрополь</v>
      </c>
      <c r="J2838">
        <f>VLOOKUP(D2838,Товары!A:I,4,0)</f>
        <v>14490</v>
      </c>
      <c r="K2838">
        <f t="shared" si="44"/>
        <v>28980</v>
      </c>
    </row>
    <row r="2839" spans="1:11" hidden="1" x14ac:dyDescent="0.25">
      <c r="A2839">
        <v>2838</v>
      </c>
      <c r="B2839" s="1">
        <v>45749</v>
      </c>
      <c r="C2839" t="s">
        <v>30</v>
      </c>
      <c r="D2839" t="s">
        <v>47</v>
      </c>
      <c r="E2839" t="s">
        <v>13</v>
      </c>
      <c r="F2839">
        <v>2</v>
      </c>
      <c r="G2839" t="str">
        <f>VLOOKUP(D2839,Товары!A:I,3,0)</f>
        <v>Пенал напол. Кристалл 350 шато азур 2 двери</v>
      </c>
      <c r="H2839">
        <f>VLOOKUP(D2839,Товары!A:I,6,0)</f>
        <v>190</v>
      </c>
      <c r="I2839" t="str">
        <f>VLOOKUP(C2839,Магазины!A:C,3,0)</f>
        <v>Кемерово</v>
      </c>
      <c r="J2839">
        <f>VLOOKUP(D2839,Товары!A:I,4,0)</f>
        <v>15810</v>
      </c>
      <c r="K2839">
        <f t="shared" si="44"/>
        <v>31620</v>
      </c>
    </row>
    <row r="2840" spans="1:11" hidden="1" x14ac:dyDescent="0.25">
      <c r="A2840">
        <v>2839</v>
      </c>
      <c r="B2840" s="1">
        <v>45750</v>
      </c>
      <c r="C2840" t="s">
        <v>54</v>
      </c>
      <c r="D2840" t="s">
        <v>89</v>
      </c>
      <c r="E2840" t="s">
        <v>13</v>
      </c>
      <c r="F2840">
        <v>1</v>
      </c>
      <c r="G2840" t="str">
        <f>VLOOKUP(D2840,Товары!A:I,3,0)</f>
        <v>Тумба с раковиной  напол. Сохо 600 белый 2 двери с умыв. Океан</v>
      </c>
      <c r="H2840">
        <f>VLOOKUP(D2840,Товары!A:I,6,0)</f>
        <v>85</v>
      </c>
      <c r="I2840" t="str">
        <f>VLOOKUP(C2840,Магазины!A:C,3,0)</f>
        <v>Ставрополь</v>
      </c>
      <c r="J2840">
        <f>VLOOKUP(D2840,Товары!A:I,4,0)</f>
        <v>14880</v>
      </c>
      <c r="K2840">
        <f t="shared" si="44"/>
        <v>14880</v>
      </c>
    </row>
    <row r="2841" spans="1:11" hidden="1" x14ac:dyDescent="0.25">
      <c r="A2841">
        <v>2840</v>
      </c>
      <c r="B2841" s="1">
        <v>45755</v>
      </c>
      <c r="C2841" t="s">
        <v>57</v>
      </c>
      <c r="D2841" t="s">
        <v>68</v>
      </c>
      <c r="E2841" t="s">
        <v>13</v>
      </c>
      <c r="F2841">
        <v>1</v>
      </c>
      <c r="G2841" t="str">
        <f>VLOOKUP(D2841,Товары!A:I,3,0)</f>
        <v>Тумба с раковиной  навес. Альба 600 антрацит 1 ящик с умыв. Океан</v>
      </c>
      <c r="H2841">
        <f>VLOOKUP(D2841,Товары!A:I,6,0)</f>
        <v>85</v>
      </c>
      <c r="I2841" t="str">
        <f>VLOOKUP(C2841,Магазины!A:C,3,0)</f>
        <v>Оренбург</v>
      </c>
      <c r="J2841">
        <f>VLOOKUP(D2841,Товары!A:I,4,0)</f>
        <v>17625</v>
      </c>
      <c r="K2841">
        <f t="shared" si="44"/>
        <v>17625</v>
      </c>
    </row>
    <row r="2842" spans="1:11" hidden="1" x14ac:dyDescent="0.25">
      <c r="A2842">
        <v>2841</v>
      </c>
      <c r="B2842" s="1">
        <v>45756</v>
      </c>
      <c r="C2842" t="s">
        <v>63</v>
      </c>
      <c r="D2842" t="s">
        <v>39</v>
      </c>
      <c r="E2842" t="s">
        <v>8</v>
      </c>
      <c r="F2842">
        <v>3</v>
      </c>
      <c r="G2842" t="str">
        <f>VLOOKUP(D2842,Товары!A:I,3,0)</f>
        <v>Тумба с раковиной  напол. Альба 700 мята 2 ящика с умыв. Слим</v>
      </c>
      <c r="H2842">
        <f>VLOOKUP(D2842,Товары!A:I,6,0)</f>
        <v>85</v>
      </c>
      <c r="I2842" t="str">
        <f>VLOOKUP(C2842,Магазины!A:C,3,0)</f>
        <v>Ставрополь</v>
      </c>
      <c r="J2842">
        <f>VLOOKUP(D2842,Товары!A:I,4,0)</f>
        <v>28695</v>
      </c>
      <c r="K2842">
        <f t="shared" si="44"/>
        <v>86085</v>
      </c>
    </row>
    <row r="2843" spans="1:11" hidden="1" x14ac:dyDescent="0.25">
      <c r="A2843">
        <v>2842</v>
      </c>
      <c r="B2843" s="1">
        <v>45754</v>
      </c>
      <c r="C2843" t="s">
        <v>20</v>
      </c>
      <c r="D2843" t="s">
        <v>17</v>
      </c>
      <c r="E2843" t="s">
        <v>13</v>
      </c>
      <c r="F2843">
        <v>3</v>
      </c>
      <c r="G2843" t="str">
        <f>VLOOKUP(D2843,Товары!A:I,3,0)</f>
        <v>Тумба с раковиной  навес. Альба 800 антрацит 1 ящик с умыв. Слим</v>
      </c>
      <c r="H2843">
        <f>VLOOKUP(D2843,Товары!A:I,6,0)</f>
        <v>45</v>
      </c>
      <c r="I2843" t="str">
        <f>VLOOKUP(C2843,Магазины!A:C,3,0)</f>
        <v>Оренбург</v>
      </c>
      <c r="J2843">
        <f>VLOOKUP(D2843,Товары!A:I,4,0)</f>
        <v>21630</v>
      </c>
      <c r="K2843">
        <f t="shared" si="44"/>
        <v>64890</v>
      </c>
    </row>
    <row r="2844" spans="1:11" hidden="1" x14ac:dyDescent="0.25">
      <c r="A2844">
        <v>2843</v>
      </c>
      <c r="B2844" s="1">
        <v>45748</v>
      </c>
      <c r="C2844" t="s">
        <v>58</v>
      </c>
      <c r="D2844" t="s">
        <v>79</v>
      </c>
      <c r="E2844" t="s">
        <v>13</v>
      </c>
      <c r="F2844">
        <v>3</v>
      </c>
      <c r="G2844" t="str">
        <f>VLOOKUP(D2844,Товары!A:I,3,0)</f>
        <v>Зеркальный шкаф Альба 70 со светильником правый цвет мята</v>
      </c>
      <c r="H2844">
        <f>VLOOKUP(D2844,Товары!A:I,6,0)</f>
        <v>75</v>
      </c>
      <c r="I2844" t="str">
        <f>VLOOKUP(C2844,Магазины!A:C,3,0)</f>
        <v>Ставрополь</v>
      </c>
      <c r="J2844">
        <f>VLOOKUP(D2844,Товары!A:I,4,0)</f>
        <v>9615</v>
      </c>
      <c r="K2844">
        <f t="shared" si="44"/>
        <v>28845</v>
      </c>
    </row>
    <row r="2845" spans="1:11" hidden="1" x14ac:dyDescent="0.25">
      <c r="A2845">
        <v>2844</v>
      </c>
      <c r="B2845" s="1">
        <v>45756</v>
      </c>
      <c r="C2845" t="s">
        <v>9</v>
      </c>
      <c r="D2845" t="s">
        <v>82</v>
      </c>
      <c r="E2845" t="s">
        <v>8</v>
      </c>
      <c r="F2845">
        <v>1</v>
      </c>
      <c r="G2845" t="str">
        <f>VLOOKUP(D2845,Товары!A:I,3,0)</f>
        <v>Тумба с раковиной  навес. Леон 800 форест 2 ящика с умыв. Слим</v>
      </c>
      <c r="H2845">
        <f>VLOOKUP(D2845,Товары!A:I,6,0)</f>
        <v>60</v>
      </c>
      <c r="I2845" t="str">
        <f>VLOOKUP(C2845,Магазины!A:C,3,0)</f>
        <v>Кемерово</v>
      </c>
      <c r="J2845">
        <f>VLOOKUP(D2845,Товары!A:I,4,0)</f>
        <v>27930</v>
      </c>
      <c r="K2845">
        <f t="shared" si="44"/>
        <v>27930</v>
      </c>
    </row>
    <row r="2846" spans="1:11" hidden="1" x14ac:dyDescent="0.25">
      <c r="A2846">
        <v>2845</v>
      </c>
      <c r="B2846" s="1">
        <v>45748</v>
      </c>
      <c r="C2846" t="s">
        <v>103</v>
      </c>
      <c r="D2846" t="s">
        <v>81</v>
      </c>
      <c r="E2846" t="s">
        <v>13</v>
      </c>
      <c r="F2846">
        <v>3</v>
      </c>
      <c r="G2846" t="str">
        <f>VLOOKUP(D2846,Товары!A:I,3,0)</f>
        <v>Тумба с раковиной  навес. Рица 600 cерый/керамика 1 ящик + ниша 1 с умыв. Океан</v>
      </c>
      <c r="H2846">
        <f>VLOOKUP(D2846,Товары!A:I,6,0)</f>
        <v>60</v>
      </c>
      <c r="I2846" t="str">
        <f>VLOOKUP(C2846,Магазины!A:C,3,0)</f>
        <v>Ставрополь</v>
      </c>
      <c r="J2846">
        <f>VLOOKUP(D2846,Товары!A:I,4,0)</f>
        <v>18900</v>
      </c>
      <c r="K2846">
        <f t="shared" si="44"/>
        <v>56700</v>
      </c>
    </row>
    <row r="2847" spans="1:11" hidden="1" x14ac:dyDescent="0.25">
      <c r="A2847">
        <v>2846</v>
      </c>
      <c r="B2847" s="1">
        <v>45753</v>
      </c>
      <c r="C2847" t="s">
        <v>30</v>
      </c>
      <c r="D2847" t="s">
        <v>99</v>
      </c>
      <c r="E2847" t="s">
        <v>13</v>
      </c>
      <c r="F2847">
        <v>1</v>
      </c>
      <c r="G2847" t="str">
        <f>VLOOKUP(D2847,Товары!A:I,3,0)</f>
        <v>Тумба с раковиной  навес. Леон 600 оникс 2 ящика с умыв. Слим</v>
      </c>
      <c r="H2847">
        <f>VLOOKUP(D2847,Товары!A:I,6,0)</f>
        <v>60</v>
      </c>
      <c r="I2847" t="str">
        <f>VLOOKUP(C2847,Магазины!A:C,3,0)</f>
        <v>Кемерово</v>
      </c>
      <c r="J2847">
        <f>VLOOKUP(D2847,Товары!A:I,4,0)</f>
        <v>25125</v>
      </c>
      <c r="K2847">
        <f t="shared" si="44"/>
        <v>25125</v>
      </c>
    </row>
    <row r="2848" spans="1:11" hidden="1" x14ac:dyDescent="0.25">
      <c r="A2848">
        <v>2847</v>
      </c>
      <c r="B2848" s="1">
        <v>45756</v>
      </c>
      <c r="C2848" t="s">
        <v>16</v>
      </c>
      <c r="D2848" t="s">
        <v>39</v>
      </c>
      <c r="E2848" t="s">
        <v>8</v>
      </c>
      <c r="F2848">
        <v>2</v>
      </c>
      <c r="G2848" t="str">
        <f>VLOOKUP(D2848,Товары!A:I,3,0)</f>
        <v>Тумба с раковиной  напол. Альба 700 мята 2 ящика с умыв. Слим</v>
      </c>
      <c r="H2848">
        <f>VLOOKUP(D2848,Товары!A:I,6,0)</f>
        <v>85</v>
      </c>
      <c r="I2848" t="str">
        <f>VLOOKUP(C2848,Магазины!A:C,3,0)</f>
        <v>Оренбург</v>
      </c>
      <c r="J2848">
        <f>VLOOKUP(D2848,Товары!A:I,4,0)</f>
        <v>28695</v>
      </c>
      <c r="K2848">
        <f t="shared" si="44"/>
        <v>57390</v>
      </c>
    </row>
    <row r="2849" spans="1:11" hidden="1" x14ac:dyDescent="0.25">
      <c r="A2849">
        <v>2848</v>
      </c>
      <c r="B2849" s="1">
        <v>45753</v>
      </c>
      <c r="C2849" t="s">
        <v>92</v>
      </c>
      <c r="D2849" t="s">
        <v>81</v>
      </c>
      <c r="E2849" t="s">
        <v>13</v>
      </c>
      <c r="F2849">
        <v>2</v>
      </c>
      <c r="G2849" t="str">
        <f>VLOOKUP(D2849,Товары!A:I,3,0)</f>
        <v>Тумба с раковиной  навес. Рица 600 cерый/керамика 1 ящик + ниша 1 с умыв. Океан</v>
      </c>
      <c r="H2849">
        <f>VLOOKUP(D2849,Товары!A:I,6,0)</f>
        <v>60</v>
      </c>
      <c r="I2849" t="str">
        <f>VLOOKUP(C2849,Магазины!A:C,3,0)</f>
        <v>Кемерово</v>
      </c>
      <c r="J2849">
        <f>VLOOKUP(D2849,Товары!A:I,4,0)</f>
        <v>18900</v>
      </c>
      <c r="K2849">
        <f t="shared" si="44"/>
        <v>37800</v>
      </c>
    </row>
    <row r="2850" spans="1:11" hidden="1" x14ac:dyDescent="0.25">
      <c r="A2850">
        <v>2849</v>
      </c>
      <c r="B2850" s="1">
        <v>45750</v>
      </c>
      <c r="C2850" t="s">
        <v>20</v>
      </c>
      <c r="D2850" t="s">
        <v>115</v>
      </c>
      <c r="E2850" t="s">
        <v>13</v>
      </c>
      <c r="F2850">
        <v>2</v>
      </c>
      <c r="G2850" t="str">
        <f>VLOOKUP(D2850,Товары!A:I,3,0)</f>
        <v>Тумба под стиральную машину Куба Риф 57 напольная 2 ящика под ст/маш, без умывальника /под Marshall 120 Белый</v>
      </c>
      <c r="H2850">
        <f>VLOOKUP(D2850,Товары!A:I,6,0)</f>
        <v>85</v>
      </c>
      <c r="I2850" t="str">
        <f>VLOOKUP(C2850,Магазины!A:C,3,0)</f>
        <v>Оренбург</v>
      </c>
      <c r="J2850">
        <f>VLOOKUP(D2850,Товары!A:I,4,0)</f>
        <v>10530</v>
      </c>
      <c r="K2850">
        <f t="shared" si="44"/>
        <v>21060</v>
      </c>
    </row>
    <row r="2851" spans="1:11" hidden="1" x14ac:dyDescent="0.25">
      <c r="A2851">
        <v>2850</v>
      </c>
      <c r="B2851" s="1">
        <v>45757</v>
      </c>
      <c r="C2851" t="s">
        <v>57</v>
      </c>
      <c r="D2851" t="s">
        <v>32</v>
      </c>
      <c r="E2851" t="s">
        <v>13</v>
      </c>
      <c r="F2851">
        <v>3</v>
      </c>
      <c r="G2851" t="str">
        <f>VLOOKUP(D2851,Товары!A:I,3,0)</f>
        <v>Тумба с раковиной  напол. Леон Риф 700 солярис/белый риф 2 ящика с умыв. Слим</v>
      </c>
      <c r="H2851">
        <f>VLOOKUP(D2851,Товары!A:I,6,0)</f>
        <v>85</v>
      </c>
      <c r="I2851" t="str">
        <f>VLOOKUP(C2851,Магазины!A:C,3,0)</f>
        <v>Оренбург</v>
      </c>
      <c r="J2851">
        <f>VLOOKUP(D2851,Товары!A:I,4,0)</f>
        <v>26460</v>
      </c>
      <c r="K2851">
        <f t="shared" si="44"/>
        <v>79380</v>
      </c>
    </row>
    <row r="2852" spans="1:11" hidden="1" x14ac:dyDescent="0.25">
      <c r="A2852">
        <v>2851</v>
      </c>
      <c r="B2852" s="1">
        <v>45748</v>
      </c>
      <c r="C2852" t="s">
        <v>48</v>
      </c>
      <c r="D2852" t="s">
        <v>90</v>
      </c>
      <c r="E2852" t="s">
        <v>13</v>
      </c>
      <c r="F2852">
        <v>3</v>
      </c>
      <c r="G2852" t="str">
        <f>VLOOKUP(D2852,Товары!A:I,3,0)</f>
        <v>Пенал напол. Аква 350 белый 2 двери + 2 ящика</v>
      </c>
      <c r="H2852">
        <f>VLOOKUP(D2852,Товары!A:I,6,0)</f>
        <v>190</v>
      </c>
      <c r="I2852" t="str">
        <f>VLOOKUP(C2852,Магазины!A:C,3,0)</f>
        <v>Ставрополь</v>
      </c>
      <c r="J2852">
        <f>VLOOKUP(D2852,Товары!A:I,4,0)</f>
        <v>10650</v>
      </c>
      <c r="K2852">
        <f t="shared" si="44"/>
        <v>31950</v>
      </c>
    </row>
    <row r="2853" spans="1:11" hidden="1" x14ac:dyDescent="0.25">
      <c r="A2853">
        <v>2852</v>
      </c>
      <c r="B2853" s="1">
        <v>45752</v>
      </c>
      <c r="C2853" t="s">
        <v>111</v>
      </c>
      <c r="D2853" t="s">
        <v>56</v>
      </c>
      <c r="E2853" t="s">
        <v>13</v>
      </c>
      <c r="F2853">
        <v>1</v>
      </c>
      <c r="G2853" t="str">
        <f>VLOOKUP(D2853,Товары!A:I,3,0)</f>
        <v>Зеркальный шкаф Альба 80 со светильником правый цвет мята</v>
      </c>
      <c r="H2853">
        <f>VLOOKUP(D2853,Товары!A:I,6,0)</f>
        <v>75</v>
      </c>
      <c r="I2853" t="str">
        <f>VLOOKUP(C2853,Магазины!A:C,3,0)</f>
        <v>Набережные Челны</v>
      </c>
      <c r="J2853">
        <f>VLOOKUP(D2853,Товары!A:I,4,0)</f>
        <v>9930</v>
      </c>
      <c r="K2853">
        <f t="shared" si="44"/>
        <v>9930</v>
      </c>
    </row>
    <row r="2854" spans="1:11" hidden="1" x14ac:dyDescent="0.25">
      <c r="A2854">
        <v>2853</v>
      </c>
      <c r="B2854" s="1">
        <v>45752</v>
      </c>
      <c r="C2854" t="s">
        <v>58</v>
      </c>
      <c r="D2854" t="s">
        <v>124</v>
      </c>
      <c r="E2854" t="s">
        <v>13</v>
      </c>
      <c r="F2854">
        <v>1</v>
      </c>
      <c r="G2854" t="str">
        <f>VLOOKUP(D2854,Товары!A:I,3,0)</f>
        <v>Тумба с раковиной  напол. Леон 600 оникс 2 ящика с умыв. Океан</v>
      </c>
      <c r="H2854">
        <f>VLOOKUP(D2854,Товары!A:I,6,0)</f>
        <v>80</v>
      </c>
      <c r="I2854" t="str">
        <f>VLOOKUP(C2854,Магазины!A:C,3,0)</f>
        <v>Ставрополь</v>
      </c>
      <c r="J2854">
        <f>VLOOKUP(D2854,Товары!A:I,4,0)</f>
        <v>25860</v>
      </c>
      <c r="K2854">
        <f t="shared" si="44"/>
        <v>25860</v>
      </c>
    </row>
    <row r="2855" spans="1:11" hidden="1" x14ac:dyDescent="0.25">
      <c r="A2855">
        <v>2854</v>
      </c>
      <c r="B2855" s="1">
        <v>45755</v>
      </c>
      <c r="C2855" t="s">
        <v>18</v>
      </c>
      <c r="D2855" t="s">
        <v>97</v>
      </c>
      <c r="E2855" t="s">
        <v>8</v>
      </c>
      <c r="F2855">
        <v>3</v>
      </c>
      <c r="G2855" t="str">
        <f>VLOOKUP(D2855,Товары!A:I,3,0)</f>
        <v>Пенал напол. Кристалл 350 суфле 2 двери</v>
      </c>
      <c r="H2855">
        <f>VLOOKUP(D2855,Товары!A:I,6,0)</f>
        <v>190</v>
      </c>
      <c r="I2855" t="str">
        <f>VLOOKUP(C2855,Магазины!A:C,3,0)</f>
        <v>Набережные Челны</v>
      </c>
      <c r="J2855">
        <f>VLOOKUP(D2855,Товары!A:I,4,0)</f>
        <v>15810</v>
      </c>
      <c r="K2855">
        <f t="shared" si="44"/>
        <v>47430</v>
      </c>
    </row>
    <row r="2856" spans="1:11" hidden="1" x14ac:dyDescent="0.25">
      <c r="A2856">
        <v>2855</v>
      </c>
      <c r="B2856" s="1">
        <v>45755</v>
      </c>
      <c r="C2856" t="s">
        <v>20</v>
      </c>
      <c r="D2856" t="s">
        <v>49</v>
      </c>
      <c r="E2856" t="s">
        <v>8</v>
      </c>
      <c r="F2856">
        <v>3</v>
      </c>
      <c r="G2856" t="str">
        <f>VLOOKUP(D2856,Товары!A:I,3,0)</f>
        <v>Тумба с раковиной  напол. Леон 700 оникс 2 ящика с умыв. Слим</v>
      </c>
      <c r="H2856">
        <f>VLOOKUP(D2856,Товары!A:I,6,0)</f>
        <v>80</v>
      </c>
      <c r="I2856" t="str">
        <f>VLOOKUP(C2856,Магазины!A:C,3,0)</f>
        <v>Оренбург</v>
      </c>
      <c r="J2856">
        <f>VLOOKUP(D2856,Товары!A:I,4,0)</f>
        <v>28380</v>
      </c>
      <c r="K2856">
        <f t="shared" si="44"/>
        <v>85140</v>
      </c>
    </row>
    <row r="2857" spans="1:11" hidden="1" x14ac:dyDescent="0.25">
      <c r="A2857">
        <v>2856</v>
      </c>
      <c r="B2857" s="1">
        <v>45749</v>
      </c>
      <c r="C2857" t="s">
        <v>16</v>
      </c>
      <c r="D2857" t="s">
        <v>79</v>
      </c>
      <c r="E2857" t="s">
        <v>13</v>
      </c>
      <c r="F2857">
        <v>1</v>
      </c>
      <c r="G2857" t="str">
        <f>VLOOKUP(D2857,Товары!A:I,3,0)</f>
        <v>Зеркальный шкаф Альба 70 со светильником правый цвет мята</v>
      </c>
      <c r="H2857">
        <f>VLOOKUP(D2857,Товары!A:I,6,0)</f>
        <v>75</v>
      </c>
      <c r="I2857" t="str">
        <f>VLOOKUP(C2857,Магазины!A:C,3,0)</f>
        <v>Оренбург</v>
      </c>
      <c r="J2857">
        <f>VLOOKUP(D2857,Товары!A:I,4,0)</f>
        <v>9615</v>
      </c>
      <c r="K2857">
        <f t="shared" si="44"/>
        <v>9615</v>
      </c>
    </row>
    <row r="2858" spans="1:11" hidden="1" x14ac:dyDescent="0.25">
      <c r="A2858">
        <v>2857</v>
      </c>
      <c r="B2858" s="1">
        <v>45756</v>
      </c>
      <c r="C2858" t="s">
        <v>26</v>
      </c>
      <c r="D2858" t="s">
        <v>93</v>
      </c>
      <c r="E2858" t="s">
        <v>8</v>
      </c>
      <c r="F2858">
        <v>3</v>
      </c>
      <c r="G2858" t="str">
        <f>VLOOKUP(D2858,Товары!A:I,3,0)</f>
        <v>Тумба с раковиной  напол. Леон Риф 800 солярис/белый риф 2 ящика с умыв. Слим</v>
      </c>
      <c r="H2858">
        <f>VLOOKUP(D2858,Товары!A:I,6,0)</f>
        <v>80</v>
      </c>
      <c r="I2858" t="str">
        <f>VLOOKUP(C2858,Магазины!A:C,3,0)</f>
        <v>Оренбург</v>
      </c>
      <c r="J2858">
        <f>VLOOKUP(D2858,Товары!A:I,4,0)</f>
        <v>29340</v>
      </c>
      <c r="K2858">
        <f t="shared" si="44"/>
        <v>88020</v>
      </c>
    </row>
    <row r="2859" spans="1:11" hidden="1" x14ac:dyDescent="0.25">
      <c r="A2859">
        <v>2858</v>
      </c>
      <c r="B2859" s="1">
        <v>45754</v>
      </c>
      <c r="C2859" t="s">
        <v>30</v>
      </c>
      <c r="D2859" t="s">
        <v>82</v>
      </c>
      <c r="E2859" t="s">
        <v>13</v>
      </c>
      <c r="F2859">
        <v>2</v>
      </c>
      <c r="G2859" t="str">
        <f>VLOOKUP(D2859,Товары!A:I,3,0)</f>
        <v>Тумба с раковиной  навес. Леон 800 форест 2 ящика с умыв. Слим</v>
      </c>
      <c r="H2859">
        <f>VLOOKUP(D2859,Товары!A:I,6,0)</f>
        <v>60</v>
      </c>
      <c r="I2859" t="str">
        <f>VLOOKUP(C2859,Магазины!A:C,3,0)</f>
        <v>Кемерово</v>
      </c>
      <c r="J2859">
        <f>VLOOKUP(D2859,Товары!A:I,4,0)</f>
        <v>27930</v>
      </c>
      <c r="K2859">
        <f t="shared" si="44"/>
        <v>55860</v>
      </c>
    </row>
    <row r="2860" spans="1:11" hidden="1" x14ac:dyDescent="0.25">
      <c r="A2860">
        <v>2859</v>
      </c>
      <c r="B2860" s="1">
        <v>45750</v>
      </c>
      <c r="C2860" t="s">
        <v>33</v>
      </c>
      <c r="D2860" t="s">
        <v>115</v>
      </c>
      <c r="E2860" t="s">
        <v>8</v>
      </c>
      <c r="F2860">
        <v>2</v>
      </c>
      <c r="G2860" t="str">
        <f>VLOOKUP(D2860,Товары!A:I,3,0)</f>
        <v>Тумба под стиральную машину Куба Риф 57 напольная 2 ящика под ст/маш, без умывальника /под Marshall 120 Белый</v>
      </c>
      <c r="H2860">
        <f>VLOOKUP(D2860,Товары!A:I,6,0)</f>
        <v>85</v>
      </c>
      <c r="I2860" t="str">
        <f>VLOOKUP(C2860,Магазины!A:C,3,0)</f>
        <v>Набережные Челны</v>
      </c>
      <c r="J2860">
        <f>VLOOKUP(D2860,Товары!A:I,4,0)</f>
        <v>10530</v>
      </c>
      <c r="K2860">
        <f t="shared" si="44"/>
        <v>21060</v>
      </c>
    </row>
    <row r="2861" spans="1:11" hidden="1" x14ac:dyDescent="0.25">
      <c r="A2861">
        <v>2860</v>
      </c>
      <c r="B2861" s="1">
        <v>45748</v>
      </c>
      <c r="C2861" t="s">
        <v>28</v>
      </c>
      <c r="D2861" t="s">
        <v>32</v>
      </c>
      <c r="E2861" t="s">
        <v>8</v>
      </c>
      <c r="F2861">
        <v>3</v>
      </c>
      <c r="G2861" t="str">
        <f>VLOOKUP(D2861,Товары!A:I,3,0)</f>
        <v>Тумба с раковиной  напол. Леон Риф 700 солярис/белый риф 2 ящика с умыв. Слим</v>
      </c>
      <c r="H2861">
        <f>VLOOKUP(D2861,Товары!A:I,6,0)</f>
        <v>85</v>
      </c>
      <c r="I2861" t="str">
        <f>VLOOKUP(C2861,Магазины!A:C,3,0)</f>
        <v>Набережные Челны</v>
      </c>
      <c r="J2861">
        <f>VLOOKUP(D2861,Товары!A:I,4,0)</f>
        <v>26460</v>
      </c>
      <c r="K2861">
        <f t="shared" si="44"/>
        <v>79380</v>
      </c>
    </row>
    <row r="2862" spans="1:11" hidden="1" x14ac:dyDescent="0.25">
      <c r="A2862">
        <v>2861</v>
      </c>
      <c r="B2862" s="1">
        <v>45749</v>
      </c>
      <c r="C2862" t="s">
        <v>41</v>
      </c>
      <c r="D2862" t="s">
        <v>79</v>
      </c>
      <c r="E2862" t="s">
        <v>8</v>
      </c>
      <c r="F2862">
        <v>2</v>
      </c>
      <c r="G2862" t="str">
        <f>VLOOKUP(D2862,Товары!A:I,3,0)</f>
        <v>Зеркальный шкаф Альба 70 со светильником правый цвет мята</v>
      </c>
      <c r="H2862">
        <f>VLOOKUP(D2862,Товары!A:I,6,0)</f>
        <v>75</v>
      </c>
      <c r="I2862" t="str">
        <f>VLOOKUP(C2862,Магазины!A:C,3,0)</f>
        <v>Ставрополь</v>
      </c>
      <c r="J2862">
        <f>VLOOKUP(D2862,Товары!A:I,4,0)</f>
        <v>9615</v>
      </c>
      <c r="K2862">
        <f t="shared" si="44"/>
        <v>19230</v>
      </c>
    </row>
    <row r="2863" spans="1:11" hidden="1" x14ac:dyDescent="0.25">
      <c r="A2863">
        <v>2862</v>
      </c>
      <c r="B2863" s="1">
        <v>45751</v>
      </c>
      <c r="C2863" t="s">
        <v>92</v>
      </c>
      <c r="D2863" t="s">
        <v>85</v>
      </c>
      <c r="E2863" t="s">
        <v>8</v>
      </c>
      <c r="F2863">
        <v>1</v>
      </c>
      <c r="G2863" t="str">
        <f>VLOOKUP(D2863,Товары!A:I,3,0)</f>
        <v>Пенал напол. Аква 450 белый 2 двери + 2 ящика + корзина</v>
      </c>
      <c r="H2863">
        <f>VLOOKUP(D2863,Товары!A:I,6,0)</f>
        <v>190</v>
      </c>
      <c r="I2863" t="str">
        <f>VLOOKUP(C2863,Магазины!A:C,3,0)</f>
        <v>Кемерово</v>
      </c>
      <c r="J2863">
        <f>VLOOKUP(D2863,Товары!A:I,4,0)</f>
        <v>13335</v>
      </c>
      <c r="K2863">
        <f t="shared" si="44"/>
        <v>13335</v>
      </c>
    </row>
    <row r="2864" spans="1:11" hidden="1" x14ac:dyDescent="0.25">
      <c r="A2864">
        <v>2863</v>
      </c>
      <c r="B2864" s="1">
        <v>45756</v>
      </c>
      <c r="C2864" t="s">
        <v>35</v>
      </c>
      <c r="D2864" t="s">
        <v>27</v>
      </c>
      <c r="E2864" t="s">
        <v>8</v>
      </c>
      <c r="F2864">
        <v>1</v>
      </c>
      <c r="G2864" t="str">
        <f>VLOOKUP(D2864,Товары!A:I,3,0)</f>
        <v>Тумба с раковиной  навес. Виктория 800 белый 2 ящика с умыв. Слим</v>
      </c>
      <c r="H2864">
        <f>VLOOKUP(D2864,Товары!A:I,6,0)</f>
        <v>60</v>
      </c>
      <c r="I2864" t="str">
        <f>VLOOKUP(C2864,Магазины!A:C,3,0)</f>
        <v>Набережные Челны</v>
      </c>
      <c r="J2864">
        <f>VLOOKUP(D2864,Товары!A:I,4,0)</f>
        <v>25290</v>
      </c>
      <c r="K2864">
        <f t="shared" si="44"/>
        <v>25290</v>
      </c>
    </row>
    <row r="2865" spans="1:11" hidden="1" x14ac:dyDescent="0.25">
      <c r="A2865">
        <v>2864</v>
      </c>
      <c r="B2865" s="1">
        <v>45752</v>
      </c>
      <c r="C2865" t="s">
        <v>33</v>
      </c>
      <c r="D2865" t="s">
        <v>67</v>
      </c>
      <c r="E2865" t="s">
        <v>8</v>
      </c>
      <c r="F2865">
        <v>3</v>
      </c>
      <c r="G2865" t="str">
        <f>VLOOKUP(D2865,Товары!A:I,3,0)</f>
        <v>Пенал навес./напол. Альба 350 суфле 2 двери</v>
      </c>
      <c r="H2865">
        <f>VLOOKUP(D2865,Товары!A:I,6,0)</f>
        <v>150</v>
      </c>
      <c r="I2865" t="str">
        <f>VLOOKUP(C2865,Магазины!A:C,3,0)</f>
        <v>Набережные Челны</v>
      </c>
      <c r="J2865">
        <f>VLOOKUP(D2865,Товары!A:I,4,0)</f>
        <v>11655</v>
      </c>
      <c r="K2865">
        <f t="shared" si="44"/>
        <v>34965</v>
      </c>
    </row>
    <row r="2866" spans="1:11" hidden="1" x14ac:dyDescent="0.25">
      <c r="A2866">
        <v>2865</v>
      </c>
      <c r="B2866" s="1">
        <v>45748</v>
      </c>
      <c r="C2866" t="s">
        <v>6</v>
      </c>
      <c r="D2866" t="s">
        <v>115</v>
      </c>
      <c r="E2866" t="s">
        <v>13</v>
      </c>
      <c r="F2866">
        <v>1</v>
      </c>
      <c r="G2866" t="str">
        <f>VLOOKUP(D2866,Товары!A:I,3,0)</f>
        <v>Тумба под стиральную машину Куба Риф 57 напольная 2 ящика под ст/маш, без умывальника /под Marshall 120 Белый</v>
      </c>
      <c r="H2866">
        <f>VLOOKUP(D2866,Товары!A:I,6,0)</f>
        <v>85</v>
      </c>
      <c r="I2866" t="str">
        <f>VLOOKUP(C2866,Магазины!A:C,3,0)</f>
        <v>Оренбург</v>
      </c>
      <c r="J2866">
        <f>VLOOKUP(D2866,Товары!A:I,4,0)</f>
        <v>10530</v>
      </c>
      <c r="K2866">
        <f t="shared" si="44"/>
        <v>10530</v>
      </c>
    </row>
    <row r="2867" spans="1:11" x14ac:dyDescent="0.25">
      <c r="A2867">
        <v>2866</v>
      </c>
      <c r="B2867" s="1">
        <v>45752</v>
      </c>
      <c r="C2867" t="s">
        <v>92</v>
      </c>
      <c r="D2867" t="s">
        <v>67</v>
      </c>
      <c r="E2867" t="s">
        <v>13</v>
      </c>
      <c r="F2867">
        <v>3</v>
      </c>
      <c r="G2867" t="str">
        <f>VLOOKUP(D2867,Товары!A:I,3,0)</f>
        <v>Пенал навес./напол. Альба 350 суфле 2 двери</v>
      </c>
      <c r="H2867">
        <f>VLOOKUP(D2867,Товары!A:I,6,0)</f>
        <v>150</v>
      </c>
      <c r="I2867" t="str">
        <f>VLOOKUP(C2867,Магазины!A:C,3,0)</f>
        <v>Кемерово</v>
      </c>
      <c r="J2867">
        <f>VLOOKUP(D2867,Товары!A:I,4,0)</f>
        <v>11655</v>
      </c>
      <c r="K2867">
        <f t="shared" si="44"/>
        <v>34965</v>
      </c>
    </row>
    <row r="2868" spans="1:11" hidden="1" x14ac:dyDescent="0.25">
      <c r="A2868">
        <v>2867</v>
      </c>
      <c r="B2868" s="1">
        <v>45756</v>
      </c>
      <c r="C2868" t="s">
        <v>6</v>
      </c>
      <c r="D2868" t="s">
        <v>99</v>
      </c>
      <c r="E2868" t="s">
        <v>13</v>
      </c>
      <c r="F2868">
        <v>2</v>
      </c>
      <c r="G2868" t="str">
        <f>VLOOKUP(D2868,Товары!A:I,3,0)</f>
        <v>Тумба с раковиной  навес. Леон 600 оникс 2 ящика с умыв. Слим</v>
      </c>
      <c r="H2868">
        <f>VLOOKUP(D2868,Товары!A:I,6,0)</f>
        <v>60</v>
      </c>
      <c r="I2868" t="str">
        <f>VLOOKUP(C2868,Магазины!A:C,3,0)</f>
        <v>Оренбург</v>
      </c>
      <c r="J2868">
        <f>VLOOKUP(D2868,Товары!A:I,4,0)</f>
        <v>25125</v>
      </c>
      <c r="K2868">
        <f t="shared" si="44"/>
        <v>50250</v>
      </c>
    </row>
    <row r="2869" spans="1:11" hidden="1" x14ac:dyDescent="0.25">
      <c r="A2869">
        <v>2868</v>
      </c>
      <c r="B2869" s="1">
        <v>45754</v>
      </c>
      <c r="C2869" t="s">
        <v>43</v>
      </c>
      <c r="D2869" t="s">
        <v>99</v>
      </c>
      <c r="E2869" t="s">
        <v>8</v>
      </c>
      <c r="F2869">
        <v>1</v>
      </c>
      <c r="G2869" t="str">
        <f>VLOOKUP(D2869,Товары!A:I,3,0)</f>
        <v>Тумба с раковиной  навес. Леон 600 оникс 2 ящика с умыв. Слим</v>
      </c>
      <c r="H2869">
        <f>VLOOKUP(D2869,Товары!A:I,6,0)</f>
        <v>60</v>
      </c>
      <c r="I2869" t="str">
        <f>VLOOKUP(C2869,Магазины!A:C,3,0)</f>
        <v>Набережные Челны</v>
      </c>
      <c r="J2869">
        <f>VLOOKUP(D2869,Товары!A:I,4,0)</f>
        <v>25125</v>
      </c>
      <c r="K2869">
        <f t="shared" si="44"/>
        <v>25125</v>
      </c>
    </row>
    <row r="2870" spans="1:11" hidden="1" x14ac:dyDescent="0.25">
      <c r="A2870">
        <v>2869</v>
      </c>
      <c r="B2870" s="1">
        <v>45751</v>
      </c>
      <c r="C2870" t="s">
        <v>20</v>
      </c>
      <c r="D2870" t="s">
        <v>117</v>
      </c>
      <c r="E2870" t="s">
        <v>13</v>
      </c>
      <c r="F2870">
        <v>1</v>
      </c>
      <c r="G2870" t="str">
        <f>VLOOKUP(D2870,Товары!A:I,3,0)</f>
        <v>Тумба с раковиной  навес. Альба 700 антрацит 2 ящика с умыв. Слим</v>
      </c>
      <c r="H2870">
        <f>VLOOKUP(D2870,Товары!A:I,6,0)</f>
        <v>60</v>
      </c>
      <c r="I2870" t="str">
        <f>VLOOKUP(C2870,Магазины!A:C,3,0)</f>
        <v>Оренбург</v>
      </c>
      <c r="J2870">
        <f>VLOOKUP(D2870,Товары!A:I,4,0)</f>
        <v>25095</v>
      </c>
      <c r="K2870">
        <f t="shared" si="44"/>
        <v>25095</v>
      </c>
    </row>
    <row r="2871" spans="1:11" hidden="1" x14ac:dyDescent="0.25">
      <c r="A2871">
        <v>2870</v>
      </c>
      <c r="B2871" s="1">
        <v>45751</v>
      </c>
      <c r="C2871" t="s">
        <v>6</v>
      </c>
      <c r="D2871" t="s">
        <v>36</v>
      </c>
      <c r="E2871" t="s">
        <v>8</v>
      </c>
      <c r="F2871">
        <v>1</v>
      </c>
      <c r="G2871" t="str">
        <f>VLOOKUP(D2871,Товары!A:I,3,0)</f>
        <v>Тумба с раковиной  напол. Альба 800 мята 2 ящика с умыв. Слим</v>
      </c>
      <c r="H2871">
        <f>VLOOKUP(D2871,Товары!A:I,6,0)</f>
        <v>80</v>
      </c>
      <c r="I2871" t="str">
        <f>VLOOKUP(C2871,Магазины!A:C,3,0)</f>
        <v>Оренбург</v>
      </c>
      <c r="J2871">
        <f>VLOOKUP(D2871,Товары!A:I,4,0)</f>
        <v>29340</v>
      </c>
      <c r="K2871">
        <f t="shared" si="44"/>
        <v>29340</v>
      </c>
    </row>
    <row r="2872" spans="1:11" hidden="1" x14ac:dyDescent="0.25">
      <c r="A2872">
        <v>2871</v>
      </c>
      <c r="B2872" s="1">
        <v>45756</v>
      </c>
      <c r="C2872" t="s">
        <v>57</v>
      </c>
      <c r="D2872" t="s">
        <v>12</v>
      </c>
      <c r="E2872" t="s">
        <v>8</v>
      </c>
      <c r="F2872">
        <v>3</v>
      </c>
      <c r="G2872" t="str">
        <f>VLOOKUP(D2872,Товары!A:I,3,0)</f>
        <v>Тумба с раковиной  напол. Сохо 700 белый 2 двери с умыв. Слим</v>
      </c>
      <c r="H2872">
        <f>VLOOKUP(D2872,Товары!A:I,6,0)</f>
        <v>85</v>
      </c>
      <c r="I2872" t="str">
        <f>VLOOKUP(C2872,Магазины!A:C,3,0)</f>
        <v>Оренбург</v>
      </c>
      <c r="J2872">
        <f>VLOOKUP(D2872,Товары!A:I,4,0)</f>
        <v>17160</v>
      </c>
      <c r="K2872">
        <f t="shared" si="44"/>
        <v>51480</v>
      </c>
    </row>
    <row r="2873" spans="1:11" hidden="1" x14ac:dyDescent="0.25">
      <c r="A2873">
        <v>2872</v>
      </c>
      <c r="B2873" s="1">
        <v>45757</v>
      </c>
      <c r="C2873" t="s">
        <v>48</v>
      </c>
      <c r="D2873" t="s">
        <v>79</v>
      </c>
      <c r="E2873" t="s">
        <v>13</v>
      </c>
      <c r="F2873">
        <v>1</v>
      </c>
      <c r="G2873" t="str">
        <f>VLOOKUP(D2873,Товары!A:I,3,0)</f>
        <v>Зеркальный шкаф Альба 70 со светильником правый цвет мята</v>
      </c>
      <c r="H2873">
        <f>VLOOKUP(D2873,Товары!A:I,6,0)</f>
        <v>75</v>
      </c>
      <c r="I2873" t="str">
        <f>VLOOKUP(C2873,Магазины!A:C,3,0)</f>
        <v>Ставрополь</v>
      </c>
      <c r="J2873">
        <f>VLOOKUP(D2873,Товары!A:I,4,0)</f>
        <v>9615</v>
      </c>
      <c r="K2873">
        <f t="shared" si="44"/>
        <v>9615</v>
      </c>
    </row>
    <row r="2874" spans="1:11" hidden="1" x14ac:dyDescent="0.25">
      <c r="A2874">
        <v>2873</v>
      </c>
      <c r="B2874" s="1">
        <v>45749</v>
      </c>
      <c r="C2874" t="s">
        <v>41</v>
      </c>
      <c r="D2874" t="s">
        <v>129</v>
      </c>
      <c r="E2874" t="s">
        <v>13</v>
      </c>
      <c r="F2874">
        <v>1</v>
      </c>
      <c r="G2874" t="str">
        <f>VLOOKUP(D2874,Товары!A:I,3,0)</f>
        <v>Тумба с раковиной  напол. Альба 700 антрацит 2 ящика с умыв. Слим</v>
      </c>
      <c r="H2874">
        <f>VLOOKUP(D2874,Товары!A:I,6,0)</f>
        <v>85</v>
      </c>
      <c r="I2874" t="str">
        <f>VLOOKUP(C2874,Магазины!A:C,3,0)</f>
        <v>Ставрополь</v>
      </c>
      <c r="J2874">
        <f>VLOOKUP(D2874,Товары!A:I,4,0)</f>
        <v>28695</v>
      </c>
      <c r="K2874">
        <f t="shared" si="44"/>
        <v>28695</v>
      </c>
    </row>
    <row r="2875" spans="1:11" hidden="1" x14ac:dyDescent="0.25">
      <c r="A2875">
        <v>2874</v>
      </c>
      <c r="B2875" s="1">
        <v>45752</v>
      </c>
      <c r="C2875" t="s">
        <v>58</v>
      </c>
      <c r="D2875" t="s">
        <v>82</v>
      </c>
      <c r="E2875" t="s">
        <v>8</v>
      </c>
      <c r="F2875">
        <v>2</v>
      </c>
      <c r="G2875" t="str">
        <f>VLOOKUP(D2875,Товары!A:I,3,0)</f>
        <v>Тумба с раковиной  навес. Леон 800 форест 2 ящика с умыв. Слим</v>
      </c>
      <c r="H2875">
        <f>VLOOKUP(D2875,Товары!A:I,6,0)</f>
        <v>60</v>
      </c>
      <c r="I2875" t="str">
        <f>VLOOKUP(C2875,Магазины!A:C,3,0)</f>
        <v>Ставрополь</v>
      </c>
      <c r="J2875">
        <f>VLOOKUP(D2875,Товары!A:I,4,0)</f>
        <v>27930</v>
      </c>
      <c r="K2875">
        <f t="shared" si="44"/>
        <v>55860</v>
      </c>
    </row>
    <row r="2876" spans="1:11" hidden="1" x14ac:dyDescent="0.25">
      <c r="A2876">
        <v>2875</v>
      </c>
      <c r="B2876" s="1">
        <v>45756</v>
      </c>
      <c r="C2876" t="s">
        <v>6</v>
      </c>
      <c r="D2876" t="s">
        <v>15</v>
      </c>
      <c r="E2876" t="s">
        <v>8</v>
      </c>
      <c r="F2876">
        <v>3</v>
      </c>
      <c r="G2876" t="str">
        <f>VLOOKUP(D2876,Товары!A:I,3,0)</f>
        <v>Зеркальный шкаф Кристалл 60 со светильником правый, ручка кнопка дуб цвет Шато Азур</v>
      </c>
      <c r="H2876">
        <f>VLOOKUP(D2876,Товары!A:I,6,0)</f>
        <v>75</v>
      </c>
      <c r="I2876" t="str">
        <f>VLOOKUP(C2876,Магазины!A:C,3,0)</f>
        <v>Оренбург</v>
      </c>
      <c r="J2876">
        <f>VLOOKUP(D2876,Товары!A:I,4,0)</f>
        <v>9195</v>
      </c>
      <c r="K2876">
        <f t="shared" si="44"/>
        <v>27585</v>
      </c>
    </row>
    <row r="2877" spans="1:11" hidden="1" x14ac:dyDescent="0.25">
      <c r="A2877">
        <v>2876</v>
      </c>
      <c r="B2877" s="1">
        <v>45752</v>
      </c>
      <c r="C2877" t="s">
        <v>14</v>
      </c>
      <c r="D2877" t="s">
        <v>109</v>
      </c>
      <c r="E2877" t="s">
        <v>13</v>
      </c>
      <c r="F2877">
        <v>1</v>
      </c>
      <c r="G2877" t="str">
        <f>VLOOKUP(D2877,Товары!A:I,3,0)</f>
        <v>Тумба с раковиной  навес. Альба 600 антрацит 2 ящика с умыв. Океан</v>
      </c>
      <c r="H2877">
        <f>VLOOKUP(D2877,Товары!A:I,6,0)</f>
        <v>50</v>
      </c>
      <c r="I2877" t="str">
        <f>VLOOKUP(C2877,Магазины!A:C,3,0)</f>
        <v>Оренбург</v>
      </c>
      <c r="J2877">
        <f>VLOOKUP(D2877,Товары!A:I,4,0)</f>
        <v>24810</v>
      </c>
      <c r="K2877">
        <f t="shared" si="44"/>
        <v>24810</v>
      </c>
    </row>
    <row r="2878" spans="1:11" hidden="1" x14ac:dyDescent="0.25">
      <c r="A2878">
        <v>2877</v>
      </c>
      <c r="B2878" s="1">
        <v>45750</v>
      </c>
      <c r="C2878" t="s">
        <v>6</v>
      </c>
      <c r="D2878" t="s">
        <v>101</v>
      </c>
      <c r="E2878" t="s">
        <v>8</v>
      </c>
      <c r="F2878">
        <v>3</v>
      </c>
      <c r="G2878" t="str">
        <f>VLOOKUP(D2878,Товары!A:I,3,0)</f>
        <v>Пенал напол. Сохо 400 белый 2 двери + 1 ящик</v>
      </c>
      <c r="H2878">
        <f>VLOOKUP(D2878,Товары!A:I,6,0)</f>
        <v>190</v>
      </c>
      <c r="I2878" t="str">
        <f>VLOOKUP(C2878,Магазины!A:C,3,0)</f>
        <v>Оренбург</v>
      </c>
      <c r="J2878">
        <f>VLOOKUP(D2878,Товары!A:I,4,0)</f>
        <v>11040</v>
      </c>
      <c r="K2878">
        <f t="shared" si="44"/>
        <v>33120</v>
      </c>
    </row>
    <row r="2879" spans="1:11" hidden="1" x14ac:dyDescent="0.25">
      <c r="A2879">
        <v>2878</v>
      </c>
      <c r="B2879" s="1">
        <v>45757</v>
      </c>
      <c r="C2879" t="s">
        <v>103</v>
      </c>
      <c r="D2879" t="s">
        <v>110</v>
      </c>
      <c r="E2879" t="s">
        <v>8</v>
      </c>
      <c r="F2879">
        <v>1</v>
      </c>
      <c r="G2879" t="str">
        <f>VLOOKUP(D2879,Товары!A:I,3,0)</f>
        <v>Тумба с раковиной  напол. Альба 600 антрацит 2 ящика с умыв. Океан</v>
      </c>
      <c r="H2879">
        <f>VLOOKUP(D2879,Товары!A:I,6,0)</f>
        <v>80</v>
      </c>
      <c r="I2879" t="str">
        <f>VLOOKUP(C2879,Магазины!A:C,3,0)</f>
        <v>Ставрополь</v>
      </c>
      <c r="J2879">
        <f>VLOOKUP(D2879,Товары!A:I,4,0)</f>
        <v>26370</v>
      </c>
      <c r="K2879">
        <f t="shared" si="44"/>
        <v>26370</v>
      </c>
    </row>
    <row r="2880" spans="1:11" hidden="1" x14ac:dyDescent="0.25">
      <c r="A2880">
        <v>2879</v>
      </c>
      <c r="B2880" s="1">
        <v>45752</v>
      </c>
      <c r="C2880" t="s">
        <v>11</v>
      </c>
      <c r="D2880" t="s">
        <v>64</v>
      </c>
      <c r="E2880" t="s">
        <v>8</v>
      </c>
      <c r="F2880">
        <v>3</v>
      </c>
      <c r="G2880" t="str">
        <f>VLOOKUP(D2880,Товары!A:I,3,0)</f>
        <v>Тумба с раковиной  напол. Рица 800 антрацит 2 ящика с умыв. Слим</v>
      </c>
      <c r="H2880">
        <f>VLOOKUP(D2880,Товары!A:I,6,0)</f>
        <v>80</v>
      </c>
      <c r="I2880" t="str">
        <f>VLOOKUP(C2880,Магазины!A:C,3,0)</f>
        <v>Кемерово</v>
      </c>
      <c r="J2880">
        <f>VLOOKUP(D2880,Товары!A:I,4,0)</f>
        <v>28980</v>
      </c>
      <c r="K2880">
        <f t="shared" si="44"/>
        <v>86940</v>
      </c>
    </row>
    <row r="2881" spans="1:11" hidden="1" x14ac:dyDescent="0.25">
      <c r="A2881">
        <v>2880</v>
      </c>
      <c r="B2881" s="1">
        <v>45757</v>
      </c>
      <c r="C2881" t="s">
        <v>20</v>
      </c>
      <c r="D2881" t="s">
        <v>66</v>
      </c>
      <c r="E2881" t="s">
        <v>13</v>
      </c>
      <c r="F2881">
        <v>1</v>
      </c>
      <c r="G2881" t="str">
        <f>VLOOKUP(D2881,Товары!A:I,3,0)</f>
        <v>Тумба с раковиной  навес. Альба 800 мята 2 ящика с умыв. Слим</v>
      </c>
      <c r="H2881">
        <f>VLOOKUP(D2881,Товары!A:I,6,0)</f>
        <v>50</v>
      </c>
      <c r="I2881" t="str">
        <f>VLOOKUP(C2881,Магазины!A:C,3,0)</f>
        <v>Оренбург</v>
      </c>
      <c r="J2881">
        <f>VLOOKUP(D2881,Товары!A:I,4,0)</f>
        <v>26070</v>
      </c>
      <c r="K2881">
        <f t="shared" si="44"/>
        <v>26070</v>
      </c>
    </row>
    <row r="2882" spans="1:11" hidden="1" x14ac:dyDescent="0.25">
      <c r="A2882">
        <v>2881</v>
      </c>
      <c r="B2882" s="1">
        <v>45757</v>
      </c>
      <c r="C2882" t="s">
        <v>35</v>
      </c>
      <c r="D2882" t="s">
        <v>126</v>
      </c>
      <c r="E2882" t="s">
        <v>8</v>
      </c>
      <c r="F2882">
        <v>2</v>
      </c>
      <c r="G2882" t="str">
        <f>VLOOKUP(D2882,Товары!A:I,3,0)</f>
        <v>Тумба с раковиной  напол. Кристалл 800 шато азур 2 ящика с умыв. Комфорт</v>
      </c>
      <c r="H2882">
        <f>VLOOKUP(D2882,Товары!A:I,6,0)</f>
        <v>85</v>
      </c>
      <c r="I2882" t="str">
        <f>VLOOKUP(C2882,Магазины!A:C,3,0)</f>
        <v>Набережные Челны</v>
      </c>
      <c r="J2882">
        <f>VLOOKUP(D2882,Товары!A:I,4,0)</f>
        <v>31125</v>
      </c>
      <c r="K2882">
        <f t="shared" si="44"/>
        <v>62250</v>
      </c>
    </row>
    <row r="2883" spans="1:11" hidden="1" x14ac:dyDescent="0.25">
      <c r="A2883">
        <v>2882</v>
      </c>
      <c r="B2883" s="1">
        <v>45751</v>
      </c>
      <c r="C2883" t="s">
        <v>22</v>
      </c>
      <c r="D2883" t="s">
        <v>104</v>
      </c>
      <c r="E2883" t="s">
        <v>8</v>
      </c>
      <c r="F2883">
        <v>3</v>
      </c>
      <c r="G2883" t="str">
        <f>VLOOKUP(D2883,Товары!A:I,3,0)</f>
        <v>Тумба под стиральную машину Куба Риф 57 подвесная 2 ящика под ст/маш, без умывальника /под Marshall 120 Белый</v>
      </c>
      <c r="H2883">
        <f>VLOOKUP(D2883,Товары!A:I,6,0)</f>
        <v>50</v>
      </c>
      <c r="I2883" t="str">
        <f>VLOOKUP(C2883,Магазины!A:C,3,0)</f>
        <v>Кемерово</v>
      </c>
      <c r="J2883">
        <f>VLOOKUP(D2883,Товары!A:I,4,0)</f>
        <v>8505</v>
      </c>
      <c r="K2883">
        <f t="shared" ref="K2883:K2946" si="45">J2883*F2883</f>
        <v>25515</v>
      </c>
    </row>
    <row r="2884" spans="1:11" hidden="1" x14ac:dyDescent="0.25">
      <c r="A2884">
        <v>2883</v>
      </c>
      <c r="B2884" s="1">
        <v>45751</v>
      </c>
      <c r="C2884" t="s">
        <v>58</v>
      </c>
      <c r="D2884" t="s">
        <v>68</v>
      </c>
      <c r="E2884" t="s">
        <v>13</v>
      </c>
      <c r="F2884">
        <v>3</v>
      </c>
      <c r="G2884" t="str">
        <f>VLOOKUP(D2884,Товары!A:I,3,0)</f>
        <v>Тумба с раковиной  навес. Альба 600 антрацит 1 ящик с умыв. Океан</v>
      </c>
      <c r="H2884">
        <f>VLOOKUP(D2884,Товары!A:I,6,0)</f>
        <v>85</v>
      </c>
      <c r="I2884" t="str">
        <f>VLOOKUP(C2884,Магазины!A:C,3,0)</f>
        <v>Ставрополь</v>
      </c>
      <c r="J2884">
        <f>VLOOKUP(D2884,Товары!A:I,4,0)</f>
        <v>17625</v>
      </c>
      <c r="K2884">
        <f t="shared" si="45"/>
        <v>52875</v>
      </c>
    </row>
    <row r="2885" spans="1:11" hidden="1" x14ac:dyDescent="0.25">
      <c r="A2885">
        <v>2884</v>
      </c>
      <c r="B2885" s="1">
        <v>45748</v>
      </c>
      <c r="C2885" t="s">
        <v>30</v>
      </c>
      <c r="D2885" t="s">
        <v>112</v>
      </c>
      <c r="E2885" t="s">
        <v>8</v>
      </c>
      <c r="F2885">
        <v>3</v>
      </c>
      <c r="G2885" t="str">
        <f>VLOOKUP(D2885,Товары!A:I,3,0)</f>
        <v>Тумба с раковиной  напол. Аква 560 белый 2 двери с умыв. Уют</v>
      </c>
      <c r="H2885">
        <f>VLOOKUP(D2885,Товары!A:I,6,0)</f>
        <v>85</v>
      </c>
      <c r="I2885" t="str">
        <f>VLOOKUP(C2885,Магазины!A:C,3,0)</f>
        <v>Кемерово</v>
      </c>
      <c r="J2885">
        <f>VLOOKUP(D2885,Товары!A:I,4,0)</f>
        <v>9330</v>
      </c>
      <c r="K2885">
        <f t="shared" si="45"/>
        <v>27990</v>
      </c>
    </row>
    <row r="2886" spans="1:11" hidden="1" x14ac:dyDescent="0.25">
      <c r="A2886">
        <v>2885</v>
      </c>
      <c r="B2886" s="1">
        <v>45757</v>
      </c>
      <c r="C2886" t="s">
        <v>111</v>
      </c>
      <c r="D2886" t="s">
        <v>38</v>
      </c>
      <c r="E2886" t="s">
        <v>13</v>
      </c>
      <c r="F2886">
        <v>1</v>
      </c>
      <c r="G2886" t="str">
        <f>VLOOKUP(D2886,Товары!A:I,3,0)</f>
        <v>Тумба с раковиной  навес. Куба Риф 600 белый 2 ящика с умыв. Como</v>
      </c>
      <c r="H2886">
        <f>VLOOKUP(D2886,Товары!A:I,6,0)</f>
        <v>55</v>
      </c>
      <c r="I2886" t="str">
        <f>VLOOKUP(C2886,Магазины!A:C,3,0)</f>
        <v>Набережные Челны</v>
      </c>
      <c r="J2886">
        <f>VLOOKUP(D2886,Товары!A:I,4,0)</f>
        <v>14265</v>
      </c>
      <c r="K2886">
        <f t="shared" si="45"/>
        <v>14265</v>
      </c>
    </row>
    <row r="2887" spans="1:11" hidden="1" x14ac:dyDescent="0.25">
      <c r="A2887">
        <v>2886</v>
      </c>
      <c r="B2887" s="1">
        <v>45756</v>
      </c>
      <c r="C2887" t="s">
        <v>58</v>
      </c>
      <c r="D2887" t="s">
        <v>96</v>
      </c>
      <c r="E2887" t="s">
        <v>8</v>
      </c>
      <c r="F2887">
        <v>3</v>
      </c>
      <c r="G2887" t="str">
        <f>VLOOKUP(D2887,Товары!A:I,3,0)</f>
        <v>Тумба с раковиной  навес. Альба 600 мята 1 ящик с умыв. Океан</v>
      </c>
      <c r="H2887">
        <f>VLOOKUP(D2887,Товары!A:I,6,0)</f>
        <v>85</v>
      </c>
      <c r="I2887" t="str">
        <f>VLOOKUP(C2887,Магазины!A:C,3,0)</f>
        <v>Ставрополь</v>
      </c>
      <c r="J2887">
        <f>VLOOKUP(D2887,Товары!A:I,4,0)</f>
        <v>17625</v>
      </c>
      <c r="K2887">
        <f t="shared" si="45"/>
        <v>52875</v>
      </c>
    </row>
    <row r="2888" spans="1:11" hidden="1" x14ac:dyDescent="0.25">
      <c r="A2888">
        <v>2887</v>
      </c>
      <c r="B2888" s="1">
        <v>45752</v>
      </c>
      <c r="C2888" t="s">
        <v>43</v>
      </c>
      <c r="D2888" t="s">
        <v>85</v>
      </c>
      <c r="E2888" t="s">
        <v>13</v>
      </c>
      <c r="F2888">
        <v>2</v>
      </c>
      <c r="G2888" t="str">
        <f>VLOOKUP(D2888,Товары!A:I,3,0)</f>
        <v>Пенал напол. Аква 450 белый 2 двери + 2 ящика + корзина</v>
      </c>
      <c r="H2888">
        <f>VLOOKUP(D2888,Товары!A:I,6,0)</f>
        <v>190</v>
      </c>
      <c r="I2888" t="str">
        <f>VLOOKUP(C2888,Магазины!A:C,3,0)</f>
        <v>Набережные Челны</v>
      </c>
      <c r="J2888">
        <f>VLOOKUP(D2888,Товары!A:I,4,0)</f>
        <v>13335</v>
      </c>
      <c r="K2888">
        <f t="shared" si="45"/>
        <v>26670</v>
      </c>
    </row>
    <row r="2889" spans="1:11" hidden="1" x14ac:dyDescent="0.25">
      <c r="A2889">
        <v>2888</v>
      </c>
      <c r="B2889" s="1">
        <v>45753</v>
      </c>
      <c r="C2889" t="s">
        <v>35</v>
      </c>
      <c r="D2889" t="s">
        <v>83</v>
      </c>
      <c r="E2889" t="s">
        <v>8</v>
      </c>
      <c r="F2889">
        <v>1</v>
      </c>
      <c r="G2889" t="str">
        <f>VLOOKUP(D2889,Товары!A:I,3,0)</f>
        <v>Зеркальный шкаф Альба 60 со светильником правый цвет суфле</v>
      </c>
      <c r="H2889">
        <f>VLOOKUP(D2889,Товары!A:I,6,0)</f>
        <v>75</v>
      </c>
      <c r="I2889" t="str">
        <f>VLOOKUP(C2889,Магазины!A:C,3,0)</f>
        <v>Набережные Челны</v>
      </c>
      <c r="J2889">
        <f>VLOOKUP(D2889,Товары!A:I,4,0)</f>
        <v>8910</v>
      </c>
      <c r="K2889">
        <f t="shared" si="45"/>
        <v>8910</v>
      </c>
    </row>
    <row r="2890" spans="1:11" hidden="1" x14ac:dyDescent="0.25">
      <c r="A2890">
        <v>2889</v>
      </c>
      <c r="B2890" s="1">
        <v>45750</v>
      </c>
      <c r="C2890" t="s">
        <v>28</v>
      </c>
      <c r="D2890" t="s">
        <v>66</v>
      </c>
      <c r="E2890" t="s">
        <v>8</v>
      </c>
      <c r="F2890">
        <v>1</v>
      </c>
      <c r="G2890" t="str">
        <f>VLOOKUP(D2890,Товары!A:I,3,0)</f>
        <v>Тумба с раковиной  навес. Альба 800 мята 2 ящика с умыв. Слим</v>
      </c>
      <c r="H2890">
        <f>VLOOKUP(D2890,Товары!A:I,6,0)</f>
        <v>50</v>
      </c>
      <c r="I2890" t="str">
        <f>VLOOKUP(C2890,Магазины!A:C,3,0)</f>
        <v>Набережные Челны</v>
      </c>
      <c r="J2890">
        <f>VLOOKUP(D2890,Товары!A:I,4,0)</f>
        <v>26070</v>
      </c>
      <c r="K2890">
        <f t="shared" si="45"/>
        <v>26070</v>
      </c>
    </row>
    <row r="2891" spans="1:11" hidden="1" x14ac:dyDescent="0.25">
      <c r="A2891">
        <v>2890</v>
      </c>
      <c r="B2891" s="1">
        <v>45756</v>
      </c>
      <c r="C2891" t="s">
        <v>14</v>
      </c>
      <c r="D2891" t="s">
        <v>65</v>
      </c>
      <c r="E2891" t="s">
        <v>13</v>
      </c>
      <c r="F2891">
        <v>1</v>
      </c>
      <c r="G2891" t="str">
        <f>VLOOKUP(D2891,Товары!A:I,3,0)</f>
        <v>Тумба с раковиной  навес. Альба 800 суфле 2 ящика с умыв. Слим</v>
      </c>
      <c r="H2891">
        <f>VLOOKUP(D2891,Товары!A:I,6,0)</f>
        <v>50</v>
      </c>
      <c r="I2891" t="str">
        <f>VLOOKUP(C2891,Магазины!A:C,3,0)</f>
        <v>Оренбург</v>
      </c>
      <c r="J2891">
        <f>VLOOKUP(D2891,Товары!A:I,4,0)</f>
        <v>26070</v>
      </c>
      <c r="K2891">
        <f t="shared" si="45"/>
        <v>26070</v>
      </c>
    </row>
    <row r="2892" spans="1:11" hidden="1" x14ac:dyDescent="0.25">
      <c r="A2892">
        <v>2891</v>
      </c>
      <c r="B2892" s="1">
        <v>45754</v>
      </c>
      <c r="C2892" t="s">
        <v>63</v>
      </c>
      <c r="D2892" t="s">
        <v>83</v>
      </c>
      <c r="E2892" t="s">
        <v>13</v>
      </c>
      <c r="F2892">
        <v>1</v>
      </c>
      <c r="G2892" t="str">
        <f>VLOOKUP(D2892,Товары!A:I,3,0)</f>
        <v>Зеркальный шкаф Альба 60 со светильником правый цвет суфле</v>
      </c>
      <c r="H2892">
        <f>VLOOKUP(D2892,Товары!A:I,6,0)</f>
        <v>75</v>
      </c>
      <c r="I2892" t="str">
        <f>VLOOKUP(C2892,Магазины!A:C,3,0)</f>
        <v>Ставрополь</v>
      </c>
      <c r="J2892">
        <f>VLOOKUP(D2892,Товары!A:I,4,0)</f>
        <v>8910</v>
      </c>
      <c r="K2892">
        <f t="shared" si="45"/>
        <v>8910</v>
      </c>
    </row>
    <row r="2893" spans="1:11" hidden="1" x14ac:dyDescent="0.25">
      <c r="A2893">
        <v>2892</v>
      </c>
      <c r="B2893" s="1">
        <v>45753</v>
      </c>
      <c r="C2893" t="s">
        <v>111</v>
      </c>
      <c r="D2893" t="s">
        <v>66</v>
      </c>
      <c r="E2893" t="s">
        <v>13</v>
      </c>
      <c r="F2893">
        <v>1</v>
      </c>
      <c r="G2893" t="str">
        <f>VLOOKUP(D2893,Товары!A:I,3,0)</f>
        <v>Тумба с раковиной  навес. Альба 800 мята 2 ящика с умыв. Слим</v>
      </c>
      <c r="H2893">
        <f>VLOOKUP(D2893,Товары!A:I,6,0)</f>
        <v>50</v>
      </c>
      <c r="I2893" t="str">
        <f>VLOOKUP(C2893,Магазины!A:C,3,0)</f>
        <v>Набережные Челны</v>
      </c>
      <c r="J2893">
        <f>VLOOKUP(D2893,Товары!A:I,4,0)</f>
        <v>26070</v>
      </c>
      <c r="K2893">
        <f t="shared" si="45"/>
        <v>26070</v>
      </c>
    </row>
    <row r="2894" spans="1:11" hidden="1" x14ac:dyDescent="0.25">
      <c r="A2894">
        <v>2893</v>
      </c>
      <c r="B2894" s="1">
        <v>45757</v>
      </c>
      <c r="C2894" t="s">
        <v>6</v>
      </c>
      <c r="D2894" t="s">
        <v>107</v>
      </c>
      <c r="E2894" t="s">
        <v>8</v>
      </c>
      <c r="F2894">
        <v>1</v>
      </c>
      <c r="G2894" t="str">
        <f>VLOOKUP(D2894,Товары!A:I,3,0)</f>
        <v>Комод Аква 35 напольный 1 дверь белый правый</v>
      </c>
      <c r="H2894">
        <f>VLOOKUP(D2894,Товары!A:I,6,0)</f>
        <v>90</v>
      </c>
      <c r="I2894" t="str">
        <f>VLOOKUP(C2894,Магазины!A:C,3,0)</f>
        <v>Оренбург</v>
      </c>
      <c r="J2894">
        <f>VLOOKUP(D2894,Товары!A:I,4,0)</f>
        <v>6705</v>
      </c>
      <c r="K2894">
        <f t="shared" si="45"/>
        <v>6705</v>
      </c>
    </row>
    <row r="2895" spans="1:11" hidden="1" x14ac:dyDescent="0.25">
      <c r="A2895">
        <v>2894</v>
      </c>
      <c r="B2895" s="1">
        <v>45753</v>
      </c>
      <c r="C2895" t="s">
        <v>92</v>
      </c>
      <c r="D2895" t="s">
        <v>98</v>
      </c>
      <c r="E2895" t="s">
        <v>13</v>
      </c>
      <c r="F2895">
        <v>3</v>
      </c>
      <c r="G2895" t="str">
        <f>VLOOKUP(D2895,Товары!A:I,3,0)</f>
        <v>Тумба с раковиной  напол. Рица 800 cерый/керамика 2 ящика с умыв. Слим</v>
      </c>
      <c r="H2895">
        <f>VLOOKUP(D2895,Товары!A:I,6,0)</f>
        <v>80</v>
      </c>
      <c r="I2895" t="str">
        <f>VLOOKUP(C2895,Магазины!A:C,3,0)</f>
        <v>Кемерово</v>
      </c>
      <c r="J2895">
        <f>VLOOKUP(D2895,Товары!A:I,4,0)</f>
        <v>28980</v>
      </c>
      <c r="K2895">
        <f t="shared" si="45"/>
        <v>86940</v>
      </c>
    </row>
    <row r="2896" spans="1:11" hidden="1" x14ac:dyDescent="0.25">
      <c r="A2896">
        <v>2895</v>
      </c>
      <c r="B2896" s="1">
        <v>45755</v>
      </c>
      <c r="C2896" t="s">
        <v>103</v>
      </c>
      <c r="D2896" t="s">
        <v>40</v>
      </c>
      <c r="E2896" t="s">
        <v>8</v>
      </c>
      <c r="F2896">
        <v>2</v>
      </c>
      <c r="G2896" t="str">
        <f>VLOOKUP(D2896,Товары!A:I,3,0)</f>
        <v>Тумба с раковиной  навес. Рица 800 cерый/керамика 1 ящик + ниша 1 с умыв. Слим</v>
      </c>
      <c r="H2896">
        <f>VLOOKUP(D2896,Товары!A:I,6,0)</f>
        <v>60</v>
      </c>
      <c r="I2896" t="str">
        <f>VLOOKUP(C2896,Магазины!A:C,3,0)</f>
        <v>Ставрополь</v>
      </c>
      <c r="J2896">
        <f>VLOOKUP(D2896,Товары!A:I,4,0)</f>
        <v>22425</v>
      </c>
      <c r="K2896">
        <f t="shared" si="45"/>
        <v>44850</v>
      </c>
    </row>
    <row r="2897" spans="1:11" hidden="1" x14ac:dyDescent="0.25">
      <c r="A2897">
        <v>2896</v>
      </c>
      <c r="B2897" s="1">
        <v>45751</v>
      </c>
      <c r="C2897" t="s">
        <v>41</v>
      </c>
      <c r="D2897" t="s">
        <v>10</v>
      </c>
      <c r="E2897" t="s">
        <v>8</v>
      </c>
      <c r="F2897">
        <v>3</v>
      </c>
      <c r="G2897" t="str">
        <f>VLOOKUP(D2897,Товары!A:I,3,0)</f>
        <v>Тумба с раковиной  навес. Альба 700 антрацит 1 ящик с умыв. Слим</v>
      </c>
      <c r="H2897">
        <f>VLOOKUP(D2897,Товары!A:I,6,0)</f>
        <v>45</v>
      </c>
      <c r="I2897" t="str">
        <f>VLOOKUP(C2897,Магазины!A:C,3,0)</f>
        <v>Ставрополь</v>
      </c>
      <c r="J2897">
        <f>VLOOKUP(D2897,Товары!A:I,4,0)</f>
        <v>20130</v>
      </c>
      <c r="K2897">
        <f t="shared" si="45"/>
        <v>60390</v>
      </c>
    </row>
    <row r="2898" spans="1:11" hidden="1" x14ac:dyDescent="0.25">
      <c r="A2898">
        <v>2897</v>
      </c>
      <c r="B2898" s="1">
        <v>45753</v>
      </c>
      <c r="C2898" t="s">
        <v>22</v>
      </c>
      <c r="D2898" t="s">
        <v>112</v>
      </c>
      <c r="E2898" t="s">
        <v>13</v>
      </c>
      <c r="F2898">
        <v>3</v>
      </c>
      <c r="G2898" t="str">
        <f>VLOOKUP(D2898,Товары!A:I,3,0)</f>
        <v>Тумба с раковиной  напол. Аква 560 белый 2 двери с умыв. Уют</v>
      </c>
      <c r="H2898">
        <f>VLOOKUP(D2898,Товары!A:I,6,0)</f>
        <v>85</v>
      </c>
      <c r="I2898" t="str">
        <f>VLOOKUP(C2898,Магазины!A:C,3,0)</f>
        <v>Кемерово</v>
      </c>
      <c r="J2898">
        <f>VLOOKUP(D2898,Товары!A:I,4,0)</f>
        <v>9330</v>
      </c>
      <c r="K2898">
        <f t="shared" si="45"/>
        <v>27990</v>
      </c>
    </row>
    <row r="2899" spans="1:11" hidden="1" x14ac:dyDescent="0.25">
      <c r="A2899">
        <v>2898</v>
      </c>
      <c r="B2899" s="1">
        <v>45751</v>
      </c>
      <c r="C2899" t="s">
        <v>103</v>
      </c>
      <c r="D2899" t="s">
        <v>119</v>
      </c>
      <c r="E2899" t="s">
        <v>8</v>
      </c>
      <c r="F2899">
        <v>3</v>
      </c>
      <c r="G2899" t="str">
        <f>VLOOKUP(D2899,Товары!A:I,3,0)</f>
        <v>Пенал навес./напол. Рица 350 cерый/керамика 2 двери</v>
      </c>
      <c r="H2899">
        <f>VLOOKUP(D2899,Товары!A:I,6,0)</f>
        <v>160</v>
      </c>
      <c r="I2899" t="str">
        <f>VLOOKUP(C2899,Магазины!A:C,3,0)</f>
        <v>Ставрополь</v>
      </c>
      <c r="J2899">
        <f>VLOOKUP(D2899,Товары!A:I,4,0)</f>
        <v>11250</v>
      </c>
      <c r="K2899">
        <f t="shared" si="45"/>
        <v>33750</v>
      </c>
    </row>
    <row r="2900" spans="1:11" hidden="1" x14ac:dyDescent="0.25">
      <c r="A2900">
        <v>2899</v>
      </c>
      <c r="B2900" s="1">
        <v>45749</v>
      </c>
      <c r="C2900" t="s">
        <v>103</v>
      </c>
      <c r="D2900" t="s">
        <v>122</v>
      </c>
      <c r="E2900" t="s">
        <v>13</v>
      </c>
      <c r="F2900">
        <v>1</v>
      </c>
      <c r="G2900" t="str">
        <f>VLOOKUP(D2900,Товары!A:I,3,0)</f>
        <v>Тумба с раковиной  навес. Кристалл 600 шато азур 2 ящика с умыв. Океан</v>
      </c>
      <c r="H2900">
        <f>VLOOKUP(D2900,Товары!A:I,6,0)</f>
        <v>55</v>
      </c>
      <c r="I2900" t="str">
        <f>VLOOKUP(C2900,Магазины!A:C,3,0)</f>
        <v>Ставрополь</v>
      </c>
      <c r="J2900">
        <f>VLOOKUP(D2900,Товары!A:I,4,0)</f>
        <v>21960</v>
      </c>
      <c r="K2900">
        <f t="shared" si="45"/>
        <v>21960</v>
      </c>
    </row>
    <row r="2901" spans="1:11" hidden="1" x14ac:dyDescent="0.25">
      <c r="A2901">
        <v>2900</v>
      </c>
      <c r="B2901" s="1">
        <v>45752</v>
      </c>
      <c r="C2901" t="s">
        <v>63</v>
      </c>
      <c r="D2901" t="s">
        <v>25</v>
      </c>
      <c r="E2901" t="s">
        <v>8</v>
      </c>
      <c r="F2901">
        <v>2</v>
      </c>
      <c r="G2901" t="str">
        <f>VLOOKUP(D2901,Товары!A:I,3,0)</f>
        <v>Пенал напол. Леон 400 оникс 2 двери + 1 ящик</v>
      </c>
      <c r="H2901">
        <f>VLOOKUP(D2901,Товары!A:I,6,0)</f>
        <v>190</v>
      </c>
      <c r="I2901" t="str">
        <f>VLOOKUP(C2901,Магазины!A:C,3,0)</f>
        <v>Ставрополь</v>
      </c>
      <c r="J2901">
        <f>VLOOKUP(D2901,Товары!A:I,4,0)</f>
        <v>18450</v>
      </c>
      <c r="K2901">
        <f t="shared" si="45"/>
        <v>36900</v>
      </c>
    </row>
    <row r="2902" spans="1:11" hidden="1" x14ac:dyDescent="0.25">
      <c r="A2902">
        <v>2901</v>
      </c>
      <c r="B2902" s="1">
        <v>45752</v>
      </c>
      <c r="C2902" t="s">
        <v>92</v>
      </c>
      <c r="D2902" t="s">
        <v>47</v>
      </c>
      <c r="E2902" t="s">
        <v>13</v>
      </c>
      <c r="F2902">
        <v>3</v>
      </c>
      <c r="G2902" t="str">
        <f>VLOOKUP(D2902,Товары!A:I,3,0)</f>
        <v>Пенал напол. Кристалл 350 шато азур 2 двери</v>
      </c>
      <c r="H2902">
        <f>VLOOKUP(D2902,Товары!A:I,6,0)</f>
        <v>190</v>
      </c>
      <c r="I2902" t="str">
        <f>VLOOKUP(C2902,Магазины!A:C,3,0)</f>
        <v>Кемерово</v>
      </c>
      <c r="J2902">
        <f>VLOOKUP(D2902,Товары!A:I,4,0)</f>
        <v>15810</v>
      </c>
      <c r="K2902">
        <f t="shared" si="45"/>
        <v>47430</v>
      </c>
    </row>
    <row r="2903" spans="1:11" hidden="1" x14ac:dyDescent="0.25">
      <c r="A2903">
        <v>2902</v>
      </c>
      <c r="B2903" s="1">
        <v>45748</v>
      </c>
      <c r="C2903" t="s">
        <v>92</v>
      </c>
      <c r="D2903" t="s">
        <v>112</v>
      </c>
      <c r="E2903" t="s">
        <v>8</v>
      </c>
      <c r="F2903">
        <v>3</v>
      </c>
      <c r="G2903" t="str">
        <f>VLOOKUP(D2903,Товары!A:I,3,0)</f>
        <v>Тумба с раковиной  напол. Аква 560 белый 2 двери с умыв. Уют</v>
      </c>
      <c r="H2903">
        <f>VLOOKUP(D2903,Товары!A:I,6,0)</f>
        <v>85</v>
      </c>
      <c r="I2903" t="str">
        <f>VLOOKUP(C2903,Магазины!A:C,3,0)</f>
        <v>Кемерово</v>
      </c>
      <c r="J2903">
        <f>VLOOKUP(D2903,Товары!A:I,4,0)</f>
        <v>9330</v>
      </c>
      <c r="K2903">
        <f t="shared" si="45"/>
        <v>27990</v>
      </c>
    </row>
    <row r="2904" spans="1:11" hidden="1" x14ac:dyDescent="0.25">
      <c r="A2904">
        <v>2903</v>
      </c>
      <c r="B2904" s="1">
        <v>45752</v>
      </c>
      <c r="C2904" t="s">
        <v>103</v>
      </c>
      <c r="D2904" t="s">
        <v>25</v>
      </c>
      <c r="E2904" t="s">
        <v>8</v>
      </c>
      <c r="F2904">
        <v>1</v>
      </c>
      <c r="G2904" t="str">
        <f>VLOOKUP(D2904,Товары!A:I,3,0)</f>
        <v>Пенал напол. Леон 400 оникс 2 двери + 1 ящик</v>
      </c>
      <c r="H2904">
        <f>VLOOKUP(D2904,Товары!A:I,6,0)</f>
        <v>190</v>
      </c>
      <c r="I2904" t="str">
        <f>VLOOKUP(C2904,Магазины!A:C,3,0)</f>
        <v>Ставрополь</v>
      </c>
      <c r="J2904">
        <f>VLOOKUP(D2904,Товары!A:I,4,0)</f>
        <v>18450</v>
      </c>
      <c r="K2904">
        <f t="shared" si="45"/>
        <v>18450</v>
      </c>
    </row>
    <row r="2905" spans="1:11" hidden="1" x14ac:dyDescent="0.25">
      <c r="A2905">
        <v>2904</v>
      </c>
      <c r="B2905" s="1">
        <v>45755</v>
      </c>
      <c r="C2905" t="s">
        <v>16</v>
      </c>
      <c r="D2905" t="s">
        <v>78</v>
      </c>
      <c r="E2905" t="s">
        <v>13</v>
      </c>
      <c r="F2905">
        <v>2</v>
      </c>
      <c r="G2905" t="str">
        <f>VLOOKUP(D2905,Товары!A:I,3,0)</f>
        <v>Зеркальный шкаф Кристалл 70 со светильником правый, ручка кнопка дуб цвет Шато Азур</v>
      </c>
      <c r="H2905">
        <f>VLOOKUP(D2905,Товары!A:I,6,0)</f>
        <v>75</v>
      </c>
      <c r="I2905" t="str">
        <f>VLOOKUP(C2905,Магазины!A:C,3,0)</f>
        <v>Оренбург</v>
      </c>
      <c r="J2905">
        <f>VLOOKUP(D2905,Товары!A:I,4,0)</f>
        <v>9615</v>
      </c>
      <c r="K2905">
        <f t="shared" si="45"/>
        <v>19230</v>
      </c>
    </row>
    <row r="2906" spans="1:11" hidden="1" x14ac:dyDescent="0.25">
      <c r="A2906">
        <v>2905</v>
      </c>
      <c r="B2906" s="1">
        <v>45754</v>
      </c>
      <c r="C2906" t="s">
        <v>111</v>
      </c>
      <c r="D2906" t="s">
        <v>37</v>
      </c>
      <c r="E2906" t="s">
        <v>13</v>
      </c>
      <c r="F2906">
        <v>2</v>
      </c>
      <c r="G2906" t="str">
        <f>VLOOKUP(D2906,Товары!A:I,3,0)</f>
        <v>Зеркальный шкаф Сохо 70 белый со светильником правый цвет Белый глянец</v>
      </c>
      <c r="H2906">
        <f>VLOOKUP(D2906,Товары!A:I,6,0)</f>
        <v>75</v>
      </c>
      <c r="I2906" t="str">
        <f>VLOOKUP(C2906,Магазины!A:C,3,0)</f>
        <v>Набережные Челны</v>
      </c>
      <c r="J2906">
        <f>VLOOKUP(D2906,Товары!A:I,4,0)</f>
        <v>7935</v>
      </c>
      <c r="K2906">
        <f t="shared" si="45"/>
        <v>15870</v>
      </c>
    </row>
    <row r="2907" spans="1:11" hidden="1" x14ac:dyDescent="0.25">
      <c r="A2907">
        <v>2906</v>
      </c>
      <c r="B2907" s="1">
        <v>45748</v>
      </c>
      <c r="C2907" t="s">
        <v>9</v>
      </c>
      <c r="D2907" t="s">
        <v>113</v>
      </c>
      <c r="E2907" t="s">
        <v>8</v>
      </c>
      <c r="F2907">
        <v>3</v>
      </c>
      <c r="G2907" t="str">
        <f>VLOOKUP(D2907,Товары!A:I,3,0)</f>
        <v>Зеркальный шкаф Альба 60 со светильником правый цвет мята</v>
      </c>
      <c r="H2907">
        <f>VLOOKUP(D2907,Товары!A:I,6,0)</f>
        <v>75</v>
      </c>
      <c r="I2907" t="str">
        <f>VLOOKUP(C2907,Магазины!A:C,3,0)</f>
        <v>Кемерово</v>
      </c>
      <c r="J2907">
        <f>VLOOKUP(D2907,Товары!A:I,4,0)</f>
        <v>8910</v>
      </c>
      <c r="K2907">
        <f t="shared" si="45"/>
        <v>26730</v>
      </c>
    </row>
    <row r="2908" spans="1:11" hidden="1" x14ac:dyDescent="0.25">
      <c r="A2908">
        <v>2907</v>
      </c>
      <c r="B2908" s="1">
        <v>45751</v>
      </c>
      <c r="C2908" t="s">
        <v>11</v>
      </c>
      <c r="D2908" t="s">
        <v>75</v>
      </c>
      <c r="E2908" t="s">
        <v>13</v>
      </c>
      <c r="F2908">
        <v>1</v>
      </c>
      <c r="G2908" t="str">
        <f>VLOOKUP(D2908,Товары!A:I,3,0)</f>
        <v>Тумба с раковиной  напол. Альба 600 суфле 2 ящика с умыв. Океан</v>
      </c>
      <c r="H2908">
        <f>VLOOKUP(D2908,Товары!A:I,6,0)</f>
        <v>80</v>
      </c>
      <c r="I2908" t="str">
        <f>VLOOKUP(C2908,Магазины!A:C,3,0)</f>
        <v>Кемерово</v>
      </c>
      <c r="J2908">
        <f>VLOOKUP(D2908,Товары!A:I,4,0)</f>
        <v>26370</v>
      </c>
      <c r="K2908">
        <f t="shared" si="45"/>
        <v>26370</v>
      </c>
    </row>
    <row r="2909" spans="1:11" hidden="1" x14ac:dyDescent="0.25">
      <c r="A2909">
        <v>2908</v>
      </c>
      <c r="B2909" s="1">
        <v>45756</v>
      </c>
      <c r="C2909" t="s">
        <v>48</v>
      </c>
      <c r="D2909" t="s">
        <v>114</v>
      </c>
      <c r="E2909" t="s">
        <v>8</v>
      </c>
      <c r="F2909">
        <v>2</v>
      </c>
      <c r="G2909" t="str">
        <f>VLOOKUP(D2909,Товары!A:I,3,0)</f>
        <v>Тумба с раковиной  навес. Альба 700 мята 2 ящика с умыв. Слим</v>
      </c>
      <c r="H2909">
        <f>VLOOKUP(D2909,Товары!A:I,6,0)</f>
        <v>60</v>
      </c>
      <c r="I2909" t="str">
        <f>VLOOKUP(C2909,Магазины!A:C,3,0)</f>
        <v>Ставрополь</v>
      </c>
      <c r="J2909">
        <f>VLOOKUP(D2909,Товары!A:I,4,0)</f>
        <v>25095</v>
      </c>
      <c r="K2909">
        <f t="shared" si="45"/>
        <v>50190</v>
      </c>
    </row>
    <row r="2910" spans="1:11" hidden="1" x14ac:dyDescent="0.25">
      <c r="A2910">
        <v>2909</v>
      </c>
      <c r="B2910" s="1">
        <v>45757</v>
      </c>
      <c r="C2910" t="s">
        <v>103</v>
      </c>
      <c r="D2910" t="s">
        <v>127</v>
      </c>
      <c r="E2910" t="s">
        <v>13</v>
      </c>
      <c r="F2910">
        <v>2</v>
      </c>
      <c r="G2910" t="str">
        <f>VLOOKUP(D2910,Товары!A:I,3,0)</f>
        <v>Тумба с раковиной  навес. Альба 700 мята 1 ящик с умыв. Слим</v>
      </c>
      <c r="H2910">
        <f>VLOOKUP(D2910,Товары!A:I,6,0)</f>
        <v>45</v>
      </c>
      <c r="I2910" t="str">
        <f>VLOOKUP(C2910,Магазины!A:C,3,0)</f>
        <v>Ставрополь</v>
      </c>
      <c r="J2910">
        <f>VLOOKUP(D2910,Товары!A:I,4,0)</f>
        <v>20130</v>
      </c>
      <c r="K2910">
        <f t="shared" si="45"/>
        <v>40260</v>
      </c>
    </row>
    <row r="2911" spans="1:11" hidden="1" x14ac:dyDescent="0.25">
      <c r="A2911">
        <v>2910</v>
      </c>
      <c r="B2911" s="1">
        <v>45757</v>
      </c>
      <c r="C2911" t="s">
        <v>41</v>
      </c>
      <c r="D2911" t="s">
        <v>61</v>
      </c>
      <c r="E2911" t="s">
        <v>8</v>
      </c>
      <c r="F2911">
        <v>2</v>
      </c>
      <c r="G2911" t="str">
        <f>VLOOKUP(D2911,Товары!A:I,3,0)</f>
        <v>Тумба под стиральную машину Леон Риф 57 напольная 2 ящика под ст/маш, без умывальника /под Marshall 120 Солярис/Белый Риф</v>
      </c>
      <c r="H2911">
        <f>VLOOKUP(D2911,Товары!A:I,6,0)</f>
        <v>85</v>
      </c>
      <c r="I2911" t="str">
        <f>VLOOKUP(C2911,Магазины!A:C,3,0)</f>
        <v>Ставрополь</v>
      </c>
      <c r="J2911">
        <f>VLOOKUP(D2911,Товары!A:I,4,0)</f>
        <v>17430</v>
      </c>
      <c r="K2911">
        <f t="shared" si="45"/>
        <v>34860</v>
      </c>
    </row>
    <row r="2912" spans="1:11" hidden="1" x14ac:dyDescent="0.25">
      <c r="A2912">
        <v>2911</v>
      </c>
      <c r="B2912" s="1">
        <v>45757</v>
      </c>
      <c r="C2912" t="s">
        <v>9</v>
      </c>
      <c r="D2912" t="s">
        <v>32</v>
      </c>
      <c r="E2912" t="s">
        <v>8</v>
      </c>
      <c r="F2912">
        <v>1</v>
      </c>
      <c r="G2912" t="str">
        <f>VLOOKUP(D2912,Товары!A:I,3,0)</f>
        <v>Тумба с раковиной  напол. Леон Риф 700 солярис/белый риф 2 ящика с умыв. Слим</v>
      </c>
      <c r="H2912">
        <f>VLOOKUP(D2912,Товары!A:I,6,0)</f>
        <v>85</v>
      </c>
      <c r="I2912" t="str">
        <f>VLOOKUP(C2912,Магазины!A:C,3,0)</f>
        <v>Кемерово</v>
      </c>
      <c r="J2912">
        <f>VLOOKUP(D2912,Товары!A:I,4,0)</f>
        <v>26460</v>
      </c>
      <c r="K2912">
        <f t="shared" si="45"/>
        <v>26460</v>
      </c>
    </row>
    <row r="2913" spans="1:11" hidden="1" x14ac:dyDescent="0.25">
      <c r="A2913">
        <v>2912</v>
      </c>
      <c r="B2913" s="1">
        <v>45753</v>
      </c>
      <c r="C2913" t="s">
        <v>28</v>
      </c>
      <c r="D2913" t="s">
        <v>105</v>
      </c>
      <c r="E2913" t="s">
        <v>13</v>
      </c>
      <c r="F2913">
        <v>3</v>
      </c>
      <c r="G2913" t="str">
        <f>VLOOKUP(D2913,Товары!A:I,3,0)</f>
        <v>Тумба с раковиной  напол. Нева 600 белый 2 двери + 1 ящик с умыв. Como</v>
      </c>
      <c r="H2913">
        <f>VLOOKUP(D2913,Товары!A:I,6,0)</f>
        <v>80</v>
      </c>
      <c r="I2913" t="str">
        <f>VLOOKUP(C2913,Магазины!A:C,3,0)</f>
        <v>Набережные Челны</v>
      </c>
      <c r="J2913">
        <f>VLOOKUP(D2913,Товары!A:I,4,0)</f>
        <v>13470</v>
      </c>
      <c r="K2913">
        <f t="shared" si="45"/>
        <v>40410</v>
      </c>
    </row>
    <row r="2914" spans="1:11" hidden="1" x14ac:dyDescent="0.25">
      <c r="A2914">
        <v>2913</v>
      </c>
      <c r="B2914" s="1">
        <v>45754</v>
      </c>
      <c r="C2914" t="s">
        <v>18</v>
      </c>
      <c r="D2914" t="s">
        <v>75</v>
      </c>
      <c r="E2914" t="s">
        <v>8</v>
      </c>
      <c r="F2914">
        <v>2</v>
      </c>
      <c r="G2914" t="str">
        <f>VLOOKUP(D2914,Товары!A:I,3,0)</f>
        <v>Тумба с раковиной  напол. Альба 600 суфле 2 ящика с умыв. Океан</v>
      </c>
      <c r="H2914">
        <f>VLOOKUP(D2914,Товары!A:I,6,0)</f>
        <v>80</v>
      </c>
      <c r="I2914" t="str">
        <f>VLOOKUP(C2914,Магазины!A:C,3,0)</f>
        <v>Набережные Челны</v>
      </c>
      <c r="J2914">
        <f>VLOOKUP(D2914,Товары!A:I,4,0)</f>
        <v>26370</v>
      </c>
      <c r="K2914">
        <f t="shared" si="45"/>
        <v>52740</v>
      </c>
    </row>
    <row r="2915" spans="1:11" hidden="1" x14ac:dyDescent="0.25">
      <c r="A2915">
        <v>2914</v>
      </c>
      <c r="B2915" s="1">
        <v>45754</v>
      </c>
      <c r="C2915" t="s">
        <v>111</v>
      </c>
      <c r="D2915" t="s">
        <v>83</v>
      </c>
      <c r="E2915" t="s">
        <v>8</v>
      </c>
      <c r="F2915">
        <v>1</v>
      </c>
      <c r="G2915" t="str">
        <f>VLOOKUP(D2915,Товары!A:I,3,0)</f>
        <v>Зеркальный шкаф Альба 60 со светильником правый цвет суфле</v>
      </c>
      <c r="H2915">
        <f>VLOOKUP(D2915,Товары!A:I,6,0)</f>
        <v>75</v>
      </c>
      <c r="I2915" t="str">
        <f>VLOOKUP(C2915,Магазины!A:C,3,0)</f>
        <v>Набережные Челны</v>
      </c>
      <c r="J2915">
        <f>VLOOKUP(D2915,Товары!A:I,4,0)</f>
        <v>8910</v>
      </c>
      <c r="K2915">
        <f t="shared" si="45"/>
        <v>8910</v>
      </c>
    </row>
    <row r="2916" spans="1:11" hidden="1" x14ac:dyDescent="0.25">
      <c r="A2916">
        <v>2915</v>
      </c>
      <c r="B2916" s="1">
        <v>45749</v>
      </c>
      <c r="C2916" t="s">
        <v>11</v>
      </c>
      <c r="D2916" t="s">
        <v>45</v>
      </c>
      <c r="E2916" t="s">
        <v>8</v>
      </c>
      <c r="F2916">
        <v>2</v>
      </c>
      <c r="G2916" t="str">
        <f>VLOOKUP(D2916,Товары!A:I,3,0)</f>
        <v>Зеркальный шкаф Рица 80 со светильником правый цвет cерый/керамика</v>
      </c>
      <c r="H2916">
        <f>VLOOKUP(D2916,Товары!A:I,6,0)</f>
        <v>75</v>
      </c>
      <c r="I2916" t="str">
        <f>VLOOKUP(C2916,Магазины!A:C,3,0)</f>
        <v>Кемерово</v>
      </c>
      <c r="J2916">
        <f>VLOOKUP(D2916,Товары!A:I,4,0)</f>
        <v>9930</v>
      </c>
      <c r="K2916">
        <f t="shared" si="45"/>
        <v>19860</v>
      </c>
    </row>
    <row r="2917" spans="1:11" hidden="1" x14ac:dyDescent="0.25">
      <c r="A2917">
        <v>2916</v>
      </c>
      <c r="B2917" s="1">
        <v>45757</v>
      </c>
      <c r="C2917" t="s">
        <v>33</v>
      </c>
      <c r="D2917" t="s">
        <v>12</v>
      </c>
      <c r="E2917" t="s">
        <v>8</v>
      </c>
      <c r="F2917">
        <v>2</v>
      </c>
      <c r="G2917" t="str">
        <f>VLOOKUP(D2917,Товары!A:I,3,0)</f>
        <v>Тумба с раковиной  напол. Сохо 700 белый 2 двери с умыв. Слим</v>
      </c>
      <c r="H2917">
        <f>VLOOKUP(D2917,Товары!A:I,6,0)</f>
        <v>85</v>
      </c>
      <c r="I2917" t="str">
        <f>VLOOKUP(C2917,Магазины!A:C,3,0)</f>
        <v>Набережные Челны</v>
      </c>
      <c r="J2917">
        <f>VLOOKUP(D2917,Товары!A:I,4,0)</f>
        <v>17160</v>
      </c>
      <c r="K2917">
        <f t="shared" si="45"/>
        <v>34320</v>
      </c>
    </row>
    <row r="2918" spans="1:11" hidden="1" x14ac:dyDescent="0.25">
      <c r="A2918">
        <v>2917</v>
      </c>
      <c r="B2918" s="1">
        <v>45757</v>
      </c>
      <c r="C2918" t="s">
        <v>26</v>
      </c>
      <c r="D2918" t="s">
        <v>125</v>
      </c>
      <c r="E2918" t="s">
        <v>13</v>
      </c>
      <c r="F2918">
        <v>1</v>
      </c>
      <c r="G2918" t="str">
        <f>VLOOKUP(D2918,Товары!A:I,3,0)</f>
        <v>Зеркальный шкаф Сохо 60 белый со светильником правый цвет Белый глянец</v>
      </c>
      <c r="H2918">
        <f>VLOOKUP(D2918,Товары!A:I,6,0)</f>
        <v>75</v>
      </c>
      <c r="I2918" t="str">
        <f>VLOOKUP(C2918,Магазины!A:C,3,0)</f>
        <v>Оренбург</v>
      </c>
      <c r="J2918">
        <f>VLOOKUP(D2918,Товары!A:I,4,0)</f>
        <v>7395</v>
      </c>
      <c r="K2918">
        <f t="shared" si="45"/>
        <v>7395</v>
      </c>
    </row>
    <row r="2919" spans="1:11" hidden="1" x14ac:dyDescent="0.25">
      <c r="A2919">
        <v>2918</v>
      </c>
      <c r="B2919" s="1">
        <v>45752</v>
      </c>
      <c r="C2919" t="s">
        <v>111</v>
      </c>
      <c r="D2919" t="s">
        <v>81</v>
      </c>
      <c r="E2919" t="s">
        <v>13</v>
      </c>
      <c r="F2919">
        <v>2</v>
      </c>
      <c r="G2919" t="str">
        <f>VLOOKUP(D2919,Товары!A:I,3,0)</f>
        <v>Тумба с раковиной  навес. Рица 600 cерый/керамика 1 ящик + ниша 1 с умыв. Океан</v>
      </c>
      <c r="H2919">
        <f>VLOOKUP(D2919,Товары!A:I,6,0)</f>
        <v>60</v>
      </c>
      <c r="I2919" t="str">
        <f>VLOOKUP(C2919,Магазины!A:C,3,0)</f>
        <v>Набережные Челны</v>
      </c>
      <c r="J2919">
        <f>VLOOKUP(D2919,Товары!A:I,4,0)</f>
        <v>18900</v>
      </c>
      <c r="K2919">
        <f t="shared" si="45"/>
        <v>37800</v>
      </c>
    </row>
    <row r="2920" spans="1:11" hidden="1" x14ac:dyDescent="0.25">
      <c r="A2920">
        <v>2919</v>
      </c>
      <c r="B2920" s="1">
        <v>45754</v>
      </c>
      <c r="C2920" t="s">
        <v>11</v>
      </c>
      <c r="D2920" t="s">
        <v>29</v>
      </c>
      <c r="E2920" t="s">
        <v>8</v>
      </c>
      <c r="F2920">
        <v>1</v>
      </c>
      <c r="G2920" t="str">
        <f>VLOOKUP(D2920,Товары!A:I,3,0)</f>
        <v>Тумба с раковиной  напол. Леон Риф 600 солярис/белый риф 2 ящика с умыв. Океан</v>
      </c>
      <c r="H2920">
        <f>VLOOKUP(D2920,Товары!A:I,6,0)</f>
        <v>80</v>
      </c>
      <c r="I2920" t="str">
        <f>VLOOKUP(C2920,Магазины!A:C,3,0)</f>
        <v>Кемерово</v>
      </c>
      <c r="J2920">
        <f>VLOOKUP(D2920,Товары!A:I,4,0)</f>
        <v>24150</v>
      </c>
      <c r="K2920">
        <f t="shared" si="45"/>
        <v>24150</v>
      </c>
    </row>
    <row r="2921" spans="1:11" hidden="1" x14ac:dyDescent="0.25">
      <c r="A2921">
        <v>2920</v>
      </c>
      <c r="B2921" s="1">
        <v>45749</v>
      </c>
      <c r="C2921" t="s">
        <v>18</v>
      </c>
      <c r="D2921" t="s">
        <v>19</v>
      </c>
      <c r="E2921" t="s">
        <v>13</v>
      </c>
      <c r="F2921">
        <v>2</v>
      </c>
      <c r="G2921" t="str">
        <f>VLOOKUP(D2921,Товары!A:I,3,0)</f>
        <v>Тумба с раковиной  навес. Леон 800 оникс 2 ящика с умыв. Слим</v>
      </c>
      <c r="H2921">
        <f>VLOOKUP(D2921,Товары!A:I,6,0)</f>
        <v>60</v>
      </c>
      <c r="I2921" t="str">
        <f>VLOOKUP(C2921,Магазины!A:C,3,0)</f>
        <v>Набережные Челны</v>
      </c>
      <c r="J2921">
        <f>VLOOKUP(D2921,Товары!A:I,4,0)</f>
        <v>27930</v>
      </c>
      <c r="K2921">
        <f t="shared" si="45"/>
        <v>55860</v>
      </c>
    </row>
    <row r="2922" spans="1:11" hidden="1" x14ac:dyDescent="0.25">
      <c r="A2922">
        <v>2921</v>
      </c>
      <c r="B2922" s="1">
        <v>45756</v>
      </c>
      <c r="C2922" t="s">
        <v>111</v>
      </c>
      <c r="D2922" t="s">
        <v>50</v>
      </c>
      <c r="E2922" t="s">
        <v>8</v>
      </c>
      <c r="F2922">
        <v>2</v>
      </c>
      <c r="G2922" t="str">
        <f>VLOOKUP(D2922,Товары!A:I,3,0)</f>
        <v>Тумба с раковиной  напол. Леон 800 оникс 2 ящика с умыв. Слим</v>
      </c>
      <c r="H2922">
        <f>VLOOKUP(D2922,Товары!A:I,6,0)</f>
        <v>80</v>
      </c>
      <c r="I2922" t="str">
        <f>VLOOKUP(C2922,Магазины!A:C,3,0)</f>
        <v>Набережные Челны</v>
      </c>
      <c r="J2922">
        <f>VLOOKUP(D2922,Товары!A:I,4,0)</f>
        <v>29400</v>
      </c>
      <c r="K2922">
        <f t="shared" si="45"/>
        <v>58800</v>
      </c>
    </row>
    <row r="2923" spans="1:11" hidden="1" x14ac:dyDescent="0.25">
      <c r="A2923">
        <v>2922</v>
      </c>
      <c r="B2923" s="1">
        <v>45751</v>
      </c>
      <c r="C2923" t="s">
        <v>33</v>
      </c>
      <c r="D2923" t="s">
        <v>39</v>
      </c>
      <c r="E2923" t="s">
        <v>8</v>
      </c>
      <c r="F2923">
        <v>2</v>
      </c>
      <c r="G2923" t="str">
        <f>VLOOKUP(D2923,Товары!A:I,3,0)</f>
        <v>Тумба с раковиной  напол. Альба 700 мята 2 ящика с умыв. Слим</v>
      </c>
      <c r="H2923">
        <f>VLOOKUP(D2923,Товары!A:I,6,0)</f>
        <v>85</v>
      </c>
      <c r="I2923" t="str">
        <f>VLOOKUP(C2923,Магазины!A:C,3,0)</f>
        <v>Набережные Челны</v>
      </c>
      <c r="J2923">
        <f>VLOOKUP(D2923,Товары!A:I,4,0)</f>
        <v>28695</v>
      </c>
      <c r="K2923">
        <f t="shared" si="45"/>
        <v>57390</v>
      </c>
    </row>
    <row r="2924" spans="1:11" hidden="1" x14ac:dyDescent="0.25">
      <c r="A2924">
        <v>2923</v>
      </c>
      <c r="B2924" s="1">
        <v>45751</v>
      </c>
      <c r="C2924" t="s">
        <v>63</v>
      </c>
      <c r="D2924" t="s">
        <v>114</v>
      </c>
      <c r="E2924" t="s">
        <v>8</v>
      </c>
      <c r="F2924">
        <v>1</v>
      </c>
      <c r="G2924" t="str">
        <f>VLOOKUP(D2924,Товары!A:I,3,0)</f>
        <v>Тумба с раковиной  навес. Альба 700 мята 2 ящика с умыв. Слим</v>
      </c>
      <c r="H2924">
        <f>VLOOKUP(D2924,Товары!A:I,6,0)</f>
        <v>60</v>
      </c>
      <c r="I2924" t="str">
        <f>VLOOKUP(C2924,Магазины!A:C,3,0)</f>
        <v>Ставрополь</v>
      </c>
      <c r="J2924">
        <f>VLOOKUP(D2924,Товары!A:I,4,0)</f>
        <v>25095</v>
      </c>
      <c r="K2924">
        <f t="shared" si="45"/>
        <v>25095</v>
      </c>
    </row>
    <row r="2925" spans="1:11" hidden="1" x14ac:dyDescent="0.25">
      <c r="A2925">
        <v>2924</v>
      </c>
      <c r="B2925" s="1">
        <v>45754</v>
      </c>
      <c r="C2925" t="s">
        <v>16</v>
      </c>
      <c r="D2925" t="s">
        <v>96</v>
      </c>
      <c r="E2925" t="s">
        <v>13</v>
      </c>
      <c r="F2925">
        <v>2</v>
      </c>
      <c r="G2925" t="str">
        <f>VLOOKUP(D2925,Товары!A:I,3,0)</f>
        <v>Тумба с раковиной  навес. Альба 600 мята 1 ящик с умыв. Океан</v>
      </c>
      <c r="H2925">
        <f>VLOOKUP(D2925,Товары!A:I,6,0)</f>
        <v>85</v>
      </c>
      <c r="I2925" t="str">
        <f>VLOOKUP(C2925,Магазины!A:C,3,0)</f>
        <v>Оренбург</v>
      </c>
      <c r="J2925">
        <f>VLOOKUP(D2925,Товары!A:I,4,0)</f>
        <v>17625</v>
      </c>
      <c r="K2925">
        <f t="shared" si="45"/>
        <v>35250</v>
      </c>
    </row>
    <row r="2926" spans="1:11" hidden="1" x14ac:dyDescent="0.25">
      <c r="A2926">
        <v>2925</v>
      </c>
      <c r="B2926" s="1">
        <v>45755</v>
      </c>
      <c r="C2926" t="s">
        <v>30</v>
      </c>
      <c r="D2926" t="s">
        <v>61</v>
      </c>
      <c r="E2926" t="s">
        <v>8</v>
      </c>
      <c r="F2926">
        <v>1</v>
      </c>
      <c r="G2926" t="str">
        <f>VLOOKUP(D2926,Товары!A:I,3,0)</f>
        <v>Тумба под стиральную машину Леон Риф 57 напольная 2 ящика под ст/маш, без умывальника /под Marshall 120 Солярис/Белый Риф</v>
      </c>
      <c r="H2926">
        <f>VLOOKUP(D2926,Товары!A:I,6,0)</f>
        <v>85</v>
      </c>
      <c r="I2926" t="str">
        <f>VLOOKUP(C2926,Магазины!A:C,3,0)</f>
        <v>Кемерово</v>
      </c>
      <c r="J2926">
        <f>VLOOKUP(D2926,Товары!A:I,4,0)</f>
        <v>17430</v>
      </c>
      <c r="K2926">
        <f t="shared" si="45"/>
        <v>17430</v>
      </c>
    </row>
    <row r="2927" spans="1:11" hidden="1" x14ac:dyDescent="0.25">
      <c r="A2927">
        <v>2926</v>
      </c>
      <c r="B2927" s="1">
        <v>45750</v>
      </c>
      <c r="C2927" t="s">
        <v>14</v>
      </c>
      <c r="D2927" t="s">
        <v>50</v>
      </c>
      <c r="E2927" t="s">
        <v>8</v>
      </c>
      <c r="F2927">
        <v>3</v>
      </c>
      <c r="G2927" t="str">
        <f>VLOOKUP(D2927,Товары!A:I,3,0)</f>
        <v>Тумба с раковиной  напол. Леон 800 оникс 2 ящика с умыв. Слим</v>
      </c>
      <c r="H2927">
        <f>VLOOKUP(D2927,Товары!A:I,6,0)</f>
        <v>80</v>
      </c>
      <c r="I2927" t="str">
        <f>VLOOKUP(C2927,Магазины!A:C,3,0)</f>
        <v>Оренбург</v>
      </c>
      <c r="J2927">
        <f>VLOOKUP(D2927,Товары!A:I,4,0)</f>
        <v>29400</v>
      </c>
      <c r="K2927">
        <f t="shared" si="45"/>
        <v>88200</v>
      </c>
    </row>
    <row r="2928" spans="1:11" hidden="1" x14ac:dyDescent="0.25">
      <c r="A2928">
        <v>2927</v>
      </c>
      <c r="B2928" s="1">
        <v>45749</v>
      </c>
      <c r="C2928" t="s">
        <v>16</v>
      </c>
      <c r="D2928" t="s">
        <v>123</v>
      </c>
      <c r="E2928" t="s">
        <v>13</v>
      </c>
      <c r="F2928">
        <v>2</v>
      </c>
      <c r="G2928" t="str">
        <f>VLOOKUP(D2928,Товары!A:I,3,0)</f>
        <v>Тумба с раковиной  напол. Кристалл 800 суфле 2 ящика с умыв. Слим</v>
      </c>
      <c r="H2928">
        <f>VLOOKUP(D2928,Товары!A:I,6,0)</f>
        <v>80</v>
      </c>
      <c r="I2928" t="str">
        <f>VLOOKUP(C2928,Магазины!A:C,3,0)</f>
        <v>Оренбург</v>
      </c>
      <c r="J2928">
        <f>VLOOKUP(D2928,Товары!A:I,4,0)</f>
        <v>31125</v>
      </c>
      <c r="K2928">
        <f t="shared" si="45"/>
        <v>62250</v>
      </c>
    </row>
    <row r="2929" spans="1:11" hidden="1" x14ac:dyDescent="0.25">
      <c r="A2929">
        <v>2928</v>
      </c>
      <c r="B2929" s="1">
        <v>45750</v>
      </c>
      <c r="C2929" t="s">
        <v>16</v>
      </c>
      <c r="D2929" t="s">
        <v>121</v>
      </c>
      <c r="E2929" t="s">
        <v>8</v>
      </c>
      <c r="F2929">
        <v>3</v>
      </c>
      <c r="G2929" t="str">
        <f>VLOOKUP(D2929,Товары!A:I,3,0)</f>
        <v>Тумба с раковиной  напол. Куба Риф 600 белый 2 двери с умыв. Como</v>
      </c>
      <c r="H2929">
        <f>VLOOKUP(D2929,Товары!A:I,6,0)</f>
        <v>85</v>
      </c>
      <c r="I2929" t="str">
        <f>VLOOKUP(C2929,Магазины!A:C,3,0)</f>
        <v>Оренбург</v>
      </c>
      <c r="J2929">
        <f>VLOOKUP(D2929,Товары!A:I,4,0)</f>
        <v>13695</v>
      </c>
      <c r="K2929">
        <f t="shared" si="45"/>
        <v>41085</v>
      </c>
    </row>
    <row r="2930" spans="1:11" hidden="1" x14ac:dyDescent="0.25">
      <c r="A2930">
        <v>2929</v>
      </c>
      <c r="B2930" s="1">
        <v>45752</v>
      </c>
      <c r="C2930" t="s">
        <v>16</v>
      </c>
      <c r="D2930" t="s">
        <v>117</v>
      </c>
      <c r="E2930" t="s">
        <v>13</v>
      </c>
      <c r="F2930">
        <v>3</v>
      </c>
      <c r="G2930" t="str">
        <f>VLOOKUP(D2930,Товары!A:I,3,0)</f>
        <v>Тумба с раковиной  навес. Альба 700 антрацит 2 ящика с умыв. Слим</v>
      </c>
      <c r="H2930">
        <f>VLOOKUP(D2930,Товары!A:I,6,0)</f>
        <v>60</v>
      </c>
      <c r="I2930" t="str">
        <f>VLOOKUP(C2930,Магазины!A:C,3,0)</f>
        <v>Оренбург</v>
      </c>
      <c r="J2930">
        <f>VLOOKUP(D2930,Товары!A:I,4,0)</f>
        <v>25095</v>
      </c>
      <c r="K2930">
        <f t="shared" si="45"/>
        <v>75285</v>
      </c>
    </row>
    <row r="2931" spans="1:11" hidden="1" x14ac:dyDescent="0.25">
      <c r="A2931">
        <v>2930</v>
      </c>
      <c r="B2931" s="1">
        <v>45752</v>
      </c>
      <c r="C2931" t="s">
        <v>54</v>
      </c>
      <c r="D2931" t="s">
        <v>84</v>
      </c>
      <c r="E2931" t="s">
        <v>13</v>
      </c>
      <c r="F2931">
        <v>1</v>
      </c>
      <c r="G2931" t="str">
        <f>VLOOKUP(D2931,Товары!A:I,3,0)</f>
        <v>Тумба с раковиной  напол. Куба Риф 800 белый 3 двери с умыв. Слим</v>
      </c>
      <c r="H2931">
        <f>VLOOKUP(D2931,Товары!A:I,6,0)</f>
        <v>85</v>
      </c>
      <c r="I2931" t="str">
        <f>VLOOKUP(C2931,Магазины!A:C,3,0)</f>
        <v>Ставрополь</v>
      </c>
      <c r="J2931">
        <f>VLOOKUP(D2931,Товары!A:I,4,0)</f>
        <v>19920</v>
      </c>
      <c r="K2931">
        <f t="shared" si="45"/>
        <v>19920</v>
      </c>
    </row>
    <row r="2932" spans="1:11" hidden="1" x14ac:dyDescent="0.25">
      <c r="A2932">
        <v>2931</v>
      </c>
      <c r="B2932" s="1">
        <v>45752</v>
      </c>
      <c r="C2932" t="s">
        <v>28</v>
      </c>
      <c r="D2932" t="s">
        <v>78</v>
      </c>
      <c r="E2932" t="s">
        <v>13</v>
      </c>
      <c r="F2932">
        <v>3</v>
      </c>
      <c r="G2932" t="str">
        <f>VLOOKUP(D2932,Товары!A:I,3,0)</f>
        <v>Зеркальный шкаф Кристалл 70 со светильником правый, ручка кнопка дуб цвет Шато Азур</v>
      </c>
      <c r="H2932">
        <f>VLOOKUP(D2932,Товары!A:I,6,0)</f>
        <v>75</v>
      </c>
      <c r="I2932" t="str">
        <f>VLOOKUP(C2932,Магазины!A:C,3,0)</f>
        <v>Набережные Челны</v>
      </c>
      <c r="J2932">
        <f>VLOOKUP(D2932,Товары!A:I,4,0)</f>
        <v>9615</v>
      </c>
      <c r="K2932">
        <f t="shared" si="45"/>
        <v>28845</v>
      </c>
    </row>
    <row r="2933" spans="1:11" hidden="1" x14ac:dyDescent="0.25">
      <c r="A2933">
        <v>2932</v>
      </c>
      <c r="B2933" s="1">
        <v>45750</v>
      </c>
      <c r="C2933" t="s">
        <v>30</v>
      </c>
      <c r="D2933" t="s">
        <v>64</v>
      </c>
      <c r="E2933" t="s">
        <v>13</v>
      </c>
      <c r="F2933">
        <v>1</v>
      </c>
      <c r="G2933" t="str">
        <f>VLOOKUP(D2933,Товары!A:I,3,0)</f>
        <v>Тумба с раковиной  напол. Рица 800 антрацит 2 ящика с умыв. Слим</v>
      </c>
      <c r="H2933">
        <f>VLOOKUP(D2933,Товары!A:I,6,0)</f>
        <v>80</v>
      </c>
      <c r="I2933" t="str">
        <f>VLOOKUP(C2933,Магазины!A:C,3,0)</f>
        <v>Кемерово</v>
      </c>
      <c r="J2933">
        <f>VLOOKUP(D2933,Товары!A:I,4,0)</f>
        <v>28980</v>
      </c>
      <c r="K2933">
        <f t="shared" si="45"/>
        <v>28980</v>
      </c>
    </row>
    <row r="2934" spans="1:11" hidden="1" x14ac:dyDescent="0.25">
      <c r="A2934">
        <v>2933</v>
      </c>
      <c r="B2934" s="1">
        <v>45751</v>
      </c>
      <c r="C2934" t="s">
        <v>16</v>
      </c>
      <c r="D2934" t="s">
        <v>127</v>
      </c>
      <c r="E2934" t="s">
        <v>8</v>
      </c>
      <c r="F2934">
        <v>2</v>
      </c>
      <c r="G2934" t="str">
        <f>VLOOKUP(D2934,Товары!A:I,3,0)</f>
        <v>Тумба с раковиной  навес. Альба 700 мята 1 ящик с умыв. Слим</v>
      </c>
      <c r="H2934">
        <f>VLOOKUP(D2934,Товары!A:I,6,0)</f>
        <v>45</v>
      </c>
      <c r="I2934" t="str">
        <f>VLOOKUP(C2934,Магазины!A:C,3,0)</f>
        <v>Оренбург</v>
      </c>
      <c r="J2934">
        <f>VLOOKUP(D2934,Товары!A:I,4,0)</f>
        <v>20130</v>
      </c>
      <c r="K2934">
        <f t="shared" si="45"/>
        <v>40260</v>
      </c>
    </row>
    <row r="2935" spans="1:11" hidden="1" x14ac:dyDescent="0.25">
      <c r="A2935">
        <v>2934</v>
      </c>
      <c r="B2935" s="1">
        <v>45752</v>
      </c>
      <c r="C2935" t="s">
        <v>26</v>
      </c>
      <c r="D2935" t="s">
        <v>59</v>
      </c>
      <c r="E2935" t="s">
        <v>8</v>
      </c>
      <c r="F2935">
        <v>1</v>
      </c>
      <c r="G2935" t="str">
        <f>VLOOKUP(D2935,Товары!A:I,3,0)</f>
        <v>Тумба с раковиной  навес. Куба Риф 600 белый 2 ящика с умыв. Океан</v>
      </c>
      <c r="H2935">
        <f>VLOOKUP(D2935,Товары!A:I,6,0)</f>
        <v>55</v>
      </c>
      <c r="I2935" t="str">
        <f>VLOOKUP(C2935,Магазины!A:C,3,0)</f>
        <v>Оренбург</v>
      </c>
      <c r="J2935">
        <f>VLOOKUP(D2935,Товары!A:I,4,0)</f>
        <v>15765</v>
      </c>
      <c r="K2935">
        <f t="shared" si="45"/>
        <v>15765</v>
      </c>
    </row>
    <row r="2936" spans="1:11" hidden="1" x14ac:dyDescent="0.25">
      <c r="A2936">
        <v>2935</v>
      </c>
      <c r="B2936" s="1">
        <v>45749</v>
      </c>
      <c r="C2936" t="s">
        <v>111</v>
      </c>
      <c r="D2936" t="s">
        <v>61</v>
      </c>
      <c r="E2936" t="s">
        <v>13</v>
      </c>
      <c r="F2936">
        <v>3</v>
      </c>
      <c r="G2936" t="str">
        <f>VLOOKUP(D2936,Товары!A:I,3,0)</f>
        <v>Тумба под стиральную машину Леон Риф 57 напольная 2 ящика под ст/маш, без умывальника /под Marshall 120 Солярис/Белый Риф</v>
      </c>
      <c r="H2936">
        <f>VLOOKUP(D2936,Товары!A:I,6,0)</f>
        <v>85</v>
      </c>
      <c r="I2936" t="str">
        <f>VLOOKUP(C2936,Магазины!A:C,3,0)</f>
        <v>Набережные Челны</v>
      </c>
      <c r="J2936">
        <f>VLOOKUP(D2936,Товары!A:I,4,0)</f>
        <v>17430</v>
      </c>
      <c r="K2936">
        <f t="shared" si="45"/>
        <v>52290</v>
      </c>
    </row>
    <row r="2937" spans="1:11" hidden="1" x14ac:dyDescent="0.25">
      <c r="A2937">
        <v>2936</v>
      </c>
      <c r="B2937" s="1">
        <v>45755</v>
      </c>
      <c r="C2937" t="s">
        <v>6</v>
      </c>
      <c r="D2937" t="s">
        <v>113</v>
      </c>
      <c r="E2937" t="s">
        <v>8</v>
      </c>
      <c r="F2937">
        <v>2</v>
      </c>
      <c r="G2937" t="str">
        <f>VLOOKUP(D2937,Товары!A:I,3,0)</f>
        <v>Зеркальный шкаф Альба 60 со светильником правый цвет мята</v>
      </c>
      <c r="H2937">
        <f>VLOOKUP(D2937,Товары!A:I,6,0)</f>
        <v>75</v>
      </c>
      <c r="I2937" t="str">
        <f>VLOOKUP(C2937,Магазины!A:C,3,0)</f>
        <v>Оренбург</v>
      </c>
      <c r="J2937">
        <f>VLOOKUP(D2937,Товары!A:I,4,0)</f>
        <v>8910</v>
      </c>
      <c r="K2937">
        <f t="shared" si="45"/>
        <v>17820</v>
      </c>
    </row>
    <row r="2938" spans="1:11" hidden="1" x14ac:dyDescent="0.25">
      <c r="A2938">
        <v>2937</v>
      </c>
      <c r="B2938" s="1">
        <v>45753</v>
      </c>
      <c r="C2938" t="s">
        <v>6</v>
      </c>
      <c r="D2938" t="s">
        <v>90</v>
      </c>
      <c r="E2938" t="s">
        <v>8</v>
      </c>
      <c r="F2938">
        <v>1</v>
      </c>
      <c r="G2938" t="str">
        <f>VLOOKUP(D2938,Товары!A:I,3,0)</f>
        <v>Пенал напол. Аква 350 белый 2 двери + 2 ящика</v>
      </c>
      <c r="H2938">
        <f>VLOOKUP(D2938,Товары!A:I,6,0)</f>
        <v>190</v>
      </c>
      <c r="I2938" t="str">
        <f>VLOOKUP(C2938,Магазины!A:C,3,0)</f>
        <v>Оренбург</v>
      </c>
      <c r="J2938">
        <f>VLOOKUP(D2938,Товары!A:I,4,0)</f>
        <v>10650</v>
      </c>
      <c r="K2938">
        <f t="shared" si="45"/>
        <v>10650</v>
      </c>
    </row>
    <row r="2939" spans="1:11" hidden="1" x14ac:dyDescent="0.25">
      <c r="A2939">
        <v>2938</v>
      </c>
      <c r="B2939" s="1">
        <v>45749</v>
      </c>
      <c r="C2939" t="s">
        <v>14</v>
      </c>
      <c r="D2939" t="s">
        <v>59</v>
      </c>
      <c r="E2939" t="s">
        <v>8</v>
      </c>
      <c r="F2939">
        <v>2</v>
      </c>
      <c r="G2939" t="str">
        <f>VLOOKUP(D2939,Товары!A:I,3,0)</f>
        <v>Тумба с раковиной  навес. Куба Риф 600 белый 2 ящика с умыв. Океан</v>
      </c>
      <c r="H2939">
        <f>VLOOKUP(D2939,Товары!A:I,6,0)</f>
        <v>55</v>
      </c>
      <c r="I2939" t="str">
        <f>VLOOKUP(C2939,Магазины!A:C,3,0)</f>
        <v>Оренбург</v>
      </c>
      <c r="J2939">
        <f>VLOOKUP(D2939,Товары!A:I,4,0)</f>
        <v>15765</v>
      </c>
      <c r="K2939">
        <f t="shared" si="45"/>
        <v>31530</v>
      </c>
    </row>
    <row r="2940" spans="1:11" hidden="1" x14ac:dyDescent="0.25">
      <c r="A2940">
        <v>2939</v>
      </c>
      <c r="B2940" s="1">
        <v>45748</v>
      </c>
      <c r="C2940" t="s">
        <v>35</v>
      </c>
      <c r="D2940" t="s">
        <v>37</v>
      </c>
      <c r="E2940" t="s">
        <v>13</v>
      </c>
      <c r="F2940">
        <v>3</v>
      </c>
      <c r="G2940" t="str">
        <f>VLOOKUP(D2940,Товары!A:I,3,0)</f>
        <v>Зеркальный шкаф Сохо 70 белый со светильником правый цвет Белый глянец</v>
      </c>
      <c r="H2940">
        <f>VLOOKUP(D2940,Товары!A:I,6,0)</f>
        <v>75</v>
      </c>
      <c r="I2940" t="str">
        <f>VLOOKUP(C2940,Магазины!A:C,3,0)</f>
        <v>Набережные Челны</v>
      </c>
      <c r="J2940">
        <f>VLOOKUP(D2940,Товары!A:I,4,0)</f>
        <v>7935</v>
      </c>
      <c r="K2940">
        <f t="shared" si="45"/>
        <v>23805</v>
      </c>
    </row>
    <row r="2941" spans="1:11" hidden="1" x14ac:dyDescent="0.25">
      <c r="A2941">
        <v>2940</v>
      </c>
      <c r="B2941" s="1">
        <v>45751</v>
      </c>
      <c r="C2941" t="s">
        <v>26</v>
      </c>
      <c r="D2941" t="s">
        <v>77</v>
      </c>
      <c r="E2941" t="s">
        <v>13</v>
      </c>
      <c r="F2941">
        <v>2</v>
      </c>
      <c r="G2941" t="str">
        <f>VLOOKUP(D2941,Товары!A:I,3,0)</f>
        <v>Тумба с раковиной  напол. Куба Риф 600 белый 2 ящика с умыв. Como</v>
      </c>
      <c r="H2941">
        <f>VLOOKUP(D2941,Товары!A:I,6,0)</f>
        <v>85</v>
      </c>
      <c r="I2941" t="str">
        <f>VLOOKUP(C2941,Магазины!A:C,3,0)</f>
        <v>Оренбург</v>
      </c>
      <c r="J2941">
        <f>VLOOKUP(D2941,Товары!A:I,4,0)</f>
        <v>15660</v>
      </c>
      <c r="K2941">
        <f t="shared" si="45"/>
        <v>31320</v>
      </c>
    </row>
    <row r="2942" spans="1:11" hidden="1" x14ac:dyDescent="0.25">
      <c r="A2942">
        <v>2941</v>
      </c>
      <c r="B2942" s="1">
        <v>45756</v>
      </c>
      <c r="C2942" t="s">
        <v>35</v>
      </c>
      <c r="D2942" t="s">
        <v>45</v>
      </c>
      <c r="E2942" t="s">
        <v>13</v>
      </c>
      <c r="F2942">
        <v>1</v>
      </c>
      <c r="G2942" t="str">
        <f>VLOOKUP(D2942,Товары!A:I,3,0)</f>
        <v>Зеркальный шкаф Рица 80 со светильником правый цвет cерый/керамика</v>
      </c>
      <c r="H2942">
        <f>VLOOKUP(D2942,Товары!A:I,6,0)</f>
        <v>75</v>
      </c>
      <c r="I2942" t="str">
        <f>VLOOKUP(C2942,Магазины!A:C,3,0)</f>
        <v>Набережные Челны</v>
      </c>
      <c r="J2942">
        <f>VLOOKUP(D2942,Товары!A:I,4,0)</f>
        <v>9930</v>
      </c>
      <c r="K2942">
        <f t="shared" si="45"/>
        <v>9930</v>
      </c>
    </row>
    <row r="2943" spans="1:11" hidden="1" x14ac:dyDescent="0.25">
      <c r="A2943">
        <v>2942</v>
      </c>
      <c r="B2943" s="1">
        <v>45748</v>
      </c>
      <c r="C2943" t="s">
        <v>30</v>
      </c>
      <c r="D2943" t="s">
        <v>109</v>
      </c>
      <c r="E2943" t="s">
        <v>8</v>
      </c>
      <c r="F2943">
        <v>2</v>
      </c>
      <c r="G2943" t="str">
        <f>VLOOKUP(D2943,Товары!A:I,3,0)</f>
        <v>Тумба с раковиной  навес. Альба 600 антрацит 2 ящика с умыв. Океан</v>
      </c>
      <c r="H2943">
        <f>VLOOKUP(D2943,Товары!A:I,6,0)</f>
        <v>50</v>
      </c>
      <c r="I2943" t="str">
        <f>VLOOKUP(C2943,Магазины!A:C,3,0)</f>
        <v>Кемерово</v>
      </c>
      <c r="J2943">
        <f>VLOOKUP(D2943,Товары!A:I,4,0)</f>
        <v>24810</v>
      </c>
      <c r="K2943">
        <f t="shared" si="45"/>
        <v>49620</v>
      </c>
    </row>
    <row r="2944" spans="1:11" hidden="1" x14ac:dyDescent="0.25">
      <c r="A2944">
        <v>2943</v>
      </c>
      <c r="B2944" s="1">
        <v>45755</v>
      </c>
      <c r="C2944" t="s">
        <v>43</v>
      </c>
      <c r="D2944" t="s">
        <v>130</v>
      </c>
      <c r="E2944" t="s">
        <v>8</v>
      </c>
      <c r="F2944">
        <v>2</v>
      </c>
      <c r="G2944" t="str">
        <f>VLOOKUP(D2944,Товары!A:I,3,0)</f>
        <v>Пенал напол. Леон 400 форест 2 двери + 1 ящик</v>
      </c>
      <c r="H2944">
        <f>VLOOKUP(D2944,Товары!A:I,6,0)</f>
        <v>190</v>
      </c>
      <c r="I2944" t="str">
        <f>VLOOKUP(C2944,Магазины!A:C,3,0)</f>
        <v>Набережные Челны</v>
      </c>
      <c r="J2944">
        <f>VLOOKUP(D2944,Товары!A:I,4,0)</f>
        <v>18450</v>
      </c>
      <c r="K2944">
        <f t="shared" si="45"/>
        <v>36900</v>
      </c>
    </row>
    <row r="2945" spans="1:11" hidden="1" x14ac:dyDescent="0.25">
      <c r="A2945">
        <v>2944</v>
      </c>
      <c r="B2945" s="1">
        <v>45750</v>
      </c>
      <c r="C2945" t="s">
        <v>57</v>
      </c>
      <c r="D2945" t="s">
        <v>131</v>
      </c>
      <c r="E2945" t="s">
        <v>8</v>
      </c>
      <c r="F2945">
        <v>2</v>
      </c>
      <c r="G2945" t="str">
        <f>VLOOKUP(D2945,Товары!A:I,3,0)</f>
        <v>Тумба с раковиной  напол. Леон 800 форест 2 ящика с умыв. Слим</v>
      </c>
      <c r="H2945">
        <f>VLOOKUP(D2945,Товары!A:I,6,0)</f>
        <v>80</v>
      </c>
      <c r="I2945" t="str">
        <f>VLOOKUP(C2945,Магазины!A:C,3,0)</f>
        <v>Оренбург</v>
      </c>
      <c r="J2945">
        <f>VLOOKUP(D2945,Товары!A:I,4,0)</f>
        <v>29400</v>
      </c>
      <c r="K2945">
        <f t="shared" si="45"/>
        <v>58800</v>
      </c>
    </row>
    <row r="2946" spans="1:11" hidden="1" x14ac:dyDescent="0.25">
      <c r="A2946">
        <v>2945</v>
      </c>
      <c r="B2946" s="1">
        <v>45750</v>
      </c>
      <c r="C2946" t="s">
        <v>57</v>
      </c>
      <c r="D2946" t="s">
        <v>42</v>
      </c>
      <c r="E2946" t="s">
        <v>13</v>
      </c>
      <c r="F2946">
        <v>2</v>
      </c>
      <c r="G2946" t="str">
        <f>VLOOKUP(D2946,Товары!A:I,3,0)</f>
        <v>Тумба под стиральную машину Леон Риф 57 подвесная 2 ящика под ст/маш, без умывальника /под Marshall 120 Солярис/Белый Риф</v>
      </c>
      <c r="H2946">
        <f>VLOOKUP(D2946,Товары!A:I,6,0)</f>
        <v>60</v>
      </c>
      <c r="I2946" t="str">
        <f>VLOOKUP(C2946,Магазины!A:C,3,0)</f>
        <v>Оренбург</v>
      </c>
      <c r="J2946">
        <f>VLOOKUP(D2946,Товары!A:I,4,0)</f>
        <v>15495</v>
      </c>
      <c r="K2946">
        <f t="shared" si="45"/>
        <v>30990</v>
      </c>
    </row>
    <row r="2947" spans="1:11" hidden="1" x14ac:dyDescent="0.25">
      <c r="A2947">
        <v>2946</v>
      </c>
      <c r="B2947" s="1">
        <v>45752</v>
      </c>
      <c r="C2947" t="s">
        <v>22</v>
      </c>
      <c r="D2947" t="s">
        <v>100</v>
      </c>
      <c r="E2947" t="s">
        <v>8</v>
      </c>
      <c r="F2947">
        <v>3</v>
      </c>
      <c r="G2947" t="str">
        <f>VLOOKUP(D2947,Товары!A:I,3,0)</f>
        <v>Тумба с раковиной  навес. Альба 800 мята 1 ящик с умыв. Слим</v>
      </c>
      <c r="H2947">
        <f>VLOOKUP(D2947,Товары!A:I,6,0)</f>
        <v>45</v>
      </c>
      <c r="I2947" t="str">
        <f>VLOOKUP(C2947,Магазины!A:C,3,0)</f>
        <v>Кемерово</v>
      </c>
      <c r="J2947">
        <f>VLOOKUP(D2947,Товары!A:I,4,0)</f>
        <v>21630</v>
      </c>
      <c r="K2947">
        <f t="shared" ref="K2947:K3010" si="46">J2947*F2947</f>
        <v>64890</v>
      </c>
    </row>
    <row r="2948" spans="1:11" hidden="1" x14ac:dyDescent="0.25">
      <c r="A2948">
        <v>2947</v>
      </c>
      <c r="B2948" s="1">
        <v>45755</v>
      </c>
      <c r="C2948" t="s">
        <v>54</v>
      </c>
      <c r="D2948" t="s">
        <v>80</v>
      </c>
      <c r="E2948" t="s">
        <v>13</v>
      </c>
      <c r="F2948">
        <v>1</v>
      </c>
      <c r="G2948" t="str">
        <f>VLOOKUP(D2948,Товары!A:I,3,0)</f>
        <v>Тумба с раковиной  навес. Сохо 600 белый 2 ящика с умыв. Океан</v>
      </c>
      <c r="H2948">
        <f>VLOOKUP(D2948,Товары!A:I,6,0)</f>
        <v>55</v>
      </c>
      <c r="I2948" t="str">
        <f>VLOOKUP(C2948,Магазины!A:C,3,0)</f>
        <v>Ставрополь</v>
      </c>
      <c r="J2948">
        <f>VLOOKUP(D2948,Товары!A:I,4,0)</f>
        <v>13950</v>
      </c>
      <c r="K2948">
        <f t="shared" si="46"/>
        <v>13950</v>
      </c>
    </row>
    <row r="2949" spans="1:11" hidden="1" x14ac:dyDescent="0.25">
      <c r="A2949">
        <v>2948</v>
      </c>
      <c r="B2949" s="1">
        <v>45751</v>
      </c>
      <c r="C2949" t="s">
        <v>9</v>
      </c>
      <c r="D2949" t="s">
        <v>73</v>
      </c>
      <c r="E2949" t="s">
        <v>8</v>
      </c>
      <c r="F2949">
        <v>2</v>
      </c>
      <c r="G2949" t="str">
        <f>VLOOKUP(D2949,Товары!A:I,3,0)</f>
        <v>Зеркальный шкаф Альба 70 со светильником правый цвет антрацит</v>
      </c>
      <c r="H2949">
        <f>VLOOKUP(D2949,Товары!A:I,6,0)</f>
        <v>75</v>
      </c>
      <c r="I2949" t="str">
        <f>VLOOKUP(C2949,Магазины!A:C,3,0)</f>
        <v>Кемерово</v>
      </c>
      <c r="J2949">
        <f>VLOOKUP(D2949,Товары!A:I,4,0)</f>
        <v>9615</v>
      </c>
      <c r="K2949">
        <f t="shared" si="46"/>
        <v>19230</v>
      </c>
    </row>
    <row r="2950" spans="1:11" hidden="1" x14ac:dyDescent="0.25">
      <c r="A2950">
        <v>2949</v>
      </c>
      <c r="B2950" s="1">
        <v>45750</v>
      </c>
      <c r="C2950" t="s">
        <v>14</v>
      </c>
      <c r="D2950" t="s">
        <v>74</v>
      </c>
      <c r="E2950" t="s">
        <v>13</v>
      </c>
      <c r="F2950">
        <v>1</v>
      </c>
      <c r="G2950" t="str">
        <f>VLOOKUP(D2950,Товары!A:I,3,0)</f>
        <v>Тумба с раковиной  напол. Альба 800 суфле 2 ящика с умыв. Слим</v>
      </c>
      <c r="H2950">
        <f>VLOOKUP(D2950,Товары!A:I,6,0)</f>
        <v>80</v>
      </c>
      <c r="I2950" t="str">
        <f>VLOOKUP(C2950,Магазины!A:C,3,0)</f>
        <v>Оренбург</v>
      </c>
      <c r="J2950">
        <f>VLOOKUP(D2950,Товары!A:I,4,0)</f>
        <v>29340</v>
      </c>
      <c r="K2950">
        <f t="shared" si="46"/>
        <v>29340</v>
      </c>
    </row>
    <row r="2951" spans="1:11" hidden="1" x14ac:dyDescent="0.25">
      <c r="A2951">
        <v>2950</v>
      </c>
      <c r="B2951" s="1">
        <v>45749</v>
      </c>
      <c r="C2951" t="s">
        <v>58</v>
      </c>
      <c r="D2951" t="s">
        <v>129</v>
      </c>
      <c r="E2951" t="s">
        <v>13</v>
      </c>
      <c r="F2951">
        <v>3</v>
      </c>
      <c r="G2951" t="str">
        <f>VLOOKUP(D2951,Товары!A:I,3,0)</f>
        <v>Тумба с раковиной  напол. Альба 700 антрацит 2 ящика с умыв. Слим</v>
      </c>
      <c r="H2951">
        <f>VLOOKUP(D2951,Товары!A:I,6,0)</f>
        <v>85</v>
      </c>
      <c r="I2951" t="str">
        <f>VLOOKUP(C2951,Магазины!A:C,3,0)</f>
        <v>Ставрополь</v>
      </c>
      <c r="J2951">
        <f>VLOOKUP(D2951,Товары!A:I,4,0)</f>
        <v>28695</v>
      </c>
      <c r="K2951">
        <f t="shared" si="46"/>
        <v>86085</v>
      </c>
    </row>
    <row r="2952" spans="1:11" hidden="1" x14ac:dyDescent="0.25">
      <c r="A2952">
        <v>2951</v>
      </c>
      <c r="B2952" s="1">
        <v>45755</v>
      </c>
      <c r="C2952" t="s">
        <v>6</v>
      </c>
      <c r="D2952" t="s">
        <v>70</v>
      </c>
      <c r="E2952" t="s">
        <v>8</v>
      </c>
      <c r="F2952">
        <v>3</v>
      </c>
      <c r="G2952" t="str">
        <f>VLOOKUP(D2952,Товары!A:I,3,0)</f>
        <v>Тумба с раковиной  напол. Кристалл 700 шато азур 2 ящика с умыв. Слим</v>
      </c>
      <c r="H2952">
        <f>VLOOKUP(D2952,Товары!A:I,6,0)</f>
        <v>85</v>
      </c>
      <c r="I2952" t="str">
        <f>VLOOKUP(C2952,Магазины!A:C,3,0)</f>
        <v>Оренбург</v>
      </c>
      <c r="J2952">
        <f>VLOOKUP(D2952,Товары!A:I,4,0)</f>
        <v>29910</v>
      </c>
      <c r="K2952">
        <f t="shared" si="46"/>
        <v>89730</v>
      </c>
    </row>
    <row r="2953" spans="1:11" hidden="1" x14ac:dyDescent="0.25">
      <c r="A2953">
        <v>2952</v>
      </c>
      <c r="B2953" s="1">
        <v>45750</v>
      </c>
      <c r="C2953" t="s">
        <v>103</v>
      </c>
      <c r="D2953" t="s">
        <v>94</v>
      </c>
      <c r="E2953" t="s">
        <v>13</v>
      </c>
      <c r="F2953">
        <v>2</v>
      </c>
      <c r="G2953" t="str">
        <f>VLOOKUP(D2953,Товары!A:I,3,0)</f>
        <v>Зеркальный шкаф Альба 80 со светильником правый цвет антрацит</v>
      </c>
      <c r="H2953">
        <f>VLOOKUP(D2953,Товары!A:I,6,0)</f>
        <v>75</v>
      </c>
      <c r="I2953" t="str">
        <f>VLOOKUP(C2953,Магазины!A:C,3,0)</f>
        <v>Ставрополь</v>
      </c>
      <c r="J2953">
        <f>VLOOKUP(D2953,Товары!A:I,4,0)</f>
        <v>9930</v>
      </c>
      <c r="K2953">
        <f t="shared" si="46"/>
        <v>19860</v>
      </c>
    </row>
    <row r="2954" spans="1:11" hidden="1" x14ac:dyDescent="0.25">
      <c r="A2954">
        <v>2953</v>
      </c>
      <c r="B2954" s="1">
        <v>45752</v>
      </c>
      <c r="C2954" t="s">
        <v>103</v>
      </c>
      <c r="D2954" t="s">
        <v>86</v>
      </c>
      <c r="E2954" t="s">
        <v>13</v>
      </c>
      <c r="F2954">
        <v>1</v>
      </c>
      <c r="G2954" t="str">
        <f>VLOOKUP(D2954,Товары!A:I,3,0)</f>
        <v>Комод Аква 50 напольный 1 ящик 2 двери белый</v>
      </c>
      <c r="H2954">
        <f>VLOOKUP(D2954,Товары!A:I,6,0)</f>
        <v>90</v>
      </c>
      <c r="I2954" t="str">
        <f>VLOOKUP(C2954,Магазины!A:C,3,0)</f>
        <v>Ставрополь</v>
      </c>
      <c r="J2954">
        <f>VLOOKUP(D2954,Товары!A:I,4,0)</f>
        <v>7260</v>
      </c>
      <c r="K2954">
        <f t="shared" si="46"/>
        <v>7260</v>
      </c>
    </row>
    <row r="2955" spans="1:11" hidden="1" x14ac:dyDescent="0.25">
      <c r="A2955">
        <v>2954</v>
      </c>
      <c r="B2955" s="1">
        <v>45749</v>
      </c>
      <c r="C2955" t="s">
        <v>28</v>
      </c>
      <c r="D2955" t="s">
        <v>112</v>
      </c>
      <c r="E2955" t="s">
        <v>13</v>
      </c>
      <c r="F2955">
        <v>1</v>
      </c>
      <c r="G2955" t="str">
        <f>VLOOKUP(D2955,Товары!A:I,3,0)</f>
        <v>Тумба с раковиной  напол. Аква 560 белый 2 двери с умыв. Уют</v>
      </c>
      <c r="H2955">
        <f>VLOOKUP(D2955,Товары!A:I,6,0)</f>
        <v>85</v>
      </c>
      <c r="I2955" t="str">
        <f>VLOOKUP(C2955,Магазины!A:C,3,0)</f>
        <v>Набережные Челны</v>
      </c>
      <c r="J2955">
        <f>VLOOKUP(D2955,Товары!A:I,4,0)</f>
        <v>9330</v>
      </c>
      <c r="K2955">
        <f t="shared" si="46"/>
        <v>9330</v>
      </c>
    </row>
    <row r="2956" spans="1:11" hidden="1" x14ac:dyDescent="0.25">
      <c r="A2956">
        <v>2955</v>
      </c>
      <c r="B2956" s="1">
        <v>45757</v>
      </c>
      <c r="C2956" t="s">
        <v>43</v>
      </c>
      <c r="D2956" t="s">
        <v>99</v>
      </c>
      <c r="E2956" t="s">
        <v>13</v>
      </c>
      <c r="F2956">
        <v>3</v>
      </c>
      <c r="G2956" t="str">
        <f>VLOOKUP(D2956,Товары!A:I,3,0)</f>
        <v>Тумба с раковиной  навес. Леон 600 оникс 2 ящика с умыв. Слим</v>
      </c>
      <c r="H2956">
        <f>VLOOKUP(D2956,Товары!A:I,6,0)</f>
        <v>60</v>
      </c>
      <c r="I2956" t="str">
        <f>VLOOKUP(C2956,Магазины!A:C,3,0)</f>
        <v>Набережные Челны</v>
      </c>
      <c r="J2956">
        <f>VLOOKUP(D2956,Товары!A:I,4,0)</f>
        <v>25125</v>
      </c>
      <c r="K2956">
        <f t="shared" si="46"/>
        <v>75375</v>
      </c>
    </row>
    <row r="2957" spans="1:11" hidden="1" x14ac:dyDescent="0.25">
      <c r="A2957">
        <v>2956</v>
      </c>
      <c r="B2957" s="1">
        <v>45754</v>
      </c>
      <c r="C2957" t="s">
        <v>18</v>
      </c>
      <c r="D2957" t="s">
        <v>76</v>
      </c>
      <c r="E2957" t="s">
        <v>8</v>
      </c>
      <c r="F2957">
        <v>3</v>
      </c>
      <c r="G2957" t="str">
        <f>VLOOKUP(D2957,Товары!A:I,3,0)</f>
        <v>Тумба с раковиной  напол. Леон 600 оникс 2 ящика с умыв. Слим</v>
      </c>
      <c r="H2957">
        <f>VLOOKUP(D2957,Товары!A:I,6,0)</f>
        <v>80</v>
      </c>
      <c r="I2957" t="str">
        <f>VLOOKUP(C2957,Магазины!A:C,3,0)</f>
        <v>Набережные Челны</v>
      </c>
      <c r="J2957">
        <f>VLOOKUP(D2957,Товары!A:I,4,0)</f>
        <v>25860</v>
      </c>
      <c r="K2957">
        <f t="shared" si="46"/>
        <v>77580</v>
      </c>
    </row>
    <row r="2958" spans="1:11" hidden="1" x14ac:dyDescent="0.25">
      <c r="A2958">
        <v>2957</v>
      </c>
      <c r="B2958" s="1">
        <v>45757</v>
      </c>
      <c r="C2958" t="s">
        <v>11</v>
      </c>
      <c r="D2958" t="s">
        <v>69</v>
      </c>
      <c r="E2958" t="s">
        <v>13</v>
      </c>
      <c r="F2958">
        <v>3</v>
      </c>
      <c r="G2958" t="str">
        <f>VLOOKUP(D2958,Товары!A:I,3,0)</f>
        <v>Пенал навес./напол. Альба 350 антрацит 2 двери</v>
      </c>
      <c r="H2958">
        <f>VLOOKUP(D2958,Товары!A:I,6,0)</f>
        <v>150</v>
      </c>
      <c r="I2958" t="str">
        <f>VLOOKUP(C2958,Магазины!A:C,3,0)</f>
        <v>Кемерово</v>
      </c>
      <c r="J2958">
        <f>VLOOKUP(D2958,Товары!A:I,4,0)</f>
        <v>11655</v>
      </c>
      <c r="K2958">
        <f t="shared" si="46"/>
        <v>34965</v>
      </c>
    </row>
    <row r="2959" spans="1:11" hidden="1" x14ac:dyDescent="0.25">
      <c r="A2959">
        <v>2958</v>
      </c>
      <c r="B2959" s="1">
        <v>45751</v>
      </c>
      <c r="C2959" t="s">
        <v>9</v>
      </c>
      <c r="D2959" t="s">
        <v>81</v>
      </c>
      <c r="E2959" t="s">
        <v>8</v>
      </c>
      <c r="F2959">
        <v>2</v>
      </c>
      <c r="G2959" t="str">
        <f>VLOOKUP(D2959,Товары!A:I,3,0)</f>
        <v>Тумба с раковиной  навес. Рица 600 cерый/керамика 1 ящик + ниша 1 с умыв. Океан</v>
      </c>
      <c r="H2959">
        <f>VLOOKUP(D2959,Товары!A:I,6,0)</f>
        <v>60</v>
      </c>
      <c r="I2959" t="str">
        <f>VLOOKUP(C2959,Магазины!A:C,3,0)</f>
        <v>Кемерово</v>
      </c>
      <c r="J2959">
        <f>VLOOKUP(D2959,Товары!A:I,4,0)</f>
        <v>18900</v>
      </c>
      <c r="K2959">
        <f t="shared" si="46"/>
        <v>37800</v>
      </c>
    </row>
    <row r="2960" spans="1:11" hidden="1" x14ac:dyDescent="0.25">
      <c r="A2960">
        <v>2959</v>
      </c>
      <c r="B2960" s="1">
        <v>45748</v>
      </c>
      <c r="C2960" t="s">
        <v>26</v>
      </c>
      <c r="D2960" t="s">
        <v>38</v>
      </c>
      <c r="E2960" t="s">
        <v>13</v>
      </c>
      <c r="F2960">
        <v>3</v>
      </c>
      <c r="G2960" t="str">
        <f>VLOOKUP(D2960,Товары!A:I,3,0)</f>
        <v>Тумба с раковиной  навес. Куба Риф 600 белый 2 ящика с умыв. Como</v>
      </c>
      <c r="H2960">
        <f>VLOOKUP(D2960,Товары!A:I,6,0)</f>
        <v>55</v>
      </c>
      <c r="I2960" t="str">
        <f>VLOOKUP(C2960,Магазины!A:C,3,0)</f>
        <v>Оренбург</v>
      </c>
      <c r="J2960">
        <f>VLOOKUP(D2960,Товары!A:I,4,0)</f>
        <v>14265</v>
      </c>
      <c r="K2960">
        <f t="shared" si="46"/>
        <v>42795</v>
      </c>
    </row>
    <row r="2961" spans="1:11" hidden="1" x14ac:dyDescent="0.25">
      <c r="A2961">
        <v>2960</v>
      </c>
      <c r="B2961" s="1">
        <v>45755</v>
      </c>
      <c r="C2961" t="s">
        <v>6</v>
      </c>
      <c r="D2961" t="s">
        <v>50</v>
      </c>
      <c r="E2961" t="s">
        <v>13</v>
      </c>
      <c r="F2961">
        <v>1</v>
      </c>
      <c r="G2961" t="str">
        <f>VLOOKUP(D2961,Товары!A:I,3,0)</f>
        <v>Тумба с раковиной  напол. Леон 800 оникс 2 ящика с умыв. Слим</v>
      </c>
      <c r="H2961">
        <f>VLOOKUP(D2961,Товары!A:I,6,0)</f>
        <v>80</v>
      </c>
      <c r="I2961" t="str">
        <f>VLOOKUP(C2961,Магазины!A:C,3,0)</f>
        <v>Оренбург</v>
      </c>
      <c r="J2961">
        <f>VLOOKUP(D2961,Товары!A:I,4,0)</f>
        <v>29400</v>
      </c>
      <c r="K2961">
        <f t="shared" si="46"/>
        <v>29400</v>
      </c>
    </row>
    <row r="2962" spans="1:11" hidden="1" x14ac:dyDescent="0.25">
      <c r="A2962">
        <v>2961</v>
      </c>
      <c r="B2962" s="1">
        <v>45757</v>
      </c>
      <c r="C2962" t="s">
        <v>103</v>
      </c>
      <c r="D2962" t="s">
        <v>19</v>
      </c>
      <c r="E2962" t="s">
        <v>8</v>
      </c>
      <c r="F2962">
        <v>2</v>
      </c>
      <c r="G2962" t="str">
        <f>VLOOKUP(D2962,Товары!A:I,3,0)</f>
        <v>Тумба с раковиной  навес. Леон 800 оникс 2 ящика с умыв. Слим</v>
      </c>
      <c r="H2962">
        <f>VLOOKUP(D2962,Товары!A:I,6,0)</f>
        <v>60</v>
      </c>
      <c r="I2962" t="str">
        <f>VLOOKUP(C2962,Магазины!A:C,3,0)</f>
        <v>Ставрополь</v>
      </c>
      <c r="J2962">
        <f>VLOOKUP(D2962,Товары!A:I,4,0)</f>
        <v>27930</v>
      </c>
      <c r="K2962">
        <f t="shared" si="46"/>
        <v>55860</v>
      </c>
    </row>
    <row r="2963" spans="1:11" hidden="1" x14ac:dyDescent="0.25">
      <c r="A2963">
        <v>2962</v>
      </c>
      <c r="B2963" s="1">
        <v>45748</v>
      </c>
      <c r="C2963" t="s">
        <v>26</v>
      </c>
      <c r="D2963" t="s">
        <v>38</v>
      </c>
      <c r="E2963" t="s">
        <v>8</v>
      </c>
      <c r="F2963">
        <v>3</v>
      </c>
      <c r="G2963" t="str">
        <f>VLOOKUP(D2963,Товары!A:I,3,0)</f>
        <v>Тумба с раковиной  навес. Куба Риф 600 белый 2 ящика с умыв. Como</v>
      </c>
      <c r="H2963">
        <f>VLOOKUP(D2963,Товары!A:I,6,0)</f>
        <v>55</v>
      </c>
      <c r="I2963" t="str">
        <f>VLOOKUP(C2963,Магазины!A:C,3,0)</f>
        <v>Оренбург</v>
      </c>
      <c r="J2963">
        <f>VLOOKUP(D2963,Товары!A:I,4,0)</f>
        <v>14265</v>
      </c>
      <c r="K2963">
        <f t="shared" si="46"/>
        <v>42795</v>
      </c>
    </row>
    <row r="2964" spans="1:11" hidden="1" x14ac:dyDescent="0.25">
      <c r="A2964">
        <v>2963</v>
      </c>
      <c r="B2964" s="1">
        <v>45754</v>
      </c>
      <c r="C2964" t="s">
        <v>63</v>
      </c>
      <c r="D2964" t="s">
        <v>118</v>
      </c>
      <c r="E2964" t="s">
        <v>13</v>
      </c>
      <c r="F2964">
        <v>2</v>
      </c>
      <c r="G2964" t="str">
        <f>VLOOKUP(D2964,Товары!A:I,3,0)</f>
        <v>Тумба с раковиной  напол. Сохо 800 белый 2 ящика с умыв. Слим</v>
      </c>
      <c r="H2964">
        <f>VLOOKUP(D2964,Товары!A:I,6,0)</f>
        <v>85</v>
      </c>
      <c r="I2964" t="str">
        <f>VLOOKUP(C2964,Магазины!A:C,3,0)</f>
        <v>Ставрополь</v>
      </c>
      <c r="J2964">
        <f>VLOOKUP(D2964,Товары!A:I,4,0)</f>
        <v>19575</v>
      </c>
      <c r="K2964">
        <f t="shared" si="46"/>
        <v>39150</v>
      </c>
    </row>
    <row r="2965" spans="1:11" hidden="1" x14ac:dyDescent="0.25">
      <c r="A2965">
        <v>2964</v>
      </c>
      <c r="B2965" s="1">
        <v>45754</v>
      </c>
      <c r="C2965" t="s">
        <v>111</v>
      </c>
      <c r="D2965" t="s">
        <v>126</v>
      </c>
      <c r="E2965" t="s">
        <v>8</v>
      </c>
      <c r="F2965">
        <v>2</v>
      </c>
      <c r="G2965" t="str">
        <f>VLOOKUP(D2965,Товары!A:I,3,0)</f>
        <v>Тумба с раковиной  напол. Кристалл 800 шато азур 2 ящика с умыв. Комфорт</v>
      </c>
      <c r="H2965">
        <f>VLOOKUP(D2965,Товары!A:I,6,0)</f>
        <v>85</v>
      </c>
      <c r="I2965" t="str">
        <f>VLOOKUP(C2965,Магазины!A:C,3,0)</f>
        <v>Набережные Челны</v>
      </c>
      <c r="J2965">
        <f>VLOOKUP(D2965,Товары!A:I,4,0)</f>
        <v>31125</v>
      </c>
      <c r="K2965">
        <f t="shared" si="46"/>
        <v>62250</v>
      </c>
    </row>
    <row r="2966" spans="1:11" hidden="1" x14ac:dyDescent="0.25">
      <c r="A2966">
        <v>2965</v>
      </c>
      <c r="B2966" s="1">
        <v>45749</v>
      </c>
      <c r="C2966" t="s">
        <v>41</v>
      </c>
      <c r="D2966" t="s">
        <v>120</v>
      </c>
      <c r="E2966" t="s">
        <v>8</v>
      </c>
      <c r="F2966">
        <v>3</v>
      </c>
      <c r="G2966" t="str">
        <f>VLOOKUP(D2966,Товары!A:I,3,0)</f>
        <v>Зеркальный шкаф Альба 60 со светильником правый цвет антрацит</v>
      </c>
      <c r="H2966">
        <f>VLOOKUP(D2966,Товары!A:I,6,0)</f>
        <v>75</v>
      </c>
      <c r="I2966" t="str">
        <f>VLOOKUP(C2966,Магазины!A:C,3,0)</f>
        <v>Ставрополь</v>
      </c>
      <c r="J2966">
        <f>VLOOKUP(D2966,Товары!A:I,4,0)</f>
        <v>8910</v>
      </c>
      <c r="K2966">
        <f t="shared" si="46"/>
        <v>26730</v>
      </c>
    </row>
    <row r="2967" spans="1:11" hidden="1" x14ac:dyDescent="0.25">
      <c r="A2967">
        <v>2966</v>
      </c>
      <c r="B2967" s="1">
        <v>45750</v>
      </c>
      <c r="C2967" t="s">
        <v>54</v>
      </c>
      <c r="D2967" t="s">
        <v>102</v>
      </c>
      <c r="E2967" t="s">
        <v>8</v>
      </c>
      <c r="F2967">
        <v>1</v>
      </c>
      <c r="G2967" t="str">
        <f>VLOOKUP(D2967,Товары!A:I,3,0)</f>
        <v>Тумба с раковиной  напол. Леон Риф 1000 солярис/белый риф 2 ящика с умыв. Слим</v>
      </c>
      <c r="H2967">
        <f>VLOOKUP(D2967,Товары!A:I,6,0)</f>
        <v>85</v>
      </c>
      <c r="I2967" t="str">
        <f>VLOOKUP(C2967,Магазины!A:C,3,0)</f>
        <v>Ставрополь</v>
      </c>
      <c r="J2967">
        <f>VLOOKUP(D2967,Товары!A:I,4,0)</f>
        <v>32085</v>
      </c>
      <c r="K2967">
        <f t="shared" si="46"/>
        <v>32085</v>
      </c>
    </row>
    <row r="2968" spans="1:11" hidden="1" x14ac:dyDescent="0.25">
      <c r="A2968">
        <v>2967</v>
      </c>
      <c r="B2968" s="1">
        <v>45755</v>
      </c>
      <c r="C2968" t="s">
        <v>11</v>
      </c>
      <c r="D2968" t="s">
        <v>60</v>
      </c>
      <c r="E2968" t="s">
        <v>8</v>
      </c>
      <c r="F2968">
        <v>2</v>
      </c>
      <c r="G2968" t="str">
        <f>VLOOKUP(D2968,Товары!A:I,3,0)</f>
        <v>Пенал навес. Куба Риф 350 белый 2 двери</v>
      </c>
      <c r="H2968">
        <f>VLOOKUP(D2968,Товары!A:I,6,0)</f>
        <v>150</v>
      </c>
      <c r="I2968" t="str">
        <f>VLOOKUP(C2968,Магазины!A:C,3,0)</f>
        <v>Кемерово</v>
      </c>
      <c r="J2968">
        <f>VLOOKUP(D2968,Товары!A:I,4,0)</f>
        <v>9720</v>
      </c>
      <c r="K2968">
        <f t="shared" si="46"/>
        <v>19440</v>
      </c>
    </row>
    <row r="2969" spans="1:11" hidden="1" x14ac:dyDescent="0.25">
      <c r="A2969">
        <v>2968</v>
      </c>
      <c r="B2969" s="1">
        <v>45756</v>
      </c>
      <c r="C2969" t="s">
        <v>48</v>
      </c>
      <c r="D2969" t="s">
        <v>24</v>
      </c>
      <c r="E2969" t="s">
        <v>8</v>
      </c>
      <c r="F2969">
        <v>2</v>
      </c>
      <c r="G2969" t="str">
        <f>VLOOKUP(D2969,Товары!A:I,3,0)</f>
        <v>Тумба с раковиной  напол. Леон 600 форест 2 ящика с умыв. Слим</v>
      </c>
      <c r="H2969">
        <f>VLOOKUP(D2969,Товары!A:I,6,0)</f>
        <v>80</v>
      </c>
      <c r="I2969" t="str">
        <f>VLOOKUP(C2969,Магазины!A:C,3,0)</f>
        <v>Ставрополь</v>
      </c>
      <c r="J2969">
        <f>VLOOKUP(D2969,Товары!A:I,4,0)</f>
        <v>27150</v>
      </c>
      <c r="K2969">
        <f t="shared" si="46"/>
        <v>54300</v>
      </c>
    </row>
    <row r="2970" spans="1:11" hidden="1" x14ac:dyDescent="0.25">
      <c r="A2970">
        <v>2969</v>
      </c>
      <c r="B2970" s="1">
        <v>45748</v>
      </c>
      <c r="C2970" t="s">
        <v>58</v>
      </c>
      <c r="D2970" t="s">
        <v>108</v>
      </c>
      <c r="E2970" t="s">
        <v>13</v>
      </c>
      <c r="F2970">
        <v>2</v>
      </c>
      <c r="G2970" t="str">
        <f>VLOOKUP(D2970,Товары!A:I,3,0)</f>
        <v>Тумба с раковиной  навес. Виктория 1000 белый 2 ящика с умыв. Слим</v>
      </c>
      <c r="H2970">
        <f>VLOOKUP(D2970,Товары!A:I,6,0)</f>
        <v>60</v>
      </c>
      <c r="I2970" t="str">
        <f>VLOOKUP(C2970,Магазины!A:C,3,0)</f>
        <v>Ставрополь</v>
      </c>
      <c r="J2970">
        <f>VLOOKUP(D2970,Товары!A:I,4,0)</f>
        <v>29205</v>
      </c>
      <c r="K2970">
        <f t="shared" si="46"/>
        <v>58410</v>
      </c>
    </row>
    <row r="2971" spans="1:11" hidden="1" x14ac:dyDescent="0.25">
      <c r="A2971">
        <v>2970</v>
      </c>
      <c r="B2971" s="1">
        <v>45755</v>
      </c>
      <c r="C2971" t="s">
        <v>6</v>
      </c>
      <c r="D2971" t="s">
        <v>47</v>
      </c>
      <c r="E2971" t="s">
        <v>8</v>
      </c>
      <c r="F2971">
        <v>2</v>
      </c>
      <c r="G2971" t="str">
        <f>VLOOKUP(D2971,Товары!A:I,3,0)</f>
        <v>Пенал напол. Кристалл 350 шато азур 2 двери</v>
      </c>
      <c r="H2971">
        <f>VLOOKUP(D2971,Товары!A:I,6,0)</f>
        <v>190</v>
      </c>
      <c r="I2971" t="str">
        <f>VLOOKUP(C2971,Магазины!A:C,3,0)</f>
        <v>Оренбург</v>
      </c>
      <c r="J2971">
        <f>VLOOKUP(D2971,Товары!A:I,4,0)</f>
        <v>15810</v>
      </c>
      <c r="K2971">
        <f t="shared" si="46"/>
        <v>31620</v>
      </c>
    </row>
    <row r="2972" spans="1:11" hidden="1" x14ac:dyDescent="0.25">
      <c r="A2972">
        <v>2971</v>
      </c>
      <c r="B2972" s="1">
        <v>45751</v>
      </c>
      <c r="C2972" t="s">
        <v>11</v>
      </c>
      <c r="D2972" t="s">
        <v>17</v>
      </c>
      <c r="E2972" t="s">
        <v>8</v>
      </c>
      <c r="F2972">
        <v>2</v>
      </c>
      <c r="G2972" t="str">
        <f>VLOOKUP(D2972,Товары!A:I,3,0)</f>
        <v>Тумба с раковиной  навес. Альба 800 антрацит 1 ящик с умыв. Слим</v>
      </c>
      <c r="H2972">
        <f>VLOOKUP(D2972,Товары!A:I,6,0)</f>
        <v>45</v>
      </c>
      <c r="I2972" t="str">
        <f>VLOOKUP(C2972,Магазины!A:C,3,0)</f>
        <v>Кемерово</v>
      </c>
      <c r="J2972">
        <f>VLOOKUP(D2972,Товары!A:I,4,0)</f>
        <v>21630</v>
      </c>
      <c r="K2972">
        <f t="shared" si="46"/>
        <v>43260</v>
      </c>
    </row>
    <row r="2973" spans="1:11" hidden="1" x14ac:dyDescent="0.25">
      <c r="A2973">
        <v>2972</v>
      </c>
      <c r="B2973" s="1">
        <v>45751</v>
      </c>
      <c r="C2973" t="s">
        <v>35</v>
      </c>
      <c r="D2973" t="s">
        <v>93</v>
      </c>
      <c r="E2973" t="s">
        <v>13</v>
      </c>
      <c r="F2973">
        <v>3</v>
      </c>
      <c r="G2973" t="str">
        <f>VLOOKUP(D2973,Товары!A:I,3,0)</f>
        <v>Тумба с раковиной  напол. Леон Риф 800 солярис/белый риф 2 ящика с умыв. Слим</v>
      </c>
      <c r="H2973">
        <f>VLOOKUP(D2973,Товары!A:I,6,0)</f>
        <v>80</v>
      </c>
      <c r="I2973" t="str">
        <f>VLOOKUP(C2973,Магазины!A:C,3,0)</f>
        <v>Набережные Челны</v>
      </c>
      <c r="J2973">
        <f>VLOOKUP(D2973,Товары!A:I,4,0)</f>
        <v>29340</v>
      </c>
      <c r="K2973">
        <f t="shared" si="46"/>
        <v>88020</v>
      </c>
    </row>
    <row r="2974" spans="1:11" hidden="1" x14ac:dyDescent="0.25">
      <c r="A2974">
        <v>2973</v>
      </c>
      <c r="B2974" s="1">
        <v>45755</v>
      </c>
      <c r="C2974" t="s">
        <v>26</v>
      </c>
      <c r="D2974" t="s">
        <v>56</v>
      </c>
      <c r="E2974" t="s">
        <v>8</v>
      </c>
      <c r="F2974">
        <v>1</v>
      </c>
      <c r="G2974" t="str">
        <f>VLOOKUP(D2974,Товары!A:I,3,0)</f>
        <v>Зеркальный шкаф Альба 80 со светильником правый цвет мята</v>
      </c>
      <c r="H2974">
        <f>VLOOKUP(D2974,Товары!A:I,6,0)</f>
        <v>75</v>
      </c>
      <c r="I2974" t="str">
        <f>VLOOKUP(C2974,Магазины!A:C,3,0)</f>
        <v>Оренбург</v>
      </c>
      <c r="J2974">
        <f>VLOOKUP(D2974,Товары!A:I,4,0)</f>
        <v>9930</v>
      </c>
      <c r="K2974">
        <f t="shared" si="46"/>
        <v>9930</v>
      </c>
    </row>
    <row r="2975" spans="1:11" hidden="1" x14ac:dyDescent="0.25">
      <c r="A2975">
        <v>2974</v>
      </c>
      <c r="B2975" s="1">
        <v>45749</v>
      </c>
      <c r="C2975" t="s">
        <v>22</v>
      </c>
      <c r="D2975" t="s">
        <v>12</v>
      </c>
      <c r="E2975" t="s">
        <v>8</v>
      </c>
      <c r="F2975">
        <v>1</v>
      </c>
      <c r="G2975" t="str">
        <f>VLOOKUP(D2975,Товары!A:I,3,0)</f>
        <v>Тумба с раковиной  напол. Сохо 700 белый 2 двери с умыв. Слим</v>
      </c>
      <c r="H2975">
        <f>VLOOKUP(D2975,Товары!A:I,6,0)</f>
        <v>85</v>
      </c>
      <c r="I2975" t="str">
        <f>VLOOKUP(C2975,Магазины!A:C,3,0)</f>
        <v>Кемерово</v>
      </c>
      <c r="J2975">
        <f>VLOOKUP(D2975,Товары!A:I,4,0)</f>
        <v>17160</v>
      </c>
      <c r="K2975">
        <f t="shared" si="46"/>
        <v>17160</v>
      </c>
    </row>
    <row r="2976" spans="1:11" hidden="1" x14ac:dyDescent="0.25">
      <c r="A2976">
        <v>2975</v>
      </c>
      <c r="B2976" s="1">
        <v>45757</v>
      </c>
      <c r="C2976" t="s">
        <v>26</v>
      </c>
      <c r="D2976" t="s">
        <v>131</v>
      </c>
      <c r="E2976" t="s">
        <v>13</v>
      </c>
      <c r="F2976">
        <v>2</v>
      </c>
      <c r="G2976" t="str">
        <f>VLOOKUP(D2976,Товары!A:I,3,0)</f>
        <v>Тумба с раковиной  напол. Леон 800 форест 2 ящика с умыв. Слим</v>
      </c>
      <c r="H2976">
        <f>VLOOKUP(D2976,Товары!A:I,6,0)</f>
        <v>80</v>
      </c>
      <c r="I2976" t="str">
        <f>VLOOKUP(C2976,Магазины!A:C,3,0)</f>
        <v>Оренбург</v>
      </c>
      <c r="J2976">
        <f>VLOOKUP(D2976,Товары!A:I,4,0)</f>
        <v>29400</v>
      </c>
      <c r="K2976">
        <f t="shared" si="46"/>
        <v>58800</v>
      </c>
    </row>
    <row r="2977" spans="1:11" hidden="1" x14ac:dyDescent="0.25">
      <c r="A2977">
        <v>2976</v>
      </c>
      <c r="B2977" s="1">
        <v>45750</v>
      </c>
      <c r="C2977" t="s">
        <v>57</v>
      </c>
      <c r="D2977" t="s">
        <v>29</v>
      </c>
      <c r="E2977" t="s">
        <v>8</v>
      </c>
      <c r="F2977">
        <v>2</v>
      </c>
      <c r="G2977" t="str">
        <f>VLOOKUP(D2977,Товары!A:I,3,0)</f>
        <v>Тумба с раковиной  напол. Леон Риф 600 солярис/белый риф 2 ящика с умыв. Океан</v>
      </c>
      <c r="H2977">
        <f>VLOOKUP(D2977,Товары!A:I,6,0)</f>
        <v>80</v>
      </c>
      <c r="I2977" t="str">
        <f>VLOOKUP(C2977,Магазины!A:C,3,0)</f>
        <v>Оренбург</v>
      </c>
      <c r="J2977">
        <f>VLOOKUP(D2977,Товары!A:I,4,0)</f>
        <v>24150</v>
      </c>
      <c r="K2977">
        <f t="shared" si="46"/>
        <v>48300</v>
      </c>
    </row>
    <row r="2978" spans="1:11" hidden="1" x14ac:dyDescent="0.25">
      <c r="A2978">
        <v>2977</v>
      </c>
      <c r="B2978" s="1">
        <v>45748</v>
      </c>
      <c r="C2978" t="s">
        <v>58</v>
      </c>
      <c r="D2978" t="s">
        <v>128</v>
      </c>
      <c r="E2978" t="s">
        <v>13</v>
      </c>
      <c r="F2978">
        <v>3</v>
      </c>
      <c r="G2978" t="str">
        <f>VLOOKUP(D2978,Товары!A:I,3,0)</f>
        <v>Тумба с раковиной  напол. Куба Риф 1000 белый 2 ящика с умыв. Слим</v>
      </c>
      <c r="H2978">
        <f>VLOOKUP(D2978,Товары!A:I,6,0)</f>
        <v>85</v>
      </c>
      <c r="I2978" t="str">
        <f>VLOOKUP(C2978,Магазины!A:C,3,0)</f>
        <v>Ставрополь</v>
      </c>
      <c r="J2978">
        <f>VLOOKUP(D2978,Товары!A:I,4,0)</f>
        <v>22905</v>
      </c>
      <c r="K2978">
        <f t="shared" si="46"/>
        <v>68715</v>
      </c>
    </row>
    <row r="2979" spans="1:11" hidden="1" x14ac:dyDescent="0.25">
      <c r="A2979">
        <v>2978</v>
      </c>
      <c r="B2979" s="1">
        <v>45752</v>
      </c>
      <c r="C2979" t="s">
        <v>22</v>
      </c>
      <c r="D2979" t="s">
        <v>129</v>
      </c>
      <c r="E2979" t="s">
        <v>13</v>
      </c>
      <c r="F2979">
        <v>2</v>
      </c>
      <c r="G2979" t="str">
        <f>VLOOKUP(D2979,Товары!A:I,3,0)</f>
        <v>Тумба с раковиной  напол. Альба 700 антрацит 2 ящика с умыв. Слим</v>
      </c>
      <c r="H2979">
        <f>VLOOKUP(D2979,Товары!A:I,6,0)</f>
        <v>85</v>
      </c>
      <c r="I2979" t="str">
        <f>VLOOKUP(C2979,Магазины!A:C,3,0)</f>
        <v>Кемерово</v>
      </c>
      <c r="J2979">
        <f>VLOOKUP(D2979,Товары!A:I,4,0)</f>
        <v>28695</v>
      </c>
      <c r="K2979">
        <f t="shared" si="46"/>
        <v>57390</v>
      </c>
    </row>
    <row r="2980" spans="1:11" hidden="1" x14ac:dyDescent="0.25">
      <c r="A2980">
        <v>2979</v>
      </c>
      <c r="B2980" s="1">
        <v>45757</v>
      </c>
      <c r="C2980" t="s">
        <v>63</v>
      </c>
      <c r="D2980" t="s">
        <v>107</v>
      </c>
      <c r="E2980" t="s">
        <v>8</v>
      </c>
      <c r="F2980">
        <v>1</v>
      </c>
      <c r="G2980" t="str">
        <f>VLOOKUP(D2980,Товары!A:I,3,0)</f>
        <v>Комод Аква 35 напольный 1 дверь белый правый</v>
      </c>
      <c r="H2980">
        <f>VLOOKUP(D2980,Товары!A:I,6,0)</f>
        <v>90</v>
      </c>
      <c r="I2980" t="str">
        <f>VLOOKUP(C2980,Магазины!A:C,3,0)</f>
        <v>Ставрополь</v>
      </c>
      <c r="J2980">
        <f>VLOOKUP(D2980,Товары!A:I,4,0)</f>
        <v>6705</v>
      </c>
      <c r="K2980">
        <f t="shared" si="46"/>
        <v>6705</v>
      </c>
    </row>
    <row r="2981" spans="1:11" hidden="1" x14ac:dyDescent="0.25">
      <c r="A2981">
        <v>2980</v>
      </c>
      <c r="B2981" s="1">
        <v>45756</v>
      </c>
      <c r="C2981" t="s">
        <v>103</v>
      </c>
      <c r="D2981" t="s">
        <v>59</v>
      </c>
      <c r="E2981" t="s">
        <v>13</v>
      </c>
      <c r="F2981">
        <v>3</v>
      </c>
      <c r="G2981" t="str">
        <f>VLOOKUP(D2981,Товары!A:I,3,0)</f>
        <v>Тумба с раковиной  навес. Куба Риф 600 белый 2 ящика с умыв. Океан</v>
      </c>
      <c r="H2981">
        <f>VLOOKUP(D2981,Товары!A:I,6,0)</f>
        <v>55</v>
      </c>
      <c r="I2981" t="str">
        <f>VLOOKUP(C2981,Магазины!A:C,3,0)</f>
        <v>Ставрополь</v>
      </c>
      <c r="J2981">
        <f>VLOOKUP(D2981,Товары!A:I,4,0)</f>
        <v>15765</v>
      </c>
      <c r="K2981">
        <f t="shared" si="46"/>
        <v>47295</v>
      </c>
    </row>
    <row r="2982" spans="1:11" hidden="1" x14ac:dyDescent="0.25">
      <c r="A2982">
        <v>2981</v>
      </c>
      <c r="B2982" s="1">
        <v>45752</v>
      </c>
      <c r="C2982" t="s">
        <v>26</v>
      </c>
      <c r="D2982" t="s">
        <v>89</v>
      </c>
      <c r="E2982" t="s">
        <v>8</v>
      </c>
      <c r="F2982">
        <v>2</v>
      </c>
      <c r="G2982" t="str">
        <f>VLOOKUP(D2982,Товары!A:I,3,0)</f>
        <v>Тумба с раковиной  напол. Сохо 600 белый 2 двери с умыв. Океан</v>
      </c>
      <c r="H2982">
        <f>VLOOKUP(D2982,Товары!A:I,6,0)</f>
        <v>85</v>
      </c>
      <c r="I2982" t="str">
        <f>VLOOKUP(C2982,Магазины!A:C,3,0)</f>
        <v>Оренбург</v>
      </c>
      <c r="J2982">
        <f>VLOOKUP(D2982,Товары!A:I,4,0)</f>
        <v>14880</v>
      </c>
      <c r="K2982">
        <f t="shared" si="46"/>
        <v>29760</v>
      </c>
    </row>
    <row r="2983" spans="1:11" hidden="1" x14ac:dyDescent="0.25">
      <c r="A2983">
        <v>2982</v>
      </c>
      <c r="B2983" s="1">
        <v>45749</v>
      </c>
      <c r="C2983" t="s">
        <v>92</v>
      </c>
      <c r="D2983" t="s">
        <v>29</v>
      </c>
      <c r="E2983" t="s">
        <v>8</v>
      </c>
      <c r="F2983">
        <v>3</v>
      </c>
      <c r="G2983" t="str">
        <f>VLOOKUP(D2983,Товары!A:I,3,0)</f>
        <v>Тумба с раковиной  напол. Леон Риф 600 солярис/белый риф 2 ящика с умыв. Океан</v>
      </c>
      <c r="H2983">
        <f>VLOOKUP(D2983,Товары!A:I,6,0)</f>
        <v>80</v>
      </c>
      <c r="I2983" t="str">
        <f>VLOOKUP(C2983,Магазины!A:C,3,0)</f>
        <v>Кемерово</v>
      </c>
      <c r="J2983">
        <f>VLOOKUP(D2983,Товары!A:I,4,0)</f>
        <v>24150</v>
      </c>
      <c r="K2983">
        <f t="shared" si="46"/>
        <v>72450</v>
      </c>
    </row>
    <row r="2984" spans="1:11" hidden="1" x14ac:dyDescent="0.25">
      <c r="A2984">
        <v>2983</v>
      </c>
      <c r="B2984" s="1">
        <v>45753</v>
      </c>
      <c r="C2984" t="s">
        <v>103</v>
      </c>
      <c r="D2984" t="s">
        <v>36</v>
      </c>
      <c r="E2984" t="s">
        <v>13</v>
      </c>
      <c r="F2984">
        <v>3</v>
      </c>
      <c r="G2984" t="str">
        <f>VLOOKUP(D2984,Товары!A:I,3,0)</f>
        <v>Тумба с раковиной  напол. Альба 800 мята 2 ящика с умыв. Слим</v>
      </c>
      <c r="H2984">
        <f>VLOOKUP(D2984,Товары!A:I,6,0)</f>
        <v>80</v>
      </c>
      <c r="I2984" t="str">
        <f>VLOOKUP(C2984,Магазины!A:C,3,0)</f>
        <v>Ставрополь</v>
      </c>
      <c r="J2984">
        <f>VLOOKUP(D2984,Товары!A:I,4,0)</f>
        <v>29340</v>
      </c>
      <c r="K2984">
        <f t="shared" si="46"/>
        <v>88020</v>
      </c>
    </row>
    <row r="2985" spans="1:11" hidden="1" x14ac:dyDescent="0.25">
      <c r="A2985">
        <v>2984</v>
      </c>
      <c r="B2985" s="1">
        <v>45757</v>
      </c>
      <c r="C2985" t="s">
        <v>41</v>
      </c>
      <c r="D2985" t="s">
        <v>97</v>
      </c>
      <c r="E2985" t="s">
        <v>8</v>
      </c>
      <c r="F2985">
        <v>2</v>
      </c>
      <c r="G2985" t="str">
        <f>VLOOKUP(D2985,Товары!A:I,3,0)</f>
        <v>Пенал напол. Кристалл 350 суфле 2 двери</v>
      </c>
      <c r="H2985">
        <f>VLOOKUP(D2985,Товары!A:I,6,0)</f>
        <v>190</v>
      </c>
      <c r="I2985" t="str">
        <f>VLOOKUP(C2985,Магазины!A:C,3,0)</f>
        <v>Ставрополь</v>
      </c>
      <c r="J2985">
        <f>VLOOKUP(D2985,Товары!A:I,4,0)</f>
        <v>15810</v>
      </c>
      <c r="K2985">
        <f t="shared" si="46"/>
        <v>31620</v>
      </c>
    </row>
    <row r="2986" spans="1:11" hidden="1" x14ac:dyDescent="0.25">
      <c r="A2986">
        <v>2985</v>
      </c>
      <c r="B2986" s="1">
        <v>45754</v>
      </c>
      <c r="C2986" t="s">
        <v>92</v>
      </c>
      <c r="D2986" t="s">
        <v>97</v>
      </c>
      <c r="E2986" t="s">
        <v>8</v>
      </c>
      <c r="F2986">
        <v>3</v>
      </c>
      <c r="G2986" t="str">
        <f>VLOOKUP(D2986,Товары!A:I,3,0)</f>
        <v>Пенал напол. Кристалл 350 суфле 2 двери</v>
      </c>
      <c r="H2986">
        <f>VLOOKUP(D2986,Товары!A:I,6,0)</f>
        <v>190</v>
      </c>
      <c r="I2986" t="str">
        <f>VLOOKUP(C2986,Магазины!A:C,3,0)</f>
        <v>Кемерово</v>
      </c>
      <c r="J2986">
        <f>VLOOKUP(D2986,Товары!A:I,4,0)</f>
        <v>15810</v>
      </c>
      <c r="K2986">
        <f t="shared" si="46"/>
        <v>47430</v>
      </c>
    </row>
    <row r="2987" spans="1:11" hidden="1" x14ac:dyDescent="0.25">
      <c r="A2987">
        <v>2986</v>
      </c>
      <c r="B2987" s="1">
        <v>45754</v>
      </c>
      <c r="C2987" t="s">
        <v>28</v>
      </c>
      <c r="D2987" t="s">
        <v>59</v>
      </c>
      <c r="E2987" t="s">
        <v>13</v>
      </c>
      <c r="F2987">
        <v>1</v>
      </c>
      <c r="G2987" t="str">
        <f>VLOOKUP(D2987,Товары!A:I,3,0)</f>
        <v>Тумба с раковиной  навес. Куба Риф 600 белый 2 ящика с умыв. Океан</v>
      </c>
      <c r="H2987">
        <f>VLOOKUP(D2987,Товары!A:I,6,0)</f>
        <v>55</v>
      </c>
      <c r="I2987" t="str">
        <f>VLOOKUP(C2987,Магазины!A:C,3,0)</f>
        <v>Набережные Челны</v>
      </c>
      <c r="J2987">
        <f>VLOOKUP(D2987,Товары!A:I,4,0)</f>
        <v>15765</v>
      </c>
      <c r="K2987">
        <f t="shared" si="46"/>
        <v>15765</v>
      </c>
    </row>
    <row r="2988" spans="1:11" hidden="1" x14ac:dyDescent="0.25">
      <c r="A2988">
        <v>2987</v>
      </c>
      <c r="B2988" s="1">
        <v>45754</v>
      </c>
      <c r="C2988" t="s">
        <v>58</v>
      </c>
      <c r="D2988" t="s">
        <v>68</v>
      </c>
      <c r="E2988" t="s">
        <v>13</v>
      </c>
      <c r="F2988">
        <v>1</v>
      </c>
      <c r="G2988" t="str">
        <f>VLOOKUP(D2988,Товары!A:I,3,0)</f>
        <v>Тумба с раковиной  навес. Альба 600 антрацит 1 ящик с умыв. Океан</v>
      </c>
      <c r="H2988">
        <f>VLOOKUP(D2988,Товары!A:I,6,0)</f>
        <v>85</v>
      </c>
      <c r="I2988" t="str">
        <f>VLOOKUP(C2988,Магазины!A:C,3,0)</f>
        <v>Ставрополь</v>
      </c>
      <c r="J2988">
        <f>VLOOKUP(D2988,Товары!A:I,4,0)</f>
        <v>17625</v>
      </c>
      <c r="K2988">
        <f t="shared" si="46"/>
        <v>17625</v>
      </c>
    </row>
    <row r="2989" spans="1:11" hidden="1" x14ac:dyDescent="0.25">
      <c r="A2989">
        <v>2988</v>
      </c>
      <c r="B2989" s="1">
        <v>45751</v>
      </c>
      <c r="C2989" t="s">
        <v>57</v>
      </c>
      <c r="D2989" t="s">
        <v>27</v>
      </c>
      <c r="E2989" t="s">
        <v>13</v>
      </c>
      <c r="F2989">
        <v>2</v>
      </c>
      <c r="G2989" t="str">
        <f>VLOOKUP(D2989,Товары!A:I,3,0)</f>
        <v>Тумба с раковиной  навес. Виктория 800 белый 2 ящика с умыв. Слим</v>
      </c>
      <c r="H2989">
        <f>VLOOKUP(D2989,Товары!A:I,6,0)</f>
        <v>60</v>
      </c>
      <c r="I2989" t="str">
        <f>VLOOKUP(C2989,Магазины!A:C,3,0)</f>
        <v>Оренбург</v>
      </c>
      <c r="J2989">
        <f>VLOOKUP(D2989,Товары!A:I,4,0)</f>
        <v>25290</v>
      </c>
      <c r="K2989">
        <f t="shared" si="46"/>
        <v>50580</v>
      </c>
    </row>
    <row r="2990" spans="1:11" hidden="1" x14ac:dyDescent="0.25">
      <c r="A2990">
        <v>2989</v>
      </c>
      <c r="B2990" s="1">
        <v>45756</v>
      </c>
      <c r="C2990" t="s">
        <v>6</v>
      </c>
      <c r="D2990" t="s">
        <v>62</v>
      </c>
      <c r="E2990" t="s">
        <v>8</v>
      </c>
      <c r="F2990">
        <v>3</v>
      </c>
      <c r="G2990" t="str">
        <f>VLOOKUP(D2990,Товары!A:I,3,0)</f>
        <v>Тумба с раковиной  напол. Альба 600 мята 2 ящика с умыв. Океан</v>
      </c>
      <c r="H2990">
        <f>VLOOKUP(D2990,Товары!A:I,6,0)</f>
        <v>80</v>
      </c>
      <c r="I2990" t="str">
        <f>VLOOKUP(C2990,Магазины!A:C,3,0)</f>
        <v>Оренбург</v>
      </c>
      <c r="J2990">
        <f>VLOOKUP(D2990,Товары!A:I,4,0)</f>
        <v>26370</v>
      </c>
      <c r="K2990">
        <f t="shared" si="46"/>
        <v>79110</v>
      </c>
    </row>
    <row r="2991" spans="1:11" hidden="1" x14ac:dyDescent="0.25">
      <c r="A2991">
        <v>2990</v>
      </c>
      <c r="B2991" s="1">
        <v>45748</v>
      </c>
      <c r="C2991" t="s">
        <v>11</v>
      </c>
      <c r="D2991" t="s">
        <v>25</v>
      </c>
      <c r="E2991" t="s">
        <v>13</v>
      </c>
      <c r="F2991">
        <v>3</v>
      </c>
      <c r="G2991" t="str">
        <f>VLOOKUP(D2991,Товары!A:I,3,0)</f>
        <v>Пенал напол. Леон 400 оникс 2 двери + 1 ящик</v>
      </c>
      <c r="H2991">
        <f>VLOOKUP(D2991,Товары!A:I,6,0)</f>
        <v>190</v>
      </c>
      <c r="I2991" t="str">
        <f>VLOOKUP(C2991,Магазины!A:C,3,0)</f>
        <v>Кемерово</v>
      </c>
      <c r="J2991">
        <f>VLOOKUP(D2991,Товары!A:I,4,0)</f>
        <v>18450</v>
      </c>
      <c r="K2991">
        <f t="shared" si="46"/>
        <v>55350</v>
      </c>
    </row>
    <row r="2992" spans="1:11" hidden="1" x14ac:dyDescent="0.25">
      <c r="A2992">
        <v>2991</v>
      </c>
      <c r="B2992" s="1">
        <v>45754</v>
      </c>
      <c r="C2992" t="s">
        <v>18</v>
      </c>
      <c r="D2992" t="s">
        <v>45</v>
      </c>
      <c r="E2992" t="s">
        <v>13</v>
      </c>
      <c r="F2992">
        <v>2</v>
      </c>
      <c r="G2992" t="str">
        <f>VLOOKUP(D2992,Товары!A:I,3,0)</f>
        <v>Зеркальный шкаф Рица 80 со светильником правый цвет cерый/керамика</v>
      </c>
      <c r="H2992">
        <f>VLOOKUP(D2992,Товары!A:I,6,0)</f>
        <v>75</v>
      </c>
      <c r="I2992" t="str">
        <f>VLOOKUP(C2992,Магазины!A:C,3,0)</f>
        <v>Набережные Челны</v>
      </c>
      <c r="J2992">
        <f>VLOOKUP(D2992,Товары!A:I,4,0)</f>
        <v>9930</v>
      </c>
      <c r="K2992">
        <f t="shared" si="46"/>
        <v>19860</v>
      </c>
    </row>
    <row r="2993" spans="1:11" hidden="1" x14ac:dyDescent="0.25">
      <c r="A2993">
        <v>2992</v>
      </c>
      <c r="B2993" s="1">
        <v>45751</v>
      </c>
      <c r="C2993" t="s">
        <v>58</v>
      </c>
      <c r="D2993" t="s">
        <v>89</v>
      </c>
      <c r="E2993" t="s">
        <v>13</v>
      </c>
      <c r="F2993">
        <v>2</v>
      </c>
      <c r="G2993" t="str">
        <f>VLOOKUP(D2993,Товары!A:I,3,0)</f>
        <v>Тумба с раковиной  напол. Сохо 600 белый 2 двери с умыв. Океан</v>
      </c>
      <c r="H2993">
        <f>VLOOKUP(D2993,Товары!A:I,6,0)</f>
        <v>85</v>
      </c>
      <c r="I2993" t="str">
        <f>VLOOKUP(C2993,Магазины!A:C,3,0)</f>
        <v>Ставрополь</v>
      </c>
      <c r="J2993">
        <f>VLOOKUP(D2993,Товары!A:I,4,0)</f>
        <v>14880</v>
      </c>
      <c r="K2993">
        <f t="shared" si="46"/>
        <v>29760</v>
      </c>
    </row>
    <row r="2994" spans="1:11" hidden="1" x14ac:dyDescent="0.25">
      <c r="A2994">
        <v>2993</v>
      </c>
      <c r="B2994" s="1">
        <v>45754</v>
      </c>
      <c r="C2994" t="s">
        <v>35</v>
      </c>
      <c r="D2994" t="s">
        <v>69</v>
      </c>
      <c r="E2994" t="s">
        <v>8</v>
      </c>
      <c r="F2994">
        <v>2</v>
      </c>
      <c r="G2994" t="str">
        <f>VLOOKUP(D2994,Товары!A:I,3,0)</f>
        <v>Пенал навес./напол. Альба 350 антрацит 2 двери</v>
      </c>
      <c r="H2994">
        <f>VLOOKUP(D2994,Товары!A:I,6,0)</f>
        <v>150</v>
      </c>
      <c r="I2994" t="str">
        <f>VLOOKUP(C2994,Магазины!A:C,3,0)</f>
        <v>Набережные Челны</v>
      </c>
      <c r="J2994">
        <f>VLOOKUP(D2994,Товары!A:I,4,0)</f>
        <v>11655</v>
      </c>
      <c r="K2994">
        <f t="shared" si="46"/>
        <v>23310</v>
      </c>
    </row>
    <row r="2995" spans="1:11" hidden="1" x14ac:dyDescent="0.25">
      <c r="A2995">
        <v>2994</v>
      </c>
      <c r="B2995" s="1">
        <v>45749</v>
      </c>
      <c r="C2995" t="s">
        <v>26</v>
      </c>
      <c r="D2995" t="s">
        <v>23</v>
      </c>
      <c r="E2995" t="s">
        <v>8</v>
      </c>
      <c r="F2995">
        <v>2</v>
      </c>
      <c r="G2995" t="str">
        <f>VLOOKUP(D2995,Товары!A:I,3,0)</f>
        <v>Тумба с раковиной  напол. Альба 800 антрацит 2 ящика с умыв. Слим</v>
      </c>
      <c r="H2995">
        <f>VLOOKUP(D2995,Товары!A:I,6,0)</f>
        <v>80</v>
      </c>
      <c r="I2995" t="str">
        <f>VLOOKUP(C2995,Магазины!A:C,3,0)</f>
        <v>Оренбург</v>
      </c>
      <c r="J2995">
        <f>VLOOKUP(D2995,Товары!A:I,4,0)</f>
        <v>29340</v>
      </c>
      <c r="K2995">
        <f t="shared" si="46"/>
        <v>58680</v>
      </c>
    </row>
    <row r="2996" spans="1:11" hidden="1" x14ac:dyDescent="0.25">
      <c r="A2996">
        <v>2995</v>
      </c>
      <c r="B2996" s="1">
        <v>45757</v>
      </c>
      <c r="C2996" t="s">
        <v>54</v>
      </c>
      <c r="D2996" t="s">
        <v>130</v>
      </c>
      <c r="E2996" t="s">
        <v>8</v>
      </c>
      <c r="F2996">
        <v>2</v>
      </c>
      <c r="G2996" t="str">
        <f>VLOOKUP(D2996,Товары!A:I,3,0)</f>
        <v>Пенал напол. Леон 400 форест 2 двери + 1 ящик</v>
      </c>
      <c r="H2996">
        <f>VLOOKUP(D2996,Товары!A:I,6,0)</f>
        <v>190</v>
      </c>
      <c r="I2996" t="str">
        <f>VLOOKUP(C2996,Магазины!A:C,3,0)</f>
        <v>Ставрополь</v>
      </c>
      <c r="J2996">
        <f>VLOOKUP(D2996,Товары!A:I,4,0)</f>
        <v>18450</v>
      </c>
      <c r="K2996">
        <f t="shared" si="46"/>
        <v>36900</v>
      </c>
    </row>
    <row r="2997" spans="1:11" hidden="1" x14ac:dyDescent="0.25">
      <c r="A2997">
        <v>2996</v>
      </c>
      <c r="B2997" s="1">
        <v>45751</v>
      </c>
      <c r="C2997" t="s">
        <v>41</v>
      </c>
      <c r="D2997" t="s">
        <v>77</v>
      </c>
      <c r="E2997" t="s">
        <v>13</v>
      </c>
      <c r="F2997">
        <v>3</v>
      </c>
      <c r="G2997" t="str">
        <f>VLOOKUP(D2997,Товары!A:I,3,0)</f>
        <v>Тумба с раковиной  напол. Куба Риф 600 белый 2 ящика с умыв. Como</v>
      </c>
      <c r="H2997">
        <f>VLOOKUP(D2997,Товары!A:I,6,0)</f>
        <v>85</v>
      </c>
      <c r="I2997" t="str">
        <f>VLOOKUP(C2997,Магазины!A:C,3,0)</f>
        <v>Ставрополь</v>
      </c>
      <c r="J2997">
        <f>VLOOKUP(D2997,Товары!A:I,4,0)</f>
        <v>15660</v>
      </c>
      <c r="K2997">
        <f t="shared" si="46"/>
        <v>46980</v>
      </c>
    </row>
    <row r="2998" spans="1:11" hidden="1" x14ac:dyDescent="0.25">
      <c r="A2998">
        <v>2997</v>
      </c>
      <c r="B2998" s="1">
        <v>45753</v>
      </c>
      <c r="C2998" t="s">
        <v>26</v>
      </c>
      <c r="D2998" t="s">
        <v>44</v>
      </c>
      <c r="E2998" t="s">
        <v>13</v>
      </c>
      <c r="F2998">
        <v>2</v>
      </c>
      <c r="G2998" t="str">
        <f>VLOOKUP(D2998,Товары!A:I,3,0)</f>
        <v>Тумба с раковиной  навес. Кристалл 800 шато азур 2 ящика с умыв. Комфорт</v>
      </c>
      <c r="H2998">
        <f>VLOOKUP(D2998,Товары!A:I,6,0)</f>
        <v>55</v>
      </c>
      <c r="I2998" t="str">
        <f>VLOOKUP(C2998,Магазины!A:C,3,0)</f>
        <v>Оренбург</v>
      </c>
      <c r="J2998">
        <f>VLOOKUP(D2998,Товары!A:I,4,0)</f>
        <v>25080</v>
      </c>
      <c r="K2998">
        <f t="shared" si="46"/>
        <v>50160</v>
      </c>
    </row>
    <row r="2999" spans="1:11" hidden="1" x14ac:dyDescent="0.25">
      <c r="A2999">
        <v>2998</v>
      </c>
      <c r="B2999" s="1">
        <v>45748</v>
      </c>
      <c r="C2999" t="s">
        <v>41</v>
      </c>
      <c r="D2999" t="s">
        <v>96</v>
      </c>
      <c r="E2999" t="s">
        <v>13</v>
      </c>
      <c r="F2999">
        <v>2</v>
      </c>
      <c r="G2999" t="str">
        <f>VLOOKUP(D2999,Товары!A:I,3,0)</f>
        <v>Тумба с раковиной  навес. Альба 600 мята 1 ящик с умыв. Океан</v>
      </c>
      <c r="H2999">
        <f>VLOOKUP(D2999,Товары!A:I,6,0)</f>
        <v>85</v>
      </c>
      <c r="I2999" t="str">
        <f>VLOOKUP(C2999,Магазины!A:C,3,0)</f>
        <v>Ставрополь</v>
      </c>
      <c r="J2999">
        <f>VLOOKUP(D2999,Товары!A:I,4,0)</f>
        <v>17625</v>
      </c>
      <c r="K2999">
        <f t="shared" si="46"/>
        <v>35250</v>
      </c>
    </row>
    <row r="3000" spans="1:11" hidden="1" x14ac:dyDescent="0.25">
      <c r="A3000">
        <v>2999</v>
      </c>
      <c r="B3000" s="1">
        <v>45748</v>
      </c>
      <c r="C3000" t="s">
        <v>41</v>
      </c>
      <c r="D3000" t="s">
        <v>127</v>
      </c>
      <c r="E3000" t="s">
        <v>8</v>
      </c>
      <c r="F3000">
        <v>2</v>
      </c>
      <c r="G3000" t="str">
        <f>VLOOKUP(D3000,Товары!A:I,3,0)</f>
        <v>Тумба с раковиной  навес. Альба 700 мята 1 ящик с умыв. Слим</v>
      </c>
      <c r="H3000">
        <f>VLOOKUP(D3000,Товары!A:I,6,0)</f>
        <v>45</v>
      </c>
      <c r="I3000" t="str">
        <f>VLOOKUP(C3000,Магазины!A:C,3,0)</f>
        <v>Ставрополь</v>
      </c>
      <c r="J3000">
        <f>VLOOKUP(D3000,Товары!A:I,4,0)</f>
        <v>20130</v>
      </c>
      <c r="K3000">
        <f t="shared" si="46"/>
        <v>40260</v>
      </c>
    </row>
    <row r="3001" spans="1:11" hidden="1" x14ac:dyDescent="0.25">
      <c r="A3001">
        <v>3000</v>
      </c>
      <c r="B3001" s="1">
        <v>45751</v>
      </c>
      <c r="C3001" t="s">
        <v>9</v>
      </c>
      <c r="D3001" t="s">
        <v>79</v>
      </c>
      <c r="E3001" t="s">
        <v>8</v>
      </c>
      <c r="F3001">
        <v>2</v>
      </c>
      <c r="G3001" t="str">
        <f>VLOOKUP(D3001,Товары!A:I,3,0)</f>
        <v>Зеркальный шкаф Альба 70 со светильником правый цвет мята</v>
      </c>
      <c r="H3001">
        <f>VLOOKUP(D3001,Товары!A:I,6,0)</f>
        <v>75</v>
      </c>
      <c r="I3001" t="str">
        <f>VLOOKUP(C3001,Магазины!A:C,3,0)</f>
        <v>Кемерово</v>
      </c>
      <c r="J3001">
        <f>VLOOKUP(D3001,Товары!A:I,4,0)</f>
        <v>9615</v>
      </c>
      <c r="K3001">
        <f t="shared" si="46"/>
        <v>19230</v>
      </c>
    </row>
    <row r="3002" spans="1:11" hidden="1" x14ac:dyDescent="0.25">
      <c r="A3002">
        <v>3001</v>
      </c>
      <c r="B3002" s="1">
        <v>45755</v>
      </c>
      <c r="C3002" t="s">
        <v>14</v>
      </c>
      <c r="D3002" t="s">
        <v>115</v>
      </c>
      <c r="E3002" t="s">
        <v>8</v>
      </c>
      <c r="F3002">
        <v>2</v>
      </c>
      <c r="G3002" t="str">
        <f>VLOOKUP(D3002,Товары!A:I,3,0)</f>
        <v>Тумба под стиральную машину Куба Риф 57 напольная 2 ящика под ст/маш, без умывальника /под Marshall 120 Белый</v>
      </c>
      <c r="H3002">
        <f>VLOOKUP(D3002,Товары!A:I,6,0)</f>
        <v>85</v>
      </c>
      <c r="I3002" t="str">
        <f>VLOOKUP(C3002,Магазины!A:C,3,0)</f>
        <v>Оренбург</v>
      </c>
      <c r="J3002">
        <f>VLOOKUP(D3002,Товары!A:I,4,0)</f>
        <v>10530</v>
      </c>
      <c r="K3002">
        <f t="shared" si="46"/>
        <v>21060</v>
      </c>
    </row>
    <row r="3003" spans="1:11" hidden="1" x14ac:dyDescent="0.25">
      <c r="A3003">
        <v>3002</v>
      </c>
      <c r="B3003" s="1">
        <v>45753</v>
      </c>
      <c r="C3003" t="s">
        <v>43</v>
      </c>
      <c r="D3003" t="s">
        <v>66</v>
      </c>
      <c r="E3003" t="s">
        <v>13</v>
      </c>
      <c r="F3003">
        <v>1</v>
      </c>
      <c r="G3003" t="str">
        <f>VLOOKUP(D3003,Товары!A:I,3,0)</f>
        <v>Тумба с раковиной  навес. Альба 800 мята 2 ящика с умыв. Слим</v>
      </c>
      <c r="H3003">
        <f>VLOOKUP(D3003,Товары!A:I,6,0)</f>
        <v>50</v>
      </c>
      <c r="I3003" t="str">
        <f>VLOOKUP(C3003,Магазины!A:C,3,0)</f>
        <v>Набережные Челны</v>
      </c>
      <c r="J3003">
        <f>VLOOKUP(D3003,Товары!A:I,4,0)</f>
        <v>26070</v>
      </c>
      <c r="K3003">
        <f t="shared" si="46"/>
        <v>26070</v>
      </c>
    </row>
    <row r="3004" spans="1:11" hidden="1" x14ac:dyDescent="0.25">
      <c r="A3004">
        <v>3003</v>
      </c>
      <c r="B3004" s="1">
        <v>45752</v>
      </c>
      <c r="C3004" t="s">
        <v>54</v>
      </c>
      <c r="D3004" t="s">
        <v>104</v>
      </c>
      <c r="E3004" t="s">
        <v>13</v>
      </c>
      <c r="F3004">
        <v>1</v>
      </c>
      <c r="G3004" t="str">
        <f>VLOOKUP(D3004,Товары!A:I,3,0)</f>
        <v>Тумба под стиральную машину Куба Риф 57 подвесная 2 ящика под ст/маш, без умывальника /под Marshall 120 Белый</v>
      </c>
      <c r="H3004">
        <f>VLOOKUP(D3004,Товары!A:I,6,0)</f>
        <v>50</v>
      </c>
      <c r="I3004" t="str">
        <f>VLOOKUP(C3004,Магазины!A:C,3,0)</f>
        <v>Ставрополь</v>
      </c>
      <c r="J3004">
        <f>VLOOKUP(D3004,Товары!A:I,4,0)</f>
        <v>8505</v>
      </c>
      <c r="K3004">
        <f t="shared" si="46"/>
        <v>8505</v>
      </c>
    </row>
    <row r="3005" spans="1:11" hidden="1" x14ac:dyDescent="0.25">
      <c r="A3005">
        <v>3004</v>
      </c>
      <c r="B3005" s="1">
        <v>45753</v>
      </c>
      <c r="C3005" t="s">
        <v>30</v>
      </c>
      <c r="D3005" t="s">
        <v>23</v>
      </c>
      <c r="E3005" t="s">
        <v>13</v>
      </c>
      <c r="F3005">
        <v>2</v>
      </c>
      <c r="G3005" t="str">
        <f>VLOOKUP(D3005,Товары!A:I,3,0)</f>
        <v>Тумба с раковиной  напол. Альба 800 антрацит 2 ящика с умыв. Слим</v>
      </c>
      <c r="H3005">
        <f>VLOOKUP(D3005,Товары!A:I,6,0)</f>
        <v>80</v>
      </c>
      <c r="I3005" t="str">
        <f>VLOOKUP(C3005,Магазины!A:C,3,0)</f>
        <v>Кемерово</v>
      </c>
      <c r="J3005">
        <f>VLOOKUP(D3005,Товары!A:I,4,0)</f>
        <v>29340</v>
      </c>
      <c r="K3005">
        <f t="shared" si="46"/>
        <v>58680</v>
      </c>
    </row>
    <row r="3006" spans="1:11" hidden="1" x14ac:dyDescent="0.25">
      <c r="A3006">
        <v>3005</v>
      </c>
      <c r="B3006" s="1">
        <v>45752</v>
      </c>
      <c r="C3006" t="s">
        <v>58</v>
      </c>
      <c r="D3006" t="s">
        <v>73</v>
      </c>
      <c r="E3006" t="s">
        <v>13</v>
      </c>
      <c r="F3006">
        <v>1</v>
      </c>
      <c r="G3006" t="str">
        <f>VLOOKUP(D3006,Товары!A:I,3,0)</f>
        <v>Зеркальный шкаф Альба 70 со светильником правый цвет антрацит</v>
      </c>
      <c r="H3006">
        <f>VLOOKUP(D3006,Товары!A:I,6,0)</f>
        <v>75</v>
      </c>
      <c r="I3006" t="str">
        <f>VLOOKUP(C3006,Магазины!A:C,3,0)</f>
        <v>Ставрополь</v>
      </c>
      <c r="J3006">
        <f>VLOOKUP(D3006,Товары!A:I,4,0)</f>
        <v>9615</v>
      </c>
      <c r="K3006">
        <f t="shared" si="46"/>
        <v>9615</v>
      </c>
    </row>
    <row r="3007" spans="1:11" hidden="1" x14ac:dyDescent="0.25">
      <c r="A3007">
        <v>3006</v>
      </c>
      <c r="B3007" s="1">
        <v>45755</v>
      </c>
      <c r="C3007" t="s">
        <v>22</v>
      </c>
      <c r="D3007" t="s">
        <v>29</v>
      </c>
      <c r="E3007" t="s">
        <v>13</v>
      </c>
      <c r="F3007">
        <v>3</v>
      </c>
      <c r="G3007" t="str">
        <f>VLOOKUP(D3007,Товары!A:I,3,0)</f>
        <v>Тумба с раковиной  напол. Леон Риф 600 солярис/белый риф 2 ящика с умыв. Океан</v>
      </c>
      <c r="H3007">
        <f>VLOOKUP(D3007,Товары!A:I,6,0)</f>
        <v>80</v>
      </c>
      <c r="I3007" t="str">
        <f>VLOOKUP(C3007,Магазины!A:C,3,0)</f>
        <v>Кемерово</v>
      </c>
      <c r="J3007">
        <f>VLOOKUP(D3007,Товары!A:I,4,0)</f>
        <v>24150</v>
      </c>
      <c r="K3007">
        <f t="shared" si="46"/>
        <v>72450</v>
      </c>
    </row>
    <row r="3008" spans="1:11" hidden="1" x14ac:dyDescent="0.25">
      <c r="A3008">
        <v>3007</v>
      </c>
      <c r="B3008" s="1">
        <v>45753</v>
      </c>
      <c r="C3008" t="s">
        <v>11</v>
      </c>
      <c r="D3008" t="s">
        <v>68</v>
      </c>
      <c r="E3008" t="s">
        <v>13</v>
      </c>
      <c r="F3008">
        <v>3</v>
      </c>
      <c r="G3008" t="str">
        <f>VLOOKUP(D3008,Товары!A:I,3,0)</f>
        <v>Тумба с раковиной  навес. Альба 600 антрацит 1 ящик с умыв. Океан</v>
      </c>
      <c r="H3008">
        <f>VLOOKUP(D3008,Товары!A:I,6,0)</f>
        <v>85</v>
      </c>
      <c r="I3008" t="str">
        <f>VLOOKUP(C3008,Магазины!A:C,3,0)</f>
        <v>Кемерово</v>
      </c>
      <c r="J3008">
        <f>VLOOKUP(D3008,Товары!A:I,4,0)</f>
        <v>17625</v>
      </c>
      <c r="K3008">
        <f t="shared" si="46"/>
        <v>52875</v>
      </c>
    </row>
    <row r="3009" spans="1:11" hidden="1" x14ac:dyDescent="0.25">
      <c r="A3009">
        <v>3008</v>
      </c>
      <c r="B3009" s="1">
        <v>45753</v>
      </c>
      <c r="C3009" t="s">
        <v>54</v>
      </c>
      <c r="D3009" t="s">
        <v>74</v>
      </c>
      <c r="E3009" t="s">
        <v>8</v>
      </c>
      <c r="F3009">
        <v>3</v>
      </c>
      <c r="G3009" t="str">
        <f>VLOOKUP(D3009,Товары!A:I,3,0)</f>
        <v>Тумба с раковиной  напол. Альба 800 суфле 2 ящика с умыв. Слим</v>
      </c>
      <c r="H3009">
        <f>VLOOKUP(D3009,Товары!A:I,6,0)</f>
        <v>80</v>
      </c>
      <c r="I3009" t="str">
        <f>VLOOKUP(C3009,Магазины!A:C,3,0)</f>
        <v>Ставрополь</v>
      </c>
      <c r="J3009">
        <f>VLOOKUP(D3009,Товары!A:I,4,0)</f>
        <v>29340</v>
      </c>
      <c r="K3009">
        <f t="shared" si="46"/>
        <v>88020</v>
      </c>
    </row>
    <row r="3010" spans="1:11" hidden="1" x14ac:dyDescent="0.25">
      <c r="A3010">
        <v>3009</v>
      </c>
      <c r="B3010" s="1">
        <v>45754</v>
      </c>
      <c r="C3010" t="s">
        <v>92</v>
      </c>
      <c r="D3010" t="s">
        <v>93</v>
      </c>
      <c r="E3010" t="s">
        <v>8</v>
      </c>
      <c r="F3010">
        <v>1</v>
      </c>
      <c r="G3010" t="str">
        <f>VLOOKUP(D3010,Товары!A:I,3,0)</f>
        <v>Тумба с раковиной  напол. Леон Риф 800 солярис/белый риф 2 ящика с умыв. Слим</v>
      </c>
      <c r="H3010">
        <f>VLOOKUP(D3010,Товары!A:I,6,0)</f>
        <v>80</v>
      </c>
      <c r="I3010" t="str">
        <f>VLOOKUP(C3010,Магазины!A:C,3,0)</f>
        <v>Кемерово</v>
      </c>
      <c r="J3010">
        <f>VLOOKUP(D3010,Товары!A:I,4,0)</f>
        <v>29340</v>
      </c>
      <c r="K3010">
        <f t="shared" si="46"/>
        <v>29340</v>
      </c>
    </row>
    <row r="3011" spans="1:11" hidden="1" x14ac:dyDescent="0.25">
      <c r="A3011">
        <v>3010</v>
      </c>
      <c r="B3011" s="1">
        <v>45753</v>
      </c>
      <c r="C3011" t="s">
        <v>26</v>
      </c>
      <c r="D3011" t="s">
        <v>128</v>
      </c>
      <c r="E3011" t="s">
        <v>8</v>
      </c>
      <c r="F3011">
        <v>1</v>
      </c>
      <c r="G3011" t="str">
        <f>VLOOKUP(D3011,Товары!A:I,3,0)</f>
        <v>Тумба с раковиной  напол. Куба Риф 1000 белый 2 ящика с умыв. Слим</v>
      </c>
      <c r="H3011">
        <f>VLOOKUP(D3011,Товары!A:I,6,0)</f>
        <v>85</v>
      </c>
      <c r="I3011" t="str">
        <f>VLOOKUP(C3011,Магазины!A:C,3,0)</f>
        <v>Оренбург</v>
      </c>
      <c r="J3011">
        <f>VLOOKUP(D3011,Товары!A:I,4,0)</f>
        <v>22905</v>
      </c>
      <c r="K3011">
        <f t="shared" ref="K3011:K3074" si="47">J3011*F3011</f>
        <v>22905</v>
      </c>
    </row>
    <row r="3012" spans="1:11" hidden="1" x14ac:dyDescent="0.25">
      <c r="A3012">
        <v>3011</v>
      </c>
      <c r="B3012" s="1">
        <v>45754</v>
      </c>
      <c r="C3012" t="s">
        <v>57</v>
      </c>
      <c r="D3012" t="s">
        <v>15</v>
      </c>
      <c r="E3012" t="s">
        <v>8</v>
      </c>
      <c r="F3012">
        <v>2</v>
      </c>
      <c r="G3012" t="str">
        <f>VLOOKUP(D3012,Товары!A:I,3,0)</f>
        <v>Зеркальный шкаф Кристалл 60 со светильником правый, ручка кнопка дуб цвет Шато Азур</v>
      </c>
      <c r="H3012">
        <f>VLOOKUP(D3012,Товары!A:I,6,0)</f>
        <v>75</v>
      </c>
      <c r="I3012" t="str">
        <f>VLOOKUP(C3012,Магазины!A:C,3,0)</f>
        <v>Оренбург</v>
      </c>
      <c r="J3012">
        <f>VLOOKUP(D3012,Товары!A:I,4,0)</f>
        <v>9195</v>
      </c>
      <c r="K3012">
        <f t="shared" si="47"/>
        <v>18390</v>
      </c>
    </row>
    <row r="3013" spans="1:11" hidden="1" x14ac:dyDescent="0.25">
      <c r="A3013">
        <v>3012</v>
      </c>
      <c r="B3013" s="1">
        <v>45755</v>
      </c>
      <c r="C3013" t="s">
        <v>43</v>
      </c>
      <c r="D3013" t="s">
        <v>62</v>
      </c>
      <c r="E3013" t="s">
        <v>13</v>
      </c>
      <c r="F3013">
        <v>3</v>
      </c>
      <c r="G3013" t="str">
        <f>VLOOKUP(D3013,Товары!A:I,3,0)</f>
        <v>Тумба с раковиной  напол. Альба 600 мята 2 ящика с умыв. Океан</v>
      </c>
      <c r="H3013">
        <f>VLOOKUP(D3013,Товары!A:I,6,0)</f>
        <v>80</v>
      </c>
      <c r="I3013" t="str">
        <f>VLOOKUP(C3013,Магазины!A:C,3,0)</f>
        <v>Набережные Челны</v>
      </c>
      <c r="J3013">
        <f>VLOOKUP(D3013,Товары!A:I,4,0)</f>
        <v>26370</v>
      </c>
      <c r="K3013">
        <f t="shared" si="47"/>
        <v>79110</v>
      </c>
    </row>
    <row r="3014" spans="1:11" hidden="1" x14ac:dyDescent="0.25">
      <c r="A3014">
        <v>3013</v>
      </c>
      <c r="B3014" s="1">
        <v>45752</v>
      </c>
      <c r="C3014" t="s">
        <v>54</v>
      </c>
      <c r="D3014" t="s">
        <v>80</v>
      </c>
      <c r="E3014" t="s">
        <v>13</v>
      </c>
      <c r="F3014">
        <v>1</v>
      </c>
      <c r="G3014" t="str">
        <f>VLOOKUP(D3014,Товары!A:I,3,0)</f>
        <v>Тумба с раковиной  навес. Сохо 600 белый 2 ящика с умыв. Океан</v>
      </c>
      <c r="H3014">
        <f>VLOOKUP(D3014,Товары!A:I,6,0)</f>
        <v>55</v>
      </c>
      <c r="I3014" t="str">
        <f>VLOOKUP(C3014,Магазины!A:C,3,0)</f>
        <v>Ставрополь</v>
      </c>
      <c r="J3014">
        <f>VLOOKUP(D3014,Товары!A:I,4,0)</f>
        <v>13950</v>
      </c>
      <c r="K3014">
        <f t="shared" si="47"/>
        <v>13950</v>
      </c>
    </row>
    <row r="3015" spans="1:11" hidden="1" x14ac:dyDescent="0.25">
      <c r="A3015">
        <v>3014</v>
      </c>
      <c r="B3015" s="1">
        <v>45749</v>
      </c>
      <c r="C3015" t="s">
        <v>33</v>
      </c>
      <c r="D3015" t="s">
        <v>45</v>
      </c>
      <c r="E3015" t="s">
        <v>13</v>
      </c>
      <c r="F3015">
        <v>1</v>
      </c>
      <c r="G3015" t="str">
        <f>VLOOKUP(D3015,Товары!A:I,3,0)</f>
        <v>Зеркальный шкаф Рица 80 со светильником правый цвет cерый/керамика</v>
      </c>
      <c r="H3015">
        <f>VLOOKUP(D3015,Товары!A:I,6,0)</f>
        <v>75</v>
      </c>
      <c r="I3015" t="str">
        <f>VLOOKUP(C3015,Магазины!A:C,3,0)</f>
        <v>Набережные Челны</v>
      </c>
      <c r="J3015">
        <f>VLOOKUP(D3015,Товары!A:I,4,0)</f>
        <v>9930</v>
      </c>
      <c r="K3015">
        <f t="shared" si="47"/>
        <v>9930</v>
      </c>
    </row>
    <row r="3016" spans="1:11" hidden="1" x14ac:dyDescent="0.25">
      <c r="A3016">
        <v>3015</v>
      </c>
      <c r="B3016" s="1">
        <v>45751</v>
      </c>
      <c r="C3016" t="s">
        <v>9</v>
      </c>
      <c r="D3016" t="s">
        <v>117</v>
      </c>
      <c r="E3016" t="s">
        <v>13</v>
      </c>
      <c r="F3016">
        <v>2</v>
      </c>
      <c r="G3016" t="str">
        <f>VLOOKUP(D3016,Товары!A:I,3,0)</f>
        <v>Тумба с раковиной  навес. Альба 700 антрацит 2 ящика с умыв. Слим</v>
      </c>
      <c r="H3016">
        <f>VLOOKUP(D3016,Товары!A:I,6,0)</f>
        <v>60</v>
      </c>
      <c r="I3016" t="str">
        <f>VLOOKUP(C3016,Магазины!A:C,3,0)</f>
        <v>Кемерово</v>
      </c>
      <c r="J3016">
        <f>VLOOKUP(D3016,Товары!A:I,4,0)</f>
        <v>25095</v>
      </c>
      <c r="K3016">
        <f t="shared" si="47"/>
        <v>50190</v>
      </c>
    </row>
    <row r="3017" spans="1:11" hidden="1" x14ac:dyDescent="0.25">
      <c r="A3017">
        <v>3016</v>
      </c>
      <c r="B3017" s="1">
        <v>45750</v>
      </c>
      <c r="C3017" t="s">
        <v>6</v>
      </c>
      <c r="D3017" t="s">
        <v>116</v>
      </c>
      <c r="E3017" t="s">
        <v>13</v>
      </c>
      <c r="F3017">
        <v>3</v>
      </c>
      <c r="G3017" t="str">
        <f>VLOOKUP(D3017,Товары!A:I,3,0)</f>
        <v>Зеркало Нева 60 дуб/белый со светильником</v>
      </c>
      <c r="H3017">
        <f>VLOOKUP(D3017,Товары!A:I,6,0)</f>
        <v>80</v>
      </c>
      <c r="I3017" t="str">
        <f>VLOOKUP(C3017,Магазины!A:C,3,0)</f>
        <v>Оренбург</v>
      </c>
      <c r="J3017">
        <f>VLOOKUP(D3017,Товары!A:I,4,0)</f>
        <v>5100</v>
      </c>
      <c r="K3017">
        <f t="shared" si="47"/>
        <v>15300</v>
      </c>
    </row>
    <row r="3018" spans="1:11" hidden="1" x14ac:dyDescent="0.25">
      <c r="A3018">
        <v>3017</v>
      </c>
      <c r="B3018" s="1">
        <v>45749</v>
      </c>
      <c r="C3018" t="s">
        <v>6</v>
      </c>
      <c r="D3018" t="s">
        <v>51</v>
      </c>
      <c r="E3018" t="s">
        <v>8</v>
      </c>
      <c r="F3018">
        <v>3</v>
      </c>
      <c r="G3018" t="str">
        <f>VLOOKUP(D3018,Товары!A:I,3,0)</f>
        <v>Зеркальный шкаф Альба 80 со светильником правый цвет суфле</v>
      </c>
      <c r="H3018">
        <f>VLOOKUP(D3018,Товары!A:I,6,0)</f>
        <v>75</v>
      </c>
      <c r="I3018" t="str">
        <f>VLOOKUP(C3018,Магазины!A:C,3,0)</f>
        <v>Оренбург</v>
      </c>
      <c r="J3018">
        <f>VLOOKUP(D3018,Товары!A:I,4,0)</f>
        <v>9930</v>
      </c>
      <c r="K3018">
        <f t="shared" si="47"/>
        <v>29790</v>
      </c>
    </row>
    <row r="3019" spans="1:11" hidden="1" x14ac:dyDescent="0.25">
      <c r="A3019">
        <v>3018</v>
      </c>
      <c r="B3019" s="1">
        <v>45752</v>
      </c>
      <c r="C3019" t="s">
        <v>111</v>
      </c>
      <c r="D3019" t="s">
        <v>126</v>
      </c>
      <c r="E3019" t="s">
        <v>8</v>
      </c>
      <c r="F3019">
        <v>1</v>
      </c>
      <c r="G3019" t="str">
        <f>VLOOKUP(D3019,Товары!A:I,3,0)</f>
        <v>Тумба с раковиной  напол. Кристалл 800 шато азур 2 ящика с умыв. Комфорт</v>
      </c>
      <c r="H3019">
        <f>VLOOKUP(D3019,Товары!A:I,6,0)</f>
        <v>85</v>
      </c>
      <c r="I3019" t="str">
        <f>VLOOKUP(C3019,Магазины!A:C,3,0)</f>
        <v>Набережные Челны</v>
      </c>
      <c r="J3019">
        <f>VLOOKUP(D3019,Товары!A:I,4,0)</f>
        <v>31125</v>
      </c>
      <c r="K3019">
        <f t="shared" si="47"/>
        <v>31125</v>
      </c>
    </row>
    <row r="3020" spans="1:11" hidden="1" x14ac:dyDescent="0.25">
      <c r="A3020">
        <v>3019</v>
      </c>
      <c r="B3020" s="1">
        <v>45752</v>
      </c>
      <c r="C3020" t="s">
        <v>43</v>
      </c>
      <c r="D3020" t="s">
        <v>104</v>
      </c>
      <c r="E3020" t="s">
        <v>8</v>
      </c>
      <c r="F3020">
        <v>2</v>
      </c>
      <c r="G3020" t="str">
        <f>VLOOKUP(D3020,Товары!A:I,3,0)</f>
        <v>Тумба под стиральную машину Куба Риф 57 подвесная 2 ящика под ст/маш, без умывальника /под Marshall 120 Белый</v>
      </c>
      <c r="H3020">
        <f>VLOOKUP(D3020,Товары!A:I,6,0)</f>
        <v>50</v>
      </c>
      <c r="I3020" t="str">
        <f>VLOOKUP(C3020,Магазины!A:C,3,0)</f>
        <v>Набережные Челны</v>
      </c>
      <c r="J3020">
        <f>VLOOKUP(D3020,Товары!A:I,4,0)</f>
        <v>8505</v>
      </c>
      <c r="K3020">
        <f t="shared" si="47"/>
        <v>17010</v>
      </c>
    </row>
    <row r="3021" spans="1:11" hidden="1" x14ac:dyDescent="0.25">
      <c r="A3021">
        <v>3020</v>
      </c>
      <c r="B3021" s="1">
        <v>45754</v>
      </c>
      <c r="C3021" t="s">
        <v>9</v>
      </c>
      <c r="D3021" t="s">
        <v>75</v>
      </c>
      <c r="E3021" t="s">
        <v>13</v>
      </c>
      <c r="F3021">
        <v>3</v>
      </c>
      <c r="G3021" t="str">
        <f>VLOOKUP(D3021,Товары!A:I,3,0)</f>
        <v>Тумба с раковиной  напол. Альба 600 суфле 2 ящика с умыв. Океан</v>
      </c>
      <c r="H3021">
        <f>VLOOKUP(D3021,Товары!A:I,6,0)</f>
        <v>80</v>
      </c>
      <c r="I3021" t="str">
        <f>VLOOKUP(C3021,Магазины!A:C,3,0)</f>
        <v>Кемерово</v>
      </c>
      <c r="J3021">
        <f>VLOOKUP(D3021,Товары!A:I,4,0)</f>
        <v>26370</v>
      </c>
      <c r="K3021">
        <f t="shared" si="47"/>
        <v>79110</v>
      </c>
    </row>
    <row r="3022" spans="1:11" hidden="1" x14ac:dyDescent="0.25">
      <c r="A3022">
        <v>3021</v>
      </c>
      <c r="B3022" s="1">
        <v>45749</v>
      </c>
      <c r="C3022" t="s">
        <v>57</v>
      </c>
      <c r="D3022" t="s">
        <v>122</v>
      </c>
      <c r="E3022" t="s">
        <v>8</v>
      </c>
      <c r="F3022">
        <v>1</v>
      </c>
      <c r="G3022" t="str">
        <f>VLOOKUP(D3022,Товары!A:I,3,0)</f>
        <v>Тумба с раковиной  навес. Кристалл 600 шато азур 2 ящика с умыв. Океан</v>
      </c>
      <c r="H3022">
        <f>VLOOKUP(D3022,Товары!A:I,6,0)</f>
        <v>55</v>
      </c>
      <c r="I3022" t="str">
        <f>VLOOKUP(C3022,Магазины!A:C,3,0)</f>
        <v>Оренбург</v>
      </c>
      <c r="J3022">
        <f>VLOOKUP(D3022,Товары!A:I,4,0)</f>
        <v>21960</v>
      </c>
      <c r="K3022">
        <f t="shared" si="47"/>
        <v>21960</v>
      </c>
    </row>
    <row r="3023" spans="1:11" hidden="1" x14ac:dyDescent="0.25">
      <c r="A3023">
        <v>3022</v>
      </c>
      <c r="B3023" s="1">
        <v>45753</v>
      </c>
      <c r="C3023" t="s">
        <v>18</v>
      </c>
      <c r="D3023" t="s">
        <v>101</v>
      </c>
      <c r="E3023" t="s">
        <v>8</v>
      </c>
      <c r="F3023">
        <v>2</v>
      </c>
      <c r="G3023" t="str">
        <f>VLOOKUP(D3023,Товары!A:I,3,0)</f>
        <v>Пенал напол. Сохо 400 белый 2 двери + 1 ящик</v>
      </c>
      <c r="H3023">
        <f>VLOOKUP(D3023,Товары!A:I,6,0)</f>
        <v>190</v>
      </c>
      <c r="I3023" t="str">
        <f>VLOOKUP(C3023,Магазины!A:C,3,0)</f>
        <v>Набережные Челны</v>
      </c>
      <c r="J3023">
        <f>VLOOKUP(D3023,Товары!A:I,4,0)</f>
        <v>11040</v>
      </c>
      <c r="K3023">
        <f t="shared" si="47"/>
        <v>22080</v>
      </c>
    </row>
    <row r="3024" spans="1:11" hidden="1" x14ac:dyDescent="0.25">
      <c r="A3024">
        <v>3023</v>
      </c>
      <c r="B3024" s="1">
        <v>45754</v>
      </c>
      <c r="C3024" t="s">
        <v>35</v>
      </c>
      <c r="D3024" t="s">
        <v>39</v>
      </c>
      <c r="E3024" t="s">
        <v>8</v>
      </c>
      <c r="F3024">
        <v>3</v>
      </c>
      <c r="G3024" t="str">
        <f>VLOOKUP(D3024,Товары!A:I,3,0)</f>
        <v>Тумба с раковиной  напол. Альба 700 мята 2 ящика с умыв. Слим</v>
      </c>
      <c r="H3024">
        <f>VLOOKUP(D3024,Товары!A:I,6,0)</f>
        <v>85</v>
      </c>
      <c r="I3024" t="str">
        <f>VLOOKUP(C3024,Магазины!A:C,3,0)</f>
        <v>Набережные Челны</v>
      </c>
      <c r="J3024">
        <f>VLOOKUP(D3024,Товары!A:I,4,0)</f>
        <v>28695</v>
      </c>
      <c r="K3024">
        <f t="shared" si="47"/>
        <v>86085</v>
      </c>
    </row>
    <row r="3025" spans="1:11" hidden="1" x14ac:dyDescent="0.25">
      <c r="A3025">
        <v>3024</v>
      </c>
      <c r="B3025" s="1">
        <v>45754</v>
      </c>
      <c r="C3025" t="s">
        <v>30</v>
      </c>
      <c r="D3025" t="s">
        <v>114</v>
      </c>
      <c r="E3025" t="s">
        <v>13</v>
      </c>
      <c r="F3025">
        <v>3</v>
      </c>
      <c r="G3025" t="str">
        <f>VLOOKUP(D3025,Товары!A:I,3,0)</f>
        <v>Тумба с раковиной  навес. Альба 700 мята 2 ящика с умыв. Слим</v>
      </c>
      <c r="H3025">
        <f>VLOOKUP(D3025,Товары!A:I,6,0)</f>
        <v>60</v>
      </c>
      <c r="I3025" t="str">
        <f>VLOOKUP(C3025,Магазины!A:C,3,0)</f>
        <v>Кемерово</v>
      </c>
      <c r="J3025">
        <f>VLOOKUP(D3025,Товары!A:I,4,0)</f>
        <v>25095</v>
      </c>
      <c r="K3025">
        <f t="shared" si="47"/>
        <v>75285</v>
      </c>
    </row>
    <row r="3026" spans="1:11" hidden="1" x14ac:dyDescent="0.25">
      <c r="A3026">
        <v>3025</v>
      </c>
      <c r="B3026" s="1">
        <v>45749</v>
      </c>
      <c r="C3026" t="s">
        <v>58</v>
      </c>
      <c r="D3026" t="s">
        <v>70</v>
      </c>
      <c r="E3026" t="s">
        <v>13</v>
      </c>
      <c r="F3026">
        <v>3</v>
      </c>
      <c r="G3026" t="str">
        <f>VLOOKUP(D3026,Товары!A:I,3,0)</f>
        <v>Тумба с раковиной  напол. Кристалл 700 шато азур 2 ящика с умыв. Слим</v>
      </c>
      <c r="H3026">
        <f>VLOOKUP(D3026,Товары!A:I,6,0)</f>
        <v>85</v>
      </c>
      <c r="I3026" t="str">
        <f>VLOOKUP(C3026,Магазины!A:C,3,0)</f>
        <v>Ставрополь</v>
      </c>
      <c r="J3026">
        <f>VLOOKUP(D3026,Товары!A:I,4,0)</f>
        <v>29910</v>
      </c>
      <c r="K3026">
        <f t="shared" si="47"/>
        <v>89730</v>
      </c>
    </row>
    <row r="3027" spans="1:11" hidden="1" x14ac:dyDescent="0.25">
      <c r="A3027">
        <v>3026</v>
      </c>
      <c r="B3027" s="1">
        <v>45751</v>
      </c>
      <c r="C3027" t="s">
        <v>18</v>
      </c>
      <c r="D3027" t="s">
        <v>21</v>
      </c>
      <c r="E3027" t="s">
        <v>13</v>
      </c>
      <c r="F3027">
        <v>2</v>
      </c>
      <c r="G3027" t="str">
        <f>VLOOKUP(D3027,Товары!A:I,3,0)</f>
        <v>Зеркальный шкаф Рица 60 со светильником правый цвет cерый/керамика</v>
      </c>
      <c r="H3027">
        <f>VLOOKUP(D3027,Товары!A:I,6,0)</f>
        <v>75</v>
      </c>
      <c r="I3027" t="str">
        <f>VLOOKUP(C3027,Магазины!A:C,3,0)</f>
        <v>Набережные Челны</v>
      </c>
      <c r="J3027">
        <f>VLOOKUP(D3027,Товары!A:I,4,0)</f>
        <v>8910</v>
      </c>
      <c r="K3027">
        <f t="shared" si="47"/>
        <v>17820</v>
      </c>
    </row>
    <row r="3028" spans="1:11" hidden="1" x14ac:dyDescent="0.25">
      <c r="A3028">
        <v>3027</v>
      </c>
      <c r="B3028" s="1">
        <v>45756</v>
      </c>
      <c r="C3028" t="s">
        <v>92</v>
      </c>
      <c r="D3028" t="s">
        <v>105</v>
      </c>
      <c r="E3028" t="s">
        <v>8</v>
      </c>
      <c r="F3028">
        <v>3</v>
      </c>
      <c r="G3028" t="str">
        <f>VLOOKUP(D3028,Товары!A:I,3,0)</f>
        <v>Тумба с раковиной  напол. Нева 600 белый 2 двери + 1 ящик с умыв. Como</v>
      </c>
      <c r="H3028">
        <f>VLOOKUP(D3028,Товары!A:I,6,0)</f>
        <v>80</v>
      </c>
      <c r="I3028" t="str">
        <f>VLOOKUP(C3028,Магазины!A:C,3,0)</f>
        <v>Кемерово</v>
      </c>
      <c r="J3028">
        <f>VLOOKUP(D3028,Товары!A:I,4,0)</f>
        <v>13470</v>
      </c>
      <c r="K3028">
        <f t="shared" si="47"/>
        <v>40410</v>
      </c>
    </row>
    <row r="3029" spans="1:11" hidden="1" x14ac:dyDescent="0.25">
      <c r="A3029">
        <v>3028</v>
      </c>
      <c r="B3029" s="1">
        <v>45756</v>
      </c>
      <c r="C3029" t="s">
        <v>43</v>
      </c>
      <c r="D3029" t="s">
        <v>24</v>
      </c>
      <c r="E3029" t="s">
        <v>8</v>
      </c>
      <c r="F3029">
        <v>2</v>
      </c>
      <c r="G3029" t="str">
        <f>VLOOKUP(D3029,Товары!A:I,3,0)</f>
        <v>Тумба с раковиной  напол. Леон 600 форест 2 ящика с умыв. Слим</v>
      </c>
      <c r="H3029">
        <f>VLOOKUP(D3029,Товары!A:I,6,0)</f>
        <v>80</v>
      </c>
      <c r="I3029" t="str">
        <f>VLOOKUP(C3029,Магазины!A:C,3,0)</f>
        <v>Набережные Челны</v>
      </c>
      <c r="J3029">
        <f>VLOOKUP(D3029,Товары!A:I,4,0)</f>
        <v>27150</v>
      </c>
      <c r="K3029">
        <f t="shared" si="47"/>
        <v>54300</v>
      </c>
    </row>
    <row r="3030" spans="1:11" hidden="1" x14ac:dyDescent="0.25">
      <c r="A3030">
        <v>3029</v>
      </c>
      <c r="B3030" s="1">
        <v>45748</v>
      </c>
      <c r="C3030" t="s">
        <v>111</v>
      </c>
      <c r="D3030" t="s">
        <v>128</v>
      </c>
      <c r="E3030" t="s">
        <v>8</v>
      </c>
      <c r="F3030">
        <v>3</v>
      </c>
      <c r="G3030" t="str">
        <f>VLOOKUP(D3030,Товары!A:I,3,0)</f>
        <v>Тумба с раковиной  напол. Куба Риф 1000 белый 2 ящика с умыв. Слим</v>
      </c>
      <c r="H3030">
        <f>VLOOKUP(D3030,Товары!A:I,6,0)</f>
        <v>85</v>
      </c>
      <c r="I3030" t="str">
        <f>VLOOKUP(C3030,Магазины!A:C,3,0)</f>
        <v>Набережные Челны</v>
      </c>
      <c r="J3030">
        <f>VLOOKUP(D3030,Товары!A:I,4,0)</f>
        <v>22905</v>
      </c>
      <c r="K3030">
        <f t="shared" si="47"/>
        <v>68715</v>
      </c>
    </row>
    <row r="3031" spans="1:11" hidden="1" x14ac:dyDescent="0.25">
      <c r="A3031">
        <v>3030</v>
      </c>
      <c r="B3031" s="1">
        <v>45757</v>
      </c>
      <c r="C3031" t="s">
        <v>30</v>
      </c>
      <c r="D3031" t="s">
        <v>45</v>
      </c>
      <c r="E3031" t="s">
        <v>13</v>
      </c>
      <c r="F3031">
        <v>3</v>
      </c>
      <c r="G3031" t="str">
        <f>VLOOKUP(D3031,Товары!A:I,3,0)</f>
        <v>Зеркальный шкаф Рица 80 со светильником правый цвет cерый/керамика</v>
      </c>
      <c r="H3031">
        <f>VLOOKUP(D3031,Товары!A:I,6,0)</f>
        <v>75</v>
      </c>
      <c r="I3031" t="str">
        <f>VLOOKUP(C3031,Магазины!A:C,3,0)</f>
        <v>Кемерово</v>
      </c>
      <c r="J3031">
        <f>VLOOKUP(D3031,Товары!A:I,4,0)</f>
        <v>9930</v>
      </c>
      <c r="K3031">
        <f t="shared" si="47"/>
        <v>29790</v>
      </c>
    </row>
    <row r="3032" spans="1:11" hidden="1" x14ac:dyDescent="0.25">
      <c r="A3032">
        <v>3031</v>
      </c>
      <c r="B3032" s="1">
        <v>45752</v>
      </c>
      <c r="C3032" t="s">
        <v>11</v>
      </c>
      <c r="D3032" t="s">
        <v>97</v>
      </c>
      <c r="E3032" t="s">
        <v>13</v>
      </c>
      <c r="F3032">
        <v>3</v>
      </c>
      <c r="G3032" t="str">
        <f>VLOOKUP(D3032,Товары!A:I,3,0)</f>
        <v>Пенал напол. Кристалл 350 суфле 2 двери</v>
      </c>
      <c r="H3032">
        <f>VLOOKUP(D3032,Товары!A:I,6,0)</f>
        <v>190</v>
      </c>
      <c r="I3032" t="str">
        <f>VLOOKUP(C3032,Магазины!A:C,3,0)</f>
        <v>Кемерово</v>
      </c>
      <c r="J3032">
        <f>VLOOKUP(D3032,Товары!A:I,4,0)</f>
        <v>15810</v>
      </c>
      <c r="K3032">
        <f t="shared" si="47"/>
        <v>47430</v>
      </c>
    </row>
    <row r="3033" spans="1:11" hidden="1" x14ac:dyDescent="0.25">
      <c r="A3033">
        <v>3032</v>
      </c>
      <c r="B3033" s="1">
        <v>45750</v>
      </c>
      <c r="C3033" t="s">
        <v>6</v>
      </c>
      <c r="D3033" t="s">
        <v>118</v>
      </c>
      <c r="E3033" t="s">
        <v>8</v>
      </c>
      <c r="F3033">
        <v>2</v>
      </c>
      <c r="G3033" t="str">
        <f>VLOOKUP(D3033,Товары!A:I,3,0)</f>
        <v>Тумба с раковиной  напол. Сохо 800 белый 2 ящика с умыв. Слим</v>
      </c>
      <c r="H3033">
        <f>VLOOKUP(D3033,Товары!A:I,6,0)</f>
        <v>85</v>
      </c>
      <c r="I3033" t="str">
        <f>VLOOKUP(C3033,Магазины!A:C,3,0)</f>
        <v>Оренбург</v>
      </c>
      <c r="J3033">
        <f>VLOOKUP(D3033,Товары!A:I,4,0)</f>
        <v>19575</v>
      </c>
      <c r="K3033">
        <f t="shared" si="47"/>
        <v>39150</v>
      </c>
    </row>
    <row r="3034" spans="1:11" hidden="1" x14ac:dyDescent="0.25">
      <c r="A3034">
        <v>3033</v>
      </c>
      <c r="B3034" s="1">
        <v>45753</v>
      </c>
      <c r="C3034" t="s">
        <v>14</v>
      </c>
      <c r="D3034" t="s">
        <v>126</v>
      </c>
      <c r="E3034" t="s">
        <v>13</v>
      </c>
      <c r="F3034">
        <v>1</v>
      </c>
      <c r="G3034" t="str">
        <f>VLOOKUP(D3034,Товары!A:I,3,0)</f>
        <v>Тумба с раковиной  напол. Кристалл 800 шато азур 2 ящика с умыв. Комфорт</v>
      </c>
      <c r="H3034">
        <f>VLOOKUP(D3034,Товары!A:I,6,0)</f>
        <v>85</v>
      </c>
      <c r="I3034" t="str">
        <f>VLOOKUP(C3034,Магазины!A:C,3,0)</f>
        <v>Оренбург</v>
      </c>
      <c r="J3034">
        <f>VLOOKUP(D3034,Товары!A:I,4,0)</f>
        <v>31125</v>
      </c>
      <c r="K3034">
        <f t="shared" si="47"/>
        <v>31125</v>
      </c>
    </row>
    <row r="3035" spans="1:11" hidden="1" x14ac:dyDescent="0.25">
      <c r="A3035">
        <v>3034</v>
      </c>
      <c r="B3035" s="1">
        <v>45753</v>
      </c>
      <c r="C3035" t="s">
        <v>6</v>
      </c>
      <c r="D3035" t="s">
        <v>91</v>
      </c>
      <c r="E3035" t="s">
        <v>8</v>
      </c>
      <c r="F3035">
        <v>2</v>
      </c>
      <c r="G3035" t="str">
        <f>VLOOKUP(D3035,Товары!A:I,3,0)</f>
        <v>Пенал навес./напол. Альба 350 мята 2 двери</v>
      </c>
      <c r="H3035">
        <f>VLOOKUP(D3035,Товары!A:I,6,0)</f>
        <v>150</v>
      </c>
      <c r="I3035" t="str">
        <f>VLOOKUP(C3035,Магазины!A:C,3,0)</f>
        <v>Оренбург</v>
      </c>
      <c r="J3035">
        <f>VLOOKUP(D3035,Товары!A:I,4,0)</f>
        <v>11655</v>
      </c>
      <c r="K3035">
        <f t="shared" si="47"/>
        <v>23310</v>
      </c>
    </row>
    <row r="3036" spans="1:11" hidden="1" x14ac:dyDescent="0.25">
      <c r="A3036">
        <v>3035</v>
      </c>
      <c r="B3036" s="1">
        <v>45756</v>
      </c>
      <c r="C3036" t="s">
        <v>14</v>
      </c>
      <c r="D3036" t="s">
        <v>86</v>
      </c>
      <c r="E3036" t="s">
        <v>8</v>
      </c>
      <c r="F3036">
        <v>1</v>
      </c>
      <c r="G3036" t="str">
        <f>VLOOKUP(D3036,Товары!A:I,3,0)</f>
        <v>Комод Аква 50 напольный 1 ящик 2 двери белый</v>
      </c>
      <c r="H3036">
        <f>VLOOKUP(D3036,Товары!A:I,6,0)</f>
        <v>90</v>
      </c>
      <c r="I3036" t="str">
        <f>VLOOKUP(C3036,Магазины!A:C,3,0)</f>
        <v>Оренбург</v>
      </c>
      <c r="J3036">
        <f>VLOOKUP(D3036,Товары!A:I,4,0)</f>
        <v>7260</v>
      </c>
      <c r="K3036">
        <f t="shared" si="47"/>
        <v>7260</v>
      </c>
    </row>
    <row r="3037" spans="1:11" hidden="1" x14ac:dyDescent="0.25">
      <c r="A3037">
        <v>3036</v>
      </c>
      <c r="B3037" s="1">
        <v>45750</v>
      </c>
      <c r="C3037" t="s">
        <v>28</v>
      </c>
      <c r="D3037" t="s">
        <v>88</v>
      </c>
      <c r="E3037" t="s">
        <v>8</v>
      </c>
      <c r="F3037">
        <v>3</v>
      </c>
      <c r="G3037" t="str">
        <f>VLOOKUP(D3037,Товары!A:I,3,0)</f>
        <v>Тумба с раковиной  навес. Альба 800 антрацит 2 ящика с умыв. Слим</v>
      </c>
      <c r="H3037">
        <f>VLOOKUP(D3037,Товары!A:I,6,0)</f>
        <v>50</v>
      </c>
      <c r="I3037" t="str">
        <f>VLOOKUP(C3037,Магазины!A:C,3,0)</f>
        <v>Набережные Челны</v>
      </c>
      <c r="J3037">
        <f>VLOOKUP(D3037,Товары!A:I,4,0)</f>
        <v>26070</v>
      </c>
      <c r="K3037">
        <f t="shared" si="47"/>
        <v>78210</v>
      </c>
    </row>
    <row r="3038" spans="1:11" hidden="1" x14ac:dyDescent="0.25">
      <c r="A3038">
        <v>3037</v>
      </c>
      <c r="B3038" s="1">
        <v>45748</v>
      </c>
      <c r="C3038" t="s">
        <v>92</v>
      </c>
      <c r="D3038" t="s">
        <v>7</v>
      </c>
      <c r="E3038" t="s">
        <v>13</v>
      </c>
      <c r="F3038">
        <v>1</v>
      </c>
      <c r="G3038" t="str">
        <f>VLOOKUP(D3038,Товары!A:I,3,0)</f>
        <v>Пенал напол. Леон Риф 400 солярис/белый риф 2 двери + 1 ящик</v>
      </c>
      <c r="H3038">
        <f>VLOOKUP(D3038,Товары!A:I,6,0)</f>
        <v>190</v>
      </c>
      <c r="I3038" t="str">
        <f>VLOOKUP(C3038,Магазины!A:C,3,0)</f>
        <v>Кемерово</v>
      </c>
      <c r="J3038">
        <f>VLOOKUP(D3038,Товары!A:I,4,0)</f>
        <v>14490</v>
      </c>
      <c r="K3038">
        <f t="shared" si="47"/>
        <v>14490</v>
      </c>
    </row>
    <row r="3039" spans="1:11" hidden="1" x14ac:dyDescent="0.25">
      <c r="A3039">
        <v>3038</v>
      </c>
      <c r="B3039" s="1">
        <v>45749</v>
      </c>
      <c r="C3039" t="s">
        <v>9</v>
      </c>
      <c r="D3039" t="s">
        <v>38</v>
      </c>
      <c r="E3039" t="s">
        <v>8</v>
      </c>
      <c r="F3039">
        <v>1</v>
      </c>
      <c r="G3039" t="str">
        <f>VLOOKUP(D3039,Товары!A:I,3,0)</f>
        <v>Тумба с раковиной  навес. Куба Риф 600 белый 2 ящика с умыв. Como</v>
      </c>
      <c r="H3039">
        <f>VLOOKUP(D3039,Товары!A:I,6,0)</f>
        <v>55</v>
      </c>
      <c r="I3039" t="str">
        <f>VLOOKUP(C3039,Магазины!A:C,3,0)</f>
        <v>Кемерово</v>
      </c>
      <c r="J3039">
        <f>VLOOKUP(D3039,Товары!A:I,4,0)</f>
        <v>14265</v>
      </c>
      <c r="K3039">
        <f t="shared" si="47"/>
        <v>14265</v>
      </c>
    </row>
    <row r="3040" spans="1:11" hidden="1" x14ac:dyDescent="0.25">
      <c r="A3040">
        <v>3039</v>
      </c>
      <c r="B3040" s="1">
        <v>45756</v>
      </c>
      <c r="C3040" t="s">
        <v>16</v>
      </c>
      <c r="D3040" t="s">
        <v>94</v>
      </c>
      <c r="E3040" t="s">
        <v>8</v>
      </c>
      <c r="F3040">
        <v>1</v>
      </c>
      <c r="G3040" t="str">
        <f>VLOOKUP(D3040,Товары!A:I,3,0)</f>
        <v>Зеркальный шкаф Альба 80 со светильником правый цвет антрацит</v>
      </c>
      <c r="H3040">
        <f>VLOOKUP(D3040,Товары!A:I,6,0)</f>
        <v>75</v>
      </c>
      <c r="I3040" t="str">
        <f>VLOOKUP(C3040,Магазины!A:C,3,0)</f>
        <v>Оренбург</v>
      </c>
      <c r="J3040">
        <f>VLOOKUP(D3040,Товары!A:I,4,0)</f>
        <v>9930</v>
      </c>
      <c r="K3040">
        <f t="shared" si="47"/>
        <v>9930</v>
      </c>
    </row>
    <row r="3041" spans="1:11" hidden="1" x14ac:dyDescent="0.25">
      <c r="A3041">
        <v>3040</v>
      </c>
      <c r="B3041" s="1">
        <v>45748</v>
      </c>
      <c r="C3041" t="s">
        <v>26</v>
      </c>
      <c r="D3041" t="s">
        <v>93</v>
      </c>
      <c r="E3041" t="s">
        <v>13</v>
      </c>
      <c r="F3041">
        <v>1</v>
      </c>
      <c r="G3041" t="str">
        <f>VLOOKUP(D3041,Товары!A:I,3,0)</f>
        <v>Тумба с раковиной  напол. Леон Риф 800 солярис/белый риф 2 ящика с умыв. Слим</v>
      </c>
      <c r="H3041">
        <f>VLOOKUP(D3041,Товары!A:I,6,0)</f>
        <v>80</v>
      </c>
      <c r="I3041" t="str">
        <f>VLOOKUP(C3041,Магазины!A:C,3,0)</f>
        <v>Оренбург</v>
      </c>
      <c r="J3041">
        <f>VLOOKUP(D3041,Товары!A:I,4,0)</f>
        <v>29340</v>
      </c>
      <c r="K3041">
        <f t="shared" si="47"/>
        <v>29340</v>
      </c>
    </row>
    <row r="3042" spans="1:11" hidden="1" x14ac:dyDescent="0.25">
      <c r="A3042">
        <v>3041</v>
      </c>
      <c r="B3042" s="1">
        <v>45753</v>
      </c>
      <c r="C3042" t="s">
        <v>63</v>
      </c>
      <c r="D3042" t="s">
        <v>39</v>
      </c>
      <c r="E3042" t="s">
        <v>13</v>
      </c>
      <c r="F3042">
        <v>3</v>
      </c>
      <c r="G3042" t="str">
        <f>VLOOKUP(D3042,Товары!A:I,3,0)</f>
        <v>Тумба с раковиной  напол. Альба 700 мята 2 ящика с умыв. Слим</v>
      </c>
      <c r="H3042">
        <f>VLOOKUP(D3042,Товары!A:I,6,0)</f>
        <v>85</v>
      </c>
      <c r="I3042" t="str">
        <f>VLOOKUP(C3042,Магазины!A:C,3,0)</f>
        <v>Ставрополь</v>
      </c>
      <c r="J3042">
        <f>VLOOKUP(D3042,Товары!A:I,4,0)</f>
        <v>28695</v>
      </c>
      <c r="K3042">
        <f t="shared" si="47"/>
        <v>86085</v>
      </c>
    </row>
    <row r="3043" spans="1:11" hidden="1" x14ac:dyDescent="0.25">
      <c r="A3043">
        <v>3042</v>
      </c>
      <c r="B3043" s="1">
        <v>45749</v>
      </c>
      <c r="C3043" t="s">
        <v>30</v>
      </c>
      <c r="D3043" t="s">
        <v>89</v>
      </c>
      <c r="E3043" t="s">
        <v>8</v>
      </c>
      <c r="F3043">
        <v>1</v>
      </c>
      <c r="G3043" t="str">
        <f>VLOOKUP(D3043,Товары!A:I,3,0)</f>
        <v>Тумба с раковиной  напол. Сохо 600 белый 2 двери с умыв. Океан</v>
      </c>
      <c r="H3043">
        <f>VLOOKUP(D3043,Товары!A:I,6,0)</f>
        <v>85</v>
      </c>
      <c r="I3043" t="str">
        <f>VLOOKUP(C3043,Магазины!A:C,3,0)</f>
        <v>Кемерово</v>
      </c>
      <c r="J3043">
        <f>VLOOKUP(D3043,Товары!A:I,4,0)</f>
        <v>14880</v>
      </c>
      <c r="K3043">
        <f t="shared" si="47"/>
        <v>14880</v>
      </c>
    </row>
    <row r="3044" spans="1:11" hidden="1" x14ac:dyDescent="0.25">
      <c r="A3044">
        <v>3043</v>
      </c>
      <c r="B3044" s="1">
        <v>45751</v>
      </c>
      <c r="C3044" t="s">
        <v>20</v>
      </c>
      <c r="D3044" t="s">
        <v>71</v>
      </c>
      <c r="E3044" t="s">
        <v>13</v>
      </c>
      <c r="F3044">
        <v>2</v>
      </c>
      <c r="G3044" t="str">
        <f>VLOOKUP(D3044,Товары!A:I,3,0)</f>
        <v>Тумба с раковиной  навес. Альба 600 мята 2 ящика с умыв. Океан</v>
      </c>
      <c r="H3044">
        <f>VLOOKUP(D3044,Товары!A:I,6,0)</f>
        <v>50</v>
      </c>
      <c r="I3044" t="str">
        <f>VLOOKUP(C3044,Магазины!A:C,3,0)</f>
        <v>Оренбург</v>
      </c>
      <c r="J3044">
        <f>VLOOKUP(D3044,Товары!A:I,4,0)</f>
        <v>24810</v>
      </c>
      <c r="K3044">
        <f t="shared" si="47"/>
        <v>49620</v>
      </c>
    </row>
    <row r="3045" spans="1:11" hidden="1" x14ac:dyDescent="0.25">
      <c r="A3045">
        <v>3044</v>
      </c>
      <c r="B3045" s="1">
        <v>45755</v>
      </c>
      <c r="C3045" t="s">
        <v>58</v>
      </c>
      <c r="D3045" t="s">
        <v>38</v>
      </c>
      <c r="E3045" t="s">
        <v>8</v>
      </c>
      <c r="F3045">
        <v>2</v>
      </c>
      <c r="G3045" t="str">
        <f>VLOOKUP(D3045,Товары!A:I,3,0)</f>
        <v>Тумба с раковиной  навес. Куба Риф 600 белый 2 ящика с умыв. Como</v>
      </c>
      <c r="H3045">
        <f>VLOOKUP(D3045,Товары!A:I,6,0)</f>
        <v>55</v>
      </c>
      <c r="I3045" t="str">
        <f>VLOOKUP(C3045,Магазины!A:C,3,0)</f>
        <v>Ставрополь</v>
      </c>
      <c r="J3045">
        <f>VLOOKUP(D3045,Товары!A:I,4,0)</f>
        <v>14265</v>
      </c>
      <c r="K3045">
        <f t="shared" si="47"/>
        <v>28530</v>
      </c>
    </row>
    <row r="3046" spans="1:11" hidden="1" x14ac:dyDescent="0.25">
      <c r="A3046">
        <v>3045</v>
      </c>
      <c r="B3046" s="1">
        <v>45752</v>
      </c>
      <c r="C3046" t="s">
        <v>58</v>
      </c>
      <c r="D3046" t="s">
        <v>96</v>
      </c>
      <c r="E3046" t="s">
        <v>8</v>
      </c>
      <c r="F3046">
        <v>3</v>
      </c>
      <c r="G3046" t="str">
        <f>VLOOKUP(D3046,Товары!A:I,3,0)</f>
        <v>Тумба с раковиной  навес. Альба 600 мята 1 ящик с умыв. Океан</v>
      </c>
      <c r="H3046">
        <f>VLOOKUP(D3046,Товары!A:I,6,0)</f>
        <v>85</v>
      </c>
      <c r="I3046" t="str">
        <f>VLOOKUP(C3046,Магазины!A:C,3,0)</f>
        <v>Ставрополь</v>
      </c>
      <c r="J3046">
        <f>VLOOKUP(D3046,Товары!A:I,4,0)</f>
        <v>17625</v>
      </c>
      <c r="K3046">
        <f t="shared" si="47"/>
        <v>52875</v>
      </c>
    </row>
    <row r="3047" spans="1:11" hidden="1" x14ac:dyDescent="0.25">
      <c r="A3047">
        <v>3046</v>
      </c>
      <c r="B3047" s="1">
        <v>45755</v>
      </c>
      <c r="C3047" t="s">
        <v>30</v>
      </c>
      <c r="D3047" t="s">
        <v>27</v>
      </c>
      <c r="E3047" t="s">
        <v>13</v>
      </c>
      <c r="F3047">
        <v>1</v>
      </c>
      <c r="G3047" t="str">
        <f>VLOOKUP(D3047,Товары!A:I,3,0)</f>
        <v>Тумба с раковиной  навес. Виктория 800 белый 2 ящика с умыв. Слим</v>
      </c>
      <c r="H3047">
        <f>VLOOKUP(D3047,Товары!A:I,6,0)</f>
        <v>60</v>
      </c>
      <c r="I3047" t="str">
        <f>VLOOKUP(C3047,Магазины!A:C,3,0)</f>
        <v>Кемерово</v>
      </c>
      <c r="J3047">
        <f>VLOOKUP(D3047,Товары!A:I,4,0)</f>
        <v>25290</v>
      </c>
      <c r="K3047">
        <f t="shared" si="47"/>
        <v>25290</v>
      </c>
    </row>
    <row r="3048" spans="1:11" hidden="1" x14ac:dyDescent="0.25">
      <c r="A3048">
        <v>3047</v>
      </c>
      <c r="B3048" s="1">
        <v>45755</v>
      </c>
      <c r="C3048" t="s">
        <v>57</v>
      </c>
      <c r="D3048" t="s">
        <v>78</v>
      </c>
      <c r="E3048" t="s">
        <v>8</v>
      </c>
      <c r="F3048">
        <v>1</v>
      </c>
      <c r="G3048" t="str">
        <f>VLOOKUP(D3048,Товары!A:I,3,0)</f>
        <v>Зеркальный шкаф Кристалл 70 со светильником правый, ручка кнопка дуб цвет Шато Азур</v>
      </c>
      <c r="H3048">
        <f>VLOOKUP(D3048,Товары!A:I,6,0)</f>
        <v>75</v>
      </c>
      <c r="I3048" t="str">
        <f>VLOOKUP(C3048,Магазины!A:C,3,0)</f>
        <v>Оренбург</v>
      </c>
      <c r="J3048">
        <f>VLOOKUP(D3048,Товары!A:I,4,0)</f>
        <v>9615</v>
      </c>
      <c r="K3048">
        <f t="shared" si="47"/>
        <v>9615</v>
      </c>
    </row>
    <row r="3049" spans="1:11" hidden="1" x14ac:dyDescent="0.25">
      <c r="A3049">
        <v>3048</v>
      </c>
      <c r="B3049" s="1">
        <v>45756</v>
      </c>
      <c r="C3049" t="s">
        <v>58</v>
      </c>
      <c r="D3049" t="s">
        <v>125</v>
      </c>
      <c r="E3049" t="s">
        <v>13</v>
      </c>
      <c r="F3049">
        <v>2</v>
      </c>
      <c r="G3049" t="str">
        <f>VLOOKUP(D3049,Товары!A:I,3,0)</f>
        <v>Зеркальный шкаф Сохо 60 белый со светильником правый цвет Белый глянец</v>
      </c>
      <c r="H3049">
        <f>VLOOKUP(D3049,Товары!A:I,6,0)</f>
        <v>75</v>
      </c>
      <c r="I3049" t="str">
        <f>VLOOKUP(C3049,Магазины!A:C,3,0)</f>
        <v>Ставрополь</v>
      </c>
      <c r="J3049">
        <f>VLOOKUP(D3049,Товары!A:I,4,0)</f>
        <v>7395</v>
      </c>
      <c r="K3049">
        <f t="shared" si="47"/>
        <v>14790</v>
      </c>
    </row>
    <row r="3050" spans="1:11" hidden="1" x14ac:dyDescent="0.25">
      <c r="A3050">
        <v>3049</v>
      </c>
      <c r="B3050" s="1">
        <v>45755</v>
      </c>
      <c r="C3050" t="s">
        <v>103</v>
      </c>
      <c r="D3050" t="s">
        <v>108</v>
      </c>
      <c r="E3050" t="s">
        <v>13</v>
      </c>
      <c r="F3050">
        <v>1</v>
      </c>
      <c r="G3050" t="str">
        <f>VLOOKUP(D3050,Товары!A:I,3,0)</f>
        <v>Тумба с раковиной  навес. Виктория 1000 белый 2 ящика с умыв. Слим</v>
      </c>
      <c r="H3050">
        <f>VLOOKUP(D3050,Товары!A:I,6,0)</f>
        <v>60</v>
      </c>
      <c r="I3050" t="str">
        <f>VLOOKUP(C3050,Магазины!A:C,3,0)</f>
        <v>Ставрополь</v>
      </c>
      <c r="J3050">
        <f>VLOOKUP(D3050,Товары!A:I,4,0)</f>
        <v>29205</v>
      </c>
      <c r="K3050">
        <f t="shared" si="47"/>
        <v>29205</v>
      </c>
    </row>
    <row r="3051" spans="1:11" hidden="1" x14ac:dyDescent="0.25">
      <c r="A3051">
        <v>3050</v>
      </c>
      <c r="B3051" s="1">
        <v>45752</v>
      </c>
      <c r="C3051" t="s">
        <v>30</v>
      </c>
      <c r="D3051" t="s">
        <v>127</v>
      </c>
      <c r="E3051" t="s">
        <v>8</v>
      </c>
      <c r="F3051">
        <v>1</v>
      </c>
      <c r="G3051" t="str">
        <f>VLOOKUP(D3051,Товары!A:I,3,0)</f>
        <v>Тумба с раковиной  навес. Альба 700 мята 1 ящик с умыв. Слим</v>
      </c>
      <c r="H3051">
        <f>VLOOKUP(D3051,Товары!A:I,6,0)</f>
        <v>45</v>
      </c>
      <c r="I3051" t="str">
        <f>VLOOKUP(C3051,Магазины!A:C,3,0)</f>
        <v>Кемерово</v>
      </c>
      <c r="J3051">
        <f>VLOOKUP(D3051,Товары!A:I,4,0)</f>
        <v>20130</v>
      </c>
      <c r="K3051">
        <f t="shared" si="47"/>
        <v>20130</v>
      </c>
    </row>
    <row r="3052" spans="1:11" hidden="1" x14ac:dyDescent="0.25">
      <c r="A3052">
        <v>3051</v>
      </c>
      <c r="B3052" s="1">
        <v>45751</v>
      </c>
      <c r="C3052" t="s">
        <v>54</v>
      </c>
      <c r="D3052" t="s">
        <v>105</v>
      </c>
      <c r="E3052" t="s">
        <v>13</v>
      </c>
      <c r="F3052">
        <v>1</v>
      </c>
      <c r="G3052" t="str">
        <f>VLOOKUP(D3052,Товары!A:I,3,0)</f>
        <v>Тумба с раковиной  напол. Нева 600 белый 2 двери + 1 ящик с умыв. Como</v>
      </c>
      <c r="H3052">
        <f>VLOOKUP(D3052,Товары!A:I,6,0)</f>
        <v>80</v>
      </c>
      <c r="I3052" t="str">
        <f>VLOOKUP(C3052,Магазины!A:C,3,0)</f>
        <v>Ставрополь</v>
      </c>
      <c r="J3052">
        <f>VLOOKUP(D3052,Товары!A:I,4,0)</f>
        <v>13470</v>
      </c>
      <c r="K3052">
        <f t="shared" si="47"/>
        <v>13470</v>
      </c>
    </row>
    <row r="3053" spans="1:11" hidden="1" x14ac:dyDescent="0.25">
      <c r="A3053">
        <v>3052</v>
      </c>
      <c r="B3053" s="1">
        <v>45757</v>
      </c>
      <c r="C3053" t="s">
        <v>58</v>
      </c>
      <c r="D3053" t="s">
        <v>101</v>
      </c>
      <c r="E3053" t="s">
        <v>8</v>
      </c>
      <c r="F3053">
        <v>3</v>
      </c>
      <c r="G3053" t="str">
        <f>VLOOKUP(D3053,Товары!A:I,3,0)</f>
        <v>Пенал напол. Сохо 400 белый 2 двери + 1 ящик</v>
      </c>
      <c r="H3053">
        <f>VLOOKUP(D3053,Товары!A:I,6,0)</f>
        <v>190</v>
      </c>
      <c r="I3053" t="str">
        <f>VLOOKUP(C3053,Магазины!A:C,3,0)</f>
        <v>Ставрополь</v>
      </c>
      <c r="J3053">
        <f>VLOOKUP(D3053,Товары!A:I,4,0)</f>
        <v>11040</v>
      </c>
      <c r="K3053">
        <f t="shared" si="47"/>
        <v>33120</v>
      </c>
    </row>
    <row r="3054" spans="1:11" hidden="1" x14ac:dyDescent="0.25">
      <c r="A3054">
        <v>3053</v>
      </c>
      <c r="B3054" s="1">
        <v>45749</v>
      </c>
      <c r="C3054" t="s">
        <v>58</v>
      </c>
      <c r="D3054" t="s">
        <v>29</v>
      </c>
      <c r="E3054" t="s">
        <v>13</v>
      </c>
      <c r="F3054">
        <v>2</v>
      </c>
      <c r="G3054" t="str">
        <f>VLOOKUP(D3054,Товары!A:I,3,0)</f>
        <v>Тумба с раковиной  напол. Леон Риф 600 солярис/белый риф 2 ящика с умыв. Океан</v>
      </c>
      <c r="H3054">
        <f>VLOOKUP(D3054,Товары!A:I,6,0)</f>
        <v>80</v>
      </c>
      <c r="I3054" t="str">
        <f>VLOOKUP(C3054,Магазины!A:C,3,0)</f>
        <v>Ставрополь</v>
      </c>
      <c r="J3054">
        <f>VLOOKUP(D3054,Товары!A:I,4,0)</f>
        <v>24150</v>
      </c>
      <c r="K3054">
        <f t="shared" si="47"/>
        <v>48300</v>
      </c>
    </row>
    <row r="3055" spans="1:11" hidden="1" x14ac:dyDescent="0.25">
      <c r="A3055">
        <v>3054</v>
      </c>
      <c r="B3055" s="1">
        <v>45751</v>
      </c>
      <c r="C3055" t="s">
        <v>48</v>
      </c>
      <c r="D3055" t="s">
        <v>32</v>
      </c>
      <c r="E3055" t="s">
        <v>13</v>
      </c>
      <c r="F3055">
        <v>3</v>
      </c>
      <c r="G3055" t="str">
        <f>VLOOKUP(D3055,Товары!A:I,3,0)</f>
        <v>Тумба с раковиной  напол. Леон Риф 700 солярис/белый риф 2 ящика с умыв. Слим</v>
      </c>
      <c r="H3055">
        <f>VLOOKUP(D3055,Товары!A:I,6,0)</f>
        <v>85</v>
      </c>
      <c r="I3055" t="str">
        <f>VLOOKUP(C3055,Магазины!A:C,3,0)</f>
        <v>Ставрополь</v>
      </c>
      <c r="J3055">
        <f>VLOOKUP(D3055,Товары!A:I,4,0)</f>
        <v>26460</v>
      </c>
      <c r="K3055">
        <f t="shared" si="47"/>
        <v>79380</v>
      </c>
    </row>
    <row r="3056" spans="1:11" hidden="1" x14ac:dyDescent="0.25">
      <c r="A3056">
        <v>3055</v>
      </c>
      <c r="B3056" s="1">
        <v>45748</v>
      </c>
      <c r="C3056" t="s">
        <v>35</v>
      </c>
      <c r="D3056" t="s">
        <v>72</v>
      </c>
      <c r="E3056" t="s">
        <v>13</v>
      </c>
      <c r="F3056">
        <v>1</v>
      </c>
      <c r="G3056" t="str">
        <f>VLOOKUP(D3056,Товары!A:I,3,0)</f>
        <v>Тумба с раковиной  напол. Сохо 600 белый 2 ящика с умыв. Океан</v>
      </c>
      <c r="H3056">
        <f>VLOOKUP(D3056,Товары!A:I,6,0)</f>
        <v>85</v>
      </c>
      <c r="I3056" t="str">
        <f>VLOOKUP(C3056,Магазины!A:C,3,0)</f>
        <v>Набережные Челны</v>
      </c>
      <c r="J3056">
        <f>VLOOKUP(D3056,Товары!A:I,4,0)</f>
        <v>16140</v>
      </c>
      <c r="K3056">
        <f t="shared" si="47"/>
        <v>16140</v>
      </c>
    </row>
    <row r="3057" spans="1:11" hidden="1" x14ac:dyDescent="0.25">
      <c r="A3057">
        <v>3056</v>
      </c>
      <c r="B3057" s="1">
        <v>45756</v>
      </c>
      <c r="C3057" t="s">
        <v>16</v>
      </c>
      <c r="D3057" t="s">
        <v>126</v>
      </c>
      <c r="E3057" t="s">
        <v>13</v>
      </c>
      <c r="F3057">
        <v>2</v>
      </c>
      <c r="G3057" t="str">
        <f>VLOOKUP(D3057,Товары!A:I,3,0)</f>
        <v>Тумба с раковиной  напол. Кристалл 800 шато азур 2 ящика с умыв. Комфорт</v>
      </c>
      <c r="H3057">
        <f>VLOOKUP(D3057,Товары!A:I,6,0)</f>
        <v>85</v>
      </c>
      <c r="I3057" t="str">
        <f>VLOOKUP(C3057,Магазины!A:C,3,0)</f>
        <v>Оренбург</v>
      </c>
      <c r="J3057">
        <f>VLOOKUP(D3057,Товары!A:I,4,0)</f>
        <v>31125</v>
      </c>
      <c r="K3057">
        <f t="shared" si="47"/>
        <v>62250</v>
      </c>
    </row>
    <row r="3058" spans="1:11" hidden="1" x14ac:dyDescent="0.25">
      <c r="A3058">
        <v>3057</v>
      </c>
      <c r="B3058" s="1">
        <v>45748</v>
      </c>
      <c r="C3058" t="s">
        <v>18</v>
      </c>
      <c r="D3058" t="s">
        <v>98</v>
      </c>
      <c r="E3058" t="s">
        <v>8</v>
      </c>
      <c r="F3058">
        <v>1</v>
      </c>
      <c r="G3058" t="str">
        <f>VLOOKUP(D3058,Товары!A:I,3,0)</f>
        <v>Тумба с раковиной  напол. Рица 800 cерый/керамика 2 ящика с умыв. Слим</v>
      </c>
      <c r="H3058">
        <f>VLOOKUP(D3058,Товары!A:I,6,0)</f>
        <v>80</v>
      </c>
      <c r="I3058" t="str">
        <f>VLOOKUP(C3058,Магазины!A:C,3,0)</f>
        <v>Набережные Челны</v>
      </c>
      <c r="J3058">
        <f>VLOOKUP(D3058,Товары!A:I,4,0)</f>
        <v>28980</v>
      </c>
      <c r="K3058">
        <f t="shared" si="47"/>
        <v>28980</v>
      </c>
    </row>
    <row r="3059" spans="1:11" hidden="1" x14ac:dyDescent="0.25">
      <c r="A3059">
        <v>3058</v>
      </c>
      <c r="B3059" s="1">
        <v>45749</v>
      </c>
      <c r="C3059" t="s">
        <v>28</v>
      </c>
      <c r="D3059" t="s">
        <v>125</v>
      </c>
      <c r="E3059" t="s">
        <v>13</v>
      </c>
      <c r="F3059">
        <v>1</v>
      </c>
      <c r="G3059" t="str">
        <f>VLOOKUP(D3059,Товары!A:I,3,0)</f>
        <v>Зеркальный шкаф Сохо 60 белый со светильником правый цвет Белый глянец</v>
      </c>
      <c r="H3059">
        <f>VLOOKUP(D3059,Товары!A:I,6,0)</f>
        <v>75</v>
      </c>
      <c r="I3059" t="str">
        <f>VLOOKUP(C3059,Магазины!A:C,3,0)</f>
        <v>Набережные Челны</v>
      </c>
      <c r="J3059">
        <f>VLOOKUP(D3059,Товары!A:I,4,0)</f>
        <v>7395</v>
      </c>
      <c r="K3059">
        <f t="shared" si="47"/>
        <v>7395</v>
      </c>
    </row>
    <row r="3060" spans="1:11" hidden="1" x14ac:dyDescent="0.25">
      <c r="A3060">
        <v>3059</v>
      </c>
      <c r="B3060" s="1">
        <v>45749</v>
      </c>
      <c r="C3060" t="s">
        <v>54</v>
      </c>
      <c r="D3060" t="s">
        <v>93</v>
      </c>
      <c r="E3060" t="s">
        <v>8</v>
      </c>
      <c r="F3060">
        <v>2</v>
      </c>
      <c r="G3060" t="str">
        <f>VLOOKUP(D3060,Товары!A:I,3,0)</f>
        <v>Тумба с раковиной  напол. Леон Риф 800 солярис/белый риф 2 ящика с умыв. Слим</v>
      </c>
      <c r="H3060">
        <f>VLOOKUP(D3060,Товары!A:I,6,0)</f>
        <v>80</v>
      </c>
      <c r="I3060" t="str">
        <f>VLOOKUP(C3060,Магазины!A:C,3,0)</f>
        <v>Ставрополь</v>
      </c>
      <c r="J3060">
        <f>VLOOKUP(D3060,Товары!A:I,4,0)</f>
        <v>29340</v>
      </c>
      <c r="K3060">
        <f t="shared" si="47"/>
        <v>58680</v>
      </c>
    </row>
    <row r="3061" spans="1:11" hidden="1" x14ac:dyDescent="0.25">
      <c r="A3061">
        <v>3060</v>
      </c>
      <c r="B3061" s="1">
        <v>45750</v>
      </c>
      <c r="C3061" t="s">
        <v>35</v>
      </c>
      <c r="D3061" t="s">
        <v>115</v>
      </c>
      <c r="E3061" t="s">
        <v>13</v>
      </c>
      <c r="F3061">
        <v>2</v>
      </c>
      <c r="G3061" t="str">
        <f>VLOOKUP(D3061,Товары!A:I,3,0)</f>
        <v>Тумба под стиральную машину Куба Риф 57 напольная 2 ящика под ст/маш, без умывальника /под Marshall 120 Белый</v>
      </c>
      <c r="H3061">
        <f>VLOOKUP(D3061,Товары!A:I,6,0)</f>
        <v>85</v>
      </c>
      <c r="I3061" t="str">
        <f>VLOOKUP(C3061,Магазины!A:C,3,0)</f>
        <v>Набережные Челны</v>
      </c>
      <c r="J3061">
        <f>VLOOKUP(D3061,Товары!A:I,4,0)</f>
        <v>10530</v>
      </c>
      <c r="K3061">
        <f t="shared" si="47"/>
        <v>21060</v>
      </c>
    </row>
    <row r="3062" spans="1:11" hidden="1" x14ac:dyDescent="0.25">
      <c r="A3062">
        <v>3061</v>
      </c>
      <c r="B3062" s="1">
        <v>45749</v>
      </c>
      <c r="C3062" t="s">
        <v>48</v>
      </c>
      <c r="D3062" t="s">
        <v>88</v>
      </c>
      <c r="E3062" t="s">
        <v>8</v>
      </c>
      <c r="F3062">
        <v>3</v>
      </c>
      <c r="G3062" t="str">
        <f>VLOOKUP(D3062,Товары!A:I,3,0)</f>
        <v>Тумба с раковиной  навес. Альба 800 антрацит 2 ящика с умыв. Слим</v>
      </c>
      <c r="H3062">
        <f>VLOOKUP(D3062,Товары!A:I,6,0)</f>
        <v>50</v>
      </c>
      <c r="I3062" t="str">
        <f>VLOOKUP(C3062,Магазины!A:C,3,0)</f>
        <v>Ставрополь</v>
      </c>
      <c r="J3062">
        <f>VLOOKUP(D3062,Товары!A:I,4,0)</f>
        <v>26070</v>
      </c>
      <c r="K3062">
        <f t="shared" si="47"/>
        <v>78210</v>
      </c>
    </row>
    <row r="3063" spans="1:11" hidden="1" x14ac:dyDescent="0.25">
      <c r="A3063">
        <v>3062</v>
      </c>
      <c r="B3063" s="1">
        <v>45748</v>
      </c>
      <c r="C3063" t="s">
        <v>14</v>
      </c>
      <c r="D3063" t="s">
        <v>32</v>
      </c>
      <c r="E3063" t="s">
        <v>13</v>
      </c>
      <c r="F3063">
        <v>1</v>
      </c>
      <c r="G3063" t="str">
        <f>VLOOKUP(D3063,Товары!A:I,3,0)</f>
        <v>Тумба с раковиной  напол. Леон Риф 700 солярис/белый риф 2 ящика с умыв. Слим</v>
      </c>
      <c r="H3063">
        <f>VLOOKUP(D3063,Товары!A:I,6,0)</f>
        <v>85</v>
      </c>
      <c r="I3063" t="str">
        <f>VLOOKUP(C3063,Магазины!A:C,3,0)</f>
        <v>Оренбург</v>
      </c>
      <c r="J3063">
        <f>VLOOKUP(D3063,Товары!A:I,4,0)</f>
        <v>26460</v>
      </c>
      <c r="K3063">
        <f t="shared" si="47"/>
        <v>26460</v>
      </c>
    </row>
    <row r="3064" spans="1:11" hidden="1" x14ac:dyDescent="0.25">
      <c r="A3064">
        <v>3063</v>
      </c>
      <c r="B3064" s="1">
        <v>45753</v>
      </c>
      <c r="C3064" t="s">
        <v>11</v>
      </c>
      <c r="D3064" t="s">
        <v>109</v>
      </c>
      <c r="E3064" t="s">
        <v>8</v>
      </c>
      <c r="F3064">
        <v>3</v>
      </c>
      <c r="G3064" t="str">
        <f>VLOOKUP(D3064,Товары!A:I,3,0)</f>
        <v>Тумба с раковиной  навес. Альба 600 антрацит 2 ящика с умыв. Океан</v>
      </c>
      <c r="H3064">
        <f>VLOOKUP(D3064,Товары!A:I,6,0)</f>
        <v>50</v>
      </c>
      <c r="I3064" t="str">
        <f>VLOOKUP(C3064,Магазины!A:C,3,0)</f>
        <v>Кемерово</v>
      </c>
      <c r="J3064">
        <f>VLOOKUP(D3064,Товары!A:I,4,0)</f>
        <v>24810</v>
      </c>
      <c r="K3064">
        <f t="shared" si="47"/>
        <v>74430</v>
      </c>
    </row>
    <row r="3065" spans="1:11" hidden="1" x14ac:dyDescent="0.25">
      <c r="A3065">
        <v>3064</v>
      </c>
      <c r="B3065" s="1">
        <v>45748</v>
      </c>
      <c r="C3065" t="s">
        <v>9</v>
      </c>
      <c r="D3065" t="s">
        <v>90</v>
      </c>
      <c r="E3065" t="s">
        <v>13</v>
      </c>
      <c r="F3065">
        <v>1</v>
      </c>
      <c r="G3065" t="str">
        <f>VLOOKUP(D3065,Товары!A:I,3,0)</f>
        <v>Пенал напол. Аква 350 белый 2 двери + 2 ящика</v>
      </c>
      <c r="H3065">
        <f>VLOOKUP(D3065,Товары!A:I,6,0)</f>
        <v>190</v>
      </c>
      <c r="I3065" t="str">
        <f>VLOOKUP(C3065,Магазины!A:C,3,0)</f>
        <v>Кемерово</v>
      </c>
      <c r="J3065">
        <f>VLOOKUP(D3065,Товары!A:I,4,0)</f>
        <v>10650</v>
      </c>
      <c r="K3065">
        <f t="shared" si="47"/>
        <v>10650</v>
      </c>
    </row>
    <row r="3066" spans="1:11" hidden="1" x14ac:dyDescent="0.25">
      <c r="A3066">
        <v>3065</v>
      </c>
      <c r="B3066" s="1">
        <v>45756</v>
      </c>
      <c r="C3066" t="s">
        <v>6</v>
      </c>
      <c r="D3066" t="s">
        <v>42</v>
      </c>
      <c r="E3066" t="s">
        <v>8</v>
      </c>
      <c r="F3066">
        <v>1</v>
      </c>
      <c r="G3066" t="str">
        <f>VLOOKUP(D3066,Товары!A:I,3,0)</f>
        <v>Тумба под стиральную машину Леон Риф 57 подвесная 2 ящика под ст/маш, без умывальника /под Marshall 120 Солярис/Белый Риф</v>
      </c>
      <c r="H3066">
        <f>VLOOKUP(D3066,Товары!A:I,6,0)</f>
        <v>60</v>
      </c>
      <c r="I3066" t="str">
        <f>VLOOKUP(C3066,Магазины!A:C,3,0)</f>
        <v>Оренбург</v>
      </c>
      <c r="J3066">
        <f>VLOOKUP(D3066,Товары!A:I,4,0)</f>
        <v>15495</v>
      </c>
      <c r="K3066">
        <f t="shared" si="47"/>
        <v>15495</v>
      </c>
    </row>
    <row r="3067" spans="1:11" hidden="1" x14ac:dyDescent="0.25">
      <c r="A3067">
        <v>3066</v>
      </c>
      <c r="B3067" s="1">
        <v>45752</v>
      </c>
      <c r="C3067" t="s">
        <v>28</v>
      </c>
      <c r="D3067" t="s">
        <v>99</v>
      </c>
      <c r="E3067" t="s">
        <v>13</v>
      </c>
      <c r="F3067">
        <v>1</v>
      </c>
      <c r="G3067" t="str">
        <f>VLOOKUP(D3067,Товары!A:I,3,0)</f>
        <v>Тумба с раковиной  навес. Леон 600 оникс 2 ящика с умыв. Слим</v>
      </c>
      <c r="H3067">
        <f>VLOOKUP(D3067,Товары!A:I,6,0)</f>
        <v>60</v>
      </c>
      <c r="I3067" t="str">
        <f>VLOOKUP(C3067,Магазины!A:C,3,0)</f>
        <v>Набережные Челны</v>
      </c>
      <c r="J3067">
        <f>VLOOKUP(D3067,Товары!A:I,4,0)</f>
        <v>25125</v>
      </c>
      <c r="K3067">
        <f t="shared" si="47"/>
        <v>25125</v>
      </c>
    </row>
    <row r="3068" spans="1:11" hidden="1" x14ac:dyDescent="0.25">
      <c r="A3068">
        <v>3067</v>
      </c>
      <c r="B3068" s="1">
        <v>45751</v>
      </c>
      <c r="C3068" t="s">
        <v>58</v>
      </c>
      <c r="D3068" t="s">
        <v>47</v>
      </c>
      <c r="E3068" t="s">
        <v>13</v>
      </c>
      <c r="F3068">
        <v>3</v>
      </c>
      <c r="G3068" t="str">
        <f>VLOOKUP(D3068,Товары!A:I,3,0)</f>
        <v>Пенал напол. Кристалл 350 шато азур 2 двери</v>
      </c>
      <c r="H3068">
        <f>VLOOKUP(D3068,Товары!A:I,6,0)</f>
        <v>190</v>
      </c>
      <c r="I3068" t="str">
        <f>VLOOKUP(C3068,Магазины!A:C,3,0)</f>
        <v>Ставрополь</v>
      </c>
      <c r="J3068">
        <f>VLOOKUP(D3068,Товары!A:I,4,0)</f>
        <v>15810</v>
      </c>
      <c r="K3068">
        <f t="shared" si="47"/>
        <v>47430</v>
      </c>
    </row>
    <row r="3069" spans="1:11" hidden="1" x14ac:dyDescent="0.25">
      <c r="A3069">
        <v>3068</v>
      </c>
      <c r="B3069" s="1">
        <v>45753</v>
      </c>
      <c r="C3069" t="s">
        <v>30</v>
      </c>
      <c r="D3069" t="s">
        <v>83</v>
      </c>
      <c r="E3069" t="s">
        <v>13</v>
      </c>
      <c r="F3069">
        <v>3</v>
      </c>
      <c r="G3069" t="str">
        <f>VLOOKUP(D3069,Товары!A:I,3,0)</f>
        <v>Зеркальный шкаф Альба 60 со светильником правый цвет суфле</v>
      </c>
      <c r="H3069">
        <f>VLOOKUP(D3069,Товары!A:I,6,0)</f>
        <v>75</v>
      </c>
      <c r="I3069" t="str">
        <f>VLOOKUP(C3069,Магазины!A:C,3,0)</f>
        <v>Кемерово</v>
      </c>
      <c r="J3069">
        <f>VLOOKUP(D3069,Товары!A:I,4,0)</f>
        <v>8910</v>
      </c>
      <c r="K3069">
        <f t="shared" si="47"/>
        <v>26730</v>
      </c>
    </row>
    <row r="3070" spans="1:11" hidden="1" x14ac:dyDescent="0.25">
      <c r="A3070">
        <v>3069</v>
      </c>
      <c r="B3070" s="1">
        <v>45749</v>
      </c>
      <c r="C3070" t="s">
        <v>18</v>
      </c>
      <c r="D3070" t="s">
        <v>115</v>
      </c>
      <c r="E3070" t="s">
        <v>8</v>
      </c>
      <c r="F3070">
        <v>2</v>
      </c>
      <c r="G3070" t="str">
        <f>VLOOKUP(D3070,Товары!A:I,3,0)</f>
        <v>Тумба под стиральную машину Куба Риф 57 напольная 2 ящика под ст/маш, без умывальника /под Marshall 120 Белый</v>
      </c>
      <c r="H3070">
        <f>VLOOKUP(D3070,Товары!A:I,6,0)</f>
        <v>85</v>
      </c>
      <c r="I3070" t="str">
        <f>VLOOKUP(C3070,Магазины!A:C,3,0)</f>
        <v>Набережные Челны</v>
      </c>
      <c r="J3070">
        <f>VLOOKUP(D3070,Товары!A:I,4,0)</f>
        <v>10530</v>
      </c>
      <c r="K3070">
        <f t="shared" si="47"/>
        <v>21060</v>
      </c>
    </row>
    <row r="3071" spans="1:11" hidden="1" x14ac:dyDescent="0.25">
      <c r="A3071">
        <v>3070</v>
      </c>
      <c r="B3071" s="1">
        <v>45752</v>
      </c>
      <c r="C3071" t="s">
        <v>20</v>
      </c>
      <c r="D3071" t="s">
        <v>10</v>
      </c>
      <c r="E3071" t="s">
        <v>8</v>
      </c>
      <c r="F3071">
        <v>1</v>
      </c>
      <c r="G3071" t="str">
        <f>VLOOKUP(D3071,Товары!A:I,3,0)</f>
        <v>Тумба с раковиной  навес. Альба 700 антрацит 1 ящик с умыв. Слим</v>
      </c>
      <c r="H3071">
        <f>VLOOKUP(D3071,Товары!A:I,6,0)</f>
        <v>45</v>
      </c>
      <c r="I3071" t="str">
        <f>VLOOKUP(C3071,Магазины!A:C,3,0)</f>
        <v>Оренбург</v>
      </c>
      <c r="J3071">
        <f>VLOOKUP(D3071,Товары!A:I,4,0)</f>
        <v>20130</v>
      </c>
      <c r="K3071">
        <f t="shared" si="47"/>
        <v>20130</v>
      </c>
    </row>
    <row r="3072" spans="1:11" hidden="1" x14ac:dyDescent="0.25">
      <c r="A3072">
        <v>3071</v>
      </c>
      <c r="B3072" s="1">
        <v>45754</v>
      </c>
      <c r="C3072" t="s">
        <v>11</v>
      </c>
      <c r="D3072" t="s">
        <v>38</v>
      </c>
      <c r="E3072" t="s">
        <v>13</v>
      </c>
      <c r="F3072">
        <v>2</v>
      </c>
      <c r="G3072" t="str">
        <f>VLOOKUP(D3072,Товары!A:I,3,0)</f>
        <v>Тумба с раковиной  навес. Куба Риф 600 белый 2 ящика с умыв. Como</v>
      </c>
      <c r="H3072">
        <f>VLOOKUP(D3072,Товары!A:I,6,0)</f>
        <v>55</v>
      </c>
      <c r="I3072" t="str">
        <f>VLOOKUP(C3072,Магазины!A:C,3,0)</f>
        <v>Кемерово</v>
      </c>
      <c r="J3072">
        <f>VLOOKUP(D3072,Товары!A:I,4,0)</f>
        <v>14265</v>
      </c>
      <c r="K3072">
        <f t="shared" si="47"/>
        <v>28530</v>
      </c>
    </row>
    <row r="3073" spans="1:11" hidden="1" x14ac:dyDescent="0.25">
      <c r="A3073">
        <v>3072</v>
      </c>
      <c r="B3073" s="1">
        <v>45757</v>
      </c>
      <c r="C3073" t="s">
        <v>20</v>
      </c>
      <c r="D3073" t="s">
        <v>21</v>
      </c>
      <c r="E3073" t="s">
        <v>13</v>
      </c>
      <c r="F3073">
        <v>3</v>
      </c>
      <c r="G3073" t="str">
        <f>VLOOKUP(D3073,Товары!A:I,3,0)</f>
        <v>Зеркальный шкаф Рица 60 со светильником правый цвет cерый/керамика</v>
      </c>
      <c r="H3073">
        <f>VLOOKUP(D3073,Товары!A:I,6,0)</f>
        <v>75</v>
      </c>
      <c r="I3073" t="str">
        <f>VLOOKUP(C3073,Магазины!A:C,3,0)</f>
        <v>Оренбург</v>
      </c>
      <c r="J3073">
        <f>VLOOKUP(D3073,Товары!A:I,4,0)</f>
        <v>8910</v>
      </c>
      <c r="K3073">
        <f t="shared" si="47"/>
        <v>26730</v>
      </c>
    </row>
    <row r="3074" spans="1:11" hidden="1" x14ac:dyDescent="0.25">
      <c r="A3074">
        <v>3073</v>
      </c>
      <c r="B3074" s="1">
        <v>45755</v>
      </c>
      <c r="C3074" t="s">
        <v>43</v>
      </c>
      <c r="D3074" t="s">
        <v>82</v>
      </c>
      <c r="E3074" t="s">
        <v>8</v>
      </c>
      <c r="F3074">
        <v>1</v>
      </c>
      <c r="G3074" t="str">
        <f>VLOOKUP(D3074,Товары!A:I,3,0)</f>
        <v>Тумба с раковиной  навес. Леон 800 форест 2 ящика с умыв. Слим</v>
      </c>
      <c r="H3074">
        <f>VLOOKUP(D3074,Товары!A:I,6,0)</f>
        <v>60</v>
      </c>
      <c r="I3074" t="str">
        <f>VLOOKUP(C3074,Магазины!A:C,3,0)</f>
        <v>Набережные Челны</v>
      </c>
      <c r="J3074">
        <f>VLOOKUP(D3074,Товары!A:I,4,0)</f>
        <v>27930</v>
      </c>
      <c r="K3074">
        <f t="shared" si="47"/>
        <v>27930</v>
      </c>
    </row>
    <row r="3075" spans="1:11" hidden="1" x14ac:dyDescent="0.25">
      <c r="A3075">
        <v>3074</v>
      </c>
      <c r="B3075" s="1">
        <v>45757</v>
      </c>
      <c r="C3075" t="s">
        <v>14</v>
      </c>
      <c r="D3075" t="s">
        <v>64</v>
      </c>
      <c r="E3075" t="s">
        <v>13</v>
      </c>
      <c r="F3075">
        <v>2</v>
      </c>
      <c r="G3075" t="str">
        <f>VLOOKUP(D3075,Товары!A:I,3,0)</f>
        <v>Тумба с раковиной  напол. Рица 800 антрацит 2 ящика с умыв. Слим</v>
      </c>
      <c r="H3075">
        <f>VLOOKUP(D3075,Товары!A:I,6,0)</f>
        <v>80</v>
      </c>
      <c r="I3075" t="str">
        <f>VLOOKUP(C3075,Магазины!A:C,3,0)</f>
        <v>Оренбург</v>
      </c>
      <c r="J3075">
        <f>VLOOKUP(D3075,Товары!A:I,4,0)</f>
        <v>28980</v>
      </c>
      <c r="K3075">
        <f t="shared" ref="K3075:K3138" si="48">J3075*F3075</f>
        <v>57960</v>
      </c>
    </row>
    <row r="3076" spans="1:11" hidden="1" x14ac:dyDescent="0.25">
      <c r="A3076">
        <v>3075</v>
      </c>
      <c r="B3076" s="1">
        <v>45748</v>
      </c>
      <c r="C3076" t="s">
        <v>48</v>
      </c>
      <c r="D3076" t="s">
        <v>106</v>
      </c>
      <c r="E3076" t="s">
        <v>8</v>
      </c>
      <c r="F3076">
        <v>1</v>
      </c>
      <c r="G3076" t="str">
        <f>VLOOKUP(D3076,Товары!A:I,3,0)</f>
        <v>Тумба с раковиной  навес. Кристалл 700 шато азур 2 ящика с умыв. Слим</v>
      </c>
      <c r="H3076">
        <f>VLOOKUP(D3076,Товары!A:I,6,0)</f>
        <v>60</v>
      </c>
      <c r="I3076" t="str">
        <f>VLOOKUP(C3076,Магазины!A:C,3,0)</f>
        <v>Ставрополь</v>
      </c>
      <c r="J3076">
        <f>VLOOKUP(D3076,Товары!A:I,4,0)</f>
        <v>24150</v>
      </c>
      <c r="K3076">
        <f t="shared" si="48"/>
        <v>24150</v>
      </c>
    </row>
    <row r="3077" spans="1:11" hidden="1" x14ac:dyDescent="0.25">
      <c r="A3077">
        <v>3076</v>
      </c>
      <c r="B3077" s="1">
        <v>45754</v>
      </c>
      <c r="C3077" t="s">
        <v>43</v>
      </c>
      <c r="D3077" t="s">
        <v>85</v>
      </c>
      <c r="E3077" t="s">
        <v>13</v>
      </c>
      <c r="F3077">
        <v>1</v>
      </c>
      <c r="G3077" t="str">
        <f>VLOOKUP(D3077,Товары!A:I,3,0)</f>
        <v>Пенал напол. Аква 450 белый 2 двери + 2 ящика + корзина</v>
      </c>
      <c r="H3077">
        <f>VLOOKUP(D3077,Товары!A:I,6,0)</f>
        <v>190</v>
      </c>
      <c r="I3077" t="str">
        <f>VLOOKUP(C3077,Магазины!A:C,3,0)</f>
        <v>Набережные Челны</v>
      </c>
      <c r="J3077">
        <f>VLOOKUP(D3077,Товары!A:I,4,0)</f>
        <v>13335</v>
      </c>
      <c r="K3077">
        <f t="shared" si="48"/>
        <v>13335</v>
      </c>
    </row>
    <row r="3078" spans="1:11" hidden="1" x14ac:dyDescent="0.25">
      <c r="A3078">
        <v>3077</v>
      </c>
      <c r="B3078" s="1">
        <v>45756</v>
      </c>
      <c r="C3078" t="s">
        <v>57</v>
      </c>
      <c r="D3078" t="s">
        <v>128</v>
      </c>
      <c r="E3078" t="s">
        <v>8</v>
      </c>
      <c r="F3078">
        <v>2</v>
      </c>
      <c r="G3078" t="str">
        <f>VLOOKUP(D3078,Товары!A:I,3,0)</f>
        <v>Тумба с раковиной  напол. Куба Риф 1000 белый 2 ящика с умыв. Слим</v>
      </c>
      <c r="H3078">
        <f>VLOOKUP(D3078,Товары!A:I,6,0)</f>
        <v>85</v>
      </c>
      <c r="I3078" t="str">
        <f>VLOOKUP(C3078,Магазины!A:C,3,0)</f>
        <v>Оренбург</v>
      </c>
      <c r="J3078">
        <f>VLOOKUP(D3078,Товары!A:I,4,0)</f>
        <v>22905</v>
      </c>
      <c r="K3078">
        <f t="shared" si="48"/>
        <v>45810</v>
      </c>
    </row>
    <row r="3079" spans="1:11" hidden="1" x14ac:dyDescent="0.25">
      <c r="A3079">
        <v>3078</v>
      </c>
      <c r="B3079" s="1">
        <v>45749</v>
      </c>
      <c r="C3079" t="s">
        <v>35</v>
      </c>
      <c r="D3079" t="s">
        <v>84</v>
      </c>
      <c r="E3079" t="s">
        <v>8</v>
      </c>
      <c r="F3079">
        <v>2</v>
      </c>
      <c r="G3079" t="str">
        <f>VLOOKUP(D3079,Товары!A:I,3,0)</f>
        <v>Тумба с раковиной  напол. Куба Риф 800 белый 3 двери с умыв. Слим</v>
      </c>
      <c r="H3079">
        <f>VLOOKUP(D3079,Товары!A:I,6,0)</f>
        <v>85</v>
      </c>
      <c r="I3079" t="str">
        <f>VLOOKUP(C3079,Магазины!A:C,3,0)</f>
        <v>Набережные Челны</v>
      </c>
      <c r="J3079">
        <f>VLOOKUP(D3079,Товары!A:I,4,0)</f>
        <v>19920</v>
      </c>
      <c r="K3079">
        <f t="shared" si="48"/>
        <v>39840</v>
      </c>
    </row>
    <row r="3080" spans="1:11" hidden="1" x14ac:dyDescent="0.25">
      <c r="A3080">
        <v>3079</v>
      </c>
      <c r="B3080" s="1">
        <v>45752</v>
      </c>
      <c r="C3080" t="s">
        <v>41</v>
      </c>
      <c r="D3080" t="s">
        <v>69</v>
      </c>
      <c r="E3080" t="s">
        <v>13</v>
      </c>
      <c r="F3080">
        <v>3</v>
      </c>
      <c r="G3080" t="str">
        <f>VLOOKUP(D3080,Товары!A:I,3,0)</f>
        <v>Пенал навес./напол. Альба 350 антрацит 2 двери</v>
      </c>
      <c r="H3080">
        <f>VLOOKUP(D3080,Товары!A:I,6,0)</f>
        <v>150</v>
      </c>
      <c r="I3080" t="str">
        <f>VLOOKUP(C3080,Магазины!A:C,3,0)</f>
        <v>Ставрополь</v>
      </c>
      <c r="J3080">
        <f>VLOOKUP(D3080,Товары!A:I,4,0)</f>
        <v>11655</v>
      </c>
      <c r="K3080">
        <f t="shared" si="48"/>
        <v>34965</v>
      </c>
    </row>
    <row r="3081" spans="1:11" hidden="1" x14ac:dyDescent="0.25">
      <c r="A3081">
        <v>3080</v>
      </c>
      <c r="B3081" s="1">
        <v>45756</v>
      </c>
      <c r="C3081" t="s">
        <v>111</v>
      </c>
      <c r="D3081" t="s">
        <v>85</v>
      </c>
      <c r="E3081" t="s">
        <v>8</v>
      </c>
      <c r="F3081">
        <v>3</v>
      </c>
      <c r="G3081" t="str">
        <f>VLOOKUP(D3081,Товары!A:I,3,0)</f>
        <v>Пенал напол. Аква 450 белый 2 двери + 2 ящика + корзина</v>
      </c>
      <c r="H3081">
        <f>VLOOKUP(D3081,Товары!A:I,6,0)</f>
        <v>190</v>
      </c>
      <c r="I3081" t="str">
        <f>VLOOKUP(C3081,Магазины!A:C,3,0)</f>
        <v>Набережные Челны</v>
      </c>
      <c r="J3081">
        <f>VLOOKUP(D3081,Товары!A:I,4,0)</f>
        <v>13335</v>
      </c>
      <c r="K3081">
        <f t="shared" si="48"/>
        <v>40005</v>
      </c>
    </row>
    <row r="3082" spans="1:11" hidden="1" x14ac:dyDescent="0.25">
      <c r="A3082">
        <v>3081</v>
      </c>
      <c r="B3082" s="1">
        <v>45751</v>
      </c>
      <c r="C3082" t="s">
        <v>9</v>
      </c>
      <c r="D3082" t="s">
        <v>55</v>
      </c>
      <c r="E3082" t="s">
        <v>8</v>
      </c>
      <c r="F3082">
        <v>2</v>
      </c>
      <c r="G3082" t="str">
        <f>VLOOKUP(D3082,Товары!A:I,3,0)</f>
        <v>Тумба с раковиной  напол. Рица 600 cерый/керамика 2 ящика с умыв. Океан</v>
      </c>
      <c r="H3082">
        <f>VLOOKUP(D3082,Товары!A:I,6,0)</f>
        <v>80</v>
      </c>
      <c r="I3082" t="str">
        <f>VLOOKUP(C3082,Магазины!A:C,3,0)</f>
        <v>Кемерово</v>
      </c>
      <c r="J3082">
        <f>VLOOKUP(D3082,Товары!A:I,4,0)</f>
        <v>25560</v>
      </c>
      <c r="K3082">
        <f t="shared" si="48"/>
        <v>51120</v>
      </c>
    </row>
    <row r="3083" spans="1:11" hidden="1" x14ac:dyDescent="0.25">
      <c r="A3083">
        <v>3082</v>
      </c>
      <c r="B3083" s="1">
        <v>45748</v>
      </c>
      <c r="C3083" t="s">
        <v>16</v>
      </c>
      <c r="D3083" t="s">
        <v>44</v>
      </c>
      <c r="E3083" t="s">
        <v>13</v>
      </c>
      <c r="F3083">
        <v>2</v>
      </c>
      <c r="G3083" t="str">
        <f>VLOOKUP(D3083,Товары!A:I,3,0)</f>
        <v>Тумба с раковиной  навес. Кристалл 800 шато азур 2 ящика с умыв. Комфорт</v>
      </c>
      <c r="H3083">
        <f>VLOOKUP(D3083,Товары!A:I,6,0)</f>
        <v>55</v>
      </c>
      <c r="I3083" t="str">
        <f>VLOOKUP(C3083,Магазины!A:C,3,0)</f>
        <v>Оренбург</v>
      </c>
      <c r="J3083">
        <f>VLOOKUP(D3083,Товары!A:I,4,0)</f>
        <v>25080</v>
      </c>
      <c r="K3083">
        <f t="shared" si="48"/>
        <v>50160</v>
      </c>
    </row>
    <row r="3084" spans="1:11" hidden="1" x14ac:dyDescent="0.25">
      <c r="A3084">
        <v>3083</v>
      </c>
      <c r="B3084" s="1">
        <v>45756</v>
      </c>
      <c r="C3084" t="s">
        <v>57</v>
      </c>
      <c r="D3084" t="s">
        <v>42</v>
      </c>
      <c r="E3084" t="s">
        <v>8</v>
      </c>
      <c r="F3084">
        <v>1</v>
      </c>
      <c r="G3084" t="str">
        <f>VLOOKUP(D3084,Товары!A:I,3,0)</f>
        <v>Тумба под стиральную машину Леон Риф 57 подвесная 2 ящика под ст/маш, без умывальника /под Marshall 120 Солярис/Белый Риф</v>
      </c>
      <c r="H3084">
        <f>VLOOKUP(D3084,Товары!A:I,6,0)</f>
        <v>60</v>
      </c>
      <c r="I3084" t="str">
        <f>VLOOKUP(C3084,Магазины!A:C,3,0)</f>
        <v>Оренбург</v>
      </c>
      <c r="J3084">
        <f>VLOOKUP(D3084,Товары!A:I,4,0)</f>
        <v>15495</v>
      </c>
      <c r="K3084">
        <f t="shared" si="48"/>
        <v>15495</v>
      </c>
    </row>
    <row r="3085" spans="1:11" hidden="1" x14ac:dyDescent="0.25">
      <c r="A3085">
        <v>3084</v>
      </c>
      <c r="B3085" s="1">
        <v>45751</v>
      </c>
      <c r="C3085" t="s">
        <v>41</v>
      </c>
      <c r="D3085" t="s">
        <v>110</v>
      </c>
      <c r="E3085" t="s">
        <v>8</v>
      </c>
      <c r="F3085">
        <v>1</v>
      </c>
      <c r="G3085" t="str">
        <f>VLOOKUP(D3085,Товары!A:I,3,0)</f>
        <v>Тумба с раковиной  напол. Альба 600 антрацит 2 ящика с умыв. Океан</v>
      </c>
      <c r="H3085">
        <f>VLOOKUP(D3085,Товары!A:I,6,0)</f>
        <v>80</v>
      </c>
      <c r="I3085" t="str">
        <f>VLOOKUP(C3085,Магазины!A:C,3,0)</f>
        <v>Ставрополь</v>
      </c>
      <c r="J3085">
        <f>VLOOKUP(D3085,Товары!A:I,4,0)</f>
        <v>26370</v>
      </c>
      <c r="K3085">
        <f t="shared" si="48"/>
        <v>26370</v>
      </c>
    </row>
    <row r="3086" spans="1:11" hidden="1" x14ac:dyDescent="0.25">
      <c r="A3086">
        <v>3085</v>
      </c>
      <c r="B3086" s="1">
        <v>45754</v>
      </c>
      <c r="C3086" t="s">
        <v>33</v>
      </c>
      <c r="D3086" t="s">
        <v>29</v>
      </c>
      <c r="E3086" t="s">
        <v>13</v>
      </c>
      <c r="F3086">
        <v>2</v>
      </c>
      <c r="G3086" t="str">
        <f>VLOOKUP(D3086,Товары!A:I,3,0)</f>
        <v>Тумба с раковиной  напол. Леон Риф 600 солярис/белый риф 2 ящика с умыв. Океан</v>
      </c>
      <c r="H3086">
        <f>VLOOKUP(D3086,Товары!A:I,6,0)</f>
        <v>80</v>
      </c>
      <c r="I3086" t="str">
        <f>VLOOKUP(C3086,Магазины!A:C,3,0)</f>
        <v>Набережные Челны</v>
      </c>
      <c r="J3086">
        <f>VLOOKUP(D3086,Товары!A:I,4,0)</f>
        <v>24150</v>
      </c>
      <c r="K3086">
        <f t="shared" si="48"/>
        <v>48300</v>
      </c>
    </row>
    <row r="3087" spans="1:11" hidden="1" x14ac:dyDescent="0.25">
      <c r="A3087">
        <v>3086</v>
      </c>
      <c r="B3087" s="1">
        <v>45753</v>
      </c>
      <c r="C3087" t="s">
        <v>26</v>
      </c>
      <c r="D3087" t="s">
        <v>95</v>
      </c>
      <c r="E3087" t="s">
        <v>8</v>
      </c>
      <c r="F3087">
        <v>3</v>
      </c>
      <c r="G3087" t="str">
        <f>VLOOKUP(D3087,Товары!A:I,3,0)</f>
        <v>Тумба с раковиной  напол. Рица 600 антрацит 2 ящика с умыв. Океан</v>
      </c>
      <c r="H3087">
        <f>VLOOKUP(D3087,Товары!A:I,6,0)</f>
        <v>80</v>
      </c>
      <c r="I3087" t="str">
        <f>VLOOKUP(C3087,Магазины!A:C,3,0)</f>
        <v>Оренбург</v>
      </c>
      <c r="J3087">
        <f>VLOOKUP(D3087,Товары!A:I,4,0)</f>
        <v>25560</v>
      </c>
      <c r="K3087">
        <f t="shared" si="48"/>
        <v>76680</v>
      </c>
    </row>
    <row r="3088" spans="1:11" hidden="1" x14ac:dyDescent="0.25">
      <c r="A3088">
        <v>3087</v>
      </c>
      <c r="B3088" s="1">
        <v>45751</v>
      </c>
      <c r="C3088" t="s">
        <v>26</v>
      </c>
      <c r="D3088" t="s">
        <v>123</v>
      </c>
      <c r="E3088" t="s">
        <v>8</v>
      </c>
      <c r="F3088">
        <v>3</v>
      </c>
      <c r="G3088" t="str">
        <f>VLOOKUP(D3088,Товары!A:I,3,0)</f>
        <v>Тумба с раковиной  напол. Кристалл 800 суфле 2 ящика с умыв. Слим</v>
      </c>
      <c r="H3088">
        <f>VLOOKUP(D3088,Товары!A:I,6,0)</f>
        <v>80</v>
      </c>
      <c r="I3088" t="str">
        <f>VLOOKUP(C3088,Магазины!A:C,3,0)</f>
        <v>Оренбург</v>
      </c>
      <c r="J3088">
        <f>VLOOKUP(D3088,Товары!A:I,4,0)</f>
        <v>31125</v>
      </c>
      <c r="K3088">
        <f t="shared" si="48"/>
        <v>93375</v>
      </c>
    </row>
    <row r="3089" spans="1:11" hidden="1" x14ac:dyDescent="0.25">
      <c r="A3089">
        <v>3088</v>
      </c>
      <c r="B3089" s="1">
        <v>45748</v>
      </c>
      <c r="C3089" t="s">
        <v>35</v>
      </c>
      <c r="D3089" t="s">
        <v>47</v>
      </c>
      <c r="E3089" t="s">
        <v>13</v>
      </c>
      <c r="F3089">
        <v>2</v>
      </c>
      <c r="G3089" t="str">
        <f>VLOOKUP(D3089,Товары!A:I,3,0)</f>
        <v>Пенал напол. Кристалл 350 шато азур 2 двери</v>
      </c>
      <c r="H3089">
        <f>VLOOKUP(D3089,Товары!A:I,6,0)</f>
        <v>190</v>
      </c>
      <c r="I3089" t="str">
        <f>VLOOKUP(C3089,Магазины!A:C,3,0)</f>
        <v>Набережные Челны</v>
      </c>
      <c r="J3089">
        <f>VLOOKUP(D3089,Товары!A:I,4,0)</f>
        <v>15810</v>
      </c>
      <c r="K3089">
        <f t="shared" si="48"/>
        <v>31620</v>
      </c>
    </row>
    <row r="3090" spans="1:11" hidden="1" x14ac:dyDescent="0.25">
      <c r="A3090">
        <v>3089</v>
      </c>
      <c r="B3090" s="1">
        <v>45757</v>
      </c>
      <c r="C3090" t="s">
        <v>11</v>
      </c>
      <c r="D3090" t="s">
        <v>21</v>
      </c>
      <c r="E3090" t="s">
        <v>13</v>
      </c>
      <c r="F3090">
        <v>3</v>
      </c>
      <c r="G3090" t="str">
        <f>VLOOKUP(D3090,Товары!A:I,3,0)</f>
        <v>Зеркальный шкаф Рица 60 со светильником правый цвет cерый/керамика</v>
      </c>
      <c r="H3090">
        <f>VLOOKUP(D3090,Товары!A:I,6,0)</f>
        <v>75</v>
      </c>
      <c r="I3090" t="str">
        <f>VLOOKUP(C3090,Магазины!A:C,3,0)</f>
        <v>Кемерово</v>
      </c>
      <c r="J3090">
        <f>VLOOKUP(D3090,Товары!A:I,4,0)</f>
        <v>8910</v>
      </c>
      <c r="K3090">
        <f t="shared" si="48"/>
        <v>26730</v>
      </c>
    </row>
    <row r="3091" spans="1:11" hidden="1" x14ac:dyDescent="0.25">
      <c r="A3091">
        <v>3090</v>
      </c>
      <c r="B3091" s="1">
        <v>45756</v>
      </c>
      <c r="C3091" t="s">
        <v>16</v>
      </c>
      <c r="D3091" t="s">
        <v>81</v>
      </c>
      <c r="E3091" t="s">
        <v>8</v>
      </c>
      <c r="F3091">
        <v>3</v>
      </c>
      <c r="G3091" t="str">
        <f>VLOOKUP(D3091,Товары!A:I,3,0)</f>
        <v>Тумба с раковиной  навес. Рица 600 cерый/керамика 1 ящик + ниша 1 с умыв. Океан</v>
      </c>
      <c r="H3091">
        <f>VLOOKUP(D3091,Товары!A:I,6,0)</f>
        <v>60</v>
      </c>
      <c r="I3091" t="str">
        <f>VLOOKUP(C3091,Магазины!A:C,3,0)</f>
        <v>Оренбург</v>
      </c>
      <c r="J3091">
        <f>VLOOKUP(D3091,Товары!A:I,4,0)</f>
        <v>18900</v>
      </c>
      <c r="K3091">
        <f t="shared" si="48"/>
        <v>56700</v>
      </c>
    </row>
    <row r="3092" spans="1:11" hidden="1" x14ac:dyDescent="0.25">
      <c r="A3092">
        <v>3091</v>
      </c>
      <c r="B3092" s="1">
        <v>45748</v>
      </c>
      <c r="C3092" t="s">
        <v>22</v>
      </c>
      <c r="D3092" t="s">
        <v>39</v>
      </c>
      <c r="E3092" t="s">
        <v>13</v>
      </c>
      <c r="F3092">
        <v>1</v>
      </c>
      <c r="G3092" t="str">
        <f>VLOOKUP(D3092,Товары!A:I,3,0)</f>
        <v>Тумба с раковиной  напол. Альба 700 мята 2 ящика с умыв. Слим</v>
      </c>
      <c r="H3092">
        <f>VLOOKUP(D3092,Товары!A:I,6,0)</f>
        <v>85</v>
      </c>
      <c r="I3092" t="str">
        <f>VLOOKUP(C3092,Магазины!A:C,3,0)</f>
        <v>Кемерово</v>
      </c>
      <c r="J3092">
        <f>VLOOKUP(D3092,Товары!A:I,4,0)</f>
        <v>28695</v>
      </c>
      <c r="K3092">
        <f t="shared" si="48"/>
        <v>28695</v>
      </c>
    </row>
    <row r="3093" spans="1:11" hidden="1" x14ac:dyDescent="0.25">
      <c r="A3093">
        <v>3092</v>
      </c>
      <c r="B3093" s="1">
        <v>45753</v>
      </c>
      <c r="C3093" t="s">
        <v>58</v>
      </c>
      <c r="D3093" t="s">
        <v>31</v>
      </c>
      <c r="E3093" t="s">
        <v>13</v>
      </c>
      <c r="F3093">
        <v>3</v>
      </c>
      <c r="G3093" t="str">
        <f>VLOOKUP(D3093,Товары!A:I,3,0)</f>
        <v>Пенал напол. Виктория 350 белый 2 двери</v>
      </c>
      <c r="H3093">
        <f>VLOOKUP(D3093,Товары!A:I,6,0)</f>
        <v>190</v>
      </c>
      <c r="I3093" t="str">
        <f>VLOOKUP(C3093,Магазины!A:C,3,0)</f>
        <v>Ставрополь</v>
      </c>
      <c r="J3093">
        <f>VLOOKUP(D3093,Товары!A:I,4,0)</f>
        <v>14085</v>
      </c>
      <c r="K3093">
        <f t="shared" si="48"/>
        <v>42255</v>
      </c>
    </row>
    <row r="3094" spans="1:11" hidden="1" x14ac:dyDescent="0.25">
      <c r="A3094">
        <v>3093</v>
      </c>
      <c r="B3094" s="1">
        <v>45750</v>
      </c>
      <c r="C3094" t="s">
        <v>58</v>
      </c>
      <c r="D3094" t="s">
        <v>55</v>
      </c>
      <c r="E3094" t="s">
        <v>8</v>
      </c>
      <c r="F3094">
        <v>3</v>
      </c>
      <c r="G3094" t="str">
        <f>VLOOKUP(D3094,Товары!A:I,3,0)</f>
        <v>Тумба с раковиной  напол. Рица 600 cерый/керамика 2 ящика с умыв. Океан</v>
      </c>
      <c r="H3094">
        <f>VLOOKUP(D3094,Товары!A:I,6,0)</f>
        <v>80</v>
      </c>
      <c r="I3094" t="str">
        <f>VLOOKUP(C3094,Магазины!A:C,3,0)</f>
        <v>Ставрополь</v>
      </c>
      <c r="J3094">
        <f>VLOOKUP(D3094,Товары!A:I,4,0)</f>
        <v>25560</v>
      </c>
      <c r="K3094">
        <f t="shared" si="48"/>
        <v>76680</v>
      </c>
    </row>
    <row r="3095" spans="1:11" hidden="1" x14ac:dyDescent="0.25">
      <c r="A3095">
        <v>3094</v>
      </c>
      <c r="B3095" s="1">
        <v>45755</v>
      </c>
      <c r="C3095" t="s">
        <v>22</v>
      </c>
      <c r="D3095" t="s">
        <v>91</v>
      </c>
      <c r="E3095" t="s">
        <v>8</v>
      </c>
      <c r="F3095">
        <v>1</v>
      </c>
      <c r="G3095" t="str">
        <f>VLOOKUP(D3095,Товары!A:I,3,0)</f>
        <v>Пенал навес./напол. Альба 350 мята 2 двери</v>
      </c>
      <c r="H3095">
        <f>VLOOKUP(D3095,Товары!A:I,6,0)</f>
        <v>150</v>
      </c>
      <c r="I3095" t="str">
        <f>VLOOKUP(C3095,Магазины!A:C,3,0)</f>
        <v>Кемерово</v>
      </c>
      <c r="J3095">
        <f>VLOOKUP(D3095,Товары!A:I,4,0)</f>
        <v>11655</v>
      </c>
      <c r="K3095">
        <f t="shared" si="48"/>
        <v>11655</v>
      </c>
    </row>
    <row r="3096" spans="1:11" hidden="1" x14ac:dyDescent="0.25">
      <c r="A3096">
        <v>3095</v>
      </c>
      <c r="B3096" s="1">
        <v>45756</v>
      </c>
      <c r="C3096" t="s">
        <v>28</v>
      </c>
      <c r="D3096" t="s">
        <v>93</v>
      </c>
      <c r="E3096" t="s">
        <v>8</v>
      </c>
      <c r="F3096">
        <v>2</v>
      </c>
      <c r="G3096" t="str">
        <f>VLOOKUP(D3096,Товары!A:I,3,0)</f>
        <v>Тумба с раковиной  напол. Леон Риф 800 солярис/белый риф 2 ящика с умыв. Слим</v>
      </c>
      <c r="H3096">
        <f>VLOOKUP(D3096,Товары!A:I,6,0)</f>
        <v>80</v>
      </c>
      <c r="I3096" t="str">
        <f>VLOOKUP(C3096,Магазины!A:C,3,0)</f>
        <v>Набережные Челны</v>
      </c>
      <c r="J3096">
        <f>VLOOKUP(D3096,Товары!A:I,4,0)</f>
        <v>29340</v>
      </c>
      <c r="K3096">
        <f t="shared" si="48"/>
        <v>58680</v>
      </c>
    </row>
    <row r="3097" spans="1:11" hidden="1" x14ac:dyDescent="0.25">
      <c r="A3097">
        <v>3096</v>
      </c>
      <c r="B3097" s="1">
        <v>45751</v>
      </c>
      <c r="C3097" t="s">
        <v>92</v>
      </c>
      <c r="D3097" t="s">
        <v>113</v>
      </c>
      <c r="E3097" t="s">
        <v>8</v>
      </c>
      <c r="F3097">
        <v>2</v>
      </c>
      <c r="G3097" t="str">
        <f>VLOOKUP(D3097,Товары!A:I,3,0)</f>
        <v>Зеркальный шкаф Альба 60 со светильником правый цвет мята</v>
      </c>
      <c r="H3097">
        <f>VLOOKUP(D3097,Товары!A:I,6,0)</f>
        <v>75</v>
      </c>
      <c r="I3097" t="str">
        <f>VLOOKUP(C3097,Магазины!A:C,3,0)</f>
        <v>Кемерово</v>
      </c>
      <c r="J3097">
        <f>VLOOKUP(D3097,Товары!A:I,4,0)</f>
        <v>8910</v>
      </c>
      <c r="K3097">
        <f t="shared" si="48"/>
        <v>17820</v>
      </c>
    </row>
    <row r="3098" spans="1:11" hidden="1" x14ac:dyDescent="0.25">
      <c r="A3098">
        <v>3097</v>
      </c>
      <c r="B3098" s="1">
        <v>45754</v>
      </c>
      <c r="C3098" t="s">
        <v>14</v>
      </c>
      <c r="D3098" t="s">
        <v>94</v>
      </c>
      <c r="E3098" t="s">
        <v>8</v>
      </c>
      <c r="F3098">
        <v>1</v>
      </c>
      <c r="G3098" t="str">
        <f>VLOOKUP(D3098,Товары!A:I,3,0)</f>
        <v>Зеркальный шкаф Альба 80 со светильником правый цвет антрацит</v>
      </c>
      <c r="H3098">
        <f>VLOOKUP(D3098,Товары!A:I,6,0)</f>
        <v>75</v>
      </c>
      <c r="I3098" t="str">
        <f>VLOOKUP(C3098,Магазины!A:C,3,0)</f>
        <v>Оренбург</v>
      </c>
      <c r="J3098">
        <f>VLOOKUP(D3098,Товары!A:I,4,0)</f>
        <v>9930</v>
      </c>
      <c r="K3098">
        <f t="shared" si="48"/>
        <v>9930</v>
      </c>
    </row>
    <row r="3099" spans="1:11" hidden="1" x14ac:dyDescent="0.25">
      <c r="A3099">
        <v>3098</v>
      </c>
      <c r="B3099" s="1">
        <v>45748</v>
      </c>
      <c r="C3099" t="s">
        <v>16</v>
      </c>
      <c r="D3099" t="s">
        <v>131</v>
      </c>
      <c r="E3099" t="s">
        <v>13</v>
      </c>
      <c r="F3099">
        <v>1</v>
      </c>
      <c r="G3099" t="str">
        <f>VLOOKUP(D3099,Товары!A:I,3,0)</f>
        <v>Тумба с раковиной  напол. Леон 800 форест 2 ящика с умыв. Слим</v>
      </c>
      <c r="H3099">
        <f>VLOOKUP(D3099,Товары!A:I,6,0)</f>
        <v>80</v>
      </c>
      <c r="I3099" t="str">
        <f>VLOOKUP(C3099,Магазины!A:C,3,0)</f>
        <v>Оренбург</v>
      </c>
      <c r="J3099">
        <f>VLOOKUP(D3099,Товары!A:I,4,0)</f>
        <v>29400</v>
      </c>
      <c r="K3099">
        <f t="shared" si="48"/>
        <v>29400</v>
      </c>
    </row>
    <row r="3100" spans="1:11" hidden="1" x14ac:dyDescent="0.25">
      <c r="A3100">
        <v>3099</v>
      </c>
      <c r="B3100" s="1">
        <v>45755</v>
      </c>
      <c r="C3100" t="s">
        <v>28</v>
      </c>
      <c r="D3100" t="s">
        <v>72</v>
      </c>
      <c r="E3100" t="s">
        <v>8</v>
      </c>
      <c r="F3100">
        <v>1</v>
      </c>
      <c r="G3100" t="str">
        <f>VLOOKUP(D3100,Товары!A:I,3,0)</f>
        <v>Тумба с раковиной  напол. Сохо 600 белый 2 ящика с умыв. Океан</v>
      </c>
      <c r="H3100">
        <f>VLOOKUP(D3100,Товары!A:I,6,0)</f>
        <v>85</v>
      </c>
      <c r="I3100" t="str">
        <f>VLOOKUP(C3100,Магазины!A:C,3,0)</f>
        <v>Набережные Челны</v>
      </c>
      <c r="J3100">
        <f>VLOOKUP(D3100,Товары!A:I,4,0)</f>
        <v>16140</v>
      </c>
      <c r="K3100">
        <f t="shared" si="48"/>
        <v>16140</v>
      </c>
    </row>
    <row r="3101" spans="1:11" hidden="1" x14ac:dyDescent="0.25">
      <c r="A3101">
        <v>3100</v>
      </c>
      <c r="B3101" s="1">
        <v>45754</v>
      </c>
      <c r="C3101" t="s">
        <v>28</v>
      </c>
      <c r="D3101" t="s">
        <v>66</v>
      </c>
      <c r="E3101" t="s">
        <v>13</v>
      </c>
      <c r="F3101">
        <v>2</v>
      </c>
      <c r="G3101" t="str">
        <f>VLOOKUP(D3101,Товары!A:I,3,0)</f>
        <v>Тумба с раковиной  навес. Альба 800 мята 2 ящика с умыв. Слим</v>
      </c>
      <c r="H3101">
        <f>VLOOKUP(D3101,Товары!A:I,6,0)</f>
        <v>50</v>
      </c>
      <c r="I3101" t="str">
        <f>VLOOKUP(C3101,Магазины!A:C,3,0)</f>
        <v>Набережные Челны</v>
      </c>
      <c r="J3101">
        <f>VLOOKUP(D3101,Товары!A:I,4,0)</f>
        <v>26070</v>
      </c>
      <c r="K3101">
        <f t="shared" si="48"/>
        <v>52140</v>
      </c>
    </row>
    <row r="3102" spans="1:11" hidden="1" x14ac:dyDescent="0.25">
      <c r="A3102">
        <v>3101</v>
      </c>
      <c r="B3102" s="1">
        <v>45749</v>
      </c>
      <c r="C3102" t="s">
        <v>57</v>
      </c>
      <c r="D3102" t="s">
        <v>27</v>
      </c>
      <c r="E3102" t="s">
        <v>8</v>
      </c>
      <c r="F3102">
        <v>3</v>
      </c>
      <c r="G3102" t="str">
        <f>VLOOKUP(D3102,Товары!A:I,3,0)</f>
        <v>Тумба с раковиной  навес. Виктория 800 белый 2 ящика с умыв. Слим</v>
      </c>
      <c r="H3102">
        <f>VLOOKUP(D3102,Товары!A:I,6,0)</f>
        <v>60</v>
      </c>
      <c r="I3102" t="str">
        <f>VLOOKUP(C3102,Магазины!A:C,3,0)</f>
        <v>Оренбург</v>
      </c>
      <c r="J3102">
        <f>VLOOKUP(D3102,Товары!A:I,4,0)</f>
        <v>25290</v>
      </c>
      <c r="K3102">
        <f t="shared" si="48"/>
        <v>75870</v>
      </c>
    </row>
    <row r="3103" spans="1:11" hidden="1" x14ac:dyDescent="0.25">
      <c r="A3103">
        <v>3102</v>
      </c>
      <c r="B3103" s="1">
        <v>45748</v>
      </c>
      <c r="C3103" t="s">
        <v>43</v>
      </c>
      <c r="D3103" t="s">
        <v>119</v>
      </c>
      <c r="E3103" t="s">
        <v>8</v>
      </c>
      <c r="F3103">
        <v>3</v>
      </c>
      <c r="G3103" t="str">
        <f>VLOOKUP(D3103,Товары!A:I,3,0)</f>
        <v>Пенал навес./напол. Рица 350 cерый/керамика 2 двери</v>
      </c>
      <c r="H3103">
        <f>VLOOKUP(D3103,Товары!A:I,6,0)</f>
        <v>160</v>
      </c>
      <c r="I3103" t="str">
        <f>VLOOKUP(C3103,Магазины!A:C,3,0)</f>
        <v>Набережные Челны</v>
      </c>
      <c r="J3103">
        <f>VLOOKUP(D3103,Товары!A:I,4,0)</f>
        <v>11250</v>
      </c>
      <c r="K3103">
        <f t="shared" si="48"/>
        <v>33750</v>
      </c>
    </row>
    <row r="3104" spans="1:11" hidden="1" x14ac:dyDescent="0.25">
      <c r="A3104">
        <v>3103</v>
      </c>
      <c r="B3104" s="1">
        <v>45755</v>
      </c>
      <c r="C3104" t="s">
        <v>54</v>
      </c>
      <c r="D3104" t="s">
        <v>23</v>
      </c>
      <c r="E3104" t="s">
        <v>8</v>
      </c>
      <c r="F3104">
        <v>3</v>
      </c>
      <c r="G3104" t="str">
        <f>VLOOKUP(D3104,Товары!A:I,3,0)</f>
        <v>Тумба с раковиной  напол. Альба 800 антрацит 2 ящика с умыв. Слим</v>
      </c>
      <c r="H3104">
        <f>VLOOKUP(D3104,Товары!A:I,6,0)</f>
        <v>80</v>
      </c>
      <c r="I3104" t="str">
        <f>VLOOKUP(C3104,Магазины!A:C,3,0)</f>
        <v>Ставрополь</v>
      </c>
      <c r="J3104">
        <f>VLOOKUP(D3104,Товары!A:I,4,0)</f>
        <v>29340</v>
      </c>
      <c r="K3104">
        <f t="shared" si="48"/>
        <v>88020</v>
      </c>
    </row>
    <row r="3105" spans="1:11" hidden="1" x14ac:dyDescent="0.25">
      <c r="A3105">
        <v>3104</v>
      </c>
      <c r="B3105" s="1">
        <v>45749</v>
      </c>
      <c r="C3105" t="s">
        <v>111</v>
      </c>
      <c r="D3105" t="s">
        <v>39</v>
      </c>
      <c r="E3105" t="s">
        <v>8</v>
      </c>
      <c r="F3105">
        <v>1</v>
      </c>
      <c r="G3105" t="str">
        <f>VLOOKUP(D3105,Товары!A:I,3,0)</f>
        <v>Тумба с раковиной  напол. Альба 700 мята 2 ящика с умыв. Слим</v>
      </c>
      <c r="H3105">
        <f>VLOOKUP(D3105,Товары!A:I,6,0)</f>
        <v>85</v>
      </c>
      <c r="I3105" t="str">
        <f>VLOOKUP(C3105,Магазины!A:C,3,0)</f>
        <v>Набережные Челны</v>
      </c>
      <c r="J3105">
        <f>VLOOKUP(D3105,Товары!A:I,4,0)</f>
        <v>28695</v>
      </c>
      <c r="K3105">
        <f t="shared" si="48"/>
        <v>28695</v>
      </c>
    </row>
    <row r="3106" spans="1:11" hidden="1" x14ac:dyDescent="0.25">
      <c r="A3106">
        <v>3105</v>
      </c>
      <c r="B3106" s="1">
        <v>45757</v>
      </c>
      <c r="C3106" t="s">
        <v>28</v>
      </c>
      <c r="D3106" t="s">
        <v>7</v>
      </c>
      <c r="E3106" t="s">
        <v>8</v>
      </c>
      <c r="F3106">
        <v>1</v>
      </c>
      <c r="G3106" t="str">
        <f>VLOOKUP(D3106,Товары!A:I,3,0)</f>
        <v>Пенал напол. Леон Риф 400 солярис/белый риф 2 двери + 1 ящик</v>
      </c>
      <c r="H3106">
        <f>VLOOKUP(D3106,Товары!A:I,6,0)</f>
        <v>190</v>
      </c>
      <c r="I3106" t="str">
        <f>VLOOKUP(C3106,Магазины!A:C,3,0)</f>
        <v>Набережные Челны</v>
      </c>
      <c r="J3106">
        <f>VLOOKUP(D3106,Товары!A:I,4,0)</f>
        <v>14490</v>
      </c>
      <c r="K3106">
        <f t="shared" si="48"/>
        <v>14490</v>
      </c>
    </row>
    <row r="3107" spans="1:11" hidden="1" x14ac:dyDescent="0.25">
      <c r="A3107">
        <v>3106</v>
      </c>
      <c r="B3107" s="1">
        <v>45753</v>
      </c>
      <c r="C3107" t="s">
        <v>6</v>
      </c>
      <c r="D3107" t="s">
        <v>127</v>
      </c>
      <c r="E3107" t="s">
        <v>8</v>
      </c>
      <c r="F3107">
        <v>1</v>
      </c>
      <c r="G3107" t="str">
        <f>VLOOKUP(D3107,Товары!A:I,3,0)</f>
        <v>Тумба с раковиной  навес. Альба 700 мята 1 ящик с умыв. Слим</v>
      </c>
      <c r="H3107">
        <f>VLOOKUP(D3107,Товары!A:I,6,0)</f>
        <v>45</v>
      </c>
      <c r="I3107" t="str">
        <f>VLOOKUP(C3107,Магазины!A:C,3,0)</f>
        <v>Оренбург</v>
      </c>
      <c r="J3107">
        <f>VLOOKUP(D3107,Товары!A:I,4,0)</f>
        <v>20130</v>
      </c>
      <c r="K3107">
        <f t="shared" si="48"/>
        <v>20130</v>
      </c>
    </row>
    <row r="3108" spans="1:11" hidden="1" x14ac:dyDescent="0.25">
      <c r="A3108">
        <v>3107</v>
      </c>
      <c r="B3108" s="1">
        <v>45750</v>
      </c>
      <c r="C3108" t="s">
        <v>103</v>
      </c>
      <c r="D3108" t="s">
        <v>47</v>
      </c>
      <c r="E3108" t="s">
        <v>13</v>
      </c>
      <c r="F3108">
        <v>2</v>
      </c>
      <c r="G3108" t="str">
        <f>VLOOKUP(D3108,Товары!A:I,3,0)</f>
        <v>Пенал напол. Кристалл 350 шато азур 2 двери</v>
      </c>
      <c r="H3108">
        <f>VLOOKUP(D3108,Товары!A:I,6,0)</f>
        <v>190</v>
      </c>
      <c r="I3108" t="str">
        <f>VLOOKUP(C3108,Магазины!A:C,3,0)</f>
        <v>Ставрополь</v>
      </c>
      <c r="J3108">
        <f>VLOOKUP(D3108,Товары!A:I,4,0)</f>
        <v>15810</v>
      </c>
      <c r="K3108">
        <f t="shared" si="48"/>
        <v>31620</v>
      </c>
    </row>
    <row r="3109" spans="1:11" hidden="1" x14ac:dyDescent="0.25">
      <c r="A3109">
        <v>3108</v>
      </c>
      <c r="B3109" s="1">
        <v>45756</v>
      </c>
      <c r="C3109" t="s">
        <v>28</v>
      </c>
      <c r="D3109" t="s">
        <v>29</v>
      </c>
      <c r="E3109" t="s">
        <v>13</v>
      </c>
      <c r="F3109">
        <v>2</v>
      </c>
      <c r="G3109" t="str">
        <f>VLOOKUP(D3109,Товары!A:I,3,0)</f>
        <v>Тумба с раковиной  напол. Леон Риф 600 солярис/белый риф 2 ящика с умыв. Океан</v>
      </c>
      <c r="H3109">
        <f>VLOOKUP(D3109,Товары!A:I,6,0)</f>
        <v>80</v>
      </c>
      <c r="I3109" t="str">
        <f>VLOOKUP(C3109,Магазины!A:C,3,0)</f>
        <v>Набережные Челны</v>
      </c>
      <c r="J3109">
        <f>VLOOKUP(D3109,Товары!A:I,4,0)</f>
        <v>24150</v>
      </c>
      <c r="K3109">
        <f t="shared" si="48"/>
        <v>48300</v>
      </c>
    </row>
    <row r="3110" spans="1:11" hidden="1" x14ac:dyDescent="0.25">
      <c r="A3110">
        <v>3109</v>
      </c>
      <c r="B3110" s="1">
        <v>45755</v>
      </c>
      <c r="C3110" t="s">
        <v>63</v>
      </c>
      <c r="D3110" t="s">
        <v>17</v>
      </c>
      <c r="E3110" t="s">
        <v>8</v>
      </c>
      <c r="F3110">
        <v>2</v>
      </c>
      <c r="G3110" t="str">
        <f>VLOOKUP(D3110,Товары!A:I,3,0)</f>
        <v>Тумба с раковиной  навес. Альба 800 антрацит 1 ящик с умыв. Слим</v>
      </c>
      <c r="H3110">
        <f>VLOOKUP(D3110,Товары!A:I,6,0)</f>
        <v>45</v>
      </c>
      <c r="I3110" t="str">
        <f>VLOOKUP(C3110,Магазины!A:C,3,0)</f>
        <v>Ставрополь</v>
      </c>
      <c r="J3110">
        <f>VLOOKUP(D3110,Товары!A:I,4,0)</f>
        <v>21630</v>
      </c>
      <c r="K3110">
        <f t="shared" si="48"/>
        <v>43260</v>
      </c>
    </row>
    <row r="3111" spans="1:11" hidden="1" x14ac:dyDescent="0.25">
      <c r="A3111">
        <v>3110</v>
      </c>
      <c r="B3111" s="1">
        <v>45753</v>
      </c>
      <c r="C3111" t="s">
        <v>30</v>
      </c>
      <c r="D3111" t="s">
        <v>34</v>
      </c>
      <c r="E3111" t="s">
        <v>13</v>
      </c>
      <c r="F3111">
        <v>1</v>
      </c>
      <c r="G3111" t="str">
        <f>VLOOKUP(D3111,Товары!A:I,3,0)</f>
        <v>Тумба с раковиной  навес. Леон 700 форест 2 ящика с умыв. Слим</v>
      </c>
      <c r="H3111">
        <f>VLOOKUP(D3111,Товары!A:I,6,0)</f>
        <v>60</v>
      </c>
      <c r="I3111" t="str">
        <f>VLOOKUP(C3111,Магазины!A:C,3,0)</f>
        <v>Кемерово</v>
      </c>
      <c r="J3111">
        <f>VLOOKUP(D3111,Товары!A:I,4,0)</f>
        <v>26220</v>
      </c>
      <c r="K3111">
        <f t="shared" si="48"/>
        <v>26220</v>
      </c>
    </row>
    <row r="3112" spans="1:11" hidden="1" x14ac:dyDescent="0.25">
      <c r="A3112">
        <v>3111</v>
      </c>
      <c r="B3112" s="1">
        <v>45755</v>
      </c>
      <c r="C3112" t="s">
        <v>6</v>
      </c>
      <c r="D3112" t="s">
        <v>82</v>
      </c>
      <c r="E3112" t="s">
        <v>8</v>
      </c>
      <c r="F3112">
        <v>3</v>
      </c>
      <c r="G3112" t="str">
        <f>VLOOKUP(D3112,Товары!A:I,3,0)</f>
        <v>Тумба с раковиной  навес. Леон 800 форест 2 ящика с умыв. Слим</v>
      </c>
      <c r="H3112">
        <f>VLOOKUP(D3112,Товары!A:I,6,0)</f>
        <v>60</v>
      </c>
      <c r="I3112" t="str">
        <f>VLOOKUP(C3112,Магазины!A:C,3,0)</f>
        <v>Оренбург</v>
      </c>
      <c r="J3112">
        <f>VLOOKUP(D3112,Товары!A:I,4,0)</f>
        <v>27930</v>
      </c>
      <c r="K3112">
        <f t="shared" si="48"/>
        <v>83790</v>
      </c>
    </row>
    <row r="3113" spans="1:11" hidden="1" x14ac:dyDescent="0.25">
      <c r="A3113">
        <v>3112</v>
      </c>
      <c r="B3113" s="1">
        <v>45753</v>
      </c>
      <c r="C3113" t="s">
        <v>28</v>
      </c>
      <c r="D3113" t="s">
        <v>12</v>
      </c>
      <c r="E3113" t="s">
        <v>13</v>
      </c>
      <c r="F3113">
        <v>1</v>
      </c>
      <c r="G3113" t="str">
        <f>VLOOKUP(D3113,Товары!A:I,3,0)</f>
        <v>Тумба с раковиной  напол. Сохо 700 белый 2 двери с умыв. Слим</v>
      </c>
      <c r="H3113">
        <f>VLOOKUP(D3113,Товары!A:I,6,0)</f>
        <v>85</v>
      </c>
      <c r="I3113" t="str">
        <f>VLOOKUP(C3113,Магазины!A:C,3,0)</f>
        <v>Набережные Челны</v>
      </c>
      <c r="J3113">
        <f>VLOOKUP(D3113,Товары!A:I,4,0)</f>
        <v>17160</v>
      </c>
      <c r="K3113">
        <f t="shared" si="48"/>
        <v>17160</v>
      </c>
    </row>
    <row r="3114" spans="1:11" hidden="1" x14ac:dyDescent="0.25">
      <c r="A3114">
        <v>3113</v>
      </c>
      <c r="B3114" s="1">
        <v>45755</v>
      </c>
      <c r="C3114" t="s">
        <v>20</v>
      </c>
      <c r="D3114" t="s">
        <v>128</v>
      </c>
      <c r="E3114" t="s">
        <v>13</v>
      </c>
      <c r="F3114">
        <v>3</v>
      </c>
      <c r="G3114" t="str">
        <f>VLOOKUP(D3114,Товары!A:I,3,0)</f>
        <v>Тумба с раковиной  напол. Куба Риф 1000 белый 2 ящика с умыв. Слим</v>
      </c>
      <c r="H3114">
        <f>VLOOKUP(D3114,Товары!A:I,6,0)</f>
        <v>85</v>
      </c>
      <c r="I3114" t="str">
        <f>VLOOKUP(C3114,Магазины!A:C,3,0)</f>
        <v>Оренбург</v>
      </c>
      <c r="J3114">
        <f>VLOOKUP(D3114,Товары!A:I,4,0)</f>
        <v>22905</v>
      </c>
      <c r="K3114">
        <f t="shared" si="48"/>
        <v>68715</v>
      </c>
    </row>
    <row r="3115" spans="1:11" hidden="1" x14ac:dyDescent="0.25">
      <c r="A3115">
        <v>3114</v>
      </c>
      <c r="B3115" s="1">
        <v>45750</v>
      </c>
      <c r="C3115" t="s">
        <v>20</v>
      </c>
      <c r="D3115" t="s">
        <v>125</v>
      </c>
      <c r="E3115" t="s">
        <v>13</v>
      </c>
      <c r="F3115">
        <v>2</v>
      </c>
      <c r="G3115" t="str">
        <f>VLOOKUP(D3115,Товары!A:I,3,0)</f>
        <v>Зеркальный шкаф Сохо 60 белый со светильником правый цвет Белый глянец</v>
      </c>
      <c r="H3115">
        <f>VLOOKUP(D3115,Товары!A:I,6,0)</f>
        <v>75</v>
      </c>
      <c r="I3115" t="str">
        <f>VLOOKUP(C3115,Магазины!A:C,3,0)</f>
        <v>Оренбург</v>
      </c>
      <c r="J3115">
        <f>VLOOKUP(D3115,Товары!A:I,4,0)</f>
        <v>7395</v>
      </c>
      <c r="K3115">
        <f t="shared" si="48"/>
        <v>14790</v>
      </c>
    </row>
    <row r="3116" spans="1:11" hidden="1" x14ac:dyDescent="0.25">
      <c r="A3116">
        <v>3115</v>
      </c>
      <c r="B3116" s="1">
        <v>45748</v>
      </c>
      <c r="C3116" t="s">
        <v>22</v>
      </c>
      <c r="D3116" t="s">
        <v>82</v>
      </c>
      <c r="E3116" t="s">
        <v>8</v>
      </c>
      <c r="F3116">
        <v>2</v>
      </c>
      <c r="G3116" t="str">
        <f>VLOOKUP(D3116,Товары!A:I,3,0)</f>
        <v>Тумба с раковиной  навес. Леон 800 форест 2 ящика с умыв. Слим</v>
      </c>
      <c r="H3116">
        <f>VLOOKUP(D3116,Товары!A:I,6,0)</f>
        <v>60</v>
      </c>
      <c r="I3116" t="str">
        <f>VLOOKUP(C3116,Магазины!A:C,3,0)</f>
        <v>Кемерово</v>
      </c>
      <c r="J3116">
        <f>VLOOKUP(D3116,Товары!A:I,4,0)</f>
        <v>27930</v>
      </c>
      <c r="K3116">
        <f t="shared" si="48"/>
        <v>55860</v>
      </c>
    </row>
    <row r="3117" spans="1:11" hidden="1" x14ac:dyDescent="0.25">
      <c r="A3117">
        <v>3116</v>
      </c>
      <c r="B3117" s="1">
        <v>45755</v>
      </c>
      <c r="C3117" t="s">
        <v>11</v>
      </c>
      <c r="D3117" t="s">
        <v>36</v>
      </c>
      <c r="E3117" t="s">
        <v>13</v>
      </c>
      <c r="F3117">
        <v>3</v>
      </c>
      <c r="G3117" t="str">
        <f>VLOOKUP(D3117,Товары!A:I,3,0)</f>
        <v>Тумба с раковиной  напол. Альба 800 мята 2 ящика с умыв. Слим</v>
      </c>
      <c r="H3117">
        <f>VLOOKUP(D3117,Товары!A:I,6,0)</f>
        <v>80</v>
      </c>
      <c r="I3117" t="str">
        <f>VLOOKUP(C3117,Магазины!A:C,3,0)</f>
        <v>Кемерово</v>
      </c>
      <c r="J3117">
        <f>VLOOKUP(D3117,Товары!A:I,4,0)</f>
        <v>29340</v>
      </c>
      <c r="K3117">
        <f t="shared" si="48"/>
        <v>88020</v>
      </c>
    </row>
    <row r="3118" spans="1:11" hidden="1" x14ac:dyDescent="0.25">
      <c r="A3118">
        <v>3117</v>
      </c>
      <c r="B3118" s="1">
        <v>45754</v>
      </c>
      <c r="C3118" t="s">
        <v>20</v>
      </c>
      <c r="D3118" t="s">
        <v>15</v>
      </c>
      <c r="E3118" t="s">
        <v>13</v>
      </c>
      <c r="F3118">
        <v>2</v>
      </c>
      <c r="G3118" t="str">
        <f>VLOOKUP(D3118,Товары!A:I,3,0)</f>
        <v>Зеркальный шкаф Кристалл 60 со светильником правый, ручка кнопка дуб цвет Шато Азур</v>
      </c>
      <c r="H3118">
        <f>VLOOKUP(D3118,Товары!A:I,6,0)</f>
        <v>75</v>
      </c>
      <c r="I3118" t="str">
        <f>VLOOKUP(C3118,Магазины!A:C,3,0)</f>
        <v>Оренбург</v>
      </c>
      <c r="J3118">
        <f>VLOOKUP(D3118,Товары!A:I,4,0)</f>
        <v>9195</v>
      </c>
      <c r="K3118">
        <f t="shared" si="48"/>
        <v>18390</v>
      </c>
    </row>
    <row r="3119" spans="1:11" hidden="1" x14ac:dyDescent="0.25">
      <c r="A3119">
        <v>3118</v>
      </c>
      <c r="B3119" s="1">
        <v>45755</v>
      </c>
      <c r="C3119" t="s">
        <v>30</v>
      </c>
      <c r="D3119" t="s">
        <v>112</v>
      </c>
      <c r="E3119" t="s">
        <v>13</v>
      </c>
      <c r="F3119">
        <v>2</v>
      </c>
      <c r="G3119" t="str">
        <f>VLOOKUP(D3119,Товары!A:I,3,0)</f>
        <v>Тумба с раковиной  напол. Аква 560 белый 2 двери с умыв. Уют</v>
      </c>
      <c r="H3119">
        <f>VLOOKUP(D3119,Товары!A:I,6,0)</f>
        <v>85</v>
      </c>
      <c r="I3119" t="str">
        <f>VLOOKUP(C3119,Магазины!A:C,3,0)</f>
        <v>Кемерово</v>
      </c>
      <c r="J3119">
        <f>VLOOKUP(D3119,Товары!A:I,4,0)</f>
        <v>9330</v>
      </c>
      <c r="K3119">
        <f t="shared" si="48"/>
        <v>18660</v>
      </c>
    </row>
    <row r="3120" spans="1:11" hidden="1" x14ac:dyDescent="0.25">
      <c r="A3120">
        <v>3119</v>
      </c>
      <c r="B3120" s="1">
        <v>45756</v>
      </c>
      <c r="C3120" t="s">
        <v>58</v>
      </c>
      <c r="D3120" t="s">
        <v>45</v>
      </c>
      <c r="E3120" t="s">
        <v>8</v>
      </c>
      <c r="F3120">
        <v>3</v>
      </c>
      <c r="G3120" t="str">
        <f>VLOOKUP(D3120,Товары!A:I,3,0)</f>
        <v>Зеркальный шкаф Рица 80 со светильником правый цвет cерый/керамика</v>
      </c>
      <c r="H3120">
        <f>VLOOKUP(D3120,Товары!A:I,6,0)</f>
        <v>75</v>
      </c>
      <c r="I3120" t="str">
        <f>VLOOKUP(C3120,Магазины!A:C,3,0)</f>
        <v>Ставрополь</v>
      </c>
      <c r="J3120">
        <f>VLOOKUP(D3120,Товары!A:I,4,0)</f>
        <v>9930</v>
      </c>
      <c r="K3120">
        <f t="shared" si="48"/>
        <v>29790</v>
      </c>
    </row>
    <row r="3121" spans="1:11" hidden="1" x14ac:dyDescent="0.25">
      <c r="A3121">
        <v>3120</v>
      </c>
      <c r="B3121" s="1">
        <v>45752</v>
      </c>
      <c r="C3121" t="s">
        <v>43</v>
      </c>
      <c r="D3121" t="s">
        <v>21</v>
      </c>
      <c r="E3121" t="s">
        <v>8</v>
      </c>
      <c r="F3121">
        <v>1</v>
      </c>
      <c r="G3121" t="str">
        <f>VLOOKUP(D3121,Товары!A:I,3,0)</f>
        <v>Зеркальный шкаф Рица 60 со светильником правый цвет cерый/керамика</v>
      </c>
      <c r="H3121">
        <f>VLOOKUP(D3121,Товары!A:I,6,0)</f>
        <v>75</v>
      </c>
      <c r="I3121" t="str">
        <f>VLOOKUP(C3121,Магазины!A:C,3,0)</f>
        <v>Набережные Челны</v>
      </c>
      <c r="J3121">
        <f>VLOOKUP(D3121,Товары!A:I,4,0)</f>
        <v>8910</v>
      </c>
      <c r="K3121">
        <f t="shared" si="48"/>
        <v>8910</v>
      </c>
    </row>
    <row r="3122" spans="1:11" hidden="1" x14ac:dyDescent="0.25">
      <c r="A3122">
        <v>3121</v>
      </c>
      <c r="B3122" s="1">
        <v>45757</v>
      </c>
      <c r="C3122" t="s">
        <v>41</v>
      </c>
      <c r="D3122" t="s">
        <v>50</v>
      </c>
      <c r="E3122" t="s">
        <v>13</v>
      </c>
      <c r="F3122">
        <v>1</v>
      </c>
      <c r="G3122" t="str">
        <f>VLOOKUP(D3122,Товары!A:I,3,0)</f>
        <v>Тумба с раковиной  напол. Леон 800 оникс 2 ящика с умыв. Слим</v>
      </c>
      <c r="H3122">
        <f>VLOOKUP(D3122,Товары!A:I,6,0)</f>
        <v>80</v>
      </c>
      <c r="I3122" t="str">
        <f>VLOOKUP(C3122,Магазины!A:C,3,0)</f>
        <v>Ставрополь</v>
      </c>
      <c r="J3122">
        <f>VLOOKUP(D3122,Товары!A:I,4,0)</f>
        <v>29400</v>
      </c>
      <c r="K3122">
        <f t="shared" si="48"/>
        <v>29400</v>
      </c>
    </row>
    <row r="3123" spans="1:11" hidden="1" x14ac:dyDescent="0.25">
      <c r="A3123">
        <v>3122</v>
      </c>
      <c r="B3123" s="1">
        <v>45749</v>
      </c>
      <c r="C3123" t="s">
        <v>28</v>
      </c>
      <c r="D3123" t="s">
        <v>10</v>
      </c>
      <c r="E3123" t="s">
        <v>13</v>
      </c>
      <c r="F3123">
        <v>1</v>
      </c>
      <c r="G3123" t="str">
        <f>VLOOKUP(D3123,Товары!A:I,3,0)</f>
        <v>Тумба с раковиной  навес. Альба 700 антрацит 1 ящик с умыв. Слим</v>
      </c>
      <c r="H3123">
        <f>VLOOKUP(D3123,Товары!A:I,6,0)</f>
        <v>45</v>
      </c>
      <c r="I3123" t="str">
        <f>VLOOKUP(C3123,Магазины!A:C,3,0)</f>
        <v>Набережные Челны</v>
      </c>
      <c r="J3123">
        <f>VLOOKUP(D3123,Товары!A:I,4,0)</f>
        <v>20130</v>
      </c>
      <c r="K3123">
        <f t="shared" si="48"/>
        <v>20130</v>
      </c>
    </row>
    <row r="3124" spans="1:11" hidden="1" x14ac:dyDescent="0.25">
      <c r="A3124">
        <v>3123</v>
      </c>
      <c r="B3124" s="1">
        <v>45750</v>
      </c>
      <c r="C3124" t="s">
        <v>35</v>
      </c>
      <c r="D3124" t="s">
        <v>102</v>
      </c>
      <c r="E3124" t="s">
        <v>8</v>
      </c>
      <c r="F3124">
        <v>1</v>
      </c>
      <c r="G3124" t="str">
        <f>VLOOKUP(D3124,Товары!A:I,3,0)</f>
        <v>Тумба с раковиной  напол. Леон Риф 1000 солярис/белый риф 2 ящика с умыв. Слим</v>
      </c>
      <c r="H3124">
        <f>VLOOKUP(D3124,Товары!A:I,6,0)</f>
        <v>85</v>
      </c>
      <c r="I3124" t="str">
        <f>VLOOKUP(C3124,Магазины!A:C,3,0)</f>
        <v>Набережные Челны</v>
      </c>
      <c r="J3124">
        <f>VLOOKUP(D3124,Товары!A:I,4,0)</f>
        <v>32085</v>
      </c>
      <c r="K3124">
        <f t="shared" si="48"/>
        <v>32085</v>
      </c>
    </row>
    <row r="3125" spans="1:11" hidden="1" x14ac:dyDescent="0.25">
      <c r="A3125">
        <v>3124</v>
      </c>
      <c r="B3125" s="1">
        <v>45748</v>
      </c>
      <c r="C3125" t="s">
        <v>30</v>
      </c>
      <c r="D3125" t="s">
        <v>105</v>
      </c>
      <c r="E3125" t="s">
        <v>8</v>
      </c>
      <c r="F3125">
        <v>3</v>
      </c>
      <c r="G3125" t="str">
        <f>VLOOKUP(D3125,Товары!A:I,3,0)</f>
        <v>Тумба с раковиной  напол. Нева 600 белый 2 двери + 1 ящик с умыв. Como</v>
      </c>
      <c r="H3125">
        <f>VLOOKUP(D3125,Товары!A:I,6,0)</f>
        <v>80</v>
      </c>
      <c r="I3125" t="str">
        <f>VLOOKUP(C3125,Магазины!A:C,3,0)</f>
        <v>Кемерово</v>
      </c>
      <c r="J3125">
        <f>VLOOKUP(D3125,Товары!A:I,4,0)</f>
        <v>13470</v>
      </c>
      <c r="K3125">
        <f t="shared" si="48"/>
        <v>40410</v>
      </c>
    </row>
    <row r="3126" spans="1:11" hidden="1" x14ac:dyDescent="0.25">
      <c r="A3126">
        <v>3125</v>
      </c>
      <c r="B3126" s="1">
        <v>45748</v>
      </c>
      <c r="C3126" t="s">
        <v>22</v>
      </c>
      <c r="D3126" t="s">
        <v>40</v>
      </c>
      <c r="E3126" t="s">
        <v>8</v>
      </c>
      <c r="F3126">
        <v>2</v>
      </c>
      <c r="G3126" t="str">
        <f>VLOOKUP(D3126,Товары!A:I,3,0)</f>
        <v>Тумба с раковиной  навес. Рица 800 cерый/керамика 1 ящик + ниша 1 с умыв. Слим</v>
      </c>
      <c r="H3126">
        <f>VLOOKUP(D3126,Товары!A:I,6,0)</f>
        <v>60</v>
      </c>
      <c r="I3126" t="str">
        <f>VLOOKUP(C3126,Магазины!A:C,3,0)</f>
        <v>Кемерово</v>
      </c>
      <c r="J3126">
        <f>VLOOKUP(D3126,Товары!A:I,4,0)</f>
        <v>22425</v>
      </c>
      <c r="K3126">
        <f t="shared" si="48"/>
        <v>44850</v>
      </c>
    </row>
    <row r="3127" spans="1:11" hidden="1" x14ac:dyDescent="0.25">
      <c r="A3127">
        <v>3126</v>
      </c>
      <c r="B3127" s="1">
        <v>45752</v>
      </c>
      <c r="C3127" t="s">
        <v>26</v>
      </c>
      <c r="D3127" t="s">
        <v>90</v>
      </c>
      <c r="E3127" t="s">
        <v>13</v>
      </c>
      <c r="F3127">
        <v>1</v>
      </c>
      <c r="G3127" t="str">
        <f>VLOOKUP(D3127,Товары!A:I,3,0)</f>
        <v>Пенал напол. Аква 350 белый 2 двери + 2 ящика</v>
      </c>
      <c r="H3127">
        <f>VLOOKUP(D3127,Товары!A:I,6,0)</f>
        <v>190</v>
      </c>
      <c r="I3127" t="str">
        <f>VLOOKUP(C3127,Магазины!A:C,3,0)</f>
        <v>Оренбург</v>
      </c>
      <c r="J3127">
        <f>VLOOKUP(D3127,Товары!A:I,4,0)</f>
        <v>10650</v>
      </c>
      <c r="K3127">
        <f t="shared" si="48"/>
        <v>10650</v>
      </c>
    </row>
    <row r="3128" spans="1:11" hidden="1" x14ac:dyDescent="0.25">
      <c r="A3128">
        <v>3127</v>
      </c>
      <c r="B3128" s="1">
        <v>45756</v>
      </c>
      <c r="C3128" t="s">
        <v>41</v>
      </c>
      <c r="D3128" t="s">
        <v>70</v>
      </c>
      <c r="E3128" t="s">
        <v>13</v>
      </c>
      <c r="F3128">
        <v>3</v>
      </c>
      <c r="G3128" t="str">
        <f>VLOOKUP(D3128,Товары!A:I,3,0)</f>
        <v>Тумба с раковиной  напол. Кристалл 700 шато азур 2 ящика с умыв. Слим</v>
      </c>
      <c r="H3128">
        <f>VLOOKUP(D3128,Товары!A:I,6,0)</f>
        <v>85</v>
      </c>
      <c r="I3128" t="str">
        <f>VLOOKUP(C3128,Магазины!A:C,3,0)</f>
        <v>Ставрополь</v>
      </c>
      <c r="J3128">
        <f>VLOOKUP(D3128,Товары!A:I,4,0)</f>
        <v>29910</v>
      </c>
      <c r="K3128">
        <f t="shared" si="48"/>
        <v>89730</v>
      </c>
    </row>
    <row r="3129" spans="1:11" hidden="1" x14ac:dyDescent="0.25">
      <c r="A3129">
        <v>3128</v>
      </c>
      <c r="B3129" s="1">
        <v>45757</v>
      </c>
      <c r="C3129" t="s">
        <v>22</v>
      </c>
      <c r="D3129" t="s">
        <v>102</v>
      </c>
      <c r="E3129" t="s">
        <v>8</v>
      </c>
      <c r="F3129">
        <v>3</v>
      </c>
      <c r="G3129" t="str">
        <f>VLOOKUP(D3129,Товары!A:I,3,0)</f>
        <v>Тумба с раковиной  напол. Леон Риф 1000 солярис/белый риф 2 ящика с умыв. Слим</v>
      </c>
      <c r="H3129">
        <f>VLOOKUP(D3129,Товары!A:I,6,0)</f>
        <v>85</v>
      </c>
      <c r="I3129" t="str">
        <f>VLOOKUP(C3129,Магазины!A:C,3,0)</f>
        <v>Кемерово</v>
      </c>
      <c r="J3129">
        <f>VLOOKUP(D3129,Товары!A:I,4,0)</f>
        <v>32085</v>
      </c>
      <c r="K3129">
        <f t="shared" si="48"/>
        <v>96255</v>
      </c>
    </row>
    <row r="3130" spans="1:11" hidden="1" x14ac:dyDescent="0.25">
      <c r="A3130">
        <v>3129</v>
      </c>
      <c r="B3130" s="1">
        <v>45751</v>
      </c>
      <c r="C3130" t="s">
        <v>103</v>
      </c>
      <c r="D3130" t="s">
        <v>60</v>
      </c>
      <c r="E3130" t="s">
        <v>13</v>
      </c>
      <c r="F3130">
        <v>1</v>
      </c>
      <c r="G3130" t="str">
        <f>VLOOKUP(D3130,Товары!A:I,3,0)</f>
        <v>Пенал навес. Куба Риф 350 белый 2 двери</v>
      </c>
      <c r="H3130">
        <f>VLOOKUP(D3130,Товары!A:I,6,0)</f>
        <v>150</v>
      </c>
      <c r="I3130" t="str">
        <f>VLOOKUP(C3130,Магазины!A:C,3,0)</f>
        <v>Ставрополь</v>
      </c>
      <c r="J3130">
        <f>VLOOKUP(D3130,Товары!A:I,4,0)</f>
        <v>9720</v>
      </c>
      <c r="K3130">
        <f t="shared" si="48"/>
        <v>9720</v>
      </c>
    </row>
    <row r="3131" spans="1:11" hidden="1" x14ac:dyDescent="0.25">
      <c r="A3131">
        <v>3130</v>
      </c>
      <c r="B3131" s="1">
        <v>45756</v>
      </c>
      <c r="C3131" t="s">
        <v>33</v>
      </c>
      <c r="D3131" t="s">
        <v>97</v>
      </c>
      <c r="E3131" t="s">
        <v>13</v>
      </c>
      <c r="F3131">
        <v>2</v>
      </c>
      <c r="G3131" t="str">
        <f>VLOOKUP(D3131,Товары!A:I,3,0)</f>
        <v>Пенал напол. Кристалл 350 суфле 2 двери</v>
      </c>
      <c r="H3131">
        <f>VLOOKUP(D3131,Товары!A:I,6,0)</f>
        <v>190</v>
      </c>
      <c r="I3131" t="str">
        <f>VLOOKUP(C3131,Магазины!A:C,3,0)</f>
        <v>Набережные Челны</v>
      </c>
      <c r="J3131">
        <f>VLOOKUP(D3131,Товары!A:I,4,0)</f>
        <v>15810</v>
      </c>
      <c r="K3131">
        <f t="shared" si="48"/>
        <v>31620</v>
      </c>
    </row>
    <row r="3132" spans="1:11" hidden="1" x14ac:dyDescent="0.25">
      <c r="A3132">
        <v>3131</v>
      </c>
      <c r="B3132" s="1">
        <v>45750</v>
      </c>
      <c r="C3132" t="s">
        <v>6</v>
      </c>
      <c r="D3132" t="s">
        <v>119</v>
      </c>
      <c r="E3132" t="s">
        <v>8</v>
      </c>
      <c r="F3132">
        <v>3</v>
      </c>
      <c r="G3132" t="str">
        <f>VLOOKUP(D3132,Товары!A:I,3,0)</f>
        <v>Пенал навес./напол. Рица 350 cерый/керамика 2 двери</v>
      </c>
      <c r="H3132">
        <f>VLOOKUP(D3132,Товары!A:I,6,0)</f>
        <v>160</v>
      </c>
      <c r="I3132" t="str">
        <f>VLOOKUP(C3132,Магазины!A:C,3,0)</f>
        <v>Оренбург</v>
      </c>
      <c r="J3132">
        <f>VLOOKUP(D3132,Товары!A:I,4,0)</f>
        <v>11250</v>
      </c>
      <c r="K3132">
        <f t="shared" si="48"/>
        <v>33750</v>
      </c>
    </row>
    <row r="3133" spans="1:11" hidden="1" x14ac:dyDescent="0.25">
      <c r="A3133">
        <v>3132</v>
      </c>
      <c r="B3133" s="1">
        <v>45754</v>
      </c>
      <c r="C3133" t="s">
        <v>48</v>
      </c>
      <c r="D3133" t="s">
        <v>24</v>
      </c>
      <c r="E3133" t="s">
        <v>13</v>
      </c>
      <c r="F3133">
        <v>1</v>
      </c>
      <c r="G3133" t="str">
        <f>VLOOKUP(D3133,Товары!A:I,3,0)</f>
        <v>Тумба с раковиной  напол. Леон 600 форест 2 ящика с умыв. Слим</v>
      </c>
      <c r="H3133">
        <f>VLOOKUP(D3133,Товары!A:I,6,0)</f>
        <v>80</v>
      </c>
      <c r="I3133" t="str">
        <f>VLOOKUP(C3133,Магазины!A:C,3,0)</f>
        <v>Ставрополь</v>
      </c>
      <c r="J3133">
        <f>VLOOKUP(D3133,Товары!A:I,4,0)</f>
        <v>27150</v>
      </c>
      <c r="K3133">
        <f t="shared" si="48"/>
        <v>27150</v>
      </c>
    </row>
    <row r="3134" spans="1:11" hidden="1" x14ac:dyDescent="0.25">
      <c r="A3134">
        <v>3133</v>
      </c>
      <c r="B3134" s="1">
        <v>45757</v>
      </c>
      <c r="C3134" t="s">
        <v>48</v>
      </c>
      <c r="D3134" t="s">
        <v>86</v>
      </c>
      <c r="E3134" t="s">
        <v>8</v>
      </c>
      <c r="F3134">
        <v>2</v>
      </c>
      <c r="G3134" t="str">
        <f>VLOOKUP(D3134,Товары!A:I,3,0)</f>
        <v>Комод Аква 50 напольный 1 ящик 2 двери белый</v>
      </c>
      <c r="H3134">
        <f>VLOOKUP(D3134,Товары!A:I,6,0)</f>
        <v>90</v>
      </c>
      <c r="I3134" t="str">
        <f>VLOOKUP(C3134,Магазины!A:C,3,0)</f>
        <v>Ставрополь</v>
      </c>
      <c r="J3134">
        <f>VLOOKUP(D3134,Товары!A:I,4,0)</f>
        <v>7260</v>
      </c>
      <c r="K3134">
        <f t="shared" si="48"/>
        <v>14520</v>
      </c>
    </row>
    <row r="3135" spans="1:11" hidden="1" x14ac:dyDescent="0.25">
      <c r="A3135">
        <v>3134</v>
      </c>
      <c r="B3135" s="1">
        <v>45755</v>
      </c>
      <c r="C3135" t="s">
        <v>33</v>
      </c>
      <c r="D3135" t="s">
        <v>104</v>
      </c>
      <c r="E3135" t="s">
        <v>8</v>
      </c>
      <c r="F3135">
        <v>1</v>
      </c>
      <c r="G3135" t="str">
        <f>VLOOKUP(D3135,Товары!A:I,3,0)</f>
        <v>Тумба под стиральную машину Куба Риф 57 подвесная 2 ящика под ст/маш, без умывальника /под Marshall 120 Белый</v>
      </c>
      <c r="H3135">
        <f>VLOOKUP(D3135,Товары!A:I,6,0)</f>
        <v>50</v>
      </c>
      <c r="I3135" t="str">
        <f>VLOOKUP(C3135,Магазины!A:C,3,0)</f>
        <v>Набережные Челны</v>
      </c>
      <c r="J3135">
        <f>VLOOKUP(D3135,Товары!A:I,4,0)</f>
        <v>8505</v>
      </c>
      <c r="K3135">
        <f t="shared" si="48"/>
        <v>8505</v>
      </c>
    </row>
    <row r="3136" spans="1:11" hidden="1" x14ac:dyDescent="0.25">
      <c r="A3136">
        <v>3135</v>
      </c>
      <c r="B3136" s="1">
        <v>45757</v>
      </c>
      <c r="C3136" t="s">
        <v>22</v>
      </c>
      <c r="D3136" t="s">
        <v>72</v>
      </c>
      <c r="E3136" t="s">
        <v>8</v>
      </c>
      <c r="F3136">
        <v>3</v>
      </c>
      <c r="G3136" t="str">
        <f>VLOOKUP(D3136,Товары!A:I,3,0)</f>
        <v>Тумба с раковиной  напол. Сохо 600 белый 2 ящика с умыв. Океан</v>
      </c>
      <c r="H3136">
        <f>VLOOKUP(D3136,Товары!A:I,6,0)</f>
        <v>85</v>
      </c>
      <c r="I3136" t="str">
        <f>VLOOKUP(C3136,Магазины!A:C,3,0)</f>
        <v>Кемерово</v>
      </c>
      <c r="J3136">
        <f>VLOOKUP(D3136,Товары!A:I,4,0)</f>
        <v>16140</v>
      </c>
      <c r="K3136">
        <f t="shared" si="48"/>
        <v>48420</v>
      </c>
    </row>
    <row r="3137" spans="1:11" hidden="1" x14ac:dyDescent="0.25">
      <c r="A3137">
        <v>3136</v>
      </c>
      <c r="B3137" s="1">
        <v>45754</v>
      </c>
      <c r="C3137" t="s">
        <v>9</v>
      </c>
      <c r="D3137" t="s">
        <v>87</v>
      </c>
      <c r="E3137" t="s">
        <v>13</v>
      </c>
      <c r="F3137">
        <v>1</v>
      </c>
      <c r="G3137" t="str">
        <f>VLOOKUP(D3137,Товары!A:I,3,0)</f>
        <v>Тумба с раковиной  напол. Леон 700 форест 2 ящика с умыв. Слим</v>
      </c>
      <c r="H3137">
        <f>VLOOKUP(D3137,Товары!A:I,6,0)</f>
        <v>80</v>
      </c>
      <c r="I3137" t="str">
        <f>VLOOKUP(C3137,Магазины!A:C,3,0)</f>
        <v>Кемерово</v>
      </c>
      <c r="J3137">
        <f>VLOOKUP(D3137,Товары!A:I,4,0)</f>
        <v>28380</v>
      </c>
      <c r="K3137">
        <f t="shared" si="48"/>
        <v>28380</v>
      </c>
    </row>
    <row r="3138" spans="1:11" hidden="1" x14ac:dyDescent="0.25">
      <c r="A3138">
        <v>3137</v>
      </c>
      <c r="B3138" s="1">
        <v>45750</v>
      </c>
      <c r="C3138" t="s">
        <v>111</v>
      </c>
      <c r="D3138" t="s">
        <v>40</v>
      </c>
      <c r="E3138" t="s">
        <v>8</v>
      </c>
      <c r="F3138">
        <v>2</v>
      </c>
      <c r="G3138" t="str">
        <f>VLOOKUP(D3138,Товары!A:I,3,0)</f>
        <v>Тумба с раковиной  навес. Рица 800 cерый/керамика 1 ящик + ниша 1 с умыв. Слим</v>
      </c>
      <c r="H3138">
        <f>VLOOKUP(D3138,Товары!A:I,6,0)</f>
        <v>60</v>
      </c>
      <c r="I3138" t="str">
        <f>VLOOKUP(C3138,Магазины!A:C,3,0)</f>
        <v>Набережные Челны</v>
      </c>
      <c r="J3138">
        <f>VLOOKUP(D3138,Товары!A:I,4,0)</f>
        <v>22425</v>
      </c>
      <c r="K3138">
        <f t="shared" si="48"/>
        <v>44850</v>
      </c>
    </row>
    <row r="3139" spans="1:11" hidden="1" x14ac:dyDescent="0.25">
      <c r="A3139">
        <v>3138</v>
      </c>
      <c r="B3139" s="1">
        <v>45751</v>
      </c>
      <c r="C3139" t="s">
        <v>35</v>
      </c>
      <c r="D3139" t="s">
        <v>121</v>
      </c>
      <c r="E3139" t="s">
        <v>13</v>
      </c>
      <c r="F3139">
        <v>2</v>
      </c>
      <c r="G3139" t="str">
        <f>VLOOKUP(D3139,Товары!A:I,3,0)</f>
        <v>Тумба с раковиной  напол. Куба Риф 600 белый 2 двери с умыв. Como</v>
      </c>
      <c r="H3139">
        <f>VLOOKUP(D3139,Товары!A:I,6,0)</f>
        <v>85</v>
      </c>
      <c r="I3139" t="str">
        <f>VLOOKUP(C3139,Магазины!A:C,3,0)</f>
        <v>Набережные Челны</v>
      </c>
      <c r="J3139">
        <f>VLOOKUP(D3139,Товары!A:I,4,0)</f>
        <v>13695</v>
      </c>
      <c r="K3139">
        <f t="shared" ref="K3139:K3202" si="49">J3139*F3139</f>
        <v>27390</v>
      </c>
    </row>
    <row r="3140" spans="1:11" hidden="1" x14ac:dyDescent="0.25">
      <c r="A3140">
        <v>3139</v>
      </c>
      <c r="B3140" s="1">
        <v>45749</v>
      </c>
      <c r="C3140" t="s">
        <v>30</v>
      </c>
      <c r="D3140" t="s">
        <v>39</v>
      </c>
      <c r="E3140" t="s">
        <v>13</v>
      </c>
      <c r="F3140">
        <v>3</v>
      </c>
      <c r="G3140" t="str">
        <f>VLOOKUP(D3140,Товары!A:I,3,0)</f>
        <v>Тумба с раковиной  напол. Альба 700 мята 2 ящика с умыв. Слим</v>
      </c>
      <c r="H3140">
        <f>VLOOKUP(D3140,Товары!A:I,6,0)</f>
        <v>85</v>
      </c>
      <c r="I3140" t="str">
        <f>VLOOKUP(C3140,Магазины!A:C,3,0)</f>
        <v>Кемерово</v>
      </c>
      <c r="J3140">
        <f>VLOOKUP(D3140,Товары!A:I,4,0)</f>
        <v>28695</v>
      </c>
      <c r="K3140">
        <f t="shared" si="49"/>
        <v>86085</v>
      </c>
    </row>
    <row r="3141" spans="1:11" hidden="1" x14ac:dyDescent="0.25">
      <c r="A3141">
        <v>3140</v>
      </c>
      <c r="B3141" s="1">
        <v>45751</v>
      </c>
      <c r="C3141" t="s">
        <v>28</v>
      </c>
      <c r="D3141" t="s">
        <v>7</v>
      </c>
      <c r="E3141" t="s">
        <v>13</v>
      </c>
      <c r="F3141">
        <v>1</v>
      </c>
      <c r="G3141" t="str">
        <f>VLOOKUP(D3141,Товары!A:I,3,0)</f>
        <v>Пенал напол. Леон Риф 400 солярис/белый риф 2 двери + 1 ящик</v>
      </c>
      <c r="H3141">
        <f>VLOOKUP(D3141,Товары!A:I,6,0)</f>
        <v>190</v>
      </c>
      <c r="I3141" t="str">
        <f>VLOOKUP(C3141,Магазины!A:C,3,0)</f>
        <v>Набережные Челны</v>
      </c>
      <c r="J3141">
        <f>VLOOKUP(D3141,Товары!A:I,4,0)</f>
        <v>14490</v>
      </c>
      <c r="K3141">
        <f t="shared" si="49"/>
        <v>14490</v>
      </c>
    </row>
    <row r="3142" spans="1:11" hidden="1" x14ac:dyDescent="0.25">
      <c r="A3142">
        <v>3141</v>
      </c>
      <c r="B3142" s="1">
        <v>45753</v>
      </c>
      <c r="C3142" t="s">
        <v>26</v>
      </c>
      <c r="D3142" t="s">
        <v>39</v>
      </c>
      <c r="E3142" t="s">
        <v>13</v>
      </c>
      <c r="F3142">
        <v>1</v>
      </c>
      <c r="G3142" t="str">
        <f>VLOOKUP(D3142,Товары!A:I,3,0)</f>
        <v>Тумба с раковиной  напол. Альба 700 мята 2 ящика с умыв. Слим</v>
      </c>
      <c r="H3142">
        <f>VLOOKUP(D3142,Товары!A:I,6,0)</f>
        <v>85</v>
      </c>
      <c r="I3142" t="str">
        <f>VLOOKUP(C3142,Магазины!A:C,3,0)</f>
        <v>Оренбург</v>
      </c>
      <c r="J3142">
        <f>VLOOKUP(D3142,Товары!A:I,4,0)</f>
        <v>28695</v>
      </c>
      <c r="K3142">
        <f t="shared" si="49"/>
        <v>28695</v>
      </c>
    </row>
    <row r="3143" spans="1:11" hidden="1" x14ac:dyDescent="0.25">
      <c r="A3143">
        <v>3142</v>
      </c>
      <c r="B3143" s="1">
        <v>45749</v>
      </c>
      <c r="C3143" t="s">
        <v>54</v>
      </c>
      <c r="D3143" t="s">
        <v>61</v>
      </c>
      <c r="E3143" t="s">
        <v>13</v>
      </c>
      <c r="F3143">
        <v>1</v>
      </c>
      <c r="G3143" t="str">
        <f>VLOOKUP(D3143,Товары!A:I,3,0)</f>
        <v>Тумба под стиральную машину Леон Риф 57 напольная 2 ящика под ст/маш, без умывальника /под Marshall 120 Солярис/Белый Риф</v>
      </c>
      <c r="H3143">
        <f>VLOOKUP(D3143,Товары!A:I,6,0)</f>
        <v>85</v>
      </c>
      <c r="I3143" t="str">
        <f>VLOOKUP(C3143,Магазины!A:C,3,0)</f>
        <v>Ставрополь</v>
      </c>
      <c r="J3143">
        <f>VLOOKUP(D3143,Товары!A:I,4,0)</f>
        <v>17430</v>
      </c>
      <c r="K3143">
        <f t="shared" si="49"/>
        <v>17430</v>
      </c>
    </row>
    <row r="3144" spans="1:11" hidden="1" x14ac:dyDescent="0.25">
      <c r="A3144">
        <v>3143</v>
      </c>
      <c r="B3144" s="1">
        <v>45757</v>
      </c>
      <c r="C3144" t="s">
        <v>92</v>
      </c>
      <c r="D3144" t="s">
        <v>129</v>
      </c>
      <c r="E3144" t="s">
        <v>13</v>
      </c>
      <c r="F3144">
        <v>2</v>
      </c>
      <c r="G3144" t="str">
        <f>VLOOKUP(D3144,Товары!A:I,3,0)</f>
        <v>Тумба с раковиной  напол. Альба 700 антрацит 2 ящика с умыв. Слим</v>
      </c>
      <c r="H3144">
        <f>VLOOKUP(D3144,Товары!A:I,6,0)</f>
        <v>85</v>
      </c>
      <c r="I3144" t="str">
        <f>VLOOKUP(C3144,Магазины!A:C,3,0)</f>
        <v>Кемерово</v>
      </c>
      <c r="J3144">
        <f>VLOOKUP(D3144,Товары!A:I,4,0)</f>
        <v>28695</v>
      </c>
      <c r="K3144">
        <f t="shared" si="49"/>
        <v>57390</v>
      </c>
    </row>
    <row r="3145" spans="1:11" hidden="1" x14ac:dyDescent="0.25">
      <c r="A3145">
        <v>3144</v>
      </c>
      <c r="B3145" s="1">
        <v>45753</v>
      </c>
      <c r="C3145" t="s">
        <v>43</v>
      </c>
      <c r="D3145" t="s">
        <v>80</v>
      </c>
      <c r="E3145" t="s">
        <v>8</v>
      </c>
      <c r="F3145">
        <v>1</v>
      </c>
      <c r="G3145" t="str">
        <f>VLOOKUP(D3145,Товары!A:I,3,0)</f>
        <v>Тумба с раковиной  навес. Сохо 600 белый 2 ящика с умыв. Океан</v>
      </c>
      <c r="H3145">
        <f>VLOOKUP(D3145,Товары!A:I,6,0)</f>
        <v>55</v>
      </c>
      <c r="I3145" t="str">
        <f>VLOOKUP(C3145,Магазины!A:C,3,0)</f>
        <v>Набережные Челны</v>
      </c>
      <c r="J3145">
        <f>VLOOKUP(D3145,Товары!A:I,4,0)</f>
        <v>13950</v>
      </c>
      <c r="K3145">
        <f t="shared" si="49"/>
        <v>13950</v>
      </c>
    </row>
    <row r="3146" spans="1:11" hidden="1" x14ac:dyDescent="0.25">
      <c r="A3146">
        <v>3145</v>
      </c>
      <c r="B3146" s="1">
        <v>45753</v>
      </c>
      <c r="C3146" t="s">
        <v>92</v>
      </c>
      <c r="D3146" t="s">
        <v>56</v>
      </c>
      <c r="E3146" t="s">
        <v>13</v>
      </c>
      <c r="F3146">
        <v>1</v>
      </c>
      <c r="G3146" t="str">
        <f>VLOOKUP(D3146,Товары!A:I,3,0)</f>
        <v>Зеркальный шкаф Альба 80 со светильником правый цвет мята</v>
      </c>
      <c r="H3146">
        <f>VLOOKUP(D3146,Товары!A:I,6,0)</f>
        <v>75</v>
      </c>
      <c r="I3146" t="str">
        <f>VLOOKUP(C3146,Магазины!A:C,3,0)</f>
        <v>Кемерово</v>
      </c>
      <c r="J3146">
        <f>VLOOKUP(D3146,Товары!A:I,4,0)</f>
        <v>9930</v>
      </c>
      <c r="K3146">
        <f t="shared" si="49"/>
        <v>9930</v>
      </c>
    </row>
    <row r="3147" spans="1:11" hidden="1" x14ac:dyDescent="0.25">
      <c r="A3147">
        <v>3146</v>
      </c>
      <c r="B3147" s="1">
        <v>45749</v>
      </c>
      <c r="C3147" t="s">
        <v>18</v>
      </c>
      <c r="D3147" t="s">
        <v>27</v>
      </c>
      <c r="E3147" t="s">
        <v>8</v>
      </c>
      <c r="F3147">
        <v>2</v>
      </c>
      <c r="G3147" t="str">
        <f>VLOOKUP(D3147,Товары!A:I,3,0)</f>
        <v>Тумба с раковиной  навес. Виктория 800 белый 2 ящика с умыв. Слим</v>
      </c>
      <c r="H3147">
        <f>VLOOKUP(D3147,Товары!A:I,6,0)</f>
        <v>60</v>
      </c>
      <c r="I3147" t="str">
        <f>VLOOKUP(C3147,Магазины!A:C,3,0)</f>
        <v>Набережные Челны</v>
      </c>
      <c r="J3147">
        <f>VLOOKUP(D3147,Товары!A:I,4,0)</f>
        <v>25290</v>
      </c>
      <c r="K3147">
        <f t="shared" si="49"/>
        <v>50580</v>
      </c>
    </row>
    <row r="3148" spans="1:11" hidden="1" x14ac:dyDescent="0.25">
      <c r="A3148">
        <v>3147</v>
      </c>
      <c r="B3148" s="1">
        <v>45757</v>
      </c>
      <c r="C3148" t="s">
        <v>92</v>
      </c>
      <c r="D3148" t="s">
        <v>126</v>
      </c>
      <c r="E3148" t="s">
        <v>8</v>
      </c>
      <c r="F3148">
        <v>1</v>
      </c>
      <c r="G3148" t="str">
        <f>VLOOKUP(D3148,Товары!A:I,3,0)</f>
        <v>Тумба с раковиной  напол. Кристалл 800 шато азур 2 ящика с умыв. Комфорт</v>
      </c>
      <c r="H3148">
        <f>VLOOKUP(D3148,Товары!A:I,6,0)</f>
        <v>85</v>
      </c>
      <c r="I3148" t="str">
        <f>VLOOKUP(C3148,Магазины!A:C,3,0)</f>
        <v>Кемерово</v>
      </c>
      <c r="J3148">
        <f>VLOOKUP(D3148,Товары!A:I,4,0)</f>
        <v>31125</v>
      </c>
      <c r="K3148">
        <f t="shared" si="49"/>
        <v>31125</v>
      </c>
    </row>
    <row r="3149" spans="1:11" hidden="1" x14ac:dyDescent="0.25">
      <c r="A3149">
        <v>3148</v>
      </c>
      <c r="B3149" s="1">
        <v>45756</v>
      </c>
      <c r="C3149" t="s">
        <v>16</v>
      </c>
      <c r="D3149" t="s">
        <v>45</v>
      </c>
      <c r="E3149" t="s">
        <v>8</v>
      </c>
      <c r="F3149">
        <v>1</v>
      </c>
      <c r="G3149" t="str">
        <f>VLOOKUP(D3149,Товары!A:I,3,0)</f>
        <v>Зеркальный шкаф Рица 80 со светильником правый цвет cерый/керамика</v>
      </c>
      <c r="H3149">
        <f>VLOOKUP(D3149,Товары!A:I,6,0)</f>
        <v>75</v>
      </c>
      <c r="I3149" t="str">
        <f>VLOOKUP(C3149,Магазины!A:C,3,0)</f>
        <v>Оренбург</v>
      </c>
      <c r="J3149">
        <f>VLOOKUP(D3149,Товары!A:I,4,0)</f>
        <v>9930</v>
      </c>
      <c r="K3149">
        <f t="shared" si="49"/>
        <v>9930</v>
      </c>
    </row>
    <row r="3150" spans="1:11" hidden="1" x14ac:dyDescent="0.25">
      <c r="A3150">
        <v>3149</v>
      </c>
      <c r="B3150" s="1">
        <v>45756</v>
      </c>
      <c r="C3150" t="s">
        <v>6</v>
      </c>
      <c r="D3150" t="s">
        <v>7</v>
      </c>
      <c r="E3150" t="s">
        <v>8</v>
      </c>
      <c r="F3150">
        <v>3</v>
      </c>
      <c r="G3150" t="str">
        <f>VLOOKUP(D3150,Товары!A:I,3,0)</f>
        <v>Пенал напол. Леон Риф 400 солярис/белый риф 2 двери + 1 ящик</v>
      </c>
      <c r="H3150">
        <f>VLOOKUP(D3150,Товары!A:I,6,0)</f>
        <v>190</v>
      </c>
      <c r="I3150" t="str">
        <f>VLOOKUP(C3150,Магазины!A:C,3,0)</f>
        <v>Оренбург</v>
      </c>
      <c r="J3150">
        <f>VLOOKUP(D3150,Товары!A:I,4,0)</f>
        <v>14490</v>
      </c>
      <c r="K3150">
        <f t="shared" si="49"/>
        <v>43470</v>
      </c>
    </row>
    <row r="3151" spans="1:11" hidden="1" x14ac:dyDescent="0.25">
      <c r="A3151">
        <v>3150</v>
      </c>
      <c r="B3151" s="1">
        <v>45753</v>
      </c>
      <c r="C3151" t="s">
        <v>48</v>
      </c>
      <c r="D3151" t="s">
        <v>99</v>
      </c>
      <c r="E3151" t="s">
        <v>13</v>
      </c>
      <c r="F3151">
        <v>3</v>
      </c>
      <c r="G3151" t="str">
        <f>VLOOKUP(D3151,Товары!A:I,3,0)</f>
        <v>Тумба с раковиной  навес. Леон 600 оникс 2 ящика с умыв. Слим</v>
      </c>
      <c r="H3151">
        <f>VLOOKUP(D3151,Товары!A:I,6,0)</f>
        <v>60</v>
      </c>
      <c r="I3151" t="str">
        <f>VLOOKUP(C3151,Магазины!A:C,3,0)</f>
        <v>Ставрополь</v>
      </c>
      <c r="J3151">
        <f>VLOOKUP(D3151,Товары!A:I,4,0)</f>
        <v>25125</v>
      </c>
      <c r="K3151">
        <f t="shared" si="49"/>
        <v>75375</v>
      </c>
    </row>
    <row r="3152" spans="1:11" hidden="1" x14ac:dyDescent="0.25">
      <c r="A3152">
        <v>3151</v>
      </c>
      <c r="B3152" s="1">
        <v>45756</v>
      </c>
      <c r="C3152" t="s">
        <v>28</v>
      </c>
      <c r="D3152" t="s">
        <v>45</v>
      </c>
      <c r="E3152" t="s">
        <v>8</v>
      </c>
      <c r="F3152">
        <v>3</v>
      </c>
      <c r="G3152" t="str">
        <f>VLOOKUP(D3152,Товары!A:I,3,0)</f>
        <v>Зеркальный шкаф Рица 80 со светильником правый цвет cерый/керамика</v>
      </c>
      <c r="H3152">
        <f>VLOOKUP(D3152,Товары!A:I,6,0)</f>
        <v>75</v>
      </c>
      <c r="I3152" t="str">
        <f>VLOOKUP(C3152,Магазины!A:C,3,0)</f>
        <v>Набережные Челны</v>
      </c>
      <c r="J3152">
        <f>VLOOKUP(D3152,Товары!A:I,4,0)</f>
        <v>9930</v>
      </c>
      <c r="K3152">
        <f t="shared" si="49"/>
        <v>29790</v>
      </c>
    </row>
    <row r="3153" spans="1:11" hidden="1" x14ac:dyDescent="0.25">
      <c r="A3153">
        <v>3152</v>
      </c>
      <c r="B3153" s="1">
        <v>45755</v>
      </c>
      <c r="C3153" t="s">
        <v>58</v>
      </c>
      <c r="D3153" t="s">
        <v>115</v>
      </c>
      <c r="E3153" t="s">
        <v>13</v>
      </c>
      <c r="F3153">
        <v>3</v>
      </c>
      <c r="G3153" t="str">
        <f>VLOOKUP(D3153,Товары!A:I,3,0)</f>
        <v>Тумба под стиральную машину Куба Риф 57 напольная 2 ящика под ст/маш, без умывальника /под Marshall 120 Белый</v>
      </c>
      <c r="H3153">
        <f>VLOOKUP(D3153,Товары!A:I,6,0)</f>
        <v>85</v>
      </c>
      <c r="I3153" t="str">
        <f>VLOOKUP(C3153,Магазины!A:C,3,0)</f>
        <v>Ставрополь</v>
      </c>
      <c r="J3153">
        <f>VLOOKUP(D3153,Товары!A:I,4,0)</f>
        <v>10530</v>
      </c>
      <c r="K3153">
        <f t="shared" si="49"/>
        <v>31590</v>
      </c>
    </row>
    <row r="3154" spans="1:11" hidden="1" x14ac:dyDescent="0.25">
      <c r="A3154">
        <v>3153</v>
      </c>
      <c r="B3154" s="1">
        <v>45751</v>
      </c>
      <c r="C3154" t="s">
        <v>6</v>
      </c>
      <c r="D3154" t="s">
        <v>45</v>
      </c>
      <c r="E3154" t="s">
        <v>8</v>
      </c>
      <c r="F3154">
        <v>1</v>
      </c>
      <c r="G3154" t="str">
        <f>VLOOKUP(D3154,Товары!A:I,3,0)</f>
        <v>Зеркальный шкаф Рица 80 со светильником правый цвет cерый/керамика</v>
      </c>
      <c r="H3154">
        <f>VLOOKUP(D3154,Товары!A:I,6,0)</f>
        <v>75</v>
      </c>
      <c r="I3154" t="str">
        <f>VLOOKUP(C3154,Магазины!A:C,3,0)</f>
        <v>Оренбург</v>
      </c>
      <c r="J3154">
        <f>VLOOKUP(D3154,Товары!A:I,4,0)</f>
        <v>9930</v>
      </c>
      <c r="K3154">
        <f t="shared" si="49"/>
        <v>9930</v>
      </c>
    </row>
    <row r="3155" spans="1:11" hidden="1" x14ac:dyDescent="0.25">
      <c r="A3155">
        <v>3154</v>
      </c>
      <c r="B3155" s="1">
        <v>45756</v>
      </c>
      <c r="C3155" t="s">
        <v>6</v>
      </c>
      <c r="D3155" t="s">
        <v>51</v>
      </c>
      <c r="E3155" t="s">
        <v>13</v>
      </c>
      <c r="F3155">
        <v>3</v>
      </c>
      <c r="G3155" t="str">
        <f>VLOOKUP(D3155,Товары!A:I,3,0)</f>
        <v>Зеркальный шкаф Альба 80 со светильником правый цвет суфле</v>
      </c>
      <c r="H3155">
        <f>VLOOKUP(D3155,Товары!A:I,6,0)</f>
        <v>75</v>
      </c>
      <c r="I3155" t="str">
        <f>VLOOKUP(C3155,Магазины!A:C,3,0)</f>
        <v>Оренбург</v>
      </c>
      <c r="J3155">
        <f>VLOOKUP(D3155,Товары!A:I,4,0)</f>
        <v>9930</v>
      </c>
      <c r="K3155">
        <f t="shared" si="49"/>
        <v>29790</v>
      </c>
    </row>
    <row r="3156" spans="1:11" hidden="1" x14ac:dyDescent="0.25">
      <c r="A3156">
        <v>3155</v>
      </c>
      <c r="B3156" s="1">
        <v>45752</v>
      </c>
      <c r="C3156" t="s">
        <v>63</v>
      </c>
      <c r="D3156" t="s">
        <v>65</v>
      </c>
      <c r="E3156" t="s">
        <v>13</v>
      </c>
      <c r="F3156">
        <v>3</v>
      </c>
      <c r="G3156" t="str">
        <f>VLOOKUP(D3156,Товары!A:I,3,0)</f>
        <v>Тумба с раковиной  навес. Альба 800 суфле 2 ящика с умыв. Слим</v>
      </c>
      <c r="H3156">
        <f>VLOOKUP(D3156,Товары!A:I,6,0)</f>
        <v>50</v>
      </c>
      <c r="I3156" t="str">
        <f>VLOOKUP(C3156,Магазины!A:C,3,0)</f>
        <v>Ставрополь</v>
      </c>
      <c r="J3156">
        <f>VLOOKUP(D3156,Товары!A:I,4,0)</f>
        <v>26070</v>
      </c>
      <c r="K3156">
        <f t="shared" si="49"/>
        <v>78210</v>
      </c>
    </row>
    <row r="3157" spans="1:11" hidden="1" x14ac:dyDescent="0.25">
      <c r="A3157">
        <v>3156</v>
      </c>
      <c r="B3157" s="1">
        <v>45757</v>
      </c>
      <c r="C3157" t="s">
        <v>22</v>
      </c>
      <c r="D3157" t="s">
        <v>62</v>
      </c>
      <c r="E3157" t="s">
        <v>13</v>
      </c>
      <c r="F3157">
        <v>1</v>
      </c>
      <c r="G3157" t="str">
        <f>VLOOKUP(D3157,Товары!A:I,3,0)</f>
        <v>Тумба с раковиной  напол. Альба 600 мята 2 ящика с умыв. Океан</v>
      </c>
      <c r="H3157">
        <f>VLOOKUP(D3157,Товары!A:I,6,0)</f>
        <v>80</v>
      </c>
      <c r="I3157" t="str">
        <f>VLOOKUP(C3157,Магазины!A:C,3,0)</f>
        <v>Кемерово</v>
      </c>
      <c r="J3157">
        <f>VLOOKUP(D3157,Товары!A:I,4,0)</f>
        <v>26370</v>
      </c>
      <c r="K3157">
        <f t="shared" si="49"/>
        <v>26370</v>
      </c>
    </row>
    <row r="3158" spans="1:11" hidden="1" x14ac:dyDescent="0.25">
      <c r="A3158">
        <v>3157</v>
      </c>
      <c r="B3158" s="1">
        <v>45754</v>
      </c>
      <c r="C3158" t="s">
        <v>58</v>
      </c>
      <c r="D3158" t="s">
        <v>38</v>
      </c>
      <c r="E3158" t="s">
        <v>8</v>
      </c>
      <c r="F3158">
        <v>1</v>
      </c>
      <c r="G3158" t="str">
        <f>VLOOKUP(D3158,Товары!A:I,3,0)</f>
        <v>Тумба с раковиной  навес. Куба Риф 600 белый 2 ящика с умыв. Como</v>
      </c>
      <c r="H3158">
        <f>VLOOKUP(D3158,Товары!A:I,6,0)</f>
        <v>55</v>
      </c>
      <c r="I3158" t="str">
        <f>VLOOKUP(C3158,Магазины!A:C,3,0)</f>
        <v>Ставрополь</v>
      </c>
      <c r="J3158">
        <f>VLOOKUP(D3158,Товары!A:I,4,0)</f>
        <v>14265</v>
      </c>
      <c r="K3158">
        <f t="shared" si="49"/>
        <v>14265</v>
      </c>
    </row>
    <row r="3159" spans="1:11" hidden="1" x14ac:dyDescent="0.25">
      <c r="A3159">
        <v>3158</v>
      </c>
      <c r="B3159" s="1">
        <v>45750</v>
      </c>
      <c r="C3159" t="s">
        <v>30</v>
      </c>
      <c r="D3159" t="s">
        <v>109</v>
      </c>
      <c r="E3159" t="s">
        <v>13</v>
      </c>
      <c r="F3159">
        <v>1</v>
      </c>
      <c r="G3159" t="str">
        <f>VLOOKUP(D3159,Товары!A:I,3,0)</f>
        <v>Тумба с раковиной  навес. Альба 600 антрацит 2 ящика с умыв. Океан</v>
      </c>
      <c r="H3159">
        <f>VLOOKUP(D3159,Товары!A:I,6,0)</f>
        <v>50</v>
      </c>
      <c r="I3159" t="str">
        <f>VLOOKUP(C3159,Магазины!A:C,3,0)</f>
        <v>Кемерово</v>
      </c>
      <c r="J3159">
        <f>VLOOKUP(D3159,Товары!A:I,4,0)</f>
        <v>24810</v>
      </c>
      <c r="K3159">
        <f t="shared" si="49"/>
        <v>24810</v>
      </c>
    </row>
    <row r="3160" spans="1:11" hidden="1" x14ac:dyDescent="0.25">
      <c r="A3160">
        <v>3159</v>
      </c>
      <c r="B3160" s="1">
        <v>45750</v>
      </c>
      <c r="C3160" t="s">
        <v>11</v>
      </c>
      <c r="D3160" t="s">
        <v>23</v>
      </c>
      <c r="E3160" t="s">
        <v>13</v>
      </c>
      <c r="F3160">
        <v>2</v>
      </c>
      <c r="G3160" t="str">
        <f>VLOOKUP(D3160,Товары!A:I,3,0)</f>
        <v>Тумба с раковиной  напол. Альба 800 антрацит 2 ящика с умыв. Слим</v>
      </c>
      <c r="H3160">
        <f>VLOOKUP(D3160,Товары!A:I,6,0)</f>
        <v>80</v>
      </c>
      <c r="I3160" t="str">
        <f>VLOOKUP(C3160,Магазины!A:C,3,0)</f>
        <v>Кемерово</v>
      </c>
      <c r="J3160">
        <f>VLOOKUP(D3160,Товары!A:I,4,0)</f>
        <v>29340</v>
      </c>
      <c r="K3160">
        <f t="shared" si="49"/>
        <v>58680</v>
      </c>
    </row>
    <row r="3161" spans="1:11" hidden="1" x14ac:dyDescent="0.25">
      <c r="A3161">
        <v>3160</v>
      </c>
      <c r="B3161" s="1">
        <v>45751</v>
      </c>
      <c r="C3161" t="s">
        <v>22</v>
      </c>
      <c r="D3161" t="s">
        <v>83</v>
      </c>
      <c r="E3161" t="s">
        <v>13</v>
      </c>
      <c r="F3161">
        <v>3</v>
      </c>
      <c r="G3161" t="str">
        <f>VLOOKUP(D3161,Товары!A:I,3,0)</f>
        <v>Зеркальный шкаф Альба 60 со светильником правый цвет суфле</v>
      </c>
      <c r="H3161">
        <f>VLOOKUP(D3161,Товары!A:I,6,0)</f>
        <v>75</v>
      </c>
      <c r="I3161" t="str">
        <f>VLOOKUP(C3161,Магазины!A:C,3,0)</f>
        <v>Кемерово</v>
      </c>
      <c r="J3161">
        <f>VLOOKUP(D3161,Товары!A:I,4,0)</f>
        <v>8910</v>
      </c>
      <c r="K3161">
        <f t="shared" si="49"/>
        <v>26730</v>
      </c>
    </row>
    <row r="3162" spans="1:11" hidden="1" x14ac:dyDescent="0.25">
      <c r="A3162">
        <v>3161</v>
      </c>
      <c r="B3162" s="1">
        <v>45754</v>
      </c>
      <c r="C3162" t="s">
        <v>33</v>
      </c>
      <c r="D3162" t="s">
        <v>127</v>
      </c>
      <c r="E3162" t="s">
        <v>8</v>
      </c>
      <c r="F3162">
        <v>2</v>
      </c>
      <c r="G3162" t="str">
        <f>VLOOKUP(D3162,Товары!A:I,3,0)</f>
        <v>Тумба с раковиной  навес. Альба 700 мята 1 ящик с умыв. Слим</v>
      </c>
      <c r="H3162">
        <f>VLOOKUP(D3162,Товары!A:I,6,0)</f>
        <v>45</v>
      </c>
      <c r="I3162" t="str">
        <f>VLOOKUP(C3162,Магазины!A:C,3,0)</f>
        <v>Набережные Челны</v>
      </c>
      <c r="J3162">
        <f>VLOOKUP(D3162,Товары!A:I,4,0)</f>
        <v>20130</v>
      </c>
      <c r="K3162">
        <f t="shared" si="49"/>
        <v>40260</v>
      </c>
    </row>
    <row r="3163" spans="1:11" hidden="1" x14ac:dyDescent="0.25">
      <c r="A3163">
        <v>3162</v>
      </c>
      <c r="B3163" s="1">
        <v>45749</v>
      </c>
      <c r="C3163" t="s">
        <v>63</v>
      </c>
      <c r="D3163" t="s">
        <v>114</v>
      </c>
      <c r="E3163" t="s">
        <v>8</v>
      </c>
      <c r="F3163">
        <v>3</v>
      </c>
      <c r="G3163" t="str">
        <f>VLOOKUP(D3163,Товары!A:I,3,0)</f>
        <v>Тумба с раковиной  навес. Альба 700 мята 2 ящика с умыв. Слим</v>
      </c>
      <c r="H3163">
        <f>VLOOKUP(D3163,Товары!A:I,6,0)</f>
        <v>60</v>
      </c>
      <c r="I3163" t="str">
        <f>VLOOKUP(C3163,Магазины!A:C,3,0)</f>
        <v>Ставрополь</v>
      </c>
      <c r="J3163">
        <f>VLOOKUP(D3163,Товары!A:I,4,0)</f>
        <v>25095</v>
      </c>
      <c r="K3163">
        <f t="shared" si="49"/>
        <v>75285</v>
      </c>
    </row>
    <row r="3164" spans="1:11" hidden="1" x14ac:dyDescent="0.25">
      <c r="A3164">
        <v>3163</v>
      </c>
      <c r="B3164" s="1">
        <v>45750</v>
      </c>
      <c r="C3164" t="s">
        <v>18</v>
      </c>
      <c r="D3164" t="s">
        <v>94</v>
      </c>
      <c r="E3164" t="s">
        <v>8</v>
      </c>
      <c r="F3164">
        <v>2</v>
      </c>
      <c r="G3164" t="str">
        <f>VLOOKUP(D3164,Товары!A:I,3,0)</f>
        <v>Зеркальный шкаф Альба 80 со светильником правый цвет антрацит</v>
      </c>
      <c r="H3164">
        <f>VLOOKUP(D3164,Товары!A:I,6,0)</f>
        <v>75</v>
      </c>
      <c r="I3164" t="str">
        <f>VLOOKUP(C3164,Магазины!A:C,3,0)</f>
        <v>Набережные Челны</v>
      </c>
      <c r="J3164">
        <f>VLOOKUP(D3164,Товары!A:I,4,0)</f>
        <v>9930</v>
      </c>
      <c r="K3164">
        <f t="shared" si="49"/>
        <v>19860</v>
      </c>
    </row>
    <row r="3165" spans="1:11" hidden="1" x14ac:dyDescent="0.25">
      <c r="A3165">
        <v>3164</v>
      </c>
      <c r="B3165" s="1">
        <v>45756</v>
      </c>
      <c r="C3165" t="s">
        <v>103</v>
      </c>
      <c r="D3165" t="s">
        <v>36</v>
      </c>
      <c r="E3165" t="s">
        <v>13</v>
      </c>
      <c r="F3165">
        <v>2</v>
      </c>
      <c r="G3165" t="str">
        <f>VLOOKUP(D3165,Товары!A:I,3,0)</f>
        <v>Тумба с раковиной  напол. Альба 800 мята 2 ящика с умыв. Слим</v>
      </c>
      <c r="H3165">
        <f>VLOOKUP(D3165,Товары!A:I,6,0)</f>
        <v>80</v>
      </c>
      <c r="I3165" t="str">
        <f>VLOOKUP(C3165,Магазины!A:C,3,0)</f>
        <v>Ставрополь</v>
      </c>
      <c r="J3165">
        <f>VLOOKUP(D3165,Товары!A:I,4,0)</f>
        <v>29340</v>
      </c>
      <c r="K3165">
        <f t="shared" si="49"/>
        <v>58680</v>
      </c>
    </row>
    <row r="3166" spans="1:11" hidden="1" x14ac:dyDescent="0.25">
      <c r="A3166">
        <v>3165</v>
      </c>
      <c r="B3166" s="1">
        <v>45755</v>
      </c>
      <c r="C3166" t="s">
        <v>26</v>
      </c>
      <c r="D3166" t="s">
        <v>44</v>
      </c>
      <c r="E3166" t="s">
        <v>8</v>
      </c>
      <c r="F3166">
        <v>1</v>
      </c>
      <c r="G3166" t="str">
        <f>VLOOKUP(D3166,Товары!A:I,3,0)</f>
        <v>Тумба с раковиной  навес. Кристалл 800 шато азур 2 ящика с умыв. Комфорт</v>
      </c>
      <c r="H3166">
        <f>VLOOKUP(D3166,Товары!A:I,6,0)</f>
        <v>55</v>
      </c>
      <c r="I3166" t="str">
        <f>VLOOKUP(C3166,Магазины!A:C,3,0)</f>
        <v>Оренбург</v>
      </c>
      <c r="J3166">
        <f>VLOOKUP(D3166,Товары!A:I,4,0)</f>
        <v>25080</v>
      </c>
      <c r="K3166">
        <f t="shared" si="49"/>
        <v>25080</v>
      </c>
    </row>
    <row r="3167" spans="1:11" hidden="1" x14ac:dyDescent="0.25">
      <c r="A3167">
        <v>3166</v>
      </c>
      <c r="B3167" s="1">
        <v>45748</v>
      </c>
      <c r="C3167" t="s">
        <v>35</v>
      </c>
      <c r="D3167" t="s">
        <v>25</v>
      </c>
      <c r="E3167" t="s">
        <v>13</v>
      </c>
      <c r="F3167">
        <v>3</v>
      </c>
      <c r="G3167" t="str">
        <f>VLOOKUP(D3167,Товары!A:I,3,0)</f>
        <v>Пенал напол. Леон 400 оникс 2 двери + 1 ящик</v>
      </c>
      <c r="H3167">
        <f>VLOOKUP(D3167,Товары!A:I,6,0)</f>
        <v>190</v>
      </c>
      <c r="I3167" t="str">
        <f>VLOOKUP(C3167,Магазины!A:C,3,0)</f>
        <v>Набережные Челны</v>
      </c>
      <c r="J3167">
        <f>VLOOKUP(D3167,Товары!A:I,4,0)</f>
        <v>18450</v>
      </c>
      <c r="K3167">
        <f t="shared" si="49"/>
        <v>55350</v>
      </c>
    </row>
    <row r="3168" spans="1:11" hidden="1" x14ac:dyDescent="0.25">
      <c r="A3168">
        <v>3167</v>
      </c>
      <c r="B3168" s="1">
        <v>45749</v>
      </c>
      <c r="C3168" t="s">
        <v>22</v>
      </c>
      <c r="D3168" t="s">
        <v>102</v>
      </c>
      <c r="E3168" t="s">
        <v>8</v>
      </c>
      <c r="F3168">
        <v>1</v>
      </c>
      <c r="G3168" t="str">
        <f>VLOOKUP(D3168,Товары!A:I,3,0)</f>
        <v>Тумба с раковиной  напол. Леон Риф 1000 солярис/белый риф 2 ящика с умыв. Слим</v>
      </c>
      <c r="H3168">
        <f>VLOOKUP(D3168,Товары!A:I,6,0)</f>
        <v>85</v>
      </c>
      <c r="I3168" t="str">
        <f>VLOOKUP(C3168,Магазины!A:C,3,0)</f>
        <v>Кемерово</v>
      </c>
      <c r="J3168">
        <f>VLOOKUP(D3168,Товары!A:I,4,0)</f>
        <v>32085</v>
      </c>
      <c r="K3168">
        <f t="shared" si="49"/>
        <v>32085</v>
      </c>
    </row>
    <row r="3169" spans="1:11" hidden="1" x14ac:dyDescent="0.25">
      <c r="A3169">
        <v>3168</v>
      </c>
      <c r="B3169" s="1">
        <v>45754</v>
      </c>
      <c r="C3169" t="s">
        <v>33</v>
      </c>
      <c r="D3169" t="s">
        <v>45</v>
      </c>
      <c r="E3169" t="s">
        <v>13</v>
      </c>
      <c r="F3169">
        <v>3</v>
      </c>
      <c r="G3169" t="str">
        <f>VLOOKUP(D3169,Товары!A:I,3,0)</f>
        <v>Зеркальный шкаф Рица 80 со светильником правый цвет cерый/керамика</v>
      </c>
      <c r="H3169">
        <f>VLOOKUP(D3169,Товары!A:I,6,0)</f>
        <v>75</v>
      </c>
      <c r="I3169" t="str">
        <f>VLOOKUP(C3169,Магазины!A:C,3,0)</f>
        <v>Набережные Челны</v>
      </c>
      <c r="J3169">
        <f>VLOOKUP(D3169,Товары!A:I,4,0)</f>
        <v>9930</v>
      </c>
      <c r="K3169">
        <f t="shared" si="49"/>
        <v>29790</v>
      </c>
    </row>
    <row r="3170" spans="1:11" hidden="1" x14ac:dyDescent="0.25">
      <c r="A3170">
        <v>3169</v>
      </c>
      <c r="B3170" s="1">
        <v>45753</v>
      </c>
      <c r="C3170" t="s">
        <v>18</v>
      </c>
      <c r="D3170" t="s">
        <v>47</v>
      </c>
      <c r="E3170" t="s">
        <v>8</v>
      </c>
      <c r="F3170">
        <v>2</v>
      </c>
      <c r="G3170" t="str">
        <f>VLOOKUP(D3170,Товары!A:I,3,0)</f>
        <v>Пенал напол. Кристалл 350 шато азур 2 двери</v>
      </c>
      <c r="H3170">
        <f>VLOOKUP(D3170,Товары!A:I,6,0)</f>
        <v>190</v>
      </c>
      <c r="I3170" t="str">
        <f>VLOOKUP(C3170,Магазины!A:C,3,0)</f>
        <v>Набережные Челны</v>
      </c>
      <c r="J3170">
        <f>VLOOKUP(D3170,Товары!A:I,4,0)</f>
        <v>15810</v>
      </c>
      <c r="K3170">
        <f t="shared" si="49"/>
        <v>31620</v>
      </c>
    </row>
    <row r="3171" spans="1:11" hidden="1" x14ac:dyDescent="0.25">
      <c r="A3171">
        <v>3170</v>
      </c>
      <c r="B3171" s="1">
        <v>45749</v>
      </c>
      <c r="C3171" t="s">
        <v>111</v>
      </c>
      <c r="D3171" t="s">
        <v>120</v>
      </c>
      <c r="E3171" t="s">
        <v>13</v>
      </c>
      <c r="F3171">
        <v>2</v>
      </c>
      <c r="G3171" t="str">
        <f>VLOOKUP(D3171,Товары!A:I,3,0)</f>
        <v>Зеркальный шкаф Альба 60 со светильником правый цвет антрацит</v>
      </c>
      <c r="H3171">
        <f>VLOOKUP(D3171,Товары!A:I,6,0)</f>
        <v>75</v>
      </c>
      <c r="I3171" t="str">
        <f>VLOOKUP(C3171,Магазины!A:C,3,0)</f>
        <v>Набережные Челны</v>
      </c>
      <c r="J3171">
        <f>VLOOKUP(D3171,Товары!A:I,4,0)</f>
        <v>8910</v>
      </c>
      <c r="K3171">
        <f t="shared" si="49"/>
        <v>17820</v>
      </c>
    </row>
    <row r="3172" spans="1:11" hidden="1" x14ac:dyDescent="0.25">
      <c r="A3172">
        <v>3171</v>
      </c>
      <c r="B3172" s="1">
        <v>45756</v>
      </c>
      <c r="C3172" t="s">
        <v>22</v>
      </c>
      <c r="D3172" t="s">
        <v>109</v>
      </c>
      <c r="E3172" t="s">
        <v>13</v>
      </c>
      <c r="F3172">
        <v>1</v>
      </c>
      <c r="G3172" t="str">
        <f>VLOOKUP(D3172,Товары!A:I,3,0)</f>
        <v>Тумба с раковиной  навес. Альба 600 антрацит 2 ящика с умыв. Океан</v>
      </c>
      <c r="H3172">
        <f>VLOOKUP(D3172,Товары!A:I,6,0)</f>
        <v>50</v>
      </c>
      <c r="I3172" t="str">
        <f>VLOOKUP(C3172,Магазины!A:C,3,0)</f>
        <v>Кемерово</v>
      </c>
      <c r="J3172">
        <f>VLOOKUP(D3172,Товары!A:I,4,0)</f>
        <v>24810</v>
      </c>
      <c r="K3172">
        <f t="shared" si="49"/>
        <v>24810</v>
      </c>
    </row>
    <row r="3173" spans="1:11" hidden="1" x14ac:dyDescent="0.25">
      <c r="A3173">
        <v>3172</v>
      </c>
      <c r="B3173" s="1">
        <v>45757</v>
      </c>
      <c r="C3173" t="s">
        <v>41</v>
      </c>
      <c r="D3173" t="s">
        <v>40</v>
      </c>
      <c r="E3173" t="s">
        <v>8</v>
      </c>
      <c r="F3173">
        <v>2</v>
      </c>
      <c r="G3173" t="str">
        <f>VLOOKUP(D3173,Товары!A:I,3,0)</f>
        <v>Тумба с раковиной  навес. Рица 800 cерый/керамика 1 ящик + ниша 1 с умыв. Слим</v>
      </c>
      <c r="H3173">
        <f>VLOOKUP(D3173,Товары!A:I,6,0)</f>
        <v>60</v>
      </c>
      <c r="I3173" t="str">
        <f>VLOOKUP(C3173,Магазины!A:C,3,0)</f>
        <v>Ставрополь</v>
      </c>
      <c r="J3173">
        <f>VLOOKUP(D3173,Товары!A:I,4,0)</f>
        <v>22425</v>
      </c>
      <c r="K3173">
        <f t="shared" si="49"/>
        <v>44850</v>
      </c>
    </row>
    <row r="3174" spans="1:11" hidden="1" x14ac:dyDescent="0.25">
      <c r="A3174">
        <v>3173</v>
      </c>
      <c r="B3174" s="1">
        <v>45757</v>
      </c>
      <c r="C3174" t="s">
        <v>111</v>
      </c>
      <c r="D3174" t="s">
        <v>130</v>
      </c>
      <c r="E3174" t="s">
        <v>13</v>
      </c>
      <c r="F3174">
        <v>2</v>
      </c>
      <c r="G3174" t="str">
        <f>VLOOKUP(D3174,Товары!A:I,3,0)</f>
        <v>Пенал напол. Леон 400 форест 2 двери + 1 ящик</v>
      </c>
      <c r="H3174">
        <f>VLOOKUP(D3174,Товары!A:I,6,0)</f>
        <v>190</v>
      </c>
      <c r="I3174" t="str">
        <f>VLOOKUP(C3174,Магазины!A:C,3,0)</f>
        <v>Набережные Челны</v>
      </c>
      <c r="J3174">
        <f>VLOOKUP(D3174,Товары!A:I,4,0)</f>
        <v>18450</v>
      </c>
      <c r="K3174">
        <f t="shared" si="49"/>
        <v>36900</v>
      </c>
    </row>
    <row r="3175" spans="1:11" hidden="1" x14ac:dyDescent="0.25">
      <c r="A3175">
        <v>3174</v>
      </c>
      <c r="B3175" s="1">
        <v>45751</v>
      </c>
      <c r="C3175" t="s">
        <v>11</v>
      </c>
      <c r="D3175" t="s">
        <v>72</v>
      </c>
      <c r="E3175" t="s">
        <v>8</v>
      </c>
      <c r="F3175">
        <v>3</v>
      </c>
      <c r="G3175" t="str">
        <f>VLOOKUP(D3175,Товары!A:I,3,0)</f>
        <v>Тумба с раковиной  напол. Сохо 600 белый 2 ящика с умыв. Океан</v>
      </c>
      <c r="H3175">
        <f>VLOOKUP(D3175,Товары!A:I,6,0)</f>
        <v>85</v>
      </c>
      <c r="I3175" t="str">
        <f>VLOOKUP(C3175,Магазины!A:C,3,0)</f>
        <v>Кемерово</v>
      </c>
      <c r="J3175">
        <f>VLOOKUP(D3175,Товары!A:I,4,0)</f>
        <v>16140</v>
      </c>
      <c r="K3175">
        <f t="shared" si="49"/>
        <v>48420</v>
      </c>
    </row>
    <row r="3176" spans="1:11" hidden="1" x14ac:dyDescent="0.25">
      <c r="A3176">
        <v>3175</v>
      </c>
      <c r="B3176" s="1">
        <v>45750</v>
      </c>
      <c r="C3176" t="s">
        <v>33</v>
      </c>
      <c r="D3176" t="s">
        <v>67</v>
      </c>
      <c r="E3176" t="s">
        <v>8</v>
      </c>
      <c r="F3176">
        <v>2</v>
      </c>
      <c r="G3176" t="str">
        <f>VLOOKUP(D3176,Товары!A:I,3,0)</f>
        <v>Пенал навес./напол. Альба 350 суфле 2 двери</v>
      </c>
      <c r="H3176">
        <f>VLOOKUP(D3176,Товары!A:I,6,0)</f>
        <v>150</v>
      </c>
      <c r="I3176" t="str">
        <f>VLOOKUP(C3176,Магазины!A:C,3,0)</f>
        <v>Набережные Челны</v>
      </c>
      <c r="J3176">
        <f>VLOOKUP(D3176,Товары!A:I,4,0)</f>
        <v>11655</v>
      </c>
      <c r="K3176">
        <f t="shared" si="49"/>
        <v>23310</v>
      </c>
    </row>
    <row r="3177" spans="1:11" hidden="1" x14ac:dyDescent="0.25">
      <c r="A3177">
        <v>3176</v>
      </c>
      <c r="B3177" s="1">
        <v>45755</v>
      </c>
      <c r="C3177" t="s">
        <v>26</v>
      </c>
      <c r="D3177" t="s">
        <v>47</v>
      </c>
      <c r="E3177" t="s">
        <v>8</v>
      </c>
      <c r="F3177">
        <v>3</v>
      </c>
      <c r="G3177" t="str">
        <f>VLOOKUP(D3177,Товары!A:I,3,0)</f>
        <v>Пенал напол. Кристалл 350 шато азур 2 двери</v>
      </c>
      <c r="H3177">
        <f>VLOOKUP(D3177,Товары!A:I,6,0)</f>
        <v>190</v>
      </c>
      <c r="I3177" t="str">
        <f>VLOOKUP(C3177,Магазины!A:C,3,0)</f>
        <v>Оренбург</v>
      </c>
      <c r="J3177">
        <f>VLOOKUP(D3177,Товары!A:I,4,0)</f>
        <v>15810</v>
      </c>
      <c r="K3177">
        <f t="shared" si="49"/>
        <v>47430</v>
      </c>
    </row>
    <row r="3178" spans="1:11" hidden="1" x14ac:dyDescent="0.25">
      <c r="A3178">
        <v>3177</v>
      </c>
      <c r="B3178" s="1">
        <v>45752</v>
      </c>
      <c r="C3178" t="s">
        <v>43</v>
      </c>
      <c r="D3178" t="s">
        <v>93</v>
      </c>
      <c r="E3178" t="s">
        <v>13</v>
      </c>
      <c r="F3178">
        <v>1</v>
      </c>
      <c r="G3178" t="str">
        <f>VLOOKUP(D3178,Товары!A:I,3,0)</f>
        <v>Тумба с раковиной  напол. Леон Риф 800 солярис/белый риф 2 ящика с умыв. Слим</v>
      </c>
      <c r="H3178">
        <f>VLOOKUP(D3178,Товары!A:I,6,0)</f>
        <v>80</v>
      </c>
      <c r="I3178" t="str">
        <f>VLOOKUP(C3178,Магазины!A:C,3,0)</f>
        <v>Набережные Челны</v>
      </c>
      <c r="J3178">
        <f>VLOOKUP(D3178,Товары!A:I,4,0)</f>
        <v>29340</v>
      </c>
      <c r="K3178">
        <f t="shared" si="49"/>
        <v>29340</v>
      </c>
    </row>
    <row r="3179" spans="1:11" hidden="1" x14ac:dyDescent="0.25">
      <c r="A3179">
        <v>3178</v>
      </c>
      <c r="B3179" s="1">
        <v>45749</v>
      </c>
      <c r="C3179" t="s">
        <v>30</v>
      </c>
      <c r="D3179" t="s">
        <v>86</v>
      </c>
      <c r="E3179" t="s">
        <v>8</v>
      </c>
      <c r="F3179">
        <v>1</v>
      </c>
      <c r="G3179" t="str">
        <f>VLOOKUP(D3179,Товары!A:I,3,0)</f>
        <v>Комод Аква 50 напольный 1 ящик 2 двери белый</v>
      </c>
      <c r="H3179">
        <f>VLOOKUP(D3179,Товары!A:I,6,0)</f>
        <v>90</v>
      </c>
      <c r="I3179" t="str">
        <f>VLOOKUP(C3179,Магазины!A:C,3,0)</f>
        <v>Кемерово</v>
      </c>
      <c r="J3179">
        <f>VLOOKUP(D3179,Товары!A:I,4,0)</f>
        <v>7260</v>
      </c>
      <c r="K3179">
        <f t="shared" si="49"/>
        <v>7260</v>
      </c>
    </row>
    <row r="3180" spans="1:11" hidden="1" x14ac:dyDescent="0.25">
      <c r="A3180">
        <v>3179</v>
      </c>
      <c r="B3180" s="1">
        <v>45756</v>
      </c>
      <c r="C3180" t="s">
        <v>22</v>
      </c>
      <c r="D3180" t="s">
        <v>47</v>
      </c>
      <c r="E3180" t="s">
        <v>8</v>
      </c>
      <c r="F3180">
        <v>1</v>
      </c>
      <c r="G3180" t="str">
        <f>VLOOKUP(D3180,Товары!A:I,3,0)</f>
        <v>Пенал напол. Кристалл 350 шато азур 2 двери</v>
      </c>
      <c r="H3180">
        <f>VLOOKUP(D3180,Товары!A:I,6,0)</f>
        <v>190</v>
      </c>
      <c r="I3180" t="str">
        <f>VLOOKUP(C3180,Магазины!A:C,3,0)</f>
        <v>Кемерово</v>
      </c>
      <c r="J3180">
        <f>VLOOKUP(D3180,Товары!A:I,4,0)</f>
        <v>15810</v>
      </c>
      <c r="K3180">
        <f t="shared" si="49"/>
        <v>15810</v>
      </c>
    </row>
    <row r="3181" spans="1:11" hidden="1" x14ac:dyDescent="0.25">
      <c r="A3181">
        <v>3180</v>
      </c>
      <c r="B3181" s="1">
        <v>45755</v>
      </c>
      <c r="C3181" t="s">
        <v>9</v>
      </c>
      <c r="D3181" t="s">
        <v>129</v>
      </c>
      <c r="E3181" t="s">
        <v>8</v>
      </c>
      <c r="F3181">
        <v>2</v>
      </c>
      <c r="G3181" t="str">
        <f>VLOOKUP(D3181,Товары!A:I,3,0)</f>
        <v>Тумба с раковиной  напол. Альба 700 антрацит 2 ящика с умыв. Слим</v>
      </c>
      <c r="H3181">
        <f>VLOOKUP(D3181,Товары!A:I,6,0)</f>
        <v>85</v>
      </c>
      <c r="I3181" t="str">
        <f>VLOOKUP(C3181,Магазины!A:C,3,0)</f>
        <v>Кемерово</v>
      </c>
      <c r="J3181">
        <f>VLOOKUP(D3181,Товары!A:I,4,0)</f>
        <v>28695</v>
      </c>
      <c r="K3181">
        <f t="shared" si="49"/>
        <v>57390</v>
      </c>
    </row>
    <row r="3182" spans="1:11" hidden="1" x14ac:dyDescent="0.25">
      <c r="A3182">
        <v>3181</v>
      </c>
      <c r="B3182" s="1">
        <v>45751</v>
      </c>
      <c r="C3182" t="s">
        <v>63</v>
      </c>
      <c r="D3182" t="s">
        <v>114</v>
      </c>
      <c r="E3182" t="s">
        <v>8</v>
      </c>
      <c r="F3182">
        <v>3</v>
      </c>
      <c r="G3182" t="str">
        <f>VLOOKUP(D3182,Товары!A:I,3,0)</f>
        <v>Тумба с раковиной  навес. Альба 700 мята 2 ящика с умыв. Слим</v>
      </c>
      <c r="H3182">
        <f>VLOOKUP(D3182,Товары!A:I,6,0)</f>
        <v>60</v>
      </c>
      <c r="I3182" t="str">
        <f>VLOOKUP(C3182,Магазины!A:C,3,0)</f>
        <v>Ставрополь</v>
      </c>
      <c r="J3182">
        <f>VLOOKUP(D3182,Товары!A:I,4,0)</f>
        <v>25095</v>
      </c>
      <c r="K3182">
        <f t="shared" si="49"/>
        <v>75285</v>
      </c>
    </row>
    <row r="3183" spans="1:11" hidden="1" x14ac:dyDescent="0.25">
      <c r="A3183">
        <v>3182</v>
      </c>
      <c r="B3183" s="1">
        <v>45750</v>
      </c>
      <c r="C3183" t="s">
        <v>20</v>
      </c>
      <c r="D3183" t="s">
        <v>49</v>
      </c>
      <c r="E3183" t="s">
        <v>8</v>
      </c>
      <c r="F3183">
        <v>1</v>
      </c>
      <c r="G3183" t="str">
        <f>VLOOKUP(D3183,Товары!A:I,3,0)</f>
        <v>Тумба с раковиной  напол. Леон 700 оникс 2 ящика с умыв. Слим</v>
      </c>
      <c r="H3183">
        <f>VLOOKUP(D3183,Товары!A:I,6,0)</f>
        <v>80</v>
      </c>
      <c r="I3183" t="str">
        <f>VLOOKUP(C3183,Магазины!A:C,3,0)</f>
        <v>Оренбург</v>
      </c>
      <c r="J3183">
        <f>VLOOKUP(D3183,Товары!A:I,4,0)</f>
        <v>28380</v>
      </c>
      <c r="K3183">
        <f t="shared" si="49"/>
        <v>28380</v>
      </c>
    </row>
    <row r="3184" spans="1:11" hidden="1" x14ac:dyDescent="0.25">
      <c r="A3184">
        <v>3183</v>
      </c>
      <c r="B3184" s="1">
        <v>45753</v>
      </c>
      <c r="C3184" t="s">
        <v>92</v>
      </c>
      <c r="D3184" t="s">
        <v>118</v>
      </c>
      <c r="E3184" t="s">
        <v>8</v>
      </c>
      <c r="F3184">
        <v>2</v>
      </c>
      <c r="G3184" t="str">
        <f>VLOOKUP(D3184,Товары!A:I,3,0)</f>
        <v>Тумба с раковиной  напол. Сохо 800 белый 2 ящика с умыв. Слим</v>
      </c>
      <c r="H3184">
        <f>VLOOKUP(D3184,Товары!A:I,6,0)</f>
        <v>85</v>
      </c>
      <c r="I3184" t="str">
        <f>VLOOKUP(C3184,Магазины!A:C,3,0)</f>
        <v>Кемерово</v>
      </c>
      <c r="J3184">
        <f>VLOOKUP(D3184,Товары!A:I,4,0)</f>
        <v>19575</v>
      </c>
      <c r="K3184">
        <f t="shared" si="49"/>
        <v>39150</v>
      </c>
    </row>
    <row r="3185" spans="1:11" hidden="1" x14ac:dyDescent="0.25">
      <c r="A3185">
        <v>3184</v>
      </c>
      <c r="B3185" s="1">
        <v>45751</v>
      </c>
      <c r="C3185" t="s">
        <v>103</v>
      </c>
      <c r="D3185" t="s">
        <v>94</v>
      </c>
      <c r="E3185" t="s">
        <v>13</v>
      </c>
      <c r="F3185">
        <v>2</v>
      </c>
      <c r="G3185" t="str">
        <f>VLOOKUP(D3185,Товары!A:I,3,0)</f>
        <v>Зеркальный шкаф Альба 80 со светильником правый цвет антрацит</v>
      </c>
      <c r="H3185">
        <f>VLOOKUP(D3185,Товары!A:I,6,0)</f>
        <v>75</v>
      </c>
      <c r="I3185" t="str">
        <f>VLOOKUP(C3185,Магазины!A:C,3,0)</f>
        <v>Ставрополь</v>
      </c>
      <c r="J3185">
        <f>VLOOKUP(D3185,Товары!A:I,4,0)</f>
        <v>9930</v>
      </c>
      <c r="K3185">
        <f t="shared" si="49"/>
        <v>19860</v>
      </c>
    </row>
    <row r="3186" spans="1:11" hidden="1" x14ac:dyDescent="0.25">
      <c r="A3186">
        <v>3185</v>
      </c>
      <c r="B3186" s="1">
        <v>45751</v>
      </c>
      <c r="C3186" t="s">
        <v>48</v>
      </c>
      <c r="D3186" t="s">
        <v>107</v>
      </c>
      <c r="E3186" t="s">
        <v>13</v>
      </c>
      <c r="F3186">
        <v>1</v>
      </c>
      <c r="G3186" t="str">
        <f>VLOOKUP(D3186,Товары!A:I,3,0)</f>
        <v>Комод Аква 35 напольный 1 дверь белый правый</v>
      </c>
      <c r="H3186">
        <f>VLOOKUP(D3186,Товары!A:I,6,0)</f>
        <v>90</v>
      </c>
      <c r="I3186" t="str">
        <f>VLOOKUP(C3186,Магазины!A:C,3,0)</f>
        <v>Ставрополь</v>
      </c>
      <c r="J3186">
        <f>VLOOKUP(D3186,Товары!A:I,4,0)</f>
        <v>6705</v>
      </c>
      <c r="K3186">
        <f t="shared" si="49"/>
        <v>6705</v>
      </c>
    </row>
    <row r="3187" spans="1:11" hidden="1" x14ac:dyDescent="0.25">
      <c r="A3187">
        <v>3186</v>
      </c>
      <c r="B3187" s="1">
        <v>45752</v>
      </c>
      <c r="C3187" t="s">
        <v>33</v>
      </c>
      <c r="D3187" t="s">
        <v>38</v>
      </c>
      <c r="E3187" t="s">
        <v>8</v>
      </c>
      <c r="F3187">
        <v>2</v>
      </c>
      <c r="G3187" t="str">
        <f>VLOOKUP(D3187,Товары!A:I,3,0)</f>
        <v>Тумба с раковиной  навес. Куба Риф 600 белый 2 ящика с умыв. Como</v>
      </c>
      <c r="H3187">
        <f>VLOOKUP(D3187,Товары!A:I,6,0)</f>
        <v>55</v>
      </c>
      <c r="I3187" t="str">
        <f>VLOOKUP(C3187,Магазины!A:C,3,0)</f>
        <v>Набережные Челны</v>
      </c>
      <c r="J3187">
        <f>VLOOKUP(D3187,Товары!A:I,4,0)</f>
        <v>14265</v>
      </c>
      <c r="K3187">
        <f t="shared" si="49"/>
        <v>28530</v>
      </c>
    </row>
    <row r="3188" spans="1:11" hidden="1" x14ac:dyDescent="0.25">
      <c r="A3188">
        <v>3187</v>
      </c>
      <c r="B3188" s="1">
        <v>45756</v>
      </c>
      <c r="C3188" t="s">
        <v>57</v>
      </c>
      <c r="D3188" t="s">
        <v>99</v>
      </c>
      <c r="E3188" t="s">
        <v>13</v>
      </c>
      <c r="F3188">
        <v>3</v>
      </c>
      <c r="G3188" t="str">
        <f>VLOOKUP(D3188,Товары!A:I,3,0)</f>
        <v>Тумба с раковиной  навес. Леон 600 оникс 2 ящика с умыв. Слим</v>
      </c>
      <c r="H3188">
        <f>VLOOKUP(D3188,Товары!A:I,6,0)</f>
        <v>60</v>
      </c>
      <c r="I3188" t="str">
        <f>VLOOKUP(C3188,Магазины!A:C,3,0)</f>
        <v>Оренбург</v>
      </c>
      <c r="J3188">
        <f>VLOOKUP(D3188,Товары!A:I,4,0)</f>
        <v>25125</v>
      </c>
      <c r="K3188">
        <f t="shared" si="49"/>
        <v>75375</v>
      </c>
    </row>
    <row r="3189" spans="1:11" hidden="1" x14ac:dyDescent="0.25">
      <c r="A3189">
        <v>3188</v>
      </c>
      <c r="B3189" s="1">
        <v>45748</v>
      </c>
      <c r="C3189" t="s">
        <v>16</v>
      </c>
      <c r="D3189" t="s">
        <v>24</v>
      </c>
      <c r="E3189" t="s">
        <v>8</v>
      </c>
      <c r="F3189">
        <v>1</v>
      </c>
      <c r="G3189" t="str">
        <f>VLOOKUP(D3189,Товары!A:I,3,0)</f>
        <v>Тумба с раковиной  напол. Леон 600 форест 2 ящика с умыв. Слим</v>
      </c>
      <c r="H3189">
        <f>VLOOKUP(D3189,Товары!A:I,6,0)</f>
        <v>80</v>
      </c>
      <c r="I3189" t="str">
        <f>VLOOKUP(C3189,Магазины!A:C,3,0)</f>
        <v>Оренбург</v>
      </c>
      <c r="J3189">
        <f>VLOOKUP(D3189,Товары!A:I,4,0)</f>
        <v>27150</v>
      </c>
      <c r="K3189">
        <f t="shared" si="49"/>
        <v>27150</v>
      </c>
    </row>
    <row r="3190" spans="1:11" hidden="1" x14ac:dyDescent="0.25">
      <c r="A3190">
        <v>3189</v>
      </c>
      <c r="B3190" s="1">
        <v>45753</v>
      </c>
      <c r="C3190" t="s">
        <v>9</v>
      </c>
      <c r="D3190" t="s">
        <v>128</v>
      </c>
      <c r="E3190" t="s">
        <v>8</v>
      </c>
      <c r="F3190">
        <v>3</v>
      </c>
      <c r="G3190" t="str">
        <f>VLOOKUP(D3190,Товары!A:I,3,0)</f>
        <v>Тумба с раковиной  напол. Куба Риф 1000 белый 2 ящика с умыв. Слим</v>
      </c>
      <c r="H3190">
        <f>VLOOKUP(D3190,Товары!A:I,6,0)</f>
        <v>85</v>
      </c>
      <c r="I3190" t="str">
        <f>VLOOKUP(C3190,Магазины!A:C,3,0)</f>
        <v>Кемерово</v>
      </c>
      <c r="J3190">
        <f>VLOOKUP(D3190,Товары!A:I,4,0)</f>
        <v>22905</v>
      </c>
      <c r="K3190">
        <f t="shared" si="49"/>
        <v>68715</v>
      </c>
    </row>
    <row r="3191" spans="1:11" hidden="1" x14ac:dyDescent="0.25">
      <c r="A3191">
        <v>3190</v>
      </c>
      <c r="B3191" s="1">
        <v>45750</v>
      </c>
      <c r="C3191" t="s">
        <v>41</v>
      </c>
      <c r="D3191" t="s">
        <v>53</v>
      </c>
      <c r="E3191" t="s">
        <v>13</v>
      </c>
      <c r="F3191">
        <v>2</v>
      </c>
      <c r="G3191" t="str">
        <f>VLOOKUP(D3191,Товары!A:I,3,0)</f>
        <v>Тумба с раковиной  напол. Кристалл 600 шато азур 2 ящика с умыв. Океан</v>
      </c>
      <c r="H3191">
        <f>VLOOKUP(D3191,Товары!A:I,6,0)</f>
        <v>85</v>
      </c>
      <c r="I3191" t="str">
        <f>VLOOKUP(C3191,Магазины!A:C,3,0)</f>
        <v>Ставрополь</v>
      </c>
      <c r="J3191">
        <f>VLOOKUP(D3191,Товары!A:I,4,0)</f>
        <v>27600</v>
      </c>
      <c r="K3191">
        <f t="shared" si="49"/>
        <v>55200</v>
      </c>
    </row>
    <row r="3192" spans="1:11" hidden="1" x14ac:dyDescent="0.25">
      <c r="A3192">
        <v>3191</v>
      </c>
      <c r="B3192" s="1">
        <v>45748</v>
      </c>
      <c r="C3192" t="s">
        <v>16</v>
      </c>
      <c r="D3192" t="s">
        <v>104</v>
      </c>
      <c r="E3192" t="s">
        <v>13</v>
      </c>
      <c r="F3192">
        <v>1</v>
      </c>
      <c r="G3192" t="str">
        <f>VLOOKUP(D3192,Товары!A:I,3,0)</f>
        <v>Тумба под стиральную машину Куба Риф 57 подвесная 2 ящика под ст/маш, без умывальника /под Marshall 120 Белый</v>
      </c>
      <c r="H3192">
        <f>VLOOKUP(D3192,Товары!A:I,6,0)</f>
        <v>50</v>
      </c>
      <c r="I3192" t="str">
        <f>VLOOKUP(C3192,Магазины!A:C,3,0)</f>
        <v>Оренбург</v>
      </c>
      <c r="J3192">
        <f>VLOOKUP(D3192,Товары!A:I,4,0)</f>
        <v>8505</v>
      </c>
      <c r="K3192">
        <f t="shared" si="49"/>
        <v>8505</v>
      </c>
    </row>
    <row r="3193" spans="1:11" hidden="1" x14ac:dyDescent="0.25">
      <c r="A3193">
        <v>3192</v>
      </c>
      <c r="B3193" s="1">
        <v>45756</v>
      </c>
      <c r="C3193" t="s">
        <v>41</v>
      </c>
      <c r="D3193" t="s">
        <v>93</v>
      </c>
      <c r="E3193" t="s">
        <v>13</v>
      </c>
      <c r="F3193">
        <v>2</v>
      </c>
      <c r="G3193" t="str">
        <f>VLOOKUP(D3193,Товары!A:I,3,0)</f>
        <v>Тумба с раковиной  напол. Леон Риф 800 солярис/белый риф 2 ящика с умыв. Слим</v>
      </c>
      <c r="H3193">
        <f>VLOOKUP(D3193,Товары!A:I,6,0)</f>
        <v>80</v>
      </c>
      <c r="I3193" t="str">
        <f>VLOOKUP(C3193,Магазины!A:C,3,0)</f>
        <v>Ставрополь</v>
      </c>
      <c r="J3193">
        <f>VLOOKUP(D3193,Товары!A:I,4,0)</f>
        <v>29340</v>
      </c>
      <c r="K3193">
        <f t="shared" si="49"/>
        <v>58680</v>
      </c>
    </row>
    <row r="3194" spans="1:11" hidden="1" x14ac:dyDescent="0.25">
      <c r="A3194">
        <v>3193</v>
      </c>
      <c r="B3194" s="1">
        <v>45749</v>
      </c>
      <c r="C3194" t="s">
        <v>54</v>
      </c>
      <c r="D3194" t="s">
        <v>55</v>
      </c>
      <c r="E3194" t="s">
        <v>8</v>
      </c>
      <c r="F3194">
        <v>3</v>
      </c>
      <c r="G3194" t="str">
        <f>VLOOKUP(D3194,Товары!A:I,3,0)</f>
        <v>Тумба с раковиной  напол. Рица 600 cерый/керамика 2 ящика с умыв. Океан</v>
      </c>
      <c r="H3194">
        <f>VLOOKUP(D3194,Товары!A:I,6,0)</f>
        <v>80</v>
      </c>
      <c r="I3194" t="str">
        <f>VLOOKUP(C3194,Магазины!A:C,3,0)</f>
        <v>Ставрополь</v>
      </c>
      <c r="J3194">
        <f>VLOOKUP(D3194,Товары!A:I,4,0)</f>
        <v>25560</v>
      </c>
      <c r="K3194">
        <f t="shared" si="49"/>
        <v>76680</v>
      </c>
    </row>
    <row r="3195" spans="1:11" hidden="1" x14ac:dyDescent="0.25">
      <c r="A3195">
        <v>3194</v>
      </c>
      <c r="B3195" s="1">
        <v>45752</v>
      </c>
      <c r="C3195" t="s">
        <v>9</v>
      </c>
      <c r="D3195" t="s">
        <v>80</v>
      </c>
      <c r="E3195" t="s">
        <v>8</v>
      </c>
      <c r="F3195">
        <v>3</v>
      </c>
      <c r="G3195" t="str">
        <f>VLOOKUP(D3195,Товары!A:I,3,0)</f>
        <v>Тумба с раковиной  навес. Сохо 600 белый 2 ящика с умыв. Океан</v>
      </c>
      <c r="H3195">
        <f>VLOOKUP(D3195,Товары!A:I,6,0)</f>
        <v>55</v>
      </c>
      <c r="I3195" t="str">
        <f>VLOOKUP(C3195,Магазины!A:C,3,0)</f>
        <v>Кемерово</v>
      </c>
      <c r="J3195">
        <f>VLOOKUP(D3195,Товары!A:I,4,0)</f>
        <v>13950</v>
      </c>
      <c r="K3195">
        <f t="shared" si="49"/>
        <v>41850</v>
      </c>
    </row>
    <row r="3196" spans="1:11" hidden="1" x14ac:dyDescent="0.25">
      <c r="A3196">
        <v>3195</v>
      </c>
      <c r="B3196" s="1">
        <v>45749</v>
      </c>
      <c r="C3196" t="s">
        <v>58</v>
      </c>
      <c r="D3196" t="s">
        <v>77</v>
      </c>
      <c r="E3196" t="s">
        <v>13</v>
      </c>
      <c r="F3196">
        <v>3</v>
      </c>
      <c r="G3196" t="str">
        <f>VLOOKUP(D3196,Товары!A:I,3,0)</f>
        <v>Тумба с раковиной  напол. Куба Риф 600 белый 2 ящика с умыв. Como</v>
      </c>
      <c r="H3196">
        <f>VLOOKUP(D3196,Товары!A:I,6,0)</f>
        <v>85</v>
      </c>
      <c r="I3196" t="str">
        <f>VLOOKUP(C3196,Магазины!A:C,3,0)</f>
        <v>Ставрополь</v>
      </c>
      <c r="J3196">
        <f>VLOOKUP(D3196,Товары!A:I,4,0)</f>
        <v>15660</v>
      </c>
      <c r="K3196">
        <f t="shared" si="49"/>
        <v>46980</v>
      </c>
    </row>
    <row r="3197" spans="1:11" hidden="1" x14ac:dyDescent="0.25">
      <c r="A3197">
        <v>3196</v>
      </c>
      <c r="B3197" s="1">
        <v>45750</v>
      </c>
      <c r="C3197" t="s">
        <v>54</v>
      </c>
      <c r="D3197" t="s">
        <v>59</v>
      </c>
      <c r="E3197" t="s">
        <v>13</v>
      </c>
      <c r="F3197">
        <v>1</v>
      </c>
      <c r="G3197" t="str">
        <f>VLOOKUP(D3197,Товары!A:I,3,0)</f>
        <v>Тумба с раковиной  навес. Куба Риф 600 белый 2 ящика с умыв. Океан</v>
      </c>
      <c r="H3197">
        <f>VLOOKUP(D3197,Товары!A:I,6,0)</f>
        <v>55</v>
      </c>
      <c r="I3197" t="str">
        <f>VLOOKUP(C3197,Магазины!A:C,3,0)</f>
        <v>Ставрополь</v>
      </c>
      <c r="J3197">
        <f>VLOOKUP(D3197,Товары!A:I,4,0)</f>
        <v>15765</v>
      </c>
      <c r="K3197">
        <f t="shared" si="49"/>
        <v>15765</v>
      </c>
    </row>
    <row r="3198" spans="1:11" hidden="1" x14ac:dyDescent="0.25">
      <c r="A3198">
        <v>3197</v>
      </c>
      <c r="B3198" s="1">
        <v>45757</v>
      </c>
      <c r="C3198" t="s">
        <v>20</v>
      </c>
      <c r="D3198" t="s">
        <v>21</v>
      </c>
      <c r="E3198" t="s">
        <v>13</v>
      </c>
      <c r="F3198">
        <v>1</v>
      </c>
      <c r="G3198" t="str">
        <f>VLOOKUP(D3198,Товары!A:I,3,0)</f>
        <v>Зеркальный шкаф Рица 60 со светильником правый цвет cерый/керамика</v>
      </c>
      <c r="H3198">
        <f>VLOOKUP(D3198,Товары!A:I,6,0)</f>
        <v>75</v>
      </c>
      <c r="I3198" t="str">
        <f>VLOOKUP(C3198,Магазины!A:C,3,0)</f>
        <v>Оренбург</v>
      </c>
      <c r="J3198">
        <f>VLOOKUP(D3198,Товары!A:I,4,0)</f>
        <v>8910</v>
      </c>
      <c r="K3198">
        <f t="shared" si="49"/>
        <v>8910</v>
      </c>
    </row>
    <row r="3199" spans="1:11" hidden="1" x14ac:dyDescent="0.25">
      <c r="A3199">
        <v>3198</v>
      </c>
      <c r="B3199" s="1">
        <v>45748</v>
      </c>
      <c r="C3199" t="s">
        <v>54</v>
      </c>
      <c r="D3199" t="s">
        <v>31</v>
      </c>
      <c r="E3199" t="s">
        <v>13</v>
      </c>
      <c r="F3199">
        <v>3</v>
      </c>
      <c r="G3199" t="str">
        <f>VLOOKUP(D3199,Товары!A:I,3,0)</f>
        <v>Пенал напол. Виктория 350 белый 2 двери</v>
      </c>
      <c r="H3199">
        <f>VLOOKUP(D3199,Товары!A:I,6,0)</f>
        <v>190</v>
      </c>
      <c r="I3199" t="str">
        <f>VLOOKUP(C3199,Магазины!A:C,3,0)</f>
        <v>Ставрополь</v>
      </c>
      <c r="J3199">
        <f>VLOOKUP(D3199,Товары!A:I,4,0)</f>
        <v>14085</v>
      </c>
      <c r="K3199">
        <f t="shared" si="49"/>
        <v>42255</v>
      </c>
    </row>
    <row r="3200" spans="1:11" hidden="1" x14ac:dyDescent="0.25">
      <c r="A3200">
        <v>3199</v>
      </c>
      <c r="B3200" s="1">
        <v>45753</v>
      </c>
      <c r="C3200" t="s">
        <v>20</v>
      </c>
      <c r="D3200" t="s">
        <v>46</v>
      </c>
      <c r="E3200" t="s">
        <v>13</v>
      </c>
      <c r="F3200">
        <v>3</v>
      </c>
      <c r="G3200" t="str">
        <f>VLOOKUP(D3200,Товары!A:I,3,0)</f>
        <v>Тумба с раковиной  напол. Сохо 700 белый 2 ящика с умыв. Слим</v>
      </c>
      <c r="H3200">
        <f>VLOOKUP(D3200,Товары!A:I,6,0)</f>
        <v>85</v>
      </c>
      <c r="I3200" t="str">
        <f>VLOOKUP(C3200,Магазины!A:C,3,0)</f>
        <v>Оренбург</v>
      </c>
      <c r="J3200">
        <f>VLOOKUP(D3200,Товары!A:I,4,0)</f>
        <v>18405</v>
      </c>
      <c r="K3200">
        <f t="shared" si="49"/>
        <v>55215</v>
      </c>
    </row>
    <row r="3201" spans="1:11" hidden="1" x14ac:dyDescent="0.25">
      <c r="A3201">
        <v>3200</v>
      </c>
      <c r="B3201" s="1">
        <v>45756</v>
      </c>
      <c r="C3201" t="s">
        <v>9</v>
      </c>
      <c r="D3201" t="s">
        <v>68</v>
      </c>
      <c r="E3201" t="s">
        <v>8</v>
      </c>
      <c r="F3201">
        <v>3</v>
      </c>
      <c r="G3201" t="str">
        <f>VLOOKUP(D3201,Товары!A:I,3,0)</f>
        <v>Тумба с раковиной  навес. Альба 600 антрацит 1 ящик с умыв. Океан</v>
      </c>
      <c r="H3201">
        <f>VLOOKUP(D3201,Товары!A:I,6,0)</f>
        <v>85</v>
      </c>
      <c r="I3201" t="str">
        <f>VLOOKUP(C3201,Магазины!A:C,3,0)</f>
        <v>Кемерово</v>
      </c>
      <c r="J3201">
        <f>VLOOKUP(D3201,Товары!A:I,4,0)</f>
        <v>17625</v>
      </c>
      <c r="K3201">
        <f t="shared" si="49"/>
        <v>52875</v>
      </c>
    </row>
    <row r="3202" spans="1:11" hidden="1" x14ac:dyDescent="0.25">
      <c r="A3202">
        <v>3201</v>
      </c>
      <c r="B3202" s="1">
        <v>45755</v>
      </c>
      <c r="C3202" t="s">
        <v>92</v>
      </c>
      <c r="D3202" t="s">
        <v>17</v>
      </c>
      <c r="E3202" t="s">
        <v>13</v>
      </c>
      <c r="F3202">
        <v>1</v>
      </c>
      <c r="G3202" t="str">
        <f>VLOOKUP(D3202,Товары!A:I,3,0)</f>
        <v>Тумба с раковиной  навес. Альба 800 антрацит 1 ящик с умыв. Слим</v>
      </c>
      <c r="H3202">
        <f>VLOOKUP(D3202,Товары!A:I,6,0)</f>
        <v>45</v>
      </c>
      <c r="I3202" t="str">
        <f>VLOOKUP(C3202,Магазины!A:C,3,0)</f>
        <v>Кемерово</v>
      </c>
      <c r="J3202">
        <f>VLOOKUP(D3202,Товары!A:I,4,0)</f>
        <v>21630</v>
      </c>
      <c r="K3202">
        <f t="shared" si="49"/>
        <v>21630</v>
      </c>
    </row>
    <row r="3203" spans="1:11" hidden="1" x14ac:dyDescent="0.25">
      <c r="A3203">
        <v>3202</v>
      </c>
      <c r="B3203" s="1">
        <v>45754</v>
      </c>
      <c r="C3203" t="s">
        <v>58</v>
      </c>
      <c r="D3203" t="s">
        <v>73</v>
      </c>
      <c r="E3203" t="s">
        <v>13</v>
      </c>
      <c r="F3203">
        <v>2</v>
      </c>
      <c r="G3203" t="str">
        <f>VLOOKUP(D3203,Товары!A:I,3,0)</f>
        <v>Зеркальный шкаф Альба 70 со светильником правый цвет антрацит</v>
      </c>
      <c r="H3203">
        <f>VLOOKUP(D3203,Товары!A:I,6,0)</f>
        <v>75</v>
      </c>
      <c r="I3203" t="str">
        <f>VLOOKUP(C3203,Магазины!A:C,3,0)</f>
        <v>Ставрополь</v>
      </c>
      <c r="J3203">
        <f>VLOOKUP(D3203,Товары!A:I,4,0)</f>
        <v>9615</v>
      </c>
      <c r="K3203">
        <f t="shared" ref="K3203:K3266" si="50">J3203*F3203</f>
        <v>19230</v>
      </c>
    </row>
    <row r="3204" spans="1:11" hidden="1" x14ac:dyDescent="0.25">
      <c r="A3204">
        <v>3203</v>
      </c>
      <c r="B3204" s="1">
        <v>45751</v>
      </c>
      <c r="C3204" t="s">
        <v>57</v>
      </c>
      <c r="D3204" t="s">
        <v>73</v>
      </c>
      <c r="E3204" t="s">
        <v>8</v>
      </c>
      <c r="F3204">
        <v>3</v>
      </c>
      <c r="G3204" t="str">
        <f>VLOOKUP(D3204,Товары!A:I,3,0)</f>
        <v>Зеркальный шкаф Альба 70 со светильником правый цвет антрацит</v>
      </c>
      <c r="H3204">
        <f>VLOOKUP(D3204,Товары!A:I,6,0)</f>
        <v>75</v>
      </c>
      <c r="I3204" t="str">
        <f>VLOOKUP(C3204,Магазины!A:C,3,0)</f>
        <v>Оренбург</v>
      </c>
      <c r="J3204">
        <f>VLOOKUP(D3204,Товары!A:I,4,0)</f>
        <v>9615</v>
      </c>
      <c r="K3204">
        <f t="shared" si="50"/>
        <v>28845</v>
      </c>
    </row>
    <row r="3205" spans="1:11" hidden="1" x14ac:dyDescent="0.25">
      <c r="A3205">
        <v>3204</v>
      </c>
      <c r="B3205" s="1">
        <v>45754</v>
      </c>
      <c r="C3205" t="s">
        <v>22</v>
      </c>
      <c r="D3205" t="s">
        <v>21</v>
      </c>
      <c r="E3205" t="s">
        <v>8</v>
      </c>
      <c r="F3205">
        <v>1</v>
      </c>
      <c r="G3205" t="str">
        <f>VLOOKUP(D3205,Товары!A:I,3,0)</f>
        <v>Зеркальный шкаф Рица 60 со светильником правый цвет cерый/керамика</v>
      </c>
      <c r="H3205">
        <f>VLOOKUP(D3205,Товары!A:I,6,0)</f>
        <v>75</v>
      </c>
      <c r="I3205" t="str">
        <f>VLOOKUP(C3205,Магазины!A:C,3,0)</f>
        <v>Кемерово</v>
      </c>
      <c r="J3205">
        <f>VLOOKUP(D3205,Товары!A:I,4,0)</f>
        <v>8910</v>
      </c>
      <c r="K3205">
        <f t="shared" si="50"/>
        <v>8910</v>
      </c>
    </row>
    <row r="3206" spans="1:11" hidden="1" x14ac:dyDescent="0.25">
      <c r="A3206">
        <v>3205</v>
      </c>
      <c r="B3206" s="1">
        <v>45757</v>
      </c>
      <c r="C3206" t="s">
        <v>28</v>
      </c>
      <c r="D3206" t="s">
        <v>86</v>
      </c>
      <c r="E3206" t="s">
        <v>8</v>
      </c>
      <c r="F3206">
        <v>3</v>
      </c>
      <c r="G3206" t="str">
        <f>VLOOKUP(D3206,Товары!A:I,3,0)</f>
        <v>Комод Аква 50 напольный 1 ящик 2 двери белый</v>
      </c>
      <c r="H3206">
        <f>VLOOKUP(D3206,Товары!A:I,6,0)</f>
        <v>90</v>
      </c>
      <c r="I3206" t="str">
        <f>VLOOKUP(C3206,Магазины!A:C,3,0)</f>
        <v>Набережные Челны</v>
      </c>
      <c r="J3206">
        <f>VLOOKUP(D3206,Товары!A:I,4,0)</f>
        <v>7260</v>
      </c>
      <c r="K3206">
        <f t="shared" si="50"/>
        <v>21780</v>
      </c>
    </row>
    <row r="3207" spans="1:11" hidden="1" x14ac:dyDescent="0.25">
      <c r="A3207">
        <v>3206</v>
      </c>
      <c r="B3207" s="1">
        <v>45752</v>
      </c>
      <c r="C3207" t="s">
        <v>9</v>
      </c>
      <c r="D3207" t="s">
        <v>79</v>
      </c>
      <c r="E3207" t="s">
        <v>8</v>
      </c>
      <c r="F3207">
        <v>3</v>
      </c>
      <c r="G3207" t="str">
        <f>VLOOKUP(D3207,Товары!A:I,3,0)</f>
        <v>Зеркальный шкаф Альба 70 со светильником правый цвет мята</v>
      </c>
      <c r="H3207">
        <f>VLOOKUP(D3207,Товары!A:I,6,0)</f>
        <v>75</v>
      </c>
      <c r="I3207" t="str">
        <f>VLOOKUP(C3207,Магазины!A:C,3,0)</f>
        <v>Кемерово</v>
      </c>
      <c r="J3207">
        <f>VLOOKUP(D3207,Товары!A:I,4,0)</f>
        <v>9615</v>
      </c>
      <c r="K3207">
        <f t="shared" si="50"/>
        <v>28845</v>
      </c>
    </row>
    <row r="3208" spans="1:11" hidden="1" x14ac:dyDescent="0.25">
      <c r="A3208">
        <v>3207</v>
      </c>
      <c r="B3208" s="1">
        <v>45749</v>
      </c>
      <c r="C3208" t="s">
        <v>6</v>
      </c>
      <c r="D3208" t="s">
        <v>81</v>
      </c>
      <c r="E3208" t="s">
        <v>8</v>
      </c>
      <c r="F3208">
        <v>3</v>
      </c>
      <c r="G3208" t="str">
        <f>VLOOKUP(D3208,Товары!A:I,3,0)</f>
        <v>Тумба с раковиной  навес. Рица 600 cерый/керамика 1 ящик + ниша 1 с умыв. Океан</v>
      </c>
      <c r="H3208">
        <f>VLOOKUP(D3208,Товары!A:I,6,0)</f>
        <v>60</v>
      </c>
      <c r="I3208" t="str">
        <f>VLOOKUP(C3208,Магазины!A:C,3,0)</f>
        <v>Оренбург</v>
      </c>
      <c r="J3208">
        <f>VLOOKUP(D3208,Товары!A:I,4,0)</f>
        <v>18900</v>
      </c>
      <c r="K3208">
        <f t="shared" si="50"/>
        <v>56700</v>
      </c>
    </row>
    <row r="3209" spans="1:11" hidden="1" x14ac:dyDescent="0.25">
      <c r="A3209">
        <v>3208</v>
      </c>
      <c r="B3209" s="1">
        <v>45749</v>
      </c>
      <c r="C3209" t="s">
        <v>9</v>
      </c>
      <c r="D3209" t="s">
        <v>47</v>
      </c>
      <c r="E3209" t="s">
        <v>8</v>
      </c>
      <c r="F3209">
        <v>1</v>
      </c>
      <c r="G3209" t="str">
        <f>VLOOKUP(D3209,Товары!A:I,3,0)</f>
        <v>Пенал напол. Кристалл 350 шато азур 2 двери</v>
      </c>
      <c r="H3209">
        <f>VLOOKUP(D3209,Товары!A:I,6,0)</f>
        <v>190</v>
      </c>
      <c r="I3209" t="str">
        <f>VLOOKUP(C3209,Магазины!A:C,3,0)</f>
        <v>Кемерово</v>
      </c>
      <c r="J3209">
        <f>VLOOKUP(D3209,Товары!A:I,4,0)</f>
        <v>15810</v>
      </c>
      <c r="K3209">
        <f t="shared" si="50"/>
        <v>15810</v>
      </c>
    </row>
    <row r="3210" spans="1:11" hidden="1" x14ac:dyDescent="0.25">
      <c r="A3210">
        <v>3209</v>
      </c>
      <c r="B3210" s="1">
        <v>45749</v>
      </c>
      <c r="C3210" t="s">
        <v>92</v>
      </c>
      <c r="D3210" t="s">
        <v>15</v>
      </c>
      <c r="E3210" t="s">
        <v>8</v>
      </c>
      <c r="F3210">
        <v>2</v>
      </c>
      <c r="G3210" t="str">
        <f>VLOOKUP(D3210,Товары!A:I,3,0)</f>
        <v>Зеркальный шкаф Кристалл 60 со светильником правый, ручка кнопка дуб цвет Шато Азур</v>
      </c>
      <c r="H3210">
        <f>VLOOKUP(D3210,Товары!A:I,6,0)</f>
        <v>75</v>
      </c>
      <c r="I3210" t="str">
        <f>VLOOKUP(C3210,Магазины!A:C,3,0)</f>
        <v>Кемерово</v>
      </c>
      <c r="J3210">
        <f>VLOOKUP(D3210,Товары!A:I,4,0)</f>
        <v>9195</v>
      </c>
      <c r="K3210">
        <f t="shared" si="50"/>
        <v>18390</v>
      </c>
    </row>
    <row r="3211" spans="1:11" hidden="1" x14ac:dyDescent="0.25">
      <c r="A3211">
        <v>3210</v>
      </c>
      <c r="B3211" s="1">
        <v>45749</v>
      </c>
      <c r="C3211" t="s">
        <v>14</v>
      </c>
      <c r="D3211" t="s">
        <v>122</v>
      </c>
      <c r="E3211" t="s">
        <v>8</v>
      </c>
      <c r="F3211">
        <v>1</v>
      </c>
      <c r="G3211" t="str">
        <f>VLOOKUP(D3211,Товары!A:I,3,0)</f>
        <v>Тумба с раковиной  навес. Кристалл 600 шато азур 2 ящика с умыв. Океан</v>
      </c>
      <c r="H3211">
        <f>VLOOKUP(D3211,Товары!A:I,6,0)</f>
        <v>55</v>
      </c>
      <c r="I3211" t="str">
        <f>VLOOKUP(C3211,Магазины!A:C,3,0)</f>
        <v>Оренбург</v>
      </c>
      <c r="J3211">
        <f>VLOOKUP(D3211,Товары!A:I,4,0)</f>
        <v>21960</v>
      </c>
      <c r="K3211">
        <f t="shared" si="50"/>
        <v>21960</v>
      </c>
    </row>
    <row r="3212" spans="1:11" hidden="1" x14ac:dyDescent="0.25">
      <c r="A3212">
        <v>3211</v>
      </c>
      <c r="B3212" s="1">
        <v>45750</v>
      </c>
      <c r="C3212" t="s">
        <v>35</v>
      </c>
      <c r="D3212" t="s">
        <v>117</v>
      </c>
      <c r="E3212" t="s">
        <v>13</v>
      </c>
      <c r="F3212">
        <v>2</v>
      </c>
      <c r="G3212" t="str">
        <f>VLOOKUP(D3212,Товары!A:I,3,0)</f>
        <v>Тумба с раковиной  навес. Альба 700 антрацит 2 ящика с умыв. Слим</v>
      </c>
      <c r="H3212">
        <f>VLOOKUP(D3212,Товары!A:I,6,0)</f>
        <v>60</v>
      </c>
      <c r="I3212" t="str">
        <f>VLOOKUP(C3212,Магазины!A:C,3,0)</f>
        <v>Набережные Челны</v>
      </c>
      <c r="J3212">
        <f>VLOOKUP(D3212,Товары!A:I,4,0)</f>
        <v>25095</v>
      </c>
      <c r="K3212">
        <f t="shared" si="50"/>
        <v>50190</v>
      </c>
    </row>
    <row r="3213" spans="1:11" hidden="1" x14ac:dyDescent="0.25">
      <c r="A3213">
        <v>3212</v>
      </c>
      <c r="B3213" s="1">
        <v>45755</v>
      </c>
      <c r="C3213" t="s">
        <v>28</v>
      </c>
      <c r="D3213" t="s">
        <v>115</v>
      </c>
      <c r="E3213" t="s">
        <v>8</v>
      </c>
      <c r="F3213">
        <v>1</v>
      </c>
      <c r="G3213" t="str">
        <f>VLOOKUP(D3213,Товары!A:I,3,0)</f>
        <v>Тумба под стиральную машину Куба Риф 57 напольная 2 ящика под ст/маш, без умывальника /под Marshall 120 Белый</v>
      </c>
      <c r="H3213">
        <f>VLOOKUP(D3213,Товары!A:I,6,0)</f>
        <v>85</v>
      </c>
      <c r="I3213" t="str">
        <f>VLOOKUP(C3213,Магазины!A:C,3,0)</f>
        <v>Набережные Челны</v>
      </c>
      <c r="J3213">
        <f>VLOOKUP(D3213,Товары!A:I,4,0)</f>
        <v>10530</v>
      </c>
      <c r="K3213">
        <f t="shared" si="50"/>
        <v>10530</v>
      </c>
    </row>
    <row r="3214" spans="1:11" hidden="1" x14ac:dyDescent="0.25">
      <c r="A3214">
        <v>3213</v>
      </c>
      <c r="B3214" s="1">
        <v>45755</v>
      </c>
      <c r="C3214" t="s">
        <v>43</v>
      </c>
      <c r="D3214" t="s">
        <v>45</v>
      </c>
      <c r="E3214" t="s">
        <v>8</v>
      </c>
      <c r="F3214">
        <v>3</v>
      </c>
      <c r="G3214" t="str">
        <f>VLOOKUP(D3214,Товары!A:I,3,0)</f>
        <v>Зеркальный шкаф Рица 80 со светильником правый цвет cерый/керамика</v>
      </c>
      <c r="H3214">
        <f>VLOOKUP(D3214,Товары!A:I,6,0)</f>
        <v>75</v>
      </c>
      <c r="I3214" t="str">
        <f>VLOOKUP(C3214,Магазины!A:C,3,0)</f>
        <v>Набережные Челны</v>
      </c>
      <c r="J3214">
        <f>VLOOKUP(D3214,Товары!A:I,4,0)</f>
        <v>9930</v>
      </c>
      <c r="K3214">
        <f t="shared" si="50"/>
        <v>29790</v>
      </c>
    </row>
    <row r="3215" spans="1:11" hidden="1" x14ac:dyDescent="0.25">
      <c r="A3215">
        <v>3214</v>
      </c>
      <c r="B3215" s="1">
        <v>45754</v>
      </c>
      <c r="C3215" t="s">
        <v>103</v>
      </c>
      <c r="D3215" t="s">
        <v>44</v>
      </c>
      <c r="E3215" t="s">
        <v>8</v>
      </c>
      <c r="F3215">
        <v>2</v>
      </c>
      <c r="G3215" t="str">
        <f>VLOOKUP(D3215,Товары!A:I,3,0)</f>
        <v>Тумба с раковиной  навес. Кристалл 800 шато азур 2 ящика с умыв. Комфорт</v>
      </c>
      <c r="H3215">
        <f>VLOOKUP(D3215,Товары!A:I,6,0)</f>
        <v>55</v>
      </c>
      <c r="I3215" t="str">
        <f>VLOOKUP(C3215,Магазины!A:C,3,0)</f>
        <v>Ставрополь</v>
      </c>
      <c r="J3215">
        <f>VLOOKUP(D3215,Товары!A:I,4,0)</f>
        <v>25080</v>
      </c>
      <c r="K3215">
        <f t="shared" si="50"/>
        <v>50160</v>
      </c>
    </row>
    <row r="3216" spans="1:11" hidden="1" x14ac:dyDescent="0.25">
      <c r="A3216">
        <v>3215</v>
      </c>
      <c r="B3216" s="1">
        <v>45757</v>
      </c>
      <c r="C3216" t="s">
        <v>103</v>
      </c>
      <c r="D3216" t="s">
        <v>71</v>
      </c>
      <c r="E3216" t="s">
        <v>8</v>
      </c>
      <c r="F3216">
        <v>1</v>
      </c>
      <c r="G3216" t="str">
        <f>VLOOKUP(D3216,Товары!A:I,3,0)</f>
        <v>Тумба с раковиной  навес. Альба 600 мята 2 ящика с умыв. Океан</v>
      </c>
      <c r="H3216">
        <f>VLOOKUP(D3216,Товары!A:I,6,0)</f>
        <v>50</v>
      </c>
      <c r="I3216" t="str">
        <f>VLOOKUP(C3216,Магазины!A:C,3,0)</f>
        <v>Ставрополь</v>
      </c>
      <c r="J3216">
        <f>VLOOKUP(D3216,Товары!A:I,4,0)</f>
        <v>24810</v>
      </c>
      <c r="K3216">
        <f t="shared" si="50"/>
        <v>24810</v>
      </c>
    </row>
    <row r="3217" spans="1:11" hidden="1" x14ac:dyDescent="0.25">
      <c r="A3217">
        <v>3216</v>
      </c>
      <c r="B3217" s="1">
        <v>45749</v>
      </c>
      <c r="C3217" t="s">
        <v>43</v>
      </c>
      <c r="D3217" t="s">
        <v>126</v>
      </c>
      <c r="E3217" t="s">
        <v>8</v>
      </c>
      <c r="F3217">
        <v>1</v>
      </c>
      <c r="G3217" t="str">
        <f>VLOOKUP(D3217,Товары!A:I,3,0)</f>
        <v>Тумба с раковиной  напол. Кристалл 800 шато азур 2 ящика с умыв. Комфорт</v>
      </c>
      <c r="H3217">
        <f>VLOOKUP(D3217,Товары!A:I,6,0)</f>
        <v>85</v>
      </c>
      <c r="I3217" t="str">
        <f>VLOOKUP(C3217,Магазины!A:C,3,0)</f>
        <v>Набережные Челны</v>
      </c>
      <c r="J3217">
        <f>VLOOKUP(D3217,Товары!A:I,4,0)</f>
        <v>31125</v>
      </c>
      <c r="K3217">
        <f t="shared" si="50"/>
        <v>31125</v>
      </c>
    </row>
    <row r="3218" spans="1:11" hidden="1" x14ac:dyDescent="0.25">
      <c r="A3218">
        <v>3217</v>
      </c>
      <c r="B3218" s="1">
        <v>45753</v>
      </c>
      <c r="C3218" t="s">
        <v>14</v>
      </c>
      <c r="D3218" t="s">
        <v>94</v>
      </c>
      <c r="E3218" t="s">
        <v>8</v>
      </c>
      <c r="F3218">
        <v>3</v>
      </c>
      <c r="G3218" t="str">
        <f>VLOOKUP(D3218,Товары!A:I,3,0)</f>
        <v>Зеркальный шкаф Альба 80 со светильником правый цвет антрацит</v>
      </c>
      <c r="H3218">
        <f>VLOOKUP(D3218,Товары!A:I,6,0)</f>
        <v>75</v>
      </c>
      <c r="I3218" t="str">
        <f>VLOOKUP(C3218,Магазины!A:C,3,0)</f>
        <v>Оренбург</v>
      </c>
      <c r="J3218">
        <f>VLOOKUP(D3218,Товары!A:I,4,0)</f>
        <v>9930</v>
      </c>
      <c r="K3218">
        <f t="shared" si="50"/>
        <v>29790</v>
      </c>
    </row>
    <row r="3219" spans="1:11" hidden="1" x14ac:dyDescent="0.25">
      <c r="A3219">
        <v>3218</v>
      </c>
      <c r="B3219" s="1">
        <v>45750</v>
      </c>
      <c r="C3219" t="s">
        <v>9</v>
      </c>
      <c r="D3219" t="s">
        <v>110</v>
      </c>
      <c r="E3219" t="s">
        <v>13</v>
      </c>
      <c r="F3219">
        <v>1</v>
      </c>
      <c r="G3219" t="str">
        <f>VLOOKUP(D3219,Товары!A:I,3,0)</f>
        <v>Тумба с раковиной  напол. Альба 600 антрацит 2 ящика с умыв. Океан</v>
      </c>
      <c r="H3219">
        <f>VLOOKUP(D3219,Товары!A:I,6,0)</f>
        <v>80</v>
      </c>
      <c r="I3219" t="str">
        <f>VLOOKUP(C3219,Магазины!A:C,3,0)</f>
        <v>Кемерово</v>
      </c>
      <c r="J3219">
        <f>VLOOKUP(D3219,Товары!A:I,4,0)</f>
        <v>26370</v>
      </c>
      <c r="K3219">
        <f t="shared" si="50"/>
        <v>26370</v>
      </c>
    </row>
    <row r="3220" spans="1:11" hidden="1" x14ac:dyDescent="0.25">
      <c r="A3220">
        <v>3219</v>
      </c>
      <c r="B3220" s="1">
        <v>45752</v>
      </c>
      <c r="C3220" t="s">
        <v>22</v>
      </c>
      <c r="D3220" t="s">
        <v>64</v>
      </c>
      <c r="E3220" t="s">
        <v>13</v>
      </c>
      <c r="F3220">
        <v>2</v>
      </c>
      <c r="G3220" t="str">
        <f>VLOOKUP(D3220,Товары!A:I,3,0)</f>
        <v>Тумба с раковиной  напол. Рица 800 антрацит 2 ящика с умыв. Слим</v>
      </c>
      <c r="H3220">
        <f>VLOOKUP(D3220,Товары!A:I,6,0)</f>
        <v>80</v>
      </c>
      <c r="I3220" t="str">
        <f>VLOOKUP(C3220,Магазины!A:C,3,0)</f>
        <v>Кемерово</v>
      </c>
      <c r="J3220">
        <f>VLOOKUP(D3220,Товары!A:I,4,0)</f>
        <v>28980</v>
      </c>
      <c r="K3220">
        <f t="shared" si="50"/>
        <v>57960</v>
      </c>
    </row>
    <row r="3221" spans="1:11" hidden="1" x14ac:dyDescent="0.25">
      <c r="A3221">
        <v>3220</v>
      </c>
      <c r="B3221" s="1">
        <v>45748</v>
      </c>
      <c r="C3221" t="s">
        <v>14</v>
      </c>
      <c r="D3221" t="s">
        <v>130</v>
      </c>
      <c r="E3221" t="s">
        <v>8</v>
      </c>
      <c r="F3221">
        <v>3</v>
      </c>
      <c r="G3221" t="str">
        <f>VLOOKUP(D3221,Товары!A:I,3,0)</f>
        <v>Пенал напол. Леон 400 форест 2 двери + 1 ящик</v>
      </c>
      <c r="H3221">
        <f>VLOOKUP(D3221,Товары!A:I,6,0)</f>
        <v>190</v>
      </c>
      <c r="I3221" t="str">
        <f>VLOOKUP(C3221,Магазины!A:C,3,0)</f>
        <v>Оренбург</v>
      </c>
      <c r="J3221">
        <f>VLOOKUP(D3221,Товары!A:I,4,0)</f>
        <v>18450</v>
      </c>
      <c r="K3221">
        <f t="shared" si="50"/>
        <v>55350</v>
      </c>
    </row>
    <row r="3222" spans="1:11" hidden="1" x14ac:dyDescent="0.25">
      <c r="A3222">
        <v>3221</v>
      </c>
      <c r="B3222" s="1">
        <v>45750</v>
      </c>
      <c r="C3222" t="s">
        <v>111</v>
      </c>
      <c r="D3222" t="s">
        <v>73</v>
      </c>
      <c r="E3222" t="s">
        <v>8</v>
      </c>
      <c r="F3222">
        <v>2</v>
      </c>
      <c r="G3222" t="str">
        <f>VLOOKUP(D3222,Товары!A:I,3,0)</f>
        <v>Зеркальный шкаф Альба 70 со светильником правый цвет антрацит</v>
      </c>
      <c r="H3222">
        <f>VLOOKUP(D3222,Товары!A:I,6,0)</f>
        <v>75</v>
      </c>
      <c r="I3222" t="str">
        <f>VLOOKUP(C3222,Магазины!A:C,3,0)</f>
        <v>Набережные Челны</v>
      </c>
      <c r="J3222">
        <f>VLOOKUP(D3222,Товары!A:I,4,0)</f>
        <v>9615</v>
      </c>
      <c r="K3222">
        <f t="shared" si="50"/>
        <v>19230</v>
      </c>
    </row>
    <row r="3223" spans="1:11" hidden="1" x14ac:dyDescent="0.25">
      <c r="A3223">
        <v>3222</v>
      </c>
      <c r="B3223" s="1">
        <v>45754</v>
      </c>
      <c r="C3223" t="s">
        <v>18</v>
      </c>
      <c r="D3223" t="s">
        <v>101</v>
      </c>
      <c r="E3223" t="s">
        <v>8</v>
      </c>
      <c r="F3223">
        <v>2</v>
      </c>
      <c r="G3223" t="str">
        <f>VLOOKUP(D3223,Товары!A:I,3,0)</f>
        <v>Пенал напол. Сохо 400 белый 2 двери + 1 ящик</v>
      </c>
      <c r="H3223">
        <f>VLOOKUP(D3223,Товары!A:I,6,0)</f>
        <v>190</v>
      </c>
      <c r="I3223" t="str">
        <f>VLOOKUP(C3223,Магазины!A:C,3,0)</f>
        <v>Набережные Челны</v>
      </c>
      <c r="J3223">
        <f>VLOOKUP(D3223,Товары!A:I,4,0)</f>
        <v>11040</v>
      </c>
      <c r="K3223">
        <f t="shared" si="50"/>
        <v>22080</v>
      </c>
    </row>
    <row r="3224" spans="1:11" hidden="1" x14ac:dyDescent="0.25">
      <c r="A3224">
        <v>3223</v>
      </c>
      <c r="B3224" s="1">
        <v>45757</v>
      </c>
      <c r="C3224" t="s">
        <v>57</v>
      </c>
      <c r="D3224" t="s">
        <v>38</v>
      </c>
      <c r="E3224" t="s">
        <v>8</v>
      </c>
      <c r="F3224">
        <v>2</v>
      </c>
      <c r="G3224" t="str">
        <f>VLOOKUP(D3224,Товары!A:I,3,0)</f>
        <v>Тумба с раковиной  навес. Куба Риф 600 белый 2 ящика с умыв. Como</v>
      </c>
      <c r="H3224">
        <f>VLOOKUP(D3224,Товары!A:I,6,0)</f>
        <v>55</v>
      </c>
      <c r="I3224" t="str">
        <f>VLOOKUP(C3224,Магазины!A:C,3,0)</f>
        <v>Оренбург</v>
      </c>
      <c r="J3224">
        <f>VLOOKUP(D3224,Товары!A:I,4,0)</f>
        <v>14265</v>
      </c>
      <c r="K3224">
        <f t="shared" si="50"/>
        <v>28530</v>
      </c>
    </row>
    <row r="3225" spans="1:11" hidden="1" x14ac:dyDescent="0.25">
      <c r="A3225">
        <v>3224</v>
      </c>
      <c r="B3225" s="1">
        <v>45751</v>
      </c>
      <c r="C3225" t="s">
        <v>20</v>
      </c>
      <c r="D3225" t="s">
        <v>64</v>
      </c>
      <c r="E3225" t="s">
        <v>8</v>
      </c>
      <c r="F3225">
        <v>3</v>
      </c>
      <c r="G3225" t="str">
        <f>VLOOKUP(D3225,Товары!A:I,3,0)</f>
        <v>Тумба с раковиной  напол. Рица 800 антрацит 2 ящика с умыв. Слим</v>
      </c>
      <c r="H3225">
        <f>VLOOKUP(D3225,Товары!A:I,6,0)</f>
        <v>80</v>
      </c>
      <c r="I3225" t="str">
        <f>VLOOKUP(C3225,Магазины!A:C,3,0)</f>
        <v>Оренбург</v>
      </c>
      <c r="J3225">
        <f>VLOOKUP(D3225,Товары!A:I,4,0)</f>
        <v>28980</v>
      </c>
      <c r="K3225">
        <f t="shared" si="50"/>
        <v>86940</v>
      </c>
    </row>
    <row r="3226" spans="1:11" hidden="1" x14ac:dyDescent="0.25">
      <c r="A3226">
        <v>3225</v>
      </c>
      <c r="B3226" s="1">
        <v>45751</v>
      </c>
      <c r="C3226" t="s">
        <v>92</v>
      </c>
      <c r="D3226" t="s">
        <v>37</v>
      </c>
      <c r="E3226" t="s">
        <v>13</v>
      </c>
      <c r="F3226">
        <v>2</v>
      </c>
      <c r="G3226" t="str">
        <f>VLOOKUP(D3226,Товары!A:I,3,0)</f>
        <v>Зеркальный шкаф Сохо 70 белый со светильником правый цвет Белый глянец</v>
      </c>
      <c r="H3226">
        <f>VLOOKUP(D3226,Товары!A:I,6,0)</f>
        <v>75</v>
      </c>
      <c r="I3226" t="str">
        <f>VLOOKUP(C3226,Магазины!A:C,3,0)</f>
        <v>Кемерово</v>
      </c>
      <c r="J3226">
        <f>VLOOKUP(D3226,Товары!A:I,4,0)</f>
        <v>7935</v>
      </c>
      <c r="K3226">
        <f t="shared" si="50"/>
        <v>15870</v>
      </c>
    </row>
    <row r="3227" spans="1:11" hidden="1" x14ac:dyDescent="0.25">
      <c r="A3227">
        <v>3226</v>
      </c>
      <c r="B3227" s="1">
        <v>45757</v>
      </c>
      <c r="C3227" t="s">
        <v>28</v>
      </c>
      <c r="D3227" t="s">
        <v>97</v>
      </c>
      <c r="E3227" t="s">
        <v>8</v>
      </c>
      <c r="F3227">
        <v>3</v>
      </c>
      <c r="G3227" t="str">
        <f>VLOOKUP(D3227,Товары!A:I,3,0)</f>
        <v>Пенал напол. Кристалл 350 суфле 2 двери</v>
      </c>
      <c r="H3227">
        <f>VLOOKUP(D3227,Товары!A:I,6,0)</f>
        <v>190</v>
      </c>
      <c r="I3227" t="str">
        <f>VLOOKUP(C3227,Магазины!A:C,3,0)</f>
        <v>Набережные Челны</v>
      </c>
      <c r="J3227">
        <f>VLOOKUP(D3227,Товары!A:I,4,0)</f>
        <v>15810</v>
      </c>
      <c r="K3227">
        <f t="shared" si="50"/>
        <v>47430</v>
      </c>
    </row>
    <row r="3228" spans="1:11" hidden="1" x14ac:dyDescent="0.25">
      <c r="A3228">
        <v>3227</v>
      </c>
      <c r="B3228" s="1">
        <v>45754</v>
      </c>
      <c r="C3228" t="s">
        <v>28</v>
      </c>
      <c r="D3228" t="s">
        <v>59</v>
      </c>
      <c r="E3228" t="s">
        <v>8</v>
      </c>
      <c r="F3228">
        <v>3</v>
      </c>
      <c r="G3228" t="str">
        <f>VLOOKUP(D3228,Товары!A:I,3,0)</f>
        <v>Тумба с раковиной  навес. Куба Риф 600 белый 2 ящика с умыв. Океан</v>
      </c>
      <c r="H3228">
        <f>VLOOKUP(D3228,Товары!A:I,6,0)</f>
        <v>55</v>
      </c>
      <c r="I3228" t="str">
        <f>VLOOKUP(C3228,Магазины!A:C,3,0)</f>
        <v>Набережные Челны</v>
      </c>
      <c r="J3228">
        <f>VLOOKUP(D3228,Товары!A:I,4,0)</f>
        <v>15765</v>
      </c>
      <c r="K3228">
        <f t="shared" si="50"/>
        <v>47295</v>
      </c>
    </row>
    <row r="3229" spans="1:11" hidden="1" x14ac:dyDescent="0.25">
      <c r="A3229">
        <v>3228</v>
      </c>
      <c r="B3229" s="1">
        <v>45748</v>
      </c>
      <c r="C3229" t="s">
        <v>22</v>
      </c>
      <c r="D3229" t="s">
        <v>44</v>
      </c>
      <c r="E3229" t="s">
        <v>13</v>
      </c>
      <c r="F3229">
        <v>2</v>
      </c>
      <c r="G3229" t="str">
        <f>VLOOKUP(D3229,Товары!A:I,3,0)</f>
        <v>Тумба с раковиной  навес. Кристалл 800 шато азур 2 ящика с умыв. Комфорт</v>
      </c>
      <c r="H3229">
        <f>VLOOKUP(D3229,Товары!A:I,6,0)</f>
        <v>55</v>
      </c>
      <c r="I3229" t="str">
        <f>VLOOKUP(C3229,Магазины!A:C,3,0)</f>
        <v>Кемерово</v>
      </c>
      <c r="J3229">
        <f>VLOOKUP(D3229,Товары!A:I,4,0)</f>
        <v>25080</v>
      </c>
      <c r="K3229">
        <f t="shared" si="50"/>
        <v>50160</v>
      </c>
    </row>
    <row r="3230" spans="1:11" hidden="1" x14ac:dyDescent="0.25">
      <c r="A3230">
        <v>3229</v>
      </c>
      <c r="B3230" s="1">
        <v>45749</v>
      </c>
      <c r="C3230" t="s">
        <v>14</v>
      </c>
      <c r="D3230" t="s">
        <v>59</v>
      </c>
      <c r="E3230" t="s">
        <v>13</v>
      </c>
      <c r="F3230">
        <v>3</v>
      </c>
      <c r="G3230" t="str">
        <f>VLOOKUP(D3230,Товары!A:I,3,0)</f>
        <v>Тумба с раковиной  навес. Куба Риф 600 белый 2 ящика с умыв. Океан</v>
      </c>
      <c r="H3230">
        <f>VLOOKUP(D3230,Товары!A:I,6,0)</f>
        <v>55</v>
      </c>
      <c r="I3230" t="str">
        <f>VLOOKUP(C3230,Магазины!A:C,3,0)</f>
        <v>Оренбург</v>
      </c>
      <c r="J3230">
        <f>VLOOKUP(D3230,Товары!A:I,4,0)</f>
        <v>15765</v>
      </c>
      <c r="K3230">
        <f t="shared" si="50"/>
        <v>47295</v>
      </c>
    </row>
    <row r="3231" spans="1:11" hidden="1" x14ac:dyDescent="0.25">
      <c r="A3231">
        <v>3230</v>
      </c>
      <c r="B3231" s="1">
        <v>45751</v>
      </c>
      <c r="C3231" t="s">
        <v>58</v>
      </c>
      <c r="D3231" t="s">
        <v>95</v>
      </c>
      <c r="E3231" t="s">
        <v>13</v>
      </c>
      <c r="F3231">
        <v>2</v>
      </c>
      <c r="G3231" t="str">
        <f>VLOOKUP(D3231,Товары!A:I,3,0)</f>
        <v>Тумба с раковиной  напол. Рица 600 антрацит 2 ящика с умыв. Океан</v>
      </c>
      <c r="H3231">
        <f>VLOOKUP(D3231,Товары!A:I,6,0)</f>
        <v>80</v>
      </c>
      <c r="I3231" t="str">
        <f>VLOOKUP(C3231,Магазины!A:C,3,0)</f>
        <v>Ставрополь</v>
      </c>
      <c r="J3231">
        <f>VLOOKUP(D3231,Товары!A:I,4,0)</f>
        <v>25560</v>
      </c>
      <c r="K3231">
        <f t="shared" si="50"/>
        <v>51120</v>
      </c>
    </row>
    <row r="3232" spans="1:11" hidden="1" x14ac:dyDescent="0.25">
      <c r="A3232">
        <v>3231</v>
      </c>
      <c r="B3232" s="1">
        <v>45751</v>
      </c>
      <c r="C3232" t="s">
        <v>18</v>
      </c>
      <c r="D3232" t="s">
        <v>31</v>
      </c>
      <c r="E3232" t="s">
        <v>8</v>
      </c>
      <c r="F3232">
        <v>3</v>
      </c>
      <c r="G3232" t="str">
        <f>VLOOKUP(D3232,Товары!A:I,3,0)</f>
        <v>Пенал напол. Виктория 350 белый 2 двери</v>
      </c>
      <c r="H3232">
        <f>VLOOKUP(D3232,Товары!A:I,6,0)</f>
        <v>190</v>
      </c>
      <c r="I3232" t="str">
        <f>VLOOKUP(C3232,Магазины!A:C,3,0)</f>
        <v>Набережные Челны</v>
      </c>
      <c r="J3232">
        <f>VLOOKUP(D3232,Товары!A:I,4,0)</f>
        <v>14085</v>
      </c>
      <c r="K3232">
        <f t="shared" si="50"/>
        <v>42255</v>
      </c>
    </row>
    <row r="3233" spans="1:11" hidden="1" x14ac:dyDescent="0.25">
      <c r="A3233">
        <v>3232</v>
      </c>
      <c r="B3233" s="1">
        <v>45750</v>
      </c>
      <c r="C3233" t="s">
        <v>30</v>
      </c>
      <c r="D3233" t="s">
        <v>61</v>
      </c>
      <c r="E3233" t="s">
        <v>8</v>
      </c>
      <c r="F3233">
        <v>1</v>
      </c>
      <c r="G3233" t="str">
        <f>VLOOKUP(D3233,Товары!A:I,3,0)</f>
        <v>Тумба под стиральную машину Леон Риф 57 напольная 2 ящика под ст/маш, без умывальника /под Marshall 120 Солярис/Белый Риф</v>
      </c>
      <c r="H3233">
        <f>VLOOKUP(D3233,Товары!A:I,6,0)</f>
        <v>85</v>
      </c>
      <c r="I3233" t="str">
        <f>VLOOKUP(C3233,Магазины!A:C,3,0)</f>
        <v>Кемерово</v>
      </c>
      <c r="J3233">
        <f>VLOOKUP(D3233,Товары!A:I,4,0)</f>
        <v>17430</v>
      </c>
      <c r="K3233">
        <f t="shared" si="50"/>
        <v>17430</v>
      </c>
    </row>
    <row r="3234" spans="1:11" hidden="1" x14ac:dyDescent="0.25">
      <c r="A3234">
        <v>3233</v>
      </c>
      <c r="B3234" s="1">
        <v>45754</v>
      </c>
      <c r="C3234" t="s">
        <v>54</v>
      </c>
      <c r="D3234" t="s">
        <v>10</v>
      </c>
      <c r="E3234" t="s">
        <v>8</v>
      </c>
      <c r="F3234">
        <v>2</v>
      </c>
      <c r="G3234" t="str">
        <f>VLOOKUP(D3234,Товары!A:I,3,0)</f>
        <v>Тумба с раковиной  навес. Альба 700 антрацит 1 ящик с умыв. Слим</v>
      </c>
      <c r="H3234">
        <f>VLOOKUP(D3234,Товары!A:I,6,0)</f>
        <v>45</v>
      </c>
      <c r="I3234" t="str">
        <f>VLOOKUP(C3234,Магазины!A:C,3,0)</f>
        <v>Ставрополь</v>
      </c>
      <c r="J3234">
        <f>VLOOKUP(D3234,Товары!A:I,4,0)</f>
        <v>20130</v>
      </c>
      <c r="K3234">
        <f t="shared" si="50"/>
        <v>40260</v>
      </c>
    </row>
    <row r="3235" spans="1:11" hidden="1" x14ac:dyDescent="0.25">
      <c r="A3235">
        <v>3234</v>
      </c>
      <c r="B3235" s="1">
        <v>45755</v>
      </c>
      <c r="C3235" t="s">
        <v>103</v>
      </c>
      <c r="D3235" t="s">
        <v>38</v>
      </c>
      <c r="E3235" t="s">
        <v>8</v>
      </c>
      <c r="F3235">
        <v>3</v>
      </c>
      <c r="G3235" t="str">
        <f>VLOOKUP(D3235,Товары!A:I,3,0)</f>
        <v>Тумба с раковиной  навес. Куба Риф 600 белый 2 ящика с умыв. Como</v>
      </c>
      <c r="H3235">
        <f>VLOOKUP(D3235,Товары!A:I,6,0)</f>
        <v>55</v>
      </c>
      <c r="I3235" t="str">
        <f>VLOOKUP(C3235,Магазины!A:C,3,0)</f>
        <v>Ставрополь</v>
      </c>
      <c r="J3235">
        <f>VLOOKUP(D3235,Товары!A:I,4,0)</f>
        <v>14265</v>
      </c>
      <c r="K3235">
        <f t="shared" si="50"/>
        <v>42795</v>
      </c>
    </row>
    <row r="3236" spans="1:11" hidden="1" x14ac:dyDescent="0.25">
      <c r="A3236">
        <v>3235</v>
      </c>
      <c r="B3236" s="1">
        <v>45754</v>
      </c>
      <c r="C3236" t="s">
        <v>28</v>
      </c>
      <c r="D3236" t="s">
        <v>115</v>
      </c>
      <c r="E3236" t="s">
        <v>8</v>
      </c>
      <c r="F3236">
        <v>1</v>
      </c>
      <c r="G3236" t="str">
        <f>VLOOKUP(D3236,Товары!A:I,3,0)</f>
        <v>Тумба под стиральную машину Куба Риф 57 напольная 2 ящика под ст/маш, без умывальника /под Marshall 120 Белый</v>
      </c>
      <c r="H3236">
        <f>VLOOKUP(D3236,Товары!A:I,6,0)</f>
        <v>85</v>
      </c>
      <c r="I3236" t="str">
        <f>VLOOKUP(C3236,Магазины!A:C,3,0)</f>
        <v>Набережные Челны</v>
      </c>
      <c r="J3236">
        <f>VLOOKUP(D3236,Товары!A:I,4,0)</f>
        <v>10530</v>
      </c>
      <c r="K3236">
        <f t="shared" si="50"/>
        <v>10530</v>
      </c>
    </row>
    <row r="3237" spans="1:11" hidden="1" x14ac:dyDescent="0.25">
      <c r="A3237">
        <v>3236</v>
      </c>
      <c r="B3237" s="1">
        <v>45752</v>
      </c>
      <c r="C3237" t="s">
        <v>41</v>
      </c>
      <c r="D3237" t="s">
        <v>130</v>
      </c>
      <c r="E3237" t="s">
        <v>8</v>
      </c>
      <c r="F3237">
        <v>1</v>
      </c>
      <c r="G3237" t="str">
        <f>VLOOKUP(D3237,Товары!A:I,3,0)</f>
        <v>Пенал напол. Леон 400 форест 2 двери + 1 ящик</v>
      </c>
      <c r="H3237">
        <f>VLOOKUP(D3237,Товары!A:I,6,0)</f>
        <v>190</v>
      </c>
      <c r="I3237" t="str">
        <f>VLOOKUP(C3237,Магазины!A:C,3,0)</f>
        <v>Ставрополь</v>
      </c>
      <c r="J3237">
        <f>VLOOKUP(D3237,Товары!A:I,4,0)</f>
        <v>18450</v>
      </c>
      <c r="K3237">
        <f t="shared" si="50"/>
        <v>18450</v>
      </c>
    </row>
    <row r="3238" spans="1:11" hidden="1" x14ac:dyDescent="0.25">
      <c r="A3238">
        <v>3237</v>
      </c>
      <c r="B3238" s="1">
        <v>45752</v>
      </c>
      <c r="C3238" t="s">
        <v>111</v>
      </c>
      <c r="D3238" t="s">
        <v>82</v>
      </c>
      <c r="E3238" t="s">
        <v>13</v>
      </c>
      <c r="F3238">
        <v>1</v>
      </c>
      <c r="G3238" t="str">
        <f>VLOOKUP(D3238,Товары!A:I,3,0)</f>
        <v>Тумба с раковиной  навес. Леон 800 форест 2 ящика с умыв. Слим</v>
      </c>
      <c r="H3238">
        <f>VLOOKUP(D3238,Товары!A:I,6,0)</f>
        <v>60</v>
      </c>
      <c r="I3238" t="str">
        <f>VLOOKUP(C3238,Магазины!A:C,3,0)</f>
        <v>Набережные Челны</v>
      </c>
      <c r="J3238">
        <f>VLOOKUP(D3238,Товары!A:I,4,0)</f>
        <v>27930</v>
      </c>
      <c r="K3238">
        <f t="shared" si="50"/>
        <v>27930</v>
      </c>
    </row>
    <row r="3239" spans="1:11" hidden="1" x14ac:dyDescent="0.25">
      <c r="A3239">
        <v>3238</v>
      </c>
      <c r="B3239" s="1">
        <v>45749</v>
      </c>
      <c r="C3239" t="s">
        <v>63</v>
      </c>
      <c r="D3239" t="s">
        <v>61</v>
      </c>
      <c r="E3239" t="s">
        <v>13</v>
      </c>
      <c r="F3239">
        <v>1</v>
      </c>
      <c r="G3239" t="str">
        <f>VLOOKUP(D3239,Товары!A:I,3,0)</f>
        <v>Тумба под стиральную машину Леон Риф 57 напольная 2 ящика под ст/маш, без умывальника /под Marshall 120 Солярис/Белый Риф</v>
      </c>
      <c r="H3239">
        <f>VLOOKUP(D3239,Товары!A:I,6,0)</f>
        <v>85</v>
      </c>
      <c r="I3239" t="str">
        <f>VLOOKUP(C3239,Магазины!A:C,3,0)</f>
        <v>Ставрополь</v>
      </c>
      <c r="J3239">
        <f>VLOOKUP(D3239,Товары!A:I,4,0)</f>
        <v>17430</v>
      </c>
      <c r="K3239">
        <f t="shared" si="50"/>
        <v>17430</v>
      </c>
    </row>
    <row r="3240" spans="1:11" hidden="1" x14ac:dyDescent="0.25">
      <c r="A3240">
        <v>3239</v>
      </c>
      <c r="B3240" s="1">
        <v>45751</v>
      </c>
      <c r="C3240" t="s">
        <v>11</v>
      </c>
      <c r="D3240" t="s">
        <v>31</v>
      </c>
      <c r="E3240" t="s">
        <v>13</v>
      </c>
      <c r="F3240">
        <v>1</v>
      </c>
      <c r="G3240" t="str">
        <f>VLOOKUP(D3240,Товары!A:I,3,0)</f>
        <v>Пенал напол. Виктория 350 белый 2 двери</v>
      </c>
      <c r="H3240">
        <f>VLOOKUP(D3240,Товары!A:I,6,0)</f>
        <v>190</v>
      </c>
      <c r="I3240" t="str">
        <f>VLOOKUP(C3240,Магазины!A:C,3,0)</f>
        <v>Кемерово</v>
      </c>
      <c r="J3240">
        <f>VLOOKUP(D3240,Товары!A:I,4,0)</f>
        <v>14085</v>
      </c>
      <c r="K3240">
        <f t="shared" si="50"/>
        <v>14085</v>
      </c>
    </row>
    <row r="3241" spans="1:11" hidden="1" x14ac:dyDescent="0.25">
      <c r="A3241">
        <v>3240</v>
      </c>
      <c r="B3241" s="1">
        <v>45749</v>
      </c>
      <c r="C3241" t="s">
        <v>111</v>
      </c>
      <c r="D3241" t="s">
        <v>128</v>
      </c>
      <c r="E3241" t="s">
        <v>8</v>
      </c>
      <c r="F3241">
        <v>2</v>
      </c>
      <c r="G3241" t="str">
        <f>VLOOKUP(D3241,Товары!A:I,3,0)</f>
        <v>Тумба с раковиной  напол. Куба Риф 1000 белый 2 ящика с умыв. Слим</v>
      </c>
      <c r="H3241">
        <f>VLOOKUP(D3241,Товары!A:I,6,0)</f>
        <v>85</v>
      </c>
      <c r="I3241" t="str">
        <f>VLOOKUP(C3241,Магазины!A:C,3,0)</f>
        <v>Набережные Челны</v>
      </c>
      <c r="J3241">
        <f>VLOOKUP(D3241,Товары!A:I,4,0)</f>
        <v>22905</v>
      </c>
      <c r="K3241">
        <f t="shared" si="50"/>
        <v>45810</v>
      </c>
    </row>
    <row r="3242" spans="1:11" hidden="1" x14ac:dyDescent="0.25">
      <c r="A3242">
        <v>3241</v>
      </c>
      <c r="B3242" s="1">
        <v>45756</v>
      </c>
      <c r="C3242" t="s">
        <v>43</v>
      </c>
      <c r="D3242" t="s">
        <v>52</v>
      </c>
      <c r="E3242" t="s">
        <v>8</v>
      </c>
      <c r="F3242">
        <v>1</v>
      </c>
      <c r="G3242" t="str">
        <f>VLOOKUP(D3242,Товары!A:I,3,0)</f>
        <v>Тумба с раковиной  напол. Кристалл 600 суфле 2 ящика с умыв. Океан</v>
      </c>
      <c r="H3242">
        <f>VLOOKUP(D3242,Товары!A:I,6,0)</f>
        <v>80</v>
      </c>
      <c r="I3242" t="str">
        <f>VLOOKUP(C3242,Магазины!A:C,3,0)</f>
        <v>Набережные Челны</v>
      </c>
      <c r="J3242">
        <f>VLOOKUP(D3242,Товары!A:I,4,0)</f>
        <v>27600</v>
      </c>
      <c r="K3242">
        <f t="shared" si="50"/>
        <v>27600</v>
      </c>
    </row>
    <row r="3243" spans="1:11" hidden="1" x14ac:dyDescent="0.25">
      <c r="A3243">
        <v>3242</v>
      </c>
      <c r="B3243" s="1">
        <v>45749</v>
      </c>
      <c r="C3243" t="s">
        <v>28</v>
      </c>
      <c r="D3243" t="s">
        <v>70</v>
      </c>
      <c r="E3243" t="s">
        <v>8</v>
      </c>
      <c r="F3243">
        <v>1</v>
      </c>
      <c r="G3243" t="str">
        <f>VLOOKUP(D3243,Товары!A:I,3,0)</f>
        <v>Тумба с раковиной  напол. Кристалл 700 шато азур 2 ящика с умыв. Слим</v>
      </c>
      <c r="H3243">
        <f>VLOOKUP(D3243,Товары!A:I,6,0)</f>
        <v>85</v>
      </c>
      <c r="I3243" t="str">
        <f>VLOOKUP(C3243,Магазины!A:C,3,0)</f>
        <v>Набережные Челны</v>
      </c>
      <c r="J3243">
        <f>VLOOKUP(D3243,Товары!A:I,4,0)</f>
        <v>29910</v>
      </c>
      <c r="K3243">
        <f t="shared" si="50"/>
        <v>29910</v>
      </c>
    </row>
    <row r="3244" spans="1:11" hidden="1" x14ac:dyDescent="0.25">
      <c r="A3244">
        <v>3243</v>
      </c>
      <c r="B3244" s="1">
        <v>45754</v>
      </c>
      <c r="C3244" t="s">
        <v>58</v>
      </c>
      <c r="D3244" t="s">
        <v>128</v>
      </c>
      <c r="E3244" t="s">
        <v>8</v>
      </c>
      <c r="F3244">
        <v>1</v>
      </c>
      <c r="G3244" t="str">
        <f>VLOOKUP(D3244,Товары!A:I,3,0)</f>
        <v>Тумба с раковиной  напол. Куба Риф 1000 белый 2 ящика с умыв. Слим</v>
      </c>
      <c r="H3244">
        <f>VLOOKUP(D3244,Товары!A:I,6,0)</f>
        <v>85</v>
      </c>
      <c r="I3244" t="str">
        <f>VLOOKUP(C3244,Магазины!A:C,3,0)</f>
        <v>Ставрополь</v>
      </c>
      <c r="J3244">
        <f>VLOOKUP(D3244,Товары!A:I,4,0)</f>
        <v>22905</v>
      </c>
      <c r="K3244">
        <f t="shared" si="50"/>
        <v>22905</v>
      </c>
    </row>
    <row r="3245" spans="1:11" hidden="1" x14ac:dyDescent="0.25">
      <c r="A3245">
        <v>3244</v>
      </c>
      <c r="B3245" s="1">
        <v>45749</v>
      </c>
      <c r="C3245" t="s">
        <v>22</v>
      </c>
      <c r="D3245" t="s">
        <v>49</v>
      </c>
      <c r="E3245" t="s">
        <v>8</v>
      </c>
      <c r="F3245">
        <v>1</v>
      </c>
      <c r="G3245" t="str">
        <f>VLOOKUP(D3245,Товары!A:I,3,0)</f>
        <v>Тумба с раковиной  напол. Леон 700 оникс 2 ящика с умыв. Слим</v>
      </c>
      <c r="H3245">
        <f>VLOOKUP(D3245,Товары!A:I,6,0)</f>
        <v>80</v>
      </c>
      <c r="I3245" t="str">
        <f>VLOOKUP(C3245,Магазины!A:C,3,0)</f>
        <v>Кемерово</v>
      </c>
      <c r="J3245">
        <f>VLOOKUP(D3245,Товары!A:I,4,0)</f>
        <v>28380</v>
      </c>
      <c r="K3245">
        <f t="shared" si="50"/>
        <v>28380</v>
      </c>
    </row>
    <row r="3246" spans="1:11" hidden="1" x14ac:dyDescent="0.25">
      <c r="A3246">
        <v>3245</v>
      </c>
      <c r="B3246" s="1">
        <v>45756</v>
      </c>
      <c r="C3246" t="s">
        <v>30</v>
      </c>
      <c r="D3246" t="s">
        <v>97</v>
      </c>
      <c r="E3246" t="s">
        <v>8</v>
      </c>
      <c r="F3246">
        <v>2</v>
      </c>
      <c r="G3246" t="str">
        <f>VLOOKUP(D3246,Товары!A:I,3,0)</f>
        <v>Пенал напол. Кристалл 350 суфле 2 двери</v>
      </c>
      <c r="H3246">
        <f>VLOOKUP(D3246,Товары!A:I,6,0)</f>
        <v>190</v>
      </c>
      <c r="I3246" t="str">
        <f>VLOOKUP(C3246,Магазины!A:C,3,0)</f>
        <v>Кемерово</v>
      </c>
      <c r="J3246">
        <f>VLOOKUP(D3246,Товары!A:I,4,0)</f>
        <v>15810</v>
      </c>
      <c r="K3246">
        <f t="shared" si="50"/>
        <v>31620</v>
      </c>
    </row>
    <row r="3247" spans="1:11" hidden="1" x14ac:dyDescent="0.25">
      <c r="A3247">
        <v>3246</v>
      </c>
      <c r="B3247" s="1">
        <v>45752</v>
      </c>
      <c r="C3247" t="s">
        <v>20</v>
      </c>
      <c r="D3247" t="s">
        <v>21</v>
      </c>
      <c r="E3247" t="s">
        <v>8</v>
      </c>
      <c r="F3247">
        <v>1</v>
      </c>
      <c r="G3247" t="str">
        <f>VLOOKUP(D3247,Товары!A:I,3,0)</f>
        <v>Зеркальный шкаф Рица 60 со светильником правый цвет cерый/керамика</v>
      </c>
      <c r="H3247">
        <f>VLOOKUP(D3247,Товары!A:I,6,0)</f>
        <v>75</v>
      </c>
      <c r="I3247" t="str">
        <f>VLOOKUP(C3247,Магазины!A:C,3,0)</f>
        <v>Оренбург</v>
      </c>
      <c r="J3247">
        <f>VLOOKUP(D3247,Товары!A:I,4,0)</f>
        <v>8910</v>
      </c>
      <c r="K3247">
        <f t="shared" si="50"/>
        <v>8910</v>
      </c>
    </row>
    <row r="3248" spans="1:11" hidden="1" x14ac:dyDescent="0.25">
      <c r="A3248">
        <v>3247</v>
      </c>
      <c r="B3248" s="1">
        <v>45756</v>
      </c>
      <c r="C3248" t="s">
        <v>54</v>
      </c>
      <c r="D3248" t="s">
        <v>102</v>
      </c>
      <c r="E3248" t="s">
        <v>13</v>
      </c>
      <c r="F3248">
        <v>3</v>
      </c>
      <c r="G3248" t="str">
        <f>VLOOKUP(D3248,Товары!A:I,3,0)</f>
        <v>Тумба с раковиной  напол. Леон Риф 1000 солярис/белый риф 2 ящика с умыв. Слим</v>
      </c>
      <c r="H3248">
        <f>VLOOKUP(D3248,Товары!A:I,6,0)</f>
        <v>85</v>
      </c>
      <c r="I3248" t="str">
        <f>VLOOKUP(C3248,Магазины!A:C,3,0)</f>
        <v>Ставрополь</v>
      </c>
      <c r="J3248">
        <f>VLOOKUP(D3248,Товары!A:I,4,0)</f>
        <v>32085</v>
      </c>
      <c r="K3248">
        <f t="shared" si="50"/>
        <v>96255</v>
      </c>
    </row>
    <row r="3249" spans="1:11" hidden="1" x14ac:dyDescent="0.25">
      <c r="A3249">
        <v>3248</v>
      </c>
      <c r="B3249" s="1">
        <v>45756</v>
      </c>
      <c r="C3249" t="s">
        <v>20</v>
      </c>
      <c r="D3249" t="s">
        <v>129</v>
      </c>
      <c r="E3249" t="s">
        <v>8</v>
      </c>
      <c r="F3249">
        <v>3</v>
      </c>
      <c r="G3249" t="str">
        <f>VLOOKUP(D3249,Товары!A:I,3,0)</f>
        <v>Тумба с раковиной  напол. Альба 700 антрацит 2 ящика с умыв. Слим</v>
      </c>
      <c r="H3249">
        <f>VLOOKUP(D3249,Товары!A:I,6,0)</f>
        <v>85</v>
      </c>
      <c r="I3249" t="str">
        <f>VLOOKUP(C3249,Магазины!A:C,3,0)</f>
        <v>Оренбург</v>
      </c>
      <c r="J3249">
        <f>VLOOKUP(D3249,Товары!A:I,4,0)</f>
        <v>28695</v>
      </c>
      <c r="K3249">
        <f t="shared" si="50"/>
        <v>86085</v>
      </c>
    </row>
    <row r="3250" spans="1:11" hidden="1" x14ac:dyDescent="0.25">
      <c r="A3250">
        <v>3249</v>
      </c>
      <c r="B3250" s="1">
        <v>45756</v>
      </c>
      <c r="C3250" t="s">
        <v>92</v>
      </c>
      <c r="D3250" t="s">
        <v>51</v>
      </c>
      <c r="E3250" t="s">
        <v>13</v>
      </c>
      <c r="F3250">
        <v>2</v>
      </c>
      <c r="G3250" t="str">
        <f>VLOOKUP(D3250,Товары!A:I,3,0)</f>
        <v>Зеркальный шкаф Альба 80 со светильником правый цвет суфле</v>
      </c>
      <c r="H3250">
        <f>VLOOKUP(D3250,Товары!A:I,6,0)</f>
        <v>75</v>
      </c>
      <c r="I3250" t="str">
        <f>VLOOKUP(C3250,Магазины!A:C,3,0)</f>
        <v>Кемерово</v>
      </c>
      <c r="J3250">
        <f>VLOOKUP(D3250,Товары!A:I,4,0)</f>
        <v>9930</v>
      </c>
      <c r="K3250">
        <f t="shared" si="50"/>
        <v>19860</v>
      </c>
    </row>
    <row r="3251" spans="1:11" hidden="1" x14ac:dyDescent="0.25">
      <c r="A3251">
        <v>3250</v>
      </c>
      <c r="B3251" s="1">
        <v>45748</v>
      </c>
      <c r="C3251" t="s">
        <v>41</v>
      </c>
      <c r="D3251" t="s">
        <v>52</v>
      </c>
      <c r="E3251" t="s">
        <v>13</v>
      </c>
      <c r="F3251">
        <v>3</v>
      </c>
      <c r="G3251" t="str">
        <f>VLOOKUP(D3251,Товары!A:I,3,0)</f>
        <v>Тумба с раковиной  напол. Кристалл 600 суфле 2 ящика с умыв. Океан</v>
      </c>
      <c r="H3251">
        <f>VLOOKUP(D3251,Товары!A:I,6,0)</f>
        <v>80</v>
      </c>
      <c r="I3251" t="str">
        <f>VLOOKUP(C3251,Магазины!A:C,3,0)</f>
        <v>Ставрополь</v>
      </c>
      <c r="J3251">
        <f>VLOOKUP(D3251,Товары!A:I,4,0)</f>
        <v>27600</v>
      </c>
      <c r="K3251">
        <f t="shared" si="50"/>
        <v>82800</v>
      </c>
    </row>
    <row r="3252" spans="1:11" hidden="1" x14ac:dyDescent="0.25">
      <c r="A3252">
        <v>3251</v>
      </c>
      <c r="B3252" s="1">
        <v>45756</v>
      </c>
      <c r="C3252" t="s">
        <v>48</v>
      </c>
      <c r="D3252" t="s">
        <v>78</v>
      </c>
      <c r="E3252" t="s">
        <v>8</v>
      </c>
      <c r="F3252">
        <v>2</v>
      </c>
      <c r="G3252" t="str">
        <f>VLOOKUP(D3252,Товары!A:I,3,0)</f>
        <v>Зеркальный шкаф Кристалл 70 со светильником правый, ручка кнопка дуб цвет Шато Азур</v>
      </c>
      <c r="H3252">
        <f>VLOOKUP(D3252,Товары!A:I,6,0)</f>
        <v>75</v>
      </c>
      <c r="I3252" t="str">
        <f>VLOOKUP(C3252,Магазины!A:C,3,0)</f>
        <v>Ставрополь</v>
      </c>
      <c r="J3252">
        <f>VLOOKUP(D3252,Товары!A:I,4,0)</f>
        <v>9615</v>
      </c>
      <c r="K3252">
        <f t="shared" si="50"/>
        <v>19230</v>
      </c>
    </row>
    <row r="3253" spans="1:11" hidden="1" x14ac:dyDescent="0.25">
      <c r="A3253">
        <v>3252</v>
      </c>
      <c r="B3253" s="1">
        <v>45753</v>
      </c>
      <c r="C3253" t="s">
        <v>16</v>
      </c>
      <c r="D3253" t="s">
        <v>104</v>
      </c>
      <c r="E3253" t="s">
        <v>8</v>
      </c>
      <c r="F3253">
        <v>1</v>
      </c>
      <c r="G3253" t="str">
        <f>VLOOKUP(D3253,Товары!A:I,3,0)</f>
        <v>Тумба под стиральную машину Куба Риф 57 подвесная 2 ящика под ст/маш, без умывальника /под Marshall 120 Белый</v>
      </c>
      <c r="H3253">
        <f>VLOOKUP(D3253,Товары!A:I,6,0)</f>
        <v>50</v>
      </c>
      <c r="I3253" t="str">
        <f>VLOOKUP(C3253,Магазины!A:C,3,0)</f>
        <v>Оренбург</v>
      </c>
      <c r="J3253">
        <f>VLOOKUP(D3253,Товары!A:I,4,0)</f>
        <v>8505</v>
      </c>
      <c r="K3253">
        <f t="shared" si="50"/>
        <v>8505</v>
      </c>
    </row>
    <row r="3254" spans="1:11" hidden="1" x14ac:dyDescent="0.25">
      <c r="A3254">
        <v>3253</v>
      </c>
      <c r="B3254" s="1">
        <v>45753</v>
      </c>
      <c r="C3254" t="s">
        <v>33</v>
      </c>
      <c r="D3254" t="s">
        <v>80</v>
      </c>
      <c r="E3254" t="s">
        <v>8</v>
      </c>
      <c r="F3254">
        <v>3</v>
      </c>
      <c r="G3254" t="str">
        <f>VLOOKUP(D3254,Товары!A:I,3,0)</f>
        <v>Тумба с раковиной  навес. Сохо 600 белый 2 ящика с умыв. Океан</v>
      </c>
      <c r="H3254">
        <f>VLOOKUP(D3254,Товары!A:I,6,0)</f>
        <v>55</v>
      </c>
      <c r="I3254" t="str">
        <f>VLOOKUP(C3254,Магазины!A:C,3,0)</f>
        <v>Набережные Челны</v>
      </c>
      <c r="J3254">
        <f>VLOOKUP(D3254,Товары!A:I,4,0)</f>
        <v>13950</v>
      </c>
      <c r="K3254">
        <f t="shared" si="50"/>
        <v>41850</v>
      </c>
    </row>
    <row r="3255" spans="1:11" hidden="1" x14ac:dyDescent="0.25">
      <c r="A3255">
        <v>3254</v>
      </c>
      <c r="B3255" s="1">
        <v>45752</v>
      </c>
      <c r="C3255" t="s">
        <v>54</v>
      </c>
      <c r="D3255" t="s">
        <v>105</v>
      </c>
      <c r="E3255" t="s">
        <v>13</v>
      </c>
      <c r="F3255">
        <v>1</v>
      </c>
      <c r="G3255" t="str">
        <f>VLOOKUP(D3255,Товары!A:I,3,0)</f>
        <v>Тумба с раковиной  напол. Нева 600 белый 2 двери + 1 ящик с умыв. Como</v>
      </c>
      <c r="H3255">
        <f>VLOOKUP(D3255,Товары!A:I,6,0)</f>
        <v>80</v>
      </c>
      <c r="I3255" t="str">
        <f>VLOOKUP(C3255,Магазины!A:C,3,0)</f>
        <v>Ставрополь</v>
      </c>
      <c r="J3255">
        <f>VLOOKUP(D3255,Товары!A:I,4,0)</f>
        <v>13470</v>
      </c>
      <c r="K3255">
        <f t="shared" si="50"/>
        <v>13470</v>
      </c>
    </row>
    <row r="3256" spans="1:11" hidden="1" x14ac:dyDescent="0.25">
      <c r="A3256">
        <v>3255</v>
      </c>
      <c r="B3256" s="1">
        <v>45750</v>
      </c>
      <c r="C3256" t="s">
        <v>111</v>
      </c>
      <c r="D3256" t="s">
        <v>130</v>
      </c>
      <c r="E3256" t="s">
        <v>8</v>
      </c>
      <c r="F3256">
        <v>2</v>
      </c>
      <c r="G3256" t="str">
        <f>VLOOKUP(D3256,Товары!A:I,3,0)</f>
        <v>Пенал напол. Леон 400 форест 2 двери + 1 ящик</v>
      </c>
      <c r="H3256">
        <f>VLOOKUP(D3256,Товары!A:I,6,0)</f>
        <v>190</v>
      </c>
      <c r="I3256" t="str">
        <f>VLOOKUP(C3256,Магазины!A:C,3,0)</f>
        <v>Набережные Челны</v>
      </c>
      <c r="J3256">
        <f>VLOOKUP(D3256,Товары!A:I,4,0)</f>
        <v>18450</v>
      </c>
      <c r="K3256">
        <f t="shared" si="50"/>
        <v>36900</v>
      </c>
    </row>
    <row r="3257" spans="1:11" hidden="1" x14ac:dyDescent="0.25">
      <c r="A3257">
        <v>3256</v>
      </c>
      <c r="B3257" s="1">
        <v>45756</v>
      </c>
      <c r="C3257" t="s">
        <v>111</v>
      </c>
      <c r="D3257" t="s">
        <v>47</v>
      </c>
      <c r="E3257" t="s">
        <v>8</v>
      </c>
      <c r="F3257">
        <v>2</v>
      </c>
      <c r="G3257" t="str">
        <f>VLOOKUP(D3257,Товары!A:I,3,0)</f>
        <v>Пенал напол. Кристалл 350 шато азур 2 двери</v>
      </c>
      <c r="H3257">
        <f>VLOOKUP(D3257,Товары!A:I,6,0)</f>
        <v>190</v>
      </c>
      <c r="I3257" t="str">
        <f>VLOOKUP(C3257,Магазины!A:C,3,0)</f>
        <v>Набережные Челны</v>
      </c>
      <c r="J3257">
        <f>VLOOKUP(D3257,Товары!A:I,4,0)</f>
        <v>15810</v>
      </c>
      <c r="K3257">
        <f t="shared" si="50"/>
        <v>31620</v>
      </c>
    </row>
    <row r="3258" spans="1:11" hidden="1" x14ac:dyDescent="0.25">
      <c r="A3258">
        <v>3257</v>
      </c>
      <c r="B3258" s="1">
        <v>45756</v>
      </c>
      <c r="C3258" t="s">
        <v>11</v>
      </c>
      <c r="D3258" t="s">
        <v>23</v>
      </c>
      <c r="E3258" t="s">
        <v>13</v>
      </c>
      <c r="F3258">
        <v>1</v>
      </c>
      <c r="G3258" t="str">
        <f>VLOOKUP(D3258,Товары!A:I,3,0)</f>
        <v>Тумба с раковиной  напол. Альба 800 антрацит 2 ящика с умыв. Слим</v>
      </c>
      <c r="H3258">
        <f>VLOOKUP(D3258,Товары!A:I,6,0)</f>
        <v>80</v>
      </c>
      <c r="I3258" t="str">
        <f>VLOOKUP(C3258,Магазины!A:C,3,0)</f>
        <v>Кемерово</v>
      </c>
      <c r="J3258">
        <f>VLOOKUP(D3258,Товары!A:I,4,0)</f>
        <v>29340</v>
      </c>
      <c r="K3258">
        <f t="shared" si="50"/>
        <v>29340</v>
      </c>
    </row>
    <row r="3259" spans="1:11" hidden="1" x14ac:dyDescent="0.25">
      <c r="A3259">
        <v>3258</v>
      </c>
      <c r="B3259" s="1">
        <v>45756</v>
      </c>
      <c r="C3259" t="s">
        <v>18</v>
      </c>
      <c r="D3259" t="s">
        <v>116</v>
      </c>
      <c r="E3259" t="s">
        <v>8</v>
      </c>
      <c r="F3259">
        <v>2</v>
      </c>
      <c r="G3259" t="str">
        <f>VLOOKUP(D3259,Товары!A:I,3,0)</f>
        <v>Зеркало Нева 60 дуб/белый со светильником</v>
      </c>
      <c r="H3259">
        <f>VLOOKUP(D3259,Товары!A:I,6,0)</f>
        <v>80</v>
      </c>
      <c r="I3259" t="str">
        <f>VLOOKUP(C3259,Магазины!A:C,3,0)</f>
        <v>Набережные Челны</v>
      </c>
      <c r="J3259">
        <f>VLOOKUP(D3259,Товары!A:I,4,0)</f>
        <v>5100</v>
      </c>
      <c r="K3259">
        <f t="shared" si="50"/>
        <v>10200</v>
      </c>
    </row>
    <row r="3260" spans="1:11" hidden="1" x14ac:dyDescent="0.25">
      <c r="A3260">
        <v>3259</v>
      </c>
      <c r="B3260" s="1">
        <v>45756</v>
      </c>
      <c r="C3260" t="s">
        <v>20</v>
      </c>
      <c r="D3260" t="s">
        <v>46</v>
      </c>
      <c r="E3260" t="s">
        <v>13</v>
      </c>
      <c r="F3260">
        <v>3</v>
      </c>
      <c r="G3260" t="str">
        <f>VLOOKUP(D3260,Товары!A:I,3,0)</f>
        <v>Тумба с раковиной  напол. Сохо 700 белый 2 ящика с умыв. Слим</v>
      </c>
      <c r="H3260">
        <f>VLOOKUP(D3260,Товары!A:I,6,0)</f>
        <v>85</v>
      </c>
      <c r="I3260" t="str">
        <f>VLOOKUP(C3260,Магазины!A:C,3,0)</f>
        <v>Оренбург</v>
      </c>
      <c r="J3260">
        <f>VLOOKUP(D3260,Товары!A:I,4,0)</f>
        <v>18405</v>
      </c>
      <c r="K3260">
        <f t="shared" si="50"/>
        <v>55215</v>
      </c>
    </row>
    <row r="3261" spans="1:11" hidden="1" x14ac:dyDescent="0.25">
      <c r="A3261">
        <v>3260</v>
      </c>
      <c r="B3261" s="1">
        <v>45753</v>
      </c>
      <c r="C3261" t="s">
        <v>54</v>
      </c>
      <c r="D3261" t="s">
        <v>96</v>
      </c>
      <c r="E3261" t="s">
        <v>13</v>
      </c>
      <c r="F3261">
        <v>2</v>
      </c>
      <c r="G3261" t="str">
        <f>VLOOKUP(D3261,Товары!A:I,3,0)</f>
        <v>Тумба с раковиной  навес. Альба 600 мята 1 ящик с умыв. Океан</v>
      </c>
      <c r="H3261">
        <f>VLOOKUP(D3261,Товары!A:I,6,0)</f>
        <v>85</v>
      </c>
      <c r="I3261" t="str">
        <f>VLOOKUP(C3261,Магазины!A:C,3,0)</f>
        <v>Ставрополь</v>
      </c>
      <c r="J3261">
        <f>VLOOKUP(D3261,Товары!A:I,4,0)</f>
        <v>17625</v>
      </c>
      <c r="K3261">
        <f t="shared" si="50"/>
        <v>35250</v>
      </c>
    </row>
    <row r="3262" spans="1:11" hidden="1" x14ac:dyDescent="0.25">
      <c r="A3262">
        <v>3261</v>
      </c>
      <c r="B3262" s="1">
        <v>45753</v>
      </c>
      <c r="C3262" t="s">
        <v>48</v>
      </c>
      <c r="D3262" t="s">
        <v>73</v>
      </c>
      <c r="E3262" t="s">
        <v>13</v>
      </c>
      <c r="F3262">
        <v>3</v>
      </c>
      <c r="G3262" t="str">
        <f>VLOOKUP(D3262,Товары!A:I,3,0)</f>
        <v>Зеркальный шкаф Альба 70 со светильником правый цвет антрацит</v>
      </c>
      <c r="H3262">
        <f>VLOOKUP(D3262,Товары!A:I,6,0)</f>
        <v>75</v>
      </c>
      <c r="I3262" t="str">
        <f>VLOOKUP(C3262,Магазины!A:C,3,0)</f>
        <v>Ставрополь</v>
      </c>
      <c r="J3262">
        <f>VLOOKUP(D3262,Товары!A:I,4,0)</f>
        <v>9615</v>
      </c>
      <c r="K3262">
        <f t="shared" si="50"/>
        <v>28845</v>
      </c>
    </row>
    <row r="3263" spans="1:11" hidden="1" x14ac:dyDescent="0.25">
      <c r="A3263">
        <v>3262</v>
      </c>
      <c r="B3263" s="1">
        <v>45755</v>
      </c>
      <c r="C3263" t="s">
        <v>33</v>
      </c>
      <c r="D3263" t="s">
        <v>68</v>
      </c>
      <c r="E3263" t="s">
        <v>13</v>
      </c>
      <c r="F3263">
        <v>2</v>
      </c>
      <c r="G3263" t="str">
        <f>VLOOKUP(D3263,Товары!A:I,3,0)</f>
        <v>Тумба с раковиной  навес. Альба 600 антрацит 1 ящик с умыв. Океан</v>
      </c>
      <c r="H3263">
        <f>VLOOKUP(D3263,Товары!A:I,6,0)</f>
        <v>85</v>
      </c>
      <c r="I3263" t="str">
        <f>VLOOKUP(C3263,Магазины!A:C,3,0)</f>
        <v>Набережные Челны</v>
      </c>
      <c r="J3263">
        <f>VLOOKUP(D3263,Товары!A:I,4,0)</f>
        <v>17625</v>
      </c>
      <c r="K3263">
        <f t="shared" si="50"/>
        <v>35250</v>
      </c>
    </row>
    <row r="3264" spans="1:11" hidden="1" x14ac:dyDescent="0.25">
      <c r="A3264">
        <v>3263</v>
      </c>
      <c r="B3264" s="1">
        <v>45748</v>
      </c>
      <c r="C3264" t="s">
        <v>35</v>
      </c>
      <c r="D3264" t="s">
        <v>70</v>
      </c>
      <c r="E3264" t="s">
        <v>8</v>
      </c>
      <c r="F3264">
        <v>3</v>
      </c>
      <c r="G3264" t="str">
        <f>VLOOKUP(D3264,Товары!A:I,3,0)</f>
        <v>Тумба с раковиной  напол. Кристалл 700 шато азур 2 ящика с умыв. Слим</v>
      </c>
      <c r="H3264">
        <f>VLOOKUP(D3264,Товары!A:I,6,0)</f>
        <v>85</v>
      </c>
      <c r="I3264" t="str">
        <f>VLOOKUP(C3264,Магазины!A:C,3,0)</f>
        <v>Набережные Челны</v>
      </c>
      <c r="J3264">
        <f>VLOOKUP(D3264,Товары!A:I,4,0)</f>
        <v>29910</v>
      </c>
      <c r="K3264">
        <f t="shared" si="50"/>
        <v>89730</v>
      </c>
    </row>
    <row r="3265" spans="1:11" hidden="1" x14ac:dyDescent="0.25">
      <c r="A3265">
        <v>3264</v>
      </c>
      <c r="B3265" s="1">
        <v>45750</v>
      </c>
      <c r="C3265" t="s">
        <v>33</v>
      </c>
      <c r="D3265" t="s">
        <v>17</v>
      </c>
      <c r="E3265" t="s">
        <v>13</v>
      </c>
      <c r="F3265">
        <v>2</v>
      </c>
      <c r="G3265" t="str">
        <f>VLOOKUP(D3265,Товары!A:I,3,0)</f>
        <v>Тумба с раковиной  навес. Альба 800 антрацит 1 ящик с умыв. Слим</v>
      </c>
      <c r="H3265">
        <f>VLOOKUP(D3265,Товары!A:I,6,0)</f>
        <v>45</v>
      </c>
      <c r="I3265" t="str">
        <f>VLOOKUP(C3265,Магазины!A:C,3,0)</f>
        <v>Набережные Челны</v>
      </c>
      <c r="J3265">
        <f>VLOOKUP(D3265,Товары!A:I,4,0)</f>
        <v>21630</v>
      </c>
      <c r="K3265">
        <f t="shared" si="50"/>
        <v>43260</v>
      </c>
    </row>
    <row r="3266" spans="1:11" hidden="1" x14ac:dyDescent="0.25">
      <c r="A3266">
        <v>3265</v>
      </c>
      <c r="B3266" s="1">
        <v>45751</v>
      </c>
      <c r="C3266" t="s">
        <v>11</v>
      </c>
      <c r="D3266" t="s">
        <v>31</v>
      </c>
      <c r="E3266" t="s">
        <v>13</v>
      </c>
      <c r="F3266">
        <v>2</v>
      </c>
      <c r="G3266" t="str">
        <f>VLOOKUP(D3266,Товары!A:I,3,0)</f>
        <v>Пенал напол. Виктория 350 белый 2 двери</v>
      </c>
      <c r="H3266">
        <f>VLOOKUP(D3266,Товары!A:I,6,0)</f>
        <v>190</v>
      </c>
      <c r="I3266" t="str">
        <f>VLOOKUP(C3266,Магазины!A:C,3,0)</f>
        <v>Кемерово</v>
      </c>
      <c r="J3266">
        <f>VLOOKUP(D3266,Товары!A:I,4,0)</f>
        <v>14085</v>
      </c>
      <c r="K3266">
        <f t="shared" si="50"/>
        <v>28170</v>
      </c>
    </row>
    <row r="3267" spans="1:11" hidden="1" x14ac:dyDescent="0.25">
      <c r="A3267">
        <v>3266</v>
      </c>
      <c r="B3267" s="1">
        <v>45755</v>
      </c>
      <c r="C3267" t="s">
        <v>22</v>
      </c>
      <c r="D3267" t="s">
        <v>88</v>
      </c>
      <c r="E3267" t="s">
        <v>13</v>
      </c>
      <c r="F3267">
        <v>2</v>
      </c>
      <c r="G3267" t="str">
        <f>VLOOKUP(D3267,Товары!A:I,3,0)</f>
        <v>Тумба с раковиной  навес. Альба 800 антрацит 2 ящика с умыв. Слим</v>
      </c>
      <c r="H3267">
        <f>VLOOKUP(D3267,Товары!A:I,6,0)</f>
        <v>50</v>
      </c>
      <c r="I3267" t="str">
        <f>VLOOKUP(C3267,Магазины!A:C,3,0)</f>
        <v>Кемерово</v>
      </c>
      <c r="J3267">
        <f>VLOOKUP(D3267,Товары!A:I,4,0)</f>
        <v>26070</v>
      </c>
      <c r="K3267">
        <f t="shared" ref="K3267:K3330" si="51">J3267*F3267</f>
        <v>52140</v>
      </c>
    </row>
    <row r="3268" spans="1:11" hidden="1" x14ac:dyDescent="0.25">
      <c r="A3268">
        <v>3267</v>
      </c>
      <c r="B3268" s="1">
        <v>45750</v>
      </c>
      <c r="C3268" t="s">
        <v>92</v>
      </c>
      <c r="D3268" t="s">
        <v>102</v>
      </c>
      <c r="E3268" t="s">
        <v>8</v>
      </c>
      <c r="F3268">
        <v>1</v>
      </c>
      <c r="G3268" t="str">
        <f>VLOOKUP(D3268,Товары!A:I,3,0)</f>
        <v>Тумба с раковиной  напол. Леон Риф 1000 солярис/белый риф 2 ящика с умыв. Слим</v>
      </c>
      <c r="H3268">
        <f>VLOOKUP(D3268,Товары!A:I,6,0)</f>
        <v>85</v>
      </c>
      <c r="I3268" t="str">
        <f>VLOOKUP(C3268,Магазины!A:C,3,0)</f>
        <v>Кемерово</v>
      </c>
      <c r="J3268">
        <f>VLOOKUP(D3268,Товары!A:I,4,0)</f>
        <v>32085</v>
      </c>
      <c r="K3268">
        <f t="shared" si="51"/>
        <v>32085</v>
      </c>
    </row>
    <row r="3269" spans="1:11" hidden="1" x14ac:dyDescent="0.25">
      <c r="A3269">
        <v>3268</v>
      </c>
      <c r="B3269" s="1">
        <v>45756</v>
      </c>
      <c r="C3269" t="s">
        <v>20</v>
      </c>
      <c r="D3269" t="s">
        <v>112</v>
      </c>
      <c r="E3269" t="s">
        <v>13</v>
      </c>
      <c r="F3269">
        <v>2</v>
      </c>
      <c r="G3269" t="str">
        <f>VLOOKUP(D3269,Товары!A:I,3,0)</f>
        <v>Тумба с раковиной  напол. Аква 560 белый 2 двери с умыв. Уют</v>
      </c>
      <c r="H3269">
        <f>VLOOKUP(D3269,Товары!A:I,6,0)</f>
        <v>85</v>
      </c>
      <c r="I3269" t="str">
        <f>VLOOKUP(C3269,Магазины!A:C,3,0)</f>
        <v>Оренбург</v>
      </c>
      <c r="J3269">
        <f>VLOOKUP(D3269,Товары!A:I,4,0)</f>
        <v>9330</v>
      </c>
      <c r="K3269">
        <f t="shared" si="51"/>
        <v>18660</v>
      </c>
    </row>
    <row r="3270" spans="1:11" hidden="1" x14ac:dyDescent="0.25">
      <c r="A3270">
        <v>3269</v>
      </c>
      <c r="B3270" s="1">
        <v>45751</v>
      </c>
      <c r="C3270" t="s">
        <v>48</v>
      </c>
      <c r="D3270" t="s">
        <v>100</v>
      </c>
      <c r="E3270" t="s">
        <v>8</v>
      </c>
      <c r="F3270">
        <v>1</v>
      </c>
      <c r="G3270" t="str">
        <f>VLOOKUP(D3270,Товары!A:I,3,0)</f>
        <v>Тумба с раковиной  навес. Альба 800 мята 1 ящик с умыв. Слим</v>
      </c>
      <c r="H3270">
        <f>VLOOKUP(D3270,Товары!A:I,6,0)</f>
        <v>45</v>
      </c>
      <c r="I3270" t="str">
        <f>VLOOKUP(C3270,Магазины!A:C,3,0)</f>
        <v>Ставрополь</v>
      </c>
      <c r="J3270">
        <f>VLOOKUP(D3270,Товары!A:I,4,0)</f>
        <v>21630</v>
      </c>
      <c r="K3270">
        <f t="shared" si="51"/>
        <v>21630</v>
      </c>
    </row>
    <row r="3271" spans="1:11" hidden="1" x14ac:dyDescent="0.25">
      <c r="A3271">
        <v>3270</v>
      </c>
      <c r="B3271" s="1">
        <v>45754</v>
      </c>
      <c r="C3271" t="s">
        <v>16</v>
      </c>
      <c r="D3271" t="s">
        <v>27</v>
      </c>
      <c r="E3271" t="s">
        <v>13</v>
      </c>
      <c r="F3271">
        <v>2</v>
      </c>
      <c r="G3271" t="str">
        <f>VLOOKUP(D3271,Товары!A:I,3,0)</f>
        <v>Тумба с раковиной  навес. Виктория 800 белый 2 ящика с умыв. Слим</v>
      </c>
      <c r="H3271">
        <f>VLOOKUP(D3271,Товары!A:I,6,0)</f>
        <v>60</v>
      </c>
      <c r="I3271" t="str">
        <f>VLOOKUP(C3271,Магазины!A:C,3,0)</f>
        <v>Оренбург</v>
      </c>
      <c r="J3271">
        <f>VLOOKUP(D3271,Товары!A:I,4,0)</f>
        <v>25290</v>
      </c>
      <c r="K3271">
        <f t="shared" si="51"/>
        <v>50580</v>
      </c>
    </row>
    <row r="3272" spans="1:11" hidden="1" x14ac:dyDescent="0.25">
      <c r="A3272">
        <v>3271</v>
      </c>
      <c r="B3272" s="1">
        <v>45754</v>
      </c>
      <c r="C3272" t="s">
        <v>14</v>
      </c>
      <c r="D3272" t="s">
        <v>127</v>
      </c>
      <c r="E3272" t="s">
        <v>8</v>
      </c>
      <c r="F3272">
        <v>1</v>
      </c>
      <c r="G3272" t="str">
        <f>VLOOKUP(D3272,Товары!A:I,3,0)</f>
        <v>Тумба с раковиной  навес. Альба 700 мята 1 ящик с умыв. Слим</v>
      </c>
      <c r="H3272">
        <f>VLOOKUP(D3272,Товары!A:I,6,0)</f>
        <v>45</v>
      </c>
      <c r="I3272" t="str">
        <f>VLOOKUP(C3272,Магазины!A:C,3,0)</f>
        <v>Оренбург</v>
      </c>
      <c r="J3272">
        <f>VLOOKUP(D3272,Товары!A:I,4,0)</f>
        <v>20130</v>
      </c>
      <c r="K3272">
        <f t="shared" si="51"/>
        <v>20130</v>
      </c>
    </row>
    <row r="3273" spans="1:11" hidden="1" x14ac:dyDescent="0.25">
      <c r="A3273">
        <v>3272</v>
      </c>
      <c r="B3273" s="1">
        <v>45751</v>
      </c>
      <c r="C3273" t="s">
        <v>58</v>
      </c>
      <c r="D3273" t="s">
        <v>99</v>
      </c>
      <c r="E3273" t="s">
        <v>8</v>
      </c>
      <c r="F3273">
        <v>2</v>
      </c>
      <c r="G3273" t="str">
        <f>VLOOKUP(D3273,Товары!A:I,3,0)</f>
        <v>Тумба с раковиной  навес. Леон 600 оникс 2 ящика с умыв. Слим</v>
      </c>
      <c r="H3273">
        <f>VLOOKUP(D3273,Товары!A:I,6,0)</f>
        <v>60</v>
      </c>
      <c r="I3273" t="str">
        <f>VLOOKUP(C3273,Магазины!A:C,3,0)</f>
        <v>Ставрополь</v>
      </c>
      <c r="J3273">
        <f>VLOOKUP(D3273,Товары!A:I,4,0)</f>
        <v>25125</v>
      </c>
      <c r="K3273">
        <f t="shared" si="51"/>
        <v>50250</v>
      </c>
    </row>
    <row r="3274" spans="1:11" hidden="1" x14ac:dyDescent="0.25">
      <c r="A3274">
        <v>3273</v>
      </c>
      <c r="B3274" s="1">
        <v>45754</v>
      </c>
      <c r="C3274" t="s">
        <v>41</v>
      </c>
      <c r="D3274" t="s">
        <v>66</v>
      </c>
      <c r="E3274" t="s">
        <v>8</v>
      </c>
      <c r="F3274">
        <v>3</v>
      </c>
      <c r="G3274" t="str">
        <f>VLOOKUP(D3274,Товары!A:I,3,0)</f>
        <v>Тумба с раковиной  навес. Альба 800 мята 2 ящика с умыв. Слим</v>
      </c>
      <c r="H3274">
        <f>VLOOKUP(D3274,Товары!A:I,6,0)</f>
        <v>50</v>
      </c>
      <c r="I3274" t="str">
        <f>VLOOKUP(C3274,Магазины!A:C,3,0)</f>
        <v>Ставрополь</v>
      </c>
      <c r="J3274">
        <f>VLOOKUP(D3274,Товары!A:I,4,0)</f>
        <v>26070</v>
      </c>
      <c r="K3274">
        <f t="shared" si="51"/>
        <v>78210</v>
      </c>
    </row>
    <row r="3275" spans="1:11" hidden="1" x14ac:dyDescent="0.25">
      <c r="A3275">
        <v>3274</v>
      </c>
      <c r="B3275" s="1">
        <v>45752</v>
      </c>
      <c r="C3275" t="s">
        <v>111</v>
      </c>
      <c r="D3275" t="s">
        <v>88</v>
      </c>
      <c r="E3275" t="s">
        <v>13</v>
      </c>
      <c r="F3275">
        <v>2</v>
      </c>
      <c r="G3275" t="str">
        <f>VLOOKUP(D3275,Товары!A:I,3,0)</f>
        <v>Тумба с раковиной  навес. Альба 800 антрацит 2 ящика с умыв. Слим</v>
      </c>
      <c r="H3275">
        <f>VLOOKUP(D3275,Товары!A:I,6,0)</f>
        <v>50</v>
      </c>
      <c r="I3275" t="str">
        <f>VLOOKUP(C3275,Магазины!A:C,3,0)</f>
        <v>Набережные Челны</v>
      </c>
      <c r="J3275">
        <f>VLOOKUP(D3275,Товары!A:I,4,0)</f>
        <v>26070</v>
      </c>
      <c r="K3275">
        <f t="shared" si="51"/>
        <v>52140</v>
      </c>
    </row>
    <row r="3276" spans="1:11" hidden="1" x14ac:dyDescent="0.25">
      <c r="A3276">
        <v>3275</v>
      </c>
      <c r="B3276" s="1">
        <v>45752</v>
      </c>
      <c r="C3276" t="s">
        <v>92</v>
      </c>
      <c r="D3276" t="s">
        <v>19</v>
      </c>
      <c r="E3276" t="s">
        <v>8</v>
      </c>
      <c r="F3276">
        <v>1</v>
      </c>
      <c r="G3276" t="str">
        <f>VLOOKUP(D3276,Товары!A:I,3,0)</f>
        <v>Тумба с раковиной  навес. Леон 800 оникс 2 ящика с умыв. Слим</v>
      </c>
      <c r="H3276">
        <f>VLOOKUP(D3276,Товары!A:I,6,0)</f>
        <v>60</v>
      </c>
      <c r="I3276" t="str">
        <f>VLOOKUP(C3276,Магазины!A:C,3,0)</f>
        <v>Кемерово</v>
      </c>
      <c r="J3276">
        <f>VLOOKUP(D3276,Товары!A:I,4,0)</f>
        <v>27930</v>
      </c>
      <c r="K3276">
        <f t="shared" si="51"/>
        <v>27930</v>
      </c>
    </row>
    <row r="3277" spans="1:11" hidden="1" x14ac:dyDescent="0.25">
      <c r="A3277">
        <v>3276</v>
      </c>
      <c r="B3277" s="1">
        <v>45755</v>
      </c>
      <c r="C3277" t="s">
        <v>20</v>
      </c>
      <c r="D3277" t="s">
        <v>130</v>
      </c>
      <c r="E3277" t="s">
        <v>13</v>
      </c>
      <c r="F3277">
        <v>3</v>
      </c>
      <c r="G3277" t="str">
        <f>VLOOKUP(D3277,Товары!A:I,3,0)</f>
        <v>Пенал напол. Леон 400 форест 2 двери + 1 ящик</v>
      </c>
      <c r="H3277">
        <f>VLOOKUP(D3277,Товары!A:I,6,0)</f>
        <v>190</v>
      </c>
      <c r="I3277" t="str">
        <f>VLOOKUP(C3277,Магазины!A:C,3,0)</f>
        <v>Оренбург</v>
      </c>
      <c r="J3277">
        <f>VLOOKUP(D3277,Товары!A:I,4,0)</f>
        <v>18450</v>
      </c>
      <c r="K3277">
        <f t="shared" si="51"/>
        <v>55350</v>
      </c>
    </row>
    <row r="3278" spans="1:11" hidden="1" x14ac:dyDescent="0.25">
      <c r="A3278">
        <v>3277</v>
      </c>
      <c r="B3278" s="1">
        <v>45751</v>
      </c>
      <c r="C3278" t="s">
        <v>35</v>
      </c>
      <c r="D3278" t="s">
        <v>82</v>
      </c>
      <c r="E3278" t="s">
        <v>8</v>
      </c>
      <c r="F3278">
        <v>1</v>
      </c>
      <c r="G3278" t="str">
        <f>VLOOKUP(D3278,Товары!A:I,3,0)</f>
        <v>Тумба с раковиной  навес. Леон 800 форест 2 ящика с умыв. Слим</v>
      </c>
      <c r="H3278">
        <f>VLOOKUP(D3278,Товары!A:I,6,0)</f>
        <v>60</v>
      </c>
      <c r="I3278" t="str">
        <f>VLOOKUP(C3278,Магазины!A:C,3,0)</f>
        <v>Набережные Челны</v>
      </c>
      <c r="J3278">
        <f>VLOOKUP(D3278,Товары!A:I,4,0)</f>
        <v>27930</v>
      </c>
      <c r="K3278">
        <f t="shared" si="51"/>
        <v>27930</v>
      </c>
    </row>
    <row r="3279" spans="1:11" hidden="1" x14ac:dyDescent="0.25">
      <c r="A3279">
        <v>3278</v>
      </c>
      <c r="B3279" s="1">
        <v>45751</v>
      </c>
      <c r="C3279" t="s">
        <v>20</v>
      </c>
      <c r="D3279" t="s">
        <v>7</v>
      </c>
      <c r="E3279" t="s">
        <v>8</v>
      </c>
      <c r="F3279">
        <v>1</v>
      </c>
      <c r="G3279" t="str">
        <f>VLOOKUP(D3279,Товары!A:I,3,0)</f>
        <v>Пенал напол. Леон Риф 400 солярис/белый риф 2 двери + 1 ящик</v>
      </c>
      <c r="H3279">
        <f>VLOOKUP(D3279,Товары!A:I,6,0)</f>
        <v>190</v>
      </c>
      <c r="I3279" t="str">
        <f>VLOOKUP(C3279,Магазины!A:C,3,0)</f>
        <v>Оренбург</v>
      </c>
      <c r="J3279">
        <f>VLOOKUP(D3279,Товары!A:I,4,0)</f>
        <v>14490</v>
      </c>
      <c r="K3279">
        <f t="shared" si="51"/>
        <v>14490</v>
      </c>
    </row>
    <row r="3280" spans="1:11" hidden="1" x14ac:dyDescent="0.25">
      <c r="A3280">
        <v>3279</v>
      </c>
      <c r="B3280" s="1">
        <v>45753</v>
      </c>
      <c r="C3280" t="s">
        <v>48</v>
      </c>
      <c r="D3280" t="s">
        <v>102</v>
      </c>
      <c r="E3280" t="s">
        <v>13</v>
      </c>
      <c r="F3280">
        <v>1</v>
      </c>
      <c r="G3280" t="str">
        <f>VLOOKUP(D3280,Товары!A:I,3,0)</f>
        <v>Тумба с раковиной  напол. Леон Риф 1000 солярис/белый риф 2 ящика с умыв. Слим</v>
      </c>
      <c r="H3280">
        <f>VLOOKUP(D3280,Товары!A:I,6,0)</f>
        <v>85</v>
      </c>
      <c r="I3280" t="str">
        <f>VLOOKUP(C3280,Магазины!A:C,3,0)</f>
        <v>Ставрополь</v>
      </c>
      <c r="J3280">
        <f>VLOOKUP(D3280,Товары!A:I,4,0)</f>
        <v>32085</v>
      </c>
      <c r="K3280">
        <f t="shared" si="51"/>
        <v>32085</v>
      </c>
    </row>
    <row r="3281" spans="1:11" hidden="1" x14ac:dyDescent="0.25">
      <c r="A3281">
        <v>3280</v>
      </c>
      <c r="B3281" s="1">
        <v>45757</v>
      </c>
      <c r="C3281" t="s">
        <v>26</v>
      </c>
      <c r="D3281" t="s">
        <v>121</v>
      </c>
      <c r="E3281" t="s">
        <v>13</v>
      </c>
      <c r="F3281">
        <v>1</v>
      </c>
      <c r="G3281" t="str">
        <f>VLOOKUP(D3281,Товары!A:I,3,0)</f>
        <v>Тумба с раковиной  напол. Куба Риф 600 белый 2 двери с умыв. Como</v>
      </c>
      <c r="H3281">
        <f>VLOOKUP(D3281,Товары!A:I,6,0)</f>
        <v>85</v>
      </c>
      <c r="I3281" t="str">
        <f>VLOOKUP(C3281,Магазины!A:C,3,0)</f>
        <v>Оренбург</v>
      </c>
      <c r="J3281">
        <f>VLOOKUP(D3281,Товары!A:I,4,0)</f>
        <v>13695</v>
      </c>
      <c r="K3281">
        <f t="shared" si="51"/>
        <v>13695</v>
      </c>
    </row>
    <row r="3282" spans="1:11" hidden="1" x14ac:dyDescent="0.25">
      <c r="A3282">
        <v>3281</v>
      </c>
      <c r="B3282" s="1">
        <v>45754</v>
      </c>
      <c r="C3282" t="s">
        <v>43</v>
      </c>
      <c r="D3282" t="s">
        <v>93</v>
      </c>
      <c r="E3282" t="s">
        <v>13</v>
      </c>
      <c r="F3282">
        <v>1</v>
      </c>
      <c r="G3282" t="str">
        <f>VLOOKUP(D3282,Товары!A:I,3,0)</f>
        <v>Тумба с раковиной  напол. Леон Риф 800 солярис/белый риф 2 ящика с умыв. Слим</v>
      </c>
      <c r="H3282">
        <f>VLOOKUP(D3282,Товары!A:I,6,0)</f>
        <v>80</v>
      </c>
      <c r="I3282" t="str">
        <f>VLOOKUP(C3282,Магазины!A:C,3,0)</f>
        <v>Набережные Челны</v>
      </c>
      <c r="J3282">
        <f>VLOOKUP(D3282,Товары!A:I,4,0)</f>
        <v>29340</v>
      </c>
      <c r="K3282">
        <f t="shared" si="51"/>
        <v>29340</v>
      </c>
    </row>
    <row r="3283" spans="1:11" hidden="1" x14ac:dyDescent="0.25">
      <c r="A3283">
        <v>3282</v>
      </c>
      <c r="B3283" s="1">
        <v>45756</v>
      </c>
      <c r="C3283" t="s">
        <v>22</v>
      </c>
      <c r="D3283" t="s">
        <v>86</v>
      </c>
      <c r="E3283" t="s">
        <v>8</v>
      </c>
      <c r="F3283">
        <v>3</v>
      </c>
      <c r="G3283" t="str">
        <f>VLOOKUP(D3283,Товары!A:I,3,0)</f>
        <v>Комод Аква 50 напольный 1 ящик 2 двери белый</v>
      </c>
      <c r="H3283">
        <f>VLOOKUP(D3283,Товары!A:I,6,0)</f>
        <v>90</v>
      </c>
      <c r="I3283" t="str">
        <f>VLOOKUP(C3283,Магазины!A:C,3,0)</f>
        <v>Кемерово</v>
      </c>
      <c r="J3283">
        <f>VLOOKUP(D3283,Товары!A:I,4,0)</f>
        <v>7260</v>
      </c>
      <c r="K3283">
        <f t="shared" si="51"/>
        <v>21780</v>
      </c>
    </row>
    <row r="3284" spans="1:11" hidden="1" x14ac:dyDescent="0.25">
      <c r="A3284">
        <v>3283</v>
      </c>
      <c r="B3284" s="1">
        <v>45754</v>
      </c>
      <c r="C3284" t="s">
        <v>92</v>
      </c>
      <c r="D3284" t="s">
        <v>37</v>
      </c>
      <c r="E3284" t="s">
        <v>13</v>
      </c>
      <c r="F3284">
        <v>2</v>
      </c>
      <c r="G3284" t="str">
        <f>VLOOKUP(D3284,Товары!A:I,3,0)</f>
        <v>Зеркальный шкаф Сохо 70 белый со светильником правый цвет Белый глянец</v>
      </c>
      <c r="H3284">
        <f>VLOOKUP(D3284,Товары!A:I,6,0)</f>
        <v>75</v>
      </c>
      <c r="I3284" t="str">
        <f>VLOOKUP(C3284,Магазины!A:C,3,0)</f>
        <v>Кемерово</v>
      </c>
      <c r="J3284">
        <f>VLOOKUP(D3284,Товары!A:I,4,0)</f>
        <v>7935</v>
      </c>
      <c r="K3284">
        <f t="shared" si="51"/>
        <v>15870</v>
      </c>
    </row>
    <row r="3285" spans="1:11" hidden="1" x14ac:dyDescent="0.25">
      <c r="A3285">
        <v>3284</v>
      </c>
      <c r="B3285" s="1">
        <v>45754</v>
      </c>
      <c r="C3285" t="s">
        <v>14</v>
      </c>
      <c r="D3285" t="s">
        <v>88</v>
      </c>
      <c r="E3285" t="s">
        <v>8</v>
      </c>
      <c r="F3285">
        <v>3</v>
      </c>
      <c r="G3285" t="str">
        <f>VLOOKUP(D3285,Товары!A:I,3,0)</f>
        <v>Тумба с раковиной  навес. Альба 800 антрацит 2 ящика с умыв. Слим</v>
      </c>
      <c r="H3285">
        <f>VLOOKUP(D3285,Товары!A:I,6,0)</f>
        <v>50</v>
      </c>
      <c r="I3285" t="str">
        <f>VLOOKUP(C3285,Магазины!A:C,3,0)</f>
        <v>Оренбург</v>
      </c>
      <c r="J3285">
        <f>VLOOKUP(D3285,Товары!A:I,4,0)</f>
        <v>26070</v>
      </c>
      <c r="K3285">
        <f t="shared" si="51"/>
        <v>78210</v>
      </c>
    </row>
    <row r="3286" spans="1:11" hidden="1" x14ac:dyDescent="0.25">
      <c r="A3286">
        <v>3285</v>
      </c>
      <c r="B3286" s="1">
        <v>45750</v>
      </c>
      <c r="C3286" t="s">
        <v>30</v>
      </c>
      <c r="D3286" t="s">
        <v>82</v>
      </c>
      <c r="E3286" t="s">
        <v>13</v>
      </c>
      <c r="F3286">
        <v>3</v>
      </c>
      <c r="G3286" t="str">
        <f>VLOOKUP(D3286,Товары!A:I,3,0)</f>
        <v>Тумба с раковиной  навес. Леон 800 форест 2 ящика с умыв. Слим</v>
      </c>
      <c r="H3286">
        <f>VLOOKUP(D3286,Товары!A:I,6,0)</f>
        <v>60</v>
      </c>
      <c r="I3286" t="str">
        <f>VLOOKUP(C3286,Магазины!A:C,3,0)</f>
        <v>Кемерово</v>
      </c>
      <c r="J3286">
        <f>VLOOKUP(D3286,Товары!A:I,4,0)</f>
        <v>27930</v>
      </c>
      <c r="K3286">
        <f t="shared" si="51"/>
        <v>83790</v>
      </c>
    </row>
    <row r="3287" spans="1:11" hidden="1" x14ac:dyDescent="0.25">
      <c r="A3287">
        <v>3286</v>
      </c>
      <c r="B3287" s="1">
        <v>45752</v>
      </c>
      <c r="C3287" t="s">
        <v>11</v>
      </c>
      <c r="D3287" t="s">
        <v>116</v>
      </c>
      <c r="E3287" t="s">
        <v>13</v>
      </c>
      <c r="F3287">
        <v>1</v>
      </c>
      <c r="G3287" t="str">
        <f>VLOOKUP(D3287,Товары!A:I,3,0)</f>
        <v>Зеркало Нева 60 дуб/белый со светильником</v>
      </c>
      <c r="H3287">
        <f>VLOOKUP(D3287,Товары!A:I,6,0)</f>
        <v>80</v>
      </c>
      <c r="I3287" t="str">
        <f>VLOOKUP(C3287,Магазины!A:C,3,0)</f>
        <v>Кемерово</v>
      </c>
      <c r="J3287">
        <f>VLOOKUP(D3287,Товары!A:I,4,0)</f>
        <v>5100</v>
      </c>
      <c r="K3287">
        <f t="shared" si="51"/>
        <v>5100</v>
      </c>
    </row>
    <row r="3288" spans="1:11" hidden="1" x14ac:dyDescent="0.25">
      <c r="A3288">
        <v>3287</v>
      </c>
      <c r="B3288" s="1">
        <v>45755</v>
      </c>
      <c r="C3288" t="s">
        <v>35</v>
      </c>
      <c r="D3288" t="s">
        <v>116</v>
      </c>
      <c r="E3288" t="s">
        <v>8</v>
      </c>
      <c r="F3288">
        <v>2</v>
      </c>
      <c r="G3288" t="str">
        <f>VLOOKUP(D3288,Товары!A:I,3,0)</f>
        <v>Зеркало Нева 60 дуб/белый со светильником</v>
      </c>
      <c r="H3288">
        <f>VLOOKUP(D3288,Товары!A:I,6,0)</f>
        <v>80</v>
      </c>
      <c r="I3288" t="str">
        <f>VLOOKUP(C3288,Магазины!A:C,3,0)</f>
        <v>Набережные Челны</v>
      </c>
      <c r="J3288">
        <f>VLOOKUP(D3288,Товары!A:I,4,0)</f>
        <v>5100</v>
      </c>
      <c r="K3288">
        <f t="shared" si="51"/>
        <v>10200</v>
      </c>
    </row>
    <row r="3289" spans="1:11" hidden="1" x14ac:dyDescent="0.25">
      <c r="A3289">
        <v>3288</v>
      </c>
      <c r="B3289" s="1">
        <v>45751</v>
      </c>
      <c r="C3289" t="s">
        <v>11</v>
      </c>
      <c r="D3289" t="s">
        <v>87</v>
      </c>
      <c r="E3289" t="s">
        <v>8</v>
      </c>
      <c r="F3289">
        <v>3</v>
      </c>
      <c r="G3289" t="str">
        <f>VLOOKUP(D3289,Товары!A:I,3,0)</f>
        <v>Тумба с раковиной  напол. Леон 700 форест 2 ящика с умыв. Слим</v>
      </c>
      <c r="H3289">
        <f>VLOOKUP(D3289,Товары!A:I,6,0)</f>
        <v>80</v>
      </c>
      <c r="I3289" t="str">
        <f>VLOOKUP(C3289,Магазины!A:C,3,0)</f>
        <v>Кемерово</v>
      </c>
      <c r="J3289">
        <f>VLOOKUP(D3289,Товары!A:I,4,0)</f>
        <v>28380</v>
      </c>
      <c r="K3289">
        <f t="shared" si="51"/>
        <v>85140</v>
      </c>
    </row>
    <row r="3290" spans="1:11" hidden="1" x14ac:dyDescent="0.25">
      <c r="A3290">
        <v>3289</v>
      </c>
      <c r="B3290" s="1">
        <v>45757</v>
      </c>
      <c r="C3290" t="s">
        <v>22</v>
      </c>
      <c r="D3290" t="s">
        <v>122</v>
      </c>
      <c r="E3290" t="s">
        <v>8</v>
      </c>
      <c r="F3290">
        <v>1</v>
      </c>
      <c r="G3290" t="str">
        <f>VLOOKUP(D3290,Товары!A:I,3,0)</f>
        <v>Тумба с раковиной  навес. Кристалл 600 шато азур 2 ящика с умыв. Океан</v>
      </c>
      <c r="H3290">
        <f>VLOOKUP(D3290,Товары!A:I,6,0)</f>
        <v>55</v>
      </c>
      <c r="I3290" t="str">
        <f>VLOOKUP(C3290,Магазины!A:C,3,0)</f>
        <v>Кемерово</v>
      </c>
      <c r="J3290">
        <f>VLOOKUP(D3290,Товары!A:I,4,0)</f>
        <v>21960</v>
      </c>
      <c r="K3290">
        <f t="shared" si="51"/>
        <v>21960</v>
      </c>
    </row>
    <row r="3291" spans="1:11" hidden="1" x14ac:dyDescent="0.25">
      <c r="A3291">
        <v>3290</v>
      </c>
      <c r="B3291" s="1">
        <v>45750</v>
      </c>
      <c r="C3291" t="s">
        <v>30</v>
      </c>
      <c r="D3291" t="s">
        <v>101</v>
      </c>
      <c r="E3291" t="s">
        <v>8</v>
      </c>
      <c r="F3291">
        <v>3</v>
      </c>
      <c r="G3291" t="str">
        <f>VLOOKUP(D3291,Товары!A:I,3,0)</f>
        <v>Пенал напол. Сохо 400 белый 2 двери + 1 ящик</v>
      </c>
      <c r="H3291">
        <f>VLOOKUP(D3291,Товары!A:I,6,0)</f>
        <v>190</v>
      </c>
      <c r="I3291" t="str">
        <f>VLOOKUP(C3291,Магазины!A:C,3,0)</f>
        <v>Кемерово</v>
      </c>
      <c r="J3291">
        <f>VLOOKUP(D3291,Товары!A:I,4,0)</f>
        <v>11040</v>
      </c>
      <c r="K3291">
        <f t="shared" si="51"/>
        <v>33120</v>
      </c>
    </row>
    <row r="3292" spans="1:11" hidden="1" x14ac:dyDescent="0.25">
      <c r="A3292">
        <v>3291</v>
      </c>
      <c r="B3292" s="1">
        <v>45751</v>
      </c>
      <c r="C3292" t="s">
        <v>28</v>
      </c>
      <c r="D3292" t="s">
        <v>25</v>
      </c>
      <c r="E3292" t="s">
        <v>13</v>
      </c>
      <c r="F3292">
        <v>1</v>
      </c>
      <c r="G3292" t="str">
        <f>VLOOKUP(D3292,Товары!A:I,3,0)</f>
        <v>Пенал напол. Леон 400 оникс 2 двери + 1 ящик</v>
      </c>
      <c r="H3292">
        <f>VLOOKUP(D3292,Товары!A:I,6,0)</f>
        <v>190</v>
      </c>
      <c r="I3292" t="str">
        <f>VLOOKUP(C3292,Магазины!A:C,3,0)</f>
        <v>Набережные Челны</v>
      </c>
      <c r="J3292">
        <f>VLOOKUP(D3292,Товары!A:I,4,0)</f>
        <v>18450</v>
      </c>
      <c r="K3292">
        <f t="shared" si="51"/>
        <v>18450</v>
      </c>
    </row>
    <row r="3293" spans="1:11" hidden="1" x14ac:dyDescent="0.25">
      <c r="A3293">
        <v>3292</v>
      </c>
      <c r="B3293" s="1">
        <v>45752</v>
      </c>
      <c r="C3293" t="s">
        <v>16</v>
      </c>
      <c r="D3293" t="s">
        <v>19</v>
      </c>
      <c r="E3293" t="s">
        <v>13</v>
      </c>
      <c r="F3293">
        <v>3</v>
      </c>
      <c r="G3293" t="str">
        <f>VLOOKUP(D3293,Товары!A:I,3,0)</f>
        <v>Тумба с раковиной  навес. Леон 800 оникс 2 ящика с умыв. Слим</v>
      </c>
      <c r="H3293">
        <f>VLOOKUP(D3293,Товары!A:I,6,0)</f>
        <v>60</v>
      </c>
      <c r="I3293" t="str">
        <f>VLOOKUP(C3293,Магазины!A:C,3,0)</f>
        <v>Оренбург</v>
      </c>
      <c r="J3293">
        <f>VLOOKUP(D3293,Товары!A:I,4,0)</f>
        <v>27930</v>
      </c>
      <c r="K3293">
        <f t="shared" si="51"/>
        <v>83790</v>
      </c>
    </row>
    <row r="3294" spans="1:11" hidden="1" x14ac:dyDescent="0.25">
      <c r="A3294">
        <v>3293</v>
      </c>
      <c r="B3294" s="1">
        <v>45755</v>
      </c>
      <c r="C3294" t="s">
        <v>14</v>
      </c>
      <c r="D3294" t="s">
        <v>120</v>
      </c>
      <c r="E3294" t="s">
        <v>13</v>
      </c>
      <c r="F3294">
        <v>3</v>
      </c>
      <c r="G3294" t="str">
        <f>VLOOKUP(D3294,Товары!A:I,3,0)</f>
        <v>Зеркальный шкаф Альба 60 со светильником правый цвет антрацит</v>
      </c>
      <c r="H3294">
        <f>VLOOKUP(D3294,Товары!A:I,6,0)</f>
        <v>75</v>
      </c>
      <c r="I3294" t="str">
        <f>VLOOKUP(C3294,Магазины!A:C,3,0)</f>
        <v>Оренбург</v>
      </c>
      <c r="J3294">
        <f>VLOOKUP(D3294,Товары!A:I,4,0)</f>
        <v>8910</v>
      </c>
      <c r="K3294">
        <f t="shared" si="51"/>
        <v>26730</v>
      </c>
    </row>
    <row r="3295" spans="1:11" hidden="1" x14ac:dyDescent="0.25">
      <c r="A3295">
        <v>3294</v>
      </c>
      <c r="B3295" s="1">
        <v>45751</v>
      </c>
      <c r="C3295" t="s">
        <v>6</v>
      </c>
      <c r="D3295" t="s">
        <v>47</v>
      </c>
      <c r="E3295" t="s">
        <v>13</v>
      </c>
      <c r="F3295">
        <v>1</v>
      </c>
      <c r="G3295" t="str">
        <f>VLOOKUP(D3295,Товары!A:I,3,0)</f>
        <v>Пенал напол. Кристалл 350 шато азур 2 двери</v>
      </c>
      <c r="H3295">
        <f>VLOOKUP(D3295,Товары!A:I,6,0)</f>
        <v>190</v>
      </c>
      <c r="I3295" t="str">
        <f>VLOOKUP(C3295,Магазины!A:C,3,0)</f>
        <v>Оренбург</v>
      </c>
      <c r="J3295">
        <f>VLOOKUP(D3295,Товары!A:I,4,0)</f>
        <v>15810</v>
      </c>
      <c r="K3295">
        <f t="shared" si="51"/>
        <v>15810</v>
      </c>
    </row>
    <row r="3296" spans="1:11" hidden="1" x14ac:dyDescent="0.25">
      <c r="A3296">
        <v>3295</v>
      </c>
      <c r="B3296" s="1">
        <v>45757</v>
      </c>
      <c r="C3296" t="s">
        <v>16</v>
      </c>
      <c r="D3296" t="s">
        <v>128</v>
      </c>
      <c r="E3296" t="s">
        <v>8</v>
      </c>
      <c r="F3296">
        <v>3</v>
      </c>
      <c r="G3296" t="str">
        <f>VLOOKUP(D3296,Товары!A:I,3,0)</f>
        <v>Тумба с раковиной  напол. Куба Риф 1000 белый 2 ящика с умыв. Слим</v>
      </c>
      <c r="H3296">
        <f>VLOOKUP(D3296,Товары!A:I,6,0)</f>
        <v>85</v>
      </c>
      <c r="I3296" t="str">
        <f>VLOOKUP(C3296,Магазины!A:C,3,0)</f>
        <v>Оренбург</v>
      </c>
      <c r="J3296">
        <f>VLOOKUP(D3296,Товары!A:I,4,0)</f>
        <v>22905</v>
      </c>
      <c r="K3296">
        <f t="shared" si="51"/>
        <v>68715</v>
      </c>
    </row>
    <row r="3297" spans="1:11" hidden="1" x14ac:dyDescent="0.25">
      <c r="A3297">
        <v>3296</v>
      </c>
      <c r="B3297" s="1">
        <v>45748</v>
      </c>
      <c r="C3297" t="s">
        <v>63</v>
      </c>
      <c r="D3297" t="s">
        <v>32</v>
      </c>
      <c r="E3297" t="s">
        <v>13</v>
      </c>
      <c r="F3297">
        <v>2</v>
      </c>
      <c r="G3297" t="str">
        <f>VLOOKUP(D3297,Товары!A:I,3,0)</f>
        <v>Тумба с раковиной  напол. Леон Риф 700 солярис/белый риф 2 ящика с умыв. Слим</v>
      </c>
      <c r="H3297">
        <f>VLOOKUP(D3297,Товары!A:I,6,0)</f>
        <v>85</v>
      </c>
      <c r="I3297" t="str">
        <f>VLOOKUP(C3297,Магазины!A:C,3,0)</f>
        <v>Ставрополь</v>
      </c>
      <c r="J3297">
        <f>VLOOKUP(D3297,Товары!A:I,4,0)</f>
        <v>26460</v>
      </c>
      <c r="K3297">
        <f t="shared" si="51"/>
        <v>52920</v>
      </c>
    </row>
    <row r="3298" spans="1:11" hidden="1" x14ac:dyDescent="0.25">
      <c r="A3298">
        <v>3297</v>
      </c>
      <c r="B3298" s="1">
        <v>45752</v>
      </c>
      <c r="C3298" t="s">
        <v>58</v>
      </c>
      <c r="D3298" t="s">
        <v>40</v>
      </c>
      <c r="E3298" t="s">
        <v>13</v>
      </c>
      <c r="F3298">
        <v>1</v>
      </c>
      <c r="G3298" t="str">
        <f>VLOOKUP(D3298,Товары!A:I,3,0)</f>
        <v>Тумба с раковиной  навес. Рица 800 cерый/керамика 1 ящик + ниша 1 с умыв. Слим</v>
      </c>
      <c r="H3298">
        <f>VLOOKUP(D3298,Товары!A:I,6,0)</f>
        <v>60</v>
      </c>
      <c r="I3298" t="str">
        <f>VLOOKUP(C3298,Магазины!A:C,3,0)</f>
        <v>Ставрополь</v>
      </c>
      <c r="J3298">
        <f>VLOOKUP(D3298,Товары!A:I,4,0)</f>
        <v>22425</v>
      </c>
      <c r="K3298">
        <f t="shared" si="51"/>
        <v>22425</v>
      </c>
    </row>
    <row r="3299" spans="1:11" hidden="1" x14ac:dyDescent="0.25">
      <c r="A3299">
        <v>3298</v>
      </c>
      <c r="B3299" s="1">
        <v>45749</v>
      </c>
      <c r="C3299" t="s">
        <v>54</v>
      </c>
      <c r="D3299" t="s">
        <v>24</v>
      </c>
      <c r="E3299" t="s">
        <v>8</v>
      </c>
      <c r="F3299">
        <v>3</v>
      </c>
      <c r="G3299" t="str">
        <f>VLOOKUP(D3299,Товары!A:I,3,0)</f>
        <v>Тумба с раковиной  напол. Леон 600 форест 2 ящика с умыв. Слим</v>
      </c>
      <c r="H3299">
        <f>VLOOKUP(D3299,Товары!A:I,6,0)</f>
        <v>80</v>
      </c>
      <c r="I3299" t="str">
        <f>VLOOKUP(C3299,Магазины!A:C,3,0)</f>
        <v>Ставрополь</v>
      </c>
      <c r="J3299">
        <f>VLOOKUP(D3299,Товары!A:I,4,0)</f>
        <v>27150</v>
      </c>
      <c r="K3299">
        <f t="shared" si="51"/>
        <v>81450</v>
      </c>
    </row>
    <row r="3300" spans="1:11" hidden="1" x14ac:dyDescent="0.25">
      <c r="A3300">
        <v>3299</v>
      </c>
      <c r="B3300" s="1">
        <v>45749</v>
      </c>
      <c r="C3300" t="s">
        <v>43</v>
      </c>
      <c r="D3300" t="s">
        <v>77</v>
      </c>
      <c r="E3300" t="s">
        <v>13</v>
      </c>
      <c r="F3300">
        <v>2</v>
      </c>
      <c r="G3300" t="str">
        <f>VLOOKUP(D3300,Товары!A:I,3,0)</f>
        <v>Тумба с раковиной  напол. Куба Риф 600 белый 2 ящика с умыв. Como</v>
      </c>
      <c r="H3300">
        <f>VLOOKUP(D3300,Товары!A:I,6,0)</f>
        <v>85</v>
      </c>
      <c r="I3300" t="str">
        <f>VLOOKUP(C3300,Магазины!A:C,3,0)</f>
        <v>Набережные Челны</v>
      </c>
      <c r="J3300">
        <f>VLOOKUP(D3300,Товары!A:I,4,0)</f>
        <v>15660</v>
      </c>
      <c r="K3300">
        <f t="shared" si="51"/>
        <v>31320</v>
      </c>
    </row>
    <row r="3301" spans="1:11" hidden="1" x14ac:dyDescent="0.25">
      <c r="A3301">
        <v>3300</v>
      </c>
      <c r="B3301" s="1">
        <v>45754</v>
      </c>
      <c r="C3301" t="s">
        <v>35</v>
      </c>
      <c r="D3301" t="s">
        <v>47</v>
      </c>
      <c r="E3301" t="s">
        <v>8</v>
      </c>
      <c r="F3301">
        <v>3</v>
      </c>
      <c r="G3301" t="str">
        <f>VLOOKUP(D3301,Товары!A:I,3,0)</f>
        <v>Пенал напол. Кристалл 350 шато азур 2 двери</v>
      </c>
      <c r="H3301">
        <f>VLOOKUP(D3301,Товары!A:I,6,0)</f>
        <v>190</v>
      </c>
      <c r="I3301" t="str">
        <f>VLOOKUP(C3301,Магазины!A:C,3,0)</f>
        <v>Набережные Челны</v>
      </c>
      <c r="J3301">
        <f>VLOOKUP(D3301,Товары!A:I,4,0)</f>
        <v>15810</v>
      </c>
      <c r="K3301">
        <f t="shared" si="51"/>
        <v>47430</v>
      </c>
    </row>
    <row r="3302" spans="1:11" hidden="1" x14ac:dyDescent="0.25">
      <c r="A3302">
        <v>3301</v>
      </c>
      <c r="B3302" s="1">
        <v>45751</v>
      </c>
      <c r="C3302" t="s">
        <v>63</v>
      </c>
      <c r="D3302" t="s">
        <v>60</v>
      </c>
      <c r="E3302" t="s">
        <v>13</v>
      </c>
      <c r="F3302">
        <v>2</v>
      </c>
      <c r="G3302" t="str">
        <f>VLOOKUP(D3302,Товары!A:I,3,0)</f>
        <v>Пенал навес. Куба Риф 350 белый 2 двери</v>
      </c>
      <c r="H3302">
        <f>VLOOKUP(D3302,Товары!A:I,6,0)</f>
        <v>150</v>
      </c>
      <c r="I3302" t="str">
        <f>VLOOKUP(C3302,Магазины!A:C,3,0)</f>
        <v>Ставрополь</v>
      </c>
      <c r="J3302">
        <f>VLOOKUP(D3302,Товары!A:I,4,0)</f>
        <v>9720</v>
      </c>
      <c r="K3302">
        <f t="shared" si="51"/>
        <v>19440</v>
      </c>
    </row>
    <row r="3303" spans="1:11" hidden="1" x14ac:dyDescent="0.25">
      <c r="A3303">
        <v>3302</v>
      </c>
      <c r="B3303" s="1">
        <v>45750</v>
      </c>
      <c r="C3303" t="s">
        <v>26</v>
      </c>
      <c r="D3303" t="s">
        <v>101</v>
      </c>
      <c r="E3303" t="s">
        <v>8</v>
      </c>
      <c r="F3303">
        <v>2</v>
      </c>
      <c r="G3303" t="str">
        <f>VLOOKUP(D3303,Товары!A:I,3,0)</f>
        <v>Пенал напол. Сохо 400 белый 2 двери + 1 ящик</v>
      </c>
      <c r="H3303">
        <f>VLOOKUP(D3303,Товары!A:I,6,0)</f>
        <v>190</v>
      </c>
      <c r="I3303" t="str">
        <f>VLOOKUP(C3303,Магазины!A:C,3,0)</f>
        <v>Оренбург</v>
      </c>
      <c r="J3303">
        <f>VLOOKUP(D3303,Товары!A:I,4,0)</f>
        <v>11040</v>
      </c>
      <c r="K3303">
        <f t="shared" si="51"/>
        <v>22080</v>
      </c>
    </row>
    <row r="3304" spans="1:11" hidden="1" x14ac:dyDescent="0.25">
      <c r="A3304">
        <v>3303</v>
      </c>
      <c r="B3304" s="1">
        <v>45751</v>
      </c>
      <c r="C3304" t="s">
        <v>58</v>
      </c>
      <c r="D3304" t="s">
        <v>75</v>
      </c>
      <c r="E3304" t="s">
        <v>8</v>
      </c>
      <c r="F3304">
        <v>1</v>
      </c>
      <c r="G3304" t="str">
        <f>VLOOKUP(D3304,Товары!A:I,3,0)</f>
        <v>Тумба с раковиной  напол. Альба 600 суфле 2 ящика с умыв. Океан</v>
      </c>
      <c r="H3304">
        <f>VLOOKUP(D3304,Товары!A:I,6,0)</f>
        <v>80</v>
      </c>
      <c r="I3304" t="str">
        <f>VLOOKUP(C3304,Магазины!A:C,3,0)</f>
        <v>Ставрополь</v>
      </c>
      <c r="J3304">
        <f>VLOOKUP(D3304,Товары!A:I,4,0)</f>
        <v>26370</v>
      </c>
      <c r="K3304">
        <f t="shared" si="51"/>
        <v>26370</v>
      </c>
    </row>
    <row r="3305" spans="1:11" hidden="1" x14ac:dyDescent="0.25">
      <c r="A3305">
        <v>3304</v>
      </c>
      <c r="B3305" s="1">
        <v>45752</v>
      </c>
      <c r="C3305" t="s">
        <v>57</v>
      </c>
      <c r="D3305" t="s">
        <v>78</v>
      </c>
      <c r="E3305" t="s">
        <v>8</v>
      </c>
      <c r="F3305">
        <v>2</v>
      </c>
      <c r="G3305" t="str">
        <f>VLOOKUP(D3305,Товары!A:I,3,0)</f>
        <v>Зеркальный шкаф Кристалл 70 со светильником правый, ручка кнопка дуб цвет Шато Азур</v>
      </c>
      <c r="H3305">
        <f>VLOOKUP(D3305,Товары!A:I,6,0)</f>
        <v>75</v>
      </c>
      <c r="I3305" t="str">
        <f>VLOOKUP(C3305,Магазины!A:C,3,0)</f>
        <v>Оренбург</v>
      </c>
      <c r="J3305">
        <f>VLOOKUP(D3305,Товары!A:I,4,0)</f>
        <v>9615</v>
      </c>
      <c r="K3305">
        <f t="shared" si="51"/>
        <v>19230</v>
      </c>
    </row>
    <row r="3306" spans="1:11" hidden="1" x14ac:dyDescent="0.25">
      <c r="A3306">
        <v>3305</v>
      </c>
      <c r="B3306" s="1">
        <v>45756</v>
      </c>
      <c r="C3306" t="s">
        <v>18</v>
      </c>
      <c r="D3306" t="s">
        <v>131</v>
      </c>
      <c r="E3306" t="s">
        <v>8</v>
      </c>
      <c r="F3306">
        <v>1</v>
      </c>
      <c r="G3306" t="str">
        <f>VLOOKUP(D3306,Товары!A:I,3,0)</f>
        <v>Тумба с раковиной  напол. Леон 800 форест 2 ящика с умыв. Слим</v>
      </c>
      <c r="H3306">
        <f>VLOOKUP(D3306,Товары!A:I,6,0)</f>
        <v>80</v>
      </c>
      <c r="I3306" t="str">
        <f>VLOOKUP(C3306,Магазины!A:C,3,0)</f>
        <v>Набережные Челны</v>
      </c>
      <c r="J3306">
        <f>VLOOKUP(D3306,Товары!A:I,4,0)</f>
        <v>29400</v>
      </c>
      <c r="K3306">
        <f t="shared" si="51"/>
        <v>29400</v>
      </c>
    </row>
    <row r="3307" spans="1:11" hidden="1" x14ac:dyDescent="0.25">
      <c r="A3307">
        <v>3306</v>
      </c>
      <c r="B3307" s="1">
        <v>45751</v>
      </c>
      <c r="C3307" t="s">
        <v>58</v>
      </c>
      <c r="D3307" t="s">
        <v>51</v>
      </c>
      <c r="E3307" t="s">
        <v>13</v>
      </c>
      <c r="F3307">
        <v>1</v>
      </c>
      <c r="G3307" t="str">
        <f>VLOOKUP(D3307,Товары!A:I,3,0)</f>
        <v>Зеркальный шкаф Альба 80 со светильником правый цвет суфле</v>
      </c>
      <c r="H3307">
        <f>VLOOKUP(D3307,Товары!A:I,6,0)</f>
        <v>75</v>
      </c>
      <c r="I3307" t="str">
        <f>VLOOKUP(C3307,Магазины!A:C,3,0)</f>
        <v>Ставрополь</v>
      </c>
      <c r="J3307">
        <f>VLOOKUP(D3307,Товары!A:I,4,0)</f>
        <v>9930</v>
      </c>
      <c r="K3307">
        <f t="shared" si="51"/>
        <v>9930</v>
      </c>
    </row>
    <row r="3308" spans="1:11" hidden="1" x14ac:dyDescent="0.25">
      <c r="A3308">
        <v>3307</v>
      </c>
      <c r="B3308" s="1">
        <v>45753</v>
      </c>
      <c r="C3308" t="s">
        <v>41</v>
      </c>
      <c r="D3308" t="s">
        <v>81</v>
      </c>
      <c r="E3308" t="s">
        <v>13</v>
      </c>
      <c r="F3308">
        <v>1</v>
      </c>
      <c r="G3308" t="str">
        <f>VLOOKUP(D3308,Товары!A:I,3,0)</f>
        <v>Тумба с раковиной  навес. Рица 600 cерый/керамика 1 ящик + ниша 1 с умыв. Океан</v>
      </c>
      <c r="H3308">
        <f>VLOOKUP(D3308,Товары!A:I,6,0)</f>
        <v>60</v>
      </c>
      <c r="I3308" t="str">
        <f>VLOOKUP(C3308,Магазины!A:C,3,0)</f>
        <v>Ставрополь</v>
      </c>
      <c r="J3308">
        <f>VLOOKUP(D3308,Товары!A:I,4,0)</f>
        <v>18900</v>
      </c>
      <c r="K3308">
        <f t="shared" si="51"/>
        <v>18900</v>
      </c>
    </row>
    <row r="3309" spans="1:11" hidden="1" x14ac:dyDescent="0.25">
      <c r="A3309">
        <v>3308</v>
      </c>
      <c r="B3309" s="1">
        <v>45757</v>
      </c>
      <c r="C3309" t="s">
        <v>16</v>
      </c>
      <c r="D3309" t="s">
        <v>80</v>
      </c>
      <c r="E3309" t="s">
        <v>8</v>
      </c>
      <c r="F3309">
        <v>1</v>
      </c>
      <c r="G3309" t="str">
        <f>VLOOKUP(D3309,Товары!A:I,3,0)</f>
        <v>Тумба с раковиной  навес. Сохо 600 белый 2 ящика с умыв. Океан</v>
      </c>
      <c r="H3309">
        <f>VLOOKUP(D3309,Товары!A:I,6,0)</f>
        <v>55</v>
      </c>
      <c r="I3309" t="str">
        <f>VLOOKUP(C3309,Магазины!A:C,3,0)</f>
        <v>Оренбург</v>
      </c>
      <c r="J3309">
        <f>VLOOKUP(D3309,Товары!A:I,4,0)</f>
        <v>13950</v>
      </c>
      <c r="K3309">
        <f t="shared" si="51"/>
        <v>13950</v>
      </c>
    </row>
    <row r="3310" spans="1:11" hidden="1" x14ac:dyDescent="0.25">
      <c r="A3310">
        <v>3309</v>
      </c>
      <c r="B3310" s="1">
        <v>45753</v>
      </c>
      <c r="C3310" t="s">
        <v>111</v>
      </c>
      <c r="D3310" t="s">
        <v>75</v>
      </c>
      <c r="E3310" t="s">
        <v>13</v>
      </c>
      <c r="F3310">
        <v>2</v>
      </c>
      <c r="G3310" t="str">
        <f>VLOOKUP(D3310,Товары!A:I,3,0)</f>
        <v>Тумба с раковиной  напол. Альба 600 суфле 2 ящика с умыв. Океан</v>
      </c>
      <c r="H3310">
        <f>VLOOKUP(D3310,Товары!A:I,6,0)</f>
        <v>80</v>
      </c>
      <c r="I3310" t="str">
        <f>VLOOKUP(C3310,Магазины!A:C,3,0)</f>
        <v>Набережные Челны</v>
      </c>
      <c r="J3310">
        <f>VLOOKUP(D3310,Товары!A:I,4,0)</f>
        <v>26370</v>
      </c>
      <c r="K3310">
        <f t="shared" si="51"/>
        <v>52740</v>
      </c>
    </row>
    <row r="3311" spans="1:11" hidden="1" x14ac:dyDescent="0.25">
      <c r="A3311">
        <v>3310</v>
      </c>
      <c r="B3311" s="1">
        <v>45756</v>
      </c>
      <c r="C3311" t="s">
        <v>54</v>
      </c>
      <c r="D3311" t="s">
        <v>7</v>
      </c>
      <c r="E3311" t="s">
        <v>13</v>
      </c>
      <c r="F3311">
        <v>3</v>
      </c>
      <c r="G3311" t="str">
        <f>VLOOKUP(D3311,Товары!A:I,3,0)</f>
        <v>Пенал напол. Леон Риф 400 солярис/белый риф 2 двери + 1 ящик</v>
      </c>
      <c r="H3311">
        <f>VLOOKUP(D3311,Товары!A:I,6,0)</f>
        <v>190</v>
      </c>
      <c r="I3311" t="str">
        <f>VLOOKUP(C3311,Магазины!A:C,3,0)</f>
        <v>Ставрополь</v>
      </c>
      <c r="J3311">
        <f>VLOOKUP(D3311,Товары!A:I,4,0)</f>
        <v>14490</v>
      </c>
      <c r="K3311">
        <f t="shared" si="51"/>
        <v>43470</v>
      </c>
    </row>
    <row r="3312" spans="1:11" hidden="1" x14ac:dyDescent="0.25">
      <c r="A3312">
        <v>3311</v>
      </c>
      <c r="B3312" s="1">
        <v>45750</v>
      </c>
      <c r="C3312" t="s">
        <v>22</v>
      </c>
      <c r="D3312" t="s">
        <v>105</v>
      </c>
      <c r="E3312" t="s">
        <v>13</v>
      </c>
      <c r="F3312">
        <v>1</v>
      </c>
      <c r="G3312" t="str">
        <f>VLOOKUP(D3312,Товары!A:I,3,0)</f>
        <v>Тумба с раковиной  напол. Нева 600 белый 2 двери + 1 ящик с умыв. Como</v>
      </c>
      <c r="H3312">
        <f>VLOOKUP(D3312,Товары!A:I,6,0)</f>
        <v>80</v>
      </c>
      <c r="I3312" t="str">
        <f>VLOOKUP(C3312,Магазины!A:C,3,0)</f>
        <v>Кемерово</v>
      </c>
      <c r="J3312">
        <f>VLOOKUP(D3312,Товары!A:I,4,0)</f>
        <v>13470</v>
      </c>
      <c r="K3312">
        <f t="shared" si="51"/>
        <v>13470</v>
      </c>
    </row>
    <row r="3313" spans="1:11" hidden="1" x14ac:dyDescent="0.25">
      <c r="A3313">
        <v>3312</v>
      </c>
      <c r="B3313" s="1">
        <v>45748</v>
      </c>
      <c r="C3313" t="s">
        <v>6</v>
      </c>
      <c r="D3313" t="s">
        <v>126</v>
      </c>
      <c r="E3313" t="s">
        <v>8</v>
      </c>
      <c r="F3313">
        <v>3</v>
      </c>
      <c r="G3313" t="str">
        <f>VLOOKUP(D3313,Товары!A:I,3,0)</f>
        <v>Тумба с раковиной  напол. Кристалл 800 шато азур 2 ящика с умыв. Комфорт</v>
      </c>
      <c r="H3313">
        <f>VLOOKUP(D3313,Товары!A:I,6,0)</f>
        <v>85</v>
      </c>
      <c r="I3313" t="str">
        <f>VLOOKUP(C3313,Магазины!A:C,3,0)</f>
        <v>Оренбург</v>
      </c>
      <c r="J3313">
        <f>VLOOKUP(D3313,Товары!A:I,4,0)</f>
        <v>31125</v>
      </c>
      <c r="K3313">
        <f t="shared" si="51"/>
        <v>93375</v>
      </c>
    </row>
    <row r="3314" spans="1:11" hidden="1" x14ac:dyDescent="0.25">
      <c r="A3314">
        <v>3313</v>
      </c>
      <c r="B3314" s="1">
        <v>45754</v>
      </c>
      <c r="C3314" t="s">
        <v>28</v>
      </c>
      <c r="D3314" t="s">
        <v>90</v>
      </c>
      <c r="E3314" t="s">
        <v>13</v>
      </c>
      <c r="F3314">
        <v>3</v>
      </c>
      <c r="G3314" t="str">
        <f>VLOOKUP(D3314,Товары!A:I,3,0)</f>
        <v>Пенал напол. Аква 350 белый 2 двери + 2 ящика</v>
      </c>
      <c r="H3314">
        <f>VLOOKUP(D3314,Товары!A:I,6,0)</f>
        <v>190</v>
      </c>
      <c r="I3314" t="str">
        <f>VLOOKUP(C3314,Магазины!A:C,3,0)</f>
        <v>Набережные Челны</v>
      </c>
      <c r="J3314">
        <f>VLOOKUP(D3314,Товары!A:I,4,0)</f>
        <v>10650</v>
      </c>
      <c r="K3314">
        <f t="shared" si="51"/>
        <v>31950</v>
      </c>
    </row>
    <row r="3315" spans="1:11" hidden="1" x14ac:dyDescent="0.25">
      <c r="A3315">
        <v>3314</v>
      </c>
      <c r="B3315" s="1">
        <v>45751</v>
      </c>
      <c r="C3315" t="s">
        <v>9</v>
      </c>
      <c r="D3315" t="s">
        <v>39</v>
      </c>
      <c r="E3315" t="s">
        <v>8</v>
      </c>
      <c r="F3315">
        <v>1</v>
      </c>
      <c r="G3315" t="str">
        <f>VLOOKUP(D3315,Товары!A:I,3,0)</f>
        <v>Тумба с раковиной  напол. Альба 700 мята 2 ящика с умыв. Слим</v>
      </c>
      <c r="H3315">
        <f>VLOOKUP(D3315,Товары!A:I,6,0)</f>
        <v>85</v>
      </c>
      <c r="I3315" t="str">
        <f>VLOOKUP(C3315,Магазины!A:C,3,0)</f>
        <v>Кемерово</v>
      </c>
      <c r="J3315">
        <f>VLOOKUP(D3315,Товары!A:I,4,0)</f>
        <v>28695</v>
      </c>
      <c r="K3315">
        <f t="shared" si="51"/>
        <v>28695</v>
      </c>
    </row>
    <row r="3316" spans="1:11" hidden="1" x14ac:dyDescent="0.25">
      <c r="A3316">
        <v>3315</v>
      </c>
      <c r="B3316" s="1">
        <v>45749</v>
      </c>
      <c r="C3316" t="s">
        <v>111</v>
      </c>
      <c r="D3316" t="s">
        <v>127</v>
      </c>
      <c r="E3316" t="s">
        <v>8</v>
      </c>
      <c r="F3316">
        <v>2</v>
      </c>
      <c r="G3316" t="str">
        <f>VLOOKUP(D3316,Товары!A:I,3,0)</f>
        <v>Тумба с раковиной  навес. Альба 700 мята 1 ящик с умыв. Слим</v>
      </c>
      <c r="H3316">
        <f>VLOOKUP(D3316,Товары!A:I,6,0)</f>
        <v>45</v>
      </c>
      <c r="I3316" t="str">
        <f>VLOOKUP(C3316,Магазины!A:C,3,0)</f>
        <v>Набережные Челны</v>
      </c>
      <c r="J3316">
        <f>VLOOKUP(D3316,Товары!A:I,4,0)</f>
        <v>20130</v>
      </c>
      <c r="K3316">
        <f t="shared" si="51"/>
        <v>40260</v>
      </c>
    </row>
    <row r="3317" spans="1:11" hidden="1" x14ac:dyDescent="0.25">
      <c r="A3317">
        <v>3316</v>
      </c>
      <c r="B3317" s="1">
        <v>45749</v>
      </c>
      <c r="C3317" t="s">
        <v>30</v>
      </c>
      <c r="D3317" t="s">
        <v>12</v>
      </c>
      <c r="E3317" t="s">
        <v>8</v>
      </c>
      <c r="F3317">
        <v>3</v>
      </c>
      <c r="G3317" t="str">
        <f>VLOOKUP(D3317,Товары!A:I,3,0)</f>
        <v>Тумба с раковиной  напол. Сохо 700 белый 2 двери с умыв. Слим</v>
      </c>
      <c r="H3317">
        <f>VLOOKUP(D3317,Товары!A:I,6,0)</f>
        <v>85</v>
      </c>
      <c r="I3317" t="str">
        <f>VLOOKUP(C3317,Магазины!A:C,3,0)</f>
        <v>Кемерово</v>
      </c>
      <c r="J3317">
        <f>VLOOKUP(D3317,Товары!A:I,4,0)</f>
        <v>17160</v>
      </c>
      <c r="K3317">
        <f t="shared" si="51"/>
        <v>51480</v>
      </c>
    </row>
    <row r="3318" spans="1:11" hidden="1" x14ac:dyDescent="0.25">
      <c r="A3318">
        <v>3317</v>
      </c>
      <c r="B3318" s="1">
        <v>45750</v>
      </c>
      <c r="C3318" t="s">
        <v>20</v>
      </c>
      <c r="D3318" t="s">
        <v>21</v>
      </c>
      <c r="E3318" t="s">
        <v>8</v>
      </c>
      <c r="F3318">
        <v>2</v>
      </c>
      <c r="G3318" t="str">
        <f>VLOOKUP(D3318,Товары!A:I,3,0)</f>
        <v>Зеркальный шкаф Рица 60 со светильником правый цвет cерый/керамика</v>
      </c>
      <c r="H3318">
        <f>VLOOKUP(D3318,Товары!A:I,6,0)</f>
        <v>75</v>
      </c>
      <c r="I3318" t="str">
        <f>VLOOKUP(C3318,Магазины!A:C,3,0)</f>
        <v>Оренбург</v>
      </c>
      <c r="J3318">
        <f>VLOOKUP(D3318,Товары!A:I,4,0)</f>
        <v>8910</v>
      </c>
      <c r="K3318">
        <f t="shared" si="51"/>
        <v>17820</v>
      </c>
    </row>
    <row r="3319" spans="1:11" hidden="1" x14ac:dyDescent="0.25">
      <c r="A3319">
        <v>3318</v>
      </c>
      <c r="B3319" s="1">
        <v>45755</v>
      </c>
      <c r="C3319" t="s">
        <v>58</v>
      </c>
      <c r="D3319" t="s">
        <v>131</v>
      </c>
      <c r="E3319" t="s">
        <v>8</v>
      </c>
      <c r="F3319">
        <v>3</v>
      </c>
      <c r="G3319" t="str">
        <f>VLOOKUP(D3319,Товары!A:I,3,0)</f>
        <v>Тумба с раковиной  напол. Леон 800 форест 2 ящика с умыв. Слим</v>
      </c>
      <c r="H3319">
        <f>VLOOKUP(D3319,Товары!A:I,6,0)</f>
        <v>80</v>
      </c>
      <c r="I3319" t="str">
        <f>VLOOKUP(C3319,Магазины!A:C,3,0)</f>
        <v>Ставрополь</v>
      </c>
      <c r="J3319">
        <f>VLOOKUP(D3319,Товары!A:I,4,0)</f>
        <v>29400</v>
      </c>
      <c r="K3319">
        <f t="shared" si="51"/>
        <v>88200</v>
      </c>
    </row>
    <row r="3320" spans="1:11" hidden="1" x14ac:dyDescent="0.25">
      <c r="A3320">
        <v>3319</v>
      </c>
      <c r="B3320" s="1">
        <v>45754</v>
      </c>
      <c r="C3320" t="s">
        <v>9</v>
      </c>
      <c r="D3320" t="s">
        <v>72</v>
      </c>
      <c r="E3320" t="s">
        <v>13</v>
      </c>
      <c r="F3320">
        <v>2</v>
      </c>
      <c r="G3320" t="str">
        <f>VLOOKUP(D3320,Товары!A:I,3,0)</f>
        <v>Тумба с раковиной  напол. Сохо 600 белый 2 ящика с умыв. Океан</v>
      </c>
      <c r="H3320">
        <f>VLOOKUP(D3320,Товары!A:I,6,0)</f>
        <v>85</v>
      </c>
      <c r="I3320" t="str">
        <f>VLOOKUP(C3320,Магазины!A:C,3,0)</f>
        <v>Кемерово</v>
      </c>
      <c r="J3320">
        <f>VLOOKUP(D3320,Товары!A:I,4,0)</f>
        <v>16140</v>
      </c>
      <c r="K3320">
        <f t="shared" si="51"/>
        <v>32280</v>
      </c>
    </row>
    <row r="3321" spans="1:11" hidden="1" x14ac:dyDescent="0.25">
      <c r="A3321">
        <v>3320</v>
      </c>
      <c r="B3321" s="1">
        <v>45751</v>
      </c>
      <c r="C3321" t="s">
        <v>30</v>
      </c>
      <c r="D3321" t="s">
        <v>25</v>
      </c>
      <c r="E3321" t="s">
        <v>8</v>
      </c>
      <c r="F3321">
        <v>2</v>
      </c>
      <c r="G3321" t="str">
        <f>VLOOKUP(D3321,Товары!A:I,3,0)</f>
        <v>Пенал напол. Леон 400 оникс 2 двери + 1 ящик</v>
      </c>
      <c r="H3321">
        <f>VLOOKUP(D3321,Товары!A:I,6,0)</f>
        <v>190</v>
      </c>
      <c r="I3321" t="str">
        <f>VLOOKUP(C3321,Магазины!A:C,3,0)</f>
        <v>Кемерово</v>
      </c>
      <c r="J3321">
        <f>VLOOKUP(D3321,Товары!A:I,4,0)</f>
        <v>18450</v>
      </c>
      <c r="K3321">
        <f t="shared" si="51"/>
        <v>36900</v>
      </c>
    </row>
    <row r="3322" spans="1:11" hidden="1" x14ac:dyDescent="0.25">
      <c r="A3322">
        <v>3321</v>
      </c>
      <c r="B3322" s="1">
        <v>45752</v>
      </c>
      <c r="C3322" t="s">
        <v>41</v>
      </c>
      <c r="D3322" t="s">
        <v>47</v>
      </c>
      <c r="E3322" t="s">
        <v>8</v>
      </c>
      <c r="F3322">
        <v>2</v>
      </c>
      <c r="G3322" t="str">
        <f>VLOOKUP(D3322,Товары!A:I,3,0)</f>
        <v>Пенал напол. Кристалл 350 шато азур 2 двери</v>
      </c>
      <c r="H3322">
        <f>VLOOKUP(D3322,Товары!A:I,6,0)</f>
        <v>190</v>
      </c>
      <c r="I3322" t="str">
        <f>VLOOKUP(C3322,Магазины!A:C,3,0)</f>
        <v>Ставрополь</v>
      </c>
      <c r="J3322">
        <f>VLOOKUP(D3322,Товары!A:I,4,0)</f>
        <v>15810</v>
      </c>
      <c r="K3322">
        <f t="shared" si="51"/>
        <v>31620</v>
      </c>
    </row>
    <row r="3323" spans="1:11" hidden="1" x14ac:dyDescent="0.25">
      <c r="A3323">
        <v>3322</v>
      </c>
      <c r="B3323" s="1">
        <v>45749</v>
      </c>
      <c r="C3323" t="s">
        <v>57</v>
      </c>
      <c r="D3323" t="s">
        <v>60</v>
      </c>
      <c r="E3323" t="s">
        <v>13</v>
      </c>
      <c r="F3323">
        <v>3</v>
      </c>
      <c r="G3323" t="str">
        <f>VLOOKUP(D3323,Товары!A:I,3,0)</f>
        <v>Пенал навес. Куба Риф 350 белый 2 двери</v>
      </c>
      <c r="H3323">
        <f>VLOOKUP(D3323,Товары!A:I,6,0)</f>
        <v>150</v>
      </c>
      <c r="I3323" t="str">
        <f>VLOOKUP(C3323,Магазины!A:C,3,0)</f>
        <v>Оренбург</v>
      </c>
      <c r="J3323">
        <f>VLOOKUP(D3323,Товары!A:I,4,0)</f>
        <v>9720</v>
      </c>
      <c r="K3323">
        <f t="shared" si="51"/>
        <v>29160</v>
      </c>
    </row>
    <row r="3324" spans="1:11" hidden="1" x14ac:dyDescent="0.25">
      <c r="A3324">
        <v>3323</v>
      </c>
      <c r="B3324" s="1">
        <v>45752</v>
      </c>
      <c r="C3324" t="s">
        <v>18</v>
      </c>
      <c r="D3324" t="s">
        <v>65</v>
      </c>
      <c r="E3324" t="s">
        <v>8</v>
      </c>
      <c r="F3324">
        <v>2</v>
      </c>
      <c r="G3324" t="str">
        <f>VLOOKUP(D3324,Товары!A:I,3,0)</f>
        <v>Тумба с раковиной  навес. Альба 800 суфле 2 ящика с умыв. Слим</v>
      </c>
      <c r="H3324">
        <f>VLOOKUP(D3324,Товары!A:I,6,0)</f>
        <v>50</v>
      </c>
      <c r="I3324" t="str">
        <f>VLOOKUP(C3324,Магазины!A:C,3,0)</f>
        <v>Набережные Челны</v>
      </c>
      <c r="J3324">
        <f>VLOOKUP(D3324,Товары!A:I,4,0)</f>
        <v>26070</v>
      </c>
      <c r="K3324">
        <f t="shared" si="51"/>
        <v>52140</v>
      </c>
    </row>
    <row r="3325" spans="1:11" hidden="1" x14ac:dyDescent="0.25">
      <c r="A3325">
        <v>3324</v>
      </c>
      <c r="B3325" s="1">
        <v>45753</v>
      </c>
      <c r="C3325" t="s">
        <v>22</v>
      </c>
      <c r="D3325" t="s">
        <v>12</v>
      </c>
      <c r="E3325" t="s">
        <v>8</v>
      </c>
      <c r="F3325">
        <v>2</v>
      </c>
      <c r="G3325" t="str">
        <f>VLOOKUP(D3325,Товары!A:I,3,0)</f>
        <v>Тумба с раковиной  напол. Сохо 700 белый 2 двери с умыв. Слим</v>
      </c>
      <c r="H3325">
        <f>VLOOKUP(D3325,Товары!A:I,6,0)</f>
        <v>85</v>
      </c>
      <c r="I3325" t="str">
        <f>VLOOKUP(C3325,Магазины!A:C,3,0)</f>
        <v>Кемерово</v>
      </c>
      <c r="J3325">
        <f>VLOOKUP(D3325,Товары!A:I,4,0)</f>
        <v>17160</v>
      </c>
      <c r="K3325">
        <f t="shared" si="51"/>
        <v>34320</v>
      </c>
    </row>
    <row r="3326" spans="1:11" hidden="1" x14ac:dyDescent="0.25">
      <c r="A3326">
        <v>3325</v>
      </c>
      <c r="B3326" s="1">
        <v>45750</v>
      </c>
      <c r="C3326" t="s">
        <v>48</v>
      </c>
      <c r="D3326" t="s">
        <v>24</v>
      </c>
      <c r="E3326" t="s">
        <v>13</v>
      </c>
      <c r="F3326">
        <v>1</v>
      </c>
      <c r="G3326" t="str">
        <f>VLOOKUP(D3326,Товары!A:I,3,0)</f>
        <v>Тумба с раковиной  напол. Леон 600 форест 2 ящика с умыв. Слим</v>
      </c>
      <c r="H3326">
        <f>VLOOKUP(D3326,Товары!A:I,6,0)</f>
        <v>80</v>
      </c>
      <c r="I3326" t="str">
        <f>VLOOKUP(C3326,Магазины!A:C,3,0)</f>
        <v>Ставрополь</v>
      </c>
      <c r="J3326">
        <f>VLOOKUP(D3326,Товары!A:I,4,0)</f>
        <v>27150</v>
      </c>
      <c r="K3326">
        <f t="shared" si="51"/>
        <v>27150</v>
      </c>
    </row>
    <row r="3327" spans="1:11" hidden="1" x14ac:dyDescent="0.25">
      <c r="A3327">
        <v>3326</v>
      </c>
      <c r="B3327" s="1">
        <v>45748</v>
      </c>
      <c r="C3327" t="s">
        <v>58</v>
      </c>
      <c r="D3327" t="s">
        <v>100</v>
      </c>
      <c r="E3327" t="s">
        <v>8</v>
      </c>
      <c r="F3327">
        <v>1</v>
      </c>
      <c r="G3327" t="str">
        <f>VLOOKUP(D3327,Товары!A:I,3,0)</f>
        <v>Тумба с раковиной  навес. Альба 800 мята 1 ящик с умыв. Слим</v>
      </c>
      <c r="H3327">
        <f>VLOOKUP(D3327,Товары!A:I,6,0)</f>
        <v>45</v>
      </c>
      <c r="I3327" t="str">
        <f>VLOOKUP(C3327,Магазины!A:C,3,0)</f>
        <v>Ставрополь</v>
      </c>
      <c r="J3327">
        <f>VLOOKUP(D3327,Товары!A:I,4,0)</f>
        <v>21630</v>
      </c>
      <c r="K3327">
        <f t="shared" si="51"/>
        <v>21630</v>
      </c>
    </row>
    <row r="3328" spans="1:11" hidden="1" x14ac:dyDescent="0.25">
      <c r="A3328">
        <v>3327</v>
      </c>
      <c r="B3328" s="1">
        <v>45753</v>
      </c>
      <c r="C3328" t="s">
        <v>92</v>
      </c>
      <c r="D3328" t="s">
        <v>85</v>
      </c>
      <c r="E3328" t="s">
        <v>8</v>
      </c>
      <c r="F3328">
        <v>1</v>
      </c>
      <c r="G3328" t="str">
        <f>VLOOKUP(D3328,Товары!A:I,3,0)</f>
        <v>Пенал напол. Аква 450 белый 2 двери + 2 ящика + корзина</v>
      </c>
      <c r="H3328">
        <f>VLOOKUP(D3328,Товары!A:I,6,0)</f>
        <v>190</v>
      </c>
      <c r="I3328" t="str">
        <f>VLOOKUP(C3328,Магазины!A:C,3,0)</f>
        <v>Кемерово</v>
      </c>
      <c r="J3328">
        <f>VLOOKUP(D3328,Товары!A:I,4,0)</f>
        <v>13335</v>
      </c>
      <c r="K3328">
        <f t="shared" si="51"/>
        <v>13335</v>
      </c>
    </row>
    <row r="3329" spans="1:11" hidden="1" x14ac:dyDescent="0.25">
      <c r="A3329">
        <v>3328</v>
      </c>
      <c r="B3329" s="1">
        <v>45753</v>
      </c>
      <c r="C3329" t="s">
        <v>14</v>
      </c>
      <c r="D3329" t="s">
        <v>12</v>
      </c>
      <c r="E3329" t="s">
        <v>8</v>
      </c>
      <c r="F3329">
        <v>3</v>
      </c>
      <c r="G3329" t="str">
        <f>VLOOKUP(D3329,Товары!A:I,3,0)</f>
        <v>Тумба с раковиной  напол. Сохо 700 белый 2 двери с умыв. Слим</v>
      </c>
      <c r="H3329">
        <f>VLOOKUP(D3329,Товары!A:I,6,0)</f>
        <v>85</v>
      </c>
      <c r="I3329" t="str">
        <f>VLOOKUP(C3329,Магазины!A:C,3,0)</f>
        <v>Оренбург</v>
      </c>
      <c r="J3329">
        <f>VLOOKUP(D3329,Товары!A:I,4,0)</f>
        <v>17160</v>
      </c>
      <c r="K3329">
        <f t="shared" si="51"/>
        <v>51480</v>
      </c>
    </row>
    <row r="3330" spans="1:11" hidden="1" x14ac:dyDescent="0.25">
      <c r="A3330">
        <v>3329</v>
      </c>
      <c r="B3330" s="1">
        <v>45757</v>
      </c>
      <c r="C3330" t="s">
        <v>103</v>
      </c>
      <c r="D3330" t="s">
        <v>128</v>
      </c>
      <c r="E3330" t="s">
        <v>8</v>
      </c>
      <c r="F3330">
        <v>2</v>
      </c>
      <c r="G3330" t="str">
        <f>VLOOKUP(D3330,Товары!A:I,3,0)</f>
        <v>Тумба с раковиной  напол. Куба Риф 1000 белый 2 ящика с умыв. Слим</v>
      </c>
      <c r="H3330">
        <f>VLOOKUP(D3330,Товары!A:I,6,0)</f>
        <v>85</v>
      </c>
      <c r="I3330" t="str">
        <f>VLOOKUP(C3330,Магазины!A:C,3,0)</f>
        <v>Ставрополь</v>
      </c>
      <c r="J3330">
        <f>VLOOKUP(D3330,Товары!A:I,4,0)</f>
        <v>22905</v>
      </c>
      <c r="K3330">
        <f t="shared" si="51"/>
        <v>45810</v>
      </c>
    </row>
    <row r="3331" spans="1:11" hidden="1" x14ac:dyDescent="0.25">
      <c r="A3331">
        <v>3330</v>
      </c>
      <c r="B3331" s="1">
        <v>45754</v>
      </c>
      <c r="C3331" t="s">
        <v>58</v>
      </c>
      <c r="D3331" t="s">
        <v>46</v>
      </c>
      <c r="E3331" t="s">
        <v>8</v>
      </c>
      <c r="F3331">
        <v>1</v>
      </c>
      <c r="G3331" t="str">
        <f>VLOOKUP(D3331,Товары!A:I,3,0)</f>
        <v>Тумба с раковиной  напол. Сохо 700 белый 2 ящика с умыв. Слим</v>
      </c>
      <c r="H3331">
        <f>VLOOKUP(D3331,Товары!A:I,6,0)</f>
        <v>85</v>
      </c>
      <c r="I3331" t="str">
        <f>VLOOKUP(C3331,Магазины!A:C,3,0)</f>
        <v>Ставрополь</v>
      </c>
      <c r="J3331">
        <f>VLOOKUP(D3331,Товары!A:I,4,0)</f>
        <v>18405</v>
      </c>
      <c r="K3331">
        <f t="shared" ref="K3331:K3394" si="52">J3331*F3331</f>
        <v>18405</v>
      </c>
    </row>
    <row r="3332" spans="1:11" hidden="1" x14ac:dyDescent="0.25">
      <c r="A3332">
        <v>3331</v>
      </c>
      <c r="B3332" s="1">
        <v>45748</v>
      </c>
      <c r="C3332" t="s">
        <v>33</v>
      </c>
      <c r="D3332" t="s">
        <v>45</v>
      </c>
      <c r="E3332" t="s">
        <v>13</v>
      </c>
      <c r="F3332">
        <v>2</v>
      </c>
      <c r="G3332" t="str">
        <f>VLOOKUP(D3332,Товары!A:I,3,0)</f>
        <v>Зеркальный шкаф Рица 80 со светильником правый цвет cерый/керамика</v>
      </c>
      <c r="H3332">
        <f>VLOOKUP(D3332,Товары!A:I,6,0)</f>
        <v>75</v>
      </c>
      <c r="I3332" t="str">
        <f>VLOOKUP(C3332,Магазины!A:C,3,0)</f>
        <v>Набережные Челны</v>
      </c>
      <c r="J3332">
        <f>VLOOKUP(D3332,Товары!A:I,4,0)</f>
        <v>9930</v>
      </c>
      <c r="K3332">
        <f t="shared" si="52"/>
        <v>19860</v>
      </c>
    </row>
    <row r="3333" spans="1:11" hidden="1" x14ac:dyDescent="0.25">
      <c r="A3333">
        <v>3332</v>
      </c>
      <c r="B3333" s="1">
        <v>45754</v>
      </c>
      <c r="C3333" t="s">
        <v>41</v>
      </c>
      <c r="D3333" t="s">
        <v>42</v>
      </c>
      <c r="E3333" t="s">
        <v>13</v>
      </c>
      <c r="F3333">
        <v>3</v>
      </c>
      <c r="G3333" t="str">
        <f>VLOOKUP(D3333,Товары!A:I,3,0)</f>
        <v>Тумба под стиральную машину Леон Риф 57 подвесная 2 ящика под ст/маш, без умывальника /под Marshall 120 Солярис/Белый Риф</v>
      </c>
      <c r="H3333">
        <f>VLOOKUP(D3333,Товары!A:I,6,0)</f>
        <v>60</v>
      </c>
      <c r="I3333" t="str">
        <f>VLOOKUP(C3333,Магазины!A:C,3,0)</f>
        <v>Ставрополь</v>
      </c>
      <c r="J3333">
        <f>VLOOKUP(D3333,Товары!A:I,4,0)</f>
        <v>15495</v>
      </c>
      <c r="K3333">
        <f t="shared" si="52"/>
        <v>46485</v>
      </c>
    </row>
    <row r="3334" spans="1:11" hidden="1" x14ac:dyDescent="0.25">
      <c r="A3334">
        <v>3333</v>
      </c>
      <c r="B3334" s="1">
        <v>45753</v>
      </c>
      <c r="C3334" t="s">
        <v>20</v>
      </c>
      <c r="D3334" t="s">
        <v>123</v>
      </c>
      <c r="E3334" t="s">
        <v>8</v>
      </c>
      <c r="F3334">
        <v>2</v>
      </c>
      <c r="G3334" t="str">
        <f>VLOOKUP(D3334,Товары!A:I,3,0)</f>
        <v>Тумба с раковиной  напол. Кристалл 800 суфле 2 ящика с умыв. Слим</v>
      </c>
      <c r="H3334">
        <f>VLOOKUP(D3334,Товары!A:I,6,0)</f>
        <v>80</v>
      </c>
      <c r="I3334" t="str">
        <f>VLOOKUP(C3334,Магазины!A:C,3,0)</f>
        <v>Оренбург</v>
      </c>
      <c r="J3334">
        <f>VLOOKUP(D3334,Товары!A:I,4,0)</f>
        <v>31125</v>
      </c>
      <c r="K3334">
        <f t="shared" si="52"/>
        <v>62250</v>
      </c>
    </row>
    <row r="3335" spans="1:11" hidden="1" x14ac:dyDescent="0.25">
      <c r="A3335">
        <v>3334</v>
      </c>
      <c r="B3335" s="1">
        <v>45751</v>
      </c>
      <c r="C3335" t="s">
        <v>28</v>
      </c>
      <c r="D3335" t="s">
        <v>130</v>
      </c>
      <c r="E3335" t="s">
        <v>8</v>
      </c>
      <c r="F3335">
        <v>3</v>
      </c>
      <c r="G3335" t="str">
        <f>VLOOKUP(D3335,Товары!A:I,3,0)</f>
        <v>Пенал напол. Леон 400 форест 2 двери + 1 ящик</v>
      </c>
      <c r="H3335">
        <f>VLOOKUP(D3335,Товары!A:I,6,0)</f>
        <v>190</v>
      </c>
      <c r="I3335" t="str">
        <f>VLOOKUP(C3335,Магазины!A:C,3,0)</f>
        <v>Набережные Челны</v>
      </c>
      <c r="J3335">
        <f>VLOOKUP(D3335,Товары!A:I,4,0)</f>
        <v>18450</v>
      </c>
      <c r="K3335">
        <f t="shared" si="52"/>
        <v>55350</v>
      </c>
    </row>
    <row r="3336" spans="1:11" hidden="1" x14ac:dyDescent="0.25">
      <c r="A3336">
        <v>3335</v>
      </c>
      <c r="B3336" s="1">
        <v>45748</v>
      </c>
      <c r="C3336" t="s">
        <v>33</v>
      </c>
      <c r="D3336" t="s">
        <v>117</v>
      </c>
      <c r="E3336" t="s">
        <v>13</v>
      </c>
      <c r="F3336">
        <v>3</v>
      </c>
      <c r="G3336" t="str">
        <f>VLOOKUP(D3336,Товары!A:I,3,0)</f>
        <v>Тумба с раковиной  навес. Альба 700 антрацит 2 ящика с умыв. Слим</v>
      </c>
      <c r="H3336">
        <f>VLOOKUP(D3336,Товары!A:I,6,0)</f>
        <v>60</v>
      </c>
      <c r="I3336" t="str">
        <f>VLOOKUP(C3336,Магазины!A:C,3,0)</f>
        <v>Набережные Челны</v>
      </c>
      <c r="J3336">
        <f>VLOOKUP(D3336,Товары!A:I,4,0)</f>
        <v>25095</v>
      </c>
      <c r="K3336">
        <f t="shared" si="52"/>
        <v>75285</v>
      </c>
    </row>
    <row r="3337" spans="1:11" hidden="1" x14ac:dyDescent="0.25">
      <c r="A3337">
        <v>3336</v>
      </c>
      <c r="B3337" s="1">
        <v>45748</v>
      </c>
      <c r="C3337" t="s">
        <v>54</v>
      </c>
      <c r="D3337" t="s">
        <v>125</v>
      </c>
      <c r="E3337" t="s">
        <v>13</v>
      </c>
      <c r="F3337">
        <v>3</v>
      </c>
      <c r="G3337" t="str">
        <f>VLOOKUP(D3337,Товары!A:I,3,0)</f>
        <v>Зеркальный шкаф Сохо 60 белый со светильником правый цвет Белый глянец</v>
      </c>
      <c r="H3337">
        <f>VLOOKUP(D3337,Товары!A:I,6,0)</f>
        <v>75</v>
      </c>
      <c r="I3337" t="str">
        <f>VLOOKUP(C3337,Магазины!A:C,3,0)</f>
        <v>Ставрополь</v>
      </c>
      <c r="J3337">
        <f>VLOOKUP(D3337,Товары!A:I,4,0)</f>
        <v>7395</v>
      </c>
      <c r="K3337">
        <f t="shared" si="52"/>
        <v>22185</v>
      </c>
    </row>
    <row r="3338" spans="1:11" hidden="1" x14ac:dyDescent="0.25">
      <c r="A3338">
        <v>3337</v>
      </c>
      <c r="B3338" s="1">
        <v>45754</v>
      </c>
      <c r="C3338" t="s">
        <v>92</v>
      </c>
      <c r="D3338" t="s">
        <v>61</v>
      </c>
      <c r="E3338" t="s">
        <v>8</v>
      </c>
      <c r="F3338">
        <v>1</v>
      </c>
      <c r="G3338" t="str">
        <f>VLOOKUP(D3338,Товары!A:I,3,0)</f>
        <v>Тумба под стиральную машину Леон Риф 57 напольная 2 ящика под ст/маш, без умывальника /под Marshall 120 Солярис/Белый Риф</v>
      </c>
      <c r="H3338">
        <f>VLOOKUP(D3338,Товары!A:I,6,0)</f>
        <v>85</v>
      </c>
      <c r="I3338" t="str">
        <f>VLOOKUP(C3338,Магазины!A:C,3,0)</f>
        <v>Кемерово</v>
      </c>
      <c r="J3338">
        <f>VLOOKUP(D3338,Товары!A:I,4,0)</f>
        <v>17430</v>
      </c>
      <c r="K3338">
        <f t="shared" si="52"/>
        <v>17430</v>
      </c>
    </row>
    <row r="3339" spans="1:11" hidden="1" x14ac:dyDescent="0.25">
      <c r="A3339">
        <v>3338</v>
      </c>
      <c r="B3339" s="1">
        <v>45749</v>
      </c>
      <c r="C3339" t="s">
        <v>35</v>
      </c>
      <c r="D3339" t="s">
        <v>102</v>
      </c>
      <c r="E3339" t="s">
        <v>8</v>
      </c>
      <c r="F3339">
        <v>3</v>
      </c>
      <c r="G3339" t="str">
        <f>VLOOKUP(D3339,Товары!A:I,3,0)</f>
        <v>Тумба с раковиной  напол. Леон Риф 1000 солярис/белый риф 2 ящика с умыв. Слим</v>
      </c>
      <c r="H3339">
        <f>VLOOKUP(D3339,Товары!A:I,6,0)</f>
        <v>85</v>
      </c>
      <c r="I3339" t="str">
        <f>VLOOKUP(C3339,Магазины!A:C,3,0)</f>
        <v>Набережные Челны</v>
      </c>
      <c r="J3339">
        <f>VLOOKUP(D3339,Товары!A:I,4,0)</f>
        <v>32085</v>
      </c>
      <c r="K3339">
        <f t="shared" si="52"/>
        <v>96255</v>
      </c>
    </row>
    <row r="3340" spans="1:11" hidden="1" x14ac:dyDescent="0.25">
      <c r="A3340">
        <v>3339</v>
      </c>
      <c r="B3340" s="1">
        <v>45754</v>
      </c>
      <c r="C3340" t="s">
        <v>11</v>
      </c>
      <c r="D3340" t="s">
        <v>131</v>
      </c>
      <c r="E3340" t="s">
        <v>13</v>
      </c>
      <c r="F3340">
        <v>1</v>
      </c>
      <c r="G3340" t="str">
        <f>VLOOKUP(D3340,Товары!A:I,3,0)</f>
        <v>Тумба с раковиной  напол. Леон 800 форест 2 ящика с умыв. Слим</v>
      </c>
      <c r="H3340">
        <f>VLOOKUP(D3340,Товары!A:I,6,0)</f>
        <v>80</v>
      </c>
      <c r="I3340" t="str">
        <f>VLOOKUP(C3340,Магазины!A:C,3,0)</f>
        <v>Кемерово</v>
      </c>
      <c r="J3340">
        <f>VLOOKUP(D3340,Товары!A:I,4,0)</f>
        <v>29400</v>
      </c>
      <c r="K3340">
        <f t="shared" si="52"/>
        <v>29400</v>
      </c>
    </row>
    <row r="3341" spans="1:11" hidden="1" x14ac:dyDescent="0.25">
      <c r="A3341">
        <v>3340</v>
      </c>
      <c r="B3341" s="1">
        <v>45756</v>
      </c>
      <c r="C3341" t="s">
        <v>6</v>
      </c>
      <c r="D3341" t="s">
        <v>99</v>
      </c>
      <c r="E3341" t="s">
        <v>8</v>
      </c>
      <c r="F3341">
        <v>3</v>
      </c>
      <c r="G3341" t="str">
        <f>VLOOKUP(D3341,Товары!A:I,3,0)</f>
        <v>Тумба с раковиной  навес. Леон 600 оникс 2 ящика с умыв. Слим</v>
      </c>
      <c r="H3341">
        <f>VLOOKUP(D3341,Товары!A:I,6,0)</f>
        <v>60</v>
      </c>
      <c r="I3341" t="str">
        <f>VLOOKUP(C3341,Магазины!A:C,3,0)</f>
        <v>Оренбург</v>
      </c>
      <c r="J3341">
        <f>VLOOKUP(D3341,Товары!A:I,4,0)</f>
        <v>25125</v>
      </c>
      <c r="K3341">
        <f t="shared" si="52"/>
        <v>75375</v>
      </c>
    </row>
    <row r="3342" spans="1:11" hidden="1" x14ac:dyDescent="0.25">
      <c r="A3342">
        <v>3341</v>
      </c>
      <c r="B3342" s="1">
        <v>45754</v>
      </c>
      <c r="C3342" t="s">
        <v>26</v>
      </c>
      <c r="D3342" t="s">
        <v>44</v>
      </c>
      <c r="E3342" t="s">
        <v>13</v>
      </c>
      <c r="F3342">
        <v>2</v>
      </c>
      <c r="G3342" t="str">
        <f>VLOOKUP(D3342,Товары!A:I,3,0)</f>
        <v>Тумба с раковиной  навес. Кристалл 800 шато азур 2 ящика с умыв. Комфорт</v>
      </c>
      <c r="H3342">
        <f>VLOOKUP(D3342,Товары!A:I,6,0)</f>
        <v>55</v>
      </c>
      <c r="I3342" t="str">
        <f>VLOOKUP(C3342,Магазины!A:C,3,0)</f>
        <v>Оренбург</v>
      </c>
      <c r="J3342">
        <f>VLOOKUP(D3342,Товары!A:I,4,0)</f>
        <v>25080</v>
      </c>
      <c r="K3342">
        <f t="shared" si="52"/>
        <v>50160</v>
      </c>
    </row>
    <row r="3343" spans="1:11" hidden="1" x14ac:dyDescent="0.25">
      <c r="A3343">
        <v>3342</v>
      </c>
      <c r="B3343" s="1">
        <v>45750</v>
      </c>
      <c r="C3343" t="s">
        <v>20</v>
      </c>
      <c r="D3343" t="s">
        <v>61</v>
      </c>
      <c r="E3343" t="s">
        <v>8</v>
      </c>
      <c r="F3343">
        <v>1</v>
      </c>
      <c r="G3343" t="str">
        <f>VLOOKUP(D3343,Товары!A:I,3,0)</f>
        <v>Тумба под стиральную машину Леон Риф 57 напольная 2 ящика под ст/маш, без умывальника /под Marshall 120 Солярис/Белый Риф</v>
      </c>
      <c r="H3343">
        <f>VLOOKUP(D3343,Товары!A:I,6,0)</f>
        <v>85</v>
      </c>
      <c r="I3343" t="str">
        <f>VLOOKUP(C3343,Магазины!A:C,3,0)</f>
        <v>Оренбург</v>
      </c>
      <c r="J3343">
        <f>VLOOKUP(D3343,Товары!A:I,4,0)</f>
        <v>17430</v>
      </c>
      <c r="K3343">
        <f t="shared" si="52"/>
        <v>17430</v>
      </c>
    </row>
    <row r="3344" spans="1:11" hidden="1" x14ac:dyDescent="0.25">
      <c r="A3344">
        <v>3343</v>
      </c>
      <c r="B3344" s="1">
        <v>45748</v>
      </c>
      <c r="C3344" t="s">
        <v>58</v>
      </c>
      <c r="D3344" t="s">
        <v>88</v>
      </c>
      <c r="E3344" t="s">
        <v>8</v>
      </c>
      <c r="F3344">
        <v>2</v>
      </c>
      <c r="G3344" t="str">
        <f>VLOOKUP(D3344,Товары!A:I,3,0)</f>
        <v>Тумба с раковиной  навес. Альба 800 антрацит 2 ящика с умыв. Слим</v>
      </c>
      <c r="H3344">
        <f>VLOOKUP(D3344,Товары!A:I,6,0)</f>
        <v>50</v>
      </c>
      <c r="I3344" t="str">
        <f>VLOOKUP(C3344,Магазины!A:C,3,0)</f>
        <v>Ставрополь</v>
      </c>
      <c r="J3344">
        <f>VLOOKUP(D3344,Товары!A:I,4,0)</f>
        <v>26070</v>
      </c>
      <c r="K3344">
        <f t="shared" si="52"/>
        <v>52140</v>
      </c>
    </row>
    <row r="3345" spans="1:11" hidden="1" x14ac:dyDescent="0.25">
      <c r="A3345">
        <v>3344</v>
      </c>
      <c r="B3345" s="1">
        <v>45756</v>
      </c>
      <c r="C3345" t="s">
        <v>20</v>
      </c>
      <c r="D3345" t="s">
        <v>91</v>
      </c>
      <c r="E3345" t="s">
        <v>13</v>
      </c>
      <c r="F3345">
        <v>3</v>
      </c>
      <c r="G3345" t="str">
        <f>VLOOKUP(D3345,Товары!A:I,3,0)</f>
        <v>Пенал навес./напол. Альба 350 мята 2 двери</v>
      </c>
      <c r="H3345">
        <f>VLOOKUP(D3345,Товары!A:I,6,0)</f>
        <v>150</v>
      </c>
      <c r="I3345" t="str">
        <f>VLOOKUP(C3345,Магазины!A:C,3,0)</f>
        <v>Оренбург</v>
      </c>
      <c r="J3345">
        <f>VLOOKUP(D3345,Товары!A:I,4,0)</f>
        <v>11655</v>
      </c>
      <c r="K3345">
        <f t="shared" si="52"/>
        <v>34965</v>
      </c>
    </row>
    <row r="3346" spans="1:11" hidden="1" x14ac:dyDescent="0.25">
      <c r="A3346">
        <v>3345</v>
      </c>
      <c r="B3346" s="1">
        <v>45748</v>
      </c>
      <c r="C3346" t="s">
        <v>18</v>
      </c>
      <c r="D3346" t="s">
        <v>83</v>
      </c>
      <c r="E3346" t="s">
        <v>13</v>
      </c>
      <c r="F3346">
        <v>1</v>
      </c>
      <c r="G3346" t="str">
        <f>VLOOKUP(D3346,Товары!A:I,3,0)</f>
        <v>Зеркальный шкаф Альба 60 со светильником правый цвет суфле</v>
      </c>
      <c r="H3346">
        <f>VLOOKUP(D3346,Товары!A:I,6,0)</f>
        <v>75</v>
      </c>
      <c r="I3346" t="str">
        <f>VLOOKUP(C3346,Магазины!A:C,3,0)</f>
        <v>Набережные Челны</v>
      </c>
      <c r="J3346">
        <f>VLOOKUP(D3346,Товары!A:I,4,0)</f>
        <v>8910</v>
      </c>
      <c r="K3346">
        <f t="shared" si="52"/>
        <v>8910</v>
      </c>
    </row>
    <row r="3347" spans="1:11" hidden="1" x14ac:dyDescent="0.25">
      <c r="A3347">
        <v>3346</v>
      </c>
      <c r="B3347" s="1">
        <v>45749</v>
      </c>
      <c r="C3347" t="s">
        <v>35</v>
      </c>
      <c r="D3347" t="s">
        <v>24</v>
      </c>
      <c r="E3347" t="s">
        <v>8</v>
      </c>
      <c r="F3347">
        <v>1</v>
      </c>
      <c r="G3347" t="str">
        <f>VLOOKUP(D3347,Товары!A:I,3,0)</f>
        <v>Тумба с раковиной  напол. Леон 600 форест 2 ящика с умыв. Слим</v>
      </c>
      <c r="H3347">
        <f>VLOOKUP(D3347,Товары!A:I,6,0)</f>
        <v>80</v>
      </c>
      <c r="I3347" t="str">
        <f>VLOOKUP(C3347,Магазины!A:C,3,0)</f>
        <v>Набережные Челны</v>
      </c>
      <c r="J3347">
        <f>VLOOKUP(D3347,Товары!A:I,4,0)</f>
        <v>27150</v>
      </c>
      <c r="K3347">
        <f t="shared" si="52"/>
        <v>27150</v>
      </c>
    </row>
    <row r="3348" spans="1:11" hidden="1" x14ac:dyDescent="0.25">
      <c r="A3348">
        <v>3347</v>
      </c>
      <c r="B3348" s="1">
        <v>45750</v>
      </c>
      <c r="C3348" t="s">
        <v>57</v>
      </c>
      <c r="D3348" t="s">
        <v>124</v>
      </c>
      <c r="E3348" t="s">
        <v>13</v>
      </c>
      <c r="F3348">
        <v>2</v>
      </c>
      <c r="G3348" t="str">
        <f>VLOOKUP(D3348,Товары!A:I,3,0)</f>
        <v>Тумба с раковиной  напол. Леон 600 оникс 2 ящика с умыв. Океан</v>
      </c>
      <c r="H3348">
        <f>VLOOKUP(D3348,Товары!A:I,6,0)</f>
        <v>80</v>
      </c>
      <c r="I3348" t="str">
        <f>VLOOKUP(C3348,Магазины!A:C,3,0)</f>
        <v>Оренбург</v>
      </c>
      <c r="J3348">
        <f>VLOOKUP(D3348,Товары!A:I,4,0)</f>
        <v>25860</v>
      </c>
      <c r="K3348">
        <f t="shared" si="52"/>
        <v>51720</v>
      </c>
    </row>
    <row r="3349" spans="1:11" hidden="1" x14ac:dyDescent="0.25">
      <c r="A3349">
        <v>3348</v>
      </c>
      <c r="B3349" s="1">
        <v>45748</v>
      </c>
      <c r="C3349" t="s">
        <v>35</v>
      </c>
      <c r="D3349" t="s">
        <v>76</v>
      </c>
      <c r="E3349" t="s">
        <v>8</v>
      </c>
      <c r="F3349">
        <v>1</v>
      </c>
      <c r="G3349" t="str">
        <f>VLOOKUP(D3349,Товары!A:I,3,0)</f>
        <v>Тумба с раковиной  напол. Леон 600 оникс 2 ящика с умыв. Слим</v>
      </c>
      <c r="H3349">
        <f>VLOOKUP(D3349,Товары!A:I,6,0)</f>
        <v>80</v>
      </c>
      <c r="I3349" t="str">
        <f>VLOOKUP(C3349,Магазины!A:C,3,0)</f>
        <v>Набережные Челны</v>
      </c>
      <c r="J3349">
        <f>VLOOKUP(D3349,Товары!A:I,4,0)</f>
        <v>25860</v>
      </c>
      <c r="K3349">
        <f t="shared" si="52"/>
        <v>25860</v>
      </c>
    </row>
    <row r="3350" spans="1:11" hidden="1" x14ac:dyDescent="0.25">
      <c r="A3350">
        <v>3349</v>
      </c>
      <c r="B3350" s="1">
        <v>45749</v>
      </c>
      <c r="C3350" t="s">
        <v>18</v>
      </c>
      <c r="D3350" t="s">
        <v>55</v>
      </c>
      <c r="E3350" t="s">
        <v>13</v>
      </c>
      <c r="F3350">
        <v>3</v>
      </c>
      <c r="G3350" t="str">
        <f>VLOOKUP(D3350,Товары!A:I,3,0)</f>
        <v>Тумба с раковиной  напол. Рица 600 cерый/керамика 2 ящика с умыв. Океан</v>
      </c>
      <c r="H3350">
        <f>VLOOKUP(D3350,Товары!A:I,6,0)</f>
        <v>80</v>
      </c>
      <c r="I3350" t="str">
        <f>VLOOKUP(C3350,Магазины!A:C,3,0)</f>
        <v>Набережные Челны</v>
      </c>
      <c r="J3350">
        <f>VLOOKUP(D3350,Товары!A:I,4,0)</f>
        <v>25560</v>
      </c>
      <c r="K3350">
        <f t="shared" si="52"/>
        <v>76680</v>
      </c>
    </row>
    <row r="3351" spans="1:11" hidden="1" x14ac:dyDescent="0.25">
      <c r="A3351">
        <v>3350</v>
      </c>
      <c r="B3351" s="1">
        <v>45750</v>
      </c>
      <c r="C3351" t="s">
        <v>41</v>
      </c>
      <c r="D3351" t="s">
        <v>17</v>
      </c>
      <c r="E3351" t="s">
        <v>8</v>
      </c>
      <c r="F3351">
        <v>1</v>
      </c>
      <c r="G3351" t="str">
        <f>VLOOKUP(D3351,Товары!A:I,3,0)</f>
        <v>Тумба с раковиной  навес. Альба 800 антрацит 1 ящик с умыв. Слим</v>
      </c>
      <c r="H3351">
        <f>VLOOKUP(D3351,Товары!A:I,6,0)</f>
        <v>45</v>
      </c>
      <c r="I3351" t="str">
        <f>VLOOKUP(C3351,Магазины!A:C,3,0)</f>
        <v>Ставрополь</v>
      </c>
      <c r="J3351">
        <f>VLOOKUP(D3351,Товары!A:I,4,0)</f>
        <v>21630</v>
      </c>
      <c r="K3351">
        <f t="shared" si="52"/>
        <v>21630</v>
      </c>
    </row>
    <row r="3352" spans="1:11" hidden="1" x14ac:dyDescent="0.25">
      <c r="A3352">
        <v>3351</v>
      </c>
      <c r="B3352" s="1">
        <v>45757</v>
      </c>
      <c r="C3352" t="s">
        <v>30</v>
      </c>
      <c r="D3352" t="s">
        <v>118</v>
      </c>
      <c r="E3352" t="s">
        <v>13</v>
      </c>
      <c r="F3352">
        <v>2</v>
      </c>
      <c r="G3352" t="str">
        <f>VLOOKUP(D3352,Товары!A:I,3,0)</f>
        <v>Тумба с раковиной  напол. Сохо 800 белый 2 ящика с умыв. Слим</v>
      </c>
      <c r="H3352">
        <f>VLOOKUP(D3352,Товары!A:I,6,0)</f>
        <v>85</v>
      </c>
      <c r="I3352" t="str">
        <f>VLOOKUP(C3352,Магазины!A:C,3,0)</f>
        <v>Кемерово</v>
      </c>
      <c r="J3352">
        <f>VLOOKUP(D3352,Товары!A:I,4,0)</f>
        <v>19575</v>
      </c>
      <c r="K3352">
        <f t="shared" si="52"/>
        <v>39150</v>
      </c>
    </row>
    <row r="3353" spans="1:11" hidden="1" x14ac:dyDescent="0.25">
      <c r="A3353">
        <v>3352</v>
      </c>
      <c r="B3353" s="1">
        <v>45748</v>
      </c>
      <c r="C3353" t="s">
        <v>103</v>
      </c>
      <c r="D3353" t="s">
        <v>122</v>
      </c>
      <c r="E3353" t="s">
        <v>8</v>
      </c>
      <c r="F3353">
        <v>1</v>
      </c>
      <c r="G3353" t="str">
        <f>VLOOKUP(D3353,Товары!A:I,3,0)</f>
        <v>Тумба с раковиной  навес. Кристалл 600 шато азур 2 ящика с умыв. Океан</v>
      </c>
      <c r="H3353">
        <f>VLOOKUP(D3353,Товары!A:I,6,0)</f>
        <v>55</v>
      </c>
      <c r="I3353" t="str">
        <f>VLOOKUP(C3353,Магазины!A:C,3,0)</f>
        <v>Ставрополь</v>
      </c>
      <c r="J3353">
        <f>VLOOKUP(D3353,Товары!A:I,4,0)</f>
        <v>21960</v>
      </c>
      <c r="K3353">
        <f t="shared" si="52"/>
        <v>21960</v>
      </c>
    </row>
    <row r="3354" spans="1:11" hidden="1" x14ac:dyDescent="0.25">
      <c r="A3354">
        <v>3353</v>
      </c>
      <c r="B3354" s="1">
        <v>45754</v>
      </c>
      <c r="C3354" t="s">
        <v>111</v>
      </c>
      <c r="D3354" t="s">
        <v>84</v>
      </c>
      <c r="E3354" t="s">
        <v>8</v>
      </c>
      <c r="F3354">
        <v>1</v>
      </c>
      <c r="G3354" t="str">
        <f>VLOOKUP(D3354,Товары!A:I,3,0)</f>
        <v>Тумба с раковиной  напол. Куба Риф 800 белый 3 двери с умыв. Слим</v>
      </c>
      <c r="H3354">
        <f>VLOOKUP(D3354,Товары!A:I,6,0)</f>
        <v>85</v>
      </c>
      <c r="I3354" t="str">
        <f>VLOOKUP(C3354,Магазины!A:C,3,0)</f>
        <v>Набережные Челны</v>
      </c>
      <c r="J3354">
        <f>VLOOKUP(D3354,Товары!A:I,4,0)</f>
        <v>19920</v>
      </c>
      <c r="K3354">
        <f t="shared" si="52"/>
        <v>19920</v>
      </c>
    </row>
    <row r="3355" spans="1:11" hidden="1" x14ac:dyDescent="0.25">
      <c r="A3355">
        <v>3354</v>
      </c>
      <c r="B3355" s="1">
        <v>45757</v>
      </c>
      <c r="C3355" t="s">
        <v>48</v>
      </c>
      <c r="D3355" t="s">
        <v>104</v>
      </c>
      <c r="E3355" t="s">
        <v>13</v>
      </c>
      <c r="F3355">
        <v>3</v>
      </c>
      <c r="G3355" t="str">
        <f>VLOOKUP(D3355,Товары!A:I,3,0)</f>
        <v>Тумба под стиральную машину Куба Риф 57 подвесная 2 ящика под ст/маш, без умывальника /под Marshall 120 Белый</v>
      </c>
      <c r="H3355">
        <f>VLOOKUP(D3355,Товары!A:I,6,0)</f>
        <v>50</v>
      </c>
      <c r="I3355" t="str">
        <f>VLOOKUP(C3355,Магазины!A:C,3,0)</f>
        <v>Ставрополь</v>
      </c>
      <c r="J3355">
        <f>VLOOKUP(D3355,Товары!A:I,4,0)</f>
        <v>8505</v>
      </c>
      <c r="K3355">
        <f t="shared" si="52"/>
        <v>25515</v>
      </c>
    </row>
    <row r="3356" spans="1:11" hidden="1" x14ac:dyDescent="0.25">
      <c r="A3356">
        <v>3355</v>
      </c>
      <c r="B3356" s="1">
        <v>45750</v>
      </c>
      <c r="C3356" t="s">
        <v>11</v>
      </c>
      <c r="D3356" t="s">
        <v>47</v>
      </c>
      <c r="E3356" t="s">
        <v>13</v>
      </c>
      <c r="F3356">
        <v>3</v>
      </c>
      <c r="G3356" t="str">
        <f>VLOOKUP(D3356,Товары!A:I,3,0)</f>
        <v>Пенал напол. Кристалл 350 шато азур 2 двери</v>
      </c>
      <c r="H3356">
        <f>VLOOKUP(D3356,Товары!A:I,6,0)</f>
        <v>190</v>
      </c>
      <c r="I3356" t="str">
        <f>VLOOKUP(C3356,Магазины!A:C,3,0)</f>
        <v>Кемерово</v>
      </c>
      <c r="J3356">
        <f>VLOOKUP(D3356,Товары!A:I,4,0)</f>
        <v>15810</v>
      </c>
      <c r="K3356">
        <f t="shared" si="52"/>
        <v>47430</v>
      </c>
    </row>
    <row r="3357" spans="1:11" hidden="1" x14ac:dyDescent="0.25">
      <c r="A3357">
        <v>3356</v>
      </c>
      <c r="B3357" s="1">
        <v>45751</v>
      </c>
      <c r="C3357" t="s">
        <v>18</v>
      </c>
      <c r="D3357" t="s">
        <v>90</v>
      </c>
      <c r="E3357" t="s">
        <v>13</v>
      </c>
      <c r="F3357">
        <v>2</v>
      </c>
      <c r="G3357" t="str">
        <f>VLOOKUP(D3357,Товары!A:I,3,0)</f>
        <v>Пенал напол. Аква 350 белый 2 двери + 2 ящика</v>
      </c>
      <c r="H3357">
        <f>VLOOKUP(D3357,Товары!A:I,6,0)</f>
        <v>190</v>
      </c>
      <c r="I3357" t="str">
        <f>VLOOKUP(C3357,Магазины!A:C,3,0)</f>
        <v>Набережные Челны</v>
      </c>
      <c r="J3357">
        <f>VLOOKUP(D3357,Товары!A:I,4,0)</f>
        <v>10650</v>
      </c>
      <c r="K3357">
        <f t="shared" si="52"/>
        <v>21300</v>
      </c>
    </row>
    <row r="3358" spans="1:11" hidden="1" x14ac:dyDescent="0.25">
      <c r="A3358">
        <v>3357</v>
      </c>
      <c r="B3358" s="1">
        <v>45751</v>
      </c>
      <c r="C3358" t="s">
        <v>18</v>
      </c>
      <c r="D3358" t="s">
        <v>47</v>
      </c>
      <c r="E3358" t="s">
        <v>13</v>
      </c>
      <c r="F3358">
        <v>3</v>
      </c>
      <c r="G3358" t="str">
        <f>VLOOKUP(D3358,Товары!A:I,3,0)</f>
        <v>Пенал напол. Кристалл 350 шато азур 2 двери</v>
      </c>
      <c r="H3358">
        <f>VLOOKUP(D3358,Товары!A:I,6,0)</f>
        <v>190</v>
      </c>
      <c r="I3358" t="str">
        <f>VLOOKUP(C3358,Магазины!A:C,3,0)</f>
        <v>Набережные Челны</v>
      </c>
      <c r="J3358">
        <f>VLOOKUP(D3358,Товары!A:I,4,0)</f>
        <v>15810</v>
      </c>
      <c r="K3358">
        <f t="shared" si="52"/>
        <v>47430</v>
      </c>
    </row>
    <row r="3359" spans="1:11" hidden="1" x14ac:dyDescent="0.25">
      <c r="A3359">
        <v>3358</v>
      </c>
      <c r="B3359" s="1">
        <v>45748</v>
      </c>
      <c r="C3359" t="s">
        <v>92</v>
      </c>
      <c r="D3359" t="s">
        <v>52</v>
      </c>
      <c r="E3359" t="s">
        <v>13</v>
      </c>
      <c r="F3359">
        <v>3</v>
      </c>
      <c r="G3359" t="str">
        <f>VLOOKUP(D3359,Товары!A:I,3,0)</f>
        <v>Тумба с раковиной  напол. Кристалл 600 суфле 2 ящика с умыв. Океан</v>
      </c>
      <c r="H3359">
        <f>VLOOKUP(D3359,Товары!A:I,6,0)</f>
        <v>80</v>
      </c>
      <c r="I3359" t="str">
        <f>VLOOKUP(C3359,Магазины!A:C,3,0)</f>
        <v>Кемерово</v>
      </c>
      <c r="J3359">
        <f>VLOOKUP(D3359,Товары!A:I,4,0)</f>
        <v>27600</v>
      </c>
      <c r="K3359">
        <f t="shared" si="52"/>
        <v>82800</v>
      </c>
    </row>
    <row r="3360" spans="1:11" hidden="1" x14ac:dyDescent="0.25">
      <c r="A3360">
        <v>3359</v>
      </c>
      <c r="B3360" s="1">
        <v>45753</v>
      </c>
      <c r="C3360" t="s">
        <v>103</v>
      </c>
      <c r="D3360" t="s">
        <v>50</v>
      </c>
      <c r="E3360" t="s">
        <v>8</v>
      </c>
      <c r="F3360">
        <v>1</v>
      </c>
      <c r="G3360" t="str">
        <f>VLOOKUP(D3360,Товары!A:I,3,0)</f>
        <v>Тумба с раковиной  напол. Леон 800 оникс 2 ящика с умыв. Слим</v>
      </c>
      <c r="H3360">
        <f>VLOOKUP(D3360,Товары!A:I,6,0)</f>
        <v>80</v>
      </c>
      <c r="I3360" t="str">
        <f>VLOOKUP(C3360,Магазины!A:C,3,0)</f>
        <v>Ставрополь</v>
      </c>
      <c r="J3360">
        <f>VLOOKUP(D3360,Товары!A:I,4,0)</f>
        <v>29400</v>
      </c>
      <c r="K3360">
        <f t="shared" si="52"/>
        <v>29400</v>
      </c>
    </row>
    <row r="3361" spans="1:11" hidden="1" x14ac:dyDescent="0.25">
      <c r="A3361">
        <v>3360</v>
      </c>
      <c r="B3361" s="1">
        <v>45749</v>
      </c>
      <c r="C3361" t="s">
        <v>57</v>
      </c>
      <c r="D3361" t="s">
        <v>34</v>
      </c>
      <c r="E3361" t="s">
        <v>8</v>
      </c>
      <c r="F3361">
        <v>3</v>
      </c>
      <c r="G3361" t="str">
        <f>VLOOKUP(D3361,Товары!A:I,3,0)</f>
        <v>Тумба с раковиной  навес. Леон 700 форест 2 ящика с умыв. Слим</v>
      </c>
      <c r="H3361">
        <f>VLOOKUP(D3361,Товары!A:I,6,0)</f>
        <v>60</v>
      </c>
      <c r="I3361" t="str">
        <f>VLOOKUP(C3361,Магазины!A:C,3,0)</f>
        <v>Оренбург</v>
      </c>
      <c r="J3361">
        <f>VLOOKUP(D3361,Товары!A:I,4,0)</f>
        <v>26220</v>
      </c>
      <c r="K3361">
        <f t="shared" si="52"/>
        <v>78660</v>
      </c>
    </row>
    <row r="3362" spans="1:11" hidden="1" x14ac:dyDescent="0.25">
      <c r="A3362">
        <v>3361</v>
      </c>
      <c r="B3362" s="1">
        <v>45755</v>
      </c>
      <c r="C3362" t="s">
        <v>9</v>
      </c>
      <c r="D3362" t="s">
        <v>75</v>
      </c>
      <c r="E3362" t="s">
        <v>13</v>
      </c>
      <c r="F3362">
        <v>2</v>
      </c>
      <c r="G3362" t="str">
        <f>VLOOKUP(D3362,Товары!A:I,3,0)</f>
        <v>Тумба с раковиной  напол. Альба 600 суфле 2 ящика с умыв. Океан</v>
      </c>
      <c r="H3362">
        <f>VLOOKUP(D3362,Товары!A:I,6,0)</f>
        <v>80</v>
      </c>
      <c r="I3362" t="str">
        <f>VLOOKUP(C3362,Магазины!A:C,3,0)</f>
        <v>Кемерово</v>
      </c>
      <c r="J3362">
        <f>VLOOKUP(D3362,Товары!A:I,4,0)</f>
        <v>26370</v>
      </c>
      <c r="K3362">
        <f t="shared" si="52"/>
        <v>52740</v>
      </c>
    </row>
    <row r="3363" spans="1:11" hidden="1" x14ac:dyDescent="0.25">
      <c r="A3363">
        <v>3362</v>
      </c>
      <c r="B3363" s="1">
        <v>45757</v>
      </c>
      <c r="C3363" t="s">
        <v>22</v>
      </c>
      <c r="D3363" t="s">
        <v>123</v>
      </c>
      <c r="E3363" t="s">
        <v>13</v>
      </c>
      <c r="F3363">
        <v>1</v>
      </c>
      <c r="G3363" t="str">
        <f>VLOOKUP(D3363,Товары!A:I,3,0)</f>
        <v>Тумба с раковиной  напол. Кристалл 800 суфле 2 ящика с умыв. Слим</v>
      </c>
      <c r="H3363">
        <f>VLOOKUP(D3363,Товары!A:I,6,0)</f>
        <v>80</v>
      </c>
      <c r="I3363" t="str">
        <f>VLOOKUP(C3363,Магазины!A:C,3,0)</f>
        <v>Кемерово</v>
      </c>
      <c r="J3363">
        <f>VLOOKUP(D3363,Товары!A:I,4,0)</f>
        <v>31125</v>
      </c>
      <c r="K3363">
        <f t="shared" si="52"/>
        <v>31125</v>
      </c>
    </row>
    <row r="3364" spans="1:11" hidden="1" x14ac:dyDescent="0.25">
      <c r="A3364">
        <v>3363</v>
      </c>
      <c r="B3364" s="1">
        <v>45756</v>
      </c>
      <c r="C3364" t="s">
        <v>103</v>
      </c>
      <c r="D3364" t="s">
        <v>100</v>
      </c>
      <c r="E3364" t="s">
        <v>13</v>
      </c>
      <c r="F3364">
        <v>1</v>
      </c>
      <c r="G3364" t="str">
        <f>VLOOKUP(D3364,Товары!A:I,3,0)</f>
        <v>Тумба с раковиной  навес. Альба 800 мята 1 ящик с умыв. Слим</v>
      </c>
      <c r="H3364">
        <f>VLOOKUP(D3364,Товары!A:I,6,0)</f>
        <v>45</v>
      </c>
      <c r="I3364" t="str">
        <f>VLOOKUP(C3364,Магазины!A:C,3,0)</f>
        <v>Ставрополь</v>
      </c>
      <c r="J3364">
        <f>VLOOKUP(D3364,Товары!A:I,4,0)</f>
        <v>21630</v>
      </c>
      <c r="K3364">
        <f t="shared" si="52"/>
        <v>21630</v>
      </c>
    </row>
    <row r="3365" spans="1:11" hidden="1" x14ac:dyDescent="0.25">
      <c r="A3365">
        <v>3364</v>
      </c>
      <c r="B3365" s="1">
        <v>45757</v>
      </c>
      <c r="C3365" t="s">
        <v>20</v>
      </c>
      <c r="D3365" t="s">
        <v>108</v>
      </c>
      <c r="E3365" t="s">
        <v>13</v>
      </c>
      <c r="F3365">
        <v>2</v>
      </c>
      <c r="G3365" t="str">
        <f>VLOOKUP(D3365,Товары!A:I,3,0)</f>
        <v>Тумба с раковиной  навес. Виктория 1000 белый 2 ящика с умыв. Слим</v>
      </c>
      <c r="H3365">
        <f>VLOOKUP(D3365,Товары!A:I,6,0)</f>
        <v>60</v>
      </c>
      <c r="I3365" t="str">
        <f>VLOOKUP(C3365,Магазины!A:C,3,0)</f>
        <v>Оренбург</v>
      </c>
      <c r="J3365">
        <f>VLOOKUP(D3365,Товары!A:I,4,0)</f>
        <v>29205</v>
      </c>
      <c r="K3365">
        <f t="shared" si="52"/>
        <v>58410</v>
      </c>
    </row>
    <row r="3366" spans="1:11" hidden="1" x14ac:dyDescent="0.25">
      <c r="A3366">
        <v>3365</v>
      </c>
      <c r="B3366" s="1">
        <v>45756</v>
      </c>
      <c r="C3366" t="s">
        <v>48</v>
      </c>
      <c r="D3366" t="s">
        <v>76</v>
      </c>
      <c r="E3366" t="s">
        <v>13</v>
      </c>
      <c r="F3366">
        <v>2</v>
      </c>
      <c r="G3366" t="str">
        <f>VLOOKUP(D3366,Товары!A:I,3,0)</f>
        <v>Тумба с раковиной  напол. Леон 600 оникс 2 ящика с умыв. Слим</v>
      </c>
      <c r="H3366">
        <f>VLOOKUP(D3366,Товары!A:I,6,0)</f>
        <v>80</v>
      </c>
      <c r="I3366" t="str">
        <f>VLOOKUP(C3366,Магазины!A:C,3,0)</f>
        <v>Ставрополь</v>
      </c>
      <c r="J3366">
        <f>VLOOKUP(D3366,Товары!A:I,4,0)</f>
        <v>25860</v>
      </c>
      <c r="K3366">
        <f t="shared" si="52"/>
        <v>51720</v>
      </c>
    </row>
    <row r="3367" spans="1:11" hidden="1" x14ac:dyDescent="0.25">
      <c r="A3367">
        <v>3366</v>
      </c>
      <c r="B3367" s="1">
        <v>45751</v>
      </c>
      <c r="C3367" t="s">
        <v>111</v>
      </c>
      <c r="D3367" t="s">
        <v>115</v>
      </c>
      <c r="E3367" t="s">
        <v>8</v>
      </c>
      <c r="F3367">
        <v>1</v>
      </c>
      <c r="G3367" t="str">
        <f>VLOOKUP(D3367,Товары!A:I,3,0)</f>
        <v>Тумба под стиральную машину Куба Риф 57 напольная 2 ящика под ст/маш, без умывальника /под Marshall 120 Белый</v>
      </c>
      <c r="H3367">
        <f>VLOOKUP(D3367,Товары!A:I,6,0)</f>
        <v>85</v>
      </c>
      <c r="I3367" t="str">
        <f>VLOOKUP(C3367,Магазины!A:C,3,0)</f>
        <v>Набережные Челны</v>
      </c>
      <c r="J3367">
        <f>VLOOKUP(D3367,Товары!A:I,4,0)</f>
        <v>10530</v>
      </c>
      <c r="K3367">
        <f t="shared" si="52"/>
        <v>10530</v>
      </c>
    </row>
    <row r="3368" spans="1:11" hidden="1" x14ac:dyDescent="0.25">
      <c r="A3368">
        <v>3367</v>
      </c>
      <c r="B3368" s="1">
        <v>45752</v>
      </c>
      <c r="C3368" t="s">
        <v>48</v>
      </c>
      <c r="D3368" t="s">
        <v>109</v>
      </c>
      <c r="E3368" t="s">
        <v>13</v>
      </c>
      <c r="F3368">
        <v>2</v>
      </c>
      <c r="G3368" t="str">
        <f>VLOOKUP(D3368,Товары!A:I,3,0)</f>
        <v>Тумба с раковиной  навес. Альба 600 антрацит 2 ящика с умыв. Океан</v>
      </c>
      <c r="H3368">
        <f>VLOOKUP(D3368,Товары!A:I,6,0)</f>
        <v>50</v>
      </c>
      <c r="I3368" t="str">
        <f>VLOOKUP(C3368,Магазины!A:C,3,0)</f>
        <v>Ставрополь</v>
      </c>
      <c r="J3368">
        <f>VLOOKUP(D3368,Товары!A:I,4,0)</f>
        <v>24810</v>
      </c>
      <c r="K3368">
        <f t="shared" si="52"/>
        <v>49620</v>
      </c>
    </row>
    <row r="3369" spans="1:11" hidden="1" x14ac:dyDescent="0.25">
      <c r="A3369">
        <v>3368</v>
      </c>
      <c r="B3369" s="1">
        <v>45756</v>
      </c>
      <c r="C3369" t="s">
        <v>33</v>
      </c>
      <c r="D3369" t="s">
        <v>112</v>
      </c>
      <c r="E3369" t="s">
        <v>8</v>
      </c>
      <c r="F3369">
        <v>3</v>
      </c>
      <c r="G3369" t="str">
        <f>VLOOKUP(D3369,Товары!A:I,3,0)</f>
        <v>Тумба с раковиной  напол. Аква 560 белый 2 двери с умыв. Уют</v>
      </c>
      <c r="H3369">
        <f>VLOOKUP(D3369,Товары!A:I,6,0)</f>
        <v>85</v>
      </c>
      <c r="I3369" t="str">
        <f>VLOOKUP(C3369,Магазины!A:C,3,0)</f>
        <v>Набережные Челны</v>
      </c>
      <c r="J3369">
        <f>VLOOKUP(D3369,Товары!A:I,4,0)</f>
        <v>9330</v>
      </c>
      <c r="K3369">
        <f t="shared" si="52"/>
        <v>27990</v>
      </c>
    </row>
    <row r="3370" spans="1:11" hidden="1" x14ac:dyDescent="0.25">
      <c r="A3370">
        <v>3369</v>
      </c>
      <c r="B3370" s="1">
        <v>45752</v>
      </c>
      <c r="C3370" t="s">
        <v>58</v>
      </c>
      <c r="D3370" t="s">
        <v>80</v>
      </c>
      <c r="E3370" t="s">
        <v>8</v>
      </c>
      <c r="F3370">
        <v>3</v>
      </c>
      <c r="G3370" t="str">
        <f>VLOOKUP(D3370,Товары!A:I,3,0)</f>
        <v>Тумба с раковиной  навес. Сохо 600 белый 2 ящика с умыв. Океан</v>
      </c>
      <c r="H3370">
        <f>VLOOKUP(D3370,Товары!A:I,6,0)</f>
        <v>55</v>
      </c>
      <c r="I3370" t="str">
        <f>VLOOKUP(C3370,Магазины!A:C,3,0)</f>
        <v>Ставрополь</v>
      </c>
      <c r="J3370">
        <f>VLOOKUP(D3370,Товары!A:I,4,0)</f>
        <v>13950</v>
      </c>
      <c r="K3370">
        <f t="shared" si="52"/>
        <v>41850</v>
      </c>
    </row>
    <row r="3371" spans="1:11" hidden="1" x14ac:dyDescent="0.25">
      <c r="A3371">
        <v>3370</v>
      </c>
      <c r="B3371" s="1">
        <v>45753</v>
      </c>
      <c r="C3371" t="s">
        <v>58</v>
      </c>
      <c r="D3371" t="s">
        <v>25</v>
      </c>
      <c r="E3371" t="s">
        <v>13</v>
      </c>
      <c r="F3371">
        <v>2</v>
      </c>
      <c r="G3371" t="str">
        <f>VLOOKUP(D3371,Товары!A:I,3,0)</f>
        <v>Пенал напол. Леон 400 оникс 2 двери + 1 ящик</v>
      </c>
      <c r="H3371">
        <f>VLOOKUP(D3371,Товары!A:I,6,0)</f>
        <v>190</v>
      </c>
      <c r="I3371" t="str">
        <f>VLOOKUP(C3371,Магазины!A:C,3,0)</f>
        <v>Ставрополь</v>
      </c>
      <c r="J3371">
        <f>VLOOKUP(D3371,Товары!A:I,4,0)</f>
        <v>18450</v>
      </c>
      <c r="K3371">
        <f t="shared" si="52"/>
        <v>36900</v>
      </c>
    </row>
    <row r="3372" spans="1:11" hidden="1" x14ac:dyDescent="0.25">
      <c r="A3372">
        <v>3371</v>
      </c>
      <c r="B3372" s="1">
        <v>45756</v>
      </c>
      <c r="C3372" t="s">
        <v>20</v>
      </c>
      <c r="D3372" t="s">
        <v>126</v>
      </c>
      <c r="E3372" t="s">
        <v>13</v>
      </c>
      <c r="F3372">
        <v>2</v>
      </c>
      <c r="G3372" t="str">
        <f>VLOOKUP(D3372,Товары!A:I,3,0)</f>
        <v>Тумба с раковиной  напол. Кристалл 800 шато азур 2 ящика с умыв. Комфорт</v>
      </c>
      <c r="H3372">
        <f>VLOOKUP(D3372,Товары!A:I,6,0)</f>
        <v>85</v>
      </c>
      <c r="I3372" t="str">
        <f>VLOOKUP(C3372,Магазины!A:C,3,0)</f>
        <v>Оренбург</v>
      </c>
      <c r="J3372">
        <f>VLOOKUP(D3372,Товары!A:I,4,0)</f>
        <v>31125</v>
      </c>
      <c r="K3372">
        <f t="shared" si="52"/>
        <v>62250</v>
      </c>
    </row>
    <row r="3373" spans="1:11" hidden="1" x14ac:dyDescent="0.25">
      <c r="A3373">
        <v>3372</v>
      </c>
      <c r="B3373" s="1">
        <v>45753</v>
      </c>
      <c r="C3373" t="s">
        <v>54</v>
      </c>
      <c r="D3373" t="s">
        <v>15</v>
      </c>
      <c r="E3373" t="s">
        <v>8</v>
      </c>
      <c r="F3373">
        <v>3</v>
      </c>
      <c r="G3373" t="str">
        <f>VLOOKUP(D3373,Товары!A:I,3,0)</f>
        <v>Зеркальный шкаф Кристалл 60 со светильником правый, ручка кнопка дуб цвет Шато Азур</v>
      </c>
      <c r="H3373">
        <f>VLOOKUP(D3373,Товары!A:I,6,0)</f>
        <v>75</v>
      </c>
      <c r="I3373" t="str">
        <f>VLOOKUP(C3373,Магазины!A:C,3,0)</f>
        <v>Ставрополь</v>
      </c>
      <c r="J3373">
        <f>VLOOKUP(D3373,Товары!A:I,4,0)</f>
        <v>9195</v>
      </c>
      <c r="K3373">
        <f t="shared" si="52"/>
        <v>27585</v>
      </c>
    </row>
    <row r="3374" spans="1:11" hidden="1" x14ac:dyDescent="0.25">
      <c r="A3374">
        <v>3373</v>
      </c>
      <c r="B3374" s="1">
        <v>45755</v>
      </c>
      <c r="C3374" t="s">
        <v>30</v>
      </c>
      <c r="D3374" t="s">
        <v>60</v>
      </c>
      <c r="E3374" t="s">
        <v>13</v>
      </c>
      <c r="F3374">
        <v>1</v>
      </c>
      <c r="G3374" t="str">
        <f>VLOOKUP(D3374,Товары!A:I,3,0)</f>
        <v>Пенал навес. Куба Риф 350 белый 2 двери</v>
      </c>
      <c r="H3374">
        <f>VLOOKUP(D3374,Товары!A:I,6,0)</f>
        <v>150</v>
      </c>
      <c r="I3374" t="str">
        <f>VLOOKUP(C3374,Магазины!A:C,3,0)</f>
        <v>Кемерово</v>
      </c>
      <c r="J3374">
        <f>VLOOKUP(D3374,Товары!A:I,4,0)</f>
        <v>9720</v>
      </c>
      <c r="K3374">
        <f t="shared" si="52"/>
        <v>9720</v>
      </c>
    </row>
    <row r="3375" spans="1:11" hidden="1" x14ac:dyDescent="0.25">
      <c r="A3375">
        <v>3374</v>
      </c>
      <c r="B3375" s="1">
        <v>45749</v>
      </c>
      <c r="C3375" t="s">
        <v>30</v>
      </c>
      <c r="D3375" t="s">
        <v>7</v>
      </c>
      <c r="E3375" t="s">
        <v>13</v>
      </c>
      <c r="F3375">
        <v>1</v>
      </c>
      <c r="G3375" t="str">
        <f>VLOOKUP(D3375,Товары!A:I,3,0)</f>
        <v>Пенал напол. Леон Риф 400 солярис/белый риф 2 двери + 1 ящик</v>
      </c>
      <c r="H3375">
        <f>VLOOKUP(D3375,Товары!A:I,6,0)</f>
        <v>190</v>
      </c>
      <c r="I3375" t="str">
        <f>VLOOKUP(C3375,Магазины!A:C,3,0)</f>
        <v>Кемерово</v>
      </c>
      <c r="J3375">
        <f>VLOOKUP(D3375,Товары!A:I,4,0)</f>
        <v>14490</v>
      </c>
      <c r="K3375">
        <f t="shared" si="52"/>
        <v>14490</v>
      </c>
    </row>
    <row r="3376" spans="1:11" hidden="1" x14ac:dyDescent="0.25">
      <c r="A3376">
        <v>3375</v>
      </c>
      <c r="B3376" s="1">
        <v>45754</v>
      </c>
      <c r="C3376" t="s">
        <v>92</v>
      </c>
      <c r="D3376" t="s">
        <v>131</v>
      </c>
      <c r="E3376" t="s">
        <v>8</v>
      </c>
      <c r="F3376">
        <v>1</v>
      </c>
      <c r="G3376" t="str">
        <f>VLOOKUP(D3376,Товары!A:I,3,0)</f>
        <v>Тумба с раковиной  напол. Леон 800 форест 2 ящика с умыв. Слим</v>
      </c>
      <c r="H3376">
        <f>VLOOKUP(D3376,Товары!A:I,6,0)</f>
        <v>80</v>
      </c>
      <c r="I3376" t="str">
        <f>VLOOKUP(C3376,Магазины!A:C,3,0)</f>
        <v>Кемерово</v>
      </c>
      <c r="J3376">
        <f>VLOOKUP(D3376,Товары!A:I,4,0)</f>
        <v>29400</v>
      </c>
      <c r="K3376">
        <f t="shared" si="52"/>
        <v>29400</v>
      </c>
    </row>
    <row r="3377" spans="1:11" hidden="1" x14ac:dyDescent="0.25">
      <c r="A3377">
        <v>3376</v>
      </c>
      <c r="B3377" s="1">
        <v>45748</v>
      </c>
      <c r="C3377" t="s">
        <v>9</v>
      </c>
      <c r="D3377" t="s">
        <v>81</v>
      </c>
      <c r="E3377" t="s">
        <v>13</v>
      </c>
      <c r="F3377">
        <v>2</v>
      </c>
      <c r="G3377" t="str">
        <f>VLOOKUP(D3377,Товары!A:I,3,0)</f>
        <v>Тумба с раковиной  навес. Рица 600 cерый/керамика 1 ящик + ниша 1 с умыв. Океан</v>
      </c>
      <c r="H3377">
        <f>VLOOKUP(D3377,Товары!A:I,6,0)</f>
        <v>60</v>
      </c>
      <c r="I3377" t="str">
        <f>VLOOKUP(C3377,Магазины!A:C,3,0)</f>
        <v>Кемерово</v>
      </c>
      <c r="J3377">
        <f>VLOOKUP(D3377,Товары!A:I,4,0)</f>
        <v>18900</v>
      </c>
      <c r="K3377">
        <f t="shared" si="52"/>
        <v>37800</v>
      </c>
    </row>
    <row r="3378" spans="1:11" hidden="1" x14ac:dyDescent="0.25">
      <c r="A3378">
        <v>3377</v>
      </c>
      <c r="B3378" s="1">
        <v>45757</v>
      </c>
      <c r="C3378" t="s">
        <v>14</v>
      </c>
      <c r="D3378" t="s">
        <v>124</v>
      </c>
      <c r="E3378" t="s">
        <v>8</v>
      </c>
      <c r="F3378">
        <v>2</v>
      </c>
      <c r="G3378" t="str">
        <f>VLOOKUP(D3378,Товары!A:I,3,0)</f>
        <v>Тумба с раковиной  напол. Леон 600 оникс 2 ящика с умыв. Океан</v>
      </c>
      <c r="H3378">
        <f>VLOOKUP(D3378,Товары!A:I,6,0)</f>
        <v>80</v>
      </c>
      <c r="I3378" t="str">
        <f>VLOOKUP(C3378,Магазины!A:C,3,0)</f>
        <v>Оренбург</v>
      </c>
      <c r="J3378">
        <f>VLOOKUP(D3378,Товары!A:I,4,0)</f>
        <v>25860</v>
      </c>
      <c r="K3378">
        <f t="shared" si="52"/>
        <v>51720</v>
      </c>
    </row>
    <row r="3379" spans="1:11" hidden="1" x14ac:dyDescent="0.25">
      <c r="A3379">
        <v>3378</v>
      </c>
      <c r="B3379" s="1">
        <v>45754</v>
      </c>
      <c r="C3379" t="s">
        <v>14</v>
      </c>
      <c r="D3379" t="s">
        <v>19</v>
      </c>
      <c r="E3379" t="s">
        <v>13</v>
      </c>
      <c r="F3379">
        <v>3</v>
      </c>
      <c r="G3379" t="str">
        <f>VLOOKUP(D3379,Товары!A:I,3,0)</f>
        <v>Тумба с раковиной  навес. Леон 800 оникс 2 ящика с умыв. Слим</v>
      </c>
      <c r="H3379">
        <f>VLOOKUP(D3379,Товары!A:I,6,0)</f>
        <v>60</v>
      </c>
      <c r="I3379" t="str">
        <f>VLOOKUP(C3379,Магазины!A:C,3,0)</f>
        <v>Оренбург</v>
      </c>
      <c r="J3379">
        <f>VLOOKUP(D3379,Товары!A:I,4,0)</f>
        <v>27930</v>
      </c>
      <c r="K3379">
        <f t="shared" si="52"/>
        <v>83790</v>
      </c>
    </row>
    <row r="3380" spans="1:11" hidden="1" x14ac:dyDescent="0.25">
      <c r="A3380">
        <v>3379</v>
      </c>
      <c r="B3380" s="1">
        <v>45752</v>
      </c>
      <c r="C3380" t="s">
        <v>43</v>
      </c>
      <c r="D3380" t="s">
        <v>112</v>
      </c>
      <c r="E3380" t="s">
        <v>8</v>
      </c>
      <c r="F3380">
        <v>2</v>
      </c>
      <c r="G3380" t="str">
        <f>VLOOKUP(D3380,Товары!A:I,3,0)</f>
        <v>Тумба с раковиной  напол. Аква 560 белый 2 двери с умыв. Уют</v>
      </c>
      <c r="H3380">
        <f>VLOOKUP(D3380,Товары!A:I,6,0)</f>
        <v>85</v>
      </c>
      <c r="I3380" t="str">
        <f>VLOOKUP(C3380,Магазины!A:C,3,0)</f>
        <v>Набережные Челны</v>
      </c>
      <c r="J3380">
        <f>VLOOKUP(D3380,Товары!A:I,4,0)</f>
        <v>9330</v>
      </c>
      <c r="K3380">
        <f t="shared" si="52"/>
        <v>18660</v>
      </c>
    </row>
    <row r="3381" spans="1:11" hidden="1" x14ac:dyDescent="0.25">
      <c r="A3381">
        <v>3380</v>
      </c>
      <c r="B3381" s="1">
        <v>45749</v>
      </c>
      <c r="C3381" t="s">
        <v>43</v>
      </c>
      <c r="D3381" t="s">
        <v>12</v>
      </c>
      <c r="E3381" t="s">
        <v>13</v>
      </c>
      <c r="F3381">
        <v>2</v>
      </c>
      <c r="G3381" t="str">
        <f>VLOOKUP(D3381,Товары!A:I,3,0)</f>
        <v>Тумба с раковиной  напол. Сохо 700 белый 2 двери с умыв. Слим</v>
      </c>
      <c r="H3381">
        <f>VLOOKUP(D3381,Товары!A:I,6,0)</f>
        <v>85</v>
      </c>
      <c r="I3381" t="str">
        <f>VLOOKUP(C3381,Магазины!A:C,3,0)</f>
        <v>Набережные Челны</v>
      </c>
      <c r="J3381">
        <f>VLOOKUP(D3381,Товары!A:I,4,0)</f>
        <v>17160</v>
      </c>
      <c r="K3381">
        <f t="shared" si="52"/>
        <v>34320</v>
      </c>
    </row>
    <row r="3382" spans="1:11" hidden="1" x14ac:dyDescent="0.25">
      <c r="A3382">
        <v>3381</v>
      </c>
      <c r="B3382" s="1">
        <v>45750</v>
      </c>
      <c r="C3382" t="s">
        <v>41</v>
      </c>
      <c r="D3382" t="s">
        <v>44</v>
      </c>
      <c r="E3382" t="s">
        <v>13</v>
      </c>
      <c r="F3382">
        <v>3</v>
      </c>
      <c r="G3382" t="str">
        <f>VLOOKUP(D3382,Товары!A:I,3,0)</f>
        <v>Тумба с раковиной  навес. Кристалл 800 шато азур 2 ящика с умыв. Комфорт</v>
      </c>
      <c r="H3382">
        <f>VLOOKUP(D3382,Товары!A:I,6,0)</f>
        <v>55</v>
      </c>
      <c r="I3382" t="str">
        <f>VLOOKUP(C3382,Магазины!A:C,3,0)</f>
        <v>Ставрополь</v>
      </c>
      <c r="J3382">
        <f>VLOOKUP(D3382,Товары!A:I,4,0)</f>
        <v>25080</v>
      </c>
      <c r="K3382">
        <f t="shared" si="52"/>
        <v>75240</v>
      </c>
    </row>
    <row r="3383" spans="1:11" hidden="1" x14ac:dyDescent="0.25">
      <c r="A3383">
        <v>3382</v>
      </c>
      <c r="B3383" s="1">
        <v>45749</v>
      </c>
      <c r="C3383" t="s">
        <v>20</v>
      </c>
      <c r="D3383" t="s">
        <v>120</v>
      </c>
      <c r="E3383" t="s">
        <v>8</v>
      </c>
      <c r="F3383">
        <v>1</v>
      </c>
      <c r="G3383" t="str">
        <f>VLOOKUP(D3383,Товары!A:I,3,0)</f>
        <v>Зеркальный шкаф Альба 60 со светильником правый цвет антрацит</v>
      </c>
      <c r="H3383">
        <f>VLOOKUP(D3383,Товары!A:I,6,0)</f>
        <v>75</v>
      </c>
      <c r="I3383" t="str">
        <f>VLOOKUP(C3383,Магазины!A:C,3,0)</f>
        <v>Оренбург</v>
      </c>
      <c r="J3383">
        <f>VLOOKUP(D3383,Товары!A:I,4,0)</f>
        <v>8910</v>
      </c>
      <c r="K3383">
        <f t="shared" si="52"/>
        <v>8910</v>
      </c>
    </row>
    <row r="3384" spans="1:11" hidden="1" x14ac:dyDescent="0.25">
      <c r="A3384">
        <v>3383</v>
      </c>
      <c r="B3384" s="1">
        <v>45752</v>
      </c>
      <c r="C3384" t="s">
        <v>41</v>
      </c>
      <c r="D3384" t="s">
        <v>44</v>
      </c>
      <c r="E3384" t="s">
        <v>13</v>
      </c>
      <c r="F3384">
        <v>1</v>
      </c>
      <c r="G3384" t="str">
        <f>VLOOKUP(D3384,Товары!A:I,3,0)</f>
        <v>Тумба с раковиной  навес. Кристалл 800 шато азур 2 ящика с умыв. Комфорт</v>
      </c>
      <c r="H3384">
        <f>VLOOKUP(D3384,Товары!A:I,6,0)</f>
        <v>55</v>
      </c>
      <c r="I3384" t="str">
        <f>VLOOKUP(C3384,Магазины!A:C,3,0)</f>
        <v>Ставрополь</v>
      </c>
      <c r="J3384">
        <f>VLOOKUP(D3384,Товары!A:I,4,0)</f>
        <v>25080</v>
      </c>
      <c r="K3384">
        <f t="shared" si="52"/>
        <v>25080</v>
      </c>
    </row>
    <row r="3385" spans="1:11" hidden="1" x14ac:dyDescent="0.25">
      <c r="A3385">
        <v>3384</v>
      </c>
      <c r="B3385" s="1">
        <v>45756</v>
      </c>
      <c r="C3385" t="s">
        <v>41</v>
      </c>
      <c r="D3385" t="s">
        <v>55</v>
      </c>
      <c r="E3385" t="s">
        <v>13</v>
      </c>
      <c r="F3385">
        <v>1</v>
      </c>
      <c r="G3385" t="str">
        <f>VLOOKUP(D3385,Товары!A:I,3,0)</f>
        <v>Тумба с раковиной  напол. Рица 600 cерый/керамика 2 ящика с умыв. Океан</v>
      </c>
      <c r="H3385">
        <f>VLOOKUP(D3385,Товары!A:I,6,0)</f>
        <v>80</v>
      </c>
      <c r="I3385" t="str">
        <f>VLOOKUP(C3385,Магазины!A:C,3,0)</f>
        <v>Ставрополь</v>
      </c>
      <c r="J3385">
        <f>VLOOKUP(D3385,Товары!A:I,4,0)</f>
        <v>25560</v>
      </c>
      <c r="K3385">
        <f t="shared" si="52"/>
        <v>25560</v>
      </c>
    </row>
    <row r="3386" spans="1:11" hidden="1" x14ac:dyDescent="0.25">
      <c r="A3386">
        <v>3385</v>
      </c>
      <c r="B3386" s="1">
        <v>45751</v>
      </c>
      <c r="C3386" t="s">
        <v>14</v>
      </c>
      <c r="D3386" t="s">
        <v>125</v>
      </c>
      <c r="E3386" t="s">
        <v>8</v>
      </c>
      <c r="F3386">
        <v>3</v>
      </c>
      <c r="G3386" t="str">
        <f>VLOOKUP(D3386,Товары!A:I,3,0)</f>
        <v>Зеркальный шкаф Сохо 60 белый со светильником правый цвет Белый глянец</v>
      </c>
      <c r="H3386">
        <f>VLOOKUP(D3386,Товары!A:I,6,0)</f>
        <v>75</v>
      </c>
      <c r="I3386" t="str">
        <f>VLOOKUP(C3386,Магазины!A:C,3,0)</f>
        <v>Оренбург</v>
      </c>
      <c r="J3386">
        <f>VLOOKUP(D3386,Товары!A:I,4,0)</f>
        <v>7395</v>
      </c>
      <c r="K3386">
        <f t="shared" si="52"/>
        <v>22185</v>
      </c>
    </row>
    <row r="3387" spans="1:11" hidden="1" x14ac:dyDescent="0.25">
      <c r="A3387">
        <v>3386</v>
      </c>
      <c r="B3387" s="1">
        <v>45754</v>
      </c>
      <c r="C3387" t="s">
        <v>48</v>
      </c>
      <c r="D3387" t="s">
        <v>101</v>
      </c>
      <c r="E3387" t="s">
        <v>8</v>
      </c>
      <c r="F3387">
        <v>3</v>
      </c>
      <c r="G3387" t="str">
        <f>VLOOKUP(D3387,Товары!A:I,3,0)</f>
        <v>Пенал напол. Сохо 400 белый 2 двери + 1 ящик</v>
      </c>
      <c r="H3387">
        <f>VLOOKUP(D3387,Товары!A:I,6,0)</f>
        <v>190</v>
      </c>
      <c r="I3387" t="str">
        <f>VLOOKUP(C3387,Магазины!A:C,3,0)</f>
        <v>Ставрополь</v>
      </c>
      <c r="J3387">
        <f>VLOOKUP(D3387,Товары!A:I,4,0)</f>
        <v>11040</v>
      </c>
      <c r="K3387">
        <f t="shared" si="52"/>
        <v>33120</v>
      </c>
    </row>
    <row r="3388" spans="1:11" hidden="1" x14ac:dyDescent="0.25">
      <c r="A3388">
        <v>3387</v>
      </c>
      <c r="B3388" s="1">
        <v>45750</v>
      </c>
      <c r="C3388" t="s">
        <v>20</v>
      </c>
      <c r="D3388" t="s">
        <v>124</v>
      </c>
      <c r="E3388" t="s">
        <v>8</v>
      </c>
      <c r="F3388">
        <v>1</v>
      </c>
      <c r="G3388" t="str">
        <f>VLOOKUP(D3388,Товары!A:I,3,0)</f>
        <v>Тумба с раковиной  напол. Леон 600 оникс 2 ящика с умыв. Океан</v>
      </c>
      <c r="H3388">
        <f>VLOOKUP(D3388,Товары!A:I,6,0)</f>
        <v>80</v>
      </c>
      <c r="I3388" t="str">
        <f>VLOOKUP(C3388,Магазины!A:C,3,0)</f>
        <v>Оренбург</v>
      </c>
      <c r="J3388">
        <f>VLOOKUP(D3388,Товары!A:I,4,0)</f>
        <v>25860</v>
      </c>
      <c r="K3388">
        <f t="shared" si="52"/>
        <v>25860</v>
      </c>
    </row>
    <row r="3389" spans="1:11" hidden="1" x14ac:dyDescent="0.25">
      <c r="A3389">
        <v>3388</v>
      </c>
      <c r="B3389" s="1">
        <v>45752</v>
      </c>
      <c r="C3389" t="s">
        <v>30</v>
      </c>
      <c r="D3389" t="s">
        <v>79</v>
      </c>
      <c r="E3389" t="s">
        <v>8</v>
      </c>
      <c r="F3389">
        <v>1</v>
      </c>
      <c r="G3389" t="str">
        <f>VLOOKUP(D3389,Товары!A:I,3,0)</f>
        <v>Зеркальный шкаф Альба 70 со светильником правый цвет мята</v>
      </c>
      <c r="H3389">
        <f>VLOOKUP(D3389,Товары!A:I,6,0)</f>
        <v>75</v>
      </c>
      <c r="I3389" t="str">
        <f>VLOOKUP(C3389,Магазины!A:C,3,0)</f>
        <v>Кемерово</v>
      </c>
      <c r="J3389">
        <f>VLOOKUP(D3389,Товары!A:I,4,0)</f>
        <v>9615</v>
      </c>
      <c r="K3389">
        <f t="shared" si="52"/>
        <v>9615</v>
      </c>
    </row>
    <row r="3390" spans="1:11" hidden="1" x14ac:dyDescent="0.25">
      <c r="A3390">
        <v>3389</v>
      </c>
      <c r="B3390" s="1">
        <v>45752</v>
      </c>
      <c r="C3390" t="s">
        <v>6</v>
      </c>
      <c r="D3390" t="s">
        <v>51</v>
      </c>
      <c r="E3390" t="s">
        <v>8</v>
      </c>
      <c r="F3390">
        <v>3</v>
      </c>
      <c r="G3390" t="str">
        <f>VLOOKUP(D3390,Товары!A:I,3,0)</f>
        <v>Зеркальный шкаф Альба 80 со светильником правый цвет суфле</v>
      </c>
      <c r="H3390">
        <f>VLOOKUP(D3390,Товары!A:I,6,0)</f>
        <v>75</v>
      </c>
      <c r="I3390" t="str">
        <f>VLOOKUP(C3390,Магазины!A:C,3,0)</f>
        <v>Оренбург</v>
      </c>
      <c r="J3390">
        <f>VLOOKUP(D3390,Товары!A:I,4,0)</f>
        <v>9930</v>
      </c>
      <c r="K3390">
        <f t="shared" si="52"/>
        <v>29790</v>
      </c>
    </row>
    <row r="3391" spans="1:11" hidden="1" x14ac:dyDescent="0.25">
      <c r="A3391">
        <v>3390</v>
      </c>
      <c r="B3391" s="1">
        <v>45749</v>
      </c>
      <c r="C3391" t="s">
        <v>20</v>
      </c>
      <c r="D3391" t="s">
        <v>27</v>
      </c>
      <c r="E3391" t="s">
        <v>13</v>
      </c>
      <c r="F3391">
        <v>2</v>
      </c>
      <c r="G3391" t="str">
        <f>VLOOKUP(D3391,Товары!A:I,3,0)</f>
        <v>Тумба с раковиной  навес. Виктория 800 белый 2 ящика с умыв. Слим</v>
      </c>
      <c r="H3391">
        <f>VLOOKUP(D3391,Товары!A:I,6,0)</f>
        <v>60</v>
      </c>
      <c r="I3391" t="str">
        <f>VLOOKUP(C3391,Магазины!A:C,3,0)</f>
        <v>Оренбург</v>
      </c>
      <c r="J3391">
        <f>VLOOKUP(D3391,Товары!A:I,4,0)</f>
        <v>25290</v>
      </c>
      <c r="K3391">
        <f t="shared" si="52"/>
        <v>50580</v>
      </c>
    </row>
    <row r="3392" spans="1:11" hidden="1" x14ac:dyDescent="0.25">
      <c r="A3392">
        <v>3391</v>
      </c>
      <c r="B3392" s="1">
        <v>45753</v>
      </c>
      <c r="C3392" t="s">
        <v>30</v>
      </c>
      <c r="D3392" t="s">
        <v>53</v>
      </c>
      <c r="E3392" t="s">
        <v>8</v>
      </c>
      <c r="F3392">
        <v>2</v>
      </c>
      <c r="G3392" t="str">
        <f>VLOOKUP(D3392,Товары!A:I,3,0)</f>
        <v>Тумба с раковиной  напол. Кристалл 600 шато азур 2 ящика с умыв. Океан</v>
      </c>
      <c r="H3392">
        <f>VLOOKUP(D3392,Товары!A:I,6,0)</f>
        <v>85</v>
      </c>
      <c r="I3392" t="str">
        <f>VLOOKUP(C3392,Магазины!A:C,3,0)</f>
        <v>Кемерово</v>
      </c>
      <c r="J3392">
        <f>VLOOKUP(D3392,Товары!A:I,4,0)</f>
        <v>27600</v>
      </c>
      <c r="K3392">
        <f t="shared" si="52"/>
        <v>55200</v>
      </c>
    </row>
    <row r="3393" spans="1:11" hidden="1" x14ac:dyDescent="0.25">
      <c r="A3393">
        <v>3392</v>
      </c>
      <c r="B3393" s="1">
        <v>45750</v>
      </c>
      <c r="C3393" t="s">
        <v>6</v>
      </c>
      <c r="D3393" t="s">
        <v>107</v>
      </c>
      <c r="E3393" t="s">
        <v>8</v>
      </c>
      <c r="F3393">
        <v>2</v>
      </c>
      <c r="G3393" t="str">
        <f>VLOOKUP(D3393,Товары!A:I,3,0)</f>
        <v>Комод Аква 35 напольный 1 дверь белый правый</v>
      </c>
      <c r="H3393">
        <f>VLOOKUP(D3393,Товары!A:I,6,0)</f>
        <v>90</v>
      </c>
      <c r="I3393" t="str">
        <f>VLOOKUP(C3393,Магазины!A:C,3,0)</f>
        <v>Оренбург</v>
      </c>
      <c r="J3393">
        <f>VLOOKUP(D3393,Товары!A:I,4,0)</f>
        <v>6705</v>
      </c>
      <c r="K3393">
        <f t="shared" si="52"/>
        <v>13410</v>
      </c>
    </row>
    <row r="3394" spans="1:11" hidden="1" x14ac:dyDescent="0.25">
      <c r="A3394">
        <v>3393</v>
      </c>
      <c r="B3394" s="1">
        <v>45748</v>
      </c>
      <c r="C3394" t="s">
        <v>103</v>
      </c>
      <c r="D3394" t="s">
        <v>7</v>
      </c>
      <c r="E3394" t="s">
        <v>8</v>
      </c>
      <c r="F3394">
        <v>3</v>
      </c>
      <c r="G3394" t="str">
        <f>VLOOKUP(D3394,Товары!A:I,3,0)</f>
        <v>Пенал напол. Леон Риф 400 солярис/белый риф 2 двери + 1 ящик</v>
      </c>
      <c r="H3394">
        <f>VLOOKUP(D3394,Товары!A:I,6,0)</f>
        <v>190</v>
      </c>
      <c r="I3394" t="str">
        <f>VLOOKUP(C3394,Магазины!A:C,3,0)</f>
        <v>Ставрополь</v>
      </c>
      <c r="J3394">
        <f>VLOOKUP(D3394,Товары!A:I,4,0)</f>
        <v>14490</v>
      </c>
      <c r="K3394">
        <f t="shared" si="52"/>
        <v>43470</v>
      </c>
    </row>
    <row r="3395" spans="1:11" hidden="1" x14ac:dyDescent="0.25">
      <c r="A3395">
        <v>3394</v>
      </c>
      <c r="B3395" s="1">
        <v>45753</v>
      </c>
      <c r="C3395" t="s">
        <v>22</v>
      </c>
      <c r="D3395" t="s">
        <v>40</v>
      </c>
      <c r="E3395" t="s">
        <v>13</v>
      </c>
      <c r="F3395">
        <v>3</v>
      </c>
      <c r="G3395" t="str">
        <f>VLOOKUP(D3395,Товары!A:I,3,0)</f>
        <v>Тумба с раковиной  навес. Рица 800 cерый/керамика 1 ящик + ниша 1 с умыв. Слим</v>
      </c>
      <c r="H3395">
        <f>VLOOKUP(D3395,Товары!A:I,6,0)</f>
        <v>60</v>
      </c>
      <c r="I3395" t="str">
        <f>VLOOKUP(C3395,Магазины!A:C,3,0)</f>
        <v>Кемерово</v>
      </c>
      <c r="J3395">
        <f>VLOOKUP(D3395,Товары!A:I,4,0)</f>
        <v>22425</v>
      </c>
      <c r="K3395">
        <f t="shared" ref="K3395:K3458" si="53">J3395*F3395</f>
        <v>67275</v>
      </c>
    </row>
    <row r="3396" spans="1:11" hidden="1" x14ac:dyDescent="0.25">
      <c r="A3396">
        <v>3395</v>
      </c>
      <c r="B3396" s="1">
        <v>45754</v>
      </c>
      <c r="C3396" t="s">
        <v>16</v>
      </c>
      <c r="D3396" t="s">
        <v>85</v>
      </c>
      <c r="E3396" t="s">
        <v>13</v>
      </c>
      <c r="F3396">
        <v>1</v>
      </c>
      <c r="G3396" t="str">
        <f>VLOOKUP(D3396,Товары!A:I,3,0)</f>
        <v>Пенал напол. Аква 450 белый 2 двери + 2 ящика + корзина</v>
      </c>
      <c r="H3396">
        <f>VLOOKUP(D3396,Товары!A:I,6,0)</f>
        <v>190</v>
      </c>
      <c r="I3396" t="str">
        <f>VLOOKUP(C3396,Магазины!A:C,3,0)</f>
        <v>Оренбург</v>
      </c>
      <c r="J3396">
        <f>VLOOKUP(D3396,Товары!A:I,4,0)</f>
        <v>13335</v>
      </c>
      <c r="K3396">
        <f t="shared" si="53"/>
        <v>13335</v>
      </c>
    </row>
    <row r="3397" spans="1:11" hidden="1" x14ac:dyDescent="0.25">
      <c r="A3397">
        <v>3396</v>
      </c>
      <c r="B3397" s="1">
        <v>45754</v>
      </c>
      <c r="C3397" t="s">
        <v>92</v>
      </c>
      <c r="D3397" t="s">
        <v>17</v>
      </c>
      <c r="E3397" t="s">
        <v>13</v>
      </c>
      <c r="F3397">
        <v>2</v>
      </c>
      <c r="G3397" t="str">
        <f>VLOOKUP(D3397,Товары!A:I,3,0)</f>
        <v>Тумба с раковиной  навес. Альба 800 антрацит 1 ящик с умыв. Слим</v>
      </c>
      <c r="H3397">
        <f>VLOOKUP(D3397,Товары!A:I,6,0)</f>
        <v>45</v>
      </c>
      <c r="I3397" t="str">
        <f>VLOOKUP(C3397,Магазины!A:C,3,0)</f>
        <v>Кемерово</v>
      </c>
      <c r="J3397">
        <f>VLOOKUP(D3397,Товары!A:I,4,0)</f>
        <v>21630</v>
      </c>
      <c r="K3397">
        <f t="shared" si="53"/>
        <v>43260</v>
      </c>
    </row>
    <row r="3398" spans="1:11" hidden="1" x14ac:dyDescent="0.25">
      <c r="A3398">
        <v>3397</v>
      </c>
      <c r="B3398" s="1">
        <v>45755</v>
      </c>
      <c r="C3398" t="s">
        <v>14</v>
      </c>
      <c r="D3398" t="s">
        <v>23</v>
      </c>
      <c r="E3398" t="s">
        <v>8</v>
      </c>
      <c r="F3398">
        <v>2</v>
      </c>
      <c r="G3398" t="str">
        <f>VLOOKUP(D3398,Товары!A:I,3,0)</f>
        <v>Тумба с раковиной  напол. Альба 800 антрацит 2 ящика с умыв. Слим</v>
      </c>
      <c r="H3398">
        <f>VLOOKUP(D3398,Товары!A:I,6,0)</f>
        <v>80</v>
      </c>
      <c r="I3398" t="str">
        <f>VLOOKUP(C3398,Магазины!A:C,3,0)</f>
        <v>Оренбург</v>
      </c>
      <c r="J3398">
        <f>VLOOKUP(D3398,Товары!A:I,4,0)</f>
        <v>29340</v>
      </c>
      <c r="K3398">
        <f t="shared" si="53"/>
        <v>58680</v>
      </c>
    </row>
    <row r="3399" spans="1:11" hidden="1" x14ac:dyDescent="0.25">
      <c r="A3399">
        <v>3398</v>
      </c>
      <c r="B3399" s="1">
        <v>45752</v>
      </c>
      <c r="C3399" t="s">
        <v>9</v>
      </c>
      <c r="D3399" t="s">
        <v>83</v>
      </c>
      <c r="E3399" t="s">
        <v>13</v>
      </c>
      <c r="F3399">
        <v>2</v>
      </c>
      <c r="G3399" t="str">
        <f>VLOOKUP(D3399,Товары!A:I,3,0)</f>
        <v>Зеркальный шкаф Альба 60 со светильником правый цвет суфле</v>
      </c>
      <c r="H3399">
        <f>VLOOKUP(D3399,Товары!A:I,6,0)</f>
        <v>75</v>
      </c>
      <c r="I3399" t="str">
        <f>VLOOKUP(C3399,Магазины!A:C,3,0)</f>
        <v>Кемерово</v>
      </c>
      <c r="J3399">
        <f>VLOOKUP(D3399,Товары!A:I,4,0)</f>
        <v>8910</v>
      </c>
      <c r="K3399">
        <f t="shared" si="53"/>
        <v>17820</v>
      </c>
    </row>
    <row r="3400" spans="1:11" hidden="1" x14ac:dyDescent="0.25">
      <c r="A3400">
        <v>3399</v>
      </c>
      <c r="B3400" s="1">
        <v>45750</v>
      </c>
      <c r="C3400" t="s">
        <v>26</v>
      </c>
      <c r="D3400" t="s">
        <v>128</v>
      </c>
      <c r="E3400" t="s">
        <v>13</v>
      </c>
      <c r="F3400">
        <v>2</v>
      </c>
      <c r="G3400" t="str">
        <f>VLOOKUP(D3400,Товары!A:I,3,0)</f>
        <v>Тумба с раковиной  напол. Куба Риф 1000 белый 2 ящика с умыв. Слим</v>
      </c>
      <c r="H3400">
        <f>VLOOKUP(D3400,Товары!A:I,6,0)</f>
        <v>85</v>
      </c>
      <c r="I3400" t="str">
        <f>VLOOKUP(C3400,Магазины!A:C,3,0)</f>
        <v>Оренбург</v>
      </c>
      <c r="J3400">
        <f>VLOOKUP(D3400,Товары!A:I,4,0)</f>
        <v>22905</v>
      </c>
      <c r="K3400">
        <f t="shared" si="53"/>
        <v>45810</v>
      </c>
    </row>
    <row r="3401" spans="1:11" hidden="1" x14ac:dyDescent="0.25">
      <c r="A3401">
        <v>3400</v>
      </c>
      <c r="B3401" s="1">
        <v>45751</v>
      </c>
      <c r="C3401" t="s">
        <v>103</v>
      </c>
      <c r="D3401" t="s">
        <v>74</v>
      </c>
      <c r="E3401" t="s">
        <v>8</v>
      </c>
      <c r="F3401">
        <v>2</v>
      </c>
      <c r="G3401" t="str">
        <f>VLOOKUP(D3401,Товары!A:I,3,0)</f>
        <v>Тумба с раковиной  напол. Альба 800 суфле 2 ящика с умыв. Слим</v>
      </c>
      <c r="H3401">
        <f>VLOOKUP(D3401,Товары!A:I,6,0)</f>
        <v>80</v>
      </c>
      <c r="I3401" t="str">
        <f>VLOOKUP(C3401,Магазины!A:C,3,0)</f>
        <v>Ставрополь</v>
      </c>
      <c r="J3401">
        <f>VLOOKUP(D3401,Товары!A:I,4,0)</f>
        <v>29340</v>
      </c>
      <c r="K3401">
        <f t="shared" si="53"/>
        <v>58680</v>
      </c>
    </row>
    <row r="3402" spans="1:11" hidden="1" x14ac:dyDescent="0.25">
      <c r="A3402">
        <v>3401</v>
      </c>
      <c r="B3402" s="1">
        <v>45752</v>
      </c>
      <c r="C3402" t="s">
        <v>14</v>
      </c>
      <c r="D3402" t="s">
        <v>121</v>
      </c>
      <c r="E3402" t="s">
        <v>8</v>
      </c>
      <c r="F3402">
        <v>1</v>
      </c>
      <c r="G3402" t="str">
        <f>VLOOKUP(D3402,Товары!A:I,3,0)</f>
        <v>Тумба с раковиной  напол. Куба Риф 600 белый 2 двери с умыв. Como</v>
      </c>
      <c r="H3402">
        <f>VLOOKUP(D3402,Товары!A:I,6,0)</f>
        <v>85</v>
      </c>
      <c r="I3402" t="str">
        <f>VLOOKUP(C3402,Магазины!A:C,3,0)</f>
        <v>Оренбург</v>
      </c>
      <c r="J3402">
        <f>VLOOKUP(D3402,Товары!A:I,4,0)</f>
        <v>13695</v>
      </c>
      <c r="K3402">
        <f t="shared" si="53"/>
        <v>13695</v>
      </c>
    </row>
    <row r="3403" spans="1:11" hidden="1" x14ac:dyDescent="0.25">
      <c r="A3403">
        <v>3402</v>
      </c>
      <c r="B3403" s="1">
        <v>45757</v>
      </c>
      <c r="C3403" t="s">
        <v>18</v>
      </c>
      <c r="D3403" t="s">
        <v>55</v>
      </c>
      <c r="E3403" t="s">
        <v>13</v>
      </c>
      <c r="F3403">
        <v>2</v>
      </c>
      <c r="G3403" t="str">
        <f>VLOOKUP(D3403,Товары!A:I,3,0)</f>
        <v>Тумба с раковиной  напол. Рица 600 cерый/керамика 2 ящика с умыв. Океан</v>
      </c>
      <c r="H3403">
        <f>VLOOKUP(D3403,Товары!A:I,6,0)</f>
        <v>80</v>
      </c>
      <c r="I3403" t="str">
        <f>VLOOKUP(C3403,Магазины!A:C,3,0)</f>
        <v>Набережные Челны</v>
      </c>
      <c r="J3403">
        <f>VLOOKUP(D3403,Товары!A:I,4,0)</f>
        <v>25560</v>
      </c>
      <c r="K3403">
        <f t="shared" si="53"/>
        <v>51120</v>
      </c>
    </row>
    <row r="3404" spans="1:11" hidden="1" x14ac:dyDescent="0.25">
      <c r="A3404">
        <v>3403</v>
      </c>
      <c r="B3404" s="1">
        <v>45753</v>
      </c>
      <c r="C3404" t="s">
        <v>35</v>
      </c>
      <c r="D3404" t="s">
        <v>128</v>
      </c>
      <c r="E3404" t="s">
        <v>8</v>
      </c>
      <c r="F3404">
        <v>1</v>
      </c>
      <c r="G3404" t="str">
        <f>VLOOKUP(D3404,Товары!A:I,3,0)</f>
        <v>Тумба с раковиной  напол. Куба Риф 1000 белый 2 ящика с умыв. Слим</v>
      </c>
      <c r="H3404">
        <f>VLOOKUP(D3404,Товары!A:I,6,0)</f>
        <v>85</v>
      </c>
      <c r="I3404" t="str">
        <f>VLOOKUP(C3404,Магазины!A:C,3,0)</f>
        <v>Набережные Челны</v>
      </c>
      <c r="J3404">
        <f>VLOOKUP(D3404,Товары!A:I,4,0)</f>
        <v>22905</v>
      </c>
      <c r="K3404">
        <f t="shared" si="53"/>
        <v>22905</v>
      </c>
    </row>
    <row r="3405" spans="1:11" hidden="1" x14ac:dyDescent="0.25">
      <c r="A3405">
        <v>3404</v>
      </c>
      <c r="B3405" s="1">
        <v>45751</v>
      </c>
      <c r="C3405" t="s">
        <v>48</v>
      </c>
      <c r="D3405" t="s">
        <v>52</v>
      </c>
      <c r="E3405" t="s">
        <v>13</v>
      </c>
      <c r="F3405">
        <v>2</v>
      </c>
      <c r="G3405" t="str">
        <f>VLOOKUP(D3405,Товары!A:I,3,0)</f>
        <v>Тумба с раковиной  напол. Кристалл 600 суфле 2 ящика с умыв. Океан</v>
      </c>
      <c r="H3405">
        <f>VLOOKUP(D3405,Товары!A:I,6,0)</f>
        <v>80</v>
      </c>
      <c r="I3405" t="str">
        <f>VLOOKUP(C3405,Магазины!A:C,3,0)</f>
        <v>Ставрополь</v>
      </c>
      <c r="J3405">
        <f>VLOOKUP(D3405,Товары!A:I,4,0)</f>
        <v>27600</v>
      </c>
      <c r="K3405">
        <f t="shared" si="53"/>
        <v>55200</v>
      </c>
    </row>
    <row r="3406" spans="1:11" hidden="1" x14ac:dyDescent="0.25">
      <c r="A3406">
        <v>3405</v>
      </c>
      <c r="B3406" s="1">
        <v>45749</v>
      </c>
      <c r="C3406" t="s">
        <v>28</v>
      </c>
      <c r="D3406" t="s">
        <v>112</v>
      </c>
      <c r="E3406" t="s">
        <v>13</v>
      </c>
      <c r="F3406">
        <v>3</v>
      </c>
      <c r="G3406" t="str">
        <f>VLOOKUP(D3406,Товары!A:I,3,0)</f>
        <v>Тумба с раковиной  напол. Аква 560 белый 2 двери с умыв. Уют</v>
      </c>
      <c r="H3406">
        <f>VLOOKUP(D3406,Товары!A:I,6,0)</f>
        <v>85</v>
      </c>
      <c r="I3406" t="str">
        <f>VLOOKUP(C3406,Магазины!A:C,3,0)</f>
        <v>Набережные Челны</v>
      </c>
      <c r="J3406">
        <f>VLOOKUP(D3406,Товары!A:I,4,0)</f>
        <v>9330</v>
      </c>
      <c r="K3406">
        <f t="shared" si="53"/>
        <v>27990</v>
      </c>
    </row>
    <row r="3407" spans="1:11" hidden="1" x14ac:dyDescent="0.25">
      <c r="A3407">
        <v>3406</v>
      </c>
      <c r="B3407" s="1">
        <v>45757</v>
      </c>
      <c r="C3407" t="s">
        <v>30</v>
      </c>
      <c r="D3407" t="s">
        <v>40</v>
      </c>
      <c r="E3407" t="s">
        <v>8</v>
      </c>
      <c r="F3407">
        <v>3</v>
      </c>
      <c r="G3407" t="str">
        <f>VLOOKUP(D3407,Товары!A:I,3,0)</f>
        <v>Тумба с раковиной  навес. Рица 800 cерый/керамика 1 ящик + ниша 1 с умыв. Слим</v>
      </c>
      <c r="H3407">
        <f>VLOOKUP(D3407,Товары!A:I,6,0)</f>
        <v>60</v>
      </c>
      <c r="I3407" t="str">
        <f>VLOOKUP(C3407,Магазины!A:C,3,0)</f>
        <v>Кемерово</v>
      </c>
      <c r="J3407">
        <f>VLOOKUP(D3407,Товары!A:I,4,0)</f>
        <v>22425</v>
      </c>
      <c r="K3407">
        <f t="shared" si="53"/>
        <v>67275</v>
      </c>
    </row>
    <row r="3408" spans="1:11" hidden="1" x14ac:dyDescent="0.25">
      <c r="A3408">
        <v>3407</v>
      </c>
      <c r="B3408" s="1">
        <v>45754</v>
      </c>
      <c r="C3408" t="s">
        <v>18</v>
      </c>
      <c r="D3408" t="s">
        <v>51</v>
      </c>
      <c r="E3408" t="s">
        <v>13</v>
      </c>
      <c r="F3408">
        <v>1</v>
      </c>
      <c r="G3408" t="str">
        <f>VLOOKUP(D3408,Товары!A:I,3,0)</f>
        <v>Зеркальный шкаф Альба 80 со светильником правый цвет суфле</v>
      </c>
      <c r="H3408">
        <f>VLOOKUP(D3408,Товары!A:I,6,0)</f>
        <v>75</v>
      </c>
      <c r="I3408" t="str">
        <f>VLOOKUP(C3408,Магазины!A:C,3,0)</f>
        <v>Набережные Челны</v>
      </c>
      <c r="J3408">
        <f>VLOOKUP(D3408,Товары!A:I,4,0)</f>
        <v>9930</v>
      </c>
      <c r="K3408">
        <f t="shared" si="53"/>
        <v>9930</v>
      </c>
    </row>
    <row r="3409" spans="1:11" hidden="1" x14ac:dyDescent="0.25">
      <c r="A3409">
        <v>3408</v>
      </c>
      <c r="B3409" s="1">
        <v>45749</v>
      </c>
      <c r="C3409" t="s">
        <v>11</v>
      </c>
      <c r="D3409" t="s">
        <v>79</v>
      </c>
      <c r="E3409" t="s">
        <v>8</v>
      </c>
      <c r="F3409">
        <v>2</v>
      </c>
      <c r="G3409" t="str">
        <f>VLOOKUP(D3409,Товары!A:I,3,0)</f>
        <v>Зеркальный шкаф Альба 70 со светильником правый цвет мята</v>
      </c>
      <c r="H3409">
        <f>VLOOKUP(D3409,Товары!A:I,6,0)</f>
        <v>75</v>
      </c>
      <c r="I3409" t="str">
        <f>VLOOKUP(C3409,Магазины!A:C,3,0)</f>
        <v>Кемерово</v>
      </c>
      <c r="J3409">
        <f>VLOOKUP(D3409,Товары!A:I,4,0)</f>
        <v>9615</v>
      </c>
      <c r="K3409">
        <f t="shared" si="53"/>
        <v>19230</v>
      </c>
    </row>
    <row r="3410" spans="1:11" hidden="1" x14ac:dyDescent="0.25">
      <c r="A3410">
        <v>3409</v>
      </c>
      <c r="B3410" s="1">
        <v>45749</v>
      </c>
      <c r="C3410" t="s">
        <v>14</v>
      </c>
      <c r="D3410" t="s">
        <v>32</v>
      </c>
      <c r="E3410" t="s">
        <v>8</v>
      </c>
      <c r="F3410">
        <v>3</v>
      </c>
      <c r="G3410" t="str">
        <f>VLOOKUP(D3410,Товары!A:I,3,0)</f>
        <v>Тумба с раковиной  напол. Леон Риф 700 солярис/белый риф 2 ящика с умыв. Слим</v>
      </c>
      <c r="H3410">
        <f>VLOOKUP(D3410,Товары!A:I,6,0)</f>
        <v>85</v>
      </c>
      <c r="I3410" t="str">
        <f>VLOOKUP(C3410,Магазины!A:C,3,0)</f>
        <v>Оренбург</v>
      </c>
      <c r="J3410">
        <f>VLOOKUP(D3410,Товары!A:I,4,0)</f>
        <v>26460</v>
      </c>
      <c r="K3410">
        <f t="shared" si="53"/>
        <v>79380</v>
      </c>
    </row>
    <row r="3411" spans="1:11" hidden="1" x14ac:dyDescent="0.25">
      <c r="A3411">
        <v>3410</v>
      </c>
      <c r="B3411" s="1">
        <v>45750</v>
      </c>
      <c r="C3411" t="s">
        <v>9</v>
      </c>
      <c r="D3411" t="s">
        <v>17</v>
      </c>
      <c r="E3411" t="s">
        <v>13</v>
      </c>
      <c r="F3411">
        <v>2</v>
      </c>
      <c r="G3411" t="str">
        <f>VLOOKUP(D3411,Товары!A:I,3,0)</f>
        <v>Тумба с раковиной  навес. Альба 800 антрацит 1 ящик с умыв. Слим</v>
      </c>
      <c r="H3411">
        <f>VLOOKUP(D3411,Товары!A:I,6,0)</f>
        <v>45</v>
      </c>
      <c r="I3411" t="str">
        <f>VLOOKUP(C3411,Магазины!A:C,3,0)</f>
        <v>Кемерово</v>
      </c>
      <c r="J3411">
        <f>VLOOKUP(D3411,Товары!A:I,4,0)</f>
        <v>21630</v>
      </c>
      <c r="K3411">
        <f t="shared" si="53"/>
        <v>43260</v>
      </c>
    </row>
    <row r="3412" spans="1:11" hidden="1" x14ac:dyDescent="0.25">
      <c r="A3412">
        <v>3411</v>
      </c>
      <c r="B3412" s="1">
        <v>45752</v>
      </c>
      <c r="C3412" t="s">
        <v>18</v>
      </c>
      <c r="D3412" t="s">
        <v>78</v>
      </c>
      <c r="E3412" t="s">
        <v>13</v>
      </c>
      <c r="F3412">
        <v>3</v>
      </c>
      <c r="G3412" t="str">
        <f>VLOOKUP(D3412,Товары!A:I,3,0)</f>
        <v>Зеркальный шкаф Кристалл 70 со светильником правый, ручка кнопка дуб цвет Шато Азур</v>
      </c>
      <c r="H3412">
        <f>VLOOKUP(D3412,Товары!A:I,6,0)</f>
        <v>75</v>
      </c>
      <c r="I3412" t="str">
        <f>VLOOKUP(C3412,Магазины!A:C,3,0)</f>
        <v>Набережные Челны</v>
      </c>
      <c r="J3412">
        <f>VLOOKUP(D3412,Товары!A:I,4,0)</f>
        <v>9615</v>
      </c>
      <c r="K3412">
        <f t="shared" si="53"/>
        <v>28845</v>
      </c>
    </row>
    <row r="3413" spans="1:11" hidden="1" x14ac:dyDescent="0.25">
      <c r="A3413">
        <v>3412</v>
      </c>
      <c r="B3413" s="1">
        <v>45752</v>
      </c>
      <c r="C3413" t="s">
        <v>20</v>
      </c>
      <c r="D3413" t="s">
        <v>76</v>
      </c>
      <c r="E3413" t="s">
        <v>8</v>
      </c>
      <c r="F3413">
        <v>2</v>
      </c>
      <c r="G3413" t="str">
        <f>VLOOKUP(D3413,Товары!A:I,3,0)</f>
        <v>Тумба с раковиной  напол. Леон 600 оникс 2 ящика с умыв. Слим</v>
      </c>
      <c r="H3413">
        <f>VLOOKUP(D3413,Товары!A:I,6,0)</f>
        <v>80</v>
      </c>
      <c r="I3413" t="str">
        <f>VLOOKUP(C3413,Магазины!A:C,3,0)</f>
        <v>Оренбург</v>
      </c>
      <c r="J3413">
        <f>VLOOKUP(D3413,Товары!A:I,4,0)</f>
        <v>25860</v>
      </c>
      <c r="K3413">
        <f t="shared" si="53"/>
        <v>51720</v>
      </c>
    </row>
    <row r="3414" spans="1:11" hidden="1" x14ac:dyDescent="0.25">
      <c r="A3414">
        <v>3413</v>
      </c>
      <c r="B3414" s="1">
        <v>45757</v>
      </c>
      <c r="C3414" t="s">
        <v>111</v>
      </c>
      <c r="D3414" t="s">
        <v>10</v>
      </c>
      <c r="E3414" t="s">
        <v>13</v>
      </c>
      <c r="F3414">
        <v>3</v>
      </c>
      <c r="G3414" t="str">
        <f>VLOOKUP(D3414,Товары!A:I,3,0)</f>
        <v>Тумба с раковиной  навес. Альба 700 антрацит 1 ящик с умыв. Слим</v>
      </c>
      <c r="H3414">
        <f>VLOOKUP(D3414,Товары!A:I,6,0)</f>
        <v>45</v>
      </c>
      <c r="I3414" t="str">
        <f>VLOOKUP(C3414,Магазины!A:C,3,0)</f>
        <v>Набережные Челны</v>
      </c>
      <c r="J3414">
        <f>VLOOKUP(D3414,Товары!A:I,4,0)</f>
        <v>20130</v>
      </c>
      <c r="K3414">
        <f t="shared" si="53"/>
        <v>60390</v>
      </c>
    </row>
    <row r="3415" spans="1:11" hidden="1" x14ac:dyDescent="0.25">
      <c r="A3415">
        <v>3414</v>
      </c>
      <c r="B3415" s="1">
        <v>45756</v>
      </c>
      <c r="C3415" t="s">
        <v>30</v>
      </c>
      <c r="D3415" t="s">
        <v>39</v>
      </c>
      <c r="E3415" t="s">
        <v>13</v>
      </c>
      <c r="F3415">
        <v>1</v>
      </c>
      <c r="G3415" t="str">
        <f>VLOOKUP(D3415,Товары!A:I,3,0)</f>
        <v>Тумба с раковиной  напол. Альба 700 мята 2 ящика с умыв. Слим</v>
      </c>
      <c r="H3415">
        <f>VLOOKUP(D3415,Товары!A:I,6,0)</f>
        <v>85</v>
      </c>
      <c r="I3415" t="str">
        <f>VLOOKUP(C3415,Магазины!A:C,3,0)</f>
        <v>Кемерово</v>
      </c>
      <c r="J3415">
        <f>VLOOKUP(D3415,Товары!A:I,4,0)</f>
        <v>28695</v>
      </c>
      <c r="K3415">
        <f t="shared" si="53"/>
        <v>28695</v>
      </c>
    </row>
    <row r="3416" spans="1:11" hidden="1" x14ac:dyDescent="0.25">
      <c r="A3416">
        <v>3415</v>
      </c>
      <c r="B3416" s="1">
        <v>45748</v>
      </c>
      <c r="C3416" t="s">
        <v>63</v>
      </c>
      <c r="D3416" t="s">
        <v>82</v>
      </c>
      <c r="E3416" t="s">
        <v>13</v>
      </c>
      <c r="F3416">
        <v>2</v>
      </c>
      <c r="G3416" t="str">
        <f>VLOOKUP(D3416,Товары!A:I,3,0)</f>
        <v>Тумба с раковиной  навес. Леон 800 форест 2 ящика с умыв. Слим</v>
      </c>
      <c r="H3416">
        <f>VLOOKUP(D3416,Товары!A:I,6,0)</f>
        <v>60</v>
      </c>
      <c r="I3416" t="str">
        <f>VLOOKUP(C3416,Магазины!A:C,3,0)</f>
        <v>Ставрополь</v>
      </c>
      <c r="J3416">
        <f>VLOOKUP(D3416,Товары!A:I,4,0)</f>
        <v>27930</v>
      </c>
      <c r="K3416">
        <f t="shared" si="53"/>
        <v>55860</v>
      </c>
    </row>
    <row r="3417" spans="1:11" hidden="1" x14ac:dyDescent="0.25">
      <c r="A3417">
        <v>3416</v>
      </c>
      <c r="B3417" s="1">
        <v>45756</v>
      </c>
      <c r="C3417" t="s">
        <v>48</v>
      </c>
      <c r="D3417" t="s">
        <v>128</v>
      </c>
      <c r="E3417" t="s">
        <v>8</v>
      </c>
      <c r="F3417">
        <v>3</v>
      </c>
      <c r="G3417" t="str">
        <f>VLOOKUP(D3417,Товары!A:I,3,0)</f>
        <v>Тумба с раковиной  напол. Куба Риф 1000 белый 2 ящика с умыв. Слим</v>
      </c>
      <c r="H3417">
        <f>VLOOKUP(D3417,Товары!A:I,6,0)</f>
        <v>85</v>
      </c>
      <c r="I3417" t="str">
        <f>VLOOKUP(C3417,Магазины!A:C,3,0)</f>
        <v>Ставрополь</v>
      </c>
      <c r="J3417">
        <f>VLOOKUP(D3417,Товары!A:I,4,0)</f>
        <v>22905</v>
      </c>
      <c r="K3417">
        <f t="shared" si="53"/>
        <v>68715</v>
      </c>
    </row>
    <row r="3418" spans="1:11" hidden="1" x14ac:dyDescent="0.25">
      <c r="A3418">
        <v>3417</v>
      </c>
      <c r="B3418" s="1">
        <v>45749</v>
      </c>
      <c r="C3418" t="s">
        <v>30</v>
      </c>
      <c r="D3418" t="s">
        <v>49</v>
      </c>
      <c r="E3418" t="s">
        <v>13</v>
      </c>
      <c r="F3418">
        <v>1</v>
      </c>
      <c r="G3418" t="str">
        <f>VLOOKUP(D3418,Товары!A:I,3,0)</f>
        <v>Тумба с раковиной  напол. Леон 700 оникс 2 ящика с умыв. Слим</v>
      </c>
      <c r="H3418">
        <f>VLOOKUP(D3418,Товары!A:I,6,0)</f>
        <v>80</v>
      </c>
      <c r="I3418" t="str">
        <f>VLOOKUP(C3418,Магазины!A:C,3,0)</f>
        <v>Кемерово</v>
      </c>
      <c r="J3418">
        <f>VLOOKUP(D3418,Товары!A:I,4,0)</f>
        <v>28380</v>
      </c>
      <c r="K3418">
        <f t="shared" si="53"/>
        <v>28380</v>
      </c>
    </row>
    <row r="3419" spans="1:11" hidden="1" x14ac:dyDescent="0.25">
      <c r="A3419">
        <v>3418</v>
      </c>
      <c r="B3419" s="1">
        <v>45755</v>
      </c>
      <c r="C3419" t="s">
        <v>16</v>
      </c>
      <c r="D3419" t="s">
        <v>94</v>
      </c>
      <c r="E3419" t="s">
        <v>13</v>
      </c>
      <c r="F3419">
        <v>2</v>
      </c>
      <c r="G3419" t="str">
        <f>VLOOKUP(D3419,Товары!A:I,3,0)</f>
        <v>Зеркальный шкаф Альба 80 со светильником правый цвет антрацит</v>
      </c>
      <c r="H3419">
        <f>VLOOKUP(D3419,Товары!A:I,6,0)</f>
        <v>75</v>
      </c>
      <c r="I3419" t="str">
        <f>VLOOKUP(C3419,Магазины!A:C,3,0)</f>
        <v>Оренбург</v>
      </c>
      <c r="J3419">
        <f>VLOOKUP(D3419,Товары!A:I,4,0)</f>
        <v>9930</v>
      </c>
      <c r="K3419">
        <f t="shared" si="53"/>
        <v>19860</v>
      </c>
    </row>
    <row r="3420" spans="1:11" hidden="1" x14ac:dyDescent="0.25">
      <c r="A3420">
        <v>3419</v>
      </c>
      <c r="B3420" s="1">
        <v>45752</v>
      </c>
      <c r="C3420" t="s">
        <v>111</v>
      </c>
      <c r="D3420" t="s">
        <v>88</v>
      </c>
      <c r="E3420" t="s">
        <v>13</v>
      </c>
      <c r="F3420">
        <v>2</v>
      </c>
      <c r="G3420" t="str">
        <f>VLOOKUP(D3420,Товары!A:I,3,0)</f>
        <v>Тумба с раковиной  навес. Альба 800 антрацит 2 ящика с умыв. Слим</v>
      </c>
      <c r="H3420">
        <f>VLOOKUP(D3420,Товары!A:I,6,0)</f>
        <v>50</v>
      </c>
      <c r="I3420" t="str">
        <f>VLOOKUP(C3420,Магазины!A:C,3,0)</f>
        <v>Набережные Челны</v>
      </c>
      <c r="J3420">
        <f>VLOOKUP(D3420,Товары!A:I,4,0)</f>
        <v>26070</v>
      </c>
      <c r="K3420">
        <f t="shared" si="53"/>
        <v>52140</v>
      </c>
    </row>
    <row r="3421" spans="1:11" hidden="1" x14ac:dyDescent="0.25">
      <c r="A3421">
        <v>3420</v>
      </c>
      <c r="B3421" s="1">
        <v>45754</v>
      </c>
      <c r="C3421" t="s">
        <v>33</v>
      </c>
      <c r="D3421" t="s">
        <v>114</v>
      </c>
      <c r="E3421" t="s">
        <v>8</v>
      </c>
      <c r="F3421">
        <v>3</v>
      </c>
      <c r="G3421" t="str">
        <f>VLOOKUP(D3421,Товары!A:I,3,0)</f>
        <v>Тумба с раковиной  навес. Альба 700 мята 2 ящика с умыв. Слим</v>
      </c>
      <c r="H3421">
        <f>VLOOKUP(D3421,Товары!A:I,6,0)</f>
        <v>60</v>
      </c>
      <c r="I3421" t="str">
        <f>VLOOKUP(C3421,Магазины!A:C,3,0)</f>
        <v>Набережные Челны</v>
      </c>
      <c r="J3421">
        <f>VLOOKUP(D3421,Товары!A:I,4,0)</f>
        <v>25095</v>
      </c>
      <c r="K3421">
        <f t="shared" si="53"/>
        <v>75285</v>
      </c>
    </row>
    <row r="3422" spans="1:11" hidden="1" x14ac:dyDescent="0.25">
      <c r="A3422">
        <v>3421</v>
      </c>
      <c r="B3422" s="1">
        <v>45751</v>
      </c>
      <c r="C3422" t="s">
        <v>18</v>
      </c>
      <c r="D3422" t="s">
        <v>81</v>
      </c>
      <c r="E3422" t="s">
        <v>13</v>
      </c>
      <c r="F3422">
        <v>2</v>
      </c>
      <c r="G3422" t="str">
        <f>VLOOKUP(D3422,Товары!A:I,3,0)</f>
        <v>Тумба с раковиной  навес. Рица 600 cерый/керамика 1 ящик + ниша 1 с умыв. Океан</v>
      </c>
      <c r="H3422">
        <f>VLOOKUP(D3422,Товары!A:I,6,0)</f>
        <v>60</v>
      </c>
      <c r="I3422" t="str">
        <f>VLOOKUP(C3422,Магазины!A:C,3,0)</f>
        <v>Набережные Челны</v>
      </c>
      <c r="J3422">
        <f>VLOOKUP(D3422,Товары!A:I,4,0)</f>
        <v>18900</v>
      </c>
      <c r="K3422">
        <f t="shared" si="53"/>
        <v>37800</v>
      </c>
    </row>
    <row r="3423" spans="1:11" hidden="1" x14ac:dyDescent="0.25">
      <c r="A3423">
        <v>3422</v>
      </c>
      <c r="B3423" s="1">
        <v>45755</v>
      </c>
      <c r="C3423" t="s">
        <v>35</v>
      </c>
      <c r="D3423" t="s">
        <v>104</v>
      </c>
      <c r="E3423" t="s">
        <v>13</v>
      </c>
      <c r="F3423">
        <v>3</v>
      </c>
      <c r="G3423" t="str">
        <f>VLOOKUP(D3423,Товары!A:I,3,0)</f>
        <v>Тумба под стиральную машину Куба Риф 57 подвесная 2 ящика под ст/маш, без умывальника /под Marshall 120 Белый</v>
      </c>
      <c r="H3423">
        <f>VLOOKUP(D3423,Товары!A:I,6,0)</f>
        <v>50</v>
      </c>
      <c r="I3423" t="str">
        <f>VLOOKUP(C3423,Магазины!A:C,3,0)</f>
        <v>Набережные Челны</v>
      </c>
      <c r="J3423">
        <f>VLOOKUP(D3423,Товары!A:I,4,0)</f>
        <v>8505</v>
      </c>
      <c r="K3423">
        <f t="shared" si="53"/>
        <v>25515</v>
      </c>
    </row>
    <row r="3424" spans="1:11" hidden="1" x14ac:dyDescent="0.25">
      <c r="A3424">
        <v>3423</v>
      </c>
      <c r="B3424" s="1">
        <v>45748</v>
      </c>
      <c r="C3424" t="s">
        <v>33</v>
      </c>
      <c r="D3424" t="s">
        <v>15</v>
      </c>
      <c r="E3424" t="s">
        <v>13</v>
      </c>
      <c r="F3424">
        <v>3</v>
      </c>
      <c r="G3424" t="str">
        <f>VLOOKUP(D3424,Товары!A:I,3,0)</f>
        <v>Зеркальный шкаф Кристалл 60 со светильником правый, ручка кнопка дуб цвет Шато Азур</v>
      </c>
      <c r="H3424">
        <f>VLOOKUP(D3424,Товары!A:I,6,0)</f>
        <v>75</v>
      </c>
      <c r="I3424" t="str">
        <f>VLOOKUP(C3424,Магазины!A:C,3,0)</f>
        <v>Набережные Челны</v>
      </c>
      <c r="J3424">
        <f>VLOOKUP(D3424,Товары!A:I,4,0)</f>
        <v>9195</v>
      </c>
      <c r="K3424">
        <f t="shared" si="53"/>
        <v>27585</v>
      </c>
    </row>
    <row r="3425" spans="1:11" hidden="1" x14ac:dyDescent="0.25">
      <c r="A3425">
        <v>3424</v>
      </c>
      <c r="B3425" s="1">
        <v>45752</v>
      </c>
      <c r="C3425" t="s">
        <v>63</v>
      </c>
      <c r="D3425" t="s">
        <v>102</v>
      </c>
      <c r="E3425" t="s">
        <v>13</v>
      </c>
      <c r="F3425">
        <v>2</v>
      </c>
      <c r="G3425" t="str">
        <f>VLOOKUP(D3425,Товары!A:I,3,0)</f>
        <v>Тумба с раковиной  напол. Леон Риф 1000 солярис/белый риф 2 ящика с умыв. Слим</v>
      </c>
      <c r="H3425">
        <f>VLOOKUP(D3425,Товары!A:I,6,0)</f>
        <v>85</v>
      </c>
      <c r="I3425" t="str">
        <f>VLOOKUP(C3425,Магазины!A:C,3,0)</f>
        <v>Ставрополь</v>
      </c>
      <c r="J3425">
        <f>VLOOKUP(D3425,Товары!A:I,4,0)</f>
        <v>32085</v>
      </c>
      <c r="K3425">
        <f t="shared" si="53"/>
        <v>64170</v>
      </c>
    </row>
    <row r="3426" spans="1:11" hidden="1" x14ac:dyDescent="0.25">
      <c r="A3426">
        <v>3425</v>
      </c>
      <c r="B3426" s="1">
        <v>45750</v>
      </c>
      <c r="C3426" t="s">
        <v>22</v>
      </c>
      <c r="D3426" t="s">
        <v>97</v>
      </c>
      <c r="E3426" t="s">
        <v>8</v>
      </c>
      <c r="F3426">
        <v>1</v>
      </c>
      <c r="G3426" t="str">
        <f>VLOOKUP(D3426,Товары!A:I,3,0)</f>
        <v>Пенал напол. Кристалл 350 суфле 2 двери</v>
      </c>
      <c r="H3426">
        <f>VLOOKUP(D3426,Товары!A:I,6,0)</f>
        <v>190</v>
      </c>
      <c r="I3426" t="str">
        <f>VLOOKUP(C3426,Магазины!A:C,3,0)</f>
        <v>Кемерово</v>
      </c>
      <c r="J3426">
        <f>VLOOKUP(D3426,Товары!A:I,4,0)</f>
        <v>15810</v>
      </c>
      <c r="K3426">
        <f t="shared" si="53"/>
        <v>15810</v>
      </c>
    </row>
    <row r="3427" spans="1:11" hidden="1" x14ac:dyDescent="0.25">
      <c r="A3427">
        <v>3426</v>
      </c>
      <c r="B3427" s="1">
        <v>45756</v>
      </c>
      <c r="C3427" t="s">
        <v>9</v>
      </c>
      <c r="D3427" t="s">
        <v>87</v>
      </c>
      <c r="E3427" t="s">
        <v>8</v>
      </c>
      <c r="F3427">
        <v>2</v>
      </c>
      <c r="G3427" t="str">
        <f>VLOOKUP(D3427,Товары!A:I,3,0)</f>
        <v>Тумба с раковиной  напол. Леон 700 форест 2 ящика с умыв. Слим</v>
      </c>
      <c r="H3427">
        <f>VLOOKUP(D3427,Товары!A:I,6,0)</f>
        <v>80</v>
      </c>
      <c r="I3427" t="str">
        <f>VLOOKUP(C3427,Магазины!A:C,3,0)</f>
        <v>Кемерово</v>
      </c>
      <c r="J3427">
        <f>VLOOKUP(D3427,Товары!A:I,4,0)</f>
        <v>28380</v>
      </c>
      <c r="K3427">
        <f t="shared" si="53"/>
        <v>56760</v>
      </c>
    </row>
    <row r="3428" spans="1:11" hidden="1" x14ac:dyDescent="0.25">
      <c r="A3428">
        <v>3427</v>
      </c>
      <c r="B3428" s="1">
        <v>45751</v>
      </c>
      <c r="C3428" t="s">
        <v>16</v>
      </c>
      <c r="D3428" t="s">
        <v>128</v>
      </c>
      <c r="E3428" t="s">
        <v>13</v>
      </c>
      <c r="F3428">
        <v>2</v>
      </c>
      <c r="G3428" t="str">
        <f>VLOOKUP(D3428,Товары!A:I,3,0)</f>
        <v>Тумба с раковиной  напол. Куба Риф 1000 белый 2 ящика с умыв. Слим</v>
      </c>
      <c r="H3428">
        <f>VLOOKUP(D3428,Товары!A:I,6,0)</f>
        <v>85</v>
      </c>
      <c r="I3428" t="str">
        <f>VLOOKUP(C3428,Магазины!A:C,3,0)</f>
        <v>Оренбург</v>
      </c>
      <c r="J3428">
        <f>VLOOKUP(D3428,Товары!A:I,4,0)</f>
        <v>22905</v>
      </c>
      <c r="K3428">
        <f t="shared" si="53"/>
        <v>45810</v>
      </c>
    </row>
    <row r="3429" spans="1:11" hidden="1" x14ac:dyDescent="0.25">
      <c r="A3429">
        <v>3428</v>
      </c>
      <c r="B3429" s="1">
        <v>45753</v>
      </c>
      <c r="C3429" t="s">
        <v>16</v>
      </c>
      <c r="D3429" t="s">
        <v>97</v>
      </c>
      <c r="E3429" t="s">
        <v>8</v>
      </c>
      <c r="F3429">
        <v>3</v>
      </c>
      <c r="G3429" t="str">
        <f>VLOOKUP(D3429,Товары!A:I,3,0)</f>
        <v>Пенал напол. Кристалл 350 суфле 2 двери</v>
      </c>
      <c r="H3429">
        <f>VLOOKUP(D3429,Товары!A:I,6,0)</f>
        <v>190</v>
      </c>
      <c r="I3429" t="str">
        <f>VLOOKUP(C3429,Магазины!A:C,3,0)</f>
        <v>Оренбург</v>
      </c>
      <c r="J3429">
        <f>VLOOKUP(D3429,Товары!A:I,4,0)</f>
        <v>15810</v>
      </c>
      <c r="K3429">
        <f t="shared" si="53"/>
        <v>47430</v>
      </c>
    </row>
    <row r="3430" spans="1:11" hidden="1" x14ac:dyDescent="0.25">
      <c r="A3430">
        <v>3429</v>
      </c>
      <c r="B3430" s="1">
        <v>45748</v>
      </c>
      <c r="C3430" t="s">
        <v>103</v>
      </c>
      <c r="D3430" t="s">
        <v>81</v>
      </c>
      <c r="E3430" t="s">
        <v>13</v>
      </c>
      <c r="F3430">
        <v>1</v>
      </c>
      <c r="G3430" t="str">
        <f>VLOOKUP(D3430,Товары!A:I,3,0)</f>
        <v>Тумба с раковиной  навес. Рица 600 cерый/керамика 1 ящик + ниша 1 с умыв. Океан</v>
      </c>
      <c r="H3430">
        <f>VLOOKUP(D3430,Товары!A:I,6,0)</f>
        <v>60</v>
      </c>
      <c r="I3430" t="str">
        <f>VLOOKUP(C3430,Магазины!A:C,3,0)</f>
        <v>Ставрополь</v>
      </c>
      <c r="J3430">
        <f>VLOOKUP(D3430,Товары!A:I,4,0)</f>
        <v>18900</v>
      </c>
      <c r="K3430">
        <f t="shared" si="53"/>
        <v>18900</v>
      </c>
    </row>
    <row r="3431" spans="1:11" hidden="1" x14ac:dyDescent="0.25">
      <c r="A3431">
        <v>3430</v>
      </c>
      <c r="B3431" s="1">
        <v>45755</v>
      </c>
      <c r="C3431" t="s">
        <v>63</v>
      </c>
      <c r="D3431" t="s">
        <v>72</v>
      </c>
      <c r="E3431" t="s">
        <v>8</v>
      </c>
      <c r="F3431">
        <v>3</v>
      </c>
      <c r="G3431" t="str">
        <f>VLOOKUP(D3431,Товары!A:I,3,0)</f>
        <v>Тумба с раковиной  напол. Сохо 600 белый 2 ящика с умыв. Океан</v>
      </c>
      <c r="H3431">
        <f>VLOOKUP(D3431,Товары!A:I,6,0)</f>
        <v>85</v>
      </c>
      <c r="I3431" t="str">
        <f>VLOOKUP(C3431,Магазины!A:C,3,0)</f>
        <v>Ставрополь</v>
      </c>
      <c r="J3431">
        <f>VLOOKUP(D3431,Товары!A:I,4,0)</f>
        <v>16140</v>
      </c>
      <c r="K3431">
        <f t="shared" si="53"/>
        <v>48420</v>
      </c>
    </row>
    <row r="3432" spans="1:11" hidden="1" x14ac:dyDescent="0.25">
      <c r="A3432">
        <v>3431</v>
      </c>
      <c r="B3432" s="1">
        <v>45755</v>
      </c>
      <c r="C3432" t="s">
        <v>11</v>
      </c>
      <c r="D3432" t="s">
        <v>47</v>
      </c>
      <c r="E3432" t="s">
        <v>13</v>
      </c>
      <c r="F3432">
        <v>3</v>
      </c>
      <c r="G3432" t="str">
        <f>VLOOKUP(D3432,Товары!A:I,3,0)</f>
        <v>Пенал напол. Кристалл 350 шато азур 2 двери</v>
      </c>
      <c r="H3432">
        <f>VLOOKUP(D3432,Товары!A:I,6,0)</f>
        <v>190</v>
      </c>
      <c r="I3432" t="str">
        <f>VLOOKUP(C3432,Магазины!A:C,3,0)</f>
        <v>Кемерово</v>
      </c>
      <c r="J3432">
        <f>VLOOKUP(D3432,Товары!A:I,4,0)</f>
        <v>15810</v>
      </c>
      <c r="K3432">
        <f t="shared" si="53"/>
        <v>47430</v>
      </c>
    </row>
    <row r="3433" spans="1:11" hidden="1" x14ac:dyDescent="0.25">
      <c r="A3433">
        <v>3432</v>
      </c>
      <c r="B3433" s="1">
        <v>45749</v>
      </c>
      <c r="C3433" t="s">
        <v>35</v>
      </c>
      <c r="D3433" t="s">
        <v>131</v>
      </c>
      <c r="E3433" t="s">
        <v>13</v>
      </c>
      <c r="F3433">
        <v>3</v>
      </c>
      <c r="G3433" t="str">
        <f>VLOOKUP(D3433,Товары!A:I,3,0)</f>
        <v>Тумба с раковиной  напол. Леон 800 форест 2 ящика с умыв. Слим</v>
      </c>
      <c r="H3433">
        <f>VLOOKUP(D3433,Товары!A:I,6,0)</f>
        <v>80</v>
      </c>
      <c r="I3433" t="str">
        <f>VLOOKUP(C3433,Магазины!A:C,3,0)</f>
        <v>Набережные Челны</v>
      </c>
      <c r="J3433">
        <f>VLOOKUP(D3433,Товары!A:I,4,0)</f>
        <v>29400</v>
      </c>
      <c r="K3433">
        <f t="shared" si="53"/>
        <v>88200</v>
      </c>
    </row>
    <row r="3434" spans="1:11" hidden="1" x14ac:dyDescent="0.25">
      <c r="A3434">
        <v>3433</v>
      </c>
      <c r="B3434" s="1">
        <v>45750</v>
      </c>
      <c r="C3434" t="s">
        <v>30</v>
      </c>
      <c r="D3434" t="s">
        <v>113</v>
      </c>
      <c r="E3434" t="s">
        <v>8</v>
      </c>
      <c r="F3434">
        <v>2</v>
      </c>
      <c r="G3434" t="str">
        <f>VLOOKUP(D3434,Товары!A:I,3,0)</f>
        <v>Зеркальный шкаф Альба 60 со светильником правый цвет мята</v>
      </c>
      <c r="H3434">
        <f>VLOOKUP(D3434,Товары!A:I,6,0)</f>
        <v>75</v>
      </c>
      <c r="I3434" t="str">
        <f>VLOOKUP(C3434,Магазины!A:C,3,0)</f>
        <v>Кемерово</v>
      </c>
      <c r="J3434">
        <f>VLOOKUP(D3434,Товары!A:I,4,0)</f>
        <v>8910</v>
      </c>
      <c r="K3434">
        <f t="shared" si="53"/>
        <v>17820</v>
      </c>
    </row>
    <row r="3435" spans="1:11" hidden="1" x14ac:dyDescent="0.25">
      <c r="A3435">
        <v>3434</v>
      </c>
      <c r="B3435" s="1">
        <v>45751</v>
      </c>
      <c r="C3435" t="s">
        <v>20</v>
      </c>
      <c r="D3435" t="s">
        <v>87</v>
      </c>
      <c r="E3435" t="s">
        <v>13</v>
      </c>
      <c r="F3435">
        <v>2</v>
      </c>
      <c r="G3435" t="str">
        <f>VLOOKUP(D3435,Товары!A:I,3,0)</f>
        <v>Тумба с раковиной  напол. Леон 700 форест 2 ящика с умыв. Слим</v>
      </c>
      <c r="H3435">
        <f>VLOOKUP(D3435,Товары!A:I,6,0)</f>
        <v>80</v>
      </c>
      <c r="I3435" t="str">
        <f>VLOOKUP(C3435,Магазины!A:C,3,0)</f>
        <v>Оренбург</v>
      </c>
      <c r="J3435">
        <f>VLOOKUP(D3435,Товары!A:I,4,0)</f>
        <v>28380</v>
      </c>
      <c r="K3435">
        <f t="shared" si="53"/>
        <v>56760</v>
      </c>
    </row>
    <row r="3436" spans="1:11" hidden="1" x14ac:dyDescent="0.25">
      <c r="A3436">
        <v>3435</v>
      </c>
      <c r="B3436" s="1">
        <v>45756</v>
      </c>
      <c r="C3436" t="s">
        <v>18</v>
      </c>
      <c r="D3436" t="s">
        <v>61</v>
      </c>
      <c r="E3436" t="s">
        <v>8</v>
      </c>
      <c r="F3436">
        <v>3</v>
      </c>
      <c r="G3436" t="str">
        <f>VLOOKUP(D3436,Товары!A:I,3,0)</f>
        <v>Тумба под стиральную машину Леон Риф 57 напольная 2 ящика под ст/маш, без умывальника /под Marshall 120 Солярис/Белый Риф</v>
      </c>
      <c r="H3436">
        <f>VLOOKUP(D3436,Товары!A:I,6,0)</f>
        <v>85</v>
      </c>
      <c r="I3436" t="str">
        <f>VLOOKUP(C3436,Магазины!A:C,3,0)</f>
        <v>Набережные Челны</v>
      </c>
      <c r="J3436">
        <f>VLOOKUP(D3436,Товары!A:I,4,0)</f>
        <v>17430</v>
      </c>
      <c r="K3436">
        <f t="shared" si="53"/>
        <v>52290</v>
      </c>
    </row>
    <row r="3437" spans="1:11" hidden="1" x14ac:dyDescent="0.25">
      <c r="A3437">
        <v>3436</v>
      </c>
      <c r="B3437" s="1">
        <v>45753</v>
      </c>
      <c r="C3437" t="s">
        <v>28</v>
      </c>
      <c r="D3437" t="s">
        <v>83</v>
      </c>
      <c r="E3437" t="s">
        <v>8</v>
      </c>
      <c r="F3437">
        <v>3</v>
      </c>
      <c r="G3437" t="str">
        <f>VLOOKUP(D3437,Товары!A:I,3,0)</f>
        <v>Зеркальный шкаф Альба 60 со светильником правый цвет суфле</v>
      </c>
      <c r="H3437">
        <f>VLOOKUP(D3437,Товары!A:I,6,0)</f>
        <v>75</v>
      </c>
      <c r="I3437" t="str">
        <f>VLOOKUP(C3437,Магазины!A:C,3,0)</f>
        <v>Набережные Челны</v>
      </c>
      <c r="J3437">
        <f>VLOOKUP(D3437,Товары!A:I,4,0)</f>
        <v>8910</v>
      </c>
      <c r="K3437">
        <f t="shared" si="53"/>
        <v>26730</v>
      </c>
    </row>
    <row r="3438" spans="1:11" hidden="1" x14ac:dyDescent="0.25">
      <c r="A3438">
        <v>3437</v>
      </c>
      <c r="B3438" s="1">
        <v>45751</v>
      </c>
      <c r="C3438" t="s">
        <v>92</v>
      </c>
      <c r="D3438" t="s">
        <v>95</v>
      </c>
      <c r="E3438" t="s">
        <v>13</v>
      </c>
      <c r="F3438">
        <v>1</v>
      </c>
      <c r="G3438" t="str">
        <f>VLOOKUP(D3438,Товары!A:I,3,0)</f>
        <v>Тумба с раковиной  напол. Рица 600 антрацит 2 ящика с умыв. Океан</v>
      </c>
      <c r="H3438">
        <f>VLOOKUP(D3438,Товары!A:I,6,0)</f>
        <v>80</v>
      </c>
      <c r="I3438" t="str">
        <f>VLOOKUP(C3438,Магазины!A:C,3,0)</f>
        <v>Кемерово</v>
      </c>
      <c r="J3438">
        <f>VLOOKUP(D3438,Товары!A:I,4,0)</f>
        <v>25560</v>
      </c>
      <c r="K3438">
        <f t="shared" si="53"/>
        <v>25560</v>
      </c>
    </row>
    <row r="3439" spans="1:11" hidden="1" x14ac:dyDescent="0.25">
      <c r="A3439">
        <v>3438</v>
      </c>
      <c r="B3439" s="1">
        <v>45757</v>
      </c>
      <c r="C3439" t="s">
        <v>54</v>
      </c>
      <c r="D3439" t="s">
        <v>24</v>
      </c>
      <c r="E3439" t="s">
        <v>8</v>
      </c>
      <c r="F3439">
        <v>3</v>
      </c>
      <c r="G3439" t="str">
        <f>VLOOKUP(D3439,Товары!A:I,3,0)</f>
        <v>Тумба с раковиной  напол. Леон 600 форест 2 ящика с умыв. Слим</v>
      </c>
      <c r="H3439">
        <f>VLOOKUP(D3439,Товары!A:I,6,0)</f>
        <v>80</v>
      </c>
      <c r="I3439" t="str">
        <f>VLOOKUP(C3439,Магазины!A:C,3,0)</f>
        <v>Ставрополь</v>
      </c>
      <c r="J3439">
        <f>VLOOKUP(D3439,Товары!A:I,4,0)</f>
        <v>27150</v>
      </c>
      <c r="K3439">
        <f t="shared" si="53"/>
        <v>81450</v>
      </c>
    </row>
    <row r="3440" spans="1:11" hidden="1" x14ac:dyDescent="0.25">
      <c r="A3440">
        <v>3439</v>
      </c>
      <c r="B3440" s="1">
        <v>45757</v>
      </c>
      <c r="C3440" t="s">
        <v>26</v>
      </c>
      <c r="D3440" t="s">
        <v>117</v>
      </c>
      <c r="E3440" t="s">
        <v>13</v>
      </c>
      <c r="F3440">
        <v>2</v>
      </c>
      <c r="G3440" t="str">
        <f>VLOOKUP(D3440,Товары!A:I,3,0)</f>
        <v>Тумба с раковиной  навес. Альба 700 антрацит 2 ящика с умыв. Слим</v>
      </c>
      <c r="H3440">
        <f>VLOOKUP(D3440,Товары!A:I,6,0)</f>
        <v>60</v>
      </c>
      <c r="I3440" t="str">
        <f>VLOOKUP(C3440,Магазины!A:C,3,0)</f>
        <v>Оренбург</v>
      </c>
      <c r="J3440">
        <f>VLOOKUP(D3440,Товары!A:I,4,0)</f>
        <v>25095</v>
      </c>
      <c r="K3440">
        <f t="shared" si="53"/>
        <v>50190</v>
      </c>
    </row>
    <row r="3441" spans="1:11" hidden="1" x14ac:dyDescent="0.25">
      <c r="A3441">
        <v>3440</v>
      </c>
      <c r="B3441" s="1">
        <v>45750</v>
      </c>
      <c r="C3441" t="s">
        <v>35</v>
      </c>
      <c r="D3441" t="s">
        <v>105</v>
      </c>
      <c r="E3441" t="s">
        <v>8</v>
      </c>
      <c r="F3441">
        <v>1</v>
      </c>
      <c r="G3441" t="str">
        <f>VLOOKUP(D3441,Товары!A:I,3,0)</f>
        <v>Тумба с раковиной  напол. Нева 600 белый 2 двери + 1 ящик с умыв. Como</v>
      </c>
      <c r="H3441">
        <f>VLOOKUP(D3441,Товары!A:I,6,0)</f>
        <v>80</v>
      </c>
      <c r="I3441" t="str">
        <f>VLOOKUP(C3441,Магазины!A:C,3,0)</f>
        <v>Набережные Челны</v>
      </c>
      <c r="J3441">
        <f>VLOOKUP(D3441,Товары!A:I,4,0)</f>
        <v>13470</v>
      </c>
      <c r="K3441">
        <f t="shared" si="53"/>
        <v>13470</v>
      </c>
    </row>
    <row r="3442" spans="1:11" hidden="1" x14ac:dyDescent="0.25">
      <c r="A3442">
        <v>3441</v>
      </c>
      <c r="B3442" s="1">
        <v>45757</v>
      </c>
      <c r="C3442" t="s">
        <v>6</v>
      </c>
      <c r="D3442" t="s">
        <v>37</v>
      </c>
      <c r="E3442" t="s">
        <v>8</v>
      </c>
      <c r="F3442">
        <v>1</v>
      </c>
      <c r="G3442" t="str">
        <f>VLOOKUP(D3442,Товары!A:I,3,0)</f>
        <v>Зеркальный шкаф Сохо 70 белый со светильником правый цвет Белый глянец</v>
      </c>
      <c r="H3442">
        <f>VLOOKUP(D3442,Товары!A:I,6,0)</f>
        <v>75</v>
      </c>
      <c r="I3442" t="str">
        <f>VLOOKUP(C3442,Магазины!A:C,3,0)</f>
        <v>Оренбург</v>
      </c>
      <c r="J3442">
        <f>VLOOKUP(D3442,Товары!A:I,4,0)</f>
        <v>7935</v>
      </c>
      <c r="K3442">
        <f t="shared" si="53"/>
        <v>7935</v>
      </c>
    </row>
    <row r="3443" spans="1:11" hidden="1" x14ac:dyDescent="0.25">
      <c r="A3443">
        <v>3442</v>
      </c>
      <c r="B3443" s="1">
        <v>45752</v>
      </c>
      <c r="C3443" t="s">
        <v>58</v>
      </c>
      <c r="D3443" t="s">
        <v>90</v>
      </c>
      <c r="E3443" t="s">
        <v>13</v>
      </c>
      <c r="F3443">
        <v>1</v>
      </c>
      <c r="G3443" t="str">
        <f>VLOOKUP(D3443,Товары!A:I,3,0)</f>
        <v>Пенал напол. Аква 350 белый 2 двери + 2 ящика</v>
      </c>
      <c r="H3443">
        <f>VLOOKUP(D3443,Товары!A:I,6,0)</f>
        <v>190</v>
      </c>
      <c r="I3443" t="str">
        <f>VLOOKUP(C3443,Магазины!A:C,3,0)</f>
        <v>Ставрополь</v>
      </c>
      <c r="J3443">
        <f>VLOOKUP(D3443,Товары!A:I,4,0)</f>
        <v>10650</v>
      </c>
      <c r="K3443">
        <f t="shared" si="53"/>
        <v>10650</v>
      </c>
    </row>
    <row r="3444" spans="1:11" hidden="1" x14ac:dyDescent="0.25">
      <c r="A3444">
        <v>3443</v>
      </c>
      <c r="B3444" s="1">
        <v>45751</v>
      </c>
      <c r="C3444" t="s">
        <v>41</v>
      </c>
      <c r="D3444" t="s">
        <v>78</v>
      </c>
      <c r="E3444" t="s">
        <v>8</v>
      </c>
      <c r="F3444">
        <v>2</v>
      </c>
      <c r="G3444" t="str">
        <f>VLOOKUP(D3444,Товары!A:I,3,0)</f>
        <v>Зеркальный шкаф Кристалл 70 со светильником правый, ручка кнопка дуб цвет Шато Азур</v>
      </c>
      <c r="H3444">
        <f>VLOOKUP(D3444,Товары!A:I,6,0)</f>
        <v>75</v>
      </c>
      <c r="I3444" t="str">
        <f>VLOOKUP(C3444,Магазины!A:C,3,0)</f>
        <v>Ставрополь</v>
      </c>
      <c r="J3444">
        <f>VLOOKUP(D3444,Товары!A:I,4,0)</f>
        <v>9615</v>
      </c>
      <c r="K3444">
        <f t="shared" si="53"/>
        <v>19230</v>
      </c>
    </row>
    <row r="3445" spans="1:11" hidden="1" x14ac:dyDescent="0.25">
      <c r="A3445">
        <v>3444</v>
      </c>
      <c r="B3445" s="1">
        <v>45749</v>
      </c>
      <c r="C3445" t="s">
        <v>20</v>
      </c>
      <c r="D3445" t="s">
        <v>47</v>
      </c>
      <c r="E3445" t="s">
        <v>13</v>
      </c>
      <c r="F3445">
        <v>1</v>
      </c>
      <c r="G3445" t="str">
        <f>VLOOKUP(D3445,Товары!A:I,3,0)</f>
        <v>Пенал напол. Кристалл 350 шато азур 2 двери</v>
      </c>
      <c r="H3445">
        <f>VLOOKUP(D3445,Товары!A:I,6,0)</f>
        <v>190</v>
      </c>
      <c r="I3445" t="str">
        <f>VLOOKUP(C3445,Магазины!A:C,3,0)</f>
        <v>Оренбург</v>
      </c>
      <c r="J3445">
        <f>VLOOKUP(D3445,Товары!A:I,4,0)</f>
        <v>15810</v>
      </c>
      <c r="K3445">
        <f t="shared" si="53"/>
        <v>15810</v>
      </c>
    </row>
    <row r="3446" spans="1:11" hidden="1" x14ac:dyDescent="0.25">
      <c r="A3446">
        <v>3445</v>
      </c>
      <c r="B3446" s="1">
        <v>45756</v>
      </c>
      <c r="C3446" t="s">
        <v>57</v>
      </c>
      <c r="D3446" t="s">
        <v>77</v>
      </c>
      <c r="E3446" t="s">
        <v>13</v>
      </c>
      <c r="F3446">
        <v>3</v>
      </c>
      <c r="G3446" t="str">
        <f>VLOOKUP(D3446,Товары!A:I,3,0)</f>
        <v>Тумба с раковиной  напол. Куба Риф 600 белый 2 ящика с умыв. Como</v>
      </c>
      <c r="H3446">
        <f>VLOOKUP(D3446,Товары!A:I,6,0)</f>
        <v>85</v>
      </c>
      <c r="I3446" t="str">
        <f>VLOOKUP(C3446,Магазины!A:C,3,0)</f>
        <v>Оренбург</v>
      </c>
      <c r="J3446">
        <f>VLOOKUP(D3446,Товары!A:I,4,0)</f>
        <v>15660</v>
      </c>
      <c r="K3446">
        <f t="shared" si="53"/>
        <v>46980</v>
      </c>
    </row>
    <row r="3447" spans="1:11" hidden="1" x14ac:dyDescent="0.25">
      <c r="A3447">
        <v>3446</v>
      </c>
      <c r="B3447" s="1">
        <v>45752</v>
      </c>
      <c r="C3447" t="s">
        <v>35</v>
      </c>
      <c r="D3447" t="s">
        <v>84</v>
      </c>
      <c r="E3447" t="s">
        <v>13</v>
      </c>
      <c r="F3447">
        <v>1</v>
      </c>
      <c r="G3447" t="str">
        <f>VLOOKUP(D3447,Товары!A:I,3,0)</f>
        <v>Тумба с раковиной  напол. Куба Риф 800 белый 3 двери с умыв. Слим</v>
      </c>
      <c r="H3447">
        <f>VLOOKUP(D3447,Товары!A:I,6,0)</f>
        <v>85</v>
      </c>
      <c r="I3447" t="str">
        <f>VLOOKUP(C3447,Магазины!A:C,3,0)</f>
        <v>Набережные Челны</v>
      </c>
      <c r="J3447">
        <f>VLOOKUP(D3447,Товары!A:I,4,0)</f>
        <v>19920</v>
      </c>
      <c r="K3447">
        <f t="shared" si="53"/>
        <v>19920</v>
      </c>
    </row>
    <row r="3448" spans="1:11" hidden="1" x14ac:dyDescent="0.25">
      <c r="A3448">
        <v>3447</v>
      </c>
      <c r="B3448" s="1">
        <v>45751</v>
      </c>
      <c r="C3448" t="s">
        <v>43</v>
      </c>
      <c r="D3448" t="s">
        <v>102</v>
      </c>
      <c r="E3448" t="s">
        <v>13</v>
      </c>
      <c r="F3448">
        <v>2</v>
      </c>
      <c r="G3448" t="str">
        <f>VLOOKUP(D3448,Товары!A:I,3,0)</f>
        <v>Тумба с раковиной  напол. Леон Риф 1000 солярис/белый риф 2 ящика с умыв. Слим</v>
      </c>
      <c r="H3448">
        <f>VLOOKUP(D3448,Товары!A:I,6,0)</f>
        <v>85</v>
      </c>
      <c r="I3448" t="str">
        <f>VLOOKUP(C3448,Магазины!A:C,3,0)</f>
        <v>Набережные Челны</v>
      </c>
      <c r="J3448">
        <f>VLOOKUP(D3448,Товары!A:I,4,0)</f>
        <v>32085</v>
      </c>
      <c r="K3448">
        <f t="shared" si="53"/>
        <v>64170</v>
      </c>
    </row>
    <row r="3449" spans="1:11" hidden="1" x14ac:dyDescent="0.25">
      <c r="A3449">
        <v>3448</v>
      </c>
      <c r="B3449" s="1">
        <v>45748</v>
      </c>
      <c r="C3449" t="s">
        <v>26</v>
      </c>
      <c r="D3449" t="s">
        <v>73</v>
      </c>
      <c r="E3449" t="s">
        <v>13</v>
      </c>
      <c r="F3449">
        <v>1</v>
      </c>
      <c r="G3449" t="str">
        <f>VLOOKUP(D3449,Товары!A:I,3,0)</f>
        <v>Зеркальный шкаф Альба 70 со светильником правый цвет антрацит</v>
      </c>
      <c r="H3449">
        <f>VLOOKUP(D3449,Товары!A:I,6,0)</f>
        <v>75</v>
      </c>
      <c r="I3449" t="str">
        <f>VLOOKUP(C3449,Магазины!A:C,3,0)</f>
        <v>Оренбург</v>
      </c>
      <c r="J3449">
        <f>VLOOKUP(D3449,Товары!A:I,4,0)</f>
        <v>9615</v>
      </c>
      <c r="K3449">
        <f t="shared" si="53"/>
        <v>9615</v>
      </c>
    </row>
    <row r="3450" spans="1:11" hidden="1" x14ac:dyDescent="0.25">
      <c r="A3450">
        <v>3449</v>
      </c>
      <c r="B3450" s="1">
        <v>45755</v>
      </c>
      <c r="C3450" t="s">
        <v>26</v>
      </c>
      <c r="D3450" t="s">
        <v>47</v>
      </c>
      <c r="E3450" t="s">
        <v>13</v>
      </c>
      <c r="F3450">
        <v>3</v>
      </c>
      <c r="G3450" t="str">
        <f>VLOOKUP(D3450,Товары!A:I,3,0)</f>
        <v>Пенал напол. Кристалл 350 шато азур 2 двери</v>
      </c>
      <c r="H3450">
        <f>VLOOKUP(D3450,Товары!A:I,6,0)</f>
        <v>190</v>
      </c>
      <c r="I3450" t="str">
        <f>VLOOKUP(C3450,Магазины!A:C,3,0)</f>
        <v>Оренбург</v>
      </c>
      <c r="J3450">
        <f>VLOOKUP(D3450,Товары!A:I,4,0)</f>
        <v>15810</v>
      </c>
      <c r="K3450">
        <f t="shared" si="53"/>
        <v>47430</v>
      </c>
    </row>
    <row r="3451" spans="1:11" hidden="1" x14ac:dyDescent="0.25">
      <c r="A3451">
        <v>3450</v>
      </c>
      <c r="B3451" s="1">
        <v>45748</v>
      </c>
      <c r="C3451" t="s">
        <v>43</v>
      </c>
      <c r="D3451" t="s">
        <v>80</v>
      </c>
      <c r="E3451" t="s">
        <v>8</v>
      </c>
      <c r="F3451">
        <v>1</v>
      </c>
      <c r="G3451" t="str">
        <f>VLOOKUP(D3451,Товары!A:I,3,0)</f>
        <v>Тумба с раковиной  навес. Сохо 600 белый 2 ящика с умыв. Океан</v>
      </c>
      <c r="H3451">
        <f>VLOOKUP(D3451,Товары!A:I,6,0)</f>
        <v>55</v>
      </c>
      <c r="I3451" t="str">
        <f>VLOOKUP(C3451,Магазины!A:C,3,0)</f>
        <v>Набережные Челны</v>
      </c>
      <c r="J3451">
        <f>VLOOKUP(D3451,Товары!A:I,4,0)</f>
        <v>13950</v>
      </c>
      <c r="K3451">
        <f t="shared" si="53"/>
        <v>13950</v>
      </c>
    </row>
    <row r="3452" spans="1:11" hidden="1" x14ac:dyDescent="0.25">
      <c r="A3452">
        <v>3451</v>
      </c>
      <c r="B3452" s="1">
        <v>45753</v>
      </c>
      <c r="C3452" t="s">
        <v>103</v>
      </c>
      <c r="D3452" t="s">
        <v>95</v>
      </c>
      <c r="E3452" t="s">
        <v>13</v>
      </c>
      <c r="F3452">
        <v>1</v>
      </c>
      <c r="G3452" t="str">
        <f>VLOOKUP(D3452,Товары!A:I,3,0)</f>
        <v>Тумба с раковиной  напол. Рица 600 антрацит 2 ящика с умыв. Океан</v>
      </c>
      <c r="H3452">
        <f>VLOOKUP(D3452,Товары!A:I,6,0)</f>
        <v>80</v>
      </c>
      <c r="I3452" t="str">
        <f>VLOOKUP(C3452,Магазины!A:C,3,0)</f>
        <v>Ставрополь</v>
      </c>
      <c r="J3452">
        <f>VLOOKUP(D3452,Товары!A:I,4,0)</f>
        <v>25560</v>
      </c>
      <c r="K3452">
        <f t="shared" si="53"/>
        <v>25560</v>
      </c>
    </row>
    <row r="3453" spans="1:11" hidden="1" x14ac:dyDescent="0.25">
      <c r="A3453">
        <v>3452</v>
      </c>
      <c r="B3453" s="1">
        <v>45748</v>
      </c>
      <c r="C3453" t="s">
        <v>28</v>
      </c>
      <c r="D3453" t="s">
        <v>120</v>
      </c>
      <c r="E3453" t="s">
        <v>13</v>
      </c>
      <c r="F3453">
        <v>1</v>
      </c>
      <c r="G3453" t="str">
        <f>VLOOKUP(D3453,Товары!A:I,3,0)</f>
        <v>Зеркальный шкаф Альба 60 со светильником правый цвет антрацит</v>
      </c>
      <c r="H3453">
        <f>VLOOKUP(D3453,Товары!A:I,6,0)</f>
        <v>75</v>
      </c>
      <c r="I3453" t="str">
        <f>VLOOKUP(C3453,Магазины!A:C,3,0)</f>
        <v>Набережные Челны</v>
      </c>
      <c r="J3453">
        <f>VLOOKUP(D3453,Товары!A:I,4,0)</f>
        <v>8910</v>
      </c>
      <c r="K3453">
        <f t="shared" si="53"/>
        <v>8910</v>
      </c>
    </row>
    <row r="3454" spans="1:11" hidden="1" x14ac:dyDescent="0.25">
      <c r="A3454">
        <v>3453</v>
      </c>
      <c r="B3454" s="1">
        <v>45757</v>
      </c>
      <c r="C3454" t="s">
        <v>11</v>
      </c>
      <c r="D3454" t="s">
        <v>62</v>
      </c>
      <c r="E3454" t="s">
        <v>13</v>
      </c>
      <c r="F3454">
        <v>3</v>
      </c>
      <c r="G3454" t="str">
        <f>VLOOKUP(D3454,Товары!A:I,3,0)</f>
        <v>Тумба с раковиной  напол. Альба 600 мята 2 ящика с умыв. Океан</v>
      </c>
      <c r="H3454">
        <f>VLOOKUP(D3454,Товары!A:I,6,0)</f>
        <v>80</v>
      </c>
      <c r="I3454" t="str">
        <f>VLOOKUP(C3454,Магазины!A:C,3,0)</f>
        <v>Кемерово</v>
      </c>
      <c r="J3454">
        <f>VLOOKUP(D3454,Товары!A:I,4,0)</f>
        <v>26370</v>
      </c>
      <c r="K3454">
        <f t="shared" si="53"/>
        <v>79110</v>
      </c>
    </row>
    <row r="3455" spans="1:11" hidden="1" x14ac:dyDescent="0.25">
      <c r="A3455">
        <v>3454</v>
      </c>
      <c r="B3455" s="1">
        <v>45752</v>
      </c>
      <c r="C3455" t="s">
        <v>33</v>
      </c>
      <c r="D3455" t="s">
        <v>109</v>
      </c>
      <c r="E3455" t="s">
        <v>8</v>
      </c>
      <c r="F3455">
        <v>1</v>
      </c>
      <c r="G3455" t="str">
        <f>VLOOKUP(D3455,Товары!A:I,3,0)</f>
        <v>Тумба с раковиной  навес. Альба 600 антрацит 2 ящика с умыв. Океан</v>
      </c>
      <c r="H3455">
        <f>VLOOKUP(D3455,Товары!A:I,6,0)</f>
        <v>50</v>
      </c>
      <c r="I3455" t="str">
        <f>VLOOKUP(C3455,Магазины!A:C,3,0)</f>
        <v>Набережные Челны</v>
      </c>
      <c r="J3455">
        <f>VLOOKUP(D3455,Товары!A:I,4,0)</f>
        <v>24810</v>
      </c>
      <c r="K3455">
        <f t="shared" si="53"/>
        <v>24810</v>
      </c>
    </row>
    <row r="3456" spans="1:11" hidden="1" x14ac:dyDescent="0.25">
      <c r="A3456">
        <v>3455</v>
      </c>
      <c r="B3456" s="1">
        <v>45751</v>
      </c>
      <c r="C3456" t="s">
        <v>22</v>
      </c>
      <c r="D3456" t="s">
        <v>83</v>
      </c>
      <c r="E3456" t="s">
        <v>13</v>
      </c>
      <c r="F3456">
        <v>3</v>
      </c>
      <c r="G3456" t="str">
        <f>VLOOKUP(D3456,Товары!A:I,3,0)</f>
        <v>Зеркальный шкаф Альба 60 со светильником правый цвет суфле</v>
      </c>
      <c r="H3456">
        <f>VLOOKUP(D3456,Товары!A:I,6,0)</f>
        <v>75</v>
      </c>
      <c r="I3456" t="str">
        <f>VLOOKUP(C3456,Магазины!A:C,3,0)</f>
        <v>Кемерово</v>
      </c>
      <c r="J3456">
        <f>VLOOKUP(D3456,Товары!A:I,4,0)</f>
        <v>8910</v>
      </c>
      <c r="K3456">
        <f t="shared" si="53"/>
        <v>26730</v>
      </c>
    </row>
    <row r="3457" spans="1:11" hidden="1" x14ac:dyDescent="0.25">
      <c r="A3457">
        <v>3456</v>
      </c>
      <c r="B3457" s="1">
        <v>45751</v>
      </c>
      <c r="C3457" t="s">
        <v>35</v>
      </c>
      <c r="D3457" t="s">
        <v>19</v>
      </c>
      <c r="E3457" t="s">
        <v>8</v>
      </c>
      <c r="F3457">
        <v>2</v>
      </c>
      <c r="G3457" t="str">
        <f>VLOOKUP(D3457,Товары!A:I,3,0)</f>
        <v>Тумба с раковиной  навес. Леон 800 оникс 2 ящика с умыв. Слим</v>
      </c>
      <c r="H3457">
        <f>VLOOKUP(D3457,Товары!A:I,6,0)</f>
        <v>60</v>
      </c>
      <c r="I3457" t="str">
        <f>VLOOKUP(C3457,Магазины!A:C,3,0)</f>
        <v>Набережные Челны</v>
      </c>
      <c r="J3457">
        <f>VLOOKUP(D3457,Товары!A:I,4,0)</f>
        <v>27930</v>
      </c>
      <c r="K3457">
        <f t="shared" si="53"/>
        <v>55860</v>
      </c>
    </row>
    <row r="3458" spans="1:11" hidden="1" x14ac:dyDescent="0.25">
      <c r="A3458">
        <v>3457</v>
      </c>
      <c r="B3458" s="1">
        <v>45757</v>
      </c>
      <c r="C3458" t="s">
        <v>28</v>
      </c>
      <c r="D3458" t="s">
        <v>127</v>
      </c>
      <c r="E3458" t="s">
        <v>13</v>
      </c>
      <c r="F3458">
        <v>1</v>
      </c>
      <c r="G3458" t="str">
        <f>VLOOKUP(D3458,Товары!A:I,3,0)</f>
        <v>Тумба с раковиной  навес. Альба 700 мята 1 ящик с умыв. Слим</v>
      </c>
      <c r="H3458">
        <f>VLOOKUP(D3458,Товары!A:I,6,0)</f>
        <v>45</v>
      </c>
      <c r="I3458" t="str">
        <f>VLOOKUP(C3458,Магазины!A:C,3,0)</f>
        <v>Набережные Челны</v>
      </c>
      <c r="J3458">
        <f>VLOOKUP(D3458,Товары!A:I,4,0)</f>
        <v>20130</v>
      </c>
      <c r="K3458">
        <f t="shared" si="53"/>
        <v>20130</v>
      </c>
    </row>
    <row r="3459" spans="1:11" hidden="1" x14ac:dyDescent="0.25">
      <c r="A3459">
        <v>3458</v>
      </c>
      <c r="B3459" s="1">
        <v>45756</v>
      </c>
      <c r="C3459" t="s">
        <v>14</v>
      </c>
      <c r="D3459" t="s">
        <v>55</v>
      </c>
      <c r="E3459" t="s">
        <v>13</v>
      </c>
      <c r="F3459">
        <v>3</v>
      </c>
      <c r="G3459" t="str">
        <f>VLOOKUP(D3459,Товары!A:I,3,0)</f>
        <v>Тумба с раковиной  напол. Рица 600 cерый/керамика 2 ящика с умыв. Океан</v>
      </c>
      <c r="H3459">
        <f>VLOOKUP(D3459,Товары!A:I,6,0)</f>
        <v>80</v>
      </c>
      <c r="I3459" t="str">
        <f>VLOOKUP(C3459,Магазины!A:C,3,0)</f>
        <v>Оренбург</v>
      </c>
      <c r="J3459">
        <f>VLOOKUP(D3459,Товары!A:I,4,0)</f>
        <v>25560</v>
      </c>
      <c r="K3459">
        <f t="shared" ref="K3459:K3522" si="54">J3459*F3459</f>
        <v>76680</v>
      </c>
    </row>
    <row r="3460" spans="1:11" hidden="1" x14ac:dyDescent="0.25">
      <c r="A3460">
        <v>3459</v>
      </c>
      <c r="B3460" s="1">
        <v>45754</v>
      </c>
      <c r="C3460" t="s">
        <v>6</v>
      </c>
      <c r="D3460" t="s">
        <v>45</v>
      </c>
      <c r="E3460" t="s">
        <v>8</v>
      </c>
      <c r="F3460">
        <v>1</v>
      </c>
      <c r="G3460" t="str">
        <f>VLOOKUP(D3460,Товары!A:I,3,0)</f>
        <v>Зеркальный шкаф Рица 80 со светильником правый цвет cерый/керамика</v>
      </c>
      <c r="H3460">
        <f>VLOOKUP(D3460,Товары!A:I,6,0)</f>
        <v>75</v>
      </c>
      <c r="I3460" t="str">
        <f>VLOOKUP(C3460,Магазины!A:C,3,0)</f>
        <v>Оренбург</v>
      </c>
      <c r="J3460">
        <f>VLOOKUP(D3460,Товары!A:I,4,0)</f>
        <v>9930</v>
      </c>
      <c r="K3460">
        <f t="shared" si="54"/>
        <v>9930</v>
      </c>
    </row>
    <row r="3461" spans="1:11" hidden="1" x14ac:dyDescent="0.25">
      <c r="A3461">
        <v>3460</v>
      </c>
      <c r="B3461" s="1">
        <v>45753</v>
      </c>
      <c r="C3461" t="s">
        <v>63</v>
      </c>
      <c r="D3461" t="s">
        <v>38</v>
      </c>
      <c r="E3461" t="s">
        <v>13</v>
      </c>
      <c r="F3461">
        <v>1</v>
      </c>
      <c r="G3461" t="str">
        <f>VLOOKUP(D3461,Товары!A:I,3,0)</f>
        <v>Тумба с раковиной  навес. Куба Риф 600 белый 2 ящика с умыв. Como</v>
      </c>
      <c r="H3461">
        <f>VLOOKUP(D3461,Товары!A:I,6,0)</f>
        <v>55</v>
      </c>
      <c r="I3461" t="str">
        <f>VLOOKUP(C3461,Магазины!A:C,3,0)</f>
        <v>Ставрополь</v>
      </c>
      <c r="J3461">
        <f>VLOOKUP(D3461,Товары!A:I,4,0)</f>
        <v>14265</v>
      </c>
      <c r="K3461">
        <f t="shared" si="54"/>
        <v>14265</v>
      </c>
    </row>
    <row r="3462" spans="1:11" hidden="1" x14ac:dyDescent="0.25">
      <c r="A3462">
        <v>3461</v>
      </c>
      <c r="B3462" s="1">
        <v>45750</v>
      </c>
      <c r="C3462" t="s">
        <v>9</v>
      </c>
      <c r="D3462" t="s">
        <v>75</v>
      </c>
      <c r="E3462" t="s">
        <v>13</v>
      </c>
      <c r="F3462">
        <v>1</v>
      </c>
      <c r="G3462" t="str">
        <f>VLOOKUP(D3462,Товары!A:I,3,0)</f>
        <v>Тумба с раковиной  напол. Альба 600 суфле 2 ящика с умыв. Океан</v>
      </c>
      <c r="H3462">
        <f>VLOOKUP(D3462,Товары!A:I,6,0)</f>
        <v>80</v>
      </c>
      <c r="I3462" t="str">
        <f>VLOOKUP(C3462,Магазины!A:C,3,0)</f>
        <v>Кемерово</v>
      </c>
      <c r="J3462">
        <f>VLOOKUP(D3462,Товары!A:I,4,0)</f>
        <v>26370</v>
      </c>
      <c r="K3462">
        <f t="shared" si="54"/>
        <v>26370</v>
      </c>
    </row>
    <row r="3463" spans="1:11" hidden="1" x14ac:dyDescent="0.25">
      <c r="A3463">
        <v>3462</v>
      </c>
      <c r="B3463" s="1">
        <v>45754</v>
      </c>
      <c r="C3463" t="s">
        <v>35</v>
      </c>
      <c r="D3463" t="s">
        <v>130</v>
      </c>
      <c r="E3463" t="s">
        <v>13</v>
      </c>
      <c r="F3463">
        <v>2</v>
      </c>
      <c r="G3463" t="str">
        <f>VLOOKUP(D3463,Товары!A:I,3,0)</f>
        <v>Пенал напол. Леон 400 форест 2 двери + 1 ящик</v>
      </c>
      <c r="H3463">
        <f>VLOOKUP(D3463,Товары!A:I,6,0)</f>
        <v>190</v>
      </c>
      <c r="I3463" t="str">
        <f>VLOOKUP(C3463,Магазины!A:C,3,0)</f>
        <v>Набережные Челны</v>
      </c>
      <c r="J3463">
        <f>VLOOKUP(D3463,Товары!A:I,4,0)</f>
        <v>18450</v>
      </c>
      <c r="K3463">
        <f t="shared" si="54"/>
        <v>36900</v>
      </c>
    </row>
    <row r="3464" spans="1:11" hidden="1" x14ac:dyDescent="0.25">
      <c r="A3464">
        <v>3463</v>
      </c>
      <c r="B3464" s="1">
        <v>45757</v>
      </c>
      <c r="C3464" t="s">
        <v>9</v>
      </c>
      <c r="D3464" t="s">
        <v>15</v>
      </c>
      <c r="E3464" t="s">
        <v>13</v>
      </c>
      <c r="F3464">
        <v>1</v>
      </c>
      <c r="G3464" t="str">
        <f>VLOOKUP(D3464,Товары!A:I,3,0)</f>
        <v>Зеркальный шкаф Кристалл 60 со светильником правый, ручка кнопка дуб цвет Шато Азур</v>
      </c>
      <c r="H3464">
        <f>VLOOKUP(D3464,Товары!A:I,6,0)</f>
        <v>75</v>
      </c>
      <c r="I3464" t="str">
        <f>VLOOKUP(C3464,Магазины!A:C,3,0)</f>
        <v>Кемерово</v>
      </c>
      <c r="J3464">
        <f>VLOOKUP(D3464,Товары!A:I,4,0)</f>
        <v>9195</v>
      </c>
      <c r="K3464">
        <f t="shared" si="54"/>
        <v>9195</v>
      </c>
    </row>
    <row r="3465" spans="1:11" hidden="1" x14ac:dyDescent="0.25">
      <c r="A3465">
        <v>3464</v>
      </c>
      <c r="B3465" s="1">
        <v>45757</v>
      </c>
      <c r="C3465" t="s">
        <v>57</v>
      </c>
      <c r="D3465" t="s">
        <v>88</v>
      </c>
      <c r="E3465" t="s">
        <v>8</v>
      </c>
      <c r="F3465">
        <v>1</v>
      </c>
      <c r="G3465" t="str">
        <f>VLOOKUP(D3465,Товары!A:I,3,0)</f>
        <v>Тумба с раковиной  навес. Альба 800 антрацит 2 ящика с умыв. Слим</v>
      </c>
      <c r="H3465">
        <f>VLOOKUP(D3465,Товары!A:I,6,0)</f>
        <v>50</v>
      </c>
      <c r="I3465" t="str">
        <f>VLOOKUP(C3465,Магазины!A:C,3,0)</f>
        <v>Оренбург</v>
      </c>
      <c r="J3465">
        <f>VLOOKUP(D3465,Товары!A:I,4,0)</f>
        <v>26070</v>
      </c>
      <c r="K3465">
        <f t="shared" si="54"/>
        <v>26070</v>
      </c>
    </row>
    <row r="3466" spans="1:11" hidden="1" x14ac:dyDescent="0.25">
      <c r="A3466">
        <v>3465</v>
      </c>
      <c r="B3466" s="1">
        <v>45748</v>
      </c>
      <c r="C3466" t="s">
        <v>63</v>
      </c>
      <c r="D3466" t="s">
        <v>95</v>
      </c>
      <c r="E3466" t="s">
        <v>13</v>
      </c>
      <c r="F3466">
        <v>3</v>
      </c>
      <c r="G3466" t="str">
        <f>VLOOKUP(D3466,Товары!A:I,3,0)</f>
        <v>Тумба с раковиной  напол. Рица 600 антрацит 2 ящика с умыв. Океан</v>
      </c>
      <c r="H3466">
        <f>VLOOKUP(D3466,Товары!A:I,6,0)</f>
        <v>80</v>
      </c>
      <c r="I3466" t="str">
        <f>VLOOKUP(C3466,Магазины!A:C,3,0)</f>
        <v>Ставрополь</v>
      </c>
      <c r="J3466">
        <f>VLOOKUP(D3466,Товары!A:I,4,0)</f>
        <v>25560</v>
      </c>
      <c r="K3466">
        <f t="shared" si="54"/>
        <v>76680</v>
      </c>
    </row>
    <row r="3467" spans="1:11" hidden="1" x14ac:dyDescent="0.25">
      <c r="A3467">
        <v>3466</v>
      </c>
      <c r="B3467" s="1">
        <v>45749</v>
      </c>
      <c r="C3467" t="s">
        <v>43</v>
      </c>
      <c r="D3467" t="s">
        <v>15</v>
      </c>
      <c r="E3467" t="s">
        <v>13</v>
      </c>
      <c r="F3467">
        <v>1</v>
      </c>
      <c r="G3467" t="str">
        <f>VLOOKUP(D3467,Товары!A:I,3,0)</f>
        <v>Зеркальный шкаф Кристалл 60 со светильником правый, ручка кнопка дуб цвет Шато Азур</v>
      </c>
      <c r="H3467">
        <f>VLOOKUP(D3467,Товары!A:I,6,0)</f>
        <v>75</v>
      </c>
      <c r="I3467" t="str">
        <f>VLOOKUP(C3467,Магазины!A:C,3,0)</f>
        <v>Набережные Челны</v>
      </c>
      <c r="J3467">
        <f>VLOOKUP(D3467,Товары!A:I,4,0)</f>
        <v>9195</v>
      </c>
      <c r="K3467">
        <f t="shared" si="54"/>
        <v>9195</v>
      </c>
    </row>
    <row r="3468" spans="1:11" hidden="1" x14ac:dyDescent="0.25">
      <c r="A3468">
        <v>3467</v>
      </c>
      <c r="B3468" s="1">
        <v>45752</v>
      </c>
      <c r="C3468" t="s">
        <v>63</v>
      </c>
      <c r="D3468" t="s">
        <v>107</v>
      </c>
      <c r="E3468" t="s">
        <v>13</v>
      </c>
      <c r="F3468">
        <v>3</v>
      </c>
      <c r="G3468" t="str">
        <f>VLOOKUP(D3468,Товары!A:I,3,0)</f>
        <v>Комод Аква 35 напольный 1 дверь белый правый</v>
      </c>
      <c r="H3468">
        <f>VLOOKUP(D3468,Товары!A:I,6,0)</f>
        <v>90</v>
      </c>
      <c r="I3468" t="str">
        <f>VLOOKUP(C3468,Магазины!A:C,3,0)</f>
        <v>Ставрополь</v>
      </c>
      <c r="J3468">
        <f>VLOOKUP(D3468,Товары!A:I,4,0)</f>
        <v>6705</v>
      </c>
      <c r="K3468">
        <f t="shared" si="54"/>
        <v>20115</v>
      </c>
    </row>
    <row r="3469" spans="1:11" hidden="1" x14ac:dyDescent="0.25">
      <c r="A3469">
        <v>3468</v>
      </c>
      <c r="B3469" s="1">
        <v>45757</v>
      </c>
      <c r="C3469" t="s">
        <v>16</v>
      </c>
      <c r="D3469" t="s">
        <v>19</v>
      </c>
      <c r="E3469" t="s">
        <v>13</v>
      </c>
      <c r="F3469">
        <v>1</v>
      </c>
      <c r="G3469" t="str">
        <f>VLOOKUP(D3469,Товары!A:I,3,0)</f>
        <v>Тумба с раковиной  навес. Леон 800 оникс 2 ящика с умыв. Слим</v>
      </c>
      <c r="H3469">
        <f>VLOOKUP(D3469,Товары!A:I,6,0)</f>
        <v>60</v>
      </c>
      <c r="I3469" t="str">
        <f>VLOOKUP(C3469,Магазины!A:C,3,0)</f>
        <v>Оренбург</v>
      </c>
      <c r="J3469">
        <f>VLOOKUP(D3469,Товары!A:I,4,0)</f>
        <v>27930</v>
      </c>
      <c r="K3469">
        <f t="shared" si="54"/>
        <v>27930</v>
      </c>
    </row>
    <row r="3470" spans="1:11" hidden="1" x14ac:dyDescent="0.25">
      <c r="A3470">
        <v>3469</v>
      </c>
      <c r="B3470" s="1">
        <v>45755</v>
      </c>
      <c r="C3470" t="s">
        <v>6</v>
      </c>
      <c r="D3470" t="s">
        <v>89</v>
      </c>
      <c r="E3470" t="s">
        <v>8</v>
      </c>
      <c r="F3470">
        <v>3</v>
      </c>
      <c r="G3470" t="str">
        <f>VLOOKUP(D3470,Товары!A:I,3,0)</f>
        <v>Тумба с раковиной  напол. Сохо 600 белый 2 двери с умыв. Океан</v>
      </c>
      <c r="H3470">
        <f>VLOOKUP(D3470,Товары!A:I,6,0)</f>
        <v>85</v>
      </c>
      <c r="I3470" t="str">
        <f>VLOOKUP(C3470,Магазины!A:C,3,0)</f>
        <v>Оренбург</v>
      </c>
      <c r="J3470">
        <f>VLOOKUP(D3470,Товары!A:I,4,0)</f>
        <v>14880</v>
      </c>
      <c r="K3470">
        <f t="shared" si="54"/>
        <v>44640</v>
      </c>
    </row>
    <row r="3471" spans="1:11" hidden="1" x14ac:dyDescent="0.25">
      <c r="A3471">
        <v>3470</v>
      </c>
      <c r="B3471" s="1">
        <v>45756</v>
      </c>
      <c r="C3471" t="s">
        <v>57</v>
      </c>
      <c r="D3471" t="s">
        <v>27</v>
      </c>
      <c r="E3471" t="s">
        <v>13</v>
      </c>
      <c r="F3471">
        <v>2</v>
      </c>
      <c r="G3471" t="str">
        <f>VLOOKUP(D3471,Товары!A:I,3,0)</f>
        <v>Тумба с раковиной  навес. Виктория 800 белый 2 ящика с умыв. Слим</v>
      </c>
      <c r="H3471">
        <f>VLOOKUP(D3471,Товары!A:I,6,0)</f>
        <v>60</v>
      </c>
      <c r="I3471" t="str">
        <f>VLOOKUP(C3471,Магазины!A:C,3,0)</f>
        <v>Оренбург</v>
      </c>
      <c r="J3471">
        <f>VLOOKUP(D3471,Товары!A:I,4,0)</f>
        <v>25290</v>
      </c>
      <c r="K3471">
        <f t="shared" si="54"/>
        <v>50580</v>
      </c>
    </row>
    <row r="3472" spans="1:11" hidden="1" x14ac:dyDescent="0.25">
      <c r="A3472">
        <v>3471</v>
      </c>
      <c r="B3472" s="1">
        <v>45755</v>
      </c>
      <c r="C3472" t="s">
        <v>20</v>
      </c>
      <c r="D3472" t="s">
        <v>59</v>
      </c>
      <c r="E3472" t="s">
        <v>8</v>
      </c>
      <c r="F3472">
        <v>2</v>
      </c>
      <c r="G3472" t="str">
        <f>VLOOKUP(D3472,Товары!A:I,3,0)</f>
        <v>Тумба с раковиной  навес. Куба Риф 600 белый 2 ящика с умыв. Океан</v>
      </c>
      <c r="H3472">
        <f>VLOOKUP(D3472,Товары!A:I,6,0)</f>
        <v>55</v>
      </c>
      <c r="I3472" t="str">
        <f>VLOOKUP(C3472,Магазины!A:C,3,0)</f>
        <v>Оренбург</v>
      </c>
      <c r="J3472">
        <f>VLOOKUP(D3472,Товары!A:I,4,0)</f>
        <v>15765</v>
      </c>
      <c r="K3472">
        <f t="shared" si="54"/>
        <v>31530</v>
      </c>
    </row>
    <row r="3473" spans="1:11" hidden="1" x14ac:dyDescent="0.25">
      <c r="A3473">
        <v>3472</v>
      </c>
      <c r="B3473" s="1">
        <v>45753</v>
      </c>
      <c r="C3473" t="s">
        <v>63</v>
      </c>
      <c r="D3473" t="s">
        <v>112</v>
      </c>
      <c r="E3473" t="s">
        <v>13</v>
      </c>
      <c r="F3473">
        <v>3</v>
      </c>
      <c r="G3473" t="str">
        <f>VLOOKUP(D3473,Товары!A:I,3,0)</f>
        <v>Тумба с раковиной  напол. Аква 560 белый 2 двери с умыв. Уют</v>
      </c>
      <c r="H3473">
        <f>VLOOKUP(D3473,Товары!A:I,6,0)</f>
        <v>85</v>
      </c>
      <c r="I3473" t="str">
        <f>VLOOKUP(C3473,Магазины!A:C,3,0)</f>
        <v>Ставрополь</v>
      </c>
      <c r="J3473">
        <f>VLOOKUP(D3473,Товары!A:I,4,0)</f>
        <v>9330</v>
      </c>
      <c r="K3473">
        <f t="shared" si="54"/>
        <v>27990</v>
      </c>
    </row>
    <row r="3474" spans="1:11" hidden="1" x14ac:dyDescent="0.25">
      <c r="A3474">
        <v>3473</v>
      </c>
      <c r="B3474" s="1">
        <v>45750</v>
      </c>
      <c r="C3474" t="s">
        <v>30</v>
      </c>
      <c r="D3474" t="s">
        <v>89</v>
      </c>
      <c r="E3474" t="s">
        <v>8</v>
      </c>
      <c r="F3474">
        <v>3</v>
      </c>
      <c r="G3474" t="str">
        <f>VLOOKUP(D3474,Товары!A:I,3,0)</f>
        <v>Тумба с раковиной  напол. Сохо 600 белый 2 двери с умыв. Океан</v>
      </c>
      <c r="H3474">
        <f>VLOOKUP(D3474,Товары!A:I,6,0)</f>
        <v>85</v>
      </c>
      <c r="I3474" t="str">
        <f>VLOOKUP(C3474,Магазины!A:C,3,0)</f>
        <v>Кемерово</v>
      </c>
      <c r="J3474">
        <f>VLOOKUP(D3474,Товары!A:I,4,0)</f>
        <v>14880</v>
      </c>
      <c r="K3474">
        <f t="shared" si="54"/>
        <v>44640</v>
      </c>
    </row>
    <row r="3475" spans="1:11" hidden="1" x14ac:dyDescent="0.25">
      <c r="A3475">
        <v>3474</v>
      </c>
      <c r="B3475" s="1">
        <v>45756</v>
      </c>
      <c r="C3475" t="s">
        <v>28</v>
      </c>
      <c r="D3475" t="s">
        <v>110</v>
      </c>
      <c r="E3475" t="s">
        <v>8</v>
      </c>
      <c r="F3475">
        <v>3</v>
      </c>
      <c r="G3475" t="str">
        <f>VLOOKUP(D3475,Товары!A:I,3,0)</f>
        <v>Тумба с раковиной  напол. Альба 600 антрацит 2 ящика с умыв. Океан</v>
      </c>
      <c r="H3475">
        <f>VLOOKUP(D3475,Товары!A:I,6,0)</f>
        <v>80</v>
      </c>
      <c r="I3475" t="str">
        <f>VLOOKUP(C3475,Магазины!A:C,3,0)</f>
        <v>Набережные Челны</v>
      </c>
      <c r="J3475">
        <f>VLOOKUP(D3475,Товары!A:I,4,0)</f>
        <v>26370</v>
      </c>
      <c r="K3475">
        <f t="shared" si="54"/>
        <v>79110</v>
      </c>
    </row>
    <row r="3476" spans="1:11" hidden="1" x14ac:dyDescent="0.25">
      <c r="A3476">
        <v>3475</v>
      </c>
      <c r="B3476" s="1">
        <v>45749</v>
      </c>
      <c r="C3476" t="s">
        <v>14</v>
      </c>
      <c r="D3476" t="s">
        <v>90</v>
      </c>
      <c r="E3476" t="s">
        <v>13</v>
      </c>
      <c r="F3476">
        <v>1</v>
      </c>
      <c r="G3476" t="str">
        <f>VLOOKUP(D3476,Товары!A:I,3,0)</f>
        <v>Пенал напол. Аква 350 белый 2 двери + 2 ящика</v>
      </c>
      <c r="H3476">
        <f>VLOOKUP(D3476,Товары!A:I,6,0)</f>
        <v>190</v>
      </c>
      <c r="I3476" t="str">
        <f>VLOOKUP(C3476,Магазины!A:C,3,0)</f>
        <v>Оренбург</v>
      </c>
      <c r="J3476">
        <f>VLOOKUP(D3476,Товары!A:I,4,0)</f>
        <v>10650</v>
      </c>
      <c r="K3476">
        <f t="shared" si="54"/>
        <v>10650</v>
      </c>
    </row>
    <row r="3477" spans="1:11" hidden="1" x14ac:dyDescent="0.25">
      <c r="A3477">
        <v>3476</v>
      </c>
      <c r="B3477" s="1">
        <v>45754</v>
      </c>
      <c r="C3477" t="s">
        <v>63</v>
      </c>
      <c r="D3477" t="s">
        <v>119</v>
      </c>
      <c r="E3477" t="s">
        <v>13</v>
      </c>
      <c r="F3477">
        <v>3</v>
      </c>
      <c r="G3477" t="str">
        <f>VLOOKUP(D3477,Товары!A:I,3,0)</f>
        <v>Пенал навес./напол. Рица 350 cерый/керамика 2 двери</v>
      </c>
      <c r="H3477">
        <f>VLOOKUP(D3477,Товары!A:I,6,0)</f>
        <v>160</v>
      </c>
      <c r="I3477" t="str">
        <f>VLOOKUP(C3477,Магазины!A:C,3,0)</f>
        <v>Ставрополь</v>
      </c>
      <c r="J3477">
        <f>VLOOKUP(D3477,Товары!A:I,4,0)</f>
        <v>11250</v>
      </c>
      <c r="K3477">
        <f t="shared" si="54"/>
        <v>33750</v>
      </c>
    </row>
    <row r="3478" spans="1:11" hidden="1" x14ac:dyDescent="0.25">
      <c r="A3478">
        <v>3477</v>
      </c>
      <c r="B3478" s="1">
        <v>45752</v>
      </c>
      <c r="C3478" t="s">
        <v>111</v>
      </c>
      <c r="D3478" t="s">
        <v>45</v>
      </c>
      <c r="E3478" t="s">
        <v>8</v>
      </c>
      <c r="F3478">
        <v>1</v>
      </c>
      <c r="G3478" t="str">
        <f>VLOOKUP(D3478,Товары!A:I,3,0)</f>
        <v>Зеркальный шкаф Рица 80 со светильником правый цвет cерый/керамика</v>
      </c>
      <c r="H3478">
        <f>VLOOKUP(D3478,Товары!A:I,6,0)</f>
        <v>75</v>
      </c>
      <c r="I3478" t="str">
        <f>VLOOKUP(C3478,Магазины!A:C,3,0)</f>
        <v>Набережные Челны</v>
      </c>
      <c r="J3478">
        <f>VLOOKUP(D3478,Товары!A:I,4,0)</f>
        <v>9930</v>
      </c>
      <c r="K3478">
        <f t="shared" si="54"/>
        <v>9930</v>
      </c>
    </row>
    <row r="3479" spans="1:11" hidden="1" x14ac:dyDescent="0.25">
      <c r="A3479">
        <v>3478</v>
      </c>
      <c r="B3479" s="1">
        <v>45749</v>
      </c>
      <c r="C3479" t="s">
        <v>33</v>
      </c>
      <c r="D3479" t="s">
        <v>97</v>
      </c>
      <c r="E3479" t="s">
        <v>13</v>
      </c>
      <c r="F3479">
        <v>2</v>
      </c>
      <c r="G3479" t="str">
        <f>VLOOKUP(D3479,Товары!A:I,3,0)</f>
        <v>Пенал напол. Кристалл 350 суфле 2 двери</v>
      </c>
      <c r="H3479">
        <f>VLOOKUP(D3479,Товары!A:I,6,0)</f>
        <v>190</v>
      </c>
      <c r="I3479" t="str">
        <f>VLOOKUP(C3479,Магазины!A:C,3,0)</f>
        <v>Набережные Челны</v>
      </c>
      <c r="J3479">
        <f>VLOOKUP(D3479,Товары!A:I,4,0)</f>
        <v>15810</v>
      </c>
      <c r="K3479">
        <f t="shared" si="54"/>
        <v>31620</v>
      </c>
    </row>
    <row r="3480" spans="1:11" hidden="1" x14ac:dyDescent="0.25">
      <c r="A3480">
        <v>3479</v>
      </c>
      <c r="B3480" s="1">
        <v>45749</v>
      </c>
      <c r="C3480" t="s">
        <v>22</v>
      </c>
      <c r="D3480" t="s">
        <v>129</v>
      </c>
      <c r="E3480" t="s">
        <v>8</v>
      </c>
      <c r="F3480">
        <v>1</v>
      </c>
      <c r="G3480" t="str">
        <f>VLOOKUP(D3480,Товары!A:I,3,0)</f>
        <v>Тумба с раковиной  напол. Альба 700 антрацит 2 ящика с умыв. Слим</v>
      </c>
      <c r="H3480">
        <f>VLOOKUP(D3480,Товары!A:I,6,0)</f>
        <v>85</v>
      </c>
      <c r="I3480" t="str">
        <f>VLOOKUP(C3480,Магазины!A:C,3,0)</f>
        <v>Кемерово</v>
      </c>
      <c r="J3480">
        <f>VLOOKUP(D3480,Товары!A:I,4,0)</f>
        <v>28695</v>
      </c>
      <c r="K3480">
        <f t="shared" si="54"/>
        <v>28695</v>
      </c>
    </row>
    <row r="3481" spans="1:11" hidden="1" x14ac:dyDescent="0.25">
      <c r="A3481">
        <v>3480</v>
      </c>
      <c r="B3481" s="1">
        <v>45756</v>
      </c>
      <c r="C3481" t="s">
        <v>16</v>
      </c>
      <c r="D3481" t="s">
        <v>36</v>
      </c>
      <c r="E3481" t="s">
        <v>8</v>
      </c>
      <c r="F3481">
        <v>2</v>
      </c>
      <c r="G3481" t="str">
        <f>VLOOKUP(D3481,Товары!A:I,3,0)</f>
        <v>Тумба с раковиной  напол. Альба 800 мята 2 ящика с умыв. Слим</v>
      </c>
      <c r="H3481">
        <f>VLOOKUP(D3481,Товары!A:I,6,0)</f>
        <v>80</v>
      </c>
      <c r="I3481" t="str">
        <f>VLOOKUP(C3481,Магазины!A:C,3,0)</f>
        <v>Оренбург</v>
      </c>
      <c r="J3481">
        <f>VLOOKUP(D3481,Товары!A:I,4,0)</f>
        <v>29340</v>
      </c>
      <c r="K3481">
        <f t="shared" si="54"/>
        <v>58680</v>
      </c>
    </row>
    <row r="3482" spans="1:11" hidden="1" x14ac:dyDescent="0.25">
      <c r="A3482">
        <v>3481</v>
      </c>
      <c r="B3482" s="1">
        <v>45756</v>
      </c>
      <c r="C3482" t="s">
        <v>26</v>
      </c>
      <c r="D3482" t="s">
        <v>124</v>
      </c>
      <c r="E3482" t="s">
        <v>8</v>
      </c>
      <c r="F3482">
        <v>2</v>
      </c>
      <c r="G3482" t="str">
        <f>VLOOKUP(D3482,Товары!A:I,3,0)</f>
        <v>Тумба с раковиной  напол. Леон 600 оникс 2 ящика с умыв. Океан</v>
      </c>
      <c r="H3482">
        <f>VLOOKUP(D3482,Товары!A:I,6,0)</f>
        <v>80</v>
      </c>
      <c r="I3482" t="str">
        <f>VLOOKUP(C3482,Магазины!A:C,3,0)</f>
        <v>Оренбург</v>
      </c>
      <c r="J3482">
        <f>VLOOKUP(D3482,Товары!A:I,4,0)</f>
        <v>25860</v>
      </c>
      <c r="K3482">
        <f t="shared" si="54"/>
        <v>51720</v>
      </c>
    </row>
    <row r="3483" spans="1:11" hidden="1" x14ac:dyDescent="0.25">
      <c r="A3483">
        <v>3482</v>
      </c>
      <c r="B3483" s="1">
        <v>45756</v>
      </c>
      <c r="C3483" t="s">
        <v>58</v>
      </c>
      <c r="D3483" t="s">
        <v>97</v>
      </c>
      <c r="E3483" t="s">
        <v>13</v>
      </c>
      <c r="F3483">
        <v>3</v>
      </c>
      <c r="G3483" t="str">
        <f>VLOOKUP(D3483,Товары!A:I,3,0)</f>
        <v>Пенал напол. Кристалл 350 суфле 2 двери</v>
      </c>
      <c r="H3483">
        <f>VLOOKUP(D3483,Товары!A:I,6,0)</f>
        <v>190</v>
      </c>
      <c r="I3483" t="str">
        <f>VLOOKUP(C3483,Магазины!A:C,3,0)</f>
        <v>Ставрополь</v>
      </c>
      <c r="J3483">
        <f>VLOOKUP(D3483,Товары!A:I,4,0)</f>
        <v>15810</v>
      </c>
      <c r="K3483">
        <f t="shared" si="54"/>
        <v>47430</v>
      </c>
    </row>
    <row r="3484" spans="1:11" hidden="1" x14ac:dyDescent="0.25">
      <c r="A3484">
        <v>3483</v>
      </c>
      <c r="B3484" s="1">
        <v>45749</v>
      </c>
      <c r="C3484" t="s">
        <v>43</v>
      </c>
      <c r="D3484" t="s">
        <v>55</v>
      </c>
      <c r="E3484" t="s">
        <v>13</v>
      </c>
      <c r="F3484">
        <v>2</v>
      </c>
      <c r="G3484" t="str">
        <f>VLOOKUP(D3484,Товары!A:I,3,0)</f>
        <v>Тумба с раковиной  напол. Рица 600 cерый/керамика 2 ящика с умыв. Океан</v>
      </c>
      <c r="H3484">
        <f>VLOOKUP(D3484,Товары!A:I,6,0)</f>
        <v>80</v>
      </c>
      <c r="I3484" t="str">
        <f>VLOOKUP(C3484,Магазины!A:C,3,0)</f>
        <v>Набережные Челны</v>
      </c>
      <c r="J3484">
        <f>VLOOKUP(D3484,Товары!A:I,4,0)</f>
        <v>25560</v>
      </c>
      <c r="K3484">
        <f t="shared" si="54"/>
        <v>51120</v>
      </c>
    </row>
    <row r="3485" spans="1:11" hidden="1" x14ac:dyDescent="0.25">
      <c r="A3485">
        <v>3484</v>
      </c>
      <c r="B3485" s="1">
        <v>45752</v>
      </c>
      <c r="C3485" t="s">
        <v>58</v>
      </c>
      <c r="D3485" t="s">
        <v>104</v>
      </c>
      <c r="E3485" t="s">
        <v>8</v>
      </c>
      <c r="F3485">
        <v>2</v>
      </c>
      <c r="G3485" t="str">
        <f>VLOOKUP(D3485,Товары!A:I,3,0)</f>
        <v>Тумба под стиральную машину Куба Риф 57 подвесная 2 ящика под ст/маш, без умывальника /под Marshall 120 Белый</v>
      </c>
      <c r="H3485">
        <f>VLOOKUP(D3485,Товары!A:I,6,0)</f>
        <v>50</v>
      </c>
      <c r="I3485" t="str">
        <f>VLOOKUP(C3485,Магазины!A:C,3,0)</f>
        <v>Ставрополь</v>
      </c>
      <c r="J3485">
        <f>VLOOKUP(D3485,Товары!A:I,4,0)</f>
        <v>8505</v>
      </c>
      <c r="K3485">
        <f t="shared" si="54"/>
        <v>17010</v>
      </c>
    </row>
    <row r="3486" spans="1:11" hidden="1" x14ac:dyDescent="0.25">
      <c r="A3486">
        <v>3485</v>
      </c>
      <c r="B3486" s="1">
        <v>45753</v>
      </c>
      <c r="C3486" t="s">
        <v>41</v>
      </c>
      <c r="D3486" t="s">
        <v>98</v>
      </c>
      <c r="E3486" t="s">
        <v>8</v>
      </c>
      <c r="F3486">
        <v>1</v>
      </c>
      <c r="G3486" t="str">
        <f>VLOOKUP(D3486,Товары!A:I,3,0)</f>
        <v>Тумба с раковиной  напол. Рица 800 cерый/керамика 2 ящика с умыв. Слим</v>
      </c>
      <c r="H3486">
        <f>VLOOKUP(D3486,Товары!A:I,6,0)</f>
        <v>80</v>
      </c>
      <c r="I3486" t="str">
        <f>VLOOKUP(C3486,Магазины!A:C,3,0)</f>
        <v>Ставрополь</v>
      </c>
      <c r="J3486">
        <f>VLOOKUP(D3486,Товары!A:I,4,0)</f>
        <v>28980</v>
      </c>
      <c r="K3486">
        <f t="shared" si="54"/>
        <v>28980</v>
      </c>
    </row>
    <row r="3487" spans="1:11" hidden="1" x14ac:dyDescent="0.25">
      <c r="A3487">
        <v>3486</v>
      </c>
      <c r="B3487" s="1">
        <v>45756</v>
      </c>
      <c r="C3487" t="s">
        <v>9</v>
      </c>
      <c r="D3487" t="s">
        <v>29</v>
      </c>
      <c r="E3487" t="s">
        <v>13</v>
      </c>
      <c r="F3487">
        <v>1</v>
      </c>
      <c r="G3487" t="str">
        <f>VLOOKUP(D3487,Товары!A:I,3,0)</f>
        <v>Тумба с раковиной  напол. Леон Риф 600 солярис/белый риф 2 ящика с умыв. Океан</v>
      </c>
      <c r="H3487">
        <f>VLOOKUP(D3487,Товары!A:I,6,0)</f>
        <v>80</v>
      </c>
      <c r="I3487" t="str">
        <f>VLOOKUP(C3487,Магазины!A:C,3,0)</f>
        <v>Кемерово</v>
      </c>
      <c r="J3487">
        <f>VLOOKUP(D3487,Товары!A:I,4,0)</f>
        <v>24150</v>
      </c>
      <c r="K3487">
        <f t="shared" si="54"/>
        <v>24150</v>
      </c>
    </row>
    <row r="3488" spans="1:11" hidden="1" x14ac:dyDescent="0.25">
      <c r="A3488">
        <v>3487</v>
      </c>
      <c r="B3488" s="1">
        <v>45756</v>
      </c>
      <c r="C3488" t="s">
        <v>30</v>
      </c>
      <c r="D3488" t="s">
        <v>110</v>
      </c>
      <c r="E3488" t="s">
        <v>8</v>
      </c>
      <c r="F3488">
        <v>2</v>
      </c>
      <c r="G3488" t="str">
        <f>VLOOKUP(D3488,Товары!A:I,3,0)</f>
        <v>Тумба с раковиной  напол. Альба 600 антрацит 2 ящика с умыв. Океан</v>
      </c>
      <c r="H3488">
        <f>VLOOKUP(D3488,Товары!A:I,6,0)</f>
        <v>80</v>
      </c>
      <c r="I3488" t="str">
        <f>VLOOKUP(C3488,Магазины!A:C,3,0)</f>
        <v>Кемерово</v>
      </c>
      <c r="J3488">
        <f>VLOOKUP(D3488,Товары!A:I,4,0)</f>
        <v>26370</v>
      </c>
      <c r="K3488">
        <f t="shared" si="54"/>
        <v>52740</v>
      </c>
    </row>
    <row r="3489" spans="1:11" hidden="1" x14ac:dyDescent="0.25">
      <c r="A3489">
        <v>3488</v>
      </c>
      <c r="B3489" s="1">
        <v>45755</v>
      </c>
      <c r="C3489" t="s">
        <v>43</v>
      </c>
      <c r="D3489" t="s">
        <v>77</v>
      </c>
      <c r="E3489" t="s">
        <v>13</v>
      </c>
      <c r="F3489">
        <v>3</v>
      </c>
      <c r="G3489" t="str">
        <f>VLOOKUP(D3489,Товары!A:I,3,0)</f>
        <v>Тумба с раковиной  напол. Куба Риф 600 белый 2 ящика с умыв. Como</v>
      </c>
      <c r="H3489">
        <f>VLOOKUP(D3489,Товары!A:I,6,0)</f>
        <v>85</v>
      </c>
      <c r="I3489" t="str">
        <f>VLOOKUP(C3489,Магазины!A:C,3,0)</f>
        <v>Набережные Челны</v>
      </c>
      <c r="J3489">
        <f>VLOOKUP(D3489,Товары!A:I,4,0)</f>
        <v>15660</v>
      </c>
      <c r="K3489">
        <f t="shared" si="54"/>
        <v>46980</v>
      </c>
    </row>
    <row r="3490" spans="1:11" hidden="1" x14ac:dyDescent="0.25">
      <c r="A3490">
        <v>3489</v>
      </c>
      <c r="B3490" s="1">
        <v>45753</v>
      </c>
      <c r="C3490" t="s">
        <v>48</v>
      </c>
      <c r="D3490" t="s">
        <v>118</v>
      </c>
      <c r="E3490" t="s">
        <v>8</v>
      </c>
      <c r="F3490">
        <v>3</v>
      </c>
      <c r="G3490" t="str">
        <f>VLOOKUP(D3490,Товары!A:I,3,0)</f>
        <v>Тумба с раковиной  напол. Сохо 800 белый 2 ящика с умыв. Слим</v>
      </c>
      <c r="H3490">
        <f>VLOOKUP(D3490,Товары!A:I,6,0)</f>
        <v>85</v>
      </c>
      <c r="I3490" t="str">
        <f>VLOOKUP(C3490,Магазины!A:C,3,0)</f>
        <v>Ставрополь</v>
      </c>
      <c r="J3490">
        <f>VLOOKUP(D3490,Товары!A:I,4,0)</f>
        <v>19575</v>
      </c>
      <c r="K3490">
        <f t="shared" si="54"/>
        <v>58725</v>
      </c>
    </row>
    <row r="3491" spans="1:11" hidden="1" x14ac:dyDescent="0.25">
      <c r="A3491">
        <v>3490</v>
      </c>
      <c r="B3491" s="1">
        <v>45748</v>
      </c>
      <c r="C3491" t="s">
        <v>35</v>
      </c>
      <c r="D3491" t="s">
        <v>70</v>
      </c>
      <c r="E3491" t="s">
        <v>13</v>
      </c>
      <c r="F3491">
        <v>2</v>
      </c>
      <c r="G3491" t="str">
        <f>VLOOKUP(D3491,Товары!A:I,3,0)</f>
        <v>Тумба с раковиной  напол. Кристалл 700 шато азур 2 ящика с умыв. Слим</v>
      </c>
      <c r="H3491">
        <f>VLOOKUP(D3491,Товары!A:I,6,0)</f>
        <v>85</v>
      </c>
      <c r="I3491" t="str">
        <f>VLOOKUP(C3491,Магазины!A:C,3,0)</f>
        <v>Набережные Челны</v>
      </c>
      <c r="J3491">
        <f>VLOOKUP(D3491,Товары!A:I,4,0)</f>
        <v>29910</v>
      </c>
      <c r="K3491">
        <f t="shared" si="54"/>
        <v>59820</v>
      </c>
    </row>
    <row r="3492" spans="1:11" hidden="1" x14ac:dyDescent="0.25">
      <c r="A3492">
        <v>3491</v>
      </c>
      <c r="B3492" s="1">
        <v>45750</v>
      </c>
      <c r="C3492" t="s">
        <v>33</v>
      </c>
      <c r="D3492" t="s">
        <v>104</v>
      </c>
      <c r="E3492" t="s">
        <v>13</v>
      </c>
      <c r="F3492">
        <v>2</v>
      </c>
      <c r="G3492" t="str">
        <f>VLOOKUP(D3492,Товары!A:I,3,0)</f>
        <v>Тумба под стиральную машину Куба Риф 57 подвесная 2 ящика под ст/маш, без умывальника /под Marshall 120 Белый</v>
      </c>
      <c r="H3492">
        <f>VLOOKUP(D3492,Товары!A:I,6,0)</f>
        <v>50</v>
      </c>
      <c r="I3492" t="str">
        <f>VLOOKUP(C3492,Магазины!A:C,3,0)</f>
        <v>Набережные Челны</v>
      </c>
      <c r="J3492">
        <f>VLOOKUP(D3492,Товары!A:I,4,0)</f>
        <v>8505</v>
      </c>
      <c r="K3492">
        <f t="shared" si="54"/>
        <v>17010</v>
      </c>
    </row>
    <row r="3493" spans="1:11" hidden="1" x14ac:dyDescent="0.25">
      <c r="A3493">
        <v>3492</v>
      </c>
      <c r="B3493" s="1">
        <v>45749</v>
      </c>
      <c r="C3493" t="s">
        <v>9</v>
      </c>
      <c r="D3493" t="s">
        <v>21</v>
      </c>
      <c r="E3493" t="s">
        <v>8</v>
      </c>
      <c r="F3493">
        <v>1</v>
      </c>
      <c r="G3493" t="str">
        <f>VLOOKUP(D3493,Товары!A:I,3,0)</f>
        <v>Зеркальный шкаф Рица 60 со светильником правый цвет cерый/керамика</v>
      </c>
      <c r="H3493">
        <f>VLOOKUP(D3493,Товары!A:I,6,0)</f>
        <v>75</v>
      </c>
      <c r="I3493" t="str">
        <f>VLOOKUP(C3493,Магазины!A:C,3,0)</f>
        <v>Кемерово</v>
      </c>
      <c r="J3493">
        <f>VLOOKUP(D3493,Товары!A:I,4,0)</f>
        <v>8910</v>
      </c>
      <c r="K3493">
        <f t="shared" si="54"/>
        <v>8910</v>
      </c>
    </row>
    <row r="3494" spans="1:11" hidden="1" x14ac:dyDescent="0.25">
      <c r="A3494">
        <v>3493</v>
      </c>
      <c r="B3494" s="1">
        <v>45755</v>
      </c>
      <c r="C3494" t="s">
        <v>35</v>
      </c>
      <c r="D3494" t="s">
        <v>106</v>
      </c>
      <c r="E3494" t="s">
        <v>8</v>
      </c>
      <c r="F3494">
        <v>3</v>
      </c>
      <c r="G3494" t="str">
        <f>VLOOKUP(D3494,Товары!A:I,3,0)</f>
        <v>Тумба с раковиной  навес. Кристалл 700 шато азур 2 ящика с умыв. Слим</v>
      </c>
      <c r="H3494">
        <f>VLOOKUP(D3494,Товары!A:I,6,0)</f>
        <v>60</v>
      </c>
      <c r="I3494" t="str">
        <f>VLOOKUP(C3494,Магазины!A:C,3,0)</f>
        <v>Набережные Челны</v>
      </c>
      <c r="J3494">
        <f>VLOOKUP(D3494,Товары!A:I,4,0)</f>
        <v>24150</v>
      </c>
      <c r="K3494">
        <f t="shared" si="54"/>
        <v>72450</v>
      </c>
    </row>
    <row r="3495" spans="1:11" hidden="1" x14ac:dyDescent="0.25">
      <c r="A3495">
        <v>3494</v>
      </c>
      <c r="B3495" s="1">
        <v>45756</v>
      </c>
      <c r="C3495" t="s">
        <v>41</v>
      </c>
      <c r="D3495" t="s">
        <v>108</v>
      </c>
      <c r="E3495" t="s">
        <v>13</v>
      </c>
      <c r="F3495">
        <v>1</v>
      </c>
      <c r="G3495" t="str">
        <f>VLOOKUP(D3495,Товары!A:I,3,0)</f>
        <v>Тумба с раковиной  навес. Виктория 1000 белый 2 ящика с умыв. Слим</v>
      </c>
      <c r="H3495">
        <f>VLOOKUP(D3495,Товары!A:I,6,0)</f>
        <v>60</v>
      </c>
      <c r="I3495" t="str">
        <f>VLOOKUP(C3495,Магазины!A:C,3,0)</f>
        <v>Ставрополь</v>
      </c>
      <c r="J3495">
        <f>VLOOKUP(D3495,Товары!A:I,4,0)</f>
        <v>29205</v>
      </c>
      <c r="K3495">
        <f t="shared" si="54"/>
        <v>29205</v>
      </c>
    </row>
    <row r="3496" spans="1:11" hidden="1" x14ac:dyDescent="0.25">
      <c r="A3496">
        <v>3495</v>
      </c>
      <c r="B3496" s="1">
        <v>45755</v>
      </c>
      <c r="C3496" t="s">
        <v>16</v>
      </c>
      <c r="D3496" t="s">
        <v>69</v>
      </c>
      <c r="E3496" t="s">
        <v>13</v>
      </c>
      <c r="F3496">
        <v>3</v>
      </c>
      <c r="G3496" t="str">
        <f>VLOOKUP(D3496,Товары!A:I,3,0)</f>
        <v>Пенал навес./напол. Альба 350 антрацит 2 двери</v>
      </c>
      <c r="H3496">
        <f>VLOOKUP(D3496,Товары!A:I,6,0)</f>
        <v>150</v>
      </c>
      <c r="I3496" t="str">
        <f>VLOOKUP(C3496,Магазины!A:C,3,0)</f>
        <v>Оренбург</v>
      </c>
      <c r="J3496">
        <f>VLOOKUP(D3496,Товары!A:I,4,0)</f>
        <v>11655</v>
      </c>
      <c r="K3496">
        <f t="shared" si="54"/>
        <v>34965</v>
      </c>
    </row>
    <row r="3497" spans="1:11" hidden="1" x14ac:dyDescent="0.25">
      <c r="A3497">
        <v>3496</v>
      </c>
      <c r="B3497" s="1">
        <v>45756</v>
      </c>
      <c r="C3497" t="s">
        <v>103</v>
      </c>
      <c r="D3497" t="s">
        <v>71</v>
      </c>
      <c r="E3497" t="s">
        <v>8</v>
      </c>
      <c r="F3497">
        <v>3</v>
      </c>
      <c r="G3497" t="str">
        <f>VLOOKUP(D3497,Товары!A:I,3,0)</f>
        <v>Тумба с раковиной  навес. Альба 600 мята 2 ящика с умыв. Океан</v>
      </c>
      <c r="H3497">
        <f>VLOOKUP(D3497,Товары!A:I,6,0)</f>
        <v>50</v>
      </c>
      <c r="I3497" t="str">
        <f>VLOOKUP(C3497,Магазины!A:C,3,0)</f>
        <v>Ставрополь</v>
      </c>
      <c r="J3497">
        <f>VLOOKUP(D3497,Товары!A:I,4,0)</f>
        <v>24810</v>
      </c>
      <c r="K3497">
        <f t="shared" si="54"/>
        <v>74430</v>
      </c>
    </row>
    <row r="3498" spans="1:11" hidden="1" x14ac:dyDescent="0.25">
      <c r="A3498">
        <v>3497</v>
      </c>
      <c r="B3498" s="1">
        <v>45754</v>
      </c>
      <c r="C3498" t="s">
        <v>35</v>
      </c>
      <c r="D3498" t="s">
        <v>86</v>
      </c>
      <c r="E3498" t="s">
        <v>13</v>
      </c>
      <c r="F3498">
        <v>2</v>
      </c>
      <c r="G3498" t="str">
        <f>VLOOKUP(D3498,Товары!A:I,3,0)</f>
        <v>Комод Аква 50 напольный 1 ящик 2 двери белый</v>
      </c>
      <c r="H3498">
        <f>VLOOKUP(D3498,Товары!A:I,6,0)</f>
        <v>90</v>
      </c>
      <c r="I3498" t="str">
        <f>VLOOKUP(C3498,Магазины!A:C,3,0)</f>
        <v>Набережные Челны</v>
      </c>
      <c r="J3498">
        <f>VLOOKUP(D3498,Товары!A:I,4,0)</f>
        <v>7260</v>
      </c>
      <c r="K3498">
        <f t="shared" si="54"/>
        <v>14520</v>
      </c>
    </row>
    <row r="3499" spans="1:11" hidden="1" x14ac:dyDescent="0.25">
      <c r="A3499">
        <v>3498</v>
      </c>
      <c r="B3499" s="1">
        <v>45754</v>
      </c>
      <c r="C3499" t="s">
        <v>9</v>
      </c>
      <c r="D3499" t="s">
        <v>116</v>
      </c>
      <c r="E3499" t="s">
        <v>13</v>
      </c>
      <c r="F3499">
        <v>1</v>
      </c>
      <c r="G3499" t="str">
        <f>VLOOKUP(D3499,Товары!A:I,3,0)</f>
        <v>Зеркало Нева 60 дуб/белый со светильником</v>
      </c>
      <c r="H3499">
        <f>VLOOKUP(D3499,Товары!A:I,6,0)</f>
        <v>80</v>
      </c>
      <c r="I3499" t="str">
        <f>VLOOKUP(C3499,Магазины!A:C,3,0)</f>
        <v>Кемерово</v>
      </c>
      <c r="J3499">
        <f>VLOOKUP(D3499,Товары!A:I,4,0)</f>
        <v>5100</v>
      </c>
      <c r="K3499">
        <f t="shared" si="54"/>
        <v>5100</v>
      </c>
    </row>
    <row r="3500" spans="1:11" hidden="1" x14ac:dyDescent="0.25">
      <c r="A3500">
        <v>3499</v>
      </c>
      <c r="B3500" s="1">
        <v>45748</v>
      </c>
      <c r="C3500" t="s">
        <v>48</v>
      </c>
      <c r="D3500" t="s">
        <v>23</v>
      </c>
      <c r="E3500" t="s">
        <v>13</v>
      </c>
      <c r="F3500">
        <v>2</v>
      </c>
      <c r="G3500" t="str">
        <f>VLOOKUP(D3500,Товары!A:I,3,0)</f>
        <v>Тумба с раковиной  напол. Альба 800 антрацит 2 ящика с умыв. Слим</v>
      </c>
      <c r="H3500">
        <f>VLOOKUP(D3500,Товары!A:I,6,0)</f>
        <v>80</v>
      </c>
      <c r="I3500" t="str">
        <f>VLOOKUP(C3500,Магазины!A:C,3,0)</f>
        <v>Ставрополь</v>
      </c>
      <c r="J3500">
        <f>VLOOKUP(D3500,Товары!A:I,4,0)</f>
        <v>29340</v>
      </c>
      <c r="K3500">
        <f t="shared" si="54"/>
        <v>58680</v>
      </c>
    </row>
    <row r="3501" spans="1:11" hidden="1" x14ac:dyDescent="0.25">
      <c r="A3501">
        <v>3500</v>
      </c>
      <c r="B3501" s="1">
        <v>45754</v>
      </c>
      <c r="C3501" t="s">
        <v>48</v>
      </c>
      <c r="D3501" t="s">
        <v>12</v>
      </c>
      <c r="E3501" t="s">
        <v>8</v>
      </c>
      <c r="F3501">
        <v>3</v>
      </c>
      <c r="G3501" t="str">
        <f>VLOOKUP(D3501,Товары!A:I,3,0)</f>
        <v>Тумба с раковиной  напол. Сохо 700 белый 2 двери с умыв. Слим</v>
      </c>
      <c r="H3501">
        <f>VLOOKUP(D3501,Товары!A:I,6,0)</f>
        <v>85</v>
      </c>
      <c r="I3501" t="str">
        <f>VLOOKUP(C3501,Магазины!A:C,3,0)</f>
        <v>Ставрополь</v>
      </c>
      <c r="J3501">
        <f>VLOOKUP(D3501,Товары!A:I,4,0)</f>
        <v>17160</v>
      </c>
      <c r="K3501">
        <f t="shared" si="54"/>
        <v>51480</v>
      </c>
    </row>
    <row r="3502" spans="1:11" hidden="1" x14ac:dyDescent="0.25">
      <c r="A3502">
        <v>3501</v>
      </c>
      <c r="B3502" s="1">
        <v>45757</v>
      </c>
      <c r="C3502" t="s">
        <v>63</v>
      </c>
      <c r="D3502" t="s">
        <v>88</v>
      </c>
      <c r="E3502" t="s">
        <v>13</v>
      </c>
      <c r="F3502">
        <v>1</v>
      </c>
      <c r="G3502" t="str">
        <f>VLOOKUP(D3502,Товары!A:I,3,0)</f>
        <v>Тумба с раковиной  навес. Альба 800 антрацит 2 ящика с умыв. Слим</v>
      </c>
      <c r="H3502">
        <f>VLOOKUP(D3502,Товары!A:I,6,0)</f>
        <v>50</v>
      </c>
      <c r="I3502" t="str">
        <f>VLOOKUP(C3502,Магазины!A:C,3,0)</f>
        <v>Ставрополь</v>
      </c>
      <c r="J3502">
        <f>VLOOKUP(D3502,Товары!A:I,4,0)</f>
        <v>26070</v>
      </c>
      <c r="K3502">
        <f t="shared" si="54"/>
        <v>26070</v>
      </c>
    </row>
    <row r="3503" spans="1:11" hidden="1" x14ac:dyDescent="0.25">
      <c r="A3503">
        <v>3502</v>
      </c>
      <c r="B3503" s="1">
        <v>45751</v>
      </c>
      <c r="C3503" t="s">
        <v>14</v>
      </c>
      <c r="D3503" t="s">
        <v>106</v>
      </c>
      <c r="E3503" t="s">
        <v>8</v>
      </c>
      <c r="F3503">
        <v>1</v>
      </c>
      <c r="G3503" t="str">
        <f>VLOOKUP(D3503,Товары!A:I,3,0)</f>
        <v>Тумба с раковиной  навес. Кристалл 700 шато азур 2 ящика с умыв. Слим</v>
      </c>
      <c r="H3503">
        <f>VLOOKUP(D3503,Товары!A:I,6,0)</f>
        <v>60</v>
      </c>
      <c r="I3503" t="str">
        <f>VLOOKUP(C3503,Магазины!A:C,3,0)</f>
        <v>Оренбург</v>
      </c>
      <c r="J3503">
        <f>VLOOKUP(D3503,Товары!A:I,4,0)</f>
        <v>24150</v>
      </c>
      <c r="K3503">
        <f t="shared" si="54"/>
        <v>24150</v>
      </c>
    </row>
    <row r="3504" spans="1:11" hidden="1" x14ac:dyDescent="0.25">
      <c r="A3504">
        <v>3503</v>
      </c>
      <c r="B3504" s="1">
        <v>45748</v>
      </c>
      <c r="C3504" t="s">
        <v>111</v>
      </c>
      <c r="D3504" t="s">
        <v>66</v>
      </c>
      <c r="E3504" t="s">
        <v>8</v>
      </c>
      <c r="F3504">
        <v>1</v>
      </c>
      <c r="G3504" t="str">
        <f>VLOOKUP(D3504,Товары!A:I,3,0)</f>
        <v>Тумба с раковиной  навес. Альба 800 мята 2 ящика с умыв. Слим</v>
      </c>
      <c r="H3504">
        <f>VLOOKUP(D3504,Товары!A:I,6,0)</f>
        <v>50</v>
      </c>
      <c r="I3504" t="str">
        <f>VLOOKUP(C3504,Магазины!A:C,3,0)</f>
        <v>Набережные Челны</v>
      </c>
      <c r="J3504">
        <f>VLOOKUP(D3504,Товары!A:I,4,0)</f>
        <v>26070</v>
      </c>
      <c r="K3504">
        <f t="shared" si="54"/>
        <v>26070</v>
      </c>
    </row>
    <row r="3505" spans="1:11" hidden="1" x14ac:dyDescent="0.25">
      <c r="A3505">
        <v>3504</v>
      </c>
      <c r="B3505" s="1">
        <v>45753</v>
      </c>
      <c r="C3505" t="s">
        <v>22</v>
      </c>
      <c r="D3505" t="s">
        <v>39</v>
      </c>
      <c r="E3505" t="s">
        <v>8</v>
      </c>
      <c r="F3505">
        <v>1</v>
      </c>
      <c r="G3505" t="str">
        <f>VLOOKUP(D3505,Товары!A:I,3,0)</f>
        <v>Тумба с раковиной  напол. Альба 700 мята 2 ящика с умыв. Слим</v>
      </c>
      <c r="H3505">
        <f>VLOOKUP(D3505,Товары!A:I,6,0)</f>
        <v>85</v>
      </c>
      <c r="I3505" t="str">
        <f>VLOOKUP(C3505,Магазины!A:C,3,0)</f>
        <v>Кемерово</v>
      </c>
      <c r="J3505">
        <f>VLOOKUP(D3505,Товары!A:I,4,0)</f>
        <v>28695</v>
      </c>
      <c r="K3505">
        <f t="shared" si="54"/>
        <v>28695</v>
      </c>
    </row>
    <row r="3506" spans="1:11" hidden="1" x14ac:dyDescent="0.25">
      <c r="A3506">
        <v>3505</v>
      </c>
      <c r="B3506" s="1">
        <v>45755</v>
      </c>
      <c r="C3506" t="s">
        <v>26</v>
      </c>
      <c r="D3506" t="s">
        <v>42</v>
      </c>
      <c r="E3506" t="s">
        <v>13</v>
      </c>
      <c r="F3506">
        <v>1</v>
      </c>
      <c r="G3506" t="str">
        <f>VLOOKUP(D3506,Товары!A:I,3,0)</f>
        <v>Тумба под стиральную машину Леон Риф 57 подвесная 2 ящика под ст/маш, без умывальника /под Marshall 120 Солярис/Белый Риф</v>
      </c>
      <c r="H3506">
        <f>VLOOKUP(D3506,Товары!A:I,6,0)</f>
        <v>60</v>
      </c>
      <c r="I3506" t="str">
        <f>VLOOKUP(C3506,Магазины!A:C,3,0)</f>
        <v>Оренбург</v>
      </c>
      <c r="J3506">
        <f>VLOOKUP(D3506,Товары!A:I,4,0)</f>
        <v>15495</v>
      </c>
      <c r="K3506">
        <f t="shared" si="54"/>
        <v>15495</v>
      </c>
    </row>
    <row r="3507" spans="1:11" hidden="1" x14ac:dyDescent="0.25">
      <c r="A3507">
        <v>3506</v>
      </c>
      <c r="B3507" s="1">
        <v>45757</v>
      </c>
      <c r="C3507" t="s">
        <v>14</v>
      </c>
      <c r="D3507" t="s">
        <v>114</v>
      </c>
      <c r="E3507" t="s">
        <v>8</v>
      </c>
      <c r="F3507">
        <v>3</v>
      </c>
      <c r="G3507" t="str">
        <f>VLOOKUP(D3507,Товары!A:I,3,0)</f>
        <v>Тумба с раковиной  навес. Альба 700 мята 2 ящика с умыв. Слим</v>
      </c>
      <c r="H3507">
        <f>VLOOKUP(D3507,Товары!A:I,6,0)</f>
        <v>60</v>
      </c>
      <c r="I3507" t="str">
        <f>VLOOKUP(C3507,Магазины!A:C,3,0)</f>
        <v>Оренбург</v>
      </c>
      <c r="J3507">
        <f>VLOOKUP(D3507,Товары!A:I,4,0)</f>
        <v>25095</v>
      </c>
      <c r="K3507">
        <f t="shared" si="54"/>
        <v>75285</v>
      </c>
    </row>
    <row r="3508" spans="1:11" hidden="1" x14ac:dyDescent="0.25">
      <c r="A3508">
        <v>3507</v>
      </c>
      <c r="B3508" s="1">
        <v>45752</v>
      </c>
      <c r="C3508" t="s">
        <v>28</v>
      </c>
      <c r="D3508" t="s">
        <v>127</v>
      </c>
      <c r="E3508" t="s">
        <v>13</v>
      </c>
      <c r="F3508">
        <v>1</v>
      </c>
      <c r="G3508" t="str">
        <f>VLOOKUP(D3508,Товары!A:I,3,0)</f>
        <v>Тумба с раковиной  навес. Альба 700 мята 1 ящик с умыв. Слим</v>
      </c>
      <c r="H3508">
        <f>VLOOKUP(D3508,Товары!A:I,6,0)</f>
        <v>45</v>
      </c>
      <c r="I3508" t="str">
        <f>VLOOKUP(C3508,Магазины!A:C,3,0)</f>
        <v>Набережные Челны</v>
      </c>
      <c r="J3508">
        <f>VLOOKUP(D3508,Товары!A:I,4,0)</f>
        <v>20130</v>
      </c>
      <c r="K3508">
        <f t="shared" si="54"/>
        <v>20130</v>
      </c>
    </row>
    <row r="3509" spans="1:11" hidden="1" x14ac:dyDescent="0.25">
      <c r="A3509">
        <v>3508</v>
      </c>
      <c r="B3509" s="1">
        <v>45754</v>
      </c>
      <c r="C3509" t="s">
        <v>103</v>
      </c>
      <c r="D3509" t="s">
        <v>76</v>
      </c>
      <c r="E3509" t="s">
        <v>13</v>
      </c>
      <c r="F3509">
        <v>3</v>
      </c>
      <c r="G3509" t="str">
        <f>VLOOKUP(D3509,Товары!A:I,3,0)</f>
        <v>Тумба с раковиной  напол. Леон 600 оникс 2 ящика с умыв. Слим</v>
      </c>
      <c r="H3509">
        <f>VLOOKUP(D3509,Товары!A:I,6,0)</f>
        <v>80</v>
      </c>
      <c r="I3509" t="str">
        <f>VLOOKUP(C3509,Магазины!A:C,3,0)</f>
        <v>Ставрополь</v>
      </c>
      <c r="J3509">
        <f>VLOOKUP(D3509,Товары!A:I,4,0)</f>
        <v>25860</v>
      </c>
      <c r="K3509">
        <f t="shared" si="54"/>
        <v>77580</v>
      </c>
    </row>
    <row r="3510" spans="1:11" hidden="1" x14ac:dyDescent="0.25">
      <c r="A3510">
        <v>3509</v>
      </c>
      <c r="B3510" s="1">
        <v>45756</v>
      </c>
      <c r="C3510" t="s">
        <v>111</v>
      </c>
      <c r="D3510" t="s">
        <v>104</v>
      </c>
      <c r="E3510" t="s">
        <v>13</v>
      </c>
      <c r="F3510">
        <v>2</v>
      </c>
      <c r="G3510" t="str">
        <f>VLOOKUP(D3510,Товары!A:I,3,0)</f>
        <v>Тумба под стиральную машину Куба Риф 57 подвесная 2 ящика под ст/маш, без умывальника /под Marshall 120 Белый</v>
      </c>
      <c r="H3510">
        <f>VLOOKUP(D3510,Товары!A:I,6,0)</f>
        <v>50</v>
      </c>
      <c r="I3510" t="str">
        <f>VLOOKUP(C3510,Магазины!A:C,3,0)</f>
        <v>Набережные Челны</v>
      </c>
      <c r="J3510">
        <f>VLOOKUP(D3510,Товары!A:I,4,0)</f>
        <v>8505</v>
      </c>
      <c r="K3510">
        <f t="shared" si="54"/>
        <v>17010</v>
      </c>
    </row>
    <row r="3511" spans="1:11" hidden="1" x14ac:dyDescent="0.25">
      <c r="A3511">
        <v>3510</v>
      </c>
      <c r="B3511" s="1">
        <v>45751</v>
      </c>
      <c r="C3511" t="s">
        <v>111</v>
      </c>
      <c r="D3511" t="s">
        <v>49</v>
      </c>
      <c r="E3511" t="s">
        <v>8</v>
      </c>
      <c r="F3511">
        <v>1</v>
      </c>
      <c r="G3511" t="str">
        <f>VLOOKUP(D3511,Товары!A:I,3,0)</f>
        <v>Тумба с раковиной  напол. Леон 700 оникс 2 ящика с умыв. Слим</v>
      </c>
      <c r="H3511">
        <f>VLOOKUP(D3511,Товары!A:I,6,0)</f>
        <v>80</v>
      </c>
      <c r="I3511" t="str">
        <f>VLOOKUP(C3511,Магазины!A:C,3,0)</f>
        <v>Набережные Челны</v>
      </c>
      <c r="J3511">
        <f>VLOOKUP(D3511,Товары!A:I,4,0)</f>
        <v>28380</v>
      </c>
      <c r="K3511">
        <f t="shared" si="54"/>
        <v>28380</v>
      </c>
    </row>
    <row r="3512" spans="1:11" hidden="1" x14ac:dyDescent="0.25">
      <c r="A3512">
        <v>3511</v>
      </c>
      <c r="B3512" s="1">
        <v>45755</v>
      </c>
      <c r="C3512" t="s">
        <v>54</v>
      </c>
      <c r="D3512" t="s">
        <v>47</v>
      </c>
      <c r="E3512" t="s">
        <v>13</v>
      </c>
      <c r="F3512">
        <v>2</v>
      </c>
      <c r="G3512" t="str">
        <f>VLOOKUP(D3512,Товары!A:I,3,0)</f>
        <v>Пенал напол. Кристалл 350 шато азур 2 двери</v>
      </c>
      <c r="H3512">
        <f>VLOOKUP(D3512,Товары!A:I,6,0)</f>
        <v>190</v>
      </c>
      <c r="I3512" t="str">
        <f>VLOOKUP(C3512,Магазины!A:C,3,0)</f>
        <v>Ставрополь</v>
      </c>
      <c r="J3512">
        <f>VLOOKUP(D3512,Товары!A:I,4,0)</f>
        <v>15810</v>
      </c>
      <c r="K3512">
        <f t="shared" si="54"/>
        <v>31620</v>
      </c>
    </row>
    <row r="3513" spans="1:11" x14ac:dyDescent="0.25">
      <c r="A3513">
        <v>3512</v>
      </c>
      <c r="B3513" s="1">
        <v>45753</v>
      </c>
      <c r="C3513" t="s">
        <v>11</v>
      </c>
      <c r="D3513" t="s">
        <v>60</v>
      </c>
      <c r="E3513" t="s">
        <v>13</v>
      </c>
      <c r="F3513">
        <v>1</v>
      </c>
      <c r="G3513" t="str">
        <f>VLOOKUP(D3513,Товары!A:I,3,0)</f>
        <v>Пенал навес. Куба Риф 350 белый 2 двери</v>
      </c>
      <c r="H3513">
        <f>VLOOKUP(D3513,Товары!A:I,6,0)</f>
        <v>150</v>
      </c>
      <c r="I3513" t="str">
        <f>VLOOKUP(C3513,Магазины!A:C,3,0)</f>
        <v>Кемерово</v>
      </c>
      <c r="J3513">
        <f>VLOOKUP(D3513,Товары!A:I,4,0)</f>
        <v>9720</v>
      </c>
      <c r="K3513">
        <f t="shared" si="54"/>
        <v>9720</v>
      </c>
    </row>
    <row r="3514" spans="1:11" hidden="1" x14ac:dyDescent="0.25">
      <c r="A3514">
        <v>3513</v>
      </c>
      <c r="B3514" s="1">
        <v>45748</v>
      </c>
      <c r="C3514" t="s">
        <v>20</v>
      </c>
      <c r="D3514" t="s">
        <v>53</v>
      </c>
      <c r="E3514" t="s">
        <v>8</v>
      </c>
      <c r="F3514">
        <v>1</v>
      </c>
      <c r="G3514" t="str">
        <f>VLOOKUP(D3514,Товары!A:I,3,0)</f>
        <v>Тумба с раковиной  напол. Кристалл 600 шато азур 2 ящика с умыв. Океан</v>
      </c>
      <c r="H3514">
        <f>VLOOKUP(D3514,Товары!A:I,6,0)</f>
        <v>85</v>
      </c>
      <c r="I3514" t="str">
        <f>VLOOKUP(C3514,Магазины!A:C,3,0)</f>
        <v>Оренбург</v>
      </c>
      <c r="J3514">
        <f>VLOOKUP(D3514,Товары!A:I,4,0)</f>
        <v>27600</v>
      </c>
      <c r="K3514">
        <f t="shared" si="54"/>
        <v>27600</v>
      </c>
    </row>
    <row r="3515" spans="1:11" hidden="1" x14ac:dyDescent="0.25">
      <c r="A3515">
        <v>3514</v>
      </c>
      <c r="B3515" s="1">
        <v>45751</v>
      </c>
      <c r="C3515" t="s">
        <v>103</v>
      </c>
      <c r="D3515" t="s">
        <v>74</v>
      </c>
      <c r="E3515" t="s">
        <v>13</v>
      </c>
      <c r="F3515">
        <v>2</v>
      </c>
      <c r="G3515" t="str">
        <f>VLOOKUP(D3515,Товары!A:I,3,0)</f>
        <v>Тумба с раковиной  напол. Альба 800 суфле 2 ящика с умыв. Слим</v>
      </c>
      <c r="H3515">
        <f>VLOOKUP(D3515,Товары!A:I,6,0)</f>
        <v>80</v>
      </c>
      <c r="I3515" t="str">
        <f>VLOOKUP(C3515,Магазины!A:C,3,0)</f>
        <v>Ставрополь</v>
      </c>
      <c r="J3515">
        <f>VLOOKUP(D3515,Товары!A:I,4,0)</f>
        <v>29340</v>
      </c>
      <c r="K3515">
        <f t="shared" si="54"/>
        <v>58680</v>
      </c>
    </row>
    <row r="3516" spans="1:11" hidden="1" x14ac:dyDescent="0.25">
      <c r="A3516">
        <v>3515</v>
      </c>
      <c r="B3516" s="1">
        <v>45755</v>
      </c>
      <c r="C3516" t="s">
        <v>22</v>
      </c>
      <c r="D3516" t="s">
        <v>105</v>
      </c>
      <c r="E3516" t="s">
        <v>8</v>
      </c>
      <c r="F3516">
        <v>1</v>
      </c>
      <c r="G3516" t="str">
        <f>VLOOKUP(D3516,Товары!A:I,3,0)</f>
        <v>Тумба с раковиной  напол. Нева 600 белый 2 двери + 1 ящик с умыв. Como</v>
      </c>
      <c r="H3516">
        <f>VLOOKUP(D3516,Товары!A:I,6,0)</f>
        <v>80</v>
      </c>
      <c r="I3516" t="str">
        <f>VLOOKUP(C3516,Магазины!A:C,3,0)</f>
        <v>Кемерово</v>
      </c>
      <c r="J3516">
        <f>VLOOKUP(D3516,Товары!A:I,4,0)</f>
        <v>13470</v>
      </c>
      <c r="K3516">
        <f t="shared" si="54"/>
        <v>13470</v>
      </c>
    </row>
    <row r="3517" spans="1:11" hidden="1" x14ac:dyDescent="0.25">
      <c r="A3517">
        <v>3516</v>
      </c>
      <c r="B3517" s="1">
        <v>45753</v>
      </c>
      <c r="C3517" t="s">
        <v>48</v>
      </c>
      <c r="D3517" t="s">
        <v>96</v>
      </c>
      <c r="E3517" t="s">
        <v>13</v>
      </c>
      <c r="F3517">
        <v>3</v>
      </c>
      <c r="G3517" t="str">
        <f>VLOOKUP(D3517,Товары!A:I,3,0)</f>
        <v>Тумба с раковиной  навес. Альба 600 мята 1 ящик с умыв. Океан</v>
      </c>
      <c r="H3517">
        <f>VLOOKUP(D3517,Товары!A:I,6,0)</f>
        <v>85</v>
      </c>
      <c r="I3517" t="str">
        <f>VLOOKUP(C3517,Магазины!A:C,3,0)</f>
        <v>Ставрополь</v>
      </c>
      <c r="J3517">
        <f>VLOOKUP(D3517,Товары!A:I,4,0)</f>
        <v>17625</v>
      </c>
      <c r="K3517">
        <f t="shared" si="54"/>
        <v>52875</v>
      </c>
    </row>
    <row r="3518" spans="1:11" hidden="1" x14ac:dyDescent="0.25">
      <c r="A3518">
        <v>3517</v>
      </c>
      <c r="B3518" s="1">
        <v>45750</v>
      </c>
      <c r="C3518" t="s">
        <v>16</v>
      </c>
      <c r="D3518" t="s">
        <v>73</v>
      </c>
      <c r="E3518" t="s">
        <v>13</v>
      </c>
      <c r="F3518">
        <v>2</v>
      </c>
      <c r="G3518" t="str">
        <f>VLOOKUP(D3518,Товары!A:I,3,0)</f>
        <v>Зеркальный шкаф Альба 70 со светильником правый цвет антрацит</v>
      </c>
      <c r="H3518">
        <f>VLOOKUP(D3518,Товары!A:I,6,0)</f>
        <v>75</v>
      </c>
      <c r="I3518" t="str">
        <f>VLOOKUP(C3518,Магазины!A:C,3,0)</f>
        <v>Оренбург</v>
      </c>
      <c r="J3518">
        <f>VLOOKUP(D3518,Товары!A:I,4,0)</f>
        <v>9615</v>
      </c>
      <c r="K3518">
        <f t="shared" si="54"/>
        <v>19230</v>
      </c>
    </row>
    <row r="3519" spans="1:11" hidden="1" x14ac:dyDescent="0.25">
      <c r="A3519">
        <v>3518</v>
      </c>
      <c r="B3519" s="1">
        <v>45748</v>
      </c>
      <c r="C3519" t="s">
        <v>48</v>
      </c>
      <c r="D3519" t="s">
        <v>85</v>
      </c>
      <c r="E3519" t="s">
        <v>13</v>
      </c>
      <c r="F3519">
        <v>3</v>
      </c>
      <c r="G3519" t="str">
        <f>VLOOKUP(D3519,Товары!A:I,3,0)</f>
        <v>Пенал напол. Аква 450 белый 2 двери + 2 ящика + корзина</v>
      </c>
      <c r="H3519">
        <f>VLOOKUP(D3519,Товары!A:I,6,0)</f>
        <v>190</v>
      </c>
      <c r="I3519" t="str">
        <f>VLOOKUP(C3519,Магазины!A:C,3,0)</f>
        <v>Ставрополь</v>
      </c>
      <c r="J3519">
        <f>VLOOKUP(D3519,Товары!A:I,4,0)</f>
        <v>13335</v>
      </c>
      <c r="K3519">
        <f t="shared" si="54"/>
        <v>40005</v>
      </c>
    </row>
    <row r="3520" spans="1:11" hidden="1" x14ac:dyDescent="0.25">
      <c r="A3520">
        <v>3519</v>
      </c>
      <c r="B3520" s="1">
        <v>45757</v>
      </c>
      <c r="C3520" t="s">
        <v>92</v>
      </c>
      <c r="D3520" t="s">
        <v>123</v>
      </c>
      <c r="E3520" t="s">
        <v>8</v>
      </c>
      <c r="F3520">
        <v>1</v>
      </c>
      <c r="G3520" t="str">
        <f>VLOOKUP(D3520,Товары!A:I,3,0)</f>
        <v>Тумба с раковиной  напол. Кристалл 800 суфле 2 ящика с умыв. Слим</v>
      </c>
      <c r="H3520">
        <f>VLOOKUP(D3520,Товары!A:I,6,0)</f>
        <v>80</v>
      </c>
      <c r="I3520" t="str">
        <f>VLOOKUP(C3520,Магазины!A:C,3,0)</f>
        <v>Кемерово</v>
      </c>
      <c r="J3520">
        <f>VLOOKUP(D3520,Товары!A:I,4,0)</f>
        <v>31125</v>
      </c>
      <c r="K3520">
        <f t="shared" si="54"/>
        <v>31125</v>
      </c>
    </row>
    <row r="3521" spans="1:11" hidden="1" x14ac:dyDescent="0.25">
      <c r="A3521">
        <v>3520</v>
      </c>
      <c r="B3521" s="1">
        <v>45756</v>
      </c>
      <c r="C3521" t="s">
        <v>58</v>
      </c>
      <c r="D3521" t="s">
        <v>40</v>
      </c>
      <c r="E3521" t="s">
        <v>8</v>
      </c>
      <c r="F3521">
        <v>2</v>
      </c>
      <c r="G3521" t="str">
        <f>VLOOKUP(D3521,Товары!A:I,3,0)</f>
        <v>Тумба с раковиной  навес. Рица 800 cерый/керамика 1 ящик + ниша 1 с умыв. Слим</v>
      </c>
      <c r="H3521">
        <f>VLOOKUP(D3521,Товары!A:I,6,0)</f>
        <v>60</v>
      </c>
      <c r="I3521" t="str">
        <f>VLOOKUP(C3521,Магазины!A:C,3,0)</f>
        <v>Ставрополь</v>
      </c>
      <c r="J3521">
        <f>VLOOKUP(D3521,Товары!A:I,4,0)</f>
        <v>22425</v>
      </c>
      <c r="K3521">
        <f t="shared" si="54"/>
        <v>44850</v>
      </c>
    </row>
    <row r="3522" spans="1:11" hidden="1" x14ac:dyDescent="0.25">
      <c r="A3522">
        <v>3521</v>
      </c>
      <c r="B3522" s="1">
        <v>45751</v>
      </c>
      <c r="C3522" t="s">
        <v>16</v>
      </c>
      <c r="D3522" t="s">
        <v>121</v>
      </c>
      <c r="E3522" t="s">
        <v>8</v>
      </c>
      <c r="F3522">
        <v>2</v>
      </c>
      <c r="G3522" t="str">
        <f>VLOOKUP(D3522,Товары!A:I,3,0)</f>
        <v>Тумба с раковиной  напол. Куба Риф 600 белый 2 двери с умыв. Como</v>
      </c>
      <c r="H3522">
        <f>VLOOKUP(D3522,Товары!A:I,6,0)</f>
        <v>85</v>
      </c>
      <c r="I3522" t="str">
        <f>VLOOKUP(C3522,Магазины!A:C,3,0)</f>
        <v>Оренбург</v>
      </c>
      <c r="J3522">
        <f>VLOOKUP(D3522,Товары!A:I,4,0)</f>
        <v>13695</v>
      </c>
      <c r="K3522">
        <f t="shared" si="54"/>
        <v>27390</v>
      </c>
    </row>
    <row r="3523" spans="1:11" hidden="1" x14ac:dyDescent="0.25">
      <c r="A3523">
        <v>3522</v>
      </c>
      <c r="B3523" s="1">
        <v>45755</v>
      </c>
      <c r="C3523" t="s">
        <v>20</v>
      </c>
      <c r="D3523" t="s">
        <v>68</v>
      </c>
      <c r="E3523" t="s">
        <v>13</v>
      </c>
      <c r="F3523">
        <v>3</v>
      </c>
      <c r="G3523" t="str">
        <f>VLOOKUP(D3523,Товары!A:I,3,0)</f>
        <v>Тумба с раковиной  навес. Альба 600 антрацит 1 ящик с умыв. Океан</v>
      </c>
      <c r="H3523">
        <f>VLOOKUP(D3523,Товары!A:I,6,0)</f>
        <v>85</v>
      </c>
      <c r="I3523" t="str">
        <f>VLOOKUP(C3523,Магазины!A:C,3,0)</f>
        <v>Оренбург</v>
      </c>
      <c r="J3523">
        <f>VLOOKUP(D3523,Товары!A:I,4,0)</f>
        <v>17625</v>
      </c>
      <c r="K3523">
        <f t="shared" ref="K3523:K3586" si="55">J3523*F3523</f>
        <v>52875</v>
      </c>
    </row>
    <row r="3524" spans="1:11" hidden="1" x14ac:dyDescent="0.25">
      <c r="A3524">
        <v>3523</v>
      </c>
      <c r="B3524" s="1">
        <v>45751</v>
      </c>
      <c r="C3524" t="s">
        <v>9</v>
      </c>
      <c r="D3524" t="s">
        <v>24</v>
      </c>
      <c r="E3524" t="s">
        <v>8</v>
      </c>
      <c r="F3524">
        <v>3</v>
      </c>
      <c r="G3524" t="str">
        <f>VLOOKUP(D3524,Товары!A:I,3,0)</f>
        <v>Тумба с раковиной  напол. Леон 600 форест 2 ящика с умыв. Слим</v>
      </c>
      <c r="H3524">
        <f>VLOOKUP(D3524,Товары!A:I,6,0)</f>
        <v>80</v>
      </c>
      <c r="I3524" t="str">
        <f>VLOOKUP(C3524,Магазины!A:C,3,0)</f>
        <v>Кемерово</v>
      </c>
      <c r="J3524">
        <f>VLOOKUP(D3524,Товары!A:I,4,0)</f>
        <v>27150</v>
      </c>
      <c r="K3524">
        <f t="shared" si="55"/>
        <v>81450</v>
      </c>
    </row>
    <row r="3525" spans="1:11" hidden="1" x14ac:dyDescent="0.25">
      <c r="A3525">
        <v>3524</v>
      </c>
      <c r="B3525" s="1">
        <v>45755</v>
      </c>
      <c r="C3525" t="s">
        <v>92</v>
      </c>
      <c r="D3525" t="s">
        <v>93</v>
      </c>
      <c r="E3525" t="s">
        <v>13</v>
      </c>
      <c r="F3525">
        <v>1</v>
      </c>
      <c r="G3525" t="str">
        <f>VLOOKUP(D3525,Товары!A:I,3,0)</f>
        <v>Тумба с раковиной  напол. Леон Риф 800 солярис/белый риф 2 ящика с умыв. Слим</v>
      </c>
      <c r="H3525">
        <f>VLOOKUP(D3525,Товары!A:I,6,0)</f>
        <v>80</v>
      </c>
      <c r="I3525" t="str">
        <f>VLOOKUP(C3525,Магазины!A:C,3,0)</f>
        <v>Кемерово</v>
      </c>
      <c r="J3525">
        <f>VLOOKUP(D3525,Товары!A:I,4,0)</f>
        <v>29340</v>
      </c>
      <c r="K3525">
        <f t="shared" si="55"/>
        <v>29340</v>
      </c>
    </row>
    <row r="3526" spans="1:11" hidden="1" x14ac:dyDescent="0.25">
      <c r="A3526">
        <v>3525</v>
      </c>
      <c r="B3526" s="1">
        <v>45757</v>
      </c>
      <c r="C3526" t="s">
        <v>54</v>
      </c>
      <c r="D3526" t="s">
        <v>53</v>
      </c>
      <c r="E3526" t="s">
        <v>13</v>
      </c>
      <c r="F3526">
        <v>3</v>
      </c>
      <c r="G3526" t="str">
        <f>VLOOKUP(D3526,Товары!A:I,3,0)</f>
        <v>Тумба с раковиной  напол. Кристалл 600 шато азур 2 ящика с умыв. Океан</v>
      </c>
      <c r="H3526">
        <f>VLOOKUP(D3526,Товары!A:I,6,0)</f>
        <v>85</v>
      </c>
      <c r="I3526" t="str">
        <f>VLOOKUP(C3526,Магазины!A:C,3,0)</f>
        <v>Ставрополь</v>
      </c>
      <c r="J3526">
        <f>VLOOKUP(D3526,Товары!A:I,4,0)</f>
        <v>27600</v>
      </c>
      <c r="K3526">
        <f t="shared" si="55"/>
        <v>82800</v>
      </c>
    </row>
    <row r="3527" spans="1:11" hidden="1" x14ac:dyDescent="0.25">
      <c r="A3527">
        <v>3526</v>
      </c>
      <c r="B3527" s="1">
        <v>45757</v>
      </c>
      <c r="C3527" t="s">
        <v>57</v>
      </c>
      <c r="D3527" t="s">
        <v>90</v>
      </c>
      <c r="E3527" t="s">
        <v>8</v>
      </c>
      <c r="F3527">
        <v>2</v>
      </c>
      <c r="G3527" t="str">
        <f>VLOOKUP(D3527,Товары!A:I,3,0)</f>
        <v>Пенал напол. Аква 350 белый 2 двери + 2 ящика</v>
      </c>
      <c r="H3527">
        <f>VLOOKUP(D3527,Товары!A:I,6,0)</f>
        <v>190</v>
      </c>
      <c r="I3527" t="str">
        <f>VLOOKUP(C3527,Магазины!A:C,3,0)</f>
        <v>Оренбург</v>
      </c>
      <c r="J3527">
        <f>VLOOKUP(D3527,Товары!A:I,4,0)</f>
        <v>10650</v>
      </c>
      <c r="K3527">
        <f t="shared" si="55"/>
        <v>21300</v>
      </c>
    </row>
    <row r="3528" spans="1:11" hidden="1" x14ac:dyDescent="0.25">
      <c r="A3528">
        <v>3527</v>
      </c>
      <c r="B3528" s="1">
        <v>45754</v>
      </c>
      <c r="C3528" t="s">
        <v>103</v>
      </c>
      <c r="D3528" t="s">
        <v>80</v>
      </c>
      <c r="E3528" t="s">
        <v>13</v>
      </c>
      <c r="F3528">
        <v>2</v>
      </c>
      <c r="G3528" t="str">
        <f>VLOOKUP(D3528,Товары!A:I,3,0)</f>
        <v>Тумба с раковиной  навес. Сохо 600 белый 2 ящика с умыв. Океан</v>
      </c>
      <c r="H3528">
        <f>VLOOKUP(D3528,Товары!A:I,6,0)</f>
        <v>55</v>
      </c>
      <c r="I3528" t="str">
        <f>VLOOKUP(C3528,Магазины!A:C,3,0)</f>
        <v>Ставрополь</v>
      </c>
      <c r="J3528">
        <f>VLOOKUP(D3528,Товары!A:I,4,0)</f>
        <v>13950</v>
      </c>
      <c r="K3528">
        <f t="shared" si="55"/>
        <v>27900</v>
      </c>
    </row>
    <row r="3529" spans="1:11" hidden="1" x14ac:dyDescent="0.25">
      <c r="A3529">
        <v>3528</v>
      </c>
      <c r="B3529" s="1">
        <v>45750</v>
      </c>
      <c r="C3529" t="s">
        <v>63</v>
      </c>
      <c r="D3529" t="s">
        <v>124</v>
      </c>
      <c r="E3529" t="s">
        <v>8</v>
      </c>
      <c r="F3529">
        <v>1</v>
      </c>
      <c r="G3529" t="str">
        <f>VLOOKUP(D3529,Товары!A:I,3,0)</f>
        <v>Тумба с раковиной  напол. Леон 600 оникс 2 ящика с умыв. Океан</v>
      </c>
      <c r="H3529">
        <f>VLOOKUP(D3529,Товары!A:I,6,0)</f>
        <v>80</v>
      </c>
      <c r="I3529" t="str">
        <f>VLOOKUP(C3529,Магазины!A:C,3,0)</f>
        <v>Ставрополь</v>
      </c>
      <c r="J3529">
        <f>VLOOKUP(D3529,Товары!A:I,4,0)</f>
        <v>25860</v>
      </c>
      <c r="K3529">
        <f t="shared" si="55"/>
        <v>25860</v>
      </c>
    </row>
    <row r="3530" spans="1:11" hidden="1" x14ac:dyDescent="0.25">
      <c r="A3530">
        <v>3529</v>
      </c>
      <c r="B3530" s="1">
        <v>45750</v>
      </c>
      <c r="C3530" t="s">
        <v>28</v>
      </c>
      <c r="D3530" t="s">
        <v>124</v>
      </c>
      <c r="E3530" t="s">
        <v>8</v>
      </c>
      <c r="F3530">
        <v>3</v>
      </c>
      <c r="G3530" t="str">
        <f>VLOOKUP(D3530,Товары!A:I,3,0)</f>
        <v>Тумба с раковиной  напол. Леон 600 оникс 2 ящика с умыв. Океан</v>
      </c>
      <c r="H3530">
        <f>VLOOKUP(D3530,Товары!A:I,6,0)</f>
        <v>80</v>
      </c>
      <c r="I3530" t="str">
        <f>VLOOKUP(C3530,Магазины!A:C,3,0)</f>
        <v>Набережные Челны</v>
      </c>
      <c r="J3530">
        <f>VLOOKUP(D3530,Товары!A:I,4,0)</f>
        <v>25860</v>
      </c>
      <c r="K3530">
        <f t="shared" si="55"/>
        <v>77580</v>
      </c>
    </row>
    <row r="3531" spans="1:11" hidden="1" x14ac:dyDescent="0.25">
      <c r="A3531">
        <v>3530</v>
      </c>
      <c r="B3531" s="1">
        <v>45749</v>
      </c>
      <c r="C3531" t="s">
        <v>103</v>
      </c>
      <c r="D3531" t="s">
        <v>73</v>
      </c>
      <c r="E3531" t="s">
        <v>13</v>
      </c>
      <c r="F3531">
        <v>2</v>
      </c>
      <c r="G3531" t="str">
        <f>VLOOKUP(D3531,Товары!A:I,3,0)</f>
        <v>Зеркальный шкаф Альба 70 со светильником правый цвет антрацит</v>
      </c>
      <c r="H3531">
        <f>VLOOKUP(D3531,Товары!A:I,6,0)</f>
        <v>75</v>
      </c>
      <c r="I3531" t="str">
        <f>VLOOKUP(C3531,Магазины!A:C,3,0)</f>
        <v>Ставрополь</v>
      </c>
      <c r="J3531">
        <f>VLOOKUP(D3531,Товары!A:I,4,0)</f>
        <v>9615</v>
      </c>
      <c r="K3531">
        <f t="shared" si="55"/>
        <v>19230</v>
      </c>
    </row>
    <row r="3532" spans="1:11" hidden="1" x14ac:dyDescent="0.25">
      <c r="A3532">
        <v>3531</v>
      </c>
      <c r="B3532" s="1">
        <v>45752</v>
      </c>
      <c r="C3532" t="s">
        <v>6</v>
      </c>
      <c r="D3532" t="s">
        <v>61</v>
      </c>
      <c r="E3532" t="s">
        <v>8</v>
      </c>
      <c r="F3532">
        <v>3</v>
      </c>
      <c r="G3532" t="str">
        <f>VLOOKUP(D3532,Товары!A:I,3,0)</f>
        <v>Тумба под стиральную машину Леон Риф 57 напольная 2 ящика под ст/маш, без умывальника /под Marshall 120 Солярис/Белый Риф</v>
      </c>
      <c r="H3532">
        <f>VLOOKUP(D3532,Товары!A:I,6,0)</f>
        <v>85</v>
      </c>
      <c r="I3532" t="str">
        <f>VLOOKUP(C3532,Магазины!A:C,3,0)</f>
        <v>Оренбург</v>
      </c>
      <c r="J3532">
        <f>VLOOKUP(D3532,Товары!A:I,4,0)</f>
        <v>17430</v>
      </c>
      <c r="K3532">
        <f t="shared" si="55"/>
        <v>52290</v>
      </c>
    </row>
    <row r="3533" spans="1:11" hidden="1" x14ac:dyDescent="0.25">
      <c r="A3533">
        <v>3532</v>
      </c>
      <c r="B3533" s="1">
        <v>45750</v>
      </c>
      <c r="C3533" t="s">
        <v>35</v>
      </c>
      <c r="D3533" t="s">
        <v>51</v>
      </c>
      <c r="E3533" t="s">
        <v>13</v>
      </c>
      <c r="F3533">
        <v>1</v>
      </c>
      <c r="G3533" t="str">
        <f>VLOOKUP(D3533,Товары!A:I,3,0)</f>
        <v>Зеркальный шкаф Альба 80 со светильником правый цвет суфле</v>
      </c>
      <c r="H3533">
        <f>VLOOKUP(D3533,Товары!A:I,6,0)</f>
        <v>75</v>
      </c>
      <c r="I3533" t="str">
        <f>VLOOKUP(C3533,Магазины!A:C,3,0)</f>
        <v>Набережные Челны</v>
      </c>
      <c r="J3533">
        <f>VLOOKUP(D3533,Товары!A:I,4,0)</f>
        <v>9930</v>
      </c>
      <c r="K3533">
        <f t="shared" si="55"/>
        <v>9930</v>
      </c>
    </row>
    <row r="3534" spans="1:11" hidden="1" x14ac:dyDescent="0.25">
      <c r="A3534">
        <v>3533</v>
      </c>
      <c r="B3534" s="1">
        <v>45748</v>
      </c>
      <c r="C3534" t="s">
        <v>41</v>
      </c>
      <c r="D3534" t="s">
        <v>10</v>
      </c>
      <c r="E3534" t="s">
        <v>8</v>
      </c>
      <c r="F3534">
        <v>2</v>
      </c>
      <c r="G3534" t="str">
        <f>VLOOKUP(D3534,Товары!A:I,3,0)</f>
        <v>Тумба с раковиной  навес. Альба 700 антрацит 1 ящик с умыв. Слим</v>
      </c>
      <c r="H3534">
        <f>VLOOKUP(D3534,Товары!A:I,6,0)</f>
        <v>45</v>
      </c>
      <c r="I3534" t="str">
        <f>VLOOKUP(C3534,Магазины!A:C,3,0)</f>
        <v>Ставрополь</v>
      </c>
      <c r="J3534">
        <f>VLOOKUP(D3534,Товары!A:I,4,0)</f>
        <v>20130</v>
      </c>
      <c r="K3534">
        <f t="shared" si="55"/>
        <v>40260</v>
      </c>
    </row>
    <row r="3535" spans="1:11" hidden="1" x14ac:dyDescent="0.25">
      <c r="A3535">
        <v>3534</v>
      </c>
      <c r="B3535" s="1">
        <v>45755</v>
      </c>
      <c r="C3535" t="s">
        <v>92</v>
      </c>
      <c r="D3535" t="s">
        <v>130</v>
      </c>
      <c r="E3535" t="s">
        <v>8</v>
      </c>
      <c r="F3535">
        <v>2</v>
      </c>
      <c r="G3535" t="str">
        <f>VLOOKUP(D3535,Товары!A:I,3,0)</f>
        <v>Пенал напол. Леон 400 форест 2 двери + 1 ящик</v>
      </c>
      <c r="H3535">
        <f>VLOOKUP(D3535,Товары!A:I,6,0)</f>
        <v>190</v>
      </c>
      <c r="I3535" t="str">
        <f>VLOOKUP(C3535,Магазины!A:C,3,0)</f>
        <v>Кемерово</v>
      </c>
      <c r="J3535">
        <f>VLOOKUP(D3535,Товары!A:I,4,0)</f>
        <v>18450</v>
      </c>
      <c r="K3535">
        <f t="shared" si="55"/>
        <v>36900</v>
      </c>
    </row>
    <row r="3536" spans="1:11" hidden="1" x14ac:dyDescent="0.25">
      <c r="A3536">
        <v>3535</v>
      </c>
      <c r="B3536" s="1">
        <v>45754</v>
      </c>
      <c r="C3536" t="s">
        <v>63</v>
      </c>
      <c r="D3536" t="s">
        <v>47</v>
      </c>
      <c r="E3536" t="s">
        <v>8</v>
      </c>
      <c r="F3536">
        <v>3</v>
      </c>
      <c r="G3536" t="str">
        <f>VLOOKUP(D3536,Товары!A:I,3,0)</f>
        <v>Пенал напол. Кристалл 350 шато азур 2 двери</v>
      </c>
      <c r="H3536">
        <f>VLOOKUP(D3536,Товары!A:I,6,0)</f>
        <v>190</v>
      </c>
      <c r="I3536" t="str">
        <f>VLOOKUP(C3536,Магазины!A:C,3,0)</f>
        <v>Ставрополь</v>
      </c>
      <c r="J3536">
        <f>VLOOKUP(D3536,Товары!A:I,4,0)</f>
        <v>15810</v>
      </c>
      <c r="K3536">
        <f t="shared" si="55"/>
        <v>47430</v>
      </c>
    </row>
    <row r="3537" spans="1:11" hidden="1" x14ac:dyDescent="0.25">
      <c r="A3537">
        <v>3536</v>
      </c>
      <c r="B3537" s="1">
        <v>45751</v>
      </c>
      <c r="C3537" t="s">
        <v>9</v>
      </c>
      <c r="D3537" t="s">
        <v>106</v>
      </c>
      <c r="E3537" t="s">
        <v>8</v>
      </c>
      <c r="F3537">
        <v>2</v>
      </c>
      <c r="G3537" t="str">
        <f>VLOOKUP(D3537,Товары!A:I,3,0)</f>
        <v>Тумба с раковиной  навес. Кристалл 700 шато азур 2 ящика с умыв. Слим</v>
      </c>
      <c r="H3537">
        <f>VLOOKUP(D3537,Товары!A:I,6,0)</f>
        <v>60</v>
      </c>
      <c r="I3537" t="str">
        <f>VLOOKUP(C3537,Магазины!A:C,3,0)</f>
        <v>Кемерово</v>
      </c>
      <c r="J3537">
        <f>VLOOKUP(D3537,Товары!A:I,4,0)</f>
        <v>24150</v>
      </c>
      <c r="K3537">
        <f t="shared" si="55"/>
        <v>48300</v>
      </c>
    </row>
    <row r="3538" spans="1:11" hidden="1" x14ac:dyDescent="0.25">
      <c r="A3538">
        <v>3537</v>
      </c>
      <c r="B3538" s="1">
        <v>45751</v>
      </c>
      <c r="C3538" t="s">
        <v>18</v>
      </c>
      <c r="D3538" t="s">
        <v>107</v>
      </c>
      <c r="E3538" t="s">
        <v>8</v>
      </c>
      <c r="F3538">
        <v>3</v>
      </c>
      <c r="G3538" t="str">
        <f>VLOOKUP(D3538,Товары!A:I,3,0)</f>
        <v>Комод Аква 35 напольный 1 дверь белый правый</v>
      </c>
      <c r="H3538">
        <f>VLOOKUP(D3538,Товары!A:I,6,0)</f>
        <v>90</v>
      </c>
      <c r="I3538" t="str">
        <f>VLOOKUP(C3538,Магазины!A:C,3,0)</f>
        <v>Набережные Челны</v>
      </c>
      <c r="J3538">
        <f>VLOOKUP(D3538,Товары!A:I,4,0)</f>
        <v>6705</v>
      </c>
      <c r="K3538">
        <f t="shared" si="55"/>
        <v>20115</v>
      </c>
    </row>
    <row r="3539" spans="1:11" hidden="1" x14ac:dyDescent="0.25">
      <c r="A3539">
        <v>3538</v>
      </c>
      <c r="B3539" s="1">
        <v>45757</v>
      </c>
      <c r="C3539" t="s">
        <v>58</v>
      </c>
      <c r="D3539" t="s">
        <v>51</v>
      </c>
      <c r="E3539" t="s">
        <v>8</v>
      </c>
      <c r="F3539">
        <v>3</v>
      </c>
      <c r="G3539" t="str">
        <f>VLOOKUP(D3539,Товары!A:I,3,0)</f>
        <v>Зеркальный шкаф Альба 80 со светильником правый цвет суфле</v>
      </c>
      <c r="H3539">
        <f>VLOOKUP(D3539,Товары!A:I,6,0)</f>
        <v>75</v>
      </c>
      <c r="I3539" t="str">
        <f>VLOOKUP(C3539,Магазины!A:C,3,0)</f>
        <v>Ставрополь</v>
      </c>
      <c r="J3539">
        <f>VLOOKUP(D3539,Товары!A:I,4,0)</f>
        <v>9930</v>
      </c>
      <c r="K3539">
        <f t="shared" si="55"/>
        <v>29790</v>
      </c>
    </row>
    <row r="3540" spans="1:11" hidden="1" x14ac:dyDescent="0.25">
      <c r="A3540">
        <v>3539</v>
      </c>
      <c r="B3540" s="1">
        <v>45757</v>
      </c>
      <c r="C3540" t="s">
        <v>43</v>
      </c>
      <c r="D3540" t="s">
        <v>47</v>
      </c>
      <c r="E3540" t="s">
        <v>8</v>
      </c>
      <c r="F3540">
        <v>2</v>
      </c>
      <c r="G3540" t="str">
        <f>VLOOKUP(D3540,Товары!A:I,3,0)</f>
        <v>Пенал напол. Кристалл 350 шато азур 2 двери</v>
      </c>
      <c r="H3540">
        <f>VLOOKUP(D3540,Товары!A:I,6,0)</f>
        <v>190</v>
      </c>
      <c r="I3540" t="str">
        <f>VLOOKUP(C3540,Магазины!A:C,3,0)</f>
        <v>Набережные Челны</v>
      </c>
      <c r="J3540">
        <f>VLOOKUP(D3540,Товары!A:I,4,0)</f>
        <v>15810</v>
      </c>
      <c r="K3540">
        <f t="shared" si="55"/>
        <v>31620</v>
      </c>
    </row>
    <row r="3541" spans="1:11" hidden="1" x14ac:dyDescent="0.25">
      <c r="A3541">
        <v>3540</v>
      </c>
      <c r="B3541" s="1">
        <v>45753</v>
      </c>
      <c r="C3541" t="s">
        <v>48</v>
      </c>
      <c r="D3541" t="s">
        <v>17</v>
      </c>
      <c r="E3541" t="s">
        <v>8</v>
      </c>
      <c r="F3541">
        <v>3</v>
      </c>
      <c r="G3541" t="str">
        <f>VLOOKUP(D3541,Товары!A:I,3,0)</f>
        <v>Тумба с раковиной  навес. Альба 800 антрацит 1 ящик с умыв. Слим</v>
      </c>
      <c r="H3541">
        <f>VLOOKUP(D3541,Товары!A:I,6,0)</f>
        <v>45</v>
      </c>
      <c r="I3541" t="str">
        <f>VLOOKUP(C3541,Магазины!A:C,3,0)</f>
        <v>Ставрополь</v>
      </c>
      <c r="J3541">
        <f>VLOOKUP(D3541,Товары!A:I,4,0)</f>
        <v>21630</v>
      </c>
      <c r="K3541">
        <f t="shared" si="55"/>
        <v>64890</v>
      </c>
    </row>
    <row r="3542" spans="1:11" hidden="1" x14ac:dyDescent="0.25">
      <c r="A3542">
        <v>3541</v>
      </c>
      <c r="B3542" s="1">
        <v>45753</v>
      </c>
      <c r="C3542" t="s">
        <v>26</v>
      </c>
      <c r="D3542" t="s">
        <v>61</v>
      </c>
      <c r="E3542" t="s">
        <v>8</v>
      </c>
      <c r="F3542">
        <v>1</v>
      </c>
      <c r="G3542" t="str">
        <f>VLOOKUP(D3542,Товары!A:I,3,0)</f>
        <v>Тумба под стиральную машину Леон Риф 57 напольная 2 ящика под ст/маш, без умывальника /под Marshall 120 Солярис/Белый Риф</v>
      </c>
      <c r="H3542">
        <f>VLOOKUP(D3542,Товары!A:I,6,0)</f>
        <v>85</v>
      </c>
      <c r="I3542" t="str">
        <f>VLOOKUP(C3542,Магазины!A:C,3,0)</f>
        <v>Оренбург</v>
      </c>
      <c r="J3542">
        <f>VLOOKUP(D3542,Товары!A:I,4,0)</f>
        <v>17430</v>
      </c>
      <c r="K3542">
        <f t="shared" si="55"/>
        <v>17430</v>
      </c>
    </row>
    <row r="3543" spans="1:11" hidden="1" x14ac:dyDescent="0.25">
      <c r="A3543">
        <v>3542</v>
      </c>
      <c r="B3543" s="1">
        <v>45757</v>
      </c>
      <c r="C3543" t="s">
        <v>20</v>
      </c>
      <c r="D3543" t="s">
        <v>51</v>
      </c>
      <c r="E3543" t="s">
        <v>8</v>
      </c>
      <c r="F3543">
        <v>1</v>
      </c>
      <c r="G3543" t="str">
        <f>VLOOKUP(D3543,Товары!A:I,3,0)</f>
        <v>Зеркальный шкаф Альба 80 со светильником правый цвет суфле</v>
      </c>
      <c r="H3543">
        <f>VLOOKUP(D3543,Товары!A:I,6,0)</f>
        <v>75</v>
      </c>
      <c r="I3543" t="str">
        <f>VLOOKUP(C3543,Магазины!A:C,3,0)</f>
        <v>Оренбург</v>
      </c>
      <c r="J3543">
        <f>VLOOKUP(D3543,Товары!A:I,4,0)</f>
        <v>9930</v>
      </c>
      <c r="K3543">
        <f t="shared" si="55"/>
        <v>9930</v>
      </c>
    </row>
    <row r="3544" spans="1:11" hidden="1" x14ac:dyDescent="0.25">
      <c r="A3544">
        <v>3543</v>
      </c>
      <c r="B3544" s="1">
        <v>45752</v>
      </c>
      <c r="C3544" t="s">
        <v>20</v>
      </c>
      <c r="D3544" t="s">
        <v>62</v>
      </c>
      <c r="E3544" t="s">
        <v>8</v>
      </c>
      <c r="F3544">
        <v>3</v>
      </c>
      <c r="G3544" t="str">
        <f>VLOOKUP(D3544,Товары!A:I,3,0)</f>
        <v>Тумба с раковиной  напол. Альба 600 мята 2 ящика с умыв. Океан</v>
      </c>
      <c r="H3544">
        <f>VLOOKUP(D3544,Товары!A:I,6,0)</f>
        <v>80</v>
      </c>
      <c r="I3544" t="str">
        <f>VLOOKUP(C3544,Магазины!A:C,3,0)</f>
        <v>Оренбург</v>
      </c>
      <c r="J3544">
        <f>VLOOKUP(D3544,Товары!A:I,4,0)</f>
        <v>26370</v>
      </c>
      <c r="K3544">
        <f t="shared" si="55"/>
        <v>79110</v>
      </c>
    </row>
    <row r="3545" spans="1:11" hidden="1" x14ac:dyDescent="0.25">
      <c r="A3545">
        <v>3544</v>
      </c>
      <c r="B3545" s="1">
        <v>45756</v>
      </c>
      <c r="C3545" t="s">
        <v>58</v>
      </c>
      <c r="D3545" t="s">
        <v>131</v>
      </c>
      <c r="E3545" t="s">
        <v>8</v>
      </c>
      <c r="F3545">
        <v>1</v>
      </c>
      <c r="G3545" t="str">
        <f>VLOOKUP(D3545,Товары!A:I,3,0)</f>
        <v>Тумба с раковиной  напол. Леон 800 форест 2 ящика с умыв. Слим</v>
      </c>
      <c r="H3545">
        <f>VLOOKUP(D3545,Товары!A:I,6,0)</f>
        <v>80</v>
      </c>
      <c r="I3545" t="str">
        <f>VLOOKUP(C3545,Магазины!A:C,3,0)</f>
        <v>Ставрополь</v>
      </c>
      <c r="J3545">
        <f>VLOOKUP(D3545,Товары!A:I,4,0)</f>
        <v>29400</v>
      </c>
      <c r="K3545">
        <f t="shared" si="55"/>
        <v>29400</v>
      </c>
    </row>
    <row r="3546" spans="1:11" hidden="1" x14ac:dyDescent="0.25">
      <c r="A3546">
        <v>3545</v>
      </c>
      <c r="B3546" s="1">
        <v>45753</v>
      </c>
      <c r="C3546" t="s">
        <v>103</v>
      </c>
      <c r="D3546" t="s">
        <v>29</v>
      </c>
      <c r="E3546" t="s">
        <v>13</v>
      </c>
      <c r="F3546">
        <v>2</v>
      </c>
      <c r="G3546" t="str">
        <f>VLOOKUP(D3546,Товары!A:I,3,0)</f>
        <v>Тумба с раковиной  напол. Леон Риф 600 солярис/белый риф 2 ящика с умыв. Океан</v>
      </c>
      <c r="H3546">
        <f>VLOOKUP(D3546,Товары!A:I,6,0)</f>
        <v>80</v>
      </c>
      <c r="I3546" t="str">
        <f>VLOOKUP(C3546,Магазины!A:C,3,0)</f>
        <v>Ставрополь</v>
      </c>
      <c r="J3546">
        <f>VLOOKUP(D3546,Товары!A:I,4,0)</f>
        <v>24150</v>
      </c>
      <c r="K3546">
        <f t="shared" si="55"/>
        <v>48300</v>
      </c>
    </row>
    <row r="3547" spans="1:11" hidden="1" x14ac:dyDescent="0.25">
      <c r="A3547">
        <v>3546</v>
      </c>
      <c r="B3547" s="1">
        <v>45756</v>
      </c>
      <c r="C3547" t="s">
        <v>54</v>
      </c>
      <c r="D3547" t="s">
        <v>74</v>
      </c>
      <c r="E3547" t="s">
        <v>13</v>
      </c>
      <c r="F3547">
        <v>1</v>
      </c>
      <c r="G3547" t="str">
        <f>VLOOKUP(D3547,Товары!A:I,3,0)</f>
        <v>Тумба с раковиной  напол. Альба 800 суфле 2 ящика с умыв. Слим</v>
      </c>
      <c r="H3547">
        <f>VLOOKUP(D3547,Товары!A:I,6,0)</f>
        <v>80</v>
      </c>
      <c r="I3547" t="str">
        <f>VLOOKUP(C3547,Магазины!A:C,3,0)</f>
        <v>Ставрополь</v>
      </c>
      <c r="J3547">
        <f>VLOOKUP(D3547,Товары!A:I,4,0)</f>
        <v>29340</v>
      </c>
      <c r="K3547">
        <f t="shared" si="55"/>
        <v>29340</v>
      </c>
    </row>
    <row r="3548" spans="1:11" hidden="1" x14ac:dyDescent="0.25">
      <c r="A3548">
        <v>3547</v>
      </c>
      <c r="B3548" s="1">
        <v>45757</v>
      </c>
      <c r="C3548" t="s">
        <v>22</v>
      </c>
      <c r="D3548" t="s">
        <v>17</v>
      </c>
      <c r="E3548" t="s">
        <v>13</v>
      </c>
      <c r="F3548">
        <v>3</v>
      </c>
      <c r="G3548" t="str">
        <f>VLOOKUP(D3548,Товары!A:I,3,0)</f>
        <v>Тумба с раковиной  навес. Альба 800 антрацит 1 ящик с умыв. Слим</v>
      </c>
      <c r="H3548">
        <f>VLOOKUP(D3548,Товары!A:I,6,0)</f>
        <v>45</v>
      </c>
      <c r="I3548" t="str">
        <f>VLOOKUP(C3548,Магазины!A:C,3,0)</f>
        <v>Кемерово</v>
      </c>
      <c r="J3548">
        <f>VLOOKUP(D3548,Товары!A:I,4,0)</f>
        <v>21630</v>
      </c>
      <c r="K3548">
        <f t="shared" si="55"/>
        <v>64890</v>
      </c>
    </row>
    <row r="3549" spans="1:11" hidden="1" x14ac:dyDescent="0.25">
      <c r="A3549">
        <v>3548</v>
      </c>
      <c r="B3549" s="1">
        <v>45751</v>
      </c>
      <c r="C3549" t="s">
        <v>54</v>
      </c>
      <c r="D3549" t="s">
        <v>51</v>
      </c>
      <c r="E3549" t="s">
        <v>8</v>
      </c>
      <c r="F3549">
        <v>3</v>
      </c>
      <c r="G3549" t="str">
        <f>VLOOKUP(D3549,Товары!A:I,3,0)</f>
        <v>Зеркальный шкаф Альба 80 со светильником правый цвет суфле</v>
      </c>
      <c r="H3549">
        <f>VLOOKUP(D3549,Товары!A:I,6,0)</f>
        <v>75</v>
      </c>
      <c r="I3549" t="str">
        <f>VLOOKUP(C3549,Магазины!A:C,3,0)</f>
        <v>Ставрополь</v>
      </c>
      <c r="J3549">
        <f>VLOOKUP(D3549,Товары!A:I,4,0)</f>
        <v>9930</v>
      </c>
      <c r="K3549">
        <f t="shared" si="55"/>
        <v>29790</v>
      </c>
    </row>
    <row r="3550" spans="1:11" hidden="1" x14ac:dyDescent="0.25">
      <c r="A3550">
        <v>3549</v>
      </c>
      <c r="B3550" s="1">
        <v>45757</v>
      </c>
      <c r="C3550" t="s">
        <v>111</v>
      </c>
      <c r="D3550" t="s">
        <v>85</v>
      </c>
      <c r="E3550" t="s">
        <v>8</v>
      </c>
      <c r="F3550">
        <v>2</v>
      </c>
      <c r="G3550" t="str">
        <f>VLOOKUP(D3550,Товары!A:I,3,0)</f>
        <v>Пенал напол. Аква 450 белый 2 двери + 2 ящика + корзина</v>
      </c>
      <c r="H3550">
        <f>VLOOKUP(D3550,Товары!A:I,6,0)</f>
        <v>190</v>
      </c>
      <c r="I3550" t="str">
        <f>VLOOKUP(C3550,Магазины!A:C,3,0)</f>
        <v>Набережные Челны</v>
      </c>
      <c r="J3550">
        <f>VLOOKUP(D3550,Товары!A:I,4,0)</f>
        <v>13335</v>
      </c>
      <c r="K3550">
        <f t="shared" si="55"/>
        <v>26670</v>
      </c>
    </row>
    <row r="3551" spans="1:11" hidden="1" x14ac:dyDescent="0.25">
      <c r="A3551">
        <v>3550</v>
      </c>
      <c r="B3551" s="1">
        <v>45750</v>
      </c>
      <c r="C3551" t="s">
        <v>35</v>
      </c>
      <c r="D3551" t="s">
        <v>67</v>
      </c>
      <c r="E3551" t="s">
        <v>13</v>
      </c>
      <c r="F3551">
        <v>1</v>
      </c>
      <c r="G3551" t="str">
        <f>VLOOKUP(D3551,Товары!A:I,3,0)</f>
        <v>Пенал навес./напол. Альба 350 суфле 2 двери</v>
      </c>
      <c r="H3551">
        <f>VLOOKUP(D3551,Товары!A:I,6,0)</f>
        <v>150</v>
      </c>
      <c r="I3551" t="str">
        <f>VLOOKUP(C3551,Магазины!A:C,3,0)</f>
        <v>Набережные Челны</v>
      </c>
      <c r="J3551">
        <f>VLOOKUP(D3551,Товары!A:I,4,0)</f>
        <v>11655</v>
      </c>
      <c r="K3551">
        <f t="shared" si="55"/>
        <v>11655</v>
      </c>
    </row>
    <row r="3552" spans="1:11" hidden="1" x14ac:dyDescent="0.25">
      <c r="A3552">
        <v>3551</v>
      </c>
      <c r="B3552" s="1">
        <v>45754</v>
      </c>
      <c r="C3552" t="s">
        <v>111</v>
      </c>
      <c r="D3552" t="s">
        <v>123</v>
      </c>
      <c r="E3552" t="s">
        <v>8</v>
      </c>
      <c r="F3552">
        <v>2</v>
      </c>
      <c r="G3552" t="str">
        <f>VLOOKUP(D3552,Товары!A:I,3,0)</f>
        <v>Тумба с раковиной  напол. Кристалл 800 суфле 2 ящика с умыв. Слим</v>
      </c>
      <c r="H3552">
        <f>VLOOKUP(D3552,Товары!A:I,6,0)</f>
        <v>80</v>
      </c>
      <c r="I3552" t="str">
        <f>VLOOKUP(C3552,Магазины!A:C,3,0)</f>
        <v>Набережные Челны</v>
      </c>
      <c r="J3552">
        <f>VLOOKUP(D3552,Товары!A:I,4,0)</f>
        <v>31125</v>
      </c>
      <c r="K3552">
        <f t="shared" si="55"/>
        <v>62250</v>
      </c>
    </row>
    <row r="3553" spans="1:11" hidden="1" x14ac:dyDescent="0.25">
      <c r="A3553">
        <v>3552</v>
      </c>
      <c r="B3553" s="1">
        <v>45748</v>
      </c>
      <c r="C3553" t="s">
        <v>43</v>
      </c>
      <c r="D3553" t="s">
        <v>78</v>
      </c>
      <c r="E3553" t="s">
        <v>13</v>
      </c>
      <c r="F3553">
        <v>2</v>
      </c>
      <c r="G3553" t="str">
        <f>VLOOKUP(D3553,Товары!A:I,3,0)</f>
        <v>Зеркальный шкаф Кристалл 70 со светильником правый, ручка кнопка дуб цвет Шато Азур</v>
      </c>
      <c r="H3553">
        <f>VLOOKUP(D3553,Товары!A:I,6,0)</f>
        <v>75</v>
      </c>
      <c r="I3553" t="str">
        <f>VLOOKUP(C3553,Магазины!A:C,3,0)</f>
        <v>Набережные Челны</v>
      </c>
      <c r="J3553">
        <f>VLOOKUP(D3553,Товары!A:I,4,0)</f>
        <v>9615</v>
      </c>
      <c r="K3553">
        <f t="shared" si="55"/>
        <v>19230</v>
      </c>
    </row>
    <row r="3554" spans="1:11" hidden="1" x14ac:dyDescent="0.25">
      <c r="A3554">
        <v>3553</v>
      </c>
      <c r="B3554" s="1">
        <v>45754</v>
      </c>
      <c r="C3554" t="s">
        <v>16</v>
      </c>
      <c r="D3554" t="s">
        <v>61</v>
      </c>
      <c r="E3554" t="s">
        <v>8</v>
      </c>
      <c r="F3554">
        <v>2</v>
      </c>
      <c r="G3554" t="str">
        <f>VLOOKUP(D3554,Товары!A:I,3,0)</f>
        <v>Тумба под стиральную машину Леон Риф 57 напольная 2 ящика под ст/маш, без умывальника /под Marshall 120 Солярис/Белый Риф</v>
      </c>
      <c r="H3554">
        <f>VLOOKUP(D3554,Товары!A:I,6,0)</f>
        <v>85</v>
      </c>
      <c r="I3554" t="str">
        <f>VLOOKUP(C3554,Магазины!A:C,3,0)</f>
        <v>Оренбург</v>
      </c>
      <c r="J3554">
        <f>VLOOKUP(D3554,Товары!A:I,4,0)</f>
        <v>17430</v>
      </c>
      <c r="K3554">
        <f t="shared" si="55"/>
        <v>34860</v>
      </c>
    </row>
    <row r="3555" spans="1:11" hidden="1" x14ac:dyDescent="0.25">
      <c r="A3555">
        <v>3554</v>
      </c>
      <c r="B3555" s="1">
        <v>45750</v>
      </c>
      <c r="C3555" t="s">
        <v>103</v>
      </c>
      <c r="D3555" t="s">
        <v>29</v>
      </c>
      <c r="E3555" t="s">
        <v>8</v>
      </c>
      <c r="F3555">
        <v>2</v>
      </c>
      <c r="G3555" t="str">
        <f>VLOOKUP(D3555,Товары!A:I,3,0)</f>
        <v>Тумба с раковиной  напол. Леон Риф 600 солярис/белый риф 2 ящика с умыв. Океан</v>
      </c>
      <c r="H3555">
        <f>VLOOKUP(D3555,Товары!A:I,6,0)</f>
        <v>80</v>
      </c>
      <c r="I3555" t="str">
        <f>VLOOKUP(C3555,Магазины!A:C,3,0)</f>
        <v>Ставрополь</v>
      </c>
      <c r="J3555">
        <f>VLOOKUP(D3555,Товары!A:I,4,0)</f>
        <v>24150</v>
      </c>
      <c r="K3555">
        <f t="shared" si="55"/>
        <v>48300</v>
      </c>
    </row>
    <row r="3556" spans="1:11" hidden="1" x14ac:dyDescent="0.25">
      <c r="A3556">
        <v>3555</v>
      </c>
      <c r="B3556" s="1">
        <v>45755</v>
      </c>
      <c r="C3556" t="s">
        <v>6</v>
      </c>
      <c r="D3556" t="s">
        <v>70</v>
      </c>
      <c r="E3556" t="s">
        <v>8</v>
      </c>
      <c r="F3556">
        <v>1</v>
      </c>
      <c r="G3556" t="str">
        <f>VLOOKUP(D3556,Товары!A:I,3,0)</f>
        <v>Тумба с раковиной  напол. Кристалл 700 шато азур 2 ящика с умыв. Слим</v>
      </c>
      <c r="H3556">
        <f>VLOOKUP(D3556,Товары!A:I,6,0)</f>
        <v>85</v>
      </c>
      <c r="I3556" t="str">
        <f>VLOOKUP(C3556,Магазины!A:C,3,0)</f>
        <v>Оренбург</v>
      </c>
      <c r="J3556">
        <f>VLOOKUP(D3556,Товары!A:I,4,0)</f>
        <v>29910</v>
      </c>
      <c r="K3556">
        <f t="shared" si="55"/>
        <v>29910</v>
      </c>
    </row>
    <row r="3557" spans="1:11" hidden="1" x14ac:dyDescent="0.25">
      <c r="A3557">
        <v>3556</v>
      </c>
      <c r="B3557" s="1">
        <v>45751</v>
      </c>
      <c r="C3557" t="s">
        <v>103</v>
      </c>
      <c r="D3557" t="s">
        <v>91</v>
      </c>
      <c r="E3557" t="s">
        <v>13</v>
      </c>
      <c r="F3557">
        <v>1</v>
      </c>
      <c r="G3557" t="str">
        <f>VLOOKUP(D3557,Товары!A:I,3,0)</f>
        <v>Пенал навес./напол. Альба 350 мята 2 двери</v>
      </c>
      <c r="H3557">
        <f>VLOOKUP(D3557,Товары!A:I,6,0)</f>
        <v>150</v>
      </c>
      <c r="I3557" t="str">
        <f>VLOOKUP(C3557,Магазины!A:C,3,0)</f>
        <v>Ставрополь</v>
      </c>
      <c r="J3557">
        <f>VLOOKUP(D3557,Товары!A:I,4,0)</f>
        <v>11655</v>
      </c>
      <c r="K3557">
        <f t="shared" si="55"/>
        <v>11655</v>
      </c>
    </row>
    <row r="3558" spans="1:11" hidden="1" x14ac:dyDescent="0.25">
      <c r="A3558">
        <v>3557</v>
      </c>
      <c r="B3558" s="1">
        <v>45748</v>
      </c>
      <c r="C3558" t="s">
        <v>33</v>
      </c>
      <c r="D3558" t="s">
        <v>42</v>
      </c>
      <c r="E3558" t="s">
        <v>13</v>
      </c>
      <c r="F3558">
        <v>1</v>
      </c>
      <c r="G3558" t="str">
        <f>VLOOKUP(D3558,Товары!A:I,3,0)</f>
        <v>Тумба под стиральную машину Леон Риф 57 подвесная 2 ящика под ст/маш, без умывальника /под Marshall 120 Солярис/Белый Риф</v>
      </c>
      <c r="H3558">
        <f>VLOOKUP(D3558,Товары!A:I,6,0)</f>
        <v>60</v>
      </c>
      <c r="I3558" t="str">
        <f>VLOOKUP(C3558,Магазины!A:C,3,0)</f>
        <v>Набережные Челны</v>
      </c>
      <c r="J3558">
        <f>VLOOKUP(D3558,Товары!A:I,4,0)</f>
        <v>15495</v>
      </c>
      <c r="K3558">
        <f t="shared" si="55"/>
        <v>15495</v>
      </c>
    </row>
    <row r="3559" spans="1:11" hidden="1" x14ac:dyDescent="0.25">
      <c r="A3559">
        <v>3558</v>
      </c>
      <c r="B3559" s="1">
        <v>45752</v>
      </c>
      <c r="C3559" t="s">
        <v>22</v>
      </c>
      <c r="D3559" t="s">
        <v>89</v>
      </c>
      <c r="E3559" t="s">
        <v>8</v>
      </c>
      <c r="F3559">
        <v>1</v>
      </c>
      <c r="G3559" t="str">
        <f>VLOOKUP(D3559,Товары!A:I,3,0)</f>
        <v>Тумба с раковиной  напол. Сохо 600 белый 2 двери с умыв. Океан</v>
      </c>
      <c r="H3559">
        <f>VLOOKUP(D3559,Товары!A:I,6,0)</f>
        <v>85</v>
      </c>
      <c r="I3559" t="str">
        <f>VLOOKUP(C3559,Магазины!A:C,3,0)</f>
        <v>Кемерово</v>
      </c>
      <c r="J3559">
        <f>VLOOKUP(D3559,Товары!A:I,4,0)</f>
        <v>14880</v>
      </c>
      <c r="K3559">
        <f t="shared" si="55"/>
        <v>14880</v>
      </c>
    </row>
    <row r="3560" spans="1:11" hidden="1" x14ac:dyDescent="0.25">
      <c r="A3560">
        <v>3559</v>
      </c>
      <c r="B3560" s="1">
        <v>45754</v>
      </c>
      <c r="C3560" t="s">
        <v>57</v>
      </c>
      <c r="D3560" t="s">
        <v>69</v>
      </c>
      <c r="E3560" t="s">
        <v>8</v>
      </c>
      <c r="F3560">
        <v>2</v>
      </c>
      <c r="G3560" t="str">
        <f>VLOOKUP(D3560,Товары!A:I,3,0)</f>
        <v>Пенал навес./напол. Альба 350 антрацит 2 двери</v>
      </c>
      <c r="H3560">
        <f>VLOOKUP(D3560,Товары!A:I,6,0)</f>
        <v>150</v>
      </c>
      <c r="I3560" t="str">
        <f>VLOOKUP(C3560,Магазины!A:C,3,0)</f>
        <v>Оренбург</v>
      </c>
      <c r="J3560">
        <f>VLOOKUP(D3560,Товары!A:I,4,0)</f>
        <v>11655</v>
      </c>
      <c r="K3560">
        <f t="shared" si="55"/>
        <v>23310</v>
      </c>
    </row>
    <row r="3561" spans="1:11" hidden="1" x14ac:dyDescent="0.25">
      <c r="A3561">
        <v>3560</v>
      </c>
      <c r="B3561" s="1">
        <v>45749</v>
      </c>
      <c r="C3561" t="s">
        <v>9</v>
      </c>
      <c r="D3561" t="s">
        <v>68</v>
      </c>
      <c r="E3561" t="s">
        <v>8</v>
      </c>
      <c r="F3561">
        <v>3</v>
      </c>
      <c r="G3561" t="str">
        <f>VLOOKUP(D3561,Товары!A:I,3,0)</f>
        <v>Тумба с раковиной  навес. Альба 600 антрацит 1 ящик с умыв. Океан</v>
      </c>
      <c r="H3561">
        <f>VLOOKUP(D3561,Товары!A:I,6,0)</f>
        <v>85</v>
      </c>
      <c r="I3561" t="str">
        <f>VLOOKUP(C3561,Магазины!A:C,3,0)</f>
        <v>Кемерово</v>
      </c>
      <c r="J3561">
        <f>VLOOKUP(D3561,Товары!A:I,4,0)</f>
        <v>17625</v>
      </c>
      <c r="K3561">
        <f t="shared" si="55"/>
        <v>52875</v>
      </c>
    </row>
    <row r="3562" spans="1:11" hidden="1" x14ac:dyDescent="0.25">
      <c r="A3562">
        <v>3561</v>
      </c>
      <c r="B3562" s="1">
        <v>45757</v>
      </c>
      <c r="C3562" t="s">
        <v>103</v>
      </c>
      <c r="D3562" t="s">
        <v>60</v>
      </c>
      <c r="E3562" t="s">
        <v>13</v>
      </c>
      <c r="F3562">
        <v>2</v>
      </c>
      <c r="G3562" t="str">
        <f>VLOOKUP(D3562,Товары!A:I,3,0)</f>
        <v>Пенал навес. Куба Риф 350 белый 2 двери</v>
      </c>
      <c r="H3562">
        <f>VLOOKUP(D3562,Товары!A:I,6,0)</f>
        <v>150</v>
      </c>
      <c r="I3562" t="str">
        <f>VLOOKUP(C3562,Магазины!A:C,3,0)</f>
        <v>Ставрополь</v>
      </c>
      <c r="J3562">
        <f>VLOOKUP(D3562,Товары!A:I,4,0)</f>
        <v>9720</v>
      </c>
      <c r="K3562">
        <f t="shared" si="55"/>
        <v>19440</v>
      </c>
    </row>
    <row r="3563" spans="1:11" hidden="1" x14ac:dyDescent="0.25">
      <c r="A3563">
        <v>3562</v>
      </c>
      <c r="B3563" s="1">
        <v>45756</v>
      </c>
      <c r="C3563" t="s">
        <v>48</v>
      </c>
      <c r="D3563" t="s">
        <v>7</v>
      </c>
      <c r="E3563" t="s">
        <v>13</v>
      </c>
      <c r="F3563">
        <v>1</v>
      </c>
      <c r="G3563" t="str">
        <f>VLOOKUP(D3563,Товары!A:I,3,0)</f>
        <v>Пенал напол. Леон Риф 400 солярис/белый риф 2 двери + 1 ящик</v>
      </c>
      <c r="H3563">
        <f>VLOOKUP(D3563,Товары!A:I,6,0)</f>
        <v>190</v>
      </c>
      <c r="I3563" t="str">
        <f>VLOOKUP(C3563,Магазины!A:C,3,0)</f>
        <v>Ставрополь</v>
      </c>
      <c r="J3563">
        <f>VLOOKUP(D3563,Товары!A:I,4,0)</f>
        <v>14490</v>
      </c>
      <c r="K3563">
        <f t="shared" si="55"/>
        <v>14490</v>
      </c>
    </row>
    <row r="3564" spans="1:11" hidden="1" x14ac:dyDescent="0.25">
      <c r="A3564">
        <v>3563</v>
      </c>
      <c r="B3564" s="1">
        <v>45750</v>
      </c>
      <c r="C3564" t="s">
        <v>6</v>
      </c>
      <c r="D3564" t="s">
        <v>129</v>
      </c>
      <c r="E3564" t="s">
        <v>8</v>
      </c>
      <c r="F3564">
        <v>3</v>
      </c>
      <c r="G3564" t="str">
        <f>VLOOKUP(D3564,Товары!A:I,3,0)</f>
        <v>Тумба с раковиной  напол. Альба 700 антрацит 2 ящика с умыв. Слим</v>
      </c>
      <c r="H3564">
        <f>VLOOKUP(D3564,Товары!A:I,6,0)</f>
        <v>85</v>
      </c>
      <c r="I3564" t="str">
        <f>VLOOKUP(C3564,Магазины!A:C,3,0)</f>
        <v>Оренбург</v>
      </c>
      <c r="J3564">
        <f>VLOOKUP(D3564,Товары!A:I,4,0)</f>
        <v>28695</v>
      </c>
      <c r="K3564">
        <f t="shared" si="55"/>
        <v>86085</v>
      </c>
    </row>
    <row r="3565" spans="1:11" hidden="1" x14ac:dyDescent="0.25">
      <c r="A3565">
        <v>3564</v>
      </c>
      <c r="B3565" s="1">
        <v>45756</v>
      </c>
      <c r="C3565" t="s">
        <v>20</v>
      </c>
      <c r="D3565" t="s">
        <v>80</v>
      </c>
      <c r="E3565" t="s">
        <v>8</v>
      </c>
      <c r="F3565">
        <v>2</v>
      </c>
      <c r="G3565" t="str">
        <f>VLOOKUP(D3565,Товары!A:I,3,0)</f>
        <v>Тумба с раковиной  навес. Сохо 600 белый 2 ящика с умыв. Океан</v>
      </c>
      <c r="H3565">
        <f>VLOOKUP(D3565,Товары!A:I,6,0)</f>
        <v>55</v>
      </c>
      <c r="I3565" t="str">
        <f>VLOOKUP(C3565,Магазины!A:C,3,0)</f>
        <v>Оренбург</v>
      </c>
      <c r="J3565">
        <f>VLOOKUP(D3565,Товары!A:I,4,0)</f>
        <v>13950</v>
      </c>
      <c r="K3565">
        <f t="shared" si="55"/>
        <v>27900</v>
      </c>
    </row>
    <row r="3566" spans="1:11" hidden="1" x14ac:dyDescent="0.25">
      <c r="A3566">
        <v>3565</v>
      </c>
      <c r="B3566" s="1">
        <v>45754</v>
      </c>
      <c r="C3566" t="s">
        <v>26</v>
      </c>
      <c r="D3566" t="s">
        <v>84</v>
      </c>
      <c r="E3566" t="s">
        <v>13</v>
      </c>
      <c r="F3566">
        <v>1</v>
      </c>
      <c r="G3566" t="str">
        <f>VLOOKUP(D3566,Товары!A:I,3,0)</f>
        <v>Тумба с раковиной  напол. Куба Риф 800 белый 3 двери с умыв. Слим</v>
      </c>
      <c r="H3566">
        <f>VLOOKUP(D3566,Товары!A:I,6,0)</f>
        <v>85</v>
      </c>
      <c r="I3566" t="str">
        <f>VLOOKUP(C3566,Магазины!A:C,3,0)</f>
        <v>Оренбург</v>
      </c>
      <c r="J3566">
        <f>VLOOKUP(D3566,Товары!A:I,4,0)</f>
        <v>19920</v>
      </c>
      <c r="K3566">
        <f t="shared" si="55"/>
        <v>19920</v>
      </c>
    </row>
    <row r="3567" spans="1:11" hidden="1" x14ac:dyDescent="0.25">
      <c r="A3567">
        <v>3566</v>
      </c>
      <c r="B3567" s="1">
        <v>45756</v>
      </c>
      <c r="C3567" t="s">
        <v>9</v>
      </c>
      <c r="D3567" t="s">
        <v>60</v>
      </c>
      <c r="E3567" t="s">
        <v>13</v>
      </c>
      <c r="F3567">
        <v>1</v>
      </c>
      <c r="G3567" t="str">
        <f>VLOOKUP(D3567,Товары!A:I,3,0)</f>
        <v>Пенал навес. Куба Риф 350 белый 2 двери</v>
      </c>
      <c r="H3567">
        <f>VLOOKUP(D3567,Товары!A:I,6,0)</f>
        <v>150</v>
      </c>
      <c r="I3567" t="str">
        <f>VLOOKUP(C3567,Магазины!A:C,3,0)</f>
        <v>Кемерово</v>
      </c>
      <c r="J3567">
        <f>VLOOKUP(D3567,Товары!A:I,4,0)</f>
        <v>9720</v>
      </c>
      <c r="K3567">
        <f t="shared" si="55"/>
        <v>9720</v>
      </c>
    </row>
    <row r="3568" spans="1:11" hidden="1" x14ac:dyDescent="0.25">
      <c r="A3568">
        <v>3567</v>
      </c>
      <c r="B3568" s="1">
        <v>45756</v>
      </c>
      <c r="C3568" t="s">
        <v>9</v>
      </c>
      <c r="D3568" t="s">
        <v>64</v>
      </c>
      <c r="E3568" t="s">
        <v>13</v>
      </c>
      <c r="F3568">
        <v>3</v>
      </c>
      <c r="G3568" t="str">
        <f>VLOOKUP(D3568,Товары!A:I,3,0)</f>
        <v>Тумба с раковиной  напол. Рица 800 антрацит 2 ящика с умыв. Слим</v>
      </c>
      <c r="H3568">
        <f>VLOOKUP(D3568,Товары!A:I,6,0)</f>
        <v>80</v>
      </c>
      <c r="I3568" t="str">
        <f>VLOOKUP(C3568,Магазины!A:C,3,0)</f>
        <v>Кемерово</v>
      </c>
      <c r="J3568">
        <f>VLOOKUP(D3568,Товары!A:I,4,0)</f>
        <v>28980</v>
      </c>
      <c r="K3568">
        <f t="shared" si="55"/>
        <v>86940</v>
      </c>
    </row>
    <row r="3569" spans="1:11" hidden="1" x14ac:dyDescent="0.25">
      <c r="A3569">
        <v>3568</v>
      </c>
      <c r="B3569" s="1">
        <v>45748</v>
      </c>
      <c r="C3569" t="s">
        <v>16</v>
      </c>
      <c r="D3569" t="s">
        <v>81</v>
      </c>
      <c r="E3569" t="s">
        <v>8</v>
      </c>
      <c r="F3569">
        <v>2</v>
      </c>
      <c r="G3569" t="str">
        <f>VLOOKUP(D3569,Товары!A:I,3,0)</f>
        <v>Тумба с раковиной  навес. Рица 600 cерый/керамика 1 ящик + ниша 1 с умыв. Океан</v>
      </c>
      <c r="H3569">
        <f>VLOOKUP(D3569,Товары!A:I,6,0)</f>
        <v>60</v>
      </c>
      <c r="I3569" t="str">
        <f>VLOOKUP(C3569,Магазины!A:C,3,0)</f>
        <v>Оренбург</v>
      </c>
      <c r="J3569">
        <f>VLOOKUP(D3569,Товары!A:I,4,0)</f>
        <v>18900</v>
      </c>
      <c r="K3569">
        <f t="shared" si="55"/>
        <v>37800</v>
      </c>
    </row>
    <row r="3570" spans="1:11" hidden="1" x14ac:dyDescent="0.25">
      <c r="A3570">
        <v>3569</v>
      </c>
      <c r="B3570" s="1">
        <v>45754</v>
      </c>
      <c r="C3570" t="s">
        <v>26</v>
      </c>
      <c r="D3570" t="s">
        <v>110</v>
      </c>
      <c r="E3570" t="s">
        <v>13</v>
      </c>
      <c r="F3570">
        <v>2</v>
      </c>
      <c r="G3570" t="str">
        <f>VLOOKUP(D3570,Товары!A:I,3,0)</f>
        <v>Тумба с раковиной  напол. Альба 600 антрацит 2 ящика с умыв. Океан</v>
      </c>
      <c r="H3570">
        <f>VLOOKUP(D3570,Товары!A:I,6,0)</f>
        <v>80</v>
      </c>
      <c r="I3570" t="str">
        <f>VLOOKUP(C3570,Магазины!A:C,3,0)</f>
        <v>Оренбург</v>
      </c>
      <c r="J3570">
        <f>VLOOKUP(D3570,Товары!A:I,4,0)</f>
        <v>26370</v>
      </c>
      <c r="K3570">
        <f t="shared" si="55"/>
        <v>52740</v>
      </c>
    </row>
    <row r="3571" spans="1:11" hidden="1" x14ac:dyDescent="0.25">
      <c r="A3571">
        <v>3570</v>
      </c>
      <c r="B3571" s="1">
        <v>45750</v>
      </c>
      <c r="C3571" t="s">
        <v>63</v>
      </c>
      <c r="D3571" t="s">
        <v>7</v>
      </c>
      <c r="E3571" t="s">
        <v>8</v>
      </c>
      <c r="F3571">
        <v>2</v>
      </c>
      <c r="G3571" t="str">
        <f>VLOOKUP(D3571,Товары!A:I,3,0)</f>
        <v>Пенал напол. Леон Риф 400 солярис/белый риф 2 двери + 1 ящик</v>
      </c>
      <c r="H3571">
        <f>VLOOKUP(D3571,Товары!A:I,6,0)</f>
        <v>190</v>
      </c>
      <c r="I3571" t="str">
        <f>VLOOKUP(C3571,Магазины!A:C,3,0)</f>
        <v>Ставрополь</v>
      </c>
      <c r="J3571">
        <f>VLOOKUP(D3571,Товары!A:I,4,0)</f>
        <v>14490</v>
      </c>
      <c r="K3571">
        <f t="shared" si="55"/>
        <v>28980</v>
      </c>
    </row>
    <row r="3572" spans="1:11" hidden="1" x14ac:dyDescent="0.25">
      <c r="A3572">
        <v>3571</v>
      </c>
      <c r="B3572" s="1">
        <v>45751</v>
      </c>
      <c r="C3572" t="s">
        <v>16</v>
      </c>
      <c r="D3572" t="s">
        <v>118</v>
      </c>
      <c r="E3572" t="s">
        <v>13</v>
      </c>
      <c r="F3572">
        <v>3</v>
      </c>
      <c r="G3572" t="str">
        <f>VLOOKUP(D3572,Товары!A:I,3,0)</f>
        <v>Тумба с раковиной  напол. Сохо 800 белый 2 ящика с умыв. Слим</v>
      </c>
      <c r="H3572">
        <f>VLOOKUP(D3572,Товары!A:I,6,0)</f>
        <v>85</v>
      </c>
      <c r="I3572" t="str">
        <f>VLOOKUP(C3572,Магазины!A:C,3,0)</f>
        <v>Оренбург</v>
      </c>
      <c r="J3572">
        <f>VLOOKUP(D3572,Товары!A:I,4,0)</f>
        <v>19575</v>
      </c>
      <c r="K3572">
        <f t="shared" si="55"/>
        <v>58725</v>
      </c>
    </row>
    <row r="3573" spans="1:11" hidden="1" x14ac:dyDescent="0.25">
      <c r="A3573">
        <v>3572</v>
      </c>
      <c r="B3573" s="1">
        <v>45754</v>
      </c>
      <c r="C3573" t="s">
        <v>57</v>
      </c>
      <c r="D3573" t="s">
        <v>118</v>
      </c>
      <c r="E3573" t="s">
        <v>8</v>
      </c>
      <c r="F3573">
        <v>1</v>
      </c>
      <c r="G3573" t="str">
        <f>VLOOKUP(D3573,Товары!A:I,3,0)</f>
        <v>Тумба с раковиной  напол. Сохо 800 белый 2 ящика с умыв. Слим</v>
      </c>
      <c r="H3573">
        <f>VLOOKUP(D3573,Товары!A:I,6,0)</f>
        <v>85</v>
      </c>
      <c r="I3573" t="str">
        <f>VLOOKUP(C3573,Магазины!A:C,3,0)</f>
        <v>Оренбург</v>
      </c>
      <c r="J3573">
        <f>VLOOKUP(D3573,Товары!A:I,4,0)</f>
        <v>19575</v>
      </c>
      <c r="K3573">
        <f t="shared" si="55"/>
        <v>19575</v>
      </c>
    </row>
    <row r="3574" spans="1:11" hidden="1" x14ac:dyDescent="0.25">
      <c r="A3574">
        <v>3573</v>
      </c>
      <c r="B3574" s="1">
        <v>45753</v>
      </c>
      <c r="C3574" t="s">
        <v>16</v>
      </c>
      <c r="D3574" t="s">
        <v>49</v>
      </c>
      <c r="E3574" t="s">
        <v>8</v>
      </c>
      <c r="F3574">
        <v>1</v>
      </c>
      <c r="G3574" t="str">
        <f>VLOOKUP(D3574,Товары!A:I,3,0)</f>
        <v>Тумба с раковиной  напол. Леон 700 оникс 2 ящика с умыв. Слим</v>
      </c>
      <c r="H3574">
        <f>VLOOKUP(D3574,Товары!A:I,6,0)</f>
        <v>80</v>
      </c>
      <c r="I3574" t="str">
        <f>VLOOKUP(C3574,Магазины!A:C,3,0)</f>
        <v>Оренбург</v>
      </c>
      <c r="J3574">
        <f>VLOOKUP(D3574,Товары!A:I,4,0)</f>
        <v>28380</v>
      </c>
      <c r="K3574">
        <f t="shared" si="55"/>
        <v>28380</v>
      </c>
    </row>
    <row r="3575" spans="1:11" hidden="1" x14ac:dyDescent="0.25">
      <c r="A3575">
        <v>3574</v>
      </c>
      <c r="B3575" s="1">
        <v>45752</v>
      </c>
      <c r="C3575" t="s">
        <v>103</v>
      </c>
      <c r="D3575" t="s">
        <v>78</v>
      </c>
      <c r="E3575" t="s">
        <v>13</v>
      </c>
      <c r="F3575">
        <v>2</v>
      </c>
      <c r="G3575" t="str">
        <f>VLOOKUP(D3575,Товары!A:I,3,0)</f>
        <v>Зеркальный шкаф Кристалл 70 со светильником правый, ручка кнопка дуб цвет Шато Азур</v>
      </c>
      <c r="H3575">
        <f>VLOOKUP(D3575,Товары!A:I,6,0)</f>
        <v>75</v>
      </c>
      <c r="I3575" t="str">
        <f>VLOOKUP(C3575,Магазины!A:C,3,0)</f>
        <v>Ставрополь</v>
      </c>
      <c r="J3575">
        <f>VLOOKUP(D3575,Товары!A:I,4,0)</f>
        <v>9615</v>
      </c>
      <c r="K3575">
        <f t="shared" si="55"/>
        <v>19230</v>
      </c>
    </row>
    <row r="3576" spans="1:11" hidden="1" x14ac:dyDescent="0.25">
      <c r="A3576">
        <v>3575</v>
      </c>
      <c r="B3576" s="1">
        <v>45755</v>
      </c>
      <c r="C3576" t="s">
        <v>35</v>
      </c>
      <c r="D3576" t="s">
        <v>46</v>
      </c>
      <c r="E3576" t="s">
        <v>13</v>
      </c>
      <c r="F3576">
        <v>2</v>
      </c>
      <c r="G3576" t="str">
        <f>VLOOKUP(D3576,Товары!A:I,3,0)</f>
        <v>Тумба с раковиной  напол. Сохо 700 белый 2 ящика с умыв. Слим</v>
      </c>
      <c r="H3576">
        <f>VLOOKUP(D3576,Товары!A:I,6,0)</f>
        <v>85</v>
      </c>
      <c r="I3576" t="str">
        <f>VLOOKUP(C3576,Магазины!A:C,3,0)</f>
        <v>Набережные Челны</v>
      </c>
      <c r="J3576">
        <f>VLOOKUP(D3576,Товары!A:I,4,0)</f>
        <v>18405</v>
      </c>
      <c r="K3576">
        <f t="shared" si="55"/>
        <v>36810</v>
      </c>
    </row>
    <row r="3577" spans="1:11" hidden="1" x14ac:dyDescent="0.25">
      <c r="A3577">
        <v>3576</v>
      </c>
      <c r="B3577" s="1">
        <v>45752</v>
      </c>
      <c r="C3577" t="s">
        <v>92</v>
      </c>
      <c r="D3577" t="s">
        <v>100</v>
      </c>
      <c r="E3577" t="s">
        <v>8</v>
      </c>
      <c r="F3577">
        <v>3</v>
      </c>
      <c r="G3577" t="str">
        <f>VLOOKUP(D3577,Товары!A:I,3,0)</f>
        <v>Тумба с раковиной  навес. Альба 800 мята 1 ящик с умыв. Слим</v>
      </c>
      <c r="H3577">
        <f>VLOOKUP(D3577,Товары!A:I,6,0)</f>
        <v>45</v>
      </c>
      <c r="I3577" t="str">
        <f>VLOOKUP(C3577,Магазины!A:C,3,0)</f>
        <v>Кемерово</v>
      </c>
      <c r="J3577">
        <f>VLOOKUP(D3577,Товары!A:I,4,0)</f>
        <v>21630</v>
      </c>
      <c r="K3577">
        <f t="shared" si="55"/>
        <v>64890</v>
      </c>
    </row>
    <row r="3578" spans="1:11" hidden="1" x14ac:dyDescent="0.25">
      <c r="A3578">
        <v>3577</v>
      </c>
      <c r="B3578" s="1">
        <v>45753</v>
      </c>
      <c r="C3578" t="s">
        <v>33</v>
      </c>
      <c r="D3578" t="s">
        <v>19</v>
      </c>
      <c r="E3578" t="s">
        <v>13</v>
      </c>
      <c r="F3578">
        <v>3</v>
      </c>
      <c r="G3578" t="str">
        <f>VLOOKUP(D3578,Товары!A:I,3,0)</f>
        <v>Тумба с раковиной  навес. Леон 800 оникс 2 ящика с умыв. Слим</v>
      </c>
      <c r="H3578">
        <f>VLOOKUP(D3578,Товары!A:I,6,0)</f>
        <v>60</v>
      </c>
      <c r="I3578" t="str">
        <f>VLOOKUP(C3578,Магазины!A:C,3,0)</f>
        <v>Набережные Челны</v>
      </c>
      <c r="J3578">
        <f>VLOOKUP(D3578,Товары!A:I,4,0)</f>
        <v>27930</v>
      </c>
      <c r="K3578">
        <f t="shared" si="55"/>
        <v>83790</v>
      </c>
    </row>
    <row r="3579" spans="1:11" hidden="1" x14ac:dyDescent="0.25">
      <c r="A3579">
        <v>3578</v>
      </c>
      <c r="B3579" s="1">
        <v>45751</v>
      </c>
      <c r="C3579" t="s">
        <v>103</v>
      </c>
      <c r="D3579" t="s">
        <v>118</v>
      </c>
      <c r="E3579" t="s">
        <v>8</v>
      </c>
      <c r="F3579">
        <v>3</v>
      </c>
      <c r="G3579" t="str">
        <f>VLOOKUP(D3579,Товары!A:I,3,0)</f>
        <v>Тумба с раковиной  напол. Сохо 800 белый 2 ящика с умыв. Слим</v>
      </c>
      <c r="H3579">
        <f>VLOOKUP(D3579,Товары!A:I,6,0)</f>
        <v>85</v>
      </c>
      <c r="I3579" t="str">
        <f>VLOOKUP(C3579,Магазины!A:C,3,0)</f>
        <v>Ставрополь</v>
      </c>
      <c r="J3579">
        <f>VLOOKUP(D3579,Товары!A:I,4,0)</f>
        <v>19575</v>
      </c>
      <c r="K3579">
        <f t="shared" si="55"/>
        <v>58725</v>
      </c>
    </row>
    <row r="3580" spans="1:11" hidden="1" x14ac:dyDescent="0.25">
      <c r="A3580">
        <v>3579</v>
      </c>
      <c r="B3580" s="1">
        <v>45754</v>
      </c>
      <c r="C3580" t="s">
        <v>9</v>
      </c>
      <c r="D3580" t="s">
        <v>67</v>
      </c>
      <c r="E3580" t="s">
        <v>8</v>
      </c>
      <c r="F3580">
        <v>2</v>
      </c>
      <c r="G3580" t="str">
        <f>VLOOKUP(D3580,Товары!A:I,3,0)</f>
        <v>Пенал навес./напол. Альба 350 суфле 2 двери</v>
      </c>
      <c r="H3580">
        <f>VLOOKUP(D3580,Товары!A:I,6,0)</f>
        <v>150</v>
      </c>
      <c r="I3580" t="str">
        <f>VLOOKUP(C3580,Магазины!A:C,3,0)</f>
        <v>Кемерово</v>
      </c>
      <c r="J3580">
        <f>VLOOKUP(D3580,Товары!A:I,4,0)</f>
        <v>11655</v>
      </c>
      <c r="K3580">
        <f t="shared" si="55"/>
        <v>23310</v>
      </c>
    </row>
    <row r="3581" spans="1:11" hidden="1" x14ac:dyDescent="0.25">
      <c r="A3581">
        <v>3580</v>
      </c>
      <c r="B3581" s="1">
        <v>45754</v>
      </c>
      <c r="C3581" t="s">
        <v>58</v>
      </c>
      <c r="D3581" t="s">
        <v>12</v>
      </c>
      <c r="E3581" t="s">
        <v>13</v>
      </c>
      <c r="F3581">
        <v>1</v>
      </c>
      <c r="G3581" t="str">
        <f>VLOOKUP(D3581,Товары!A:I,3,0)</f>
        <v>Тумба с раковиной  напол. Сохо 700 белый 2 двери с умыв. Слим</v>
      </c>
      <c r="H3581">
        <f>VLOOKUP(D3581,Товары!A:I,6,0)</f>
        <v>85</v>
      </c>
      <c r="I3581" t="str">
        <f>VLOOKUP(C3581,Магазины!A:C,3,0)</f>
        <v>Ставрополь</v>
      </c>
      <c r="J3581">
        <f>VLOOKUP(D3581,Товары!A:I,4,0)</f>
        <v>17160</v>
      </c>
      <c r="K3581">
        <f t="shared" si="55"/>
        <v>17160</v>
      </c>
    </row>
    <row r="3582" spans="1:11" hidden="1" x14ac:dyDescent="0.25">
      <c r="A3582">
        <v>3581</v>
      </c>
      <c r="B3582" s="1">
        <v>45750</v>
      </c>
      <c r="C3582" t="s">
        <v>14</v>
      </c>
      <c r="D3582" t="s">
        <v>123</v>
      </c>
      <c r="E3582" t="s">
        <v>13</v>
      </c>
      <c r="F3582">
        <v>1</v>
      </c>
      <c r="G3582" t="str">
        <f>VLOOKUP(D3582,Товары!A:I,3,0)</f>
        <v>Тумба с раковиной  напол. Кристалл 800 суфле 2 ящика с умыв. Слим</v>
      </c>
      <c r="H3582">
        <f>VLOOKUP(D3582,Товары!A:I,6,0)</f>
        <v>80</v>
      </c>
      <c r="I3582" t="str">
        <f>VLOOKUP(C3582,Магазины!A:C,3,0)</f>
        <v>Оренбург</v>
      </c>
      <c r="J3582">
        <f>VLOOKUP(D3582,Товары!A:I,4,0)</f>
        <v>31125</v>
      </c>
      <c r="K3582">
        <f t="shared" si="55"/>
        <v>31125</v>
      </c>
    </row>
    <row r="3583" spans="1:11" hidden="1" x14ac:dyDescent="0.25">
      <c r="A3583">
        <v>3582</v>
      </c>
      <c r="B3583" s="1">
        <v>45753</v>
      </c>
      <c r="C3583" t="s">
        <v>9</v>
      </c>
      <c r="D3583" t="s">
        <v>17</v>
      </c>
      <c r="E3583" t="s">
        <v>13</v>
      </c>
      <c r="F3583">
        <v>2</v>
      </c>
      <c r="G3583" t="str">
        <f>VLOOKUP(D3583,Товары!A:I,3,0)</f>
        <v>Тумба с раковиной  навес. Альба 800 антрацит 1 ящик с умыв. Слим</v>
      </c>
      <c r="H3583">
        <f>VLOOKUP(D3583,Товары!A:I,6,0)</f>
        <v>45</v>
      </c>
      <c r="I3583" t="str">
        <f>VLOOKUP(C3583,Магазины!A:C,3,0)</f>
        <v>Кемерово</v>
      </c>
      <c r="J3583">
        <f>VLOOKUP(D3583,Товары!A:I,4,0)</f>
        <v>21630</v>
      </c>
      <c r="K3583">
        <f t="shared" si="55"/>
        <v>43260</v>
      </c>
    </row>
    <row r="3584" spans="1:11" hidden="1" x14ac:dyDescent="0.25">
      <c r="A3584">
        <v>3583</v>
      </c>
      <c r="B3584" s="1">
        <v>45750</v>
      </c>
      <c r="C3584" t="s">
        <v>11</v>
      </c>
      <c r="D3584" t="s">
        <v>34</v>
      </c>
      <c r="E3584" t="s">
        <v>8</v>
      </c>
      <c r="F3584">
        <v>1</v>
      </c>
      <c r="G3584" t="str">
        <f>VLOOKUP(D3584,Товары!A:I,3,0)</f>
        <v>Тумба с раковиной  навес. Леон 700 форест 2 ящика с умыв. Слим</v>
      </c>
      <c r="H3584">
        <f>VLOOKUP(D3584,Товары!A:I,6,0)</f>
        <v>60</v>
      </c>
      <c r="I3584" t="str">
        <f>VLOOKUP(C3584,Магазины!A:C,3,0)</f>
        <v>Кемерово</v>
      </c>
      <c r="J3584">
        <f>VLOOKUP(D3584,Товары!A:I,4,0)</f>
        <v>26220</v>
      </c>
      <c r="K3584">
        <f t="shared" si="55"/>
        <v>26220</v>
      </c>
    </row>
    <row r="3585" spans="1:11" hidden="1" x14ac:dyDescent="0.25">
      <c r="A3585">
        <v>3584</v>
      </c>
      <c r="B3585" s="1">
        <v>45750</v>
      </c>
      <c r="C3585" t="s">
        <v>33</v>
      </c>
      <c r="D3585" t="s">
        <v>36</v>
      </c>
      <c r="E3585" t="s">
        <v>8</v>
      </c>
      <c r="F3585">
        <v>3</v>
      </c>
      <c r="G3585" t="str">
        <f>VLOOKUP(D3585,Товары!A:I,3,0)</f>
        <v>Тумба с раковиной  напол. Альба 800 мята 2 ящика с умыв. Слим</v>
      </c>
      <c r="H3585">
        <f>VLOOKUP(D3585,Товары!A:I,6,0)</f>
        <v>80</v>
      </c>
      <c r="I3585" t="str">
        <f>VLOOKUP(C3585,Магазины!A:C,3,0)</f>
        <v>Набережные Челны</v>
      </c>
      <c r="J3585">
        <f>VLOOKUP(D3585,Товары!A:I,4,0)</f>
        <v>29340</v>
      </c>
      <c r="K3585">
        <f t="shared" si="55"/>
        <v>88020</v>
      </c>
    </row>
    <row r="3586" spans="1:11" hidden="1" x14ac:dyDescent="0.25">
      <c r="A3586">
        <v>3585</v>
      </c>
      <c r="B3586" s="1">
        <v>45754</v>
      </c>
      <c r="C3586" t="s">
        <v>35</v>
      </c>
      <c r="D3586" t="s">
        <v>86</v>
      </c>
      <c r="E3586" t="s">
        <v>13</v>
      </c>
      <c r="F3586">
        <v>3</v>
      </c>
      <c r="G3586" t="str">
        <f>VLOOKUP(D3586,Товары!A:I,3,0)</f>
        <v>Комод Аква 50 напольный 1 ящик 2 двери белый</v>
      </c>
      <c r="H3586">
        <f>VLOOKUP(D3586,Товары!A:I,6,0)</f>
        <v>90</v>
      </c>
      <c r="I3586" t="str">
        <f>VLOOKUP(C3586,Магазины!A:C,3,0)</f>
        <v>Набережные Челны</v>
      </c>
      <c r="J3586">
        <f>VLOOKUP(D3586,Товары!A:I,4,0)</f>
        <v>7260</v>
      </c>
      <c r="K3586">
        <f t="shared" si="55"/>
        <v>21780</v>
      </c>
    </row>
    <row r="3587" spans="1:11" hidden="1" x14ac:dyDescent="0.25">
      <c r="A3587">
        <v>3586</v>
      </c>
      <c r="B3587" s="1">
        <v>45753</v>
      </c>
      <c r="C3587" t="s">
        <v>57</v>
      </c>
      <c r="D3587" t="s">
        <v>125</v>
      </c>
      <c r="E3587" t="s">
        <v>8</v>
      </c>
      <c r="F3587">
        <v>2</v>
      </c>
      <c r="G3587" t="str">
        <f>VLOOKUP(D3587,Товары!A:I,3,0)</f>
        <v>Зеркальный шкаф Сохо 60 белый со светильником правый цвет Белый глянец</v>
      </c>
      <c r="H3587">
        <f>VLOOKUP(D3587,Товары!A:I,6,0)</f>
        <v>75</v>
      </c>
      <c r="I3587" t="str">
        <f>VLOOKUP(C3587,Магазины!A:C,3,0)</f>
        <v>Оренбург</v>
      </c>
      <c r="J3587">
        <f>VLOOKUP(D3587,Товары!A:I,4,0)</f>
        <v>7395</v>
      </c>
      <c r="K3587">
        <f t="shared" ref="K3587:K3650" si="56">J3587*F3587</f>
        <v>14790</v>
      </c>
    </row>
    <row r="3588" spans="1:11" hidden="1" x14ac:dyDescent="0.25">
      <c r="A3588">
        <v>3587</v>
      </c>
      <c r="B3588" s="1">
        <v>45750</v>
      </c>
      <c r="C3588" t="s">
        <v>43</v>
      </c>
      <c r="D3588" t="s">
        <v>21</v>
      </c>
      <c r="E3588" t="s">
        <v>8</v>
      </c>
      <c r="F3588">
        <v>1</v>
      </c>
      <c r="G3588" t="str">
        <f>VLOOKUP(D3588,Товары!A:I,3,0)</f>
        <v>Зеркальный шкаф Рица 60 со светильником правый цвет cерый/керамика</v>
      </c>
      <c r="H3588">
        <f>VLOOKUP(D3588,Товары!A:I,6,0)</f>
        <v>75</v>
      </c>
      <c r="I3588" t="str">
        <f>VLOOKUP(C3588,Магазины!A:C,3,0)</f>
        <v>Набережные Челны</v>
      </c>
      <c r="J3588">
        <f>VLOOKUP(D3588,Товары!A:I,4,0)</f>
        <v>8910</v>
      </c>
      <c r="K3588">
        <f t="shared" si="56"/>
        <v>8910</v>
      </c>
    </row>
    <row r="3589" spans="1:11" hidden="1" x14ac:dyDescent="0.25">
      <c r="A3589">
        <v>3588</v>
      </c>
      <c r="B3589" s="1">
        <v>45754</v>
      </c>
      <c r="C3589" t="s">
        <v>28</v>
      </c>
      <c r="D3589" t="s">
        <v>12</v>
      </c>
      <c r="E3589" t="s">
        <v>13</v>
      </c>
      <c r="F3589">
        <v>3</v>
      </c>
      <c r="G3589" t="str">
        <f>VLOOKUP(D3589,Товары!A:I,3,0)</f>
        <v>Тумба с раковиной  напол. Сохо 700 белый 2 двери с умыв. Слим</v>
      </c>
      <c r="H3589">
        <f>VLOOKUP(D3589,Товары!A:I,6,0)</f>
        <v>85</v>
      </c>
      <c r="I3589" t="str">
        <f>VLOOKUP(C3589,Магазины!A:C,3,0)</f>
        <v>Набережные Челны</v>
      </c>
      <c r="J3589">
        <f>VLOOKUP(D3589,Товары!A:I,4,0)</f>
        <v>17160</v>
      </c>
      <c r="K3589">
        <f t="shared" si="56"/>
        <v>51480</v>
      </c>
    </row>
    <row r="3590" spans="1:11" hidden="1" x14ac:dyDescent="0.25">
      <c r="A3590">
        <v>3589</v>
      </c>
      <c r="B3590" s="1">
        <v>45753</v>
      </c>
      <c r="C3590" t="s">
        <v>103</v>
      </c>
      <c r="D3590" t="s">
        <v>34</v>
      </c>
      <c r="E3590" t="s">
        <v>13</v>
      </c>
      <c r="F3590">
        <v>3</v>
      </c>
      <c r="G3590" t="str">
        <f>VLOOKUP(D3590,Товары!A:I,3,0)</f>
        <v>Тумба с раковиной  навес. Леон 700 форест 2 ящика с умыв. Слим</v>
      </c>
      <c r="H3590">
        <f>VLOOKUP(D3590,Товары!A:I,6,0)</f>
        <v>60</v>
      </c>
      <c r="I3590" t="str">
        <f>VLOOKUP(C3590,Магазины!A:C,3,0)</f>
        <v>Ставрополь</v>
      </c>
      <c r="J3590">
        <f>VLOOKUP(D3590,Товары!A:I,4,0)</f>
        <v>26220</v>
      </c>
      <c r="K3590">
        <f t="shared" si="56"/>
        <v>78660</v>
      </c>
    </row>
    <row r="3591" spans="1:11" hidden="1" x14ac:dyDescent="0.25">
      <c r="A3591">
        <v>3590</v>
      </c>
      <c r="B3591" s="1">
        <v>45753</v>
      </c>
      <c r="C3591" t="s">
        <v>92</v>
      </c>
      <c r="D3591" t="s">
        <v>78</v>
      </c>
      <c r="E3591" t="s">
        <v>8</v>
      </c>
      <c r="F3591">
        <v>1</v>
      </c>
      <c r="G3591" t="str">
        <f>VLOOKUP(D3591,Товары!A:I,3,0)</f>
        <v>Зеркальный шкаф Кристалл 70 со светильником правый, ручка кнопка дуб цвет Шато Азур</v>
      </c>
      <c r="H3591">
        <f>VLOOKUP(D3591,Товары!A:I,6,0)</f>
        <v>75</v>
      </c>
      <c r="I3591" t="str">
        <f>VLOOKUP(C3591,Магазины!A:C,3,0)</f>
        <v>Кемерово</v>
      </c>
      <c r="J3591">
        <f>VLOOKUP(D3591,Товары!A:I,4,0)</f>
        <v>9615</v>
      </c>
      <c r="K3591">
        <f t="shared" si="56"/>
        <v>9615</v>
      </c>
    </row>
    <row r="3592" spans="1:11" hidden="1" x14ac:dyDescent="0.25">
      <c r="A3592">
        <v>3591</v>
      </c>
      <c r="B3592" s="1">
        <v>45756</v>
      </c>
      <c r="C3592" t="s">
        <v>57</v>
      </c>
      <c r="D3592" t="s">
        <v>88</v>
      </c>
      <c r="E3592" t="s">
        <v>13</v>
      </c>
      <c r="F3592">
        <v>1</v>
      </c>
      <c r="G3592" t="str">
        <f>VLOOKUP(D3592,Товары!A:I,3,0)</f>
        <v>Тумба с раковиной  навес. Альба 800 антрацит 2 ящика с умыв. Слим</v>
      </c>
      <c r="H3592">
        <f>VLOOKUP(D3592,Товары!A:I,6,0)</f>
        <v>50</v>
      </c>
      <c r="I3592" t="str">
        <f>VLOOKUP(C3592,Магазины!A:C,3,0)</f>
        <v>Оренбург</v>
      </c>
      <c r="J3592">
        <f>VLOOKUP(D3592,Товары!A:I,4,0)</f>
        <v>26070</v>
      </c>
      <c r="K3592">
        <f t="shared" si="56"/>
        <v>26070</v>
      </c>
    </row>
    <row r="3593" spans="1:11" hidden="1" x14ac:dyDescent="0.25">
      <c r="A3593">
        <v>3592</v>
      </c>
      <c r="B3593" s="1">
        <v>45752</v>
      </c>
      <c r="C3593" t="s">
        <v>28</v>
      </c>
      <c r="D3593" t="s">
        <v>66</v>
      </c>
      <c r="E3593" t="s">
        <v>13</v>
      </c>
      <c r="F3593">
        <v>3</v>
      </c>
      <c r="G3593" t="str">
        <f>VLOOKUP(D3593,Товары!A:I,3,0)</f>
        <v>Тумба с раковиной  навес. Альба 800 мята 2 ящика с умыв. Слим</v>
      </c>
      <c r="H3593">
        <f>VLOOKUP(D3593,Товары!A:I,6,0)</f>
        <v>50</v>
      </c>
      <c r="I3593" t="str">
        <f>VLOOKUP(C3593,Магазины!A:C,3,0)</f>
        <v>Набережные Челны</v>
      </c>
      <c r="J3593">
        <f>VLOOKUP(D3593,Товары!A:I,4,0)</f>
        <v>26070</v>
      </c>
      <c r="K3593">
        <f t="shared" si="56"/>
        <v>78210</v>
      </c>
    </row>
    <row r="3594" spans="1:11" hidden="1" x14ac:dyDescent="0.25">
      <c r="A3594">
        <v>3593</v>
      </c>
      <c r="B3594" s="1">
        <v>45752</v>
      </c>
      <c r="C3594" t="s">
        <v>48</v>
      </c>
      <c r="D3594" t="s">
        <v>67</v>
      </c>
      <c r="E3594" t="s">
        <v>8</v>
      </c>
      <c r="F3594">
        <v>3</v>
      </c>
      <c r="G3594" t="str">
        <f>VLOOKUP(D3594,Товары!A:I,3,0)</f>
        <v>Пенал навес./напол. Альба 350 суфле 2 двери</v>
      </c>
      <c r="H3594">
        <f>VLOOKUP(D3594,Товары!A:I,6,0)</f>
        <v>150</v>
      </c>
      <c r="I3594" t="str">
        <f>VLOOKUP(C3594,Магазины!A:C,3,0)</f>
        <v>Ставрополь</v>
      </c>
      <c r="J3594">
        <f>VLOOKUP(D3594,Товары!A:I,4,0)</f>
        <v>11655</v>
      </c>
      <c r="K3594">
        <f t="shared" si="56"/>
        <v>34965</v>
      </c>
    </row>
    <row r="3595" spans="1:11" hidden="1" x14ac:dyDescent="0.25">
      <c r="A3595">
        <v>3594</v>
      </c>
      <c r="B3595" s="1">
        <v>45752</v>
      </c>
      <c r="C3595" t="s">
        <v>111</v>
      </c>
      <c r="D3595" t="s">
        <v>82</v>
      </c>
      <c r="E3595" t="s">
        <v>13</v>
      </c>
      <c r="F3595">
        <v>3</v>
      </c>
      <c r="G3595" t="str">
        <f>VLOOKUP(D3595,Товары!A:I,3,0)</f>
        <v>Тумба с раковиной  навес. Леон 800 форест 2 ящика с умыв. Слим</v>
      </c>
      <c r="H3595">
        <f>VLOOKUP(D3595,Товары!A:I,6,0)</f>
        <v>60</v>
      </c>
      <c r="I3595" t="str">
        <f>VLOOKUP(C3595,Магазины!A:C,3,0)</f>
        <v>Набережные Челны</v>
      </c>
      <c r="J3595">
        <f>VLOOKUP(D3595,Товары!A:I,4,0)</f>
        <v>27930</v>
      </c>
      <c r="K3595">
        <f t="shared" si="56"/>
        <v>83790</v>
      </c>
    </row>
    <row r="3596" spans="1:11" hidden="1" x14ac:dyDescent="0.25">
      <c r="A3596">
        <v>3595</v>
      </c>
      <c r="B3596" s="1">
        <v>45749</v>
      </c>
      <c r="C3596" t="s">
        <v>16</v>
      </c>
      <c r="D3596" t="s">
        <v>99</v>
      </c>
      <c r="E3596" t="s">
        <v>8</v>
      </c>
      <c r="F3596">
        <v>2</v>
      </c>
      <c r="G3596" t="str">
        <f>VLOOKUP(D3596,Товары!A:I,3,0)</f>
        <v>Тумба с раковиной  навес. Леон 600 оникс 2 ящика с умыв. Слим</v>
      </c>
      <c r="H3596">
        <f>VLOOKUP(D3596,Товары!A:I,6,0)</f>
        <v>60</v>
      </c>
      <c r="I3596" t="str">
        <f>VLOOKUP(C3596,Магазины!A:C,3,0)</f>
        <v>Оренбург</v>
      </c>
      <c r="J3596">
        <f>VLOOKUP(D3596,Товары!A:I,4,0)</f>
        <v>25125</v>
      </c>
      <c r="K3596">
        <f t="shared" si="56"/>
        <v>50250</v>
      </c>
    </row>
    <row r="3597" spans="1:11" hidden="1" x14ac:dyDescent="0.25">
      <c r="A3597">
        <v>3596</v>
      </c>
      <c r="B3597" s="1">
        <v>45754</v>
      </c>
      <c r="C3597" t="s">
        <v>6</v>
      </c>
      <c r="D3597" t="s">
        <v>67</v>
      </c>
      <c r="E3597" t="s">
        <v>13</v>
      </c>
      <c r="F3597">
        <v>1</v>
      </c>
      <c r="G3597" t="str">
        <f>VLOOKUP(D3597,Товары!A:I,3,0)</f>
        <v>Пенал навес./напол. Альба 350 суфле 2 двери</v>
      </c>
      <c r="H3597">
        <f>VLOOKUP(D3597,Товары!A:I,6,0)</f>
        <v>150</v>
      </c>
      <c r="I3597" t="str">
        <f>VLOOKUP(C3597,Магазины!A:C,3,0)</f>
        <v>Оренбург</v>
      </c>
      <c r="J3597">
        <f>VLOOKUP(D3597,Товары!A:I,4,0)</f>
        <v>11655</v>
      </c>
      <c r="K3597">
        <f t="shared" si="56"/>
        <v>11655</v>
      </c>
    </row>
    <row r="3598" spans="1:11" hidden="1" x14ac:dyDescent="0.25">
      <c r="A3598">
        <v>3597</v>
      </c>
      <c r="B3598" s="1">
        <v>45748</v>
      </c>
      <c r="C3598" t="s">
        <v>111</v>
      </c>
      <c r="D3598" t="s">
        <v>34</v>
      </c>
      <c r="E3598" t="s">
        <v>13</v>
      </c>
      <c r="F3598">
        <v>3</v>
      </c>
      <c r="G3598" t="str">
        <f>VLOOKUP(D3598,Товары!A:I,3,0)</f>
        <v>Тумба с раковиной  навес. Леон 700 форест 2 ящика с умыв. Слим</v>
      </c>
      <c r="H3598">
        <f>VLOOKUP(D3598,Товары!A:I,6,0)</f>
        <v>60</v>
      </c>
      <c r="I3598" t="str">
        <f>VLOOKUP(C3598,Магазины!A:C,3,0)</f>
        <v>Набережные Челны</v>
      </c>
      <c r="J3598">
        <f>VLOOKUP(D3598,Товары!A:I,4,0)</f>
        <v>26220</v>
      </c>
      <c r="K3598">
        <f t="shared" si="56"/>
        <v>78660</v>
      </c>
    </row>
    <row r="3599" spans="1:11" hidden="1" x14ac:dyDescent="0.25">
      <c r="A3599">
        <v>3598</v>
      </c>
      <c r="B3599" s="1">
        <v>45751</v>
      </c>
      <c r="C3599" t="s">
        <v>41</v>
      </c>
      <c r="D3599" t="s">
        <v>114</v>
      </c>
      <c r="E3599" t="s">
        <v>8</v>
      </c>
      <c r="F3599">
        <v>2</v>
      </c>
      <c r="G3599" t="str">
        <f>VLOOKUP(D3599,Товары!A:I,3,0)</f>
        <v>Тумба с раковиной  навес. Альба 700 мята 2 ящика с умыв. Слим</v>
      </c>
      <c r="H3599">
        <f>VLOOKUP(D3599,Товары!A:I,6,0)</f>
        <v>60</v>
      </c>
      <c r="I3599" t="str">
        <f>VLOOKUP(C3599,Магазины!A:C,3,0)</f>
        <v>Ставрополь</v>
      </c>
      <c r="J3599">
        <f>VLOOKUP(D3599,Товары!A:I,4,0)</f>
        <v>25095</v>
      </c>
      <c r="K3599">
        <f t="shared" si="56"/>
        <v>50190</v>
      </c>
    </row>
    <row r="3600" spans="1:11" hidden="1" x14ac:dyDescent="0.25">
      <c r="A3600">
        <v>3599</v>
      </c>
      <c r="B3600" s="1">
        <v>45750</v>
      </c>
      <c r="C3600" t="s">
        <v>14</v>
      </c>
      <c r="D3600" t="s">
        <v>86</v>
      </c>
      <c r="E3600" t="s">
        <v>8</v>
      </c>
      <c r="F3600">
        <v>3</v>
      </c>
      <c r="G3600" t="str">
        <f>VLOOKUP(D3600,Товары!A:I,3,0)</f>
        <v>Комод Аква 50 напольный 1 ящик 2 двери белый</v>
      </c>
      <c r="H3600">
        <f>VLOOKUP(D3600,Товары!A:I,6,0)</f>
        <v>90</v>
      </c>
      <c r="I3600" t="str">
        <f>VLOOKUP(C3600,Магазины!A:C,3,0)</f>
        <v>Оренбург</v>
      </c>
      <c r="J3600">
        <f>VLOOKUP(D3600,Товары!A:I,4,0)</f>
        <v>7260</v>
      </c>
      <c r="K3600">
        <f t="shared" si="56"/>
        <v>21780</v>
      </c>
    </row>
    <row r="3601" spans="1:11" hidden="1" x14ac:dyDescent="0.25">
      <c r="A3601">
        <v>3600</v>
      </c>
      <c r="B3601" s="1">
        <v>45757</v>
      </c>
      <c r="C3601" t="s">
        <v>92</v>
      </c>
      <c r="D3601" t="s">
        <v>38</v>
      </c>
      <c r="E3601" t="s">
        <v>8</v>
      </c>
      <c r="F3601">
        <v>3</v>
      </c>
      <c r="G3601" t="str">
        <f>VLOOKUP(D3601,Товары!A:I,3,0)</f>
        <v>Тумба с раковиной  навес. Куба Риф 600 белый 2 ящика с умыв. Como</v>
      </c>
      <c r="H3601">
        <f>VLOOKUP(D3601,Товары!A:I,6,0)</f>
        <v>55</v>
      </c>
      <c r="I3601" t="str">
        <f>VLOOKUP(C3601,Магазины!A:C,3,0)</f>
        <v>Кемерово</v>
      </c>
      <c r="J3601">
        <f>VLOOKUP(D3601,Товары!A:I,4,0)</f>
        <v>14265</v>
      </c>
      <c r="K3601">
        <f t="shared" si="56"/>
        <v>42795</v>
      </c>
    </row>
    <row r="3602" spans="1:11" hidden="1" x14ac:dyDescent="0.25">
      <c r="A3602">
        <v>3601</v>
      </c>
      <c r="B3602" s="1">
        <v>45755</v>
      </c>
      <c r="C3602" t="s">
        <v>6</v>
      </c>
      <c r="D3602" t="s">
        <v>12</v>
      </c>
      <c r="E3602" t="s">
        <v>13</v>
      </c>
      <c r="F3602">
        <v>2</v>
      </c>
      <c r="G3602" t="str">
        <f>VLOOKUP(D3602,Товары!A:I,3,0)</f>
        <v>Тумба с раковиной  напол. Сохо 700 белый 2 двери с умыв. Слим</v>
      </c>
      <c r="H3602">
        <f>VLOOKUP(D3602,Товары!A:I,6,0)</f>
        <v>85</v>
      </c>
      <c r="I3602" t="str">
        <f>VLOOKUP(C3602,Магазины!A:C,3,0)</f>
        <v>Оренбург</v>
      </c>
      <c r="J3602">
        <f>VLOOKUP(D3602,Товары!A:I,4,0)</f>
        <v>17160</v>
      </c>
      <c r="K3602">
        <f t="shared" si="56"/>
        <v>34320</v>
      </c>
    </row>
    <row r="3603" spans="1:11" hidden="1" x14ac:dyDescent="0.25">
      <c r="A3603">
        <v>3602</v>
      </c>
      <c r="B3603" s="1">
        <v>45750</v>
      </c>
      <c r="C3603" t="s">
        <v>22</v>
      </c>
      <c r="D3603" t="s">
        <v>118</v>
      </c>
      <c r="E3603" t="s">
        <v>13</v>
      </c>
      <c r="F3603">
        <v>1</v>
      </c>
      <c r="G3603" t="str">
        <f>VLOOKUP(D3603,Товары!A:I,3,0)</f>
        <v>Тумба с раковиной  напол. Сохо 800 белый 2 ящика с умыв. Слим</v>
      </c>
      <c r="H3603">
        <f>VLOOKUP(D3603,Товары!A:I,6,0)</f>
        <v>85</v>
      </c>
      <c r="I3603" t="str">
        <f>VLOOKUP(C3603,Магазины!A:C,3,0)</f>
        <v>Кемерово</v>
      </c>
      <c r="J3603">
        <f>VLOOKUP(D3603,Товары!A:I,4,0)</f>
        <v>19575</v>
      </c>
      <c r="K3603">
        <f t="shared" si="56"/>
        <v>19575</v>
      </c>
    </row>
    <row r="3604" spans="1:11" hidden="1" x14ac:dyDescent="0.25">
      <c r="A3604">
        <v>3603</v>
      </c>
      <c r="B3604" s="1">
        <v>45749</v>
      </c>
      <c r="C3604" t="s">
        <v>28</v>
      </c>
      <c r="D3604" t="s">
        <v>87</v>
      </c>
      <c r="E3604" t="s">
        <v>13</v>
      </c>
      <c r="F3604">
        <v>3</v>
      </c>
      <c r="G3604" t="str">
        <f>VLOOKUP(D3604,Товары!A:I,3,0)</f>
        <v>Тумба с раковиной  напол. Леон 700 форест 2 ящика с умыв. Слим</v>
      </c>
      <c r="H3604">
        <f>VLOOKUP(D3604,Товары!A:I,6,0)</f>
        <v>80</v>
      </c>
      <c r="I3604" t="str">
        <f>VLOOKUP(C3604,Магазины!A:C,3,0)</f>
        <v>Набережные Челны</v>
      </c>
      <c r="J3604">
        <f>VLOOKUP(D3604,Товары!A:I,4,0)</f>
        <v>28380</v>
      </c>
      <c r="K3604">
        <f t="shared" si="56"/>
        <v>85140</v>
      </c>
    </row>
    <row r="3605" spans="1:11" hidden="1" x14ac:dyDescent="0.25">
      <c r="A3605">
        <v>3604</v>
      </c>
      <c r="B3605" s="1">
        <v>45755</v>
      </c>
      <c r="C3605" t="s">
        <v>57</v>
      </c>
      <c r="D3605" t="s">
        <v>120</v>
      </c>
      <c r="E3605" t="s">
        <v>8</v>
      </c>
      <c r="F3605">
        <v>3</v>
      </c>
      <c r="G3605" t="str">
        <f>VLOOKUP(D3605,Товары!A:I,3,0)</f>
        <v>Зеркальный шкаф Альба 60 со светильником правый цвет антрацит</v>
      </c>
      <c r="H3605">
        <f>VLOOKUP(D3605,Товары!A:I,6,0)</f>
        <v>75</v>
      </c>
      <c r="I3605" t="str">
        <f>VLOOKUP(C3605,Магазины!A:C,3,0)</f>
        <v>Оренбург</v>
      </c>
      <c r="J3605">
        <f>VLOOKUP(D3605,Товары!A:I,4,0)</f>
        <v>8910</v>
      </c>
      <c r="K3605">
        <f t="shared" si="56"/>
        <v>26730</v>
      </c>
    </row>
    <row r="3606" spans="1:11" hidden="1" x14ac:dyDescent="0.25">
      <c r="A3606">
        <v>3605</v>
      </c>
      <c r="B3606" s="1">
        <v>45756</v>
      </c>
      <c r="C3606" t="s">
        <v>54</v>
      </c>
      <c r="D3606" t="s">
        <v>131</v>
      </c>
      <c r="E3606" t="s">
        <v>13</v>
      </c>
      <c r="F3606">
        <v>1</v>
      </c>
      <c r="G3606" t="str">
        <f>VLOOKUP(D3606,Товары!A:I,3,0)</f>
        <v>Тумба с раковиной  напол. Леон 800 форест 2 ящика с умыв. Слим</v>
      </c>
      <c r="H3606">
        <f>VLOOKUP(D3606,Товары!A:I,6,0)</f>
        <v>80</v>
      </c>
      <c r="I3606" t="str">
        <f>VLOOKUP(C3606,Магазины!A:C,3,0)</f>
        <v>Ставрополь</v>
      </c>
      <c r="J3606">
        <f>VLOOKUP(D3606,Товары!A:I,4,0)</f>
        <v>29400</v>
      </c>
      <c r="K3606">
        <f t="shared" si="56"/>
        <v>29400</v>
      </c>
    </row>
    <row r="3607" spans="1:11" hidden="1" x14ac:dyDescent="0.25">
      <c r="A3607">
        <v>3606</v>
      </c>
      <c r="B3607" s="1">
        <v>45753</v>
      </c>
      <c r="C3607" t="s">
        <v>20</v>
      </c>
      <c r="D3607" t="s">
        <v>91</v>
      </c>
      <c r="E3607" t="s">
        <v>8</v>
      </c>
      <c r="F3607">
        <v>1</v>
      </c>
      <c r="G3607" t="str">
        <f>VLOOKUP(D3607,Товары!A:I,3,0)</f>
        <v>Пенал навес./напол. Альба 350 мята 2 двери</v>
      </c>
      <c r="H3607">
        <f>VLOOKUP(D3607,Товары!A:I,6,0)</f>
        <v>150</v>
      </c>
      <c r="I3607" t="str">
        <f>VLOOKUP(C3607,Магазины!A:C,3,0)</f>
        <v>Оренбург</v>
      </c>
      <c r="J3607">
        <f>VLOOKUP(D3607,Товары!A:I,4,0)</f>
        <v>11655</v>
      </c>
      <c r="K3607">
        <f t="shared" si="56"/>
        <v>11655</v>
      </c>
    </row>
    <row r="3608" spans="1:11" hidden="1" x14ac:dyDescent="0.25">
      <c r="A3608">
        <v>3607</v>
      </c>
      <c r="B3608" s="1">
        <v>45756</v>
      </c>
      <c r="C3608" t="s">
        <v>103</v>
      </c>
      <c r="D3608" t="s">
        <v>106</v>
      </c>
      <c r="E3608" t="s">
        <v>8</v>
      </c>
      <c r="F3608">
        <v>1</v>
      </c>
      <c r="G3608" t="str">
        <f>VLOOKUP(D3608,Товары!A:I,3,0)</f>
        <v>Тумба с раковиной  навес. Кристалл 700 шато азур 2 ящика с умыв. Слим</v>
      </c>
      <c r="H3608">
        <f>VLOOKUP(D3608,Товары!A:I,6,0)</f>
        <v>60</v>
      </c>
      <c r="I3608" t="str">
        <f>VLOOKUP(C3608,Магазины!A:C,3,0)</f>
        <v>Ставрополь</v>
      </c>
      <c r="J3608">
        <f>VLOOKUP(D3608,Товары!A:I,4,0)</f>
        <v>24150</v>
      </c>
      <c r="K3608">
        <f t="shared" si="56"/>
        <v>24150</v>
      </c>
    </row>
    <row r="3609" spans="1:11" hidden="1" x14ac:dyDescent="0.25">
      <c r="A3609">
        <v>3608</v>
      </c>
      <c r="B3609" s="1">
        <v>45754</v>
      </c>
      <c r="C3609" t="s">
        <v>26</v>
      </c>
      <c r="D3609" t="s">
        <v>64</v>
      </c>
      <c r="E3609" t="s">
        <v>13</v>
      </c>
      <c r="F3609">
        <v>2</v>
      </c>
      <c r="G3609" t="str">
        <f>VLOOKUP(D3609,Товары!A:I,3,0)</f>
        <v>Тумба с раковиной  напол. Рица 800 антрацит 2 ящика с умыв. Слим</v>
      </c>
      <c r="H3609">
        <f>VLOOKUP(D3609,Товары!A:I,6,0)</f>
        <v>80</v>
      </c>
      <c r="I3609" t="str">
        <f>VLOOKUP(C3609,Магазины!A:C,3,0)</f>
        <v>Оренбург</v>
      </c>
      <c r="J3609">
        <f>VLOOKUP(D3609,Товары!A:I,4,0)</f>
        <v>28980</v>
      </c>
      <c r="K3609">
        <f t="shared" si="56"/>
        <v>57960</v>
      </c>
    </row>
    <row r="3610" spans="1:11" hidden="1" x14ac:dyDescent="0.25">
      <c r="A3610">
        <v>3609</v>
      </c>
      <c r="B3610" s="1">
        <v>45757</v>
      </c>
      <c r="C3610" t="s">
        <v>103</v>
      </c>
      <c r="D3610" t="s">
        <v>69</v>
      </c>
      <c r="E3610" t="s">
        <v>13</v>
      </c>
      <c r="F3610">
        <v>2</v>
      </c>
      <c r="G3610" t="str">
        <f>VLOOKUP(D3610,Товары!A:I,3,0)</f>
        <v>Пенал навес./напол. Альба 350 антрацит 2 двери</v>
      </c>
      <c r="H3610">
        <f>VLOOKUP(D3610,Товары!A:I,6,0)</f>
        <v>150</v>
      </c>
      <c r="I3610" t="str">
        <f>VLOOKUP(C3610,Магазины!A:C,3,0)</f>
        <v>Ставрополь</v>
      </c>
      <c r="J3610">
        <f>VLOOKUP(D3610,Товары!A:I,4,0)</f>
        <v>11655</v>
      </c>
      <c r="K3610">
        <f t="shared" si="56"/>
        <v>23310</v>
      </c>
    </row>
    <row r="3611" spans="1:11" hidden="1" x14ac:dyDescent="0.25">
      <c r="A3611">
        <v>3610</v>
      </c>
      <c r="B3611" s="1">
        <v>45752</v>
      </c>
      <c r="C3611" t="s">
        <v>35</v>
      </c>
      <c r="D3611" t="s">
        <v>29</v>
      </c>
      <c r="E3611" t="s">
        <v>8</v>
      </c>
      <c r="F3611">
        <v>2</v>
      </c>
      <c r="G3611" t="str">
        <f>VLOOKUP(D3611,Товары!A:I,3,0)</f>
        <v>Тумба с раковиной  напол. Леон Риф 600 солярис/белый риф 2 ящика с умыв. Океан</v>
      </c>
      <c r="H3611">
        <f>VLOOKUP(D3611,Товары!A:I,6,0)</f>
        <v>80</v>
      </c>
      <c r="I3611" t="str">
        <f>VLOOKUP(C3611,Магазины!A:C,3,0)</f>
        <v>Набережные Челны</v>
      </c>
      <c r="J3611">
        <f>VLOOKUP(D3611,Товары!A:I,4,0)</f>
        <v>24150</v>
      </c>
      <c r="K3611">
        <f t="shared" si="56"/>
        <v>48300</v>
      </c>
    </row>
    <row r="3612" spans="1:11" hidden="1" x14ac:dyDescent="0.25">
      <c r="A3612">
        <v>3611</v>
      </c>
      <c r="B3612" s="1">
        <v>45749</v>
      </c>
      <c r="C3612" t="s">
        <v>26</v>
      </c>
      <c r="D3612" t="s">
        <v>29</v>
      </c>
      <c r="E3612" t="s">
        <v>13</v>
      </c>
      <c r="F3612">
        <v>1</v>
      </c>
      <c r="G3612" t="str">
        <f>VLOOKUP(D3612,Товары!A:I,3,0)</f>
        <v>Тумба с раковиной  напол. Леон Риф 600 солярис/белый риф 2 ящика с умыв. Океан</v>
      </c>
      <c r="H3612">
        <f>VLOOKUP(D3612,Товары!A:I,6,0)</f>
        <v>80</v>
      </c>
      <c r="I3612" t="str">
        <f>VLOOKUP(C3612,Магазины!A:C,3,0)</f>
        <v>Оренбург</v>
      </c>
      <c r="J3612">
        <f>VLOOKUP(D3612,Товары!A:I,4,0)</f>
        <v>24150</v>
      </c>
      <c r="K3612">
        <f t="shared" si="56"/>
        <v>24150</v>
      </c>
    </row>
    <row r="3613" spans="1:11" hidden="1" x14ac:dyDescent="0.25">
      <c r="A3613">
        <v>3612</v>
      </c>
      <c r="B3613" s="1">
        <v>45756</v>
      </c>
      <c r="C3613" t="s">
        <v>22</v>
      </c>
      <c r="D3613" t="s">
        <v>17</v>
      </c>
      <c r="E3613" t="s">
        <v>8</v>
      </c>
      <c r="F3613">
        <v>3</v>
      </c>
      <c r="G3613" t="str">
        <f>VLOOKUP(D3613,Товары!A:I,3,0)</f>
        <v>Тумба с раковиной  навес. Альба 800 антрацит 1 ящик с умыв. Слим</v>
      </c>
      <c r="H3613">
        <f>VLOOKUP(D3613,Товары!A:I,6,0)</f>
        <v>45</v>
      </c>
      <c r="I3613" t="str">
        <f>VLOOKUP(C3613,Магазины!A:C,3,0)</f>
        <v>Кемерово</v>
      </c>
      <c r="J3613">
        <f>VLOOKUP(D3613,Товары!A:I,4,0)</f>
        <v>21630</v>
      </c>
      <c r="K3613">
        <f t="shared" si="56"/>
        <v>64890</v>
      </c>
    </row>
    <row r="3614" spans="1:11" hidden="1" x14ac:dyDescent="0.25">
      <c r="A3614">
        <v>3613</v>
      </c>
      <c r="B3614" s="1">
        <v>45757</v>
      </c>
      <c r="C3614" t="s">
        <v>16</v>
      </c>
      <c r="D3614" t="s">
        <v>56</v>
      </c>
      <c r="E3614" t="s">
        <v>8</v>
      </c>
      <c r="F3614">
        <v>3</v>
      </c>
      <c r="G3614" t="str">
        <f>VLOOKUP(D3614,Товары!A:I,3,0)</f>
        <v>Зеркальный шкаф Альба 80 со светильником правый цвет мята</v>
      </c>
      <c r="H3614">
        <f>VLOOKUP(D3614,Товары!A:I,6,0)</f>
        <v>75</v>
      </c>
      <c r="I3614" t="str">
        <f>VLOOKUP(C3614,Магазины!A:C,3,0)</f>
        <v>Оренбург</v>
      </c>
      <c r="J3614">
        <f>VLOOKUP(D3614,Товары!A:I,4,0)</f>
        <v>9930</v>
      </c>
      <c r="K3614">
        <f t="shared" si="56"/>
        <v>29790</v>
      </c>
    </row>
    <row r="3615" spans="1:11" hidden="1" x14ac:dyDescent="0.25">
      <c r="A3615">
        <v>3614</v>
      </c>
      <c r="B3615" s="1">
        <v>45749</v>
      </c>
      <c r="C3615" t="s">
        <v>14</v>
      </c>
      <c r="D3615" t="s">
        <v>130</v>
      </c>
      <c r="E3615" t="s">
        <v>8</v>
      </c>
      <c r="F3615">
        <v>1</v>
      </c>
      <c r="G3615" t="str">
        <f>VLOOKUP(D3615,Товары!A:I,3,0)</f>
        <v>Пенал напол. Леон 400 форест 2 двери + 1 ящик</v>
      </c>
      <c r="H3615">
        <f>VLOOKUP(D3615,Товары!A:I,6,0)</f>
        <v>190</v>
      </c>
      <c r="I3615" t="str">
        <f>VLOOKUP(C3615,Магазины!A:C,3,0)</f>
        <v>Оренбург</v>
      </c>
      <c r="J3615">
        <f>VLOOKUP(D3615,Товары!A:I,4,0)</f>
        <v>18450</v>
      </c>
      <c r="K3615">
        <f t="shared" si="56"/>
        <v>18450</v>
      </c>
    </row>
    <row r="3616" spans="1:11" hidden="1" x14ac:dyDescent="0.25">
      <c r="A3616">
        <v>3615</v>
      </c>
      <c r="B3616" s="1">
        <v>45748</v>
      </c>
      <c r="C3616" t="s">
        <v>18</v>
      </c>
      <c r="D3616" t="s">
        <v>104</v>
      </c>
      <c r="E3616" t="s">
        <v>8</v>
      </c>
      <c r="F3616">
        <v>2</v>
      </c>
      <c r="G3616" t="str">
        <f>VLOOKUP(D3616,Товары!A:I,3,0)</f>
        <v>Тумба под стиральную машину Куба Риф 57 подвесная 2 ящика под ст/маш, без умывальника /под Marshall 120 Белый</v>
      </c>
      <c r="H3616">
        <f>VLOOKUP(D3616,Товары!A:I,6,0)</f>
        <v>50</v>
      </c>
      <c r="I3616" t="str">
        <f>VLOOKUP(C3616,Магазины!A:C,3,0)</f>
        <v>Набережные Челны</v>
      </c>
      <c r="J3616">
        <f>VLOOKUP(D3616,Товары!A:I,4,0)</f>
        <v>8505</v>
      </c>
      <c r="K3616">
        <f t="shared" si="56"/>
        <v>17010</v>
      </c>
    </row>
    <row r="3617" spans="1:11" hidden="1" x14ac:dyDescent="0.25">
      <c r="A3617">
        <v>3616</v>
      </c>
      <c r="B3617" s="1">
        <v>45749</v>
      </c>
      <c r="C3617" t="s">
        <v>58</v>
      </c>
      <c r="D3617" t="s">
        <v>45</v>
      </c>
      <c r="E3617" t="s">
        <v>13</v>
      </c>
      <c r="F3617">
        <v>3</v>
      </c>
      <c r="G3617" t="str">
        <f>VLOOKUP(D3617,Товары!A:I,3,0)</f>
        <v>Зеркальный шкаф Рица 80 со светильником правый цвет cерый/керамика</v>
      </c>
      <c r="H3617">
        <f>VLOOKUP(D3617,Товары!A:I,6,0)</f>
        <v>75</v>
      </c>
      <c r="I3617" t="str">
        <f>VLOOKUP(C3617,Магазины!A:C,3,0)</f>
        <v>Ставрополь</v>
      </c>
      <c r="J3617">
        <f>VLOOKUP(D3617,Товары!A:I,4,0)</f>
        <v>9930</v>
      </c>
      <c r="K3617">
        <f t="shared" si="56"/>
        <v>29790</v>
      </c>
    </row>
    <row r="3618" spans="1:11" hidden="1" x14ac:dyDescent="0.25">
      <c r="A3618">
        <v>3617</v>
      </c>
      <c r="B3618" s="1">
        <v>45752</v>
      </c>
      <c r="C3618" t="s">
        <v>48</v>
      </c>
      <c r="D3618" t="s">
        <v>24</v>
      </c>
      <c r="E3618" t="s">
        <v>13</v>
      </c>
      <c r="F3618">
        <v>2</v>
      </c>
      <c r="G3618" t="str">
        <f>VLOOKUP(D3618,Товары!A:I,3,0)</f>
        <v>Тумба с раковиной  напол. Леон 600 форест 2 ящика с умыв. Слим</v>
      </c>
      <c r="H3618">
        <f>VLOOKUP(D3618,Товары!A:I,6,0)</f>
        <v>80</v>
      </c>
      <c r="I3618" t="str">
        <f>VLOOKUP(C3618,Магазины!A:C,3,0)</f>
        <v>Ставрополь</v>
      </c>
      <c r="J3618">
        <f>VLOOKUP(D3618,Товары!A:I,4,0)</f>
        <v>27150</v>
      </c>
      <c r="K3618">
        <f t="shared" si="56"/>
        <v>54300</v>
      </c>
    </row>
    <row r="3619" spans="1:11" hidden="1" x14ac:dyDescent="0.25">
      <c r="A3619">
        <v>3618</v>
      </c>
      <c r="B3619" s="1">
        <v>45751</v>
      </c>
      <c r="C3619" t="s">
        <v>92</v>
      </c>
      <c r="D3619" t="s">
        <v>59</v>
      </c>
      <c r="E3619" t="s">
        <v>13</v>
      </c>
      <c r="F3619">
        <v>2</v>
      </c>
      <c r="G3619" t="str">
        <f>VLOOKUP(D3619,Товары!A:I,3,0)</f>
        <v>Тумба с раковиной  навес. Куба Риф 600 белый 2 ящика с умыв. Океан</v>
      </c>
      <c r="H3619">
        <f>VLOOKUP(D3619,Товары!A:I,6,0)</f>
        <v>55</v>
      </c>
      <c r="I3619" t="str">
        <f>VLOOKUP(C3619,Магазины!A:C,3,0)</f>
        <v>Кемерово</v>
      </c>
      <c r="J3619">
        <f>VLOOKUP(D3619,Товары!A:I,4,0)</f>
        <v>15765</v>
      </c>
      <c r="K3619">
        <f t="shared" si="56"/>
        <v>31530</v>
      </c>
    </row>
    <row r="3620" spans="1:11" hidden="1" x14ac:dyDescent="0.25">
      <c r="A3620">
        <v>3619</v>
      </c>
      <c r="B3620" s="1">
        <v>45751</v>
      </c>
      <c r="C3620" t="s">
        <v>18</v>
      </c>
      <c r="D3620" t="s">
        <v>67</v>
      </c>
      <c r="E3620" t="s">
        <v>8</v>
      </c>
      <c r="F3620">
        <v>1</v>
      </c>
      <c r="G3620" t="str">
        <f>VLOOKUP(D3620,Товары!A:I,3,0)</f>
        <v>Пенал навес./напол. Альба 350 суфле 2 двери</v>
      </c>
      <c r="H3620">
        <f>VLOOKUP(D3620,Товары!A:I,6,0)</f>
        <v>150</v>
      </c>
      <c r="I3620" t="str">
        <f>VLOOKUP(C3620,Магазины!A:C,3,0)</f>
        <v>Набережные Челны</v>
      </c>
      <c r="J3620">
        <f>VLOOKUP(D3620,Товары!A:I,4,0)</f>
        <v>11655</v>
      </c>
      <c r="K3620">
        <f t="shared" si="56"/>
        <v>11655</v>
      </c>
    </row>
    <row r="3621" spans="1:11" hidden="1" x14ac:dyDescent="0.25">
      <c r="A3621">
        <v>3620</v>
      </c>
      <c r="B3621" s="1">
        <v>45750</v>
      </c>
      <c r="C3621" t="s">
        <v>103</v>
      </c>
      <c r="D3621" t="s">
        <v>74</v>
      </c>
      <c r="E3621" t="s">
        <v>13</v>
      </c>
      <c r="F3621">
        <v>2</v>
      </c>
      <c r="G3621" t="str">
        <f>VLOOKUP(D3621,Товары!A:I,3,0)</f>
        <v>Тумба с раковиной  напол. Альба 800 суфле 2 ящика с умыв. Слим</v>
      </c>
      <c r="H3621">
        <f>VLOOKUP(D3621,Товары!A:I,6,0)</f>
        <v>80</v>
      </c>
      <c r="I3621" t="str">
        <f>VLOOKUP(C3621,Магазины!A:C,3,0)</f>
        <v>Ставрополь</v>
      </c>
      <c r="J3621">
        <f>VLOOKUP(D3621,Товары!A:I,4,0)</f>
        <v>29340</v>
      </c>
      <c r="K3621">
        <f t="shared" si="56"/>
        <v>58680</v>
      </c>
    </row>
    <row r="3622" spans="1:11" hidden="1" x14ac:dyDescent="0.25">
      <c r="A3622">
        <v>3621</v>
      </c>
      <c r="B3622" s="1">
        <v>45753</v>
      </c>
      <c r="C3622" t="s">
        <v>6</v>
      </c>
      <c r="D3622" t="s">
        <v>130</v>
      </c>
      <c r="E3622" t="s">
        <v>8</v>
      </c>
      <c r="F3622">
        <v>1</v>
      </c>
      <c r="G3622" t="str">
        <f>VLOOKUP(D3622,Товары!A:I,3,0)</f>
        <v>Пенал напол. Леон 400 форест 2 двери + 1 ящик</v>
      </c>
      <c r="H3622">
        <f>VLOOKUP(D3622,Товары!A:I,6,0)</f>
        <v>190</v>
      </c>
      <c r="I3622" t="str">
        <f>VLOOKUP(C3622,Магазины!A:C,3,0)</f>
        <v>Оренбург</v>
      </c>
      <c r="J3622">
        <f>VLOOKUP(D3622,Товары!A:I,4,0)</f>
        <v>18450</v>
      </c>
      <c r="K3622">
        <f t="shared" si="56"/>
        <v>18450</v>
      </c>
    </row>
    <row r="3623" spans="1:11" hidden="1" x14ac:dyDescent="0.25">
      <c r="A3623">
        <v>3622</v>
      </c>
      <c r="B3623" s="1">
        <v>45755</v>
      </c>
      <c r="C3623" t="s">
        <v>43</v>
      </c>
      <c r="D3623" t="s">
        <v>32</v>
      </c>
      <c r="E3623" t="s">
        <v>8</v>
      </c>
      <c r="F3623">
        <v>2</v>
      </c>
      <c r="G3623" t="str">
        <f>VLOOKUP(D3623,Товары!A:I,3,0)</f>
        <v>Тумба с раковиной  напол. Леон Риф 700 солярис/белый риф 2 ящика с умыв. Слим</v>
      </c>
      <c r="H3623">
        <f>VLOOKUP(D3623,Товары!A:I,6,0)</f>
        <v>85</v>
      </c>
      <c r="I3623" t="str">
        <f>VLOOKUP(C3623,Магазины!A:C,3,0)</f>
        <v>Набережные Челны</v>
      </c>
      <c r="J3623">
        <f>VLOOKUP(D3623,Товары!A:I,4,0)</f>
        <v>26460</v>
      </c>
      <c r="K3623">
        <f t="shared" si="56"/>
        <v>52920</v>
      </c>
    </row>
    <row r="3624" spans="1:11" hidden="1" x14ac:dyDescent="0.25">
      <c r="A3624">
        <v>3623</v>
      </c>
      <c r="B3624" s="1">
        <v>45757</v>
      </c>
      <c r="C3624" t="s">
        <v>20</v>
      </c>
      <c r="D3624" t="s">
        <v>73</v>
      </c>
      <c r="E3624" t="s">
        <v>13</v>
      </c>
      <c r="F3624">
        <v>3</v>
      </c>
      <c r="G3624" t="str">
        <f>VLOOKUP(D3624,Товары!A:I,3,0)</f>
        <v>Зеркальный шкаф Альба 70 со светильником правый цвет антрацит</v>
      </c>
      <c r="H3624">
        <f>VLOOKUP(D3624,Товары!A:I,6,0)</f>
        <v>75</v>
      </c>
      <c r="I3624" t="str">
        <f>VLOOKUP(C3624,Магазины!A:C,3,0)</f>
        <v>Оренбург</v>
      </c>
      <c r="J3624">
        <f>VLOOKUP(D3624,Товары!A:I,4,0)</f>
        <v>9615</v>
      </c>
      <c r="K3624">
        <f t="shared" si="56"/>
        <v>28845</v>
      </c>
    </row>
    <row r="3625" spans="1:11" hidden="1" x14ac:dyDescent="0.25">
      <c r="A3625">
        <v>3624</v>
      </c>
      <c r="B3625" s="1">
        <v>45753</v>
      </c>
      <c r="C3625" t="s">
        <v>16</v>
      </c>
      <c r="D3625" t="s">
        <v>98</v>
      </c>
      <c r="E3625" t="s">
        <v>13</v>
      </c>
      <c r="F3625">
        <v>3</v>
      </c>
      <c r="G3625" t="str">
        <f>VLOOKUP(D3625,Товары!A:I,3,0)</f>
        <v>Тумба с раковиной  напол. Рица 800 cерый/керамика 2 ящика с умыв. Слим</v>
      </c>
      <c r="H3625">
        <f>VLOOKUP(D3625,Товары!A:I,6,0)</f>
        <v>80</v>
      </c>
      <c r="I3625" t="str">
        <f>VLOOKUP(C3625,Магазины!A:C,3,0)</f>
        <v>Оренбург</v>
      </c>
      <c r="J3625">
        <f>VLOOKUP(D3625,Товары!A:I,4,0)</f>
        <v>28980</v>
      </c>
      <c r="K3625">
        <f t="shared" si="56"/>
        <v>86940</v>
      </c>
    </row>
    <row r="3626" spans="1:11" hidden="1" x14ac:dyDescent="0.25">
      <c r="A3626">
        <v>3625</v>
      </c>
      <c r="B3626" s="1">
        <v>45749</v>
      </c>
      <c r="C3626" t="s">
        <v>28</v>
      </c>
      <c r="D3626" t="s">
        <v>70</v>
      </c>
      <c r="E3626" t="s">
        <v>8</v>
      </c>
      <c r="F3626">
        <v>1</v>
      </c>
      <c r="G3626" t="str">
        <f>VLOOKUP(D3626,Товары!A:I,3,0)</f>
        <v>Тумба с раковиной  напол. Кристалл 700 шато азур 2 ящика с умыв. Слим</v>
      </c>
      <c r="H3626">
        <f>VLOOKUP(D3626,Товары!A:I,6,0)</f>
        <v>85</v>
      </c>
      <c r="I3626" t="str">
        <f>VLOOKUP(C3626,Магазины!A:C,3,0)</f>
        <v>Набережные Челны</v>
      </c>
      <c r="J3626">
        <f>VLOOKUP(D3626,Товары!A:I,4,0)</f>
        <v>29910</v>
      </c>
      <c r="K3626">
        <f t="shared" si="56"/>
        <v>29910</v>
      </c>
    </row>
    <row r="3627" spans="1:11" hidden="1" x14ac:dyDescent="0.25">
      <c r="A3627">
        <v>3626</v>
      </c>
      <c r="B3627" s="1">
        <v>45751</v>
      </c>
      <c r="C3627" t="s">
        <v>18</v>
      </c>
      <c r="D3627" t="s">
        <v>127</v>
      </c>
      <c r="E3627" t="s">
        <v>13</v>
      </c>
      <c r="F3627">
        <v>2</v>
      </c>
      <c r="G3627" t="str">
        <f>VLOOKUP(D3627,Товары!A:I,3,0)</f>
        <v>Тумба с раковиной  навес. Альба 700 мята 1 ящик с умыв. Слим</v>
      </c>
      <c r="H3627">
        <f>VLOOKUP(D3627,Товары!A:I,6,0)</f>
        <v>45</v>
      </c>
      <c r="I3627" t="str">
        <f>VLOOKUP(C3627,Магазины!A:C,3,0)</f>
        <v>Набережные Челны</v>
      </c>
      <c r="J3627">
        <f>VLOOKUP(D3627,Товары!A:I,4,0)</f>
        <v>20130</v>
      </c>
      <c r="K3627">
        <f t="shared" si="56"/>
        <v>40260</v>
      </c>
    </row>
    <row r="3628" spans="1:11" hidden="1" x14ac:dyDescent="0.25">
      <c r="A3628">
        <v>3627</v>
      </c>
      <c r="B3628" s="1">
        <v>45748</v>
      </c>
      <c r="C3628" t="s">
        <v>48</v>
      </c>
      <c r="D3628" t="s">
        <v>112</v>
      </c>
      <c r="E3628" t="s">
        <v>13</v>
      </c>
      <c r="F3628">
        <v>3</v>
      </c>
      <c r="G3628" t="str">
        <f>VLOOKUP(D3628,Товары!A:I,3,0)</f>
        <v>Тумба с раковиной  напол. Аква 560 белый 2 двери с умыв. Уют</v>
      </c>
      <c r="H3628">
        <f>VLOOKUP(D3628,Товары!A:I,6,0)</f>
        <v>85</v>
      </c>
      <c r="I3628" t="str">
        <f>VLOOKUP(C3628,Магазины!A:C,3,0)</f>
        <v>Ставрополь</v>
      </c>
      <c r="J3628">
        <f>VLOOKUP(D3628,Товары!A:I,4,0)</f>
        <v>9330</v>
      </c>
      <c r="K3628">
        <f t="shared" si="56"/>
        <v>27990</v>
      </c>
    </row>
    <row r="3629" spans="1:11" hidden="1" x14ac:dyDescent="0.25">
      <c r="A3629">
        <v>3628</v>
      </c>
      <c r="B3629" s="1">
        <v>45753</v>
      </c>
      <c r="C3629" t="s">
        <v>22</v>
      </c>
      <c r="D3629" t="s">
        <v>108</v>
      </c>
      <c r="E3629" t="s">
        <v>13</v>
      </c>
      <c r="F3629">
        <v>1</v>
      </c>
      <c r="G3629" t="str">
        <f>VLOOKUP(D3629,Товары!A:I,3,0)</f>
        <v>Тумба с раковиной  навес. Виктория 1000 белый 2 ящика с умыв. Слим</v>
      </c>
      <c r="H3629">
        <f>VLOOKUP(D3629,Товары!A:I,6,0)</f>
        <v>60</v>
      </c>
      <c r="I3629" t="str">
        <f>VLOOKUP(C3629,Магазины!A:C,3,0)</f>
        <v>Кемерово</v>
      </c>
      <c r="J3629">
        <f>VLOOKUP(D3629,Товары!A:I,4,0)</f>
        <v>29205</v>
      </c>
      <c r="K3629">
        <f t="shared" si="56"/>
        <v>29205</v>
      </c>
    </row>
    <row r="3630" spans="1:11" hidden="1" x14ac:dyDescent="0.25">
      <c r="A3630">
        <v>3629</v>
      </c>
      <c r="B3630" s="1">
        <v>45751</v>
      </c>
      <c r="C3630" t="s">
        <v>18</v>
      </c>
      <c r="D3630" t="s">
        <v>94</v>
      </c>
      <c r="E3630" t="s">
        <v>13</v>
      </c>
      <c r="F3630">
        <v>1</v>
      </c>
      <c r="G3630" t="str">
        <f>VLOOKUP(D3630,Товары!A:I,3,0)</f>
        <v>Зеркальный шкаф Альба 80 со светильником правый цвет антрацит</v>
      </c>
      <c r="H3630">
        <f>VLOOKUP(D3630,Товары!A:I,6,0)</f>
        <v>75</v>
      </c>
      <c r="I3630" t="str">
        <f>VLOOKUP(C3630,Магазины!A:C,3,0)</f>
        <v>Набережные Челны</v>
      </c>
      <c r="J3630">
        <f>VLOOKUP(D3630,Товары!A:I,4,0)</f>
        <v>9930</v>
      </c>
      <c r="K3630">
        <f t="shared" si="56"/>
        <v>9930</v>
      </c>
    </row>
    <row r="3631" spans="1:11" hidden="1" x14ac:dyDescent="0.25">
      <c r="A3631">
        <v>3630</v>
      </c>
      <c r="B3631" s="1">
        <v>45749</v>
      </c>
      <c r="C3631" t="s">
        <v>63</v>
      </c>
      <c r="D3631" t="s">
        <v>61</v>
      </c>
      <c r="E3631" t="s">
        <v>13</v>
      </c>
      <c r="F3631">
        <v>3</v>
      </c>
      <c r="G3631" t="str">
        <f>VLOOKUP(D3631,Товары!A:I,3,0)</f>
        <v>Тумба под стиральную машину Леон Риф 57 напольная 2 ящика под ст/маш, без умывальника /под Marshall 120 Солярис/Белый Риф</v>
      </c>
      <c r="H3631">
        <f>VLOOKUP(D3631,Товары!A:I,6,0)</f>
        <v>85</v>
      </c>
      <c r="I3631" t="str">
        <f>VLOOKUP(C3631,Магазины!A:C,3,0)</f>
        <v>Ставрополь</v>
      </c>
      <c r="J3631">
        <f>VLOOKUP(D3631,Товары!A:I,4,0)</f>
        <v>17430</v>
      </c>
      <c r="K3631">
        <f t="shared" si="56"/>
        <v>52290</v>
      </c>
    </row>
    <row r="3632" spans="1:11" hidden="1" x14ac:dyDescent="0.25">
      <c r="A3632">
        <v>3631</v>
      </c>
      <c r="B3632" s="1">
        <v>45753</v>
      </c>
      <c r="C3632" t="s">
        <v>58</v>
      </c>
      <c r="D3632" t="s">
        <v>52</v>
      </c>
      <c r="E3632" t="s">
        <v>8</v>
      </c>
      <c r="F3632">
        <v>2</v>
      </c>
      <c r="G3632" t="str">
        <f>VLOOKUP(D3632,Товары!A:I,3,0)</f>
        <v>Тумба с раковиной  напол. Кристалл 600 суфле 2 ящика с умыв. Океан</v>
      </c>
      <c r="H3632">
        <f>VLOOKUP(D3632,Товары!A:I,6,0)</f>
        <v>80</v>
      </c>
      <c r="I3632" t="str">
        <f>VLOOKUP(C3632,Магазины!A:C,3,0)</f>
        <v>Ставрополь</v>
      </c>
      <c r="J3632">
        <f>VLOOKUP(D3632,Товары!A:I,4,0)</f>
        <v>27600</v>
      </c>
      <c r="K3632">
        <f t="shared" si="56"/>
        <v>55200</v>
      </c>
    </row>
    <row r="3633" spans="1:11" hidden="1" x14ac:dyDescent="0.25">
      <c r="A3633">
        <v>3632</v>
      </c>
      <c r="B3633" s="1">
        <v>45748</v>
      </c>
      <c r="C3633" t="s">
        <v>92</v>
      </c>
      <c r="D3633" t="s">
        <v>126</v>
      </c>
      <c r="E3633" t="s">
        <v>13</v>
      </c>
      <c r="F3633">
        <v>2</v>
      </c>
      <c r="G3633" t="str">
        <f>VLOOKUP(D3633,Товары!A:I,3,0)</f>
        <v>Тумба с раковиной  напол. Кристалл 800 шато азур 2 ящика с умыв. Комфорт</v>
      </c>
      <c r="H3633">
        <f>VLOOKUP(D3633,Товары!A:I,6,0)</f>
        <v>85</v>
      </c>
      <c r="I3633" t="str">
        <f>VLOOKUP(C3633,Магазины!A:C,3,0)</f>
        <v>Кемерово</v>
      </c>
      <c r="J3633">
        <f>VLOOKUP(D3633,Товары!A:I,4,0)</f>
        <v>31125</v>
      </c>
      <c r="K3633">
        <f t="shared" si="56"/>
        <v>62250</v>
      </c>
    </row>
    <row r="3634" spans="1:11" hidden="1" x14ac:dyDescent="0.25">
      <c r="A3634">
        <v>3633</v>
      </c>
      <c r="B3634" s="1">
        <v>45749</v>
      </c>
      <c r="C3634" t="s">
        <v>54</v>
      </c>
      <c r="D3634" t="s">
        <v>89</v>
      </c>
      <c r="E3634" t="s">
        <v>13</v>
      </c>
      <c r="F3634">
        <v>3</v>
      </c>
      <c r="G3634" t="str">
        <f>VLOOKUP(D3634,Товары!A:I,3,0)</f>
        <v>Тумба с раковиной  напол. Сохо 600 белый 2 двери с умыв. Океан</v>
      </c>
      <c r="H3634">
        <f>VLOOKUP(D3634,Товары!A:I,6,0)</f>
        <v>85</v>
      </c>
      <c r="I3634" t="str">
        <f>VLOOKUP(C3634,Магазины!A:C,3,0)</f>
        <v>Ставрополь</v>
      </c>
      <c r="J3634">
        <f>VLOOKUP(D3634,Товары!A:I,4,0)</f>
        <v>14880</v>
      </c>
      <c r="K3634">
        <f t="shared" si="56"/>
        <v>44640</v>
      </c>
    </row>
    <row r="3635" spans="1:11" hidden="1" x14ac:dyDescent="0.25">
      <c r="A3635">
        <v>3634</v>
      </c>
      <c r="B3635" s="1">
        <v>45754</v>
      </c>
      <c r="C3635" t="s">
        <v>111</v>
      </c>
      <c r="D3635" t="s">
        <v>110</v>
      </c>
      <c r="E3635" t="s">
        <v>13</v>
      </c>
      <c r="F3635">
        <v>1</v>
      </c>
      <c r="G3635" t="str">
        <f>VLOOKUP(D3635,Товары!A:I,3,0)</f>
        <v>Тумба с раковиной  напол. Альба 600 антрацит 2 ящика с умыв. Океан</v>
      </c>
      <c r="H3635">
        <f>VLOOKUP(D3635,Товары!A:I,6,0)</f>
        <v>80</v>
      </c>
      <c r="I3635" t="str">
        <f>VLOOKUP(C3635,Магазины!A:C,3,0)</f>
        <v>Набережные Челны</v>
      </c>
      <c r="J3635">
        <f>VLOOKUP(D3635,Товары!A:I,4,0)</f>
        <v>26370</v>
      </c>
      <c r="K3635">
        <f t="shared" si="56"/>
        <v>26370</v>
      </c>
    </row>
    <row r="3636" spans="1:11" hidden="1" x14ac:dyDescent="0.25">
      <c r="A3636">
        <v>3635</v>
      </c>
      <c r="B3636" s="1">
        <v>45757</v>
      </c>
      <c r="C3636" t="s">
        <v>63</v>
      </c>
      <c r="D3636" t="s">
        <v>126</v>
      </c>
      <c r="E3636" t="s">
        <v>13</v>
      </c>
      <c r="F3636">
        <v>1</v>
      </c>
      <c r="G3636" t="str">
        <f>VLOOKUP(D3636,Товары!A:I,3,0)</f>
        <v>Тумба с раковиной  напол. Кристалл 800 шато азур 2 ящика с умыв. Комфорт</v>
      </c>
      <c r="H3636">
        <f>VLOOKUP(D3636,Товары!A:I,6,0)</f>
        <v>85</v>
      </c>
      <c r="I3636" t="str">
        <f>VLOOKUP(C3636,Магазины!A:C,3,0)</f>
        <v>Ставрополь</v>
      </c>
      <c r="J3636">
        <f>VLOOKUP(D3636,Товары!A:I,4,0)</f>
        <v>31125</v>
      </c>
      <c r="K3636">
        <f t="shared" si="56"/>
        <v>31125</v>
      </c>
    </row>
    <row r="3637" spans="1:11" hidden="1" x14ac:dyDescent="0.25">
      <c r="A3637">
        <v>3636</v>
      </c>
      <c r="B3637" s="1">
        <v>45755</v>
      </c>
      <c r="C3637" t="s">
        <v>58</v>
      </c>
      <c r="D3637" t="s">
        <v>55</v>
      </c>
      <c r="E3637" t="s">
        <v>13</v>
      </c>
      <c r="F3637">
        <v>2</v>
      </c>
      <c r="G3637" t="str">
        <f>VLOOKUP(D3637,Товары!A:I,3,0)</f>
        <v>Тумба с раковиной  напол. Рица 600 cерый/керамика 2 ящика с умыв. Океан</v>
      </c>
      <c r="H3637">
        <f>VLOOKUP(D3637,Товары!A:I,6,0)</f>
        <v>80</v>
      </c>
      <c r="I3637" t="str">
        <f>VLOOKUP(C3637,Магазины!A:C,3,0)</f>
        <v>Ставрополь</v>
      </c>
      <c r="J3637">
        <f>VLOOKUP(D3637,Товары!A:I,4,0)</f>
        <v>25560</v>
      </c>
      <c r="K3637">
        <f t="shared" si="56"/>
        <v>51120</v>
      </c>
    </row>
    <row r="3638" spans="1:11" hidden="1" x14ac:dyDescent="0.25">
      <c r="A3638">
        <v>3637</v>
      </c>
      <c r="B3638" s="1">
        <v>45754</v>
      </c>
      <c r="C3638" t="s">
        <v>58</v>
      </c>
      <c r="D3638" t="s">
        <v>124</v>
      </c>
      <c r="E3638" t="s">
        <v>8</v>
      </c>
      <c r="F3638">
        <v>2</v>
      </c>
      <c r="G3638" t="str">
        <f>VLOOKUP(D3638,Товары!A:I,3,0)</f>
        <v>Тумба с раковиной  напол. Леон 600 оникс 2 ящика с умыв. Океан</v>
      </c>
      <c r="H3638">
        <f>VLOOKUP(D3638,Товары!A:I,6,0)</f>
        <v>80</v>
      </c>
      <c r="I3638" t="str">
        <f>VLOOKUP(C3638,Магазины!A:C,3,0)</f>
        <v>Ставрополь</v>
      </c>
      <c r="J3638">
        <f>VLOOKUP(D3638,Товары!A:I,4,0)</f>
        <v>25860</v>
      </c>
      <c r="K3638">
        <f t="shared" si="56"/>
        <v>51720</v>
      </c>
    </row>
    <row r="3639" spans="1:11" hidden="1" x14ac:dyDescent="0.25">
      <c r="A3639">
        <v>3638</v>
      </c>
      <c r="B3639" s="1">
        <v>45752</v>
      </c>
      <c r="C3639" t="s">
        <v>54</v>
      </c>
      <c r="D3639" t="s">
        <v>124</v>
      </c>
      <c r="E3639" t="s">
        <v>8</v>
      </c>
      <c r="F3639">
        <v>2</v>
      </c>
      <c r="G3639" t="str">
        <f>VLOOKUP(D3639,Товары!A:I,3,0)</f>
        <v>Тумба с раковиной  напол. Леон 600 оникс 2 ящика с умыв. Океан</v>
      </c>
      <c r="H3639">
        <f>VLOOKUP(D3639,Товары!A:I,6,0)</f>
        <v>80</v>
      </c>
      <c r="I3639" t="str">
        <f>VLOOKUP(C3639,Магазины!A:C,3,0)</f>
        <v>Ставрополь</v>
      </c>
      <c r="J3639">
        <f>VLOOKUP(D3639,Товары!A:I,4,0)</f>
        <v>25860</v>
      </c>
      <c r="K3639">
        <f t="shared" si="56"/>
        <v>51720</v>
      </c>
    </row>
    <row r="3640" spans="1:11" hidden="1" x14ac:dyDescent="0.25">
      <c r="A3640">
        <v>3639</v>
      </c>
      <c r="B3640" s="1">
        <v>45755</v>
      </c>
      <c r="C3640" t="s">
        <v>33</v>
      </c>
      <c r="D3640" t="s">
        <v>19</v>
      </c>
      <c r="E3640" t="s">
        <v>8</v>
      </c>
      <c r="F3640">
        <v>2</v>
      </c>
      <c r="G3640" t="str">
        <f>VLOOKUP(D3640,Товары!A:I,3,0)</f>
        <v>Тумба с раковиной  навес. Леон 800 оникс 2 ящика с умыв. Слим</v>
      </c>
      <c r="H3640">
        <f>VLOOKUP(D3640,Товары!A:I,6,0)</f>
        <v>60</v>
      </c>
      <c r="I3640" t="str">
        <f>VLOOKUP(C3640,Магазины!A:C,3,0)</f>
        <v>Набережные Челны</v>
      </c>
      <c r="J3640">
        <f>VLOOKUP(D3640,Товары!A:I,4,0)</f>
        <v>27930</v>
      </c>
      <c r="K3640">
        <f t="shared" si="56"/>
        <v>55860</v>
      </c>
    </row>
    <row r="3641" spans="1:11" hidden="1" x14ac:dyDescent="0.25">
      <c r="A3641">
        <v>3640</v>
      </c>
      <c r="B3641" s="1">
        <v>45752</v>
      </c>
      <c r="C3641" t="s">
        <v>58</v>
      </c>
      <c r="D3641" t="s">
        <v>97</v>
      </c>
      <c r="E3641" t="s">
        <v>13</v>
      </c>
      <c r="F3641">
        <v>2</v>
      </c>
      <c r="G3641" t="str">
        <f>VLOOKUP(D3641,Товары!A:I,3,0)</f>
        <v>Пенал напол. Кристалл 350 суфле 2 двери</v>
      </c>
      <c r="H3641">
        <f>VLOOKUP(D3641,Товары!A:I,6,0)</f>
        <v>190</v>
      </c>
      <c r="I3641" t="str">
        <f>VLOOKUP(C3641,Магазины!A:C,3,0)</f>
        <v>Ставрополь</v>
      </c>
      <c r="J3641">
        <f>VLOOKUP(D3641,Товары!A:I,4,0)</f>
        <v>15810</v>
      </c>
      <c r="K3641">
        <f t="shared" si="56"/>
        <v>31620</v>
      </c>
    </row>
    <row r="3642" spans="1:11" hidden="1" x14ac:dyDescent="0.25">
      <c r="A3642">
        <v>3641</v>
      </c>
      <c r="B3642" s="1">
        <v>45755</v>
      </c>
      <c r="C3642" t="s">
        <v>58</v>
      </c>
      <c r="D3642" t="s">
        <v>68</v>
      </c>
      <c r="E3642" t="s">
        <v>8</v>
      </c>
      <c r="F3642">
        <v>1</v>
      </c>
      <c r="G3642" t="str">
        <f>VLOOKUP(D3642,Товары!A:I,3,0)</f>
        <v>Тумба с раковиной  навес. Альба 600 антрацит 1 ящик с умыв. Океан</v>
      </c>
      <c r="H3642">
        <f>VLOOKUP(D3642,Товары!A:I,6,0)</f>
        <v>85</v>
      </c>
      <c r="I3642" t="str">
        <f>VLOOKUP(C3642,Магазины!A:C,3,0)</f>
        <v>Ставрополь</v>
      </c>
      <c r="J3642">
        <f>VLOOKUP(D3642,Товары!A:I,4,0)</f>
        <v>17625</v>
      </c>
      <c r="K3642">
        <f t="shared" si="56"/>
        <v>17625</v>
      </c>
    </row>
    <row r="3643" spans="1:11" hidden="1" x14ac:dyDescent="0.25">
      <c r="A3643">
        <v>3642</v>
      </c>
      <c r="B3643" s="1">
        <v>45755</v>
      </c>
      <c r="C3643" t="s">
        <v>30</v>
      </c>
      <c r="D3643" t="s">
        <v>36</v>
      </c>
      <c r="E3643" t="s">
        <v>13</v>
      </c>
      <c r="F3643">
        <v>2</v>
      </c>
      <c r="G3643" t="str">
        <f>VLOOKUP(D3643,Товары!A:I,3,0)</f>
        <v>Тумба с раковиной  напол. Альба 800 мята 2 ящика с умыв. Слим</v>
      </c>
      <c r="H3643">
        <f>VLOOKUP(D3643,Товары!A:I,6,0)</f>
        <v>80</v>
      </c>
      <c r="I3643" t="str">
        <f>VLOOKUP(C3643,Магазины!A:C,3,0)</f>
        <v>Кемерово</v>
      </c>
      <c r="J3643">
        <f>VLOOKUP(D3643,Товары!A:I,4,0)</f>
        <v>29340</v>
      </c>
      <c r="K3643">
        <f t="shared" si="56"/>
        <v>58680</v>
      </c>
    </row>
    <row r="3644" spans="1:11" hidden="1" x14ac:dyDescent="0.25">
      <c r="A3644">
        <v>3643</v>
      </c>
      <c r="B3644" s="1">
        <v>45756</v>
      </c>
      <c r="C3644" t="s">
        <v>11</v>
      </c>
      <c r="D3644" t="s">
        <v>60</v>
      </c>
      <c r="E3644" t="s">
        <v>13</v>
      </c>
      <c r="F3644">
        <v>2</v>
      </c>
      <c r="G3644" t="str">
        <f>VLOOKUP(D3644,Товары!A:I,3,0)</f>
        <v>Пенал навес. Куба Риф 350 белый 2 двери</v>
      </c>
      <c r="H3644">
        <f>VLOOKUP(D3644,Товары!A:I,6,0)</f>
        <v>150</v>
      </c>
      <c r="I3644" t="str">
        <f>VLOOKUP(C3644,Магазины!A:C,3,0)</f>
        <v>Кемерово</v>
      </c>
      <c r="J3644">
        <f>VLOOKUP(D3644,Товары!A:I,4,0)</f>
        <v>9720</v>
      </c>
      <c r="K3644">
        <f t="shared" si="56"/>
        <v>19440</v>
      </c>
    </row>
    <row r="3645" spans="1:11" hidden="1" x14ac:dyDescent="0.25">
      <c r="A3645">
        <v>3644</v>
      </c>
      <c r="B3645" s="1">
        <v>45749</v>
      </c>
      <c r="C3645" t="s">
        <v>26</v>
      </c>
      <c r="D3645" t="s">
        <v>81</v>
      </c>
      <c r="E3645" t="s">
        <v>13</v>
      </c>
      <c r="F3645">
        <v>3</v>
      </c>
      <c r="G3645" t="str">
        <f>VLOOKUP(D3645,Товары!A:I,3,0)</f>
        <v>Тумба с раковиной  навес. Рица 600 cерый/керамика 1 ящик + ниша 1 с умыв. Океан</v>
      </c>
      <c r="H3645">
        <f>VLOOKUP(D3645,Товары!A:I,6,0)</f>
        <v>60</v>
      </c>
      <c r="I3645" t="str">
        <f>VLOOKUP(C3645,Магазины!A:C,3,0)</f>
        <v>Оренбург</v>
      </c>
      <c r="J3645">
        <f>VLOOKUP(D3645,Товары!A:I,4,0)</f>
        <v>18900</v>
      </c>
      <c r="K3645">
        <f t="shared" si="56"/>
        <v>56700</v>
      </c>
    </row>
    <row r="3646" spans="1:11" hidden="1" x14ac:dyDescent="0.25">
      <c r="A3646">
        <v>3645</v>
      </c>
      <c r="B3646" s="1">
        <v>45749</v>
      </c>
      <c r="C3646" t="s">
        <v>16</v>
      </c>
      <c r="D3646" t="s">
        <v>53</v>
      </c>
      <c r="E3646" t="s">
        <v>13</v>
      </c>
      <c r="F3646">
        <v>2</v>
      </c>
      <c r="G3646" t="str">
        <f>VLOOKUP(D3646,Товары!A:I,3,0)</f>
        <v>Тумба с раковиной  напол. Кристалл 600 шато азур 2 ящика с умыв. Океан</v>
      </c>
      <c r="H3646">
        <f>VLOOKUP(D3646,Товары!A:I,6,0)</f>
        <v>85</v>
      </c>
      <c r="I3646" t="str">
        <f>VLOOKUP(C3646,Магазины!A:C,3,0)</f>
        <v>Оренбург</v>
      </c>
      <c r="J3646">
        <f>VLOOKUP(D3646,Товары!A:I,4,0)</f>
        <v>27600</v>
      </c>
      <c r="K3646">
        <f t="shared" si="56"/>
        <v>55200</v>
      </c>
    </row>
    <row r="3647" spans="1:11" hidden="1" x14ac:dyDescent="0.25">
      <c r="A3647">
        <v>3646</v>
      </c>
      <c r="B3647" s="1">
        <v>45754</v>
      </c>
      <c r="C3647" t="s">
        <v>16</v>
      </c>
      <c r="D3647" t="s">
        <v>114</v>
      </c>
      <c r="E3647" t="s">
        <v>8</v>
      </c>
      <c r="F3647">
        <v>3</v>
      </c>
      <c r="G3647" t="str">
        <f>VLOOKUP(D3647,Товары!A:I,3,0)</f>
        <v>Тумба с раковиной  навес. Альба 700 мята 2 ящика с умыв. Слим</v>
      </c>
      <c r="H3647">
        <f>VLOOKUP(D3647,Товары!A:I,6,0)</f>
        <v>60</v>
      </c>
      <c r="I3647" t="str">
        <f>VLOOKUP(C3647,Магазины!A:C,3,0)</f>
        <v>Оренбург</v>
      </c>
      <c r="J3647">
        <f>VLOOKUP(D3647,Товары!A:I,4,0)</f>
        <v>25095</v>
      </c>
      <c r="K3647">
        <f t="shared" si="56"/>
        <v>75285</v>
      </c>
    </row>
    <row r="3648" spans="1:11" hidden="1" x14ac:dyDescent="0.25">
      <c r="A3648">
        <v>3647</v>
      </c>
      <c r="B3648" s="1">
        <v>45757</v>
      </c>
      <c r="C3648" t="s">
        <v>43</v>
      </c>
      <c r="D3648" t="s">
        <v>10</v>
      </c>
      <c r="E3648" t="s">
        <v>13</v>
      </c>
      <c r="F3648">
        <v>2</v>
      </c>
      <c r="G3648" t="str">
        <f>VLOOKUP(D3648,Товары!A:I,3,0)</f>
        <v>Тумба с раковиной  навес. Альба 700 антрацит 1 ящик с умыв. Слим</v>
      </c>
      <c r="H3648">
        <f>VLOOKUP(D3648,Товары!A:I,6,0)</f>
        <v>45</v>
      </c>
      <c r="I3648" t="str">
        <f>VLOOKUP(C3648,Магазины!A:C,3,0)</f>
        <v>Набережные Челны</v>
      </c>
      <c r="J3648">
        <f>VLOOKUP(D3648,Товары!A:I,4,0)</f>
        <v>20130</v>
      </c>
      <c r="K3648">
        <f t="shared" si="56"/>
        <v>40260</v>
      </c>
    </row>
    <row r="3649" spans="1:11" hidden="1" x14ac:dyDescent="0.25">
      <c r="A3649">
        <v>3648</v>
      </c>
      <c r="B3649" s="1">
        <v>45753</v>
      </c>
      <c r="C3649" t="s">
        <v>30</v>
      </c>
      <c r="D3649" t="s">
        <v>64</v>
      </c>
      <c r="E3649" t="s">
        <v>13</v>
      </c>
      <c r="F3649">
        <v>3</v>
      </c>
      <c r="G3649" t="str">
        <f>VLOOKUP(D3649,Товары!A:I,3,0)</f>
        <v>Тумба с раковиной  напол. Рица 800 антрацит 2 ящика с умыв. Слим</v>
      </c>
      <c r="H3649">
        <f>VLOOKUP(D3649,Товары!A:I,6,0)</f>
        <v>80</v>
      </c>
      <c r="I3649" t="str">
        <f>VLOOKUP(C3649,Магазины!A:C,3,0)</f>
        <v>Кемерово</v>
      </c>
      <c r="J3649">
        <f>VLOOKUP(D3649,Товары!A:I,4,0)</f>
        <v>28980</v>
      </c>
      <c r="K3649">
        <f t="shared" si="56"/>
        <v>86940</v>
      </c>
    </row>
    <row r="3650" spans="1:11" hidden="1" x14ac:dyDescent="0.25">
      <c r="A3650">
        <v>3649</v>
      </c>
      <c r="B3650" s="1">
        <v>45755</v>
      </c>
      <c r="C3650" t="s">
        <v>54</v>
      </c>
      <c r="D3650" t="s">
        <v>124</v>
      </c>
      <c r="E3650" t="s">
        <v>13</v>
      </c>
      <c r="F3650">
        <v>1</v>
      </c>
      <c r="G3650" t="str">
        <f>VLOOKUP(D3650,Товары!A:I,3,0)</f>
        <v>Тумба с раковиной  напол. Леон 600 оникс 2 ящика с умыв. Океан</v>
      </c>
      <c r="H3650">
        <f>VLOOKUP(D3650,Товары!A:I,6,0)</f>
        <v>80</v>
      </c>
      <c r="I3650" t="str">
        <f>VLOOKUP(C3650,Магазины!A:C,3,0)</f>
        <v>Ставрополь</v>
      </c>
      <c r="J3650">
        <f>VLOOKUP(D3650,Товары!A:I,4,0)</f>
        <v>25860</v>
      </c>
      <c r="K3650">
        <f t="shared" si="56"/>
        <v>25860</v>
      </c>
    </row>
    <row r="3651" spans="1:11" hidden="1" x14ac:dyDescent="0.25">
      <c r="A3651">
        <v>3650</v>
      </c>
      <c r="B3651" s="1">
        <v>45753</v>
      </c>
      <c r="C3651" t="s">
        <v>48</v>
      </c>
      <c r="D3651" t="s">
        <v>56</v>
      </c>
      <c r="E3651" t="s">
        <v>13</v>
      </c>
      <c r="F3651">
        <v>2</v>
      </c>
      <c r="G3651" t="str">
        <f>VLOOKUP(D3651,Товары!A:I,3,0)</f>
        <v>Зеркальный шкаф Альба 80 со светильником правый цвет мята</v>
      </c>
      <c r="H3651">
        <f>VLOOKUP(D3651,Товары!A:I,6,0)</f>
        <v>75</v>
      </c>
      <c r="I3651" t="str">
        <f>VLOOKUP(C3651,Магазины!A:C,3,0)</f>
        <v>Ставрополь</v>
      </c>
      <c r="J3651">
        <f>VLOOKUP(D3651,Товары!A:I,4,0)</f>
        <v>9930</v>
      </c>
      <c r="K3651">
        <f t="shared" ref="K3651:K3714" si="57">J3651*F3651</f>
        <v>19860</v>
      </c>
    </row>
    <row r="3652" spans="1:11" hidden="1" x14ac:dyDescent="0.25">
      <c r="A3652">
        <v>3651</v>
      </c>
      <c r="B3652" s="1">
        <v>45755</v>
      </c>
      <c r="C3652" t="s">
        <v>22</v>
      </c>
      <c r="D3652" t="s">
        <v>69</v>
      </c>
      <c r="E3652" t="s">
        <v>13</v>
      </c>
      <c r="F3652">
        <v>1</v>
      </c>
      <c r="G3652" t="str">
        <f>VLOOKUP(D3652,Товары!A:I,3,0)</f>
        <v>Пенал навес./напол. Альба 350 антрацит 2 двери</v>
      </c>
      <c r="H3652">
        <f>VLOOKUP(D3652,Товары!A:I,6,0)</f>
        <v>150</v>
      </c>
      <c r="I3652" t="str">
        <f>VLOOKUP(C3652,Магазины!A:C,3,0)</f>
        <v>Кемерово</v>
      </c>
      <c r="J3652">
        <f>VLOOKUP(D3652,Товары!A:I,4,0)</f>
        <v>11655</v>
      </c>
      <c r="K3652">
        <f t="shared" si="57"/>
        <v>11655</v>
      </c>
    </row>
    <row r="3653" spans="1:11" hidden="1" x14ac:dyDescent="0.25">
      <c r="A3653">
        <v>3652</v>
      </c>
      <c r="B3653" s="1">
        <v>45750</v>
      </c>
      <c r="C3653" t="s">
        <v>6</v>
      </c>
      <c r="D3653" t="s">
        <v>117</v>
      </c>
      <c r="E3653" t="s">
        <v>13</v>
      </c>
      <c r="F3653">
        <v>2</v>
      </c>
      <c r="G3653" t="str">
        <f>VLOOKUP(D3653,Товары!A:I,3,0)</f>
        <v>Тумба с раковиной  навес. Альба 700 антрацит 2 ящика с умыв. Слим</v>
      </c>
      <c r="H3653">
        <f>VLOOKUP(D3653,Товары!A:I,6,0)</f>
        <v>60</v>
      </c>
      <c r="I3653" t="str">
        <f>VLOOKUP(C3653,Магазины!A:C,3,0)</f>
        <v>Оренбург</v>
      </c>
      <c r="J3653">
        <f>VLOOKUP(D3653,Товары!A:I,4,0)</f>
        <v>25095</v>
      </c>
      <c r="K3653">
        <f t="shared" si="57"/>
        <v>50190</v>
      </c>
    </row>
    <row r="3654" spans="1:11" hidden="1" x14ac:dyDescent="0.25">
      <c r="A3654">
        <v>3653</v>
      </c>
      <c r="B3654" s="1">
        <v>45750</v>
      </c>
      <c r="C3654" t="s">
        <v>6</v>
      </c>
      <c r="D3654" t="s">
        <v>115</v>
      </c>
      <c r="E3654" t="s">
        <v>13</v>
      </c>
      <c r="F3654">
        <v>3</v>
      </c>
      <c r="G3654" t="str">
        <f>VLOOKUP(D3654,Товары!A:I,3,0)</f>
        <v>Тумба под стиральную машину Куба Риф 57 напольная 2 ящика под ст/маш, без умывальника /под Marshall 120 Белый</v>
      </c>
      <c r="H3654">
        <f>VLOOKUP(D3654,Товары!A:I,6,0)</f>
        <v>85</v>
      </c>
      <c r="I3654" t="str">
        <f>VLOOKUP(C3654,Магазины!A:C,3,0)</f>
        <v>Оренбург</v>
      </c>
      <c r="J3654">
        <f>VLOOKUP(D3654,Товары!A:I,4,0)</f>
        <v>10530</v>
      </c>
      <c r="K3654">
        <f t="shared" si="57"/>
        <v>31590</v>
      </c>
    </row>
    <row r="3655" spans="1:11" hidden="1" x14ac:dyDescent="0.25">
      <c r="A3655">
        <v>3654</v>
      </c>
      <c r="B3655" s="1">
        <v>45748</v>
      </c>
      <c r="C3655" t="s">
        <v>26</v>
      </c>
      <c r="D3655" t="s">
        <v>84</v>
      </c>
      <c r="E3655" t="s">
        <v>13</v>
      </c>
      <c r="F3655">
        <v>3</v>
      </c>
      <c r="G3655" t="str">
        <f>VLOOKUP(D3655,Товары!A:I,3,0)</f>
        <v>Тумба с раковиной  напол. Куба Риф 800 белый 3 двери с умыв. Слим</v>
      </c>
      <c r="H3655">
        <f>VLOOKUP(D3655,Товары!A:I,6,0)</f>
        <v>85</v>
      </c>
      <c r="I3655" t="str">
        <f>VLOOKUP(C3655,Магазины!A:C,3,0)</f>
        <v>Оренбург</v>
      </c>
      <c r="J3655">
        <f>VLOOKUP(D3655,Товары!A:I,4,0)</f>
        <v>19920</v>
      </c>
      <c r="K3655">
        <f t="shared" si="57"/>
        <v>59760</v>
      </c>
    </row>
    <row r="3656" spans="1:11" hidden="1" x14ac:dyDescent="0.25">
      <c r="A3656">
        <v>3655</v>
      </c>
      <c r="B3656" s="1">
        <v>45749</v>
      </c>
      <c r="C3656" t="s">
        <v>41</v>
      </c>
      <c r="D3656" t="s">
        <v>67</v>
      </c>
      <c r="E3656" t="s">
        <v>13</v>
      </c>
      <c r="F3656">
        <v>1</v>
      </c>
      <c r="G3656" t="str">
        <f>VLOOKUP(D3656,Товары!A:I,3,0)</f>
        <v>Пенал навес./напол. Альба 350 суфле 2 двери</v>
      </c>
      <c r="H3656">
        <f>VLOOKUP(D3656,Товары!A:I,6,0)</f>
        <v>150</v>
      </c>
      <c r="I3656" t="str">
        <f>VLOOKUP(C3656,Магазины!A:C,3,0)</f>
        <v>Ставрополь</v>
      </c>
      <c r="J3656">
        <f>VLOOKUP(D3656,Товары!A:I,4,0)</f>
        <v>11655</v>
      </c>
      <c r="K3656">
        <f t="shared" si="57"/>
        <v>11655</v>
      </c>
    </row>
    <row r="3657" spans="1:11" hidden="1" x14ac:dyDescent="0.25">
      <c r="A3657">
        <v>3656</v>
      </c>
      <c r="B3657" s="1">
        <v>45756</v>
      </c>
      <c r="C3657" t="s">
        <v>18</v>
      </c>
      <c r="D3657" t="s">
        <v>55</v>
      </c>
      <c r="E3657" t="s">
        <v>13</v>
      </c>
      <c r="F3657">
        <v>3</v>
      </c>
      <c r="G3657" t="str">
        <f>VLOOKUP(D3657,Товары!A:I,3,0)</f>
        <v>Тумба с раковиной  напол. Рица 600 cерый/керамика 2 ящика с умыв. Океан</v>
      </c>
      <c r="H3657">
        <f>VLOOKUP(D3657,Товары!A:I,6,0)</f>
        <v>80</v>
      </c>
      <c r="I3657" t="str">
        <f>VLOOKUP(C3657,Магазины!A:C,3,0)</f>
        <v>Набережные Челны</v>
      </c>
      <c r="J3657">
        <f>VLOOKUP(D3657,Товары!A:I,4,0)</f>
        <v>25560</v>
      </c>
      <c r="K3657">
        <f t="shared" si="57"/>
        <v>76680</v>
      </c>
    </row>
    <row r="3658" spans="1:11" hidden="1" x14ac:dyDescent="0.25">
      <c r="A3658">
        <v>3657</v>
      </c>
      <c r="B3658" s="1">
        <v>45749</v>
      </c>
      <c r="C3658" t="s">
        <v>57</v>
      </c>
      <c r="D3658" t="s">
        <v>47</v>
      </c>
      <c r="E3658" t="s">
        <v>13</v>
      </c>
      <c r="F3658">
        <v>2</v>
      </c>
      <c r="G3658" t="str">
        <f>VLOOKUP(D3658,Товары!A:I,3,0)</f>
        <v>Пенал напол. Кристалл 350 шато азур 2 двери</v>
      </c>
      <c r="H3658">
        <f>VLOOKUP(D3658,Товары!A:I,6,0)</f>
        <v>190</v>
      </c>
      <c r="I3658" t="str">
        <f>VLOOKUP(C3658,Магазины!A:C,3,0)</f>
        <v>Оренбург</v>
      </c>
      <c r="J3658">
        <f>VLOOKUP(D3658,Товары!A:I,4,0)</f>
        <v>15810</v>
      </c>
      <c r="K3658">
        <f t="shared" si="57"/>
        <v>31620</v>
      </c>
    </row>
    <row r="3659" spans="1:11" hidden="1" x14ac:dyDescent="0.25">
      <c r="A3659">
        <v>3658</v>
      </c>
      <c r="B3659" s="1">
        <v>45750</v>
      </c>
      <c r="C3659" t="s">
        <v>54</v>
      </c>
      <c r="D3659" t="s">
        <v>82</v>
      </c>
      <c r="E3659" t="s">
        <v>13</v>
      </c>
      <c r="F3659">
        <v>2</v>
      </c>
      <c r="G3659" t="str">
        <f>VLOOKUP(D3659,Товары!A:I,3,0)</f>
        <v>Тумба с раковиной  навес. Леон 800 форест 2 ящика с умыв. Слим</v>
      </c>
      <c r="H3659">
        <f>VLOOKUP(D3659,Товары!A:I,6,0)</f>
        <v>60</v>
      </c>
      <c r="I3659" t="str">
        <f>VLOOKUP(C3659,Магазины!A:C,3,0)</f>
        <v>Ставрополь</v>
      </c>
      <c r="J3659">
        <f>VLOOKUP(D3659,Товары!A:I,4,0)</f>
        <v>27930</v>
      </c>
      <c r="K3659">
        <f t="shared" si="57"/>
        <v>55860</v>
      </c>
    </row>
    <row r="3660" spans="1:11" hidden="1" x14ac:dyDescent="0.25">
      <c r="A3660">
        <v>3659</v>
      </c>
      <c r="B3660" s="1">
        <v>45750</v>
      </c>
      <c r="C3660" t="s">
        <v>20</v>
      </c>
      <c r="D3660" t="s">
        <v>15</v>
      </c>
      <c r="E3660" t="s">
        <v>8</v>
      </c>
      <c r="F3660">
        <v>3</v>
      </c>
      <c r="G3660" t="str">
        <f>VLOOKUP(D3660,Товары!A:I,3,0)</f>
        <v>Зеркальный шкаф Кристалл 60 со светильником правый, ручка кнопка дуб цвет Шато Азур</v>
      </c>
      <c r="H3660">
        <f>VLOOKUP(D3660,Товары!A:I,6,0)</f>
        <v>75</v>
      </c>
      <c r="I3660" t="str">
        <f>VLOOKUP(C3660,Магазины!A:C,3,0)</f>
        <v>Оренбург</v>
      </c>
      <c r="J3660">
        <f>VLOOKUP(D3660,Товары!A:I,4,0)</f>
        <v>9195</v>
      </c>
      <c r="K3660">
        <f t="shared" si="57"/>
        <v>27585</v>
      </c>
    </row>
    <row r="3661" spans="1:11" hidden="1" x14ac:dyDescent="0.25">
      <c r="A3661">
        <v>3660</v>
      </c>
      <c r="B3661" s="1">
        <v>45757</v>
      </c>
      <c r="C3661" t="s">
        <v>48</v>
      </c>
      <c r="D3661" t="s">
        <v>46</v>
      </c>
      <c r="E3661" t="s">
        <v>13</v>
      </c>
      <c r="F3661">
        <v>2</v>
      </c>
      <c r="G3661" t="str">
        <f>VLOOKUP(D3661,Товары!A:I,3,0)</f>
        <v>Тумба с раковиной  напол. Сохо 700 белый 2 ящика с умыв. Слим</v>
      </c>
      <c r="H3661">
        <f>VLOOKUP(D3661,Товары!A:I,6,0)</f>
        <v>85</v>
      </c>
      <c r="I3661" t="str">
        <f>VLOOKUP(C3661,Магазины!A:C,3,0)</f>
        <v>Ставрополь</v>
      </c>
      <c r="J3661">
        <f>VLOOKUP(D3661,Товары!A:I,4,0)</f>
        <v>18405</v>
      </c>
      <c r="K3661">
        <f t="shared" si="57"/>
        <v>36810</v>
      </c>
    </row>
    <row r="3662" spans="1:11" hidden="1" x14ac:dyDescent="0.25">
      <c r="A3662">
        <v>3661</v>
      </c>
      <c r="B3662" s="1">
        <v>45753</v>
      </c>
      <c r="C3662" t="s">
        <v>30</v>
      </c>
      <c r="D3662" t="s">
        <v>108</v>
      </c>
      <c r="E3662" t="s">
        <v>8</v>
      </c>
      <c r="F3662">
        <v>3</v>
      </c>
      <c r="G3662" t="str">
        <f>VLOOKUP(D3662,Товары!A:I,3,0)</f>
        <v>Тумба с раковиной  навес. Виктория 1000 белый 2 ящика с умыв. Слим</v>
      </c>
      <c r="H3662">
        <f>VLOOKUP(D3662,Товары!A:I,6,0)</f>
        <v>60</v>
      </c>
      <c r="I3662" t="str">
        <f>VLOOKUP(C3662,Магазины!A:C,3,0)</f>
        <v>Кемерово</v>
      </c>
      <c r="J3662">
        <f>VLOOKUP(D3662,Товары!A:I,4,0)</f>
        <v>29205</v>
      </c>
      <c r="K3662">
        <f t="shared" si="57"/>
        <v>87615</v>
      </c>
    </row>
    <row r="3663" spans="1:11" hidden="1" x14ac:dyDescent="0.25">
      <c r="A3663">
        <v>3662</v>
      </c>
      <c r="B3663" s="1">
        <v>45757</v>
      </c>
      <c r="C3663" t="s">
        <v>9</v>
      </c>
      <c r="D3663" t="s">
        <v>52</v>
      </c>
      <c r="E3663" t="s">
        <v>13</v>
      </c>
      <c r="F3663">
        <v>3</v>
      </c>
      <c r="G3663" t="str">
        <f>VLOOKUP(D3663,Товары!A:I,3,0)</f>
        <v>Тумба с раковиной  напол. Кристалл 600 суфле 2 ящика с умыв. Океан</v>
      </c>
      <c r="H3663">
        <f>VLOOKUP(D3663,Товары!A:I,6,0)</f>
        <v>80</v>
      </c>
      <c r="I3663" t="str">
        <f>VLOOKUP(C3663,Магазины!A:C,3,0)</f>
        <v>Кемерово</v>
      </c>
      <c r="J3663">
        <f>VLOOKUP(D3663,Товары!A:I,4,0)</f>
        <v>27600</v>
      </c>
      <c r="K3663">
        <f t="shared" si="57"/>
        <v>82800</v>
      </c>
    </row>
    <row r="3664" spans="1:11" hidden="1" x14ac:dyDescent="0.25">
      <c r="A3664">
        <v>3663</v>
      </c>
      <c r="B3664" s="1">
        <v>45756</v>
      </c>
      <c r="C3664" t="s">
        <v>63</v>
      </c>
      <c r="D3664" t="s">
        <v>69</v>
      </c>
      <c r="E3664" t="s">
        <v>8</v>
      </c>
      <c r="F3664">
        <v>3</v>
      </c>
      <c r="G3664" t="str">
        <f>VLOOKUP(D3664,Товары!A:I,3,0)</f>
        <v>Пенал навес./напол. Альба 350 антрацит 2 двери</v>
      </c>
      <c r="H3664">
        <f>VLOOKUP(D3664,Товары!A:I,6,0)</f>
        <v>150</v>
      </c>
      <c r="I3664" t="str">
        <f>VLOOKUP(C3664,Магазины!A:C,3,0)</f>
        <v>Ставрополь</v>
      </c>
      <c r="J3664">
        <f>VLOOKUP(D3664,Товары!A:I,4,0)</f>
        <v>11655</v>
      </c>
      <c r="K3664">
        <f t="shared" si="57"/>
        <v>34965</v>
      </c>
    </row>
    <row r="3665" spans="1:11" hidden="1" x14ac:dyDescent="0.25">
      <c r="A3665">
        <v>3664</v>
      </c>
      <c r="B3665" s="1">
        <v>45748</v>
      </c>
      <c r="C3665" t="s">
        <v>6</v>
      </c>
      <c r="D3665" t="s">
        <v>72</v>
      </c>
      <c r="E3665" t="s">
        <v>8</v>
      </c>
      <c r="F3665">
        <v>1</v>
      </c>
      <c r="G3665" t="str">
        <f>VLOOKUP(D3665,Товары!A:I,3,0)</f>
        <v>Тумба с раковиной  напол. Сохо 600 белый 2 ящика с умыв. Океан</v>
      </c>
      <c r="H3665">
        <f>VLOOKUP(D3665,Товары!A:I,6,0)</f>
        <v>85</v>
      </c>
      <c r="I3665" t="str">
        <f>VLOOKUP(C3665,Магазины!A:C,3,0)</f>
        <v>Оренбург</v>
      </c>
      <c r="J3665">
        <f>VLOOKUP(D3665,Товары!A:I,4,0)</f>
        <v>16140</v>
      </c>
      <c r="K3665">
        <f t="shared" si="57"/>
        <v>16140</v>
      </c>
    </row>
    <row r="3666" spans="1:11" x14ac:dyDescent="0.25">
      <c r="A3666">
        <v>3665</v>
      </c>
      <c r="B3666" s="1">
        <v>45752</v>
      </c>
      <c r="C3666" t="s">
        <v>22</v>
      </c>
      <c r="D3666" t="s">
        <v>91</v>
      </c>
      <c r="E3666" t="s">
        <v>13</v>
      </c>
      <c r="F3666">
        <v>2</v>
      </c>
      <c r="G3666" t="str">
        <f>VLOOKUP(D3666,Товары!A:I,3,0)</f>
        <v>Пенал навес./напол. Альба 350 мята 2 двери</v>
      </c>
      <c r="H3666">
        <f>VLOOKUP(D3666,Товары!A:I,6,0)</f>
        <v>150</v>
      </c>
      <c r="I3666" t="str">
        <f>VLOOKUP(C3666,Магазины!A:C,3,0)</f>
        <v>Кемерово</v>
      </c>
      <c r="J3666">
        <f>VLOOKUP(D3666,Товары!A:I,4,0)</f>
        <v>11655</v>
      </c>
      <c r="K3666">
        <f t="shared" si="57"/>
        <v>23310</v>
      </c>
    </row>
    <row r="3667" spans="1:11" hidden="1" x14ac:dyDescent="0.25">
      <c r="A3667">
        <v>3666</v>
      </c>
      <c r="B3667" s="1">
        <v>45752</v>
      </c>
      <c r="C3667" t="s">
        <v>20</v>
      </c>
      <c r="D3667" t="s">
        <v>73</v>
      </c>
      <c r="E3667" t="s">
        <v>13</v>
      </c>
      <c r="F3667">
        <v>2</v>
      </c>
      <c r="G3667" t="str">
        <f>VLOOKUP(D3667,Товары!A:I,3,0)</f>
        <v>Зеркальный шкаф Альба 70 со светильником правый цвет антрацит</v>
      </c>
      <c r="H3667">
        <f>VLOOKUP(D3667,Товары!A:I,6,0)</f>
        <v>75</v>
      </c>
      <c r="I3667" t="str">
        <f>VLOOKUP(C3667,Магазины!A:C,3,0)</f>
        <v>Оренбург</v>
      </c>
      <c r="J3667">
        <f>VLOOKUP(D3667,Товары!A:I,4,0)</f>
        <v>9615</v>
      </c>
      <c r="K3667">
        <f t="shared" si="57"/>
        <v>19230</v>
      </c>
    </row>
    <row r="3668" spans="1:11" hidden="1" x14ac:dyDescent="0.25">
      <c r="A3668">
        <v>3667</v>
      </c>
      <c r="B3668" s="1">
        <v>45748</v>
      </c>
      <c r="C3668" t="s">
        <v>54</v>
      </c>
      <c r="D3668" t="s">
        <v>107</v>
      </c>
      <c r="E3668" t="s">
        <v>8</v>
      </c>
      <c r="F3668">
        <v>1</v>
      </c>
      <c r="G3668" t="str">
        <f>VLOOKUP(D3668,Товары!A:I,3,0)</f>
        <v>Комод Аква 35 напольный 1 дверь белый правый</v>
      </c>
      <c r="H3668">
        <f>VLOOKUP(D3668,Товары!A:I,6,0)</f>
        <v>90</v>
      </c>
      <c r="I3668" t="str">
        <f>VLOOKUP(C3668,Магазины!A:C,3,0)</f>
        <v>Ставрополь</v>
      </c>
      <c r="J3668">
        <f>VLOOKUP(D3668,Товары!A:I,4,0)</f>
        <v>6705</v>
      </c>
      <c r="K3668">
        <f t="shared" si="57"/>
        <v>6705</v>
      </c>
    </row>
    <row r="3669" spans="1:11" hidden="1" x14ac:dyDescent="0.25">
      <c r="A3669">
        <v>3668</v>
      </c>
      <c r="B3669" s="1">
        <v>45754</v>
      </c>
      <c r="C3669" t="s">
        <v>35</v>
      </c>
      <c r="D3669" t="s">
        <v>127</v>
      </c>
      <c r="E3669" t="s">
        <v>8</v>
      </c>
      <c r="F3669">
        <v>3</v>
      </c>
      <c r="G3669" t="str">
        <f>VLOOKUP(D3669,Товары!A:I,3,0)</f>
        <v>Тумба с раковиной  навес. Альба 700 мята 1 ящик с умыв. Слим</v>
      </c>
      <c r="H3669">
        <f>VLOOKUP(D3669,Товары!A:I,6,0)</f>
        <v>45</v>
      </c>
      <c r="I3669" t="str">
        <f>VLOOKUP(C3669,Магазины!A:C,3,0)</f>
        <v>Набережные Челны</v>
      </c>
      <c r="J3669">
        <f>VLOOKUP(D3669,Товары!A:I,4,0)</f>
        <v>20130</v>
      </c>
      <c r="K3669">
        <f t="shared" si="57"/>
        <v>60390</v>
      </c>
    </row>
    <row r="3670" spans="1:11" hidden="1" x14ac:dyDescent="0.25">
      <c r="A3670">
        <v>3669</v>
      </c>
      <c r="B3670" s="1">
        <v>45751</v>
      </c>
      <c r="C3670" t="s">
        <v>35</v>
      </c>
      <c r="D3670" t="s">
        <v>93</v>
      </c>
      <c r="E3670" t="s">
        <v>13</v>
      </c>
      <c r="F3670">
        <v>3</v>
      </c>
      <c r="G3670" t="str">
        <f>VLOOKUP(D3670,Товары!A:I,3,0)</f>
        <v>Тумба с раковиной  напол. Леон Риф 800 солярис/белый риф 2 ящика с умыв. Слим</v>
      </c>
      <c r="H3670">
        <f>VLOOKUP(D3670,Товары!A:I,6,0)</f>
        <v>80</v>
      </c>
      <c r="I3670" t="str">
        <f>VLOOKUP(C3670,Магазины!A:C,3,0)</f>
        <v>Набережные Челны</v>
      </c>
      <c r="J3670">
        <f>VLOOKUP(D3670,Товары!A:I,4,0)</f>
        <v>29340</v>
      </c>
      <c r="K3670">
        <f t="shared" si="57"/>
        <v>88020</v>
      </c>
    </row>
    <row r="3671" spans="1:11" hidden="1" x14ac:dyDescent="0.25">
      <c r="A3671">
        <v>3670</v>
      </c>
      <c r="B3671" s="1">
        <v>45749</v>
      </c>
      <c r="C3671" t="s">
        <v>6</v>
      </c>
      <c r="D3671" t="s">
        <v>107</v>
      </c>
      <c r="E3671" t="s">
        <v>8</v>
      </c>
      <c r="F3671">
        <v>2</v>
      </c>
      <c r="G3671" t="str">
        <f>VLOOKUP(D3671,Товары!A:I,3,0)</f>
        <v>Комод Аква 35 напольный 1 дверь белый правый</v>
      </c>
      <c r="H3671">
        <f>VLOOKUP(D3671,Товары!A:I,6,0)</f>
        <v>90</v>
      </c>
      <c r="I3671" t="str">
        <f>VLOOKUP(C3671,Магазины!A:C,3,0)</f>
        <v>Оренбург</v>
      </c>
      <c r="J3671">
        <f>VLOOKUP(D3671,Товары!A:I,4,0)</f>
        <v>6705</v>
      </c>
      <c r="K3671">
        <f t="shared" si="57"/>
        <v>13410</v>
      </c>
    </row>
    <row r="3672" spans="1:11" hidden="1" x14ac:dyDescent="0.25">
      <c r="A3672">
        <v>3671</v>
      </c>
      <c r="B3672" s="1">
        <v>45748</v>
      </c>
      <c r="C3672" t="s">
        <v>20</v>
      </c>
      <c r="D3672" t="s">
        <v>120</v>
      </c>
      <c r="E3672" t="s">
        <v>13</v>
      </c>
      <c r="F3672">
        <v>3</v>
      </c>
      <c r="G3672" t="str">
        <f>VLOOKUP(D3672,Товары!A:I,3,0)</f>
        <v>Зеркальный шкаф Альба 60 со светильником правый цвет антрацит</v>
      </c>
      <c r="H3672">
        <f>VLOOKUP(D3672,Товары!A:I,6,0)</f>
        <v>75</v>
      </c>
      <c r="I3672" t="str">
        <f>VLOOKUP(C3672,Магазины!A:C,3,0)</f>
        <v>Оренбург</v>
      </c>
      <c r="J3672">
        <f>VLOOKUP(D3672,Товары!A:I,4,0)</f>
        <v>8910</v>
      </c>
      <c r="K3672">
        <f t="shared" si="57"/>
        <v>26730</v>
      </c>
    </row>
    <row r="3673" spans="1:11" hidden="1" x14ac:dyDescent="0.25">
      <c r="A3673">
        <v>3672</v>
      </c>
      <c r="B3673" s="1">
        <v>45750</v>
      </c>
      <c r="C3673" t="s">
        <v>103</v>
      </c>
      <c r="D3673" t="s">
        <v>66</v>
      </c>
      <c r="E3673" t="s">
        <v>8</v>
      </c>
      <c r="F3673">
        <v>3</v>
      </c>
      <c r="G3673" t="str">
        <f>VLOOKUP(D3673,Товары!A:I,3,0)</f>
        <v>Тумба с раковиной  навес. Альба 800 мята 2 ящика с умыв. Слим</v>
      </c>
      <c r="H3673">
        <f>VLOOKUP(D3673,Товары!A:I,6,0)</f>
        <v>50</v>
      </c>
      <c r="I3673" t="str">
        <f>VLOOKUP(C3673,Магазины!A:C,3,0)</f>
        <v>Ставрополь</v>
      </c>
      <c r="J3673">
        <f>VLOOKUP(D3673,Товары!A:I,4,0)</f>
        <v>26070</v>
      </c>
      <c r="K3673">
        <f t="shared" si="57"/>
        <v>78210</v>
      </c>
    </row>
    <row r="3674" spans="1:11" hidden="1" x14ac:dyDescent="0.25">
      <c r="A3674">
        <v>3673</v>
      </c>
      <c r="B3674" s="1">
        <v>45756</v>
      </c>
      <c r="C3674" t="s">
        <v>103</v>
      </c>
      <c r="D3674" t="s">
        <v>15</v>
      </c>
      <c r="E3674" t="s">
        <v>8</v>
      </c>
      <c r="F3674">
        <v>3</v>
      </c>
      <c r="G3674" t="str">
        <f>VLOOKUP(D3674,Товары!A:I,3,0)</f>
        <v>Зеркальный шкаф Кристалл 60 со светильником правый, ручка кнопка дуб цвет Шато Азур</v>
      </c>
      <c r="H3674">
        <f>VLOOKUP(D3674,Товары!A:I,6,0)</f>
        <v>75</v>
      </c>
      <c r="I3674" t="str">
        <f>VLOOKUP(C3674,Магазины!A:C,3,0)</f>
        <v>Ставрополь</v>
      </c>
      <c r="J3674">
        <f>VLOOKUP(D3674,Товары!A:I,4,0)</f>
        <v>9195</v>
      </c>
      <c r="K3674">
        <f t="shared" si="57"/>
        <v>27585</v>
      </c>
    </row>
    <row r="3675" spans="1:11" hidden="1" x14ac:dyDescent="0.25">
      <c r="A3675">
        <v>3674</v>
      </c>
      <c r="B3675" s="1">
        <v>45757</v>
      </c>
      <c r="C3675" t="s">
        <v>58</v>
      </c>
      <c r="D3675" t="s">
        <v>12</v>
      </c>
      <c r="E3675" t="s">
        <v>13</v>
      </c>
      <c r="F3675">
        <v>2</v>
      </c>
      <c r="G3675" t="str">
        <f>VLOOKUP(D3675,Товары!A:I,3,0)</f>
        <v>Тумба с раковиной  напол. Сохо 700 белый 2 двери с умыв. Слим</v>
      </c>
      <c r="H3675">
        <f>VLOOKUP(D3675,Товары!A:I,6,0)</f>
        <v>85</v>
      </c>
      <c r="I3675" t="str">
        <f>VLOOKUP(C3675,Магазины!A:C,3,0)</f>
        <v>Ставрополь</v>
      </c>
      <c r="J3675">
        <f>VLOOKUP(D3675,Товары!A:I,4,0)</f>
        <v>17160</v>
      </c>
      <c r="K3675">
        <f t="shared" si="57"/>
        <v>34320</v>
      </c>
    </row>
    <row r="3676" spans="1:11" hidden="1" x14ac:dyDescent="0.25">
      <c r="A3676">
        <v>3675</v>
      </c>
      <c r="B3676" s="1">
        <v>45750</v>
      </c>
      <c r="C3676" t="s">
        <v>16</v>
      </c>
      <c r="D3676" t="s">
        <v>36</v>
      </c>
      <c r="E3676" t="s">
        <v>8</v>
      </c>
      <c r="F3676">
        <v>3</v>
      </c>
      <c r="G3676" t="str">
        <f>VLOOKUP(D3676,Товары!A:I,3,0)</f>
        <v>Тумба с раковиной  напол. Альба 800 мята 2 ящика с умыв. Слим</v>
      </c>
      <c r="H3676">
        <f>VLOOKUP(D3676,Товары!A:I,6,0)</f>
        <v>80</v>
      </c>
      <c r="I3676" t="str">
        <f>VLOOKUP(C3676,Магазины!A:C,3,0)</f>
        <v>Оренбург</v>
      </c>
      <c r="J3676">
        <f>VLOOKUP(D3676,Товары!A:I,4,0)</f>
        <v>29340</v>
      </c>
      <c r="K3676">
        <f t="shared" si="57"/>
        <v>88020</v>
      </c>
    </row>
    <row r="3677" spans="1:11" hidden="1" x14ac:dyDescent="0.25">
      <c r="A3677">
        <v>3676</v>
      </c>
      <c r="B3677" s="1">
        <v>45750</v>
      </c>
      <c r="C3677" t="s">
        <v>26</v>
      </c>
      <c r="D3677" t="s">
        <v>45</v>
      </c>
      <c r="E3677" t="s">
        <v>13</v>
      </c>
      <c r="F3677">
        <v>2</v>
      </c>
      <c r="G3677" t="str">
        <f>VLOOKUP(D3677,Товары!A:I,3,0)</f>
        <v>Зеркальный шкаф Рица 80 со светильником правый цвет cерый/керамика</v>
      </c>
      <c r="H3677">
        <f>VLOOKUP(D3677,Товары!A:I,6,0)</f>
        <v>75</v>
      </c>
      <c r="I3677" t="str">
        <f>VLOOKUP(C3677,Магазины!A:C,3,0)</f>
        <v>Оренбург</v>
      </c>
      <c r="J3677">
        <f>VLOOKUP(D3677,Товары!A:I,4,0)</f>
        <v>9930</v>
      </c>
      <c r="K3677">
        <f t="shared" si="57"/>
        <v>19860</v>
      </c>
    </row>
    <row r="3678" spans="1:11" hidden="1" x14ac:dyDescent="0.25">
      <c r="A3678">
        <v>3677</v>
      </c>
      <c r="B3678" s="1">
        <v>45748</v>
      </c>
      <c r="C3678" t="s">
        <v>35</v>
      </c>
      <c r="D3678" t="s">
        <v>122</v>
      </c>
      <c r="E3678" t="s">
        <v>13</v>
      </c>
      <c r="F3678">
        <v>1</v>
      </c>
      <c r="G3678" t="str">
        <f>VLOOKUP(D3678,Товары!A:I,3,0)</f>
        <v>Тумба с раковиной  навес. Кристалл 600 шато азур 2 ящика с умыв. Океан</v>
      </c>
      <c r="H3678">
        <f>VLOOKUP(D3678,Товары!A:I,6,0)</f>
        <v>55</v>
      </c>
      <c r="I3678" t="str">
        <f>VLOOKUP(C3678,Магазины!A:C,3,0)</f>
        <v>Набережные Челны</v>
      </c>
      <c r="J3678">
        <f>VLOOKUP(D3678,Товары!A:I,4,0)</f>
        <v>21960</v>
      </c>
      <c r="K3678">
        <f t="shared" si="57"/>
        <v>21960</v>
      </c>
    </row>
    <row r="3679" spans="1:11" hidden="1" x14ac:dyDescent="0.25">
      <c r="A3679">
        <v>3678</v>
      </c>
      <c r="B3679" s="1">
        <v>45757</v>
      </c>
      <c r="C3679" t="s">
        <v>35</v>
      </c>
      <c r="D3679" t="s">
        <v>40</v>
      </c>
      <c r="E3679" t="s">
        <v>13</v>
      </c>
      <c r="F3679">
        <v>3</v>
      </c>
      <c r="G3679" t="str">
        <f>VLOOKUP(D3679,Товары!A:I,3,0)</f>
        <v>Тумба с раковиной  навес. Рица 800 cерый/керамика 1 ящик + ниша 1 с умыв. Слим</v>
      </c>
      <c r="H3679">
        <f>VLOOKUP(D3679,Товары!A:I,6,0)</f>
        <v>60</v>
      </c>
      <c r="I3679" t="str">
        <f>VLOOKUP(C3679,Магазины!A:C,3,0)</f>
        <v>Набережные Челны</v>
      </c>
      <c r="J3679">
        <f>VLOOKUP(D3679,Товары!A:I,4,0)</f>
        <v>22425</v>
      </c>
      <c r="K3679">
        <f t="shared" si="57"/>
        <v>67275</v>
      </c>
    </row>
    <row r="3680" spans="1:11" hidden="1" x14ac:dyDescent="0.25">
      <c r="A3680">
        <v>3679</v>
      </c>
      <c r="B3680" s="1">
        <v>45754</v>
      </c>
      <c r="C3680" t="s">
        <v>33</v>
      </c>
      <c r="D3680" t="s">
        <v>110</v>
      </c>
      <c r="E3680" t="s">
        <v>13</v>
      </c>
      <c r="F3680">
        <v>3</v>
      </c>
      <c r="G3680" t="str">
        <f>VLOOKUP(D3680,Товары!A:I,3,0)</f>
        <v>Тумба с раковиной  напол. Альба 600 антрацит 2 ящика с умыв. Океан</v>
      </c>
      <c r="H3680">
        <f>VLOOKUP(D3680,Товары!A:I,6,0)</f>
        <v>80</v>
      </c>
      <c r="I3680" t="str">
        <f>VLOOKUP(C3680,Магазины!A:C,3,0)</f>
        <v>Набережные Челны</v>
      </c>
      <c r="J3680">
        <f>VLOOKUP(D3680,Товары!A:I,4,0)</f>
        <v>26370</v>
      </c>
      <c r="K3680">
        <f t="shared" si="57"/>
        <v>79110</v>
      </c>
    </row>
    <row r="3681" spans="1:11" hidden="1" x14ac:dyDescent="0.25">
      <c r="A3681">
        <v>3680</v>
      </c>
      <c r="B3681" s="1">
        <v>45750</v>
      </c>
      <c r="C3681" t="s">
        <v>6</v>
      </c>
      <c r="D3681" t="s">
        <v>17</v>
      </c>
      <c r="E3681" t="s">
        <v>8</v>
      </c>
      <c r="F3681">
        <v>3</v>
      </c>
      <c r="G3681" t="str">
        <f>VLOOKUP(D3681,Товары!A:I,3,0)</f>
        <v>Тумба с раковиной  навес. Альба 800 антрацит 1 ящик с умыв. Слим</v>
      </c>
      <c r="H3681">
        <f>VLOOKUP(D3681,Товары!A:I,6,0)</f>
        <v>45</v>
      </c>
      <c r="I3681" t="str">
        <f>VLOOKUP(C3681,Магазины!A:C,3,0)</f>
        <v>Оренбург</v>
      </c>
      <c r="J3681">
        <f>VLOOKUP(D3681,Товары!A:I,4,0)</f>
        <v>21630</v>
      </c>
      <c r="K3681">
        <f t="shared" si="57"/>
        <v>64890</v>
      </c>
    </row>
    <row r="3682" spans="1:11" hidden="1" x14ac:dyDescent="0.25">
      <c r="A3682">
        <v>3681</v>
      </c>
      <c r="B3682" s="1">
        <v>45749</v>
      </c>
      <c r="C3682" t="s">
        <v>111</v>
      </c>
      <c r="D3682" t="s">
        <v>128</v>
      </c>
      <c r="E3682" t="s">
        <v>13</v>
      </c>
      <c r="F3682">
        <v>1</v>
      </c>
      <c r="G3682" t="str">
        <f>VLOOKUP(D3682,Товары!A:I,3,0)</f>
        <v>Тумба с раковиной  напол. Куба Риф 1000 белый 2 ящика с умыв. Слим</v>
      </c>
      <c r="H3682">
        <f>VLOOKUP(D3682,Товары!A:I,6,0)</f>
        <v>85</v>
      </c>
      <c r="I3682" t="str">
        <f>VLOOKUP(C3682,Магазины!A:C,3,0)</f>
        <v>Набережные Челны</v>
      </c>
      <c r="J3682">
        <f>VLOOKUP(D3682,Товары!A:I,4,0)</f>
        <v>22905</v>
      </c>
      <c r="K3682">
        <f t="shared" si="57"/>
        <v>22905</v>
      </c>
    </row>
    <row r="3683" spans="1:11" hidden="1" x14ac:dyDescent="0.25">
      <c r="A3683">
        <v>3682</v>
      </c>
      <c r="B3683" s="1">
        <v>45748</v>
      </c>
      <c r="C3683" t="s">
        <v>28</v>
      </c>
      <c r="D3683" t="s">
        <v>82</v>
      </c>
      <c r="E3683" t="s">
        <v>8</v>
      </c>
      <c r="F3683">
        <v>3</v>
      </c>
      <c r="G3683" t="str">
        <f>VLOOKUP(D3683,Товары!A:I,3,0)</f>
        <v>Тумба с раковиной  навес. Леон 800 форест 2 ящика с умыв. Слим</v>
      </c>
      <c r="H3683">
        <f>VLOOKUP(D3683,Товары!A:I,6,0)</f>
        <v>60</v>
      </c>
      <c r="I3683" t="str">
        <f>VLOOKUP(C3683,Магазины!A:C,3,0)</f>
        <v>Набережные Челны</v>
      </c>
      <c r="J3683">
        <f>VLOOKUP(D3683,Товары!A:I,4,0)</f>
        <v>27930</v>
      </c>
      <c r="K3683">
        <f t="shared" si="57"/>
        <v>83790</v>
      </c>
    </row>
    <row r="3684" spans="1:11" hidden="1" x14ac:dyDescent="0.25">
      <c r="A3684">
        <v>3683</v>
      </c>
      <c r="B3684" s="1">
        <v>45749</v>
      </c>
      <c r="C3684" t="s">
        <v>18</v>
      </c>
      <c r="D3684" t="s">
        <v>89</v>
      </c>
      <c r="E3684" t="s">
        <v>8</v>
      </c>
      <c r="F3684">
        <v>3</v>
      </c>
      <c r="G3684" t="str">
        <f>VLOOKUP(D3684,Товары!A:I,3,0)</f>
        <v>Тумба с раковиной  напол. Сохо 600 белый 2 двери с умыв. Океан</v>
      </c>
      <c r="H3684">
        <f>VLOOKUP(D3684,Товары!A:I,6,0)</f>
        <v>85</v>
      </c>
      <c r="I3684" t="str">
        <f>VLOOKUP(C3684,Магазины!A:C,3,0)</f>
        <v>Набережные Челны</v>
      </c>
      <c r="J3684">
        <f>VLOOKUP(D3684,Товары!A:I,4,0)</f>
        <v>14880</v>
      </c>
      <c r="K3684">
        <f t="shared" si="57"/>
        <v>44640</v>
      </c>
    </row>
    <row r="3685" spans="1:11" hidden="1" x14ac:dyDescent="0.25">
      <c r="A3685">
        <v>3684</v>
      </c>
      <c r="B3685" s="1">
        <v>45749</v>
      </c>
      <c r="C3685" t="s">
        <v>22</v>
      </c>
      <c r="D3685" t="s">
        <v>24</v>
      </c>
      <c r="E3685" t="s">
        <v>8</v>
      </c>
      <c r="F3685">
        <v>2</v>
      </c>
      <c r="G3685" t="str">
        <f>VLOOKUP(D3685,Товары!A:I,3,0)</f>
        <v>Тумба с раковиной  напол. Леон 600 форест 2 ящика с умыв. Слим</v>
      </c>
      <c r="H3685">
        <f>VLOOKUP(D3685,Товары!A:I,6,0)</f>
        <v>80</v>
      </c>
      <c r="I3685" t="str">
        <f>VLOOKUP(C3685,Магазины!A:C,3,0)</f>
        <v>Кемерово</v>
      </c>
      <c r="J3685">
        <f>VLOOKUP(D3685,Товары!A:I,4,0)</f>
        <v>27150</v>
      </c>
      <c r="K3685">
        <f t="shared" si="57"/>
        <v>54300</v>
      </c>
    </row>
    <row r="3686" spans="1:11" hidden="1" x14ac:dyDescent="0.25">
      <c r="A3686">
        <v>3685</v>
      </c>
      <c r="B3686" s="1">
        <v>45752</v>
      </c>
      <c r="C3686" t="s">
        <v>57</v>
      </c>
      <c r="D3686" t="s">
        <v>59</v>
      </c>
      <c r="E3686" t="s">
        <v>13</v>
      </c>
      <c r="F3686">
        <v>2</v>
      </c>
      <c r="G3686" t="str">
        <f>VLOOKUP(D3686,Товары!A:I,3,0)</f>
        <v>Тумба с раковиной  навес. Куба Риф 600 белый 2 ящика с умыв. Океан</v>
      </c>
      <c r="H3686">
        <f>VLOOKUP(D3686,Товары!A:I,6,0)</f>
        <v>55</v>
      </c>
      <c r="I3686" t="str">
        <f>VLOOKUP(C3686,Магазины!A:C,3,0)</f>
        <v>Оренбург</v>
      </c>
      <c r="J3686">
        <f>VLOOKUP(D3686,Товары!A:I,4,0)</f>
        <v>15765</v>
      </c>
      <c r="K3686">
        <f t="shared" si="57"/>
        <v>31530</v>
      </c>
    </row>
    <row r="3687" spans="1:11" hidden="1" x14ac:dyDescent="0.25">
      <c r="A3687">
        <v>3686</v>
      </c>
      <c r="B3687" s="1">
        <v>45756</v>
      </c>
      <c r="C3687" t="s">
        <v>35</v>
      </c>
      <c r="D3687" t="s">
        <v>61</v>
      </c>
      <c r="E3687" t="s">
        <v>8</v>
      </c>
      <c r="F3687">
        <v>3</v>
      </c>
      <c r="G3687" t="str">
        <f>VLOOKUP(D3687,Товары!A:I,3,0)</f>
        <v>Тумба под стиральную машину Леон Риф 57 напольная 2 ящика под ст/маш, без умывальника /под Marshall 120 Солярис/Белый Риф</v>
      </c>
      <c r="H3687">
        <f>VLOOKUP(D3687,Товары!A:I,6,0)</f>
        <v>85</v>
      </c>
      <c r="I3687" t="str">
        <f>VLOOKUP(C3687,Магазины!A:C,3,0)</f>
        <v>Набережные Челны</v>
      </c>
      <c r="J3687">
        <f>VLOOKUP(D3687,Товары!A:I,4,0)</f>
        <v>17430</v>
      </c>
      <c r="K3687">
        <f t="shared" si="57"/>
        <v>52290</v>
      </c>
    </row>
    <row r="3688" spans="1:11" hidden="1" x14ac:dyDescent="0.25">
      <c r="A3688">
        <v>3687</v>
      </c>
      <c r="B3688" s="1">
        <v>45757</v>
      </c>
      <c r="C3688" t="s">
        <v>14</v>
      </c>
      <c r="D3688" t="s">
        <v>119</v>
      </c>
      <c r="E3688" t="s">
        <v>8</v>
      </c>
      <c r="F3688">
        <v>2</v>
      </c>
      <c r="G3688" t="str">
        <f>VLOOKUP(D3688,Товары!A:I,3,0)</f>
        <v>Пенал навес./напол. Рица 350 cерый/керамика 2 двери</v>
      </c>
      <c r="H3688">
        <f>VLOOKUP(D3688,Товары!A:I,6,0)</f>
        <v>160</v>
      </c>
      <c r="I3688" t="str">
        <f>VLOOKUP(C3688,Магазины!A:C,3,0)</f>
        <v>Оренбург</v>
      </c>
      <c r="J3688">
        <f>VLOOKUP(D3688,Товары!A:I,4,0)</f>
        <v>11250</v>
      </c>
      <c r="K3688">
        <f t="shared" si="57"/>
        <v>22500</v>
      </c>
    </row>
    <row r="3689" spans="1:11" hidden="1" x14ac:dyDescent="0.25">
      <c r="A3689">
        <v>3688</v>
      </c>
      <c r="B3689" s="1">
        <v>45753</v>
      </c>
      <c r="C3689" t="s">
        <v>43</v>
      </c>
      <c r="D3689" t="s">
        <v>120</v>
      </c>
      <c r="E3689" t="s">
        <v>13</v>
      </c>
      <c r="F3689">
        <v>1</v>
      </c>
      <c r="G3689" t="str">
        <f>VLOOKUP(D3689,Товары!A:I,3,0)</f>
        <v>Зеркальный шкаф Альба 60 со светильником правый цвет антрацит</v>
      </c>
      <c r="H3689">
        <f>VLOOKUP(D3689,Товары!A:I,6,0)</f>
        <v>75</v>
      </c>
      <c r="I3689" t="str">
        <f>VLOOKUP(C3689,Магазины!A:C,3,0)</f>
        <v>Набережные Челны</v>
      </c>
      <c r="J3689">
        <f>VLOOKUP(D3689,Товары!A:I,4,0)</f>
        <v>8910</v>
      </c>
      <c r="K3689">
        <f t="shared" si="57"/>
        <v>8910</v>
      </c>
    </row>
    <row r="3690" spans="1:11" hidden="1" x14ac:dyDescent="0.25">
      <c r="A3690">
        <v>3689</v>
      </c>
      <c r="B3690" s="1">
        <v>45752</v>
      </c>
      <c r="C3690" t="s">
        <v>26</v>
      </c>
      <c r="D3690" t="s">
        <v>81</v>
      </c>
      <c r="E3690" t="s">
        <v>13</v>
      </c>
      <c r="F3690">
        <v>3</v>
      </c>
      <c r="G3690" t="str">
        <f>VLOOKUP(D3690,Товары!A:I,3,0)</f>
        <v>Тумба с раковиной  навес. Рица 600 cерый/керамика 1 ящик + ниша 1 с умыв. Океан</v>
      </c>
      <c r="H3690">
        <f>VLOOKUP(D3690,Товары!A:I,6,0)</f>
        <v>60</v>
      </c>
      <c r="I3690" t="str">
        <f>VLOOKUP(C3690,Магазины!A:C,3,0)</f>
        <v>Оренбург</v>
      </c>
      <c r="J3690">
        <f>VLOOKUP(D3690,Товары!A:I,4,0)</f>
        <v>18900</v>
      </c>
      <c r="K3690">
        <f t="shared" si="57"/>
        <v>56700</v>
      </c>
    </row>
    <row r="3691" spans="1:11" hidden="1" x14ac:dyDescent="0.25">
      <c r="A3691">
        <v>3690</v>
      </c>
      <c r="B3691" s="1">
        <v>45749</v>
      </c>
      <c r="C3691" t="s">
        <v>57</v>
      </c>
      <c r="D3691" t="s">
        <v>12</v>
      </c>
      <c r="E3691" t="s">
        <v>13</v>
      </c>
      <c r="F3691">
        <v>3</v>
      </c>
      <c r="G3691" t="str">
        <f>VLOOKUP(D3691,Товары!A:I,3,0)</f>
        <v>Тумба с раковиной  напол. Сохо 700 белый 2 двери с умыв. Слим</v>
      </c>
      <c r="H3691">
        <f>VLOOKUP(D3691,Товары!A:I,6,0)</f>
        <v>85</v>
      </c>
      <c r="I3691" t="str">
        <f>VLOOKUP(C3691,Магазины!A:C,3,0)</f>
        <v>Оренбург</v>
      </c>
      <c r="J3691">
        <f>VLOOKUP(D3691,Товары!A:I,4,0)</f>
        <v>17160</v>
      </c>
      <c r="K3691">
        <f t="shared" si="57"/>
        <v>51480</v>
      </c>
    </row>
    <row r="3692" spans="1:11" hidden="1" x14ac:dyDescent="0.25">
      <c r="A3692">
        <v>3691</v>
      </c>
      <c r="B3692" s="1">
        <v>45750</v>
      </c>
      <c r="C3692" t="s">
        <v>33</v>
      </c>
      <c r="D3692" t="s">
        <v>19</v>
      </c>
      <c r="E3692" t="s">
        <v>13</v>
      </c>
      <c r="F3692">
        <v>3</v>
      </c>
      <c r="G3692" t="str">
        <f>VLOOKUP(D3692,Товары!A:I,3,0)</f>
        <v>Тумба с раковиной  навес. Леон 800 оникс 2 ящика с умыв. Слим</v>
      </c>
      <c r="H3692">
        <f>VLOOKUP(D3692,Товары!A:I,6,0)</f>
        <v>60</v>
      </c>
      <c r="I3692" t="str">
        <f>VLOOKUP(C3692,Магазины!A:C,3,0)</f>
        <v>Набережные Челны</v>
      </c>
      <c r="J3692">
        <f>VLOOKUP(D3692,Товары!A:I,4,0)</f>
        <v>27930</v>
      </c>
      <c r="K3692">
        <f t="shared" si="57"/>
        <v>83790</v>
      </c>
    </row>
    <row r="3693" spans="1:11" hidden="1" x14ac:dyDescent="0.25">
      <c r="A3693">
        <v>3692</v>
      </c>
      <c r="B3693" s="1">
        <v>45755</v>
      </c>
      <c r="C3693" t="s">
        <v>103</v>
      </c>
      <c r="D3693" t="s">
        <v>60</v>
      </c>
      <c r="E3693" t="s">
        <v>13</v>
      </c>
      <c r="F3693">
        <v>1</v>
      </c>
      <c r="G3693" t="str">
        <f>VLOOKUP(D3693,Товары!A:I,3,0)</f>
        <v>Пенал навес. Куба Риф 350 белый 2 двери</v>
      </c>
      <c r="H3693">
        <f>VLOOKUP(D3693,Товары!A:I,6,0)</f>
        <v>150</v>
      </c>
      <c r="I3693" t="str">
        <f>VLOOKUP(C3693,Магазины!A:C,3,0)</f>
        <v>Ставрополь</v>
      </c>
      <c r="J3693">
        <f>VLOOKUP(D3693,Товары!A:I,4,0)</f>
        <v>9720</v>
      </c>
      <c r="K3693">
        <f t="shared" si="57"/>
        <v>9720</v>
      </c>
    </row>
    <row r="3694" spans="1:11" hidden="1" x14ac:dyDescent="0.25">
      <c r="A3694">
        <v>3693</v>
      </c>
      <c r="B3694" s="1">
        <v>45753</v>
      </c>
      <c r="C3694" t="s">
        <v>48</v>
      </c>
      <c r="D3694" t="s">
        <v>69</v>
      </c>
      <c r="E3694" t="s">
        <v>13</v>
      </c>
      <c r="F3694">
        <v>1</v>
      </c>
      <c r="G3694" t="str">
        <f>VLOOKUP(D3694,Товары!A:I,3,0)</f>
        <v>Пенал навес./напол. Альба 350 антрацит 2 двери</v>
      </c>
      <c r="H3694">
        <f>VLOOKUP(D3694,Товары!A:I,6,0)</f>
        <v>150</v>
      </c>
      <c r="I3694" t="str">
        <f>VLOOKUP(C3694,Магазины!A:C,3,0)</f>
        <v>Ставрополь</v>
      </c>
      <c r="J3694">
        <f>VLOOKUP(D3694,Товары!A:I,4,0)</f>
        <v>11655</v>
      </c>
      <c r="K3694">
        <f t="shared" si="57"/>
        <v>11655</v>
      </c>
    </row>
    <row r="3695" spans="1:11" hidden="1" x14ac:dyDescent="0.25">
      <c r="A3695">
        <v>3694</v>
      </c>
      <c r="B3695" s="1">
        <v>45752</v>
      </c>
      <c r="C3695" t="s">
        <v>92</v>
      </c>
      <c r="D3695" t="s">
        <v>39</v>
      </c>
      <c r="E3695" t="s">
        <v>13</v>
      </c>
      <c r="F3695">
        <v>3</v>
      </c>
      <c r="G3695" t="str">
        <f>VLOOKUP(D3695,Товары!A:I,3,0)</f>
        <v>Тумба с раковиной  напол. Альба 700 мята 2 ящика с умыв. Слим</v>
      </c>
      <c r="H3695">
        <f>VLOOKUP(D3695,Товары!A:I,6,0)</f>
        <v>85</v>
      </c>
      <c r="I3695" t="str">
        <f>VLOOKUP(C3695,Магазины!A:C,3,0)</f>
        <v>Кемерово</v>
      </c>
      <c r="J3695">
        <f>VLOOKUP(D3695,Товары!A:I,4,0)</f>
        <v>28695</v>
      </c>
      <c r="K3695">
        <f t="shared" si="57"/>
        <v>86085</v>
      </c>
    </row>
    <row r="3696" spans="1:11" hidden="1" x14ac:dyDescent="0.25">
      <c r="A3696">
        <v>3695</v>
      </c>
      <c r="B3696" s="1">
        <v>45749</v>
      </c>
      <c r="C3696" t="s">
        <v>22</v>
      </c>
      <c r="D3696" t="s">
        <v>15</v>
      </c>
      <c r="E3696" t="s">
        <v>8</v>
      </c>
      <c r="F3696">
        <v>1</v>
      </c>
      <c r="G3696" t="str">
        <f>VLOOKUP(D3696,Товары!A:I,3,0)</f>
        <v>Зеркальный шкаф Кристалл 60 со светильником правый, ручка кнопка дуб цвет Шато Азур</v>
      </c>
      <c r="H3696">
        <f>VLOOKUP(D3696,Товары!A:I,6,0)</f>
        <v>75</v>
      </c>
      <c r="I3696" t="str">
        <f>VLOOKUP(C3696,Магазины!A:C,3,0)</f>
        <v>Кемерово</v>
      </c>
      <c r="J3696">
        <f>VLOOKUP(D3696,Товары!A:I,4,0)</f>
        <v>9195</v>
      </c>
      <c r="K3696">
        <f t="shared" si="57"/>
        <v>9195</v>
      </c>
    </row>
    <row r="3697" spans="1:11" hidden="1" x14ac:dyDescent="0.25">
      <c r="A3697">
        <v>3696</v>
      </c>
      <c r="B3697" s="1">
        <v>45755</v>
      </c>
      <c r="C3697" t="s">
        <v>11</v>
      </c>
      <c r="D3697" t="s">
        <v>79</v>
      </c>
      <c r="E3697" t="s">
        <v>13</v>
      </c>
      <c r="F3697">
        <v>3</v>
      </c>
      <c r="G3697" t="str">
        <f>VLOOKUP(D3697,Товары!A:I,3,0)</f>
        <v>Зеркальный шкаф Альба 70 со светильником правый цвет мята</v>
      </c>
      <c r="H3697">
        <f>VLOOKUP(D3697,Товары!A:I,6,0)</f>
        <v>75</v>
      </c>
      <c r="I3697" t="str">
        <f>VLOOKUP(C3697,Магазины!A:C,3,0)</f>
        <v>Кемерово</v>
      </c>
      <c r="J3697">
        <f>VLOOKUP(D3697,Товары!A:I,4,0)</f>
        <v>9615</v>
      </c>
      <c r="K3697">
        <f t="shared" si="57"/>
        <v>28845</v>
      </c>
    </row>
    <row r="3698" spans="1:11" hidden="1" x14ac:dyDescent="0.25">
      <c r="A3698">
        <v>3697</v>
      </c>
      <c r="B3698" s="1">
        <v>45754</v>
      </c>
      <c r="C3698" t="s">
        <v>41</v>
      </c>
      <c r="D3698" t="s">
        <v>55</v>
      </c>
      <c r="E3698" t="s">
        <v>8</v>
      </c>
      <c r="F3698">
        <v>1</v>
      </c>
      <c r="G3698" t="str">
        <f>VLOOKUP(D3698,Товары!A:I,3,0)</f>
        <v>Тумба с раковиной  напол. Рица 600 cерый/керамика 2 ящика с умыв. Океан</v>
      </c>
      <c r="H3698">
        <f>VLOOKUP(D3698,Товары!A:I,6,0)</f>
        <v>80</v>
      </c>
      <c r="I3698" t="str">
        <f>VLOOKUP(C3698,Магазины!A:C,3,0)</f>
        <v>Ставрополь</v>
      </c>
      <c r="J3698">
        <f>VLOOKUP(D3698,Товары!A:I,4,0)</f>
        <v>25560</v>
      </c>
      <c r="K3698">
        <f t="shared" si="57"/>
        <v>25560</v>
      </c>
    </row>
    <row r="3699" spans="1:11" hidden="1" x14ac:dyDescent="0.25">
      <c r="A3699">
        <v>3698</v>
      </c>
      <c r="B3699" s="1">
        <v>45753</v>
      </c>
      <c r="C3699" t="s">
        <v>18</v>
      </c>
      <c r="D3699" t="s">
        <v>90</v>
      </c>
      <c r="E3699" t="s">
        <v>13</v>
      </c>
      <c r="F3699">
        <v>3</v>
      </c>
      <c r="G3699" t="str">
        <f>VLOOKUP(D3699,Товары!A:I,3,0)</f>
        <v>Пенал напол. Аква 350 белый 2 двери + 2 ящика</v>
      </c>
      <c r="H3699">
        <f>VLOOKUP(D3699,Товары!A:I,6,0)</f>
        <v>190</v>
      </c>
      <c r="I3699" t="str">
        <f>VLOOKUP(C3699,Магазины!A:C,3,0)</f>
        <v>Набережные Челны</v>
      </c>
      <c r="J3699">
        <f>VLOOKUP(D3699,Товары!A:I,4,0)</f>
        <v>10650</v>
      </c>
      <c r="K3699">
        <f t="shared" si="57"/>
        <v>31950</v>
      </c>
    </row>
    <row r="3700" spans="1:11" hidden="1" x14ac:dyDescent="0.25">
      <c r="A3700">
        <v>3699</v>
      </c>
      <c r="B3700" s="1">
        <v>45753</v>
      </c>
      <c r="C3700" t="s">
        <v>18</v>
      </c>
      <c r="D3700" t="s">
        <v>17</v>
      </c>
      <c r="E3700" t="s">
        <v>8</v>
      </c>
      <c r="F3700">
        <v>3</v>
      </c>
      <c r="G3700" t="str">
        <f>VLOOKUP(D3700,Товары!A:I,3,0)</f>
        <v>Тумба с раковиной  навес. Альба 800 антрацит 1 ящик с умыв. Слим</v>
      </c>
      <c r="H3700">
        <f>VLOOKUP(D3700,Товары!A:I,6,0)</f>
        <v>45</v>
      </c>
      <c r="I3700" t="str">
        <f>VLOOKUP(C3700,Магазины!A:C,3,0)</f>
        <v>Набережные Челны</v>
      </c>
      <c r="J3700">
        <f>VLOOKUP(D3700,Товары!A:I,4,0)</f>
        <v>21630</v>
      </c>
      <c r="K3700">
        <f t="shared" si="57"/>
        <v>64890</v>
      </c>
    </row>
    <row r="3701" spans="1:11" hidden="1" x14ac:dyDescent="0.25">
      <c r="A3701">
        <v>3700</v>
      </c>
      <c r="B3701" s="1">
        <v>45748</v>
      </c>
      <c r="C3701" t="s">
        <v>63</v>
      </c>
      <c r="D3701" t="s">
        <v>107</v>
      </c>
      <c r="E3701" t="s">
        <v>8</v>
      </c>
      <c r="F3701">
        <v>2</v>
      </c>
      <c r="G3701" t="str">
        <f>VLOOKUP(D3701,Товары!A:I,3,0)</f>
        <v>Комод Аква 35 напольный 1 дверь белый правый</v>
      </c>
      <c r="H3701">
        <f>VLOOKUP(D3701,Товары!A:I,6,0)</f>
        <v>90</v>
      </c>
      <c r="I3701" t="str">
        <f>VLOOKUP(C3701,Магазины!A:C,3,0)</f>
        <v>Ставрополь</v>
      </c>
      <c r="J3701">
        <f>VLOOKUP(D3701,Товары!A:I,4,0)</f>
        <v>6705</v>
      </c>
      <c r="K3701">
        <f t="shared" si="57"/>
        <v>13410</v>
      </c>
    </row>
    <row r="3702" spans="1:11" hidden="1" x14ac:dyDescent="0.25">
      <c r="A3702">
        <v>3701</v>
      </c>
      <c r="B3702" s="1">
        <v>45753</v>
      </c>
      <c r="C3702" t="s">
        <v>22</v>
      </c>
      <c r="D3702" t="s">
        <v>15</v>
      </c>
      <c r="E3702" t="s">
        <v>13</v>
      </c>
      <c r="F3702">
        <v>1</v>
      </c>
      <c r="G3702" t="str">
        <f>VLOOKUP(D3702,Товары!A:I,3,0)</f>
        <v>Зеркальный шкаф Кристалл 60 со светильником правый, ручка кнопка дуб цвет Шато Азур</v>
      </c>
      <c r="H3702">
        <f>VLOOKUP(D3702,Товары!A:I,6,0)</f>
        <v>75</v>
      </c>
      <c r="I3702" t="str">
        <f>VLOOKUP(C3702,Магазины!A:C,3,0)</f>
        <v>Кемерово</v>
      </c>
      <c r="J3702">
        <f>VLOOKUP(D3702,Товары!A:I,4,0)</f>
        <v>9195</v>
      </c>
      <c r="K3702">
        <f t="shared" si="57"/>
        <v>9195</v>
      </c>
    </row>
    <row r="3703" spans="1:11" hidden="1" x14ac:dyDescent="0.25">
      <c r="A3703">
        <v>3702</v>
      </c>
      <c r="B3703" s="1">
        <v>45749</v>
      </c>
      <c r="C3703" t="s">
        <v>43</v>
      </c>
      <c r="D3703" t="s">
        <v>117</v>
      </c>
      <c r="E3703" t="s">
        <v>8</v>
      </c>
      <c r="F3703">
        <v>2</v>
      </c>
      <c r="G3703" t="str">
        <f>VLOOKUP(D3703,Товары!A:I,3,0)</f>
        <v>Тумба с раковиной  навес. Альба 700 антрацит 2 ящика с умыв. Слим</v>
      </c>
      <c r="H3703">
        <f>VLOOKUP(D3703,Товары!A:I,6,0)</f>
        <v>60</v>
      </c>
      <c r="I3703" t="str">
        <f>VLOOKUP(C3703,Магазины!A:C,3,0)</f>
        <v>Набережные Челны</v>
      </c>
      <c r="J3703">
        <f>VLOOKUP(D3703,Товары!A:I,4,0)</f>
        <v>25095</v>
      </c>
      <c r="K3703">
        <f t="shared" si="57"/>
        <v>50190</v>
      </c>
    </row>
    <row r="3704" spans="1:11" hidden="1" x14ac:dyDescent="0.25">
      <c r="A3704">
        <v>3703</v>
      </c>
      <c r="B3704" s="1">
        <v>45755</v>
      </c>
      <c r="C3704" t="s">
        <v>48</v>
      </c>
      <c r="D3704" t="s">
        <v>88</v>
      </c>
      <c r="E3704" t="s">
        <v>8</v>
      </c>
      <c r="F3704">
        <v>1</v>
      </c>
      <c r="G3704" t="str">
        <f>VLOOKUP(D3704,Товары!A:I,3,0)</f>
        <v>Тумба с раковиной  навес. Альба 800 антрацит 2 ящика с умыв. Слим</v>
      </c>
      <c r="H3704">
        <f>VLOOKUP(D3704,Товары!A:I,6,0)</f>
        <v>50</v>
      </c>
      <c r="I3704" t="str">
        <f>VLOOKUP(C3704,Магазины!A:C,3,0)</f>
        <v>Ставрополь</v>
      </c>
      <c r="J3704">
        <f>VLOOKUP(D3704,Товары!A:I,4,0)</f>
        <v>26070</v>
      </c>
      <c r="K3704">
        <f t="shared" si="57"/>
        <v>26070</v>
      </c>
    </row>
    <row r="3705" spans="1:11" hidden="1" x14ac:dyDescent="0.25">
      <c r="A3705">
        <v>3704</v>
      </c>
      <c r="B3705" s="1">
        <v>45756</v>
      </c>
      <c r="C3705" t="s">
        <v>41</v>
      </c>
      <c r="D3705" t="s">
        <v>126</v>
      </c>
      <c r="E3705" t="s">
        <v>8</v>
      </c>
      <c r="F3705">
        <v>1</v>
      </c>
      <c r="G3705" t="str">
        <f>VLOOKUP(D3705,Товары!A:I,3,0)</f>
        <v>Тумба с раковиной  напол. Кристалл 800 шато азур 2 ящика с умыв. Комфорт</v>
      </c>
      <c r="H3705">
        <f>VLOOKUP(D3705,Товары!A:I,6,0)</f>
        <v>85</v>
      </c>
      <c r="I3705" t="str">
        <f>VLOOKUP(C3705,Магазины!A:C,3,0)</f>
        <v>Ставрополь</v>
      </c>
      <c r="J3705">
        <f>VLOOKUP(D3705,Товары!A:I,4,0)</f>
        <v>31125</v>
      </c>
      <c r="K3705">
        <f t="shared" si="57"/>
        <v>31125</v>
      </c>
    </row>
    <row r="3706" spans="1:11" hidden="1" x14ac:dyDescent="0.25">
      <c r="A3706">
        <v>3705</v>
      </c>
      <c r="B3706" s="1">
        <v>45749</v>
      </c>
      <c r="C3706" t="s">
        <v>48</v>
      </c>
      <c r="D3706" t="s">
        <v>51</v>
      </c>
      <c r="E3706" t="s">
        <v>8</v>
      </c>
      <c r="F3706">
        <v>3</v>
      </c>
      <c r="G3706" t="str">
        <f>VLOOKUP(D3706,Товары!A:I,3,0)</f>
        <v>Зеркальный шкаф Альба 80 со светильником правый цвет суфле</v>
      </c>
      <c r="H3706">
        <f>VLOOKUP(D3706,Товары!A:I,6,0)</f>
        <v>75</v>
      </c>
      <c r="I3706" t="str">
        <f>VLOOKUP(C3706,Магазины!A:C,3,0)</f>
        <v>Ставрополь</v>
      </c>
      <c r="J3706">
        <f>VLOOKUP(D3706,Товары!A:I,4,0)</f>
        <v>9930</v>
      </c>
      <c r="K3706">
        <f t="shared" si="57"/>
        <v>29790</v>
      </c>
    </row>
    <row r="3707" spans="1:11" hidden="1" x14ac:dyDescent="0.25">
      <c r="A3707">
        <v>3706</v>
      </c>
      <c r="B3707" s="1">
        <v>45752</v>
      </c>
      <c r="C3707" t="s">
        <v>48</v>
      </c>
      <c r="D3707" t="s">
        <v>25</v>
      </c>
      <c r="E3707" t="s">
        <v>8</v>
      </c>
      <c r="F3707">
        <v>1</v>
      </c>
      <c r="G3707" t="str">
        <f>VLOOKUP(D3707,Товары!A:I,3,0)</f>
        <v>Пенал напол. Леон 400 оникс 2 двери + 1 ящик</v>
      </c>
      <c r="H3707">
        <f>VLOOKUP(D3707,Товары!A:I,6,0)</f>
        <v>190</v>
      </c>
      <c r="I3707" t="str">
        <f>VLOOKUP(C3707,Магазины!A:C,3,0)</f>
        <v>Ставрополь</v>
      </c>
      <c r="J3707">
        <f>VLOOKUP(D3707,Товары!A:I,4,0)</f>
        <v>18450</v>
      </c>
      <c r="K3707">
        <f t="shared" si="57"/>
        <v>18450</v>
      </c>
    </row>
    <row r="3708" spans="1:11" hidden="1" x14ac:dyDescent="0.25">
      <c r="A3708">
        <v>3707</v>
      </c>
      <c r="B3708" s="1">
        <v>45750</v>
      </c>
      <c r="C3708" t="s">
        <v>20</v>
      </c>
      <c r="D3708" t="s">
        <v>100</v>
      </c>
      <c r="E3708" t="s">
        <v>8</v>
      </c>
      <c r="F3708">
        <v>1</v>
      </c>
      <c r="G3708" t="str">
        <f>VLOOKUP(D3708,Товары!A:I,3,0)</f>
        <v>Тумба с раковиной  навес. Альба 800 мята 1 ящик с умыв. Слим</v>
      </c>
      <c r="H3708">
        <f>VLOOKUP(D3708,Товары!A:I,6,0)</f>
        <v>45</v>
      </c>
      <c r="I3708" t="str">
        <f>VLOOKUP(C3708,Магазины!A:C,3,0)</f>
        <v>Оренбург</v>
      </c>
      <c r="J3708">
        <f>VLOOKUP(D3708,Товары!A:I,4,0)</f>
        <v>21630</v>
      </c>
      <c r="K3708">
        <f t="shared" si="57"/>
        <v>21630</v>
      </c>
    </row>
    <row r="3709" spans="1:11" hidden="1" x14ac:dyDescent="0.25">
      <c r="A3709">
        <v>3708</v>
      </c>
      <c r="B3709" s="1">
        <v>45755</v>
      </c>
      <c r="C3709" t="s">
        <v>41</v>
      </c>
      <c r="D3709" t="s">
        <v>118</v>
      </c>
      <c r="E3709" t="s">
        <v>13</v>
      </c>
      <c r="F3709">
        <v>2</v>
      </c>
      <c r="G3709" t="str">
        <f>VLOOKUP(D3709,Товары!A:I,3,0)</f>
        <v>Тумба с раковиной  напол. Сохо 800 белый 2 ящика с умыв. Слим</v>
      </c>
      <c r="H3709">
        <f>VLOOKUP(D3709,Товары!A:I,6,0)</f>
        <v>85</v>
      </c>
      <c r="I3709" t="str">
        <f>VLOOKUP(C3709,Магазины!A:C,3,0)</f>
        <v>Ставрополь</v>
      </c>
      <c r="J3709">
        <f>VLOOKUP(D3709,Товары!A:I,4,0)</f>
        <v>19575</v>
      </c>
      <c r="K3709">
        <f t="shared" si="57"/>
        <v>39150</v>
      </c>
    </row>
    <row r="3710" spans="1:11" hidden="1" x14ac:dyDescent="0.25">
      <c r="A3710">
        <v>3709</v>
      </c>
      <c r="B3710" s="1">
        <v>45756</v>
      </c>
      <c r="C3710" t="s">
        <v>22</v>
      </c>
      <c r="D3710" t="s">
        <v>38</v>
      </c>
      <c r="E3710" t="s">
        <v>13</v>
      </c>
      <c r="F3710">
        <v>3</v>
      </c>
      <c r="G3710" t="str">
        <f>VLOOKUP(D3710,Товары!A:I,3,0)</f>
        <v>Тумба с раковиной  навес. Куба Риф 600 белый 2 ящика с умыв. Como</v>
      </c>
      <c r="H3710">
        <f>VLOOKUP(D3710,Товары!A:I,6,0)</f>
        <v>55</v>
      </c>
      <c r="I3710" t="str">
        <f>VLOOKUP(C3710,Магазины!A:C,3,0)</f>
        <v>Кемерово</v>
      </c>
      <c r="J3710">
        <f>VLOOKUP(D3710,Товары!A:I,4,0)</f>
        <v>14265</v>
      </c>
      <c r="K3710">
        <f t="shared" si="57"/>
        <v>42795</v>
      </c>
    </row>
    <row r="3711" spans="1:11" hidden="1" x14ac:dyDescent="0.25">
      <c r="A3711">
        <v>3710</v>
      </c>
      <c r="B3711" s="1">
        <v>45754</v>
      </c>
      <c r="C3711" t="s">
        <v>28</v>
      </c>
      <c r="D3711" t="s">
        <v>71</v>
      </c>
      <c r="E3711" t="s">
        <v>8</v>
      </c>
      <c r="F3711">
        <v>3</v>
      </c>
      <c r="G3711" t="str">
        <f>VLOOKUP(D3711,Товары!A:I,3,0)</f>
        <v>Тумба с раковиной  навес. Альба 600 мята 2 ящика с умыв. Океан</v>
      </c>
      <c r="H3711">
        <f>VLOOKUP(D3711,Товары!A:I,6,0)</f>
        <v>50</v>
      </c>
      <c r="I3711" t="str">
        <f>VLOOKUP(C3711,Магазины!A:C,3,0)</f>
        <v>Набережные Челны</v>
      </c>
      <c r="J3711">
        <f>VLOOKUP(D3711,Товары!A:I,4,0)</f>
        <v>24810</v>
      </c>
      <c r="K3711">
        <f t="shared" si="57"/>
        <v>74430</v>
      </c>
    </row>
    <row r="3712" spans="1:11" hidden="1" x14ac:dyDescent="0.25">
      <c r="A3712">
        <v>3711</v>
      </c>
      <c r="B3712" s="1">
        <v>45749</v>
      </c>
      <c r="C3712" t="s">
        <v>16</v>
      </c>
      <c r="D3712" t="s">
        <v>51</v>
      </c>
      <c r="E3712" t="s">
        <v>13</v>
      </c>
      <c r="F3712">
        <v>2</v>
      </c>
      <c r="G3712" t="str">
        <f>VLOOKUP(D3712,Товары!A:I,3,0)</f>
        <v>Зеркальный шкаф Альба 80 со светильником правый цвет суфле</v>
      </c>
      <c r="H3712">
        <f>VLOOKUP(D3712,Товары!A:I,6,0)</f>
        <v>75</v>
      </c>
      <c r="I3712" t="str">
        <f>VLOOKUP(C3712,Магазины!A:C,3,0)</f>
        <v>Оренбург</v>
      </c>
      <c r="J3712">
        <f>VLOOKUP(D3712,Товары!A:I,4,0)</f>
        <v>9930</v>
      </c>
      <c r="K3712">
        <f t="shared" si="57"/>
        <v>19860</v>
      </c>
    </row>
    <row r="3713" spans="1:11" hidden="1" x14ac:dyDescent="0.25">
      <c r="A3713">
        <v>3712</v>
      </c>
      <c r="B3713" s="1">
        <v>45751</v>
      </c>
      <c r="C3713" t="s">
        <v>22</v>
      </c>
      <c r="D3713" t="s">
        <v>80</v>
      </c>
      <c r="E3713" t="s">
        <v>13</v>
      </c>
      <c r="F3713">
        <v>3</v>
      </c>
      <c r="G3713" t="str">
        <f>VLOOKUP(D3713,Товары!A:I,3,0)</f>
        <v>Тумба с раковиной  навес. Сохо 600 белый 2 ящика с умыв. Океан</v>
      </c>
      <c r="H3713">
        <f>VLOOKUP(D3713,Товары!A:I,6,0)</f>
        <v>55</v>
      </c>
      <c r="I3713" t="str">
        <f>VLOOKUP(C3713,Магазины!A:C,3,0)</f>
        <v>Кемерово</v>
      </c>
      <c r="J3713">
        <f>VLOOKUP(D3713,Товары!A:I,4,0)</f>
        <v>13950</v>
      </c>
      <c r="K3713">
        <f t="shared" si="57"/>
        <v>41850</v>
      </c>
    </row>
    <row r="3714" spans="1:11" hidden="1" x14ac:dyDescent="0.25">
      <c r="A3714">
        <v>3713</v>
      </c>
      <c r="B3714" s="1">
        <v>45756</v>
      </c>
      <c r="C3714" t="s">
        <v>16</v>
      </c>
      <c r="D3714" t="s">
        <v>129</v>
      </c>
      <c r="E3714" t="s">
        <v>8</v>
      </c>
      <c r="F3714">
        <v>2</v>
      </c>
      <c r="G3714" t="str">
        <f>VLOOKUP(D3714,Товары!A:I,3,0)</f>
        <v>Тумба с раковиной  напол. Альба 700 антрацит 2 ящика с умыв. Слим</v>
      </c>
      <c r="H3714">
        <f>VLOOKUP(D3714,Товары!A:I,6,0)</f>
        <v>85</v>
      </c>
      <c r="I3714" t="str">
        <f>VLOOKUP(C3714,Магазины!A:C,3,0)</f>
        <v>Оренбург</v>
      </c>
      <c r="J3714">
        <f>VLOOKUP(D3714,Товары!A:I,4,0)</f>
        <v>28695</v>
      </c>
      <c r="K3714">
        <f t="shared" si="57"/>
        <v>57390</v>
      </c>
    </row>
    <row r="3715" spans="1:11" hidden="1" x14ac:dyDescent="0.25">
      <c r="A3715">
        <v>3714</v>
      </c>
      <c r="B3715" s="1">
        <v>45748</v>
      </c>
      <c r="C3715" t="s">
        <v>20</v>
      </c>
      <c r="D3715" t="s">
        <v>112</v>
      </c>
      <c r="E3715" t="s">
        <v>8</v>
      </c>
      <c r="F3715">
        <v>3</v>
      </c>
      <c r="G3715" t="str">
        <f>VLOOKUP(D3715,Товары!A:I,3,0)</f>
        <v>Тумба с раковиной  напол. Аква 560 белый 2 двери с умыв. Уют</v>
      </c>
      <c r="H3715">
        <f>VLOOKUP(D3715,Товары!A:I,6,0)</f>
        <v>85</v>
      </c>
      <c r="I3715" t="str">
        <f>VLOOKUP(C3715,Магазины!A:C,3,0)</f>
        <v>Оренбург</v>
      </c>
      <c r="J3715">
        <f>VLOOKUP(D3715,Товары!A:I,4,0)</f>
        <v>9330</v>
      </c>
      <c r="K3715">
        <f t="shared" ref="K3715:K3778" si="58">J3715*F3715</f>
        <v>27990</v>
      </c>
    </row>
    <row r="3716" spans="1:11" hidden="1" x14ac:dyDescent="0.25">
      <c r="A3716">
        <v>3715</v>
      </c>
      <c r="B3716" s="1">
        <v>45749</v>
      </c>
      <c r="C3716" t="s">
        <v>18</v>
      </c>
      <c r="D3716" t="s">
        <v>50</v>
      </c>
      <c r="E3716" t="s">
        <v>13</v>
      </c>
      <c r="F3716">
        <v>2</v>
      </c>
      <c r="G3716" t="str">
        <f>VLOOKUP(D3716,Товары!A:I,3,0)</f>
        <v>Тумба с раковиной  напол. Леон 800 оникс 2 ящика с умыв. Слим</v>
      </c>
      <c r="H3716">
        <f>VLOOKUP(D3716,Товары!A:I,6,0)</f>
        <v>80</v>
      </c>
      <c r="I3716" t="str">
        <f>VLOOKUP(C3716,Магазины!A:C,3,0)</f>
        <v>Набережные Челны</v>
      </c>
      <c r="J3716">
        <f>VLOOKUP(D3716,Товары!A:I,4,0)</f>
        <v>29400</v>
      </c>
      <c r="K3716">
        <f t="shared" si="58"/>
        <v>58800</v>
      </c>
    </row>
    <row r="3717" spans="1:11" hidden="1" x14ac:dyDescent="0.25">
      <c r="A3717">
        <v>3716</v>
      </c>
      <c r="B3717" s="1">
        <v>45748</v>
      </c>
      <c r="C3717" t="s">
        <v>103</v>
      </c>
      <c r="D3717" t="s">
        <v>31</v>
      </c>
      <c r="E3717" t="s">
        <v>13</v>
      </c>
      <c r="F3717">
        <v>3</v>
      </c>
      <c r="G3717" t="str">
        <f>VLOOKUP(D3717,Товары!A:I,3,0)</f>
        <v>Пенал напол. Виктория 350 белый 2 двери</v>
      </c>
      <c r="H3717">
        <f>VLOOKUP(D3717,Товары!A:I,6,0)</f>
        <v>190</v>
      </c>
      <c r="I3717" t="str">
        <f>VLOOKUP(C3717,Магазины!A:C,3,0)</f>
        <v>Ставрополь</v>
      </c>
      <c r="J3717">
        <f>VLOOKUP(D3717,Товары!A:I,4,0)</f>
        <v>14085</v>
      </c>
      <c r="K3717">
        <f t="shared" si="58"/>
        <v>42255</v>
      </c>
    </row>
    <row r="3718" spans="1:11" hidden="1" x14ac:dyDescent="0.25">
      <c r="A3718">
        <v>3717</v>
      </c>
      <c r="B3718" s="1">
        <v>45753</v>
      </c>
      <c r="C3718" t="s">
        <v>57</v>
      </c>
      <c r="D3718" t="s">
        <v>19</v>
      </c>
      <c r="E3718" t="s">
        <v>13</v>
      </c>
      <c r="F3718">
        <v>2</v>
      </c>
      <c r="G3718" t="str">
        <f>VLOOKUP(D3718,Товары!A:I,3,0)</f>
        <v>Тумба с раковиной  навес. Леон 800 оникс 2 ящика с умыв. Слим</v>
      </c>
      <c r="H3718">
        <f>VLOOKUP(D3718,Товары!A:I,6,0)</f>
        <v>60</v>
      </c>
      <c r="I3718" t="str">
        <f>VLOOKUP(C3718,Магазины!A:C,3,0)</f>
        <v>Оренбург</v>
      </c>
      <c r="J3718">
        <f>VLOOKUP(D3718,Товары!A:I,4,0)</f>
        <v>27930</v>
      </c>
      <c r="K3718">
        <f t="shared" si="58"/>
        <v>55860</v>
      </c>
    </row>
    <row r="3719" spans="1:11" hidden="1" x14ac:dyDescent="0.25">
      <c r="A3719">
        <v>3718</v>
      </c>
      <c r="B3719" s="1">
        <v>45752</v>
      </c>
      <c r="C3719" t="s">
        <v>35</v>
      </c>
      <c r="D3719" t="s">
        <v>122</v>
      </c>
      <c r="E3719" t="s">
        <v>8</v>
      </c>
      <c r="F3719">
        <v>3</v>
      </c>
      <c r="G3719" t="str">
        <f>VLOOKUP(D3719,Товары!A:I,3,0)</f>
        <v>Тумба с раковиной  навес. Кристалл 600 шато азур 2 ящика с умыв. Океан</v>
      </c>
      <c r="H3719">
        <f>VLOOKUP(D3719,Товары!A:I,6,0)</f>
        <v>55</v>
      </c>
      <c r="I3719" t="str">
        <f>VLOOKUP(C3719,Магазины!A:C,3,0)</f>
        <v>Набережные Челны</v>
      </c>
      <c r="J3719">
        <f>VLOOKUP(D3719,Товары!A:I,4,0)</f>
        <v>21960</v>
      </c>
      <c r="K3719">
        <f t="shared" si="58"/>
        <v>65880</v>
      </c>
    </row>
    <row r="3720" spans="1:11" hidden="1" x14ac:dyDescent="0.25">
      <c r="A3720">
        <v>3719</v>
      </c>
      <c r="B3720" s="1">
        <v>45751</v>
      </c>
      <c r="C3720" t="s">
        <v>18</v>
      </c>
      <c r="D3720" t="s">
        <v>25</v>
      </c>
      <c r="E3720" t="s">
        <v>13</v>
      </c>
      <c r="F3720">
        <v>1</v>
      </c>
      <c r="G3720" t="str">
        <f>VLOOKUP(D3720,Товары!A:I,3,0)</f>
        <v>Пенал напол. Леон 400 оникс 2 двери + 1 ящик</v>
      </c>
      <c r="H3720">
        <f>VLOOKUP(D3720,Товары!A:I,6,0)</f>
        <v>190</v>
      </c>
      <c r="I3720" t="str">
        <f>VLOOKUP(C3720,Магазины!A:C,3,0)</f>
        <v>Набережные Челны</v>
      </c>
      <c r="J3720">
        <f>VLOOKUP(D3720,Товары!A:I,4,0)</f>
        <v>18450</v>
      </c>
      <c r="K3720">
        <f t="shared" si="58"/>
        <v>18450</v>
      </c>
    </row>
    <row r="3721" spans="1:11" hidden="1" x14ac:dyDescent="0.25">
      <c r="A3721">
        <v>3720</v>
      </c>
      <c r="B3721" s="1">
        <v>45752</v>
      </c>
      <c r="C3721" t="s">
        <v>22</v>
      </c>
      <c r="D3721" t="s">
        <v>31</v>
      </c>
      <c r="E3721" t="s">
        <v>8</v>
      </c>
      <c r="F3721">
        <v>2</v>
      </c>
      <c r="G3721" t="str">
        <f>VLOOKUP(D3721,Товары!A:I,3,0)</f>
        <v>Пенал напол. Виктория 350 белый 2 двери</v>
      </c>
      <c r="H3721">
        <f>VLOOKUP(D3721,Товары!A:I,6,0)</f>
        <v>190</v>
      </c>
      <c r="I3721" t="str">
        <f>VLOOKUP(C3721,Магазины!A:C,3,0)</f>
        <v>Кемерово</v>
      </c>
      <c r="J3721">
        <f>VLOOKUP(D3721,Товары!A:I,4,0)</f>
        <v>14085</v>
      </c>
      <c r="K3721">
        <f t="shared" si="58"/>
        <v>28170</v>
      </c>
    </row>
    <row r="3722" spans="1:11" hidden="1" x14ac:dyDescent="0.25">
      <c r="A3722">
        <v>3721</v>
      </c>
      <c r="B3722" s="1">
        <v>45750</v>
      </c>
      <c r="C3722" t="s">
        <v>22</v>
      </c>
      <c r="D3722" t="s">
        <v>85</v>
      </c>
      <c r="E3722" t="s">
        <v>8</v>
      </c>
      <c r="F3722">
        <v>3</v>
      </c>
      <c r="G3722" t="str">
        <f>VLOOKUP(D3722,Товары!A:I,3,0)</f>
        <v>Пенал напол. Аква 450 белый 2 двери + 2 ящика + корзина</v>
      </c>
      <c r="H3722">
        <f>VLOOKUP(D3722,Товары!A:I,6,0)</f>
        <v>190</v>
      </c>
      <c r="I3722" t="str">
        <f>VLOOKUP(C3722,Магазины!A:C,3,0)</f>
        <v>Кемерово</v>
      </c>
      <c r="J3722">
        <f>VLOOKUP(D3722,Товары!A:I,4,0)</f>
        <v>13335</v>
      </c>
      <c r="K3722">
        <f t="shared" si="58"/>
        <v>40005</v>
      </c>
    </row>
    <row r="3723" spans="1:11" hidden="1" x14ac:dyDescent="0.25">
      <c r="A3723">
        <v>3722</v>
      </c>
      <c r="B3723" s="1">
        <v>45755</v>
      </c>
      <c r="C3723" t="s">
        <v>58</v>
      </c>
      <c r="D3723" t="s">
        <v>118</v>
      </c>
      <c r="E3723" t="s">
        <v>8</v>
      </c>
      <c r="F3723">
        <v>1</v>
      </c>
      <c r="G3723" t="str">
        <f>VLOOKUP(D3723,Товары!A:I,3,0)</f>
        <v>Тумба с раковиной  напол. Сохо 800 белый 2 ящика с умыв. Слим</v>
      </c>
      <c r="H3723">
        <f>VLOOKUP(D3723,Товары!A:I,6,0)</f>
        <v>85</v>
      </c>
      <c r="I3723" t="str">
        <f>VLOOKUP(C3723,Магазины!A:C,3,0)</f>
        <v>Ставрополь</v>
      </c>
      <c r="J3723">
        <f>VLOOKUP(D3723,Товары!A:I,4,0)</f>
        <v>19575</v>
      </c>
      <c r="K3723">
        <f t="shared" si="58"/>
        <v>19575</v>
      </c>
    </row>
    <row r="3724" spans="1:11" hidden="1" x14ac:dyDescent="0.25">
      <c r="A3724">
        <v>3723</v>
      </c>
      <c r="B3724" s="1">
        <v>45750</v>
      </c>
      <c r="C3724" t="s">
        <v>22</v>
      </c>
      <c r="D3724" t="s">
        <v>127</v>
      </c>
      <c r="E3724" t="s">
        <v>13</v>
      </c>
      <c r="F3724">
        <v>1</v>
      </c>
      <c r="G3724" t="str">
        <f>VLOOKUP(D3724,Товары!A:I,3,0)</f>
        <v>Тумба с раковиной  навес. Альба 700 мята 1 ящик с умыв. Слим</v>
      </c>
      <c r="H3724">
        <f>VLOOKUP(D3724,Товары!A:I,6,0)</f>
        <v>45</v>
      </c>
      <c r="I3724" t="str">
        <f>VLOOKUP(C3724,Магазины!A:C,3,0)</f>
        <v>Кемерово</v>
      </c>
      <c r="J3724">
        <f>VLOOKUP(D3724,Товары!A:I,4,0)</f>
        <v>20130</v>
      </c>
      <c r="K3724">
        <f t="shared" si="58"/>
        <v>20130</v>
      </c>
    </row>
    <row r="3725" spans="1:11" hidden="1" x14ac:dyDescent="0.25">
      <c r="A3725">
        <v>3724</v>
      </c>
      <c r="B3725" s="1">
        <v>45757</v>
      </c>
      <c r="C3725" t="s">
        <v>33</v>
      </c>
      <c r="D3725" t="s">
        <v>121</v>
      </c>
      <c r="E3725" t="s">
        <v>8</v>
      </c>
      <c r="F3725">
        <v>1</v>
      </c>
      <c r="G3725" t="str">
        <f>VLOOKUP(D3725,Товары!A:I,3,0)</f>
        <v>Тумба с раковиной  напол. Куба Риф 600 белый 2 двери с умыв. Como</v>
      </c>
      <c r="H3725">
        <f>VLOOKUP(D3725,Товары!A:I,6,0)</f>
        <v>85</v>
      </c>
      <c r="I3725" t="str">
        <f>VLOOKUP(C3725,Магазины!A:C,3,0)</f>
        <v>Набережные Челны</v>
      </c>
      <c r="J3725">
        <f>VLOOKUP(D3725,Товары!A:I,4,0)</f>
        <v>13695</v>
      </c>
      <c r="K3725">
        <f t="shared" si="58"/>
        <v>13695</v>
      </c>
    </row>
    <row r="3726" spans="1:11" hidden="1" x14ac:dyDescent="0.25">
      <c r="A3726">
        <v>3725</v>
      </c>
      <c r="B3726" s="1">
        <v>45757</v>
      </c>
      <c r="C3726" t="s">
        <v>6</v>
      </c>
      <c r="D3726" t="s">
        <v>105</v>
      </c>
      <c r="E3726" t="s">
        <v>13</v>
      </c>
      <c r="F3726">
        <v>2</v>
      </c>
      <c r="G3726" t="str">
        <f>VLOOKUP(D3726,Товары!A:I,3,0)</f>
        <v>Тумба с раковиной  напол. Нева 600 белый 2 двери + 1 ящик с умыв. Como</v>
      </c>
      <c r="H3726">
        <f>VLOOKUP(D3726,Товары!A:I,6,0)</f>
        <v>80</v>
      </c>
      <c r="I3726" t="str">
        <f>VLOOKUP(C3726,Магазины!A:C,3,0)</f>
        <v>Оренбург</v>
      </c>
      <c r="J3726">
        <f>VLOOKUP(D3726,Товары!A:I,4,0)</f>
        <v>13470</v>
      </c>
      <c r="K3726">
        <f t="shared" si="58"/>
        <v>26940</v>
      </c>
    </row>
    <row r="3727" spans="1:11" hidden="1" x14ac:dyDescent="0.25">
      <c r="A3727">
        <v>3726</v>
      </c>
      <c r="B3727" s="1">
        <v>45751</v>
      </c>
      <c r="C3727" t="s">
        <v>58</v>
      </c>
      <c r="D3727" t="s">
        <v>84</v>
      </c>
      <c r="E3727" t="s">
        <v>13</v>
      </c>
      <c r="F3727">
        <v>3</v>
      </c>
      <c r="G3727" t="str">
        <f>VLOOKUP(D3727,Товары!A:I,3,0)</f>
        <v>Тумба с раковиной  напол. Куба Риф 800 белый 3 двери с умыв. Слим</v>
      </c>
      <c r="H3727">
        <f>VLOOKUP(D3727,Товары!A:I,6,0)</f>
        <v>85</v>
      </c>
      <c r="I3727" t="str">
        <f>VLOOKUP(C3727,Магазины!A:C,3,0)</f>
        <v>Ставрополь</v>
      </c>
      <c r="J3727">
        <f>VLOOKUP(D3727,Товары!A:I,4,0)</f>
        <v>19920</v>
      </c>
      <c r="K3727">
        <f t="shared" si="58"/>
        <v>59760</v>
      </c>
    </row>
    <row r="3728" spans="1:11" x14ac:dyDescent="0.25">
      <c r="A3728">
        <v>3727</v>
      </c>
      <c r="B3728" s="1">
        <v>45752</v>
      </c>
      <c r="C3728" t="s">
        <v>30</v>
      </c>
      <c r="D3728" t="s">
        <v>91</v>
      </c>
      <c r="E3728" t="s">
        <v>13</v>
      </c>
      <c r="F3728">
        <v>3</v>
      </c>
      <c r="G3728" t="str">
        <f>VLOOKUP(D3728,Товары!A:I,3,0)</f>
        <v>Пенал навес./напол. Альба 350 мята 2 двери</v>
      </c>
      <c r="H3728">
        <f>VLOOKUP(D3728,Товары!A:I,6,0)</f>
        <v>150</v>
      </c>
      <c r="I3728" t="str">
        <f>VLOOKUP(C3728,Магазины!A:C,3,0)</f>
        <v>Кемерово</v>
      </c>
      <c r="J3728">
        <f>VLOOKUP(D3728,Товары!A:I,4,0)</f>
        <v>11655</v>
      </c>
      <c r="K3728">
        <f t="shared" si="58"/>
        <v>34965</v>
      </c>
    </row>
    <row r="3729" spans="1:11" hidden="1" x14ac:dyDescent="0.25">
      <c r="A3729">
        <v>3728</v>
      </c>
      <c r="B3729" s="1">
        <v>45749</v>
      </c>
      <c r="C3729" t="s">
        <v>103</v>
      </c>
      <c r="D3729" t="s">
        <v>77</v>
      </c>
      <c r="E3729" t="s">
        <v>8</v>
      </c>
      <c r="F3729">
        <v>3</v>
      </c>
      <c r="G3729" t="str">
        <f>VLOOKUP(D3729,Товары!A:I,3,0)</f>
        <v>Тумба с раковиной  напол. Куба Риф 600 белый 2 ящика с умыв. Como</v>
      </c>
      <c r="H3729">
        <f>VLOOKUP(D3729,Товары!A:I,6,0)</f>
        <v>85</v>
      </c>
      <c r="I3729" t="str">
        <f>VLOOKUP(C3729,Магазины!A:C,3,0)</f>
        <v>Ставрополь</v>
      </c>
      <c r="J3729">
        <f>VLOOKUP(D3729,Товары!A:I,4,0)</f>
        <v>15660</v>
      </c>
      <c r="K3729">
        <f t="shared" si="58"/>
        <v>46980</v>
      </c>
    </row>
    <row r="3730" spans="1:11" hidden="1" x14ac:dyDescent="0.25">
      <c r="A3730">
        <v>3729</v>
      </c>
      <c r="B3730" s="1">
        <v>45748</v>
      </c>
      <c r="C3730" t="s">
        <v>63</v>
      </c>
      <c r="D3730" t="s">
        <v>47</v>
      </c>
      <c r="E3730" t="s">
        <v>8</v>
      </c>
      <c r="F3730">
        <v>3</v>
      </c>
      <c r="G3730" t="str">
        <f>VLOOKUP(D3730,Товары!A:I,3,0)</f>
        <v>Пенал напол. Кристалл 350 шато азур 2 двери</v>
      </c>
      <c r="H3730">
        <f>VLOOKUP(D3730,Товары!A:I,6,0)</f>
        <v>190</v>
      </c>
      <c r="I3730" t="str">
        <f>VLOOKUP(C3730,Магазины!A:C,3,0)</f>
        <v>Ставрополь</v>
      </c>
      <c r="J3730">
        <f>VLOOKUP(D3730,Товары!A:I,4,0)</f>
        <v>15810</v>
      </c>
      <c r="K3730">
        <f t="shared" si="58"/>
        <v>47430</v>
      </c>
    </row>
    <row r="3731" spans="1:11" hidden="1" x14ac:dyDescent="0.25">
      <c r="A3731">
        <v>3730</v>
      </c>
      <c r="B3731" s="1">
        <v>45751</v>
      </c>
      <c r="C3731" t="s">
        <v>11</v>
      </c>
      <c r="D3731" t="s">
        <v>49</v>
      </c>
      <c r="E3731" t="s">
        <v>8</v>
      </c>
      <c r="F3731">
        <v>3</v>
      </c>
      <c r="G3731" t="str">
        <f>VLOOKUP(D3731,Товары!A:I,3,0)</f>
        <v>Тумба с раковиной  напол. Леон 700 оникс 2 ящика с умыв. Слим</v>
      </c>
      <c r="H3731">
        <f>VLOOKUP(D3731,Товары!A:I,6,0)</f>
        <v>80</v>
      </c>
      <c r="I3731" t="str">
        <f>VLOOKUP(C3731,Магазины!A:C,3,0)</f>
        <v>Кемерово</v>
      </c>
      <c r="J3731">
        <f>VLOOKUP(D3731,Товары!A:I,4,0)</f>
        <v>28380</v>
      </c>
      <c r="K3731">
        <f t="shared" si="58"/>
        <v>85140</v>
      </c>
    </row>
    <row r="3732" spans="1:11" hidden="1" x14ac:dyDescent="0.25">
      <c r="A3732">
        <v>3731</v>
      </c>
      <c r="B3732" s="1">
        <v>45754</v>
      </c>
      <c r="C3732" t="s">
        <v>58</v>
      </c>
      <c r="D3732" t="s">
        <v>31</v>
      </c>
      <c r="E3732" t="s">
        <v>13</v>
      </c>
      <c r="F3732">
        <v>3</v>
      </c>
      <c r="G3732" t="str">
        <f>VLOOKUP(D3732,Товары!A:I,3,0)</f>
        <v>Пенал напол. Виктория 350 белый 2 двери</v>
      </c>
      <c r="H3732">
        <f>VLOOKUP(D3732,Товары!A:I,6,0)</f>
        <v>190</v>
      </c>
      <c r="I3732" t="str">
        <f>VLOOKUP(C3732,Магазины!A:C,3,0)</f>
        <v>Ставрополь</v>
      </c>
      <c r="J3732">
        <f>VLOOKUP(D3732,Товары!A:I,4,0)</f>
        <v>14085</v>
      </c>
      <c r="K3732">
        <f t="shared" si="58"/>
        <v>42255</v>
      </c>
    </row>
    <row r="3733" spans="1:11" hidden="1" x14ac:dyDescent="0.25">
      <c r="A3733">
        <v>3732</v>
      </c>
      <c r="B3733" s="1">
        <v>45757</v>
      </c>
      <c r="C3733" t="s">
        <v>6</v>
      </c>
      <c r="D3733" t="s">
        <v>49</v>
      </c>
      <c r="E3733" t="s">
        <v>13</v>
      </c>
      <c r="F3733">
        <v>2</v>
      </c>
      <c r="G3733" t="str">
        <f>VLOOKUP(D3733,Товары!A:I,3,0)</f>
        <v>Тумба с раковиной  напол. Леон 700 оникс 2 ящика с умыв. Слим</v>
      </c>
      <c r="H3733">
        <f>VLOOKUP(D3733,Товары!A:I,6,0)</f>
        <v>80</v>
      </c>
      <c r="I3733" t="str">
        <f>VLOOKUP(C3733,Магазины!A:C,3,0)</f>
        <v>Оренбург</v>
      </c>
      <c r="J3733">
        <f>VLOOKUP(D3733,Товары!A:I,4,0)</f>
        <v>28380</v>
      </c>
      <c r="K3733">
        <f t="shared" si="58"/>
        <v>56760</v>
      </c>
    </row>
    <row r="3734" spans="1:11" hidden="1" x14ac:dyDescent="0.25">
      <c r="A3734">
        <v>3733</v>
      </c>
      <c r="B3734" s="1">
        <v>45756</v>
      </c>
      <c r="C3734" t="s">
        <v>35</v>
      </c>
      <c r="D3734" t="s">
        <v>74</v>
      </c>
      <c r="E3734" t="s">
        <v>8</v>
      </c>
      <c r="F3734">
        <v>1</v>
      </c>
      <c r="G3734" t="str">
        <f>VLOOKUP(D3734,Товары!A:I,3,0)</f>
        <v>Тумба с раковиной  напол. Альба 800 суфле 2 ящика с умыв. Слим</v>
      </c>
      <c r="H3734">
        <f>VLOOKUP(D3734,Товары!A:I,6,0)</f>
        <v>80</v>
      </c>
      <c r="I3734" t="str">
        <f>VLOOKUP(C3734,Магазины!A:C,3,0)</f>
        <v>Набережные Челны</v>
      </c>
      <c r="J3734">
        <f>VLOOKUP(D3734,Товары!A:I,4,0)</f>
        <v>29340</v>
      </c>
      <c r="K3734">
        <f t="shared" si="58"/>
        <v>29340</v>
      </c>
    </row>
    <row r="3735" spans="1:11" hidden="1" x14ac:dyDescent="0.25">
      <c r="A3735">
        <v>3734</v>
      </c>
      <c r="B3735" s="1">
        <v>45756</v>
      </c>
      <c r="C3735" t="s">
        <v>92</v>
      </c>
      <c r="D3735" t="s">
        <v>78</v>
      </c>
      <c r="E3735" t="s">
        <v>13</v>
      </c>
      <c r="F3735">
        <v>2</v>
      </c>
      <c r="G3735" t="str">
        <f>VLOOKUP(D3735,Товары!A:I,3,0)</f>
        <v>Зеркальный шкаф Кристалл 70 со светильником правый, ручка кнопка дуб цвет Шато Азур</v>
      </c>
      <c r="H3735">
        <f>VLOOKUP(D3735,Товары!A:I,6,0)</f>
        <v>75</v>
      </c>
      <c r="I3735" t="str">
        <f>VLOOKUP(C3735,Магазины!A:C,3,0)</f>
        <v>Кемерово</v>
      </c>
      <c r="J3735">
        <f>VLOOKUP(D3735,Товары!A:I,4,0)</f>
        <v>9615</v>
      </c>
      <c r="K3735">
        <f t="shared" si="58"/>
        <v>19230</v>
      </c>
    </row>
    <row r="3736" spans="1:11" hidden="1" x14ac:dyDescent="0.25">
      <c r="A3736">
        <v>3735</v>
      </c>
      <c r="B3736" s="1">
        <v>45752</v>
      </c>
      <c r="C3736" t="s">
        <v>92</v>
      </c>
      <c r="D3736" t="s">
        <v>85</v>
      </c>
      <c r="E3736" t="s">
        <v>13</v>
      </c>
      <c r="F3736">
        <v>2</v>
      </c>
      <c r="G3736" t="str">
        <f>VLOOKUP(D3736,Товары!A:I,3,0)</f>
        <v>Пенал напол. Аква 450 белый 2 двери + 2 ящика + корзина</v>
      </c>
      <c r="H3736">
        <f>VLOOKUP(D3736,Товары!A:I,6,0)</f>
        <v>190</v>
      </c>
      <c r="I3736" t="str">
        <f>VLOOKUP(C3736,Магазины!A:C,3,0)</f>
        <v>Кемерово</v>
      </c>
      <c r="J3736">
        <f>VLOOKUP(D3736,Товары!A:I,4,0)</f>
        <v>13335</v>
      </c>
      <c r="K3736">
        <f t="shared" si="58"/>
        <v>26670</v>
      </c>
    </row>
    <row r="3737" spans="1:11" hidden="1" x14ac:dyDescent="0.25">
      <c r="A3737">
        <v>3736</v>
      </c>
      <c r="B3737" s="1">
        <v>45754</v>
      </c>
      <c r="C3737" t="s">
        <v>54</v>
      </c>
      <c r="D3737" t="s">
        <v>116</v>
      </c>
      <c r="E3737" t="s">
        <v>8</v>
      </c>
      <c r="F3737">
        <v>3</v>
      </c>
      <c r="G3737" t="str">
        <f>VLOOKUP(D3737,Товары!A:I,3,0)</f>
        <v>Зеркало Нева 60 дуб/белый со светильником</v>
      </c>
      <c r="H3737">
        <f>VLOOKUP(D3737,Товары!A:I,6,0)</f>
        <v>80</v>
      </c>
      <c r="I3737" t="str">
        <f>VLOOKUP(C3737,Магазины!A:C,3,0)</f>
        <v>Ставрополь</v>
      </c>
      <c r="J3737">
        <f>VLOOKUP(D3737,Товары!A:I,4,0)</f>
        <v>5100</v>
      </c>
      <c r="K3737">
        <f t="shared" si="58"/>
        <v>15300</v>
      </c>
    </row>
    <row r="3738" spans="1:11" hidden="1" x14ac:dyDescent="0.25">
      <c r="A3738">
        <v>3737</v>
      </c>
      <c r="B3738" s="1">
        <v>45753</v>
      </c>
      <c r="C3738" t="s">
        <v>9</v>
      </c>
      <c r="D3738" t="s">
        <v>70</v>
      </c>
      <c r="E3738" t="s">
        <v>13</v>
      </c>
      <c r="F3738">
        <v>1</v>
      </c>
      <c r="G3738" t="str">
        <f>VLOOKUP(D3738,Товары!A:I,3,0)</f>
        <v>Тумба с раковиной  напол. Кристалл 700 шато азур 2 ящика с умыв. Слим</v>
      </c>
      <c r="H3738">
        <f>VLOOKUP(D3738,Товары!A:I,6,0)</f>
        <v>85</v>
      </c>
      <c r="I3738" t="str">
        <f>VLOOKUP(C3738,Магазины!A:C,3,0)</f>
        <v>Кемерово</v>
      </c>
      <c r="J3738">
        <f>VLOOKUP(D3738,Товары!A:I,4,0)</f>
        <v>29910</v>
      </c>
      <c r="K3738">
        <f t="shared" si="58"/>
        <v>29910</v>
      </c>
    </row>
    <row r="3739" spans="1:11" hidden="1" x14ac:dyDescent="0.25">
      <c r="A3739">
        <v>3738</v>
      </c>
      <c r="B3739" s="1">
        <v>45748</v>
      </c>
      <c r="C3739" t="s">
        <v>18</v>
      </c>
      <c r="D3739" t="s">
        <v>86</v>
      </c>
      <c r="E3739" t="s">
        <v>13</v>
      </c>
      <c r="F3739">
        <v>3</v>
      </c>
      <c r="G3739" t="str">
        <f>VLOOKUP(D3739,Товары!A:I,3,0)</f>
        <v>Комод Аква 50 напольный 1 ящик 2 двери белый</v>
      </c>
      <c r="H3739">
        <f>VLOOKUP(D3739,Товары!A:I,6,0)</f>
        <v>90</v>
      </c>
      <c r="I3739" t="str">
        <f>VLOOKUP(C3739,Магазины!A:C,3,0)</f>
        <v>Набережные Челны</v>
      </c>
      <c r="J3739">
        <f>VLOOKUP(D3739,Товары!A:I,4,0)</f>
        <v>7260</v>
      </c>
      <c r="K3739">
        <f t="shared" si="58"/>
        <v>21780</v>
      </c>
    </row>
    <row r="3740" spans="1:11" hidden="1" x14ac:dyDescent="0.25">
      <c r="A3740">
        <v>3739</v>
      </c>
      <c r="B3740" s="1">
        <v>45753</v>
      </c>
      <c r="C3740" t="s">
        <v>6</v>
      </c>
      <c r="D3740" t="s">
        <v>52</v>
      </c>
      <c r="E3740" t="s">
        <v>13</v>
      </c>
      <c r="F3740">
        <v>2</v>
      </c>
      <c r="G3740" t="str">
        <f>VLOOKUP(D3740,Товары!A:I,3,0)</f>
        <v>Тумба с раковиной  напол. Кристалл 600 суфле 2 ящика с умыв. Океан</v>
      </c>
      <c r="H3740">
        <f>VLOOKUP(D3740,Товары!A:I,6,0)</f>
        <v>80</v>
      </c>
      <c r="I3740" t="str">
        <f>VLOOKUP(C3740,Магазины!A:C,3,0)</f>
        <v>Оренбург</v>
      </c>
      <c r="J3740">
        <f>VLOOKUP(D3740,Товары!A:I,4,0)</f>
        <v>27600</v>
      </c>
      <c r="K3740">
        <f t="shared" si="58"/>
        <v>55200</v>
      </c>
    </row>
    <row r="3741" spans="1:11" hidden="1" x14ac:dyDescent="0.25">
      <c r="A3741">
        <v>3740</v>
      </c>
      <c r="B3741" s="1">
        <v>45748</v>
      </c>
      <c r="C3741" t="s">
        <v>30</v>
      </c>
      <c r="D3741" t="s">
        <v>75</v>
      </c>
      <c r="E3741" t="s">
        <v>8</v>
      </c>
      <c r="F3741">
        <v>1</v>
      </c>
      <c r="G3741" t="str">
        <f>VLOOKUP(D3741,Товары!A:I,3,0)</f>
        <v>Тумба с раковиной  напол. Альба 600 суфле 2 ящика с умыв. Океан</v>
      </c>
      <c r="H3741">
        <f>VLOOKUP(D3741,Товары!A:I,6,0)</f>
        <v>80</v>
      </c>
      <c r="I3741" t="str">
        <f>VLOOKUP(C3741,Магазины!A:C,3,0)</f>
        <v>Кемерово</v>
      </c>
      <c r="J3741">
        <f>VLOOKUP(D3741,Товары!A:I,4,0)</f>
        <v>26370</v>
      </c>
      <c r="K3741">
        <f t="shared" si="58"/>
        <v>26370</v>
      </c>
    </row>
    <row r="3742" spans="1:11" hidden="1" x14ac:dyDescent="0.25">
      <c r="A3742">
        <v>3741</v>
      </c>
      <c r="B3742" s="1">
        <v>45754</v>
      </c>
      <c r="C3742" t="s">
        <v>28</v>
      </c>
      <c r="D3742" t="s">
        <v>69</v>
      </c>
      <c r="E3742" t="s">
        <v>8</v>
      </c>
      <c r="F3742">
        <v>3</v>
      </c>
      <c r="G3742" t="str">
        <f>VLOOKUP(D3742,Товары!A:I,3,0)</f>
        <v>Пенал навес./напол. Альба 350 антрацит 2 двери</v>
      </c>
      <c r="H3742">
        <f>VLOOKUP(D3742,Товары!A:I,6,0)</f>
        <v>150</v>
      </c>
      <c r="I3742" t="str">
        <f>VLOOKUP(C3742,Магазины!A:C,3,0)</f>
        <v>Набережные Челны</v>
      </c>
      <c r="J3742">
        <f>VLOOKUP(D3742,Товары!A:I,4,0)</f>
        <v>11655</v>
      </c>
      <c r="K3742">
        <f t="shared" si="58"/>
        <v>34965</v>
      </c>
    </row>
    <row r="3743" spans="1:11" hidden="1" x14ac:dyDescent="0.25">
      <c r="A3743">
        <v>3742</v>
      </c>
      <c r="B3743" s="1">
        <v>45754</v>
      </c>
      <c r="C3743" t="s">
        <v>33</v>
      </c>
      <c r="D3743" t="s">
        <v>52</v>
      </c>
      <c r="E3743" t="s">
        <v>8</v>
      </c>
      <c r="F3743">
        <v>3</v>
      </c>
      <c r="G3743" t="str">
        <f>VLOOKUP(D3743,Товары!A:I,3,0)</f>
        <v>Тумба с раковиной  напол. Кристалл 600 суфле 2 ящика с умыв. Океан</v>
      </c>
      <c r="H3743">
        <f>VLOOKUP(D3743,Товары!A:I,6,0)</f>
        <v>80</v>
      </c>
      <c r="I3743" t="str">
        <f>VLOOKUP(C3743,Магазины!A:C,3,0)</f>
        <v>Набережные Челны</v>
      </c>
      <c r="J3743">
        <f>VLOOKUP(D3743,Товары!A:I,4,0)</f>
        <v>27600</v>
      </c>
      <c r="K3743">
        <f t="shared" si="58"/>
        <v>82800</v>
      </c>
    </row>
    <row r="3744" spans="1:11" hidden="1" x14ac:dyDescent="0.25">
      <c r="A3744">
        <v>3743</v>
      </c>
      <c r="B3744" s="1">
        <v>45753</v>
      </c>
      <c r="C3744" t="s">
        <v>16</v>
      </c>
      <c r="D3744" t="s">
        <v>99</v>
      </c>
      <c r="E3744" t="s">
        <v>8</v>
      </c>
      <c r="F3744">
        <v>1</v>
      </c>
      <c r="G3744" t="str">
        <f>VLOOKUP(D3744,Товары!A:I,3,0)</f>
        <v>Тумба с раковиной  навес. Леон 600 оникс 2 ящика с умыв. Слим</v>
      </c>
      <c r="H3744">
        <f>VLOOKUP(D3744,Товары!A:I,6,0)</f>
        <v>60</v>
      </c>
      <c r="I3744" t="str">
        <f>VLOOKUP(C3744,Магазины!A:C,3,0)</f>
        <v>Оренбург</v>
      </c>
      <c r="J3744">
        <f>VLOOKUP(D3744,Товары!A:I,4,0)</f>
        <v>25125</v>
      </c>
      <c r="K3744">
        <f t="shared" si="58"/>
        <v>25125</v>
      </c>
    </row>
    <row r="3745" spans="1:11" hidden="1" x14ac:dyDescent="0.25">
      <c r="A3745">
        <v>3744</v>
      </c>
      <c r="B3745" s="1">
        <v>45749</v>
      </c>
      <c r="C3745" t="s">
        <v>26</v>
      </c>
      <c r="D3745" t="s">
        <v>106</v>
      </c>
      <c r="E3745" t="s">
        <v>8</v>
      </c>
      <c r="F3745">
        <v>2</v>
      </c>
      <c r="G3745" t="str">
        <f>VLOOKUP(D3745,Товары!A:I,3,0)</f>
        <v>Тумба с раковиной  навес. Кристалл 700 шато азур 2 ящика с умыв. Слим</v>
      </c>
      <c r="H3745">
        <f>VLOOKUP(D3745,Товары!A:I,6,0)</f>
        <v>60</v>
      </c>
      <c r="I3745" t="str">
        <f>VLOOKUP(C3745,Магазины!A:C,3,0)</f>
        <v>Оренбург</v>
      </c>
      <c r="J3745">
        <f>VLOOKUP(D3745,Товары!A:I,4,0)</f>
        <v>24150</v>
      </c>
      <c r="K3745">
        <f t="shared" si="58"/>
        <v>48300</v>
      </c>
    </row>
    <row r="3746" spans="1:11" hidden="1" x14ac:dyDescent="0.25">
      <c r="A3746">
        <v>3745</v>
      </c>
      <c r="B3746" s="1">
        <v>45756</v>
      </c>
      <c r="C3746" t="s">
        <v>30</v>
      </c>
      <c r="D3746" t="s">
        <v>109</v>
      </c>
      <c r="E3746" t="s">
        <v>8</v>
      </c>
      <c r="F3746">
        <v>2</v>
      </c>
      <c r="G3746" t="str">
        <f>VLOOKUP(D3746,Товары!A:I,3,0)</f>
        <v>Тумба с раковиной  навес. Альба 600 антрацит 2 ящика с умыв. Океан</v>
      </c>
      <c r="H3746">
        <f>VLOOKUP(D3746,Товары!A:I,6,0)</f>
        <v>50</v>
      </c>
      <c r="I3746" t="str">
        <f>VLOOKUP(C3746,Магазины!A:C,3,0)</f>
        <v>Кемерово</v>
      </c>
      <c r="J3746">
        <f>VLOOKUP(D3746,Товары!A:I,4,0)</f>
        <v>24810</v>
      </c>
      <c r="K3746">
        <f t="shared" si="58"/>
        <v>49620</v>
      </c>
    </row>
    <row r="3747" spans="1:11" hidden="1" x14ac:dyDescent="0.25">
      <c r="A3747">
        <v>3746</v>
      </c>
      <c r="B3747" s="1">
        <v>45757</v>
      </c>
      <c r="C3747" t="s">
        <v>58</v>
      </c>
      <c r="D3747" t="s">
        <v>21</v>
      </c>
      <c r="E3747" t="s">
        <v>13</v>
      </c>
      <c r="F3747">
        <v>1</v>
      </c>
      <c r="G3747" t="str">
        <f>VLOOKUP(D3747,Товары!A:I,3,0)</f>
        <v>Зеркальный шкаф Рица 60 со светильником правый цвет cерый/керамика</v>
      </c>
      <c r="H3747">
        <f>VLOOKUP(D3747,Товары!A:I,6,0)</f>
        <v>75</v>
      </c>
      <c r="I3747" t="str">
        <f>VLOOKUP(C3747,Магазины!A:C,3,0)</f>
        <v>Ставрополь</v>
      </c>
      <c r="J3747">
        <f>VLOOKUP(D3747,Товары!A:I,4,0)</f>
        <v>8910</v>
      </c>
      <c r="K3747">
        <f t="shared" si="58"/>
        <v>8910</v>
      </c>
    </row>
    <row r="3748" spans="1:11" hidden="1" x14ac:dyDescent="0.25">
      <c r="A3748">
        <v>3747</v>
      </c>
      <c r="B3748" s="1">
        <v>45754</v>
      </c>
      <c r="C3748" t="s">
        <v>111</v>
      </c>
      <c r="D3748" t="s">
        <v>61</v>
      </c>
      <c r="E3748" t="s">
        <v>8</v>
      </c>
      <c r="F3748">
        <v>2</v>
      </c>
      <c r="G3748" t="str">
        <f>VLOOKUP(D3748,Товары!A:I,3,0)</f>
        <v>Тумба под стиральную машину Леон Риф 57 напольная 2 ящика под ст/маш, без умывальника /под Marshall 120 Солярис/Белый Риф</v>
      </c>
      <c r="H3748">
        <f>VLOOKUP(D3748,Товары!A:I,6,0)</f>
        <v>85</v>
      </c>
      <c r="I3748" t="str">
        <f>VLOOKUP(C3748,Магазины!A:C,3,0)</f>
        <v>Набережные Челны</v>
      </c>
      <c r="J3748">
        <f>VLOOKUP(D3748,Товары!A:I,4,0)</f>
        <v>17430</v>
      </c>
      <c r="K3748">
        <f t="shared" si="58"/>
        <v>34860</v>
      </c>
    </row>
    <row r="3749" spans="1:11" hidden="1" x14ac:dyDescent="0.25">
      <c r="A3749">
        <v>3748</v>
      </c>
      <c r="B3749" s="1">
        <v>45753</v>
      </c>
      <c r="C3749" t="s">
        <v>41</v>
      </c>
      <c r="D3749" t="s">
        <v>12</v>
      </c>
      <c r="E3749" t="s">
        <v>13</v>
      </c>
      <c r="F3749">
        <v>3</v>
      </c>
      <c r="G3749" t="str">
        <f>VLOOKUP(D3749,Товары!A:I,3,0)</f>
        <v>Тумба с раковиной  напол. Сохо 700 белый 2 двери с умыв. Слим</v>
      </c>
      <c r="H3749">
        <f>VLOOKUP(D3749,Товары!A:I,6,0)</f>
        <v>85</v>
      </c>
      <c r="I3749" t="str">
        <f>VLOOKUP(C3749,Магазины!A:C,3,0)</f>
        <v>Ставрополь</v>
      </c>
      <c r="J3749">
        <f>VLOOKUP(D3749,Товары!A:I,4,0)</f>
        <v>17160</v>
      </c>
      <c r="K3749">
        <f t="shared" si="58"/>
        <v>51480</v>
      </c>
    </row>
    <row r="3750" spans="1:11" hidden="1" x14ac:dyDescent="0.25">
      <c r="A3750">
        <v>3749</v>
      </c>
      <c r="B3750" s="1">
        <v>45756</v>
      </c>
      <c r="C3750" t="s">
        <v>58</v>
      </c>
      <c r="D3750" t="s">
        <v>10</v>
      </c>
      <c r="E3750" t="s">
        <v>13</v>
      </c>
      <c r="F3750">
        <v>2</v>
      </c>
      <c r="G3750" t="str">
        <f>VLOOKUP(D3750,Товары!A:I,3,0)</f>
        <v>Тумба с раковиной  навес. Альба 700 антрацит 1 ящик с умыв. Слим</v>
      </c>
      <c r="H3750">
        <f>VLOOKUP(D3750,Товары!A:I,6,0)</f>
        <v>45</v>
      </c>
      <c r="I3750" t="str">
        <f>VLOOKUP(C3750,Магазины!A:C,3,0)</f>
        <v>Ставрополь</v>
      </c>
      <c r="J3750">
        <f>VLOOKUP(D3750,Товары!A:I,4,0)</f>
        <v>20130</v>
      </c>
      <c r="K3750">
        <f t="shared" si="58"/>
        <v>40260</v>
      </c>
    </row>
    <row r="3751" spans="1:11" hidden="1" x14ac:dyDescent="0.25">
      <c r="A3751">
        <v>3750</v>
      </c>
      <c r="B3751" s="1">
        <v>45752</v>
      </c>
      <c r="C3751" t="s">
        <v>14</v>
      </c>
      <c r="D3751" t="s">
        <v>21</v>
      </c>
      <c r="E3751" t="s">
        <v>8</v>
      </c>
      <c r="F3751">
        <v>1</v>
      </c>
      <c r="G3751" t="str">
        <f>VLOOKUP(D3751,Товары!A:I,3,0)</f>
        <v>Зеркальный шкаф Рица 60 со светильником правый цвет cерый/керамика</v>
      </c>
      <c r="H3751">
        <f>VLOOKUP(D3751,Товары!A:I,6,0)</f>
        <v>75</v>
      </c>
      <c r="I3751" t="str">
        <f>VLOOKUP(C3751,Магазины!A:C,3,0)</f>
        <v>Оренбург</v>
      </c>
      <c r="J3751">
        <f>VLOOKUP(D3751,Товары!A:I,4,0)</f>
        <v>8910</v>
      </c>
      <c r="K3751">
        <f t="shared" si="58"/>
        <v>8910</v>
      </c>
    </row>
    <row r="3752" spans="1:11" hidden="1" x14ac:dyDescent="0.25">
      <c r="A3752">
        <v>3751</v>
      </c>
      <c r="B3752" s="1">
        <v>45748</v>
      </c>
      <c r="C3752" t="s">
        <v>18</v>
      </c>
      <c r="D3752" t="s">
        <v>119</v>
      </c>
      <c r="E3752" t="s">
        <v>8</v>
      </c>
      <c r="F3752">
        <v>2</v>
      </c>
      <c r="G3752" t="str">
        <f>VLOOKUP(D3752,Товары!A:I,3,0)</f>
        <v>Пенал навес./напол. Рица 350 cерый/керамика 2 двери</v>
      </c>
      <c r="H3752">
        <f>VLOOKUP(D3752,Товары!A:I,6,0)</f>
        <v>160</v>
      </c>
      <c r="I3752" t="str">
        <f>VLOOKUP(C3752,Магазины!A:C,3,0)</f>
        <v>Набережные Челны</v>
      </c>
      <c r="J3752">
        <f>VLOOKUP(D3752,Товары!A:I,4,0)</f>
        <v>11250</v>
      </c>
      <c r="K3752">
        <f t="shared" si="58"/>
        <v>22500</v>
      </c>
    </row>
    <row r="3753" spans="1:11" hidden="1" x14ac:dyDescent="0.25">
      <c r="A3753">
        <v>3752</v>
      </c>
      <c r="B3753" s="1">
        <v>45753</v>
      </c>
      <c r="C3753" t="s">
        <v>18</v>
      </c>
      <c r="D3753" t="s">
        <v>72</v>
      </c>
      <c r="E3753" t="s">
        <v>8</v>
      </c>
      <c r="F3753">
        <v>2</v>
      </c>
      <c r="G3753" t="str">
        <f>VLOOKUP(D3753,Товары!A:I,3,0)</f>
        <v>Тумба с раковиной  напол. Сохо 600 белый 2 ящика с умыв. Океан</v>
      </c>
      <c r="H3753">
        <f>VLOOKUP(D3753,Товары!A:I,6,0)</f>
        <v>85</v>
      </c>
      <c r="I3753" t="str">
        <f>VLOOKUP(C3753,Магазины!A:C,3,0)</f>
        <v>Набережные Челны</v>
      </c>
      <c r="J3753">
        <f>VLOOKUP(D3753,Товары!A:I,4,0)</f>
        <v>16140</v>
      </c>
      <c r="K3753">
        <f t="shared" si="58"/>
        <v>32280</v>
      </c>
    </row>
    <row r="3754" spans="1:11" hidden="1" x14ac:dyDescent="0.25">
      <c r="A3754">
        <v>3753</v>
      </c>
      <c r="B3754" s="1">
        <v>45750</v>
      </c>
      <c r="C3754" t="s">
        <v>103</v>
      </c>
      <c r="D3754" t="s">
        <v>117</v>
      </c>
      <c r="E3754" t="s">
        <v>13</v>
      </c>
      <c r="F3754">
        <v>2</v>
      </c>
      <c r="G3754" t="str">
        <f>VLOOKUP(D3754,Товары!A:I,3,0)</f>
        <v>Тумба с раковиной  навес. Альба 700 антрацит 2 ящика с умыв. Слим</v>
      </c>
      <c r="H3754">
        <f>VLOOKUP(D3754,Товары!A:I,6,0)</f>
        <v>60</v>
      </c>
      <c r="I3754" t="str">
        <f>VLOOKUP(C3754,Магазины!A:C,3,0)</f>
        <v>Ставрополь</v>
      </c>
      <c r="J3754">
        <f>VLOOKUP(D3754,Товары!A:I,4,0)</f>
        <v>25095</v>
      </c>
      <c r="K3754">
        <f t="shared" si="58"/>
        <v>50190</v>
      </c>
    </row>
    <row r="3755" spans="1:11" hidden="1" x14ac:dyDescent="0.25">
      <c r="A3755">
        <v>3754</v>
      </c>
      <c r="B3755" s="1">
        <v>45754</v>
      </c>
      <c r="C3755" t="s">
        <v>28</v>
      </c>
      <c r="D3755" t="s">
        <v>75</v>
      </c>
      <c r="E3755" t="s">
        <v>13</v>
      </c>
      <c r="F3755">
        <v>3</v>
      </c>
      <c r="G3755" t="str">
        <f>VLOOKUP(D3755,Товары!A:I,3,0)</f>
        <v>Тумба с раковиной  напол. Альба 600 суфле 2 ящика с умыв. Океан</v>
      </c>
      <c r="H3755">
        <f>VLOOKUP(D3755,Товары!A:I,6,0)</f>
        <v>80</v>
      </c>
      <c r="I3755" t="str">
        <f>VLOOKUP(C3755,Магазины!A:C,3,0)</f>
        <v>Набережные Челны</v>
      </c>
      <c r="J3755">
        <f>VLOOKUP(D3755,Товары!A:I,4,0)</f>
        <v>26370</v>
      </c>
      <c r="K3755">
        <f t="shared" si="58"/>
        <v>79110</v>
      </c>
    </row>
    <row r="3756" spans="1:11" hidden="1" x14ac:dyDescent="0.25">
      <c r="A3756">
        <v>3755</v>
      </c>
      <c r="B3756" s="1">
        <v>45754</v>
      </c>
      <c r="C3756" t="s">
        <v>58</v>
      </c>
      <c r="D3756" t="s">
        <v>107</v>
      </c>
      <c r="E3756" t="s">
        <v>13</v>
      </c>
      <c r="F3756">
        <v>1</v>
      </c>
      <c r="G3756" t="str">
        <f>VLOOKUP(D3756,Товары!A:I,3,0)</f>
        <v>Комод Аква 35 напольный 1 дверь белый правый</v>
      </c>
      <c r="H3756">
        <f>VLOOKUP(D3756,Товары!A:I,6,0)</f>
        <v>90</v>
      </c>
      <c r="I3756" t="str">
        <f>VLOOKUP(C3756,Магазины!A:C,3,0)</f>
        <v>Ставрополь</v>
      </c>
      <c r="J3756">
        <f>VLOOKUP(D3756,Товары!A:I,4,0)</f>
        <v>6705</v>
      </c>
      <c r="K3756">
        <f t="shared" si="58"/>
        <v>6705</v>
      </c>
    </row>
    <row r="3757" spans="1:11" hidden="1" x14ac:dyDescent="0.25">
      <c r="A3757">
        <v>3756</v>
      </c>
      <c r="B3757" s="1">
        <v>45757</v>
      </c>
      <c r="C3757" t="s">
        <v>54</v>
      </c>
      <c r="D3757" t="s">
        <v>49</v>
      </c>
      <c r="E3757" t="s">
        <v>13</v>
      </c>
      <c r="F3757">
        <v>1</v>
      </c>
      <c r="G3757" t="str">
        <f>VLOOKUP(D3757,Товары!A:I,3,0)</f>
        <v>Тумба с раковиной  напол. Леон 700 оникс 2 ящика с умыв. Слим</v>
      </c>
      <c r="H3757">
        <f>VLOOKUP(D3757,Товары!A:I,6,0)</f>
        <v>80</v>
      </c>
      <c r="I3757" t="str">
        <f>VLOOKUP(C3757,Магазины!A:C,3,0)</f>
        <v>Ставрополь</v>
      </c>
      <c r="J3757">
        <f>VLOOKUP(D3757,Товары!A:I,4,0)</f>
        <v>28380</v>
      </c>
      <c r="K3757">
        <f t="shared" si="58"/>
        <v>28380</v>
      </c>
    </row>
    <row r="3758" spans="1:11" hidden="1" x14ac:dyDescent="0.25">
      <c r="A3758">
        <v>3757</v>
      </c>
      <c r="B3758" s="1">
        <v>45752</v>
      </c>
      <c r="C3758" t="s">
        <v>30</v>
      </c>
      <c r="D3758" t="s">
        <v>37</v>
      </c>
      <c r="E3758" t="s">
        <v>8</v>
      </c>
      <c r="F3758">
        <v>1</v>
      </c>
      <c r="G3758" t="str">
        <f>VLOOKUP(D3758,Товары!A:I,3,0)</f>
        <v>Зеркальный шкаф Сохо 70 белый со светильником правый цвет Белый глянец</v>
      </c>
      <c r="H3758">
        <f>VLOOKUP(D3758,Товары!A:I,6,0)</f>
        <v>75</v>
      </c>
      <c r="I3758" t="str">
        <f>VLOOKUP(C3758,Магазины!A:C,3,0)</f>
        <v>Кемерово</v>
      </c>
      <c r="J3758">
        <f>VLOOKUP(D3758,Товары!A:I,4,0)</f>
        <v>7935</v>
      </c>
      <c r="K3758">
        <f t="shared" si="58"/>
        <v>7935</v>
      </c>
    </row>
    <row r="3759" spans="1:11" hidden="1" x14ac:dyDescent="0.25">
      <c r="A3759">
        <v>3758</v>
      </c>
      <c r="B3759" s="1">
        <v>45751</v>
      </c>
      <c r="C3759" t="s">
        <v>57</v>
      </c>
      <c r="D3759" t="s">
        <v>25</v>
      </c>
      <c r="E3759" t="s">
        <v>13</v>
      </c>
      <c r="F3759">
        <v>3</v>
      </c>
      <c r="G3759" t="str">
        <f>VLOOKUP(D3759,Товары!A:I,3,0)</f>
        <v>Пенал напол. Леон 400 оникс 2 двери + 1 ящик</v>
      </c>
      <c r="H3759">
        <f>VLOOKUP(D3759,Товары!A:I,6,0)</f>
        <v>190</v>
      </c>
      <c r="I3759" t="str">
        <f>VLOOKUP(C3759,Магазины!A:C,3,0)</f>
        <v>Оренбург</v>
      </c>
      <c r="J3759">
        <f>VLOOKUP(D3759,Товары!A:I,4,0)</f>
        <v>18450</v>
      </c>
      <c r="K3759">
        <f t="shared" si="58"/>
        <v>55350</v>
      </c>
    </row>
    <row r="3760" spans="1:11" hidden="1" x14ac:dyDescent="0.25">
      <c r="A3760">
        <v>3759</v>
      </c>
      <c r="B3760" s="1">
        <v>45757</v>
      </c>
      <c r="C3760" t="s">
        <v>92</v>
      </c>
      <c r="D3760" t="s">
        <v>76</v>
      </c>
      <c r="E3760" t="s">
        <v>8</v>
      </c>
      <c r="F3760">
        <v>1</v>
      </c>
      <c r="G3760" t="str">
        <f>VLOOKUP(D3760,Товары!A:I,3,0)</f>
        <v>Тумба с раковиной  напол. Леон 600 оникс 2 ящика с умыв. Слим</v>
      </c>
      <c r="H3760">
        <f>VLOOKUP(D3760,Товары!A:I,6,0)</f>
        <v>80</v>
      </c>
      <c r="I3760" t="str">
        <f>VLOOKUP(C3760,Магазины!A:C,3,0)</f>
        <v>Кемерово</v>
      </c>
      <c r="J3760">
        <f>VLOOKUP(D3760,Товары!A:I,4,0)</f>
        <v>25860</v>
      </c>
      <c r="K3760">
        <f t="shared" si="58"/>
        <v>25860</v>
      </c>
    </row>
    <row r="3761" spans="1:11" hidden="1" x14ac:dyDescent="0.25">
      <c r="A3761">
        <v>3760</v>
      </c>
      <c r="B3761" s="1">
        <v>45755</v>
      </c>
      <c r="C3761" t="s">
        <v>14</v>
      </c>
      <c r="D3761" t="s">
        <v>112</v>
      </c>
      <c r="E3761" t="s">
        <v>8</v>
      </c>
      <c r="F3761">
        <v>3</v>
      </c>
      <c r="G3761" t="str">
        <f>VLOOKUP(D3761,Товары!A:I,3,0)</f>
        <v>Тумба с раковиной  напол. Аква 560 белый 2 двери с умыв. Уют</v>
      </c>
      <c r="H3761">
        <f>VLOOKUP(D3761,Товары!A:I,6,0)</f>
        <v>85</v>
      </c>
      <c r="I3761" t="str">
        <f>VLOOKUP(C3761,Магазины!A:C,3,0)</f>
        <v>Оренбург</v>
      </c>
      <c r="J3761">
        <f>VLOOKUP(D3761,Товары!A:I,4,0)</f>
        <v>9330</v>
      </c>
      <c r="K3761">
        <f t="shared" si="58"/>
        <v>27990</v>
      </c>
    </row>
    <row r="3762" spans="1:11" hidden="1" x14ac:dyDescent="0.25">
      <c r="A3762">
        <v>3761</v>
      </c>
      <c r="B3762" s="1">
        <v>45749</v>
      </c>
      <c r="C3762" t="s">
        <v>63</v>
      </c>
      <c r="D3762" t="s">
        <v>104</v>
      </c>
      <c r="E3762" t="s">
        <v>8</v>
      </c>
      <c r="F3762">
        <v>3</v>
      </c>
      <c r="G3762" t="str">
        <f>VLOOKUP(D3762,Товары!A:I,3,0)</f>
        <v>Тумба под стиральную машину Куба Риф 57 подвесная 2 ящика под ст/маш, без умывальника /под Marshall 120 Белый</v>
      </c>
      <c r="H3762">
        <f>VLOOKUP(D3762,Товары!A:I,6,0)</f>
        <v>50</v>
      </c>
      <c r="I3762" t="str">
        <f>VLOOKUP(C3762,Магазины!A:C,3,0)</f>
        <v>Ставрополь</v>
      </c>
      <c r="J3762">
        <f>VLOOKUP(D3762,Товары!A:I,4,0)</f>
        <v>8505</v>
      </c>
      <c r="K3762">
        <f t="shared" si="58"/>
        <v>25515</v>
      </c>
    </row>
    <row r="3763" spans="1:11" hidden="1" x14ac:dyDescent="0.25">
      <c r="A3763">
        <v>3762</v>
      </c>
      <c r="B3763" s="1">
        <v>45752</v>
      </c>
      <c r="C3763" t="s">
        <v>20</v>
      </c>
      <c r="D3763" t="s">
        <v>125</v>
      </c>
      <c r="E3763" t="s">
        <v>8</v>
      </c>
      <c r="F3763">
        <v>1</v>
      </c>
      <c r="G3763" t="str">
        <f>VLOOKUP(D3763,Товары!A:I,3,0)</f>
        <v>Зеркальный шкаф Сохо 60 белый со светильником правый цвет Белый глянец</v>
      </c>
      <c r="H3763">
        <f>VLOOKUP(D3763,Товары!A:I,6,0)</f>
        <v>75</v>
      </c>
      <c r="I3763" t="str">
        <f>VLOOKUP(C3763,Магазины!A:C,3,0)</f>
        <v>Оренбург</v>
      </c>
      <c r="J3763">
        <f>VLOOKUP(D3763,Товары!A:I,4,0)</f>
        <v>7395</v>
      </c>
      <c r="K3763">
        <f t="shared" si="58"/>
        <v>7395</v>
      </c>
    </row>
    <row r="3764" spans="1:11" hidden="1" x14ac:dyDescent="0.25">
      <c r="A3764">
        <v>3763</v>
      </c>
      <c r="B3764" s="1">
        <v>45751</v>
      </c>
      <c r="C3764" t="s">
        <v>41</v>
      </c>
      <c r="D3764" t="s">
        <v>117</v>
      </c>
      <c r="E3764" t="s">
        <v>8</v>
      </c>
      <c r="F3764">
        <v>3</v>
      </c>
      <c r="G3764" t="str">
        <f>VLOOKUP(D3764,Товары!A:I,3,0)</f>
        <v>Тумба с раковиной  навес. Альба 700 антрацит 2 ящика с умыв. Слим</v>
      </c>
      <c r="H3764">
        <f>VLOOKUP(D3764,Товары!A:I,6,0)</f>
        <v>60</v>
      </c>
      <c r="I3764" t="str">
        <f>VLOOKUP(C3764,Магазины!A:C,3,0)</f>
        <v>Ставрополь</v>
      </c>
      <c r="J3764">
        <f>VLOOKUP(D3764,Товары!A:I,4,0)</f>
        <v>25095</v>
      </c>
      <c r="K3764">
        <f t="shared" si="58"/>
        <v>75285</v>
      </c>
    </row>
    <row r="3765" spans="1:11" hidden="1" x14ac:dyDescent="0.25">
      <c r="A3765">
        <v>3764</v>
      </c>
      <c r="B3765" s="1">
        <v>45754</v>
      </c>
      <c r="C3765" t="s">
        <v>16</v>
      </c>
      <c r="D3765" t="s">
        <v>108</v>
      </c>
      <c r="E3765" t="s">
        <v>13</v>
      </c>
      <c r="F3765">
        <v>1</v>
      </c>
      <c r="G3765" t="str">
        <f>VLOOKUP(D3765,Товары!A:I,3,0)</f>
        <v>Тумба с раковиной  навес. Виктория 1000 белый 2 ящика с умыв. Слим</v>
      </c>
      <c r="H3765">
        <f>VLOOKUP(D3765,Товары!A:I,6,0)</f>
        <v>60</v>
      </c>
      <c r="I3765" t="str">
        <f>VLOOKUP(C3765,Магазины!A:C,3,0)</f>
        <v>Оренбург</v>
      </c>
      <c r="J3765">
        <f>VLOOKUP(D3765,Товары!A:I,4,0)</f>
        <v>29205</v>
      </c>
      <c r="K3765">
        <f t="shared" si="58"/>
        <v>29205</v>
      </c>
    </row>
    <row r="3766" spans="1:11" hidden="1" x14ac:dyDescent="0.25">
      <c r="A3766">
        <v>3765</v>
      </c>
      <c r="B3766" s="1">
        <v>45752</v>
      </c>
      <c r="C3766" t="s">
        <v>58</v>
      </c>
      <c r="D3766" t="s">
        <v>112</v>
      </c>
      <c r="E3766" t="s">
        <v>13</v>
      </c>
      <c r="F3766">
        <v>1</v>
      </c>
      <c r="G3766" t="str">
        <f>VLOOKUP(D3766,Товары!A:I,3,0)</f>
        <v>Тумба с раковиной  напол. Аква 560 белый 2 двери с умыв. Уют</v>
      </c>
      <c r="H3766">
        <f>VLOOKUP(D3766,Товары!A:I,6,0)</f>
        <v>85</v>
      </c>
      <c r="I3766" t="str">
        <f>VLOOKUP(C3766,Магазины!A:C,3,0)</f>
        <v>Ставрополь</v>
      </c>
      <c r="J3766">
        <f>VLOOKUP(D3766,Товары!A:I,4,0)</f>
        <v>9330</v>
      </c>
      <c r="K3766">
        <f t="shared" si="58"/>
        <v>9330</v>
      </c>
    </row>
    <row r="3767" spans="1:11" hidden="1" x14ac:dyDescent="0.25">
      <c r="A3767">
        <v>3766</v>
      </c>
      <c r="B3767" s="1">
        <v>45754</v>
      </c>
      <c r="C3767" t="s">
        <v>43</v>
      </c>
      <c r="D3767" t="s">
        <v>106</v>
      </c>
      <c r="E3767" t="s">
        <v>8</v>
      </c>
      <c r="F3767">
        <v>1</v>
      </c>
      <c r="G3767" t="str">
        <f>VLOOKUP(D3767,Товары!A:I,3,0)</f>
        <v>Тумба с раковиной  навес. Кристалл 700 шато азур 2 ящика с умыв. Слим</v>
      </c>
      <c r="H3767">
        <f>VLOOKUP(D3767,Товары!A:I,6,0)</f>
        <v>60</v>
      </c>
      <c r="I3767" t="str">
        <f>VLOOKUP(C3767,Магазины!A:C,3,0)</f>
        <v>Набережные Челны</v>
      </c>
      <c r="J3767">
        <f>VLOOKUP(D3767,Товары!A:I,4,0)</f>
        <v>24150</v>
      </c>
      <c r="K3767">
        <f t="shared" si="58"/>
        <v>24150</v>
      </c>
    </row>
    <row r="3768" spans="1:11" hidden="1" x14ac:dyDescent="0.25">
      <c r="A3768">
        <v>3767</v>
      </c>
      <c r="B3768" s="1">
        <v>45754</v>
      </c>
      <c r="C3768" t="s">
        <v>22</v>
      </c>
      <c r="D3768" t="s">
        <v>34</v>
      </c>
      <c r="E3768" t="s">
        <v>8</v>
      </c>
      <c r="F3768">
        <v>2</v>
      </c>
      <c r="G3768" t="str">
        <f>VLOOKUP(D3768,Товары!A:I,3,0)</f>
        <v>Тумба с раковиной  навес. Леон 700 форест 2 ящика с умыв. Слим</v>
      </c>
      <c r="H3768">
        <f>VLOOKUP(D3768,Товары!A:I,6,0)</f>
        <v>60</v>
      </c>
      <c r="I3768" t="str">
        <f>VLOOKUP(C3768,Магазины!A:C,3,0)</f>
        <v>Кемерово</v>
      </c>
      <c r="J3768">
        <f>VLOOKUP(D3768,Товары!A:I,4,0)</f>
        <v>26220</v>
      </c>
      <c r="K3768">
        <f t="shared" si="58"/>
        <v>52440</v>
      </c>
    </row>
    <row r="3769" spans="1:11" hidden="1" x14ac:dyDescent="0.25">
      <c r="A3769">
        <v>3768</v>
      </c>
      <c r="B3769" s="1">
        <v>45748</v>
      </c>
      <c r="C3769" t="s">
        <v>16</v>
      </c>
      <c r="D3769" t="s">
        <v>97</v>
      </c>
      <c r="E3769" t="s">
        <v>8</v>
      </c>
      <c r="F3769">
        <v>3</v>
      </c>
      <c r="G3769" t="str">
        <f>VLOOKUP(D3769,Товары!A:I,3,0)</f>
        <v>Пенал напол. Кристалл 350 суфле 2 двери</v>
      </c>
      <c r="H3769">
        <f>VLOOKUP(D3769,Товары!A:I,6,0)</f>
        <v>190</v>
      </c>
      <c r="I3769" t="str">
        <f>VLOOKUP(C3769,Магазины!A:C,3,0)</f>
        <v>Оренбург</v>
      </c>
      <c r="J3769">
        <f>VLOOKUP(D3769,Товары!A:I,4,0)</f>
        <v>15810</v>
      </c>
      <c r="K3769">
        <f t="shared" si="58"/>
        <v>47430</v>
      </c>
    </row>
    <row r="3770" spans="1:11" hidden="1" x14ac:dyDescent="0.25">
      <c r="A3770">
        <v>3769</v>
      </c>
      <c r="B3770" s="1">
        <v>45749</v>
      </c>
      <c r="C3770" t="s">
        <v>11</v>
      </c>
      <c r="D3770" t="s">
        <v>65</v>
      </c>
      <c r="E3770" t="s">
        <v>8</v>
      </c>
      <c r="F3770">
        <v>2</v>
      </c>
      <c r="G3770" t="str">
        <f>VLOOKUP(D3770,Товары!A:I,3,0)</f>
        <v>Тумба с раковиной  навес. Альба 800 суфле 2 ящика с умыв. Слим</v>
      </c>
      <c r="H3770">
        <f>VLOOKUP(D3770,Товары!A:I,6,0)</f>
        <v>50</v>
      </c>
      <c r="I3770" t="str">
        <f>VLOOKUP(C3770,Магазины!A:C,3,0)</f>
        <v>Кемерово</v>
      </c>
      <c r="J3770">
        <f>VLOOKUP(D3770,Товары!A:I,4,0)</f>
        <v>26070</v>
      </c>
      <c r="K3770">
        <f t="shared" si="58"/>
        <v>52140</v>
      </c>
    </row>
    <row r="3771" spans="1:11" hidden="1" x14ac:dyDescent="0.25">
      <c r="A3771">
        <v>3770</v>
      </c>
      <c r="B3771" s="1">
        <v>45748</v>
      </c>
      <c r="C3771" t="s">
        <v>33</v>
      </c>
      <c r="D3771" t="s">
        <v>44</v>
      </c>
      <c r="E3771" t="s">
        <v>8</v>
      </c>
      <c r="F3771">
        <v>3</v>
      </c>
      <c r="G3771" t="str">
        <f>VLOOKUP(D3771,Товары!A:I,3,0)</f>
        <v>Тумба с раковиной  навес. Кристалл 800 шато азур 2 ящика с умыв. Комфорт</v>
      </c>
      <c r="H3771">
        <f>VLOOKUP(D3771,Товары!A:I,6,0)</f>
        <v>55</v>
      </c>
      <c r="I3771" t="str">
        <f>VLOOKUP(C3771,Магазины!A:C,3,0)</f>
        <v>Набережные Челны</v>
      </c>
      <c r="J3771">
        <f>VLOOKUP(D3771,Товары!A:I,4,0)</f>
        <v>25080</v>
      </c>
      <c r="K3771">
        <f t="shared" si="58"/>
        <v>75240</v>
      </c>
    </row>
    <row r="3772" spans="1:11" hidden="1" x14ac:dyDescent="0.25">
      <c r="A3772">
        <v>3771</v>
      </c>
      <c r="B3772" s="1">
        <v>45756</v>
      </c>
      <c r="C3772" t="s">
        <v>20</v>
      </c>
      <c r="D3772" t="s">
        <v>31</v>
      </c>
      <c r="E3772" t="s">
        <v>8</v>
      </c>
      <c r="F3772">
        <v>1</v>
      </c>
      <c r="G3772" t="str">
        <f>VLOOKUP(D3772,Товары!A:I,3,0)</f>
        <v>Пенал напол. Виктория 350 белый 2 двери</v>
      </c>
      <c r="H3772">
        <f>VLOOKUP(D3772,Товары!A:I,6,0)</f>
        <v>190</v>
      </c>
      <c r="I3772" t="str">
        <f>VLOOKUP(C3772,Магазины!A:C,3,0)</f>
        <v>Оренбург</v>
      </c>
      <c r="J3772">
        <f>VLOOKUP(D3772,Товары!A:I,4,0)</f>
        <v>14085</v>
      </c>
      <c r="K3772">
        <f t="shared" si="58"/>
        <v>14085</v>
      </c>
    </row>
    <row r="3773" spans="1:11" hidden="1" x14ac:dyDescent="0.25">
      <c r="A3773">
        <v>3772</v>
      </c>
      <c r="B3773" s="1">
        <v>45749</v>
      </c>
      <c r="C3773" t="s">
        <v>9</v>
      </c>
      <c r="D3773" t="s">
        <v>25</v>
      </c>
      <c r="E3773" t="s">
        <v>13</v>
      </c>
      <c r="F3773">
        <v>3</v>
      </c>
      <c r="G3773" t="str">
        <f>VLOOKUP(D3773,Товары!A:I,3,0)</f>
        <v>Пенал напол. Леон 400 оникс 2 двери + 1 ящик</v>
      </c>
      <c r="H3773">
        <f>VLOOKUP(D3773,Товары!A:I,6,0)</f>
        <v>190</v>
      </c>
      <c r="I3773" t="str">
        <f>VLOOKUP(C3773,Магазины!A:C,3,0)</f>
        <v>Кемерово</v>
      </c>
      <c r="J3773">
        <f>VLOOKUP(D3773,Товары!A:I,4,0)</f>
        <v>18450</v>
      </c>
      <c r="K3773">
        <f t="shared" si="58"/>
        <v>55350</v>
      </c>
    </row>
    <row r="3774" spans="1:11" hidden="1" x14ac:dyDescent="0.25">
      <c r="A3774">
        <v>3773</v>
      </c>
      <c r="B3774" s="1">
        <v>45753</v>
      </c>
      <c r="C3774" t="s">
        <v>28</v>
      </c>
      <c r="D3774" t="s">
        <v>69</v>
      </c>
      <c r="E3774" t="s">
        <v>8</v>
      </c>
      <c r="F3774">
        <v>1</v>
      </c>
      <c r="G3774" t="str">
        <f>VLOOKUP(D3774,Товары!A:I,3,0)</f>
        <v>Пенал навес./напол. Альба 350 антрацит 2 двери</v>
      </c>
      <c r="H3774">
        <f>VLOOKUP(D3774,Товары!A:I,6,0)</f>
        <v>150</v>
      </c>
      <c r="I3774" t="str">
        <f>VLOOKUP(C3774,Магазины!A:C,3,0)</f>
        <v>Набережные Челны</v>
      </c>
      <c r="J3774">
        <f>VLOOKUP(D3774,Товары!A:I,4,0)</f>
        <v>11655</v>
      </c>
      <c r="K3774">
        <f t="shared" si="58"/>
        <v>11655</v>
      </c>
    </row>
    <row r="3775" spans="1:11" hidden="1" x14ac:dyDescent="0.25">
      <c r="A3775">
        <v>3774</v>
      </c>
      <c r="B3775" s="1">
        <v>45750</v>
      </c>
      <c r="C3775" t="s">
        <v>92</v>
      </c>
      <c r="D3775" t="s">
        <v>62</v>
      </c>
      <c r="E3775" t="s">
        <v>8</v>
      </c>
      <c r="F3775">
        <v>1</v>
      </c>
      <c r="G3775" t="str">
        <f>VLOOKUP(D3775,Товары!A:I,3,0)</f>
        <v>Тумба с раковиной  напол. Альба 600 мята 2 ящика с умыв. Океан</v>
      </c>
      <c r="H3775">
        <f>VLOOKUP(D3775,Товары!A:I,6,0)</f>
        <v>80</v>
      </c>
      <c r="I3775" t="str">
        <f>VLOOKUP(C3775,Магазины!A:C,3,0)</f>
        <v>Кемерово</v>
      </c>
      <c r="J3775">
        <f>VLOOKUP(D3775,Товары!A:I,4,0)</f>
        <v>26370</v>
      </c>
      <c r="K3775">
        <f t="shared" si="58"/>
        <v>26370</v>
      </c>
    </row>
    <row r="3776" spans="1:11" hidden="1" x14ac:dyDescent="0.25">
      <c r="A3776">
        <v>3775</v>
      </c>
      <c r="B3776" s="1">
        <v>45756</v>
      </c>
      <c r="C3776" t="s">
        <v>18</v>
      </c>
      <c r="D3776" t="s">
        <v>97</v>
      </c>
      <c r="E3776" t="s">
        <v>8</v>
      </c>
      <c r="F3776">
        <v>3</v>
      </c>
      <c r="G3776" t="str">
        <f>VLOOKUP(D3776,Товары!A:I,3,0)</f>
        <v>Пенал напол. Кристалл 350 суфле 2 двери</v>
      </c>
      <c r="H3776">
        <f>VLOOKUP(D3776,Товары!A:I,6,0)</f>
        <v>190</v>
      </c>
      <c r="I3776" t="str">
        <f>VLOOKUP(C3776,Магазины!A:C,3,0)</f>
        <v>Набережные Челны</v>
      </c>
      <c r="J3776">
        <f>VLOOKUP(D3776,Товары!A:I,4,0)</f>
        <v>15810</v>
      </c>
      <c r="K3776">
        <f t="shared" si="58"/>
        <v>47430</v>
      </c>
    </row>
    <row r="3777" spans="1:11" hidden="1" x14ac:dyDescent="0.25">
      <c r="A3777">
        <v>3776</v>
      </c>
      <c r="B3777" s="1">
        <v>45757</v>
      </c>
      <c r="C3777" t="s">
        <v>111</v>
      </c>
      <c r="D3777" t="s">
        <v>15</v>
      </c>
      <c r="E3777" t="s">
        <v>13</v>
      </c>
      <c r="F3777">
        <v>1</v>
      </c>
      <c r="G3777" t="str">
        <f>VLOOKUP(D3777,Товары!A:I,3,0)</f>
        <v>Зеркальный шкаф Кристалл 60 со светильником правый, ручка кнопка дуб цвет Шато Азур</v>
      </c>
      <c r="H3777">
        <f>VLOOKUP(D3777,Товары!A:I,6,0)</f>
        <v>75</v>
      </c>
      <c r="I3777" t="str">
        <f>VLOOKUP(C3777,Магазины!A:C,3,0)</f>
        <v>Набережные Челны</v>
      </c>
      <c r="J3777">
        <f>VLOOKUP(D3777,Товары!A:I,4,0)</f>
        <v>9195</v>
      </c>
      <c r="K3777">
        <f t="shared" si="58"/>
        <v>9195</v>
      </c>
    </row>
    <row r="3778" spans="1:11" hidden="1" x14ac:dyDescent="0.25">
      <c r="A3778">
        <v>3777</v>
      </c>
      <c r="B3778" s="1">
        <v>45749</v>
      </c>
      <c r="C3778" t="s">
        <v>30</v>
      </c>
      <c r="D3778" t="s">
        <v>68</v>
      </c>
      <c r="E3778" t="s">
        <v>8</v>
      </c>
      <c r="F3778">
        <v>1</v>
      </c>
      <c r="G3778" t="str">
        <f>VLOOKUP(D3778,Товары!A:I,3,0)</f>
        <v>Тумба с раковиной  навес. Альба 600 антрацит 1 ящик с умыв. Океан</v>
      </c>
      <c r="H3778">
        <f>VLOOKUP(D3778,Товары!A:I,6,0)</f>
        <v>85</v>
      </c>
      <c r="I3778" t="str">
        <f>VLOOKUP(C3778,Магазины!A:C,3,0)</f>
        <v>Кемерово</v>
      </c>
      <c r="J3778">
        <f>VLOOKUP(D3778,Товары!A:I,4,0)</f>
        <v>17625</v>
      </c>
      <c r="K3778">
        <f t="shared" si="58"/>
        <v>17625</v>
      </c>
    </row>
    <row r="3779" spans="1:11" hidden="1" x14ac:dyDescent="0.25">
      <c r="A3779">
        <v>3778</v>
      </c>
      <c r="B3779" s="1">
        <v>45756</v>
      </c>
      <c r="C3779" t="s">
        <v>20</v>
      </c>
      <c r="D3779" t="s">
        <v>127</v>
      </c>
      <c r="E3779" t="s">
        <v>8</v>
      </c>
      <c r="F3779">
        <v>2</v>
      </c>
      <c r="G3779" t="str">
        <f>VLOOKUP(D3779,Товары!A:I,3,0)</f>
        <v>Тумба с раковиной  навес. Альба 700 мята 1 ящик с умыв. Слим</v>
      </c>
      <c r="H3779">
        <f>VLOOKUP(D3779,Товары!A:I,6,0)</f>
        <v>45</v>
      </c>
      <c r="I3779" t="str">
        <f>VLOOKUP(C3779,Магазины!A:C,3,0)</f>
        <v>Оренбург</v>
      </c>
      <c r="J3779">
        <f>VLOOKUP(D3779,Товары!A:I,4,0)</f>
        <v>20130</v>
      </c>
      <c r="K3779">
        <f t="shared" ref="K3779:K3842" si="59">J3779*F3779</f>
        <v>40260</v>
      </c>
    </row>
    <row r="3780" spans="1:11" hidden="1" x14ac:dyDescent="0.25">
      <c r="A3780">
        <v>3779</v>
      </c>
      <c r="B3780" s="1">
        <v>45748</v>
      </c>
      <c r="C3780" t="s">
        <v>16</v>
      </c>
      <c r="D3780" t="s">
        <v>76</v>
      </c>
      <c r="E3780" t="s">
        <v>13</v>
      </c>
      <c r="F3780">
        <v>3</v>
      </c>
      <c r="G3780" t="str">
        <f>VLOOKUP(D3780,Товары!A:I,3,0)</f>
        <v>Тумба с раковиной  напол. Леон 600 оникс 2 ящика с умыв. Слим</v>
      </c>
      <c r="H3780">
        <f>VLOOKUP(D3780,Товары!A:I,6,0)</f>
        <v>80</v>
      </c>
      <c r="I3780" t="str">
        <f>VLOOKUP(C3780,Магазины!A:C,3,0)</f>
        <v>Оренбург</v>
      </c>
      <c r="J3780">
        <f>VLOOKUP(D3780,Товары!A:I,4,0)</f>
        <v>25860</v>
      </c>
      <c r="K3780">
        <f t="shared" si="59"/>
        <v>77580</v>
      </c>
    </row>
    <row r="3781" spans="1:11" hidden="1" x14ac:dyDescent="0.25">
      <c r="A3781">
        <v>3780</v>
      </c>
      <c r="B3781" s="1">
        <v>45754</v>
      </c>
      <c r="C3781" t="s">
        <v>33</v>
      </c>
      <c r="D3781" t="s">
        <v>91</v>
      </c>
      <c r="E3781" t="s">
        <v>13</v>
      </c>
      <c r="F3781">
        <v>2</v>
      </c>
      <c r="G3781" t="str">
        <f>VLOOKUP(D3781,Товары!A:I,3,0)</f>
        <v>Пенал навес./напол. Альба 350 мята 2 двери</v>
      </c>
      <c r="H3781">
        <f>VLOOKUP(D3781,Товары!A:I,6,0)</f>
        <v>150</v>
      </c>
      <c r="I3781" t="str">
        <f>VLOOKUP(C3781,Магазины!A:C,3,0)</f>
        <v>Набережные Челны</v>
      </c>
      <c r="J3781">
        <f>VLOOKUP(D3781,Товары!A:I,4,0)</f>
        <v>11655</v>
      </c>
      <c r="K3781">
        <f t="shared" si="59"/>
        <v>23310</v>
      </c>
    </row>
    <row r="3782" spans="1:11" hidden="1" x14ac:dyDescent="0.25">
      <c r="A3782">
        <v>3781</v>
      </c>
      <c r="B3782" s="1">
        <v>45749</v>
      </c>
      <c r="C3782" t="s">
        <v>63</v>
      </c>
      <c r="D3782" t="s">
        <v>101</v>
      </c>
      <c r="E3782" t="s">
        <v>8</v>
      </c>
      <c r="F3782">
        <v>2</v>
      </c>
      <c r="G3782" t="str">
        <f>VLOOKUP(D3782,Товары!A:I,3,0)</f>
        <v>Пенал напол. Сохо 400 белый 2 двери + 1 ящик</v>
      </c>
      <c r="H3782">
        <f>VLOOKUP(D3782,Товары!A:I,6,0)</f>
        <v>190</v>
      </c>
      <c r="I3782" t="str">
        <f>VLOOKUP(C3782,Магазины!A:C,3,0)</f>
        <v>Ставрополь</v>
      </c>
      <c r="J3782">
        <f>VLOOKUP(D3782,Товары!A:I,4,0)</f>
        <v>11040</v>
      </c>
      <c r="K3782">
        <f t="shared" si="59"/>
        <v>22080</v>
      </c>
    </row>
    <row r="3783" spans="1:11" hidden="1" x14ac:dyDescent="0.25">
      <c r="A3783">
        <v>3782</v>
      </c>
      <c r="B3783" s="1">
        <v>45750</v>
      </c>
      <c r="C3783" t="s">
        <v>30</v>
      </c>
      <c r="D3783" t="s">
        <v>64</v>
      </c>
      <c r="E3783" t="s">
        <v>8</v>
      </c>
      <c r="F3783">
        <v>2</v>
      </c>
      <c r="G3783" t="str">
        <f>VLOOKUP(D3783,Товары!A:I,3,0)</f>
        <v>Тумба с раковиной  напол. Рица 800 антрацит 2 ящика с умыв. Слим</v>
      </c>
      <c r="H3783">
        <f>VLOOKUP(D3783,Товары!A:I,6,0)</f>
        <v>80</v>
      </c>
      <c r="I3783" t="str">
        <f>VLOOKUP(C3783,Магазины!A:C,3,0)</f>
        <v>Кемерово</v>
      </c>
      <c r="J3783">
        <f>VLOOKUP(D3783,Товары!A:I,4,0)</f>
        <v>28980</v>
      </c>
      <c r="K3783">
        <f t="shared" si="59"/>
        <v>57960</v>
      </c>
    </row>
    <row r="3784" spans="1:11" hidden="1" x14ac:dyDescent="0.25">
      <c r="A3784">
        <v>3783</v>
      </c>
      <c r="B3784" s="1">
        <v>45748</v>
      </c>
      <c r="C3784" t="s">
        <v>6</v>
      </c>
      <c r="D3784" t="s">
        <v>29</v>
      </c>
      <c r="E3784" t="s">
        <v>13</v>
      </c>
      <c r="F3784">
        <v>2</v>
      </c>
      <c r="G3784" t="str">
        <f>VLOOKUP(D3784,Товары!A:I,3,0)</f>
        <v>Тумба с раковиной  напол. Леон Риф 600 солярис/белый риф 2 ящика с умыв. Океан</v>
      </c>
      <c r="H3784">
        <f>VLOOKUP(D3784,Товары!A:I,6,0)</f>
        <v>80</v>
      </c>
      <c r="I3784" t="str">
        <f>VLOOKUP(C3784,Магазины!A:C,3,0)</f>
        <v>Оренбург</v>
      </c>
      <c r="J3784">
        <f>VLOOKUP(D3784,Товары!A:I,4,0)</f>
        <v>24150</v>
      </c>
      <c r="K3784">
        <f t="shared" si="59"/>
        <v>48300</v>
      </c>
    </row>
    <row r="3785" spans="1:11" hidden="1" x14ac:dyDescent="0.25">
      <c r="A3785">
        <v>3784</v>
      </c>
      <c r="B3785" s="1">
        <v>45749</v>
      </c>
      <c r="C3785" t="s">
        <v>28</v>
      </c>
      <c r="D3785" t="s">
        <v>95</v>
      </c>
      <c r="E3785" t="s">
        <v>13</v>
      </c>
      <c r="F3785">
        <v>1</v>
      </c>
      <c r="G3785" t="str">
        <f>VLOOKUP(D3785,Товары!A:I,3,0)</f>
        <v>Тумба с раковиной  напол. Рица 600 антрацит 2 ящика с умыв. Океан</v>
      </c>
      <c r="H3785">
        <f>VLOOKUP(D3785,Товары!A:I,6,0)</f>
        <v>80</v>
      </c>
      <c r="I3785" t="str">
        <f>VLOOKUP(C3785,Магазины!A:C,3,0)</f>
        <v>Набережные Челны</v>
      </c>
      <c r="J3785">
        <f>VLOOKUP(D3785,Товары!A:I,4,0)</f>
        <v>25560</v>
      </c>
      <c r="K3785">
        <f t="shared" si="59"/>
        <v>25560</v>
      </c>
    </row>
    <row r="3786" spans="1:11" hidden="1" x14ac:dyDescent="0.25">
      <c r="A3786">
        <v>3785</v>
      </c>
      <c r="B3786" s="1">
        <v>45751</v>
      </c>
      <c r="C3786" t="s">
        <v>92</v>
      </c>
      <c r="D3786" t="s">
        <v>39</v>
      </c>
      <c r="E3786" t="s">
        <v>8</v>
      </c>
      <c r="F3786">
        <v>3</v>
      </c>
      <c r="G3786" t="str">
        <f>VLOOKUP(D3786,Товары!A:I,3,0)</f>
        <v>Тумба с раковиной  напол. Альба 700 мята 2 ящика с умыв. Слим</v>
      </c>
      <c r="H3786">
        <f>VLOOKUP(D3786,Товары!A:I,6,0)</f>
        <v>85</v>
      </c>
      <c r="I3786" t="str">
        <f>VLOOKUP(C3786,Магазины!A:C,3,0)</f>
        <v>Кемерово</v>
      </c>
      <c r="J3786">
        <f>VLOOKUP(D3786,Товары!A:I,4,0)</f>
        <v>28695</v>
      </c>
      <c r="K3786">
        <f t="shared" si="59"/>
        <v>86085</v>
      </c>
    </row>
    <row r="3787" spans="1:11" hidden="1" x14ac:dyDescent="0.25">
      <c r="A3787">
        <v>3786</v>
      </c>
      <c r="B3787" s="1">
        <v>45754</v>
      </c>
      <c r="C3787" t="s">
        <v>58</v>
      </c>
      <c r="D3787" t="s">
        <v>84</v>
      </c>
      <c r="E3787" t="s">
        <v>8</v>
      </c>
      <c r="F3787">
        <v>2</v>
      </c>
      <c r="G3787" t="str">
        <f>VLOOKUP(D3787,Товары!A:I,3,0)</f>
        <v>Тумба с раковиной  напол. Куба Риф 800 белый 3 двери с умыв. Слим</v>
      </c>
      <c r="H3787">
        <f>VLOOKUP(D3787,Товары!A:I,6,0)</f>
        <v>85</v>
      </c>
      <c r="I3787" t="str">
        <f>VLOOKUP(C3787,Магазины!A:C,3,0)</f>
        <v>Ставрополь</v>
      </c>
      <c r="J3787">
        <f>VLOOKUP(D3787,Товары!A:I,4,0)</f>
        <v>19920</v>
      </c>
      <c r="K3787">
        <f t="shared" si="59"/>
        <v>39840</v>
      </c>
    </row>
    <row r="3788" spans="1:11" hidden="1" x14ac:dyDescent="0.25">
      <c r="A3788">
        <v>3787</v>
      </c>
      <c r="B3788" s="1">
        <v>45754</v>
      </c>
      <c r="C3788" t="s">
        <v>43</v>
      </c>
      <c r="D3788" t="s">
        <v>99</v>
      </c>
      <c r="E3788" t="s">
        <v>8</v>
      </c>
      <c r="F3788">
        <v>2</v>
      </c>
      <c r="G3788" t="str">
        <f>VLOOKUP(D3788,Товары!A:I,3,0)</f>
        <v>Тумба с раковиной  навес. Леон 600 оникс 2 ящика с умыв. Слим</v>
      </c>
      <c r="H3788">
        <f>VLOOKUP(D3788,Товары!A:I,6,0)</f>
        <v>60</v>
      </c>
      <c r="I3788" t="str">
        <f>VLOOKUP(C3788,Магазины!A:C,3,0)</f>
        <v>Набережные Челны</v>
      </c>
      <c r="J3788">
        <f>VLOOKUP(D3788,Товары!A:I,4,0)</f>
        <v>25125</v>
      </c>
      <c r="K3788">
        <f t="shared" si="59"/>
        <v>50250</v>
      </c>
    </row>
    <row r="3789" spans="1:11" hidden="1" x14ac:dyDescent="0.25">
      <c r="A3789">
        <v>3788</v>
      </c>
      <c r="B3789" s="1">
        <v>45750</v>
      </c>
      <c r="C3789" t="s">
        <v>28</v>
      </c>
      <c r="D3789" t="s">
        <v>67</v>
      </c>
      <c r="E3789" t="s">
        <v>13</v>
      </c>
      <c r="F3789">
        <v>3</v>
      </c>
      <c r="G3789" t="str">
        <f>VLOOKUP(D3789,Товары!A:I,3,0)</f>
        <v>Пенал навес./напол. Альба 350 суфле 2 двери</v>
      </c>
      <c r="H3789">
        <f>VLOOKUP(D3789,Товары!A:I,6,0)</f>
        <v>150</v>
      </c>
      <c r="I3789" t="str">
        <f>VLOOKUP(C3789,Магазины!A:C,3,0)</f>
        <v>Набережные Челны</v>
      </c>
      <c r="J3789">
        <f>VLOOKUP(D3789,Товары!A:I,4,0)</f>
        <v>11655</v>
      </c>
      <c r="K3789">
        <f t="shared" si="59"/>
        <v>34965</v>
      </c>
    </row>
    <row r="3790" spans="1:11" hidden="1" x14ac:dyDescent="0.25">
      <c r="A3790">
        <v>3789</v>
      </c>
      <c r="B3790" s="1">
        <v>45756</v>
      </c>
      <c r="C3790" t="s">
        <v>35</v>
      </c>
      <c r="D3790" t="s">
        <v>66</v>
      </c>
      <c r="E3790" t="s">
        <v>13</v>
      </c>
      <c r="F3790">
        <v>2</v>
      </c>
      <c r="G3790" t="str">
        <f>VLOOKUP(D3790,Товары!A:I,3,0)</f>
        <v>Тумба с раковиной  навес. Альба 800 мята 2 ящика с умыв. Слим</v>
      </c>
      <c r="H3790">
        <f>VLOOKUP(D3790,Товары!A:I,6,0)</f>
        <v>50</v>
      </c>
      <c r="I3790" t="str">
        <f>VLOOKUP(C3790,Магазины!A:C,3,0)</f>
        <v>Набережные Челны</v>
      </c>
      <c r="J3790">
        <f>VLOOKUP(D3790,Товары!A:I,4,0)</f>
        <v>26070</v>
      </c>
      <c r="K3790">
        <f t="shared" si="59"/>
        <v>52140</v>
      </c>
    </row>
    <row r="3791" spans="1:11" hidden="1" x14ac:dyDescent="0.25">
      <c r="A3791">
        <v>3790</v>
      </c>
      <c r="B3791" s="1">
        <v>45752</v>
      </c>
      <c r="C3791" t="s">
        <v>57</v>
      </c>
      <c r="D3791" t="s">
        <v>131</v>
      </c>
      <c r="E3791" t="s">
        <v>13</v>
      </c>
      <c r="F3791">
        <v>2</v>
      </c>
      <c r="G3791" t="str">
        <f>VLOOKUP(D3791,Товары!A:I,3,0)</f>
        <v>Тумба с раковиной  напол. Леон 800 форест 2 ящика с умыв. Слим</v>
      </c>
      <c r="H3791">
        <f>VLOOKUP(D3791,Товары!A:I,6,0)</f>
        <v>80</v>
      </c>
      <c r="I3791" t="str">
        <f>VLOOKUP(C3791,Магазины!A:C,3,0)</f>
        <v>Оренбург</v>
      </c>
      <c r="J3791">
        <f>VLOOKUP(D3791,Товары!A:I,4,0)</f>
        <v>29400</v>
      </c>
      <c r="K3791">
        <f t="shared" si="59"/>
        <v>58800</v>
      </c>
    </row>
    <row r="3792" spans="1:11" hidden="1" x14ac:dyDescent="0.25">
      <c r="A3792">
        <v>3791</v>
      </c>
      <c r="B3792" s="1">
        <v>45751</v>
      </c>
      <c r="C3792" t="s">
        <v>28</v>
      </c>
      <c r="D3792" t="s">
        <v>86</v>
      </c>
      <c r="E3792" t="s">
        <v>13</v>
      </c>
      <c r="F3792">
        <v>1</v>
      </c>
      <c r="G3792" t="str">
        <f>VLOOKUP(D3792,Товары!A:I,3,0)</f>
        <v>Комод Аква 50 напольный 1 ящик 2 двери белый</v>
      </c>
      <c r="H3792">
        <f>VLOOKUP(D3792,Товары!A:I,6,0)</f>
        <v>90</v>
      </c>
      <c r="I3792" t="str">
        <f>VLOOKUP(C3792,Магазины!A:C,3,0)</f>
        <v>Набережные Челны</v>
      </c>
      <c r="J3792">
        <f>VLOOKUP(D3792,Товары!A:I,4,0)</f>
        <v>7260</v>
      </c>
      <c r="K3792">
        <f t="shared" si="59"/>
        <v>7260</v>
      </c>
    </row>
    <row r="3793" spans="1:11" hidden="1" x14ac:dyDescent="0.25">
      <c r="A3793">
        <v>3792</v>
      </c>
      <c r="B3793" s="1">
        <v>45749</v>
      </c>
      <c r="C3793" t="s">
        <v>103</v>
      </c>
      <c r="D3793" t="s">
        <v>93</v>
      </c>
      <c r="E3793" t="s">
        <v>8</v>
      </c>
      <c r="F3793">
        <v>1</v>
      </c>
      <c r="G3793" t="str">
        <f>VLOOKUP(D3793,Товары!A:I,3,0)</f>
        <v>Тумба с раковиной  напол. Леон Риф 800 солярис/белый риф 2 ящика с умыв. Слим</v>
      </c>
      <c r="H3793">
        <f>VLOOKUP(D3793,Товары!A:I,6,0)</f>
        <v>80</v>
      </c>
      <c r="I3793" t="str">
        <f>VLOOKUP(C3793,Магазины!A:C,3,0)</f>
        <v>Ставрополь</v>
      </c>
      <c r="J3793">
        <f>VLOOKUP(D3793,Товары!A:I,4,0)</f>
        <v>29340</v>
      </c>
      <c r="K3793">
        <f t="shared" si="59"/>
        <v>29340</v>
      </c>
    </row>
    <row r="3794" spans="1:11" hidden="1" x14ac:dyDescent="0.25">
      <c r="A3794">
        <v>3793</v>
      </c>
      <c r="B3794" s="1">
        <v>45756</v>
      </c>
      <c r="C3794" t="s">
        <v>33</v>
      </c>
      <c r="D3794" t="s">
        <v>37</v>
      </c>
      <c r="E3794" t="s">
        <v>8</v>
      </c>
      <c r="F3794">
        <v>1</v>
      </c>
      <c r="G3794" t="str">
        <f>VLOOKUP(D3794,Товары!A:I,3,0)</f>
        <v>Зеркальный шкаф Сохо 70 белый со светильником правый цвет Белый глянец</v>
      </c>
      <c r="H3794">
        <f>VLOOKUP(D3794,Товары!A:I,6,0)</f>
        <v>75</v>
      </c>
      <c r="I3794" t="str">
        <f>VLOOKUP(C3794,Магазины!A:C,3,0)</f>
        <v>Набережные Челны</v>
      </c>
      <c r="J3794">
        <f>VLOOKUP(D3794,Товары!A:I,4,0)</f>
        <v>7935</v>
      </c>
      <c r="K3794">
        <f t="shared" si="59"/>
        <v>7935</v>
      </c>
    </row>
    <row r="3795" spans="1:11" hidden="1" x14ac:dyDescent="0.25">
      <c r="A3795">
        <v>3794</v>
      </c>
      <c r="B3795" s="1">
        <v>45754</v>
      </c>
      <c r="C3795" t="s">
        <v>58</v>
      </c>
      <c r="D3795" t="s">
        <v>83</v>
      </c>
      <c r="E3795" t="s">
        <v>13</v>
      </c>
      <c r="F3795">
        <v>2</v>
      </c>
      <c r="G3795" t="str">
        <f>VLOOKUP(D3795,Товары!A:I,3,0)</f>
        <v>Зеркальный шкаф Альба 60 со светильником правый цвет суфле</v>
      </c>
      <c r="H3795">
        <f>VLOOKUP(D3795,Товары!A:I,6,0)</f>
        <v>75</v>
      </c>
      <c r="I3795" t="str">
        <f>VLOOKUP(C3795,Магазины!A:C,3,0)</f>
        <v>Ставрополь</v>
      </c>
      <c r="J3795">
        <f>VLOOKUP(D3795,Товары!A:I,4,0)</f>
        <v>8910</v>
      </c>
      <c r="K3795">
        <f t="shared" si="59"/>
        <v>17820</v>
      </c>
    </row>
    <row r="3796" spans="1:11" hidden="1" x14ac:dyDescent="0.25">
      <c r="A3796">
        <v>3795</v>
      </c>
      <c r="B3796" s="1">
        <v>45750</v>
      </c>
      <c r="C3796" t="s">
        <v>11</v>
      </c>
      <c r="D3796" t="s">
        <v>87</v>
      </c>
      <c r="E3796" t="s">
        <v>13</v>
      </c>
      <c r="F3796">
        <v>3</v>
      </c>
      <c r="G3796" t="str">
        <f>VLOOKUP(D3796,Товары!A:I,3,0)</f>
        <v>Тумба с раковиной  напол. Леон 700 форест 2 ящика с умыв. Слим</v>
      </c>
      <c r="H3796">
        <f>VLOOKUP(D3796,Товары!A:I,6,0)</f>
        <v>80</v>
      </c>
      <c r="I3796" t="str">
        <f>VLOOKUP(C3796,Магазины!A:C,3,0)</f>
        <v>Кемерово</v>
      </c>
      <c r="J3796">
        <f>VLOOKUP(D3796,Товары!A:I,4,0)</f>
        <v>28380</v>
      </c>
      <c r="K3796">
        <f t="shared" si="59"/>
        <v>85140</v>
      </c>
    </row>
    <row r="3797" spans="1:11" hidden="1" x14ac:dyDescent="0.25">
      <c r="A3797">
        <v>3796</v>
      </c>
      <c r="B3797" s="1">
        <v>45753</v>
      </c>
      <c r="C3797" t="s">
        <v>18</v>
      </c>
      <c r="D3797" t="s">
        <v>32</v>
      </c>
      <c r="E3797" t="s">
        <v>13</v>
      </c>
      <c r="F3797">
        <v>3</v>
      </c>
      <c r="G3797" t="str">
        <f>VLOOKUP(D3797,Товары!A:I,3,0)</f>
        <v>Тумба с раковиной  напол. Леон Риф 700 солярис/белый риф 2 ящика с умыв. Слим</v>
      </c>
      <c r="H3797">
        <f>VLOOKUP(D3797,Товары!A:I,6,0)</f>
        <v>85</v>
      </c>
      <c r="I3797" t="str">
        <f>VLOOKUP(C3797,Магазины!A:C,3,0)</f>
        <v>Набережные Челны</v>
      </c>
      <c r="J3797">
        <f>VLOOKUP(D3797,Товары!A:I,4,0)</f>
        <v>26460</v>
      </c>
      <c r="K3797">
        <f t="shared" si="59"/>
        <v>79380</v>
      </c>
    </row>
    <row r="3798" spans="1:11" hidden="1" x14ac:dyDescent="0.25">
      <c r="A3798">
        <v>3797</v>
      </c>
      <c r="B3798" s="1">
        <v>45757</v>
      </c>
      <c r="C3798" t="s">
        <v>57</v>
      </c>
      <c r="D3798" t="s">
        <v>88</v>
      </c>
      <c r="E3798" t="s">
        <v>13</v>
      </c>
      <c r="F3798">
        <v>1</v>
      </c>
      <c r="G3798" t="str">
        <f>VLOOKUP(D3798,Товары!A:I,3,0)</f>
        <v>Тумба с раковиной  навес. Альба 800 антрацит 2 ящика с умыв. Слим</v>
      </c>
      <c r="H3798">
        <f>VLOOKUP(D3798,Товары!A:I,6,0)</f>
        <v>50</v>
      </c>
      <c r="I3798" t="str">
        <f>VLOOKUP(C3798,Магазины!A:C,3,0)</f>
        <v>Оренбург</v>
      </c>
      <c r="J3798">
        <f>VLOOKUP(D3798,Товары!A:I,4,0)</f>
        <v>26070</v>
      </c>
      <c r="K3798">
        <f t="shared" si="59"/>
        <v>26070</v>
      </c>
    </row>
    <row r="3799" spans="1:11" hidden="1" x14ac:dyDescent="0.25">
      <c r="A3799">
        <v>3798</v>
      </c>
      <c r="B3799" s="1">
        <v>45752</v>
      </c>
      <c r="C3799" t="s">
        <v>28</v>
      </c>
      <c r="D3799" t="s">
        <v>25</v>
      </c>
      <c r="E3799" t="s">
        <v>8</v>
      </c>
      <c r="F3799">
        <v>2</v>
      </c>
      <c r="G3799" t="str">
        <f>VLOOKUP(D3799,Товары!A:I,3,0)</f>
        <v>Пенал напол. Леон 400 оникс 2 двери + 1 ящик</v>
      </c>
      <c r="H3799">
        <f>VLOOKUP(D3799,Товары!A:I,6,0)</f>
        <v>190</v>
      </c>
      <c r="I3799" t="str">
        <f>VLOOKUP(C3799,Магазины!A:C,3,0)</f>
        <v>Набережные Челны</v>
      </c>
      <c r="J3799">
        <f>VLOOKUP(D3799,Товары!A:I,4,0)</f>
        <v>18450</v>
      </c>
      <c r="K3799">
        <f t="shared" si="59"/>
        <v>36900</v>
      </c>
    </row>
    <row r="3800" spans="1:11" hidden="1" x14ac:dyDescent="0.25">
      <c r="A3800">
        <v>3799</v>
      </c>
      <c r="B3800" s="1">
        <v>45757</v>
      </c>
      <c r="C3800" t="s">
        <v>43</v>
      </c>
      <c r="D3800" t="s">
        <v>24</v>
      </c>
      <c r="E3800" t="s">
        <v>13</v>
      </c>
      <c r="F3800">
        <v>1</v>
      </c>
      <c r="G3800" t="str">
        <f>VLOOKUP(D3800,Товары!A:I,3,0)</f>
        <v>Тумба с раковиной  напол. Леон 600 форест 2 ящика с умыв. Слим</v>
      </c>
      <c r="H3800">
        <f>VLOOKUP(D3800,Товары!A:I,6,0)</f>
        <v>80</v>
      </c>
      <c r="I3800" t="str">
        <f>VLOOKUP(C3800,Магазины!A:C,3,0)</f>
        <v>Набережные Челны</v>
      </c>
      <c r="J3800">
        <f>VLOOKUP(D3800,Товары!A:I,4,0)</f>
        <v>27150</v>
      </c>
      <c r="K3800">
        <f t="shared" si="59"/>
        <v>27150</v>
      </c>
    </row>
    <row r="3801" spans="1:11" hidden="1" x14ac:dyDescent="0.25">
      <c r="A3801">
        <v>3800</v>
      </c>
      <c r="B3801" s="1">
        <v>45748</v>
      </c>
      <c r="C3801" t="s">
        <v>26</v>
      </c>
      <c r="D3801" t="s">
        <v>44</v>
      </c>
      <c r="E3801" t="s">
        <v>13</v>
      </c>
      <c r="F3801">
        <v>2</v>
      </c>
      <c r="G3801" t="str">
        <f>VLOOKUP(D3801,Товары!A:I,3,0)</f>
        <v>Тумба с раковиной  навес. Кристалл 800 шато азур 2 ящика с умыв. Комфорт</v>
      </c>
      <c r="H3801">
        <f>VLOOKUP(D3801,Товары!A:I,6,0)</f>
        <v>55</v>
      </c>
      <c r="I3801" t="str">
        <f>VLOOKUP(C3801,Магазины!A:C,3,0)</f>
        <v>Оренбург</v>
      </c>
      <c r="J3801">
        <f>VLOOKUP(D3801,Товары!A:I,4,0)</f>
        <v>25080</v>
      </c>
      <c r="K3801">
        <f t="shared" si="59"/>
        <v>50160</v>
      </c>
    </row>
    <row r="3802" spans="1:11" hidden="1" x14ac:dyDescent="0.25">
      <c r="A3802">
        <v>3801</v>
      </c>
      <c r="B3802" s="1">
        <v>45749</v>
      </c>
      <c r="C3802" t="s">
        <v>28</v>
      </c>
      <c r="D3802" t="s">
        <v>62</v>
      </c>
      <c r="E3802" t="s">
        <v>8</v>
      </c>
      <c r="F3802">
        <v>2</v>
      </c>
      <c r="G3802" t="str">
        <f>VLOOKUP(D3802,Товары!A:I,3,0)</f>
        <v>Тумба с раковиной  напол. Альба 600 мята 2 ящика с умыв. Океан</v>
      </c>
      <c r="H3802">
        <f>VLOOKUP(D3802,Товары!A:I,6,0)</f>
        <v>80</v>
      </c>
      <c r="I3802" t="str">
        <f>VLOOKUP(C3802,Магазины!A:C,3,0)</f>
        <v>Набережные Челны</v>
      </c>
      <c r="J3802">
        <f>VLOOKUP(D3802,Товары!A:I,4,0)</f>
        <v>26370</v>
      </c>
      <c r="K3802">
        <f t="shared" si="59"/>
        <v>52740</v>
      </c>
    </row>
    <row r="3803" spans="1:11" hidden="1" x14ac:dyDescent="0.25">
      <c r="A3803">
        <v>3802</v>
      </c>
      <c r="B3803" s="1">
        <v>45756</v>
      </c>
      <c r="C3803" t="s">
        <v>18</v>
      </c>
      <c r="D3803" t="s">
        <v>74</v>
      </c>
      <c r="E3803" t="s">
        <v>8</v>
      </c>
      <c r="F3803">
        <v>2</v>
      </c>
      <c r="G3803" t="str">
        <f>VLOOKUP(D3803,Товары!A:I,3,0)</f>
        <v>Тумба с раковиной  напол. Альба 800 суфле 2 ящика с умыв. Слим</v>
      </c>
      <c r="H3803">
        <f>VLOOKUP(D3803,Товары!A:I,6,0)</f>
        <v>80</v>
      </c>
      <c r="I3803" t="str">
        <f>VLOOKUP(C3803,Магазины!A:C,3,0)</f>
        <v>Набережные Челны</v>
      </c>
      <c r="J3803">
        <f>VLOOKUP(D3803,Товары!A:I,4,0)</f>
        <v>29340</v>
      </c>
      <c r="K3803">
        <f t="shared" si="59"/>
        <v>58680</v>
      </c>
    </row>
    <row r="3804" spans="1:11" hidden="1" x14ac:dyDescent="0.25">
      <c r="A3804">
        <v>3803</v>
      </c>
      <c r="B3804" s="1">
        <v>45754</v>
      </c>
      <c r="C3804" t="s">
        <v>14</v>
      </c>
      <c r="D3804" t="s">
        <v>86</v>
      </c>
      <c r="E3804" t="s">
        <v>13</v>
      </c>
      <c r="F3804">
        <v>2</v>
      </c>
      <c r="G3804" t="str">
        <f>VLOOKUP(D3804,Товары!A:I,3,0)</f>
        <v>Комод Аква 50 напольный 1 ящик 2 двери белый</v>
      </c>
      <c r="H3804">
        <f>VLOOKUP(D3804,Товары!A:I,6,0)</f>
        <v>90</v>
      </c>
      <c r="I3804" t="str">
        <f>VLOOKUP(C3804,Магазины!A:C,3,0)</f>
        <v>Оренбург</v>
      </c>
      <c r="J3804">
        <f>VLOOKUP(D3804,Товары!A:I,4,0)</f>
        <v>7260</v>
      </c>
      <c r="K3804">
        <f t="shared" si="59"/>
        <v>14520</v>
      </c>
    </row>
    <row r="3805" spans="1:11" hidden="1" x14ac:dyDescent="0.25">
      <c r="A3805">
        <v>3804</v>
      </c>
      <c r="B3805" s="1">
        <v>45756</v>
      </c>
      <c r="C3805" t="s">
        <v>22</v>
      </c>
      <c r="D3805" t="s">
        <v>79</v>
      </c>
      <c r="E3805" t="s">
        <v>13</v>
      </c>
      <c r="F3805">
        <v>1</v>
      </c>
      <c r="G3805" t="str">
        <f>VLOOKUP(D3805,Товары!A:I,3,0)</f>
        <v>Зеркальный шкаф Альба 70 со светильником правый цвет мята</v>
      </c>
      <c r="H3805">
        <f>VLOOKUP(D3805,Товары!A:I,6,0)</f>
        <v>75</v>
      </c>
      <c r="I3805" t="str">
        <f>VLOOKUP(C3805,Магазины!A:C,3,0)</f>
        <v>Кемерово</v>
      </c>
      <c r="J3805">
        <f>VLOOKUP(D3805,Товары!A:I,4,0)</f>
        <v>9615</v>
      </c>
      <c r="K3805">
        <f t="shared" si="59"/>
        <v>9615</v>
      </c>
    </row>
    <row r="3806" spans="1:11" hidden="1" x14ac:dyDescent="0.25">
      <c r="A3806">
        <v>3805</v>
      </c>
      <c r="B3806" s="1">
        <v>45751</v>
      </c>
      <c r="C3806" t="s">
        <v>43</v>
      </c>
      <c r="D3806" t="s">
        <v>76</v>
      </c>
      <c r="E3806" t="s">
        <v>13</v>
      </c>
      <c r="F3806">
        <v>1</v>
      </c>
      <c r="G3806" t="str">
        <f>VLOOKUP(D3806,Товары!A:I,3,0)</f>
        <v>Тумба с раковиной  напол. Леон 600 оникс 2 ящика с умыв. Слим</v>
      </c>
      <c r="H3806">
        <f>VLOOKUP(D3806,Товары!A:I,6,0)</f>
        <v>80</v>
      </c>
      <c r="I3806" t="str">
        <f>VLOOKUP(C3806,Магазины!A:C,3,0)</f>
        <v>Набережные Челны</v>
      </c>
      <c r="J3806">
        <f>VLOOKUP(D3806,Товары!A:I,4,0)</f>
        <v>25860</v>
      </c>
      <c r="K3806">
        <f t="shared" si="59"/>
        <v>25860</v>
      </c>
    </row>
    <row r="3807" spans="1:11" hidden="1" x14ac:dyDescent="0.25">
      <c r="A3807">
        <v>3806</v>
      </c>
      <c r="B3807" s="1">
        <v>45756</v>
      </c>
      <c r="C3807" t="s">
        <v>57</v>
      </c>
      <c r="D3807" t="s">
        <v>117</v>
      </c>
      <c r="E3807" t="s">
        <v>8</v>
      </c>
      <c r="F3807">
        <v>1</v>
      </c>
      <c r="G3807" t="str">
        <f>VLOOKUP(D3807,Товары!A:I,3,0)</f>
        <v>Тумба с раковиной  навес. Альба 700 антрацит 2 ящика с умыв. Слим</v>
      </c>
      <c r="H3807">
        <f>VLOOKUP(D3807,Товары!A:I,6,0)</f>
        <v>60</v>
      </c>
      <c r="I3807" t="str">
        <f>VLOOKUP(C3807,Магазины!A:C,3,0)</f>
        <v>Оренбург</v>
      </c>
      <c r="J3807">
        <f>VLOOKUP(D3807,Товары!A:I,4,0)</f>
        <v>25095</v>
      </c>
      <c r="K3807">
        <f t="shared" si="59"/>
        <v>25095</v>
      </c>
    </row>
    <row r="3808" spans="1:11" hidden="1" x14ac:dyDescent="0.25">
      <c r="A3808">
        <v>3807</v>
      </c>
      <c r="B3808" s="1">
        <v>45753</v>
      </c>
      <c r="C3808" t="s">
        <v>33</v>
      </c>
      <c r="D3808" t="s">
        <v>72</v>
      </c>
      <c r="E3808" t="s">
        <v>13</v>
      </c>
      <c r="F3808">
        <v>2</v>
      </c>
      <c r="G3808" t="str">
        <f>VLOOKUP(D3808,Товары!A:I,3,0)</f>
        <v>Тумба с раковиной  напол. Сохо 600 белый 2 ящика с умыв. Океан</v>
      </c>
      <c r="H3808">
        <f>VLOOKUP(D3808,Товары!A:I,6,0)</f>
        <v>85</v>
      </c>
      <c r="I3808" t="str">
        <f>VLOOKUP(C3808,Магазины!A:C,3,0)</f>
        <v>Набережные Челны</v>
      </c>
      <c r="J3808">
        <f>VLOOKUP(D3808,Товары!A:I,4,0)</f>
        <v>16140</v>
      </c>
      <c r="K3808">
        <f t="shared" si="59"/>
        <v>32280</v>
      </c>
    </row>
    <row r="3809" spans="1:11" hidden="1" x14ac:dyDescent="0.25">
      <c r="A3809">
        <v>3808</v>
      </c>
      <c r="B3809" s="1">
        <v>45755</v>
      </c>
      <c r="C3809" t="s">
        <v>54</v>
      </c>
      <c r="D3809" t="s">
        <v>119</v>
      </c>
      <c r="E3809" t="s">
        <v>8</v>
      </c>
      <c r="F3809">
        <v>3</v>
      </c>
      <c r="G3809" t="str">
        <f>VLOOKUP(D3809,Товары!A:I,3,0)</f>
        <v>Пенал навес./напол. Рица 350 cерый/керамика 2 двери</v>
      </c>
      <c r="H3809">
        <f>VLOOKUP(D3809,Товары!A:I,6,0)</f>
        <v>160</v>
      </c>
      <c r="I3809" t="str">
        <f>VLOOKUP(C3809,Магазины!A:C,3,0)</f>
        <v>Ставрополь</v>
      </c>
      <c r="J3809">
        <f>VLOOKUP(D3809,Товары!A:I,4,0)</f>
        <v>11250</v>
      </c>
      <c r="K3809">
        <f t="shared" si="59"/>
        <v>33750</v>
      </c>
    </row>
    <row r="3810" spans="1:11" hidden="1" x14ac:dyDescent="0.25">
      <c r="A3810">
        <v>3809</v>
      </c>
      <c r="B3810" s="1">
        <v>45755</v>
      </c>
      <c r="C3810" t="s">
        <v>92</v>
      </c>
      <c r="D3810" t="s">
        <v>79</v>
      </c>
      <c r="E3810" t="s">
        <v>8</v>
      </c>
      <c r="F3810">
        <v>2</v>
      </c>
      <c r="G3810" t="str">
        <f>VLOOKUP(D3810,Товары!A:I,3,0)</f>
        <v>Зеркальный шкаф Альба 70 со светильником правый цвет мята</v>
      </c>
      <c r="H3810">
        <f>VLOOKUP(D3810,Товары!A:I,6,0)</f>
        <v>75</v>
      </c>
      <c r="I3810" t="str">
        <f>VLOOKUP(C3810,Магазины!A:C,3,0)</f>
        <v>Кемерово</v>
      </c>
      <c r="J3810">
        <f>VLOOKUP(D3810,Товары!A:I,4,0)</f>
        <v>9615</v>
      </c>
      <c r="K3810">
        <f t="shared" si="59"/>
        <v>19230</v>
      </c>
    </row>
    <row r="3811" spans="1:11" hidden="1" x14ac:dyDescent="0.25">
      <c r="A3811">
        <v>3810</v>
      </c>
      <c r="B3811" s="1">
        <v>45757</v>
      </c>
      <c r="C3811" t="s">
        <v>54</v>
      </c>
      <c r="D3811" t="s">
        <v>81</v>
      </c>
      <c r="E3811" t="s">
        <v>13</v>
      </c>
      <c r="F3811">
        <v>2</v>
      </c>
      <c r="G3811" t="str">
        <f>VLOOKUP(D3811,Товары!A:I,3,0)</f>
        <v>Тумба с раковиной  навес. Рица 600 cерый/керамика 1 ящик + ниша 1 с умыв. Океан</v>
      </c>
      <c r="H3811">
        <f>VLOOKUP(D3811,Товары!A:I,6,0)</f>
        <v>60</v>
      </c>
      <c r="I3811" t="str">
        <f>VLOOKUP(C3811,Магазины!A:C,3,0)</f>
        <v>Ставрополь</v>
      </c>
      <c r="J3811">
        <f>VLOOKUP(D3811,Товары!A:I,4,0)</f>
        <v>18900</v>
      </c>
      <c r="K3811">
        <f t="shared" si="59"/>
        <v>37800</v>
      </c>
    </row>
    <row r="3812" spans="1:11" hidden="1" x14ac:dyDescent="0.25">
      <c r="A3812">
        <v>3811</v>
      </c>
      <c r="B3812" s="1">
        <v>45757</v>
      </c>
      <c r="C3812" t="s">
        <v>18</v>
      </c>
      <c r="D3812" t="s">
        <v>102</v>
      </c>
      <c r="E3812" t="s">
        <v>13</v>
      </c>
      <c r="F3812">
        <v>1</v>
      </c>
      <c r="G3812" t="str">
        <f>VLOOKUP(D3812,Товары!A:I,3,0)</f>
        <v>Тумба с раковиной  напол. Леон Риф 1000 солярис/белый риф 2 ящика с умыв. Слим</v>
      </c>
      <c r="H3812">
        <f>VLOOKUP(D3812,Товары!A:I,6,0)</f>
        <v>85</v>
      </c>
      <c r="I3812" t="str">
        <f>VLOOKUP(C3812,Магазины!A:C,3,0)</f>
        <v>Набережные Челны</v>
      </c>
      <c r="J3812">
        <f>VLOOKUP(D3812,Товары!A:I,4,0)</f>
        <v>32085</v>
      </c>
      <c r="K3812">
        <f t="shared" si="59"/>
        <v>32085</v>
      </c>
    </row>
    <row r="3813" spans="1:11" hidden="1" x14ac:dyDescent="0.25">
      <c r="A3813">
        <v>3812</v>
      </c>
      <c r="B3813" s="1">
        <v>45748</v>
      </c>
      <c r="C3813" t="s">
        <v>30</v>
      </c>
      <c r="D3813" t="s">
        <v>66</v>
      </c>
      <c r="E3813" t="s">
        <v>8</v>
      </c>
      <c r="F3813">
        <v>1</v>
      </c>
      <c r="G3813" t="str">
        <f>VLOOKUP(D3813,Товары!A:I,3,0)</f>
        <v>Тумба с раковиной  навес. Альба 800 мята 2 ящика с умыв. Слим</v>
      </c>
      <c r="H3813">
        <f>VLOOKUP(D3813,Товары!A:I,6,0)</f>
        <v>50</v>
      </c>
      <c r="I3813" t="str">
        <f>VLOOKUP(C3813,Магазины!A:C,3,0)</f>
        <v>Кемерово</v>
      </c>
      <c r="J3813">
        <f>VLOOKUP(D3813,Товары!A:I,4,0)</f>
        <v>26070</v>
      </c>
      <c r="K3813">
        <f t="shared" si="59"/>
        <v>26070</v>
      </c>
    </row>
    <row r="3814" spans="1:11" hidden="1" x14ac:dyDescent="0.25">
      <c r="A3814">
        <v>3813</v>
      </c>
      <c r="B3814" s="1">
        <v>45749</v>
      </c>
      <c r="C3814" t="s">
        <v>20</v>
      </c>
      <c r="D3814" t="s">
        <v>34</v>
      </c>
      <c r="E3814" t="s">
        <v>8</v>
      </c>
      <c r="F3814">
        <v>2</v>
      </c>
      <c r="G3814" t="str">
        <f>VLOOKUP(D3814,Товары!A:I,3,0)</f>
        <v>Тумба с раковиной  навес. Леон 700 форест 2 ящика с умыв. Слим</v>
      </c>
      <c r="H3814">
        <f>VLOOKUP(D3814,Товары!A:I,6,0)</f>
        <v>60</v>
      </c>
      <c r="I3814" t="str">
        <f>VLOOKUP(C3814,Магазины!A:C,3,0)</f>
        <v>Оренбург</v>
      </c>
      <c r="J3814">
        <f>VLOOKUP(D3814,Товары!A:I,4,0)</f>
        <v>26220</v>
      </c>
      <c r="K3814">
        <f t="shared" si="59"/>
        <v>52440</v>
      </c>
    </row>
    <row r="3815" spans="1:11" hidden="1" x14ac:dyDescent="0.25">
      <c r="A3815">
        <v>3814</v>
      </c>
      <c r="B3815" s="1">
        <v>45754</v>
      </c>
      <c r="C3815" t="s">
        <v>30</v>
      </c>
      <c r="D3815" t="s">
        <v>112</v>
      </c>
      <c r="E3815" t="s">
        <v>13</v>
      </c>
      <c r="F3815">
        <v>1</v>
      </c>
      <c r="G3815" t="str">
        <f>VLOOKUP(D3815,Товары!A:I,3,0)</f>
        <v>Тумба с раковиной  напол. Аква 560 белый 2 двери с умыв. Уют</v>
      </c>
      <c r="H3815">
        <f>VLOOKUP(D3815,Товары!A:I,6,0)</f>
        <v>85</v>
      </c>
      <c r="I3815" t="str">
        <f>VLOOKUP(C3815,Магазины!A:C,3,0)</f>
        <v>Кемерово</v>
      </c>
      <c r="J3815">
        <f>VLOOKUP(D3815,Товары!A:I,4,0)</f>
        <v>9330</v>
      </c>
      <c r="K3815">
        <f t="shared" si="59"/>
        <v>9330</v>
      </c>
    </row>
    <row r="3816" spans="1:11" hidden="1" x14ac:dyDescent="0.25">
      <c r="A3816">
        <v>3815</v>
      </c>
      <c r="B3816" s="1">
        <v>45748</v>
      </c>
      <c r="C3816" t="s">
        <v>9</v>
      </c>
      <c r="D3816" t="s">
        <v>115</v>
      </c>
      <c r="E3816" t="s">
        <v>8</v>
      </c>
      <c r="F3816">
        <v>2</v>
      </c>
      <c r="G3816" t="str">
        <f>VLOOKUP(D3816,Товары!A:I,3,0)</f>
        <v>Тумба под стиральную машину Куба Риф 57 напольная 2 ящика под ст/маш, без умывальника /под Marshall 120 Белый</v>
      </c>
      <c r="H3816">
        <f>VLOOKUP(D3816,Товары!A:I,6,0)</f>
        <v>85</v>
      </c>
      <c r="I3816" t="str">
        <f>VLOOKUP(C3816,Магазины!A:C,3,0)</f>
        <v>Кемерово</v>
      </c>
      <c r="J3816">
        <f>VLOOKUP(D3816,Товары!A:I,4,0)</f>
        <v>10530</v>
      </c>
      <c r="K3816">
        <f t="shared" si="59"/>
        <v>21060</v>
      </c>
    </row>
    <row r="3817" spans="1:11" hidden="1" x14ac:dyDescent="0.25">
      <c r="A3817">
        <v>3816</v>
      </c>
      <c r="B3817" s="1">
        <v>45755</v>
      </c>
      <c r="C3817" t="s">
        <v>22</v>
      </c>
      <c r="D3817" t="s">
        <v>27</v>
      </c>
      <c r="E3817" t="s">
        <v>13</v>
      </c>
      <c r="F3817">
        <v>2</v>
      </c>
      <c r="G3817" t="str">
        <f>VLOOKUP(D3817,Товары!A:I,3,0)</f>
        <v>Тумба с раковиной  навес. Виктория 800 белый 2 ящика с умыв. Слим</v>
      </c>
      <c r="H3817">
        <f>VLOOKUP(D3817,Товары!A:I,6,0)</f>
        <v>60</v>
      </c>
      <c r="I3817" t="str">
        <f>VLOOKUP(C3817,Магазины!A:C,3,0)</f>
        <v>Кемерово</v>
      </c>
      <c r="J3817">
        <f>VLOOKUP(D3817,Товары!A:I,4,0)</f>
        <v>25290</v>
      </c>
      <c r="K3817">
        <f t="shared" si="59"/>
        <v>50580</v>
      </c>
    </row>
    <row r="3818" spans="1:11" hidden="1" x14ac:dyDescent="0.25">
      <c r="A3818">
        <v>3817</v>
      </c>
      <c r="B3818" s="1">
        <v>45750</v>
      </c>
      <c r="C3818" t="s">
        <v>22</v>
      </c>
      <c r="D3818" t="s">
        <v>44</v>
      </c>
      <c r="E3818" t="s">
        <v>8</v>
      </c>
      <c r="F3818">
        <v>2</v>
      </c>
      <c r="G3818" t="str">
        <f>VLOOKUP(D3818,Товары!A:I,3,0)</f>
        <v>Тумба с раковиной  навес. Кристалл 800 шато азур 2 ящика с умыв. Комфорт</v>
      </c>
      <c r="H3818">
        <f>VLOOKUP(D3818,Товары!A:I,6,0)</f>
        <v>55</v>
      </c>
      <c r="I3818" t="str">
        <f>VLOOKUP(C3818,Магазины!A:C,3,0)</f>
        <v>Кемерово</v>
      </c>
      <c r="J3818">
        <f>VLOOKUP(D3818,Товары!A:I,4,0)</f>
        <v>25080</v>
      </c>
      <c r="K3818">
        <f t="shared" si="59"/>
        <v>50160</v>
      </c>
    </row>
    <row r="3819" spans="1:11" hidden="1" x14ac:dyDescent="0.25">
      <c r="A3819">
        <v>3818</v>
      </c>
      <c r="B3819" s="1">
        <v>45755</v>
      </c>
      <c r="C3819" t="s">
        <v>41</v>
      </c>
      <c r="D3819" t="s">
        <v>93</v>
      </c>
      <c r="E3819" t="s">
        <v>8</v>
      </c>
      <c r="F3819">
        <v>1</v>
      </c>
      <c r="G3819" t="str">
        <f>VLOOKUP(D3819,Товары!A:I,3,0)</f>
        <v>Тумба с раковиной  напол. Леон Риф 800 солярис/белый риф 2 ящика с умыв. Слим</v>
      </c>
      <c r="H3819">
        <f>VLOOKUP(D3819,Товары!A:I,6,0)</f>
        <v>80</v>
      </c>
      <c r="I3819" t="str">
        <f>VLOOKUP(C3819,Магазины!A:C,3,0)</f>
        <v>Ставрополь</v>
      </c>
      <c r="J3819">
        <f>VLOOKUP(D3819,Товары!A:I,4,0)</f>
        <v>29340</v>
      </c>
      <c r="K3819">
        <f t="shared" si="59"/>
        <v>29340</v>
      </c>
    </row>
    <row r="3820" spans="1:11" hidden="1" x14ac:dyDescent="0.25">
      <c r="A3820">
        <v>3819</v>
      </c>
      <c r="B3820" s="1">
        <v>45756</v>
      </c>
      <c r="C3820" t="s">
        <v>111</v>
      </c>
      <c r="D3820" t="s">
        <v>79</v>
      </c>
      <c r="E3820" t="s">
        <v>13</v>
      </c>
      <c r="F3820">
        <v>1</v>
      </c>
      <c r="G3820" t="str">
        <f>VLOOKUP(D3820,Товары!A:I,3,0)</f>
        <v>Зеркальный шкаф Альба 70 со светильником правый цвет мята</v>
      </c>
      <c r="H3820">
        <f>VLOOKUP(D3820,Товары!A:I,6,0)</f>
        <v>75</v>
      </c>
      <c r="I3820" t="str">
        <f>VLOOKUP(C3820,Магазины!A:C,3,0)</f>
        <v>Набережные Челны</v>
      </c>
      <c r="J3820">
        <f>VLOOKUP(D3820,Товары!A:I,4,0)</f>
        <v>9615</v>
      </c>
      <c r="K3820">
        <f t="shared" si="59"/>
        <v>9615</v>
      </c>
    </row>
    <row r="3821" spans="1:11" hidden="1" x14ac:dyDescent="0.25">
      <c r="A3821">
        <v>3820</v>
      </c>
      <c r="B3821" s="1">
        <v>45751</v>
      </c>
      <c r="C3821" t="s">
        <v>35</v>
      </c>
      <c r="D3821" t="s">
        <v>106</v>
      </c>
      <c r="E3821" t="s">
        <v>8</v>
      </c>
      <c r="F3821">
        <v>2</v>
      </c>
      <c r="G3821" t="str">
        <f>VLOOKUP(D3821,Товары!A:I,3,0)</f>
        <v>Тумба с раковиной  навес. Кристалл 700 шато азур 2 ящика с умыв. Слим</v>
      </c>
      <c r="H3821">
        <f>VLOOKUP(D3821,Товары!A:I,6,0)</f>
        <v>60</v>
      </c>
      <c r="I3821" t="str">
        <f>VLOOKUP(C3821,Магазины!A:C,3,0)</f>
        <v>Набережные Челны</v>
      </c>
      <c r="J3821">
        <f>VLOOKUP(D3821,Товары!A:I,4,0)</f>
        <v>24150</v>
      </c>
      <c r="K3821">
        <f t="shared" si="59"/>
        <v>48300</v>
      </c>
    </row>
    <row r="3822" spans="1:11" hidden="1" x14ac:dyDescent="0.25">
      <c r="A3822">
        <v>3821</v>
      </c>
      <c r="B3822" s="1">
        <v>45756</v>
      </c>
      <c r="C3822" t="s">
        <v>54</v>
      </c>
      <c r="D3822" t="s">
        <v>112</v>
      </c>
      <c r="E3822" t="s">
        <v>13</v>
      </c>
      <c r="F3822">
        <v>3</v>
      </c>
      <c r="G3822" t="str">
        <f>VLOOKUP(D3822,Товары!A:I,3,0)</f>
        <v>Тумба с раковиной  напол. Аква 560 белый 2 двери с умыв. Уют</v>
      </c>
      <c r="H3822">
        <f>VLOOKUP(D3822,Товары!A:I,6,0)</f>
        <v>85</v>
      </c>
      <c r="I3822" t="str">
        <f>VLOOKUP(C3822,Магазины!A:C,3,0)</f>
        <v>Ставрополь</v>
      </c>
      <c r="J3822">
        <f>VLOOKUP(D3822,Товары!A:I,4,0)</f>
        <v>9330</v>
      </c>
      <c r="K3822">
        <f t="shared" si="59"/>
        <v>27990</v>
      </c>
    </row>
    <row r="3823" spans="1:11" hidden="1" x14ac:dyDescent="0.25">
      <c r="A3823">
        <v>3822</v>
      </c>
      <c r="B3823" s="1">
        <v>45756</v>
      </c>
      <c r="C3823" t="s">
        <v>26</v>
      </c>
      <c r="D3823" t="s">
        <v>120</v>
      </c>
      <c r="E3823" t="s">
        <v>13</v>
      </c>
      <c r="F3823">
        <v>1</v>
      </c>
      <c r="G3823" t="str">
        <f>VLOOKUP(D3823,Товары!A:I,3,0)</f>
        <v>Зеркальный шкаф Альба 60 со светильником правый цвет антрацит</v>
      </c>
      <c r="H3823">
        <f>VLOOKUP(D3823,Товары!A:I,6,0)</f>
        <v>75</v>
      </c>
      <c r="I3823" t="str">
        <f>VLOOKUP(C3823,Магазины!A:C,3,0)</f>
        <v>Оренбург</v>
      </c>
      <c r="J3823">
        <f>VLOOKUP(D3823,Товары!A:I,4,0)</f>
        <v>8910</v>
      </c>
      <c r="K3823">
        <f t="shared" si="59"/>
        <v>8910</v>
      </c>
    </row>
    <row r="3824" spans="1:11" hidden="1" x14ac:dyDescent="0.25">
      <c r="A3824">
        <v>3823</v>
      </c>
      <c r="B3824" s="1">
        <v>45752</v>
      </c>
      <c r="C3824" t="s">
        <v>54</v>
      </c>
      <c r="D3824" t="s">
        <v>116</v>
      </c>
      <c r="E3824" t="s">
        <v>13</v>
      </c>
      <c r="F3824">
        <v>2</v>
      </c>
      <c r="G3824" t="str">
        <f>VLOOKUP(D3824,Товары!A:I,3,0)</f>
        <v>Зеркало Нева 60 дуб/белый со светильником</v>
      </c>
      <c r="H3824">
        <f>VLOOKUP(D3824,Товары!A:I,6,0)</f>
        <v>80</v>
      </c>
      <c r="I3824" t="str">
        <f>VLOOKUP(C3824,Магазины!A:C,3,0)</f>
        <v>Ставрополь</v>
      </c>
      <c r="J3824">
        <f>VLOOKUP(D3824,Товары!A:I,4,0)</f>
        <v>5100</v>
      </c>
      <c r="K3824">
        <f t="shared" si="59"/>
        <v>10200</v>
      </c>
    </row>
    <row r="3825" spans="1:11" hidden="1" x14ac:dyDescent="0.25">
      <c r="A3825">
        <v>3824</v>
      </c>
      <c r="B3825" s="1">
        <v>45752</v>
      </c>
      <c r="C3825" t="s">
        <v>11</v>
      </c>
      <c r="D3825" t="s">
        <v>106</v>
      </c>
      <c r="E3825" t="s">
        <v>8</v>
      </c>
      <c r="F3825">
        <v>1</v>
      </c>
      <c r="G3825" t="str">
        <f>VLOOKUP(D3825,Товары!A:I,3,0)</f>
        <v>Тумба с раковиной  навес. Кристалл 700 шато азур 2 ящика с умыв. Слим</v>
      </c>
      <c r="H3825">
        <f>VLOOKUP(D3825,Товары!A:I,6,0)</f>
        <v>60</v>
      </c>
      <c r="I3825" t="str">
        <f>VLOOKUP(C3825,Магазины!A:C,3,0)</f>
        <v>Кемерово</v>
      </c>
      <c r="J3825">
        <f>VLOOKUP(D3825,Товары!A:I,4,0)</f>
        <v>24150</v>
      </c>
      <c r="K3825">
        <f t="shared" si="59"/>
        <v>24150</v>
      </c>
    </row>
    <row r="3826" spans="1:11" hidden="1" x14ac:dyDescent="0.25">
      <c r="A3826">
        <v>3825</v>
      </c>
      <c r="B3826" s="1">
        <v>45748</v>
      </c>
      <c r="C3826" t="s">
        <v>57</v>
      </c>
      <c r="D3826" t="s">
        <v>102</v>
      </c>
      <c r="E3826" t="s">
        <v>13</v>
      </c>
      <c r="F3826">
        <v>2</v>
      </c>
      <c r="G3826" t="str">
        <f>VLOOKUP(D3826,Товары!A:I,3,0)</f>
        <v>Тумба с раковиной  напол. Леон Риф 1000 солярис/белый риф 2 ящика с умыв. Слим</v>
      </c>
      <c r="H3826">
        <f>VLOOKUP(D3826,Товары!A:I,6,0)</f>
        <v>85</v>
      </c>
      <c r="I3826" t="str">
        <f>VLOOKUP(C3826,Магазины!A:C,3,0)</f>
        <v>Оренбург</v>
      </c>
      <c r="J3826">
        <f>VLOOKUP(D3826,Товары!A:I,4,0)</f>
        <v>32085</v>
      </c>
      <c r="K3826">
        <f t="shared" si="59"/>
        <v>64170</v>
      </c>
    </row>
    <row r="3827" spans="1:11" hidden="1" x14ac:dyDescent="0.25">
      <c r="A3827">
        <v>3826</v>
      </c>
      <c r="B3827" s="1">
        <v>45757</v>
      </c>
      <c r="C3827" t="s">
        <v>20</v>
      </c>
      <c r="D3827" t="s">
        <v>17</v>
      </c>
      <c r="E3827" t="s">
        <v>13</v>
      </c>
      <c r="F3827">
        <v>1</v>
      </c>
      <c r="G3827" t="str">
        <f>VLOOKUP(D3827,Товары!A:I,3,0)</f>
        <v>Тумба с раковиной  навес. Альба 800 антрацит 1 ящик с умыв. Слим</v>
      </c>
      <c r="H3827">
        <f>VLOOKUP(D3827,Товары!A:I,6,0)</f>
        <v>45</v>
      </c>
      <c r="I3827" t="str">
        <f>VLOOKUP(C3827,Магазины!A:C,3,0)</f>
        <v>Оренбург</v>
      </c>
      <c r="J3827">
        <f>VLOOKUP(D3827,Товары!A:I,4,0)</f>
        <v>21630</v>
      </c>
      <c r="K3827">
        <f t="shared" si="59"/>
        <v>21630</v>
      </c>
    </row>
    <row r="3828" spans="1:11" hidden="1" x14ac:dyDescent="0.25">
      <c r="A3828">
        <v>3827</v>
      </c>
      <c r="B3828" s="1">
        <v>45751</v>
      </c>
      <c r="C3828" t="s">
        <v>35</v>
      </c>
      <c r="D3828" t="s">
        <v>68</v>
      </c>
      <c r="E3828" t="s">
        <v>13</v>
      </c>
      <c r="F3828">
        <v>2</v>
      </c>
      <c r="G3828" t="str">
        <f>VLOOKUP(D3828,Товары!A:I,3,0)</f>
        <v>Тумба с раковиной  навес. Альба 600 антрацит 1 ящик с умыв. Океан</v>
      </c>
      <c r="H3828">
        <f>VLOOKUP(D3828,Товары!A:I,6,0)</f>
        <v>85</v>
      </c>
      <c r="I3828" t="str">
        <f>VLOOKUP(C3828,Магазины!A:C,3,0)</f>
        <v>Набережные Челны</v>
      </c>
      <c r="J3828">
        <f>VLOOKUP(D3828,Товары!A:I,4,0)</f>
        <v>17625</v>
      </c>
      <c r="K3828">
        <f t="shared" si="59"/>
        <v>35250</v>
      </c>
    </row>
    <row r="3829" spans="1:11" hidden="1" x14ac:dyDescent="0.25">
      <c r="A3829">
        <v>3828</v>
      </c>
      <c r="B3829" s="1">
        <v>45756</v>
      </c>
      <c r="C3829" t="s">
        <v>18</v>
      </c>
      <c r="D3829" t="s">
        <v>55</v>
      </c>
      <c r="E3829" t="s">
        <v>13</v>
      </c>
      <c r="F3829">
        <v>1</v>
      </c>
      <c r="G3829" t="str">
        <f>VLOOKUP(D3829,Товары!A:I,3,0)</f>
        <v>Тумба с раковиной  напол. Рица 600 cерый/керамика 2 ящика с умыв. Океан</v>
      </c>
      <c r="H3829">
        <f>VLOOKUP(D3829,Товары!A:I,6,0)</f>
        <v>80</v>
      </c>
      <c r="I3829" t="str">
        <f>VLOOKUP(C3829,Магазины!A:C,3,0)</f>
        <v>Набережные Челны</v>
      </c>
      <c r="J3829">
        <f>VLOOKUP(D3829,Товары!A:I,4,0)</f>
        <v>25560</v>
      </c>
      <c r="K3829">
        <f t="shared" si="59"/>
        <v>25560</v>
      </c>
    </row>
    <row r="3830" spans="1:11" hidden="1" x14ac:dyDescent="0.25">
      <c r="A3830">
        <v>3829</v>
      </c>
      <c r="B3830" s="1">
        <v>45757</v>
      </c>
      <c r="C3830" t="s">
        <v>9</v>
      </c>
      <c r="D3830" t="s">
        <v>105</v>
      </c>
      <c r="E3830" t="s">
        <v>13</v>
      </c>
      <c r="F3830">
        <v>1</v>
      </c>
      <c r="G3830" t="str">
        <f>VLOOKUP(D3830,Товары!A:I,3,0)</f>
        <v>Тумба с раковиной  напол. Нева 600 белый 2 двери + 1 ящик с умыв. Como</v>
      </c>
      <c r="H3830">
        <f>VLOOKUP(D3830,Товары!A:I,6,0)</f>
        <v>80</v>
      </c>
      <c r="I3830" t="str">
        <f>VLOOKUP(C3830,Магазины!A:C,3,0)</f>
        <v>Кемерово</v>
      </c>
      <c r="J3830">
        <f>VLOOKUP(D3830,Товары!A:I,4,0)</f>
        <v>13470</v>
      </c>
      <c r="K3830">
        <f t="shared" si="59"/>
        <v>13470</v>
      </c>
    </row>
    <row r="3831" spans="1:11" hidden="1" x14ac:dyDescent="0.25">
      <c r="A3831">
        <v>3830</v>
      </c>
      <c r="B3831" s="1">
        <v>45749</v>
      </c>
      <c r="C3831" t="s">
        <v>6</v>
      </c>
      <c r="D3831" t="s">
        <v>120</v>
      </c>
      <c r="E3831" t="s">
        <v>13</v>
      </c>
      <c r="F3831">
        <v>3</v>
      </c>
      <c r="G3831" t="str">
        <f>VLOOKUP(D3831,Товары!A:I,3,0)</f>
        <v>Зеркальный шкаф Альба 60 со светильником правый цвет антрацит</v>
      </c>
      <c r="H3831">
        <f>VLOOKUP(D3831,Товары!A:I,6,0)</f>
        <v>75</v>
      </c>
      <c r="I3831" t="str">
        <f>VLOOKUP(C3831,Магазины!A:C,3,0)</f>
        <v>Оренбург</v>
      </c>
      <c r="J3831">
        <f>VLOOKUP(D3831,Товары!A:I,4,0)</f>
        <v>8910</v>
      </c>
      <c r="K3831">
        <f t="shared" si="59"/>
        <v>26730</v>
      </c>
    </row>
    <row r="3832" spans="1:11" hidden="1" x14ac:dyDescent="0.25">
      <c r="A3832">
        <v>3831</v>
      </c>
      <c r="B3832" s="1">
        <v>45755</v>
      </c>
      <c r="C3832" t="s">
        <v>111</v>
      </c>
      <c r="D3832" t="s">
        <v>61</v>
      </c>
      <c r="E3832" t="s">
        <v>8</v>
      </c>
      <c r="F3832">
        <v>2</v>
      </c>
      <c r="G3832" t="str">
        <f>VLOOKUP(D3832,Товары!A:I,3,0)</f>
        <v>Тумба под стиральную машину Леон Риф 57 напольная 2 ящика под ст/маш, без умывальника /под Marshall 120 Солярис/Белый Риф</v>
      </c>
      <c r="H3832">
        <f>VLOOKUP(D3832,Товары!A:I,6,0)</f>
        <v>85</v>
      </c>
      <c r="I3832" t="str">
        <f>VLOOKUP(C3832,Магазины!A:C,3,0)</f>
        <v>Набережные Челны</v>
      </c>
      <c r="J3832">
        <f>VLOOKUP(D3832,Товары!A:I,4,0)</f>
        <v>17430</v>
      </c>
      <c r="K3832">
        <f t="shared" si="59"/>
        <v>34860</v>
      </c>
    </row>
    <row r="3833" spans="1:11" hidden="1" x14ac:dyDescent="0.25">
      <c r="A3833">
        <v>3832</v>
      </c>
      <c r="B3833" s="1">
        <v>45754</v>
      </c>
      <c r="C3833" t="s">
        <v>103</v>
      </c>
      <c r="D3833" t="s">
        <v>78</v>
      </c>
      <c r="E3833" t="s">
        <v>8</v>
      </c>
      <c r="F3833">
        <v>1</v>
      </c>
      <c r="G3833" t="str">
        <f>VLOOKUP(D3833,Товары!A:I,3,0)</f>
        <v>Зеркальный шкаф Кристалл 70 со светильником правый, ручка кнопка дуб цвет Шато Азур</v>
      </c>
      <c r="H3833">
        <f>VLOOKUP(D3833,Товары!A:I,6,0)</f>
        <v>75</v>
      </c>
      <c r="I3833" t="str">
        <f>VLOOKUP(C3833,Магазины!A:C,3,0)</f>
        <v>Ставрополь</v>
      </c>
      <c r="J3833">
        <f>VLOOKUP(D3833,Товары!A:I,4,0)</f>
        <v>9615</v>
      </c>
      <c r="K3833">
        <f t="shared" si="59"/>
        <v>9615</v>
      </c>
    </row>
    <row r="3834" spans="1:11" hidden="1" x14ac:dyDescent="0.25">
      <c r="A3834">
        <v>3833</v>
      </c>
      <c r="B3834" s="1">
        <v>45749</v>
      </c>
      <c r="C3834" t="s">
        <v>6</v>
      </c>
      <c r="D3834" t="s">
        <v>127</v>
      </c>
      <c r="E3834" t="s">
        <v>8</v>
      </c>
      <c r="F3834">
        <v>2</v>
      </c>
      <c r="G3834" t="str">
        <f>VLOOKUP(D3834,Товары!A:I,3,0)</f>
        <v>Тумба с раковиной  навес. Альба 700 мята 1 ящик с умыв. Слим</v>
      </c>
      <c r="H3834">
        <f>VLOOKUP(D3834,Товары!A:I,6,0)</f>
        <v>45</v>
      </c>
      <c r="I3834" t="str">
        <f>VLOOKUP(C3834,Магазины!A:C,3,0)</f>
        <v>Оренбург</v>
      </c>
      <c r="J3834">
        <f>VLOOKUP(D3834,Товары!A:I,4,0)</f>
        <v>20130</v>
      </c>
      <c r="K3834">
        <f t="shared" si="59"/>
        <v>40260</v>
      </c>
    </row>
    <row r="3835" spans="1:11" hidden="1" x14ac:dyDescent="0.25">
      <c r="A3835">
        <v>3834</v>
      </c>
      <c r="B3835" s="1">
        <v>45753</v>
      </c>
      <c r="C3835" t="s">
        <v>57</v>
      </c>
      <c r="D3835" t="s">
        <v>88</v>
      </c>
      <c r="E3835" t="s">
        <v>13</v>
      </c>
      <c r="F3835">
        <v>2</v>
      </c>
      <c r="G3835" t="str">
        <f>VLOOKUP(D3835,Товары!A:I,3,0)</f>
        <v>Тумба с раковиной  навес. Альба 800 антрацит 2 ящика с умыв. Слим</v>
      </c>
      <c r="H3835">
        <f>VLOOKUP(D3835,Товары!A:I,6,0)</f>
        <v>50</v>
      </c>
      <c r="I3835" t="str">
        <f>VLOOKUP(C3835,Магазины!A:C,3,0)</f>
        <v>Оренбург</v>
      </c>
      <c r="J3835">
        <f>VLOOKUP(D3835,Товары!A:I,4,0)</f>
        <v>26070</v>
      </c>
      <c r="K3835">
        <f t="shared" si="59"/>
        <v>52140</v>
      </c>
    </row>
    <row r="3836" spans="1:11" hidden="1" x14ac:dyDescent="0.25">
      <c r="A3836">
        <v>3835</v>
      </c>
      <c r="B3836" s="1">
        <v>45748</v>
      </c>
      <c r="C3836" t="s">
        <v>30</v>
      </c>
      <c r="D3836" t="s">
        <v>55</v>
      </c>
      <c r="E3836" t="s">
        <v>13</v>
      </c>
      <c r="F3836">
        <v>2</v>
      </c>
      <c r="G3836" t="str">
        <f>VLOOKUP(D3836,Товары!A:I,3,0)</f>
        <v>Тумба с раковиной  напол. Рица 600 cерый/керамика 2 ящика с умыв. Океан</v>
      </c>
      <c r="H3836">
        <f>VLOOKUP(D3836,Товары!A:I,6,0)</f>
        <v>80</v>
      </c>
      <c r="I3836" t="str">
        <f>VLOOKUP(C3836,Магазины!A:C,3,0)</f>
        <v>Кемерово</v>
      </c>
      <c r="J3836">
        <f>VLOOKUP(D3836,Товары!A:I,4,0)</f>
        <v>25560</v>
      </c>
      <c r="K3836">
        <f t="shared" si="59"/>
        <v>51120</v>
      </c>
    </row>
    <row r="3837" spans="1:11" hidden="1" x14ac:dyDescent="0.25">
      <c r="A3837">
        <v>3836</v>
      </c>
      <c r="B3837" s="1">
        <v>45755</v>
      </c>
      <c r="C3837" t="s">
        <v>18</v>
      </c>
      <c r="D3837" t="s">
        <v>25</v>
      </c>
      <c r="E3837" t="s">
        <v>8</v>
      </c>
      <c r="F3837">
        <v>3</v>
      </c>
      <c r="G3837" t="str">
        <f>VLOOKUP(D3837,Товары!A:I,3,0)</f>
        <v>Пенал напол. Леон 400 оникс 2 двери + 1 ящик</v>
      </c>
      <c r="H3837">
        <f>VLOOKUP(D3837,Товары!A:I,6,0)</f>
        <v>190</v>
      </c>
      <c r="I3837" t="str">
        <f>VLOOKUP(C3837,Магазины!A:C,3,0)</f>
        <v>Набережные Челны</v>
      </c>
      <c r="J3837">
        <f>VLOOKUP(D3837,Товары!A:I,4,0)</f>
        <v>18450</v>
      </c>
      <c r="K3837">
        <f t="shared" si="59"/>
        <v>55350</v>
      </c>
    </row>
    <row r="3838" spans="1:11" hidden="1" x14ac:dyDescent="0.25">
      <c r="A3838">
        <v>3837</v>
      </c>
      <c r="B3838" s="1">
        <v>45748</v>
      </c>
      <c r="C3838" t="s">
        <v>35</v>
      </c>
      <c r="D3838" t="s">
        <v>105</v>
      </c>
      <c r="E3838" t="s">
        <v>13</v>
      </c>
      <c r="F3838">
        <v>1</v>
      </c>
      <c r="G3838" t="str">
        <f>VLOOKUP(D3838,Товары!A:I,3,0)</f>
        <v>Тумба с раковиной  напол. Нева 600 белый 2 двери + 1 ящик с умыв. Como</v>
      </c>
      <c r="H3838">
        <f>VLOOKUP(D3838,Товары!A:I,6,0)</f>
        <v>80</v>
      </c>
      <c r="I3838" t="str">
        <f>VLOOKUP(C3838,Магазины!A:C,3,0)</f>
        <v>Набережные Челны</v>
      </c>
      <c r="J3838">
        <f>VLOOKUP(D3838,Товары!A:I,4,0)</f>
        <v>13470</v>
      </c>
      <c r="K3838">
        <f t="shared" si="59"/>
        <v>13470</v>
      </c>
    </row>
    <row r="3839" spans="1:11" hidden="1" x14ac:dyDescent="0.25">
      <c r="A3839">
        <v>3838</v>
      </c>
      <c r="B3839" s="1">
        <v>45749</v>
      </c>
      <c r="C3839" t="s">
        <v>26</v>
      </c>
      <c r="D3839" t="s">
        <v>128</v>
      </c>
      <c r="E3839" t="s">
        <v>13</v>
      </c>
      <c r="F3839">
        <v>3</v>
      </c>
      <c r="G3839" t="str">
        <f>VLOOKUP(D3839,Товары!A:I,3,0)</f>
        <v>Тумба с раковиной  напол. Куба Риф 1000 белый 2 ящика с умыв. Слим</v>
      </c>
      <c r="H3839">
        <f>VLOOKUP(D3839,Товары!A:I,6,0)</f>
        <v>85</v>
      </c>
      <c r="I3839" t="str">
        <f>VLOOKUP(C3839,Магазины!A:C,3,0)</f>
        <v>Оренбург</v>
      </c>
      <c r="J3839">
        <f>VLOOKUP(D3839,Товары!A:I,4,0)</f>
        <v>22905</v>
      </c>
      <c r="K3839">
        <f t="shared" si="59"/>
        <v>68715</v>
      </c>
    </row>
    <row r="3840" spans="1:11" hidden="1" x14ac:dyDescent="0.25">
      <c r="A3840">
        <v>3839</v>
      </c>
      <c r="B3840" s="1">
        <v>45751</v>
      </c>
      <c r="C3840" t="s">
        <v>11</v>
      </c>
      <c r="D3840" t="s">
        <v>60</v>
      </c>
      <c r="E3840" t="s">
        <v>8</v>
      </c>
      <c r="F3840">
        <v>3</v>
      </c>
      <c r="G3840" t="str">
        <f>VLOOKUP(D3840,Товары!A:I,3,0)</f>
        <v>Пенал навес. Куба Риф 350 белый 2 двери</v>
      </c>
      <c r="H3840">
        <f>VLOOKUP(D3840,Товары!A:I,6,0)</f>
        <v>150</v>
      </c>
      <c r="I3840" t="str">
        <f>VLOOKUP(C3840,Магазины!A:C,3,0)</f>
        <v>Кемерово</v>
      </c>
      <c r="J3840">
        <f>VLOOKUP(D3840,Товары!A:I,4,0)</f>
        <v>9720</v>
      </c>
      <c r="K3840">
        <f t="shared" si="59"/>
        <v>29160</v>
      </c>
    </row>
    <row r="3841" spans="1:11" hidden="1" x14ac:dyDescent="0.25">
      <c r="A3841">
        <v>3840</v>
      </c>
      <c r="B3841" s="1">
        <v>45749</v>
      </c>
      <c r="C3841" t="s">
        <v>58</v>
      </c>
      <c r="D3841" t="s">
        <v>127</v>
      </c>
      <c r="E3841" t="s">
        <v>13</v>
      </c>
      <c r="F3841">
        <v>2</v>
      </c>
      <c r="G3841" t="str">
        <f>VLOOKUP(D3841,Товары!A:I,3,0)</f>
        <v>Тумба с раковиной  навес. Альба 700 мята 1 ящик с умыв. Слим</v>
      </c>
      <c r="H3841">
        <f>VLOOKUP(D3841,Товары!A:I,6,0)</f>
        <v>45</v>
      </c>
      <c r="I3841" t="str">
        <f>VLOOKUP(C3841,Магазины!A:C,3,0)</f>
        <v>Ставрополь</v>
      </c>
      <c r="J3841">
        <f>VLOOKUP(D3841,Товары!A:I,4,0)</f>
        <v>20130</v>
      </c>
      <c r="K3841">
        <f t="shared" si="59"/>
        <v>40260</v>
      </c>
    </row>
    <row r="3842" spans="1:11" hidden="1" x14ac:dyDescent="0.25">
      <c r="A3842">
        <v>3841</v>
      </c>
      <c r="B3842" s="1">
        <v>45751</v>
      </c>
      <c r="C3842" t="s">
        <v>57</v>
      </c>
      <c r="D3842" t="s">
        <v>47</v>
      </c>
      <c r="E3842" t="s">
        <v>8</v>
      </c>
      <c r="F3842">
        <v>3</v>
      </c>
      <c r="G3842" t="str">
        <f>VLOOKUP(D3842,Товары!A:I,3,0)</f>
        <v>Пенал напол. Кристалл 350 шато азур 2 двери</v>
      </c>
      <c r="H3842">
        <f>VLOOKUP(D3842,Товары!A:I,6,0)</f>
        <v>190</v>
      </c>
      <c r="I3842" t="str">
        <f>VLOOKUP(C3842,Магазины!A:C,3,0)</f>
        <v>Оренбург</v>
      </c>
      <c r="J3842">
        <f>VLOOKUP(D3842,Товары!A:I,4,0)</f>
        <v>15810</v>
      </c>
      <c r="K3842">
        <f t="shared" si="59"/>
        <v>47430</v>
      </c>
    </row>
    <row r="3843" spans="1:11" hidden="1" x14ac:dyDescent="0.25">
      <c r="A3843">
        <v>3842</v>
      </c>
      <c r="B3843" s="1">
        <v>45749</v>
      </c>
      <c r="C3843" t="s">
        <v>57</v>
      </c>
      <c r="D3843" t="s">
        <v>95</v>
      </c>
      <c r="E3843" t="s">
        <v>13</v>
      </c>
      <c r="F3843">
        <v>3</v>
      </c>
      <c r="G3843" t="str">
        <f>VLOOKUP(D3843,Товары!A:I,3,0)</f>
        <v>Тумба с раковиной  напол. Рица 600 антрацит 2 ящика с умыв. Океан</v>
      </c>
      <c r="H3843">
        <f>VLOOKUP(D3843,Товары!A:I,6,0)</f>
        <v>80</v>
      </c>
      <c r="I3843" t="str">
        <f>VLOOKUP(C3843,Магазины!A:C,3,0)</f>
        <v>Оренбург</v>
      </c>
      <c r="J3843">
        <f>VLOOKUP(D3843,Товары!A:I,4,0)</f>
        <v>25560</v>
      </c>
      <c r="K3843">
        <f t="shared" ref="K3843:K3906" si="60">J3843*F3843</f>
        <v>76680</v>
      </c>
    </row>
    <row r="3844" spans="1:11" hidden="1" x14ac:dyDescent="0.25">
      <c r="A3844">
        <v>3843</v>
      </c>
      <c r="B3844" s="1">
        <v>45754</v>
      </c>
      <c r="C3844" t="s">
        <v>28</v>
      </c>
      <c r="D3844" t="s">
        <v>95</v>
      </c>
      <c r="E3844" t="s">
        <v>13</v>
      </c>
      <c r="F3844">
        <v>1</v>
      </c>
      <c r="G3844" t="str">
        <f>VLOOKUP(D3844,Товары!A:I,3,0)</f>
        <v>Тумба с раковиной  напол. Рица 600 антрацит 2 ящика с умыв. Океан</v>
      </c>
      <c r="H3844">
        <f>VLOOKUP(D3844,Товары!A:I,6,0)</f>
        <v>80</v>
      </c>
      <c r="I3844" t="str">
        <f>VLOOKUP(C3844,Магазины!A:C,3,0)</f>
        <v>Набережные Челны</v>
      </c>
      <c r="J3844">
        <f>VLOOKUP(D3844,Товары!A:I,4,0)</f>
        <v>25560</v>
      </c>
      <c r="K3844">
        <f t="shared" si="60"/>
        <v>25560</v>
      </c>
    </row>
    <row r="3845" spans="1:11" hidden="1" x14ac:dyDescent="0.25">
      <c r="A3845">
        <v>3844</v>
      </c>
      <c r="B3845" s="1">
        <v>45755</v>
      </c>
      <c r="C3845" t="s">
        <v>33</v>
      </c>
      <c r="D3845" t="s">
        <v>56</v>
      </c>
      <c r="E3845" t="s">
        <v>8</v>
      </c>
      <c r="F3845">
        <v>3</v>
      </c>
      <c r="G3845" t="str">
        <f>VLOOKUP(D3845,Товары!A:I,3,0)</f>
        <v>Зеркальный шкаф Альба 80 со светильником правый цвет мята</v>
      </c>
      <c r="H3845">
        <f>VLOOKUP(D3845,Товары!A:I,6,0)</f>
        <v>75</v>
      </c>
      <c r="I3845" t="str">
        <f>VLOOKUP(C3845,Магазины!A:C,3,0)</f>
        <v>Набережные Челны</v>
      </c>
      <c r="J3845">
        <f>VLOOKUP(D3845,Товары!A:I,4,0)</f>
        <v>9930</v>
      </c>
      <c r="K3845">
        <f t="shared" si="60"/>
        <v>29790</v>
      </c>
    </row>
    <row r="3846" spans="1:11" hidden="1" x14ac:dyDescent="0.25">
      <c r="A3846">
        <v>3845</v>
      </c>
      <c r="B3846" s="1">
        <v>45753</v>
      </c>
      <c r="C3846" t="s">
        <v>18</v>
      </c>
      <c r="D3846" t="s">
        <v>108</v>
      </c>
      <c r="E3846" t="s">
        <v>8</v>
      </c>
      <c r="F3846">
        <v>3</v>
      </c>
      <c r="G3846" t="str">
        <f>VLOOKUP(D3846,Товары!A:I,3,0)</f>
        <v>Тумба с раковиной  навес. Виктория 1000 белый 2 ящика с умыв. Слим</v>
      </c>
      <c r="H3846">
        <f>VLOOKUP(D3846,Товары!A:I,6,0)</f>
        <v>60</v>
      </c>
      <c r="I3846" t="str">
        <f>VLOOKUP(C3846,Магазины!A:C,3,0)</f>
        <v>Набережные Челны</v>
      </c>
      <c r="J3846">
        <f>VLOOKUP(D3846,Товары!A:I,4,0)</f>
        <v>29205</v>
      </c>
      <c r="K3846">
        <f t="shared" si="60"/>
        <v>87615</v>
      </c>
    </row>
    <row r="3847" spans="1:11" hidden="1" x14ac:dyDescent="0.25">
      <c r="A3847">
        <v>3846</v>
      </c>
      <c r="B3847" s="1">
        <v>45749</v>
      </c>
      <c r="C3847" t="s">
        <v>48</v>
      </c>
      <c r="D3847" t="s">
        <v>39</v>
      </c>
      <c r="E3847" t="s">
        <v>13</v>
      </c>
      <c r="F3847">
        <v>1</v>
      </c>
      <c r="G3847" t="str">
        <f>VLOOKUP(D3847,Товары!A:I,3,0)</f>
        <v>Тумба с раковиной  напол. Альба 700 мята 2 ящика с умыв. Слим</v>
      </c>
      <c r="H3847">
        <f>VLOOKUP(D3847,Товары!A:I,6,0)</f>
        <v>85</v>
      </c>
      <c r="I3847" t="str">
        <f>VLOOKUP(C3847,Магазины!A:C,3,0)</f>
        <v>Ставрополь</v>
      </c>
      <c r="J3847">
        <f>VLOOKUP(D3847,Товары!A:I,4,0)</f>
        <v>28695</v>
      </c>
      <c r="K3847">
        <f t="shared" si="60"/>
        <v>28695</v>
      </c>
    </row>
    <row r="3848" spans="1:11" hidden="1" x14ac:dyDescent="0.25">
      <c r="A3848">
        <v>3847</v>
      </c>
      <c r="B3848" s="1">
        <v>45754</v>
      </c>
      <c r="C3848" t="s">
        <v>103</v>
      </c>
      <c r="D3848" t="s">
        <v>90</v>
      </c>
      <c r="E3848" t="s">
        <v>13</v>
      </c>
      <c r="F3848">
        <v>1</v>
      </c>
      <c r="G3848" t="str">
        <f>VLOOKUP(D3848,Товары!A:I,3,0)</f>
        <v>Пенал напол. Аква 350 белый 2 двери + 2 ящика</v>
      </c>
      <c r="H3848">
        <f>VLOOKUP(D3848,Товары!A:I,6,0)</f>
        <v>190</v>
      </c>
      <c r="I3848" t="str">
        <f>VLOOKUP(C3848,Магазины!A:C,3,0)</f>
        <v>Ставрополь</v>
      </c>
      <c r="J3848">
        <f>VLOOKUP(D3848,Товары!A:I,4,0)</f>
        <v>10650</v>
      </c>
      <c r="K3848">
        <f t="shared" si="60"/>
        <v>10650</v>
      </c>
    </row>
    <row r="3849" spans="1:11" hidden="1" x14ac:dyDescent="0.25">
      <c r="A3849">
        <v>3848</v>
      </c>
      <c r="B3849" s="1">
        <v>45757</v>
      </c>
      <c r="C3849" t="s">
        <v>30</v>
      </c>
      <c r="D3849" t="s">
        <v>19</v>
      </c>
      <c r="E3849" t="s">
        <v>8</v>
      </c>
      <c r="F3849">
        <v>1</v>
      </c>
      <c r="G3849" t="str">
        <f>VLOOKUP(D3849,Товары!A:I,3,0)</f>
        <v>Тумба с раковиной  навес. Леон 800 оникс 2 ящика с умыв. Слим</v>
      </c>
      <c r="H3849">
        <f>VLOOKUP(D3849,Товары!A:I,6,0)</f>
        <v>60</v>
      </c>
      <c r="I3849" t="str">
        <f>VLOOKUP(C3849,Магазины!A:C,3,0)</f>
        <v>Кемерово</v>
      </c>
      <c r="J3849">
        <f>VLOOKUP(D3849,Товары!A:I,4,0)</f>
        <v>27930</v>
      </c>
      <c r="K3849">
        <f t="shared" si="60"/>
        <v>27930</v>
      </c>
    </row>
    <row r="3850" spans="1:11" hidden="1" x14ac:dyDescent="0.25">
      <c r="A3850">
        <v>3849</v>
      </c>
      <c r="B3850" s="1">
        <v>45749</v>
      </c>
      <c r="C3850" t="s">
        <v>30</v>
      </c>
      <c r="D3850" t="s">
        <v>15</v>
      </c>
      <c r="E3850" t="s">
        <v>13</v>
      </c>
      <c r="F3850">
        <v>1</v>
      </c>
      <c r="G3850" t="str">
        <f>VLOOKUP(D3850,Товары!A:I,3,0)</f>
        <v>Зеркальный шкаф Кристалл 60 со светильником правый, ручка кнопка дуб цвет Шато Азур</v>
      </c>
      <c r="H3850">
        <f>VLOOKUP(D3850,Товары!A:I,6,0)</f>
        <v>75</v>
      </c>
      <c r="I3850" t="str">
        <f>VLOOKUP(C3850,Магазины!A:C,3,0)</f>
        <v>Кемерово</v>
      </c>
      <c r="J3850">
        <f>VLOOKUP(D3850,Товары!A:I,4,0)</f>
        <v>9195</v>
      </c>
      <c r="K3850">
        <f t="shared" si="60"/>
        <v>9195</v>
      </c>
    </row>
    <row r="3851" spans="1:11" hidden="1" x14ac:dyDescent="0.25">
      <c r="A3851">
        <v>3850</v>
      </c>
      <c r="B3851" s="1">
        <v>45757</v>
      </c>
      <c r="C3851" t="s">
        <v>30</v>
      </c>
      <c r="D3851" t="s">
        <v>79</v>
      </c>
      <c r="E3851" t="s">
        <v>8</v>
      </c>
      <c r="F3851">
        <v>3</v>
      </c>
      <c r="G3851" t="str">
        <f>VLOOKUP(D3851,Товары!A:I,3,0)</f>
        <v>Зеркальный шкаф Альба 70 со светильником правый цвет мята</v>
      </c>
      <c r="H3851">
        <f>VLOOKUP(D3851,Товары!A:I,6,0)</f>
        <v>75</v>
      </c>
      <c r="I3851" t="str">
        <f>VLOOKUP(C3851,Магазины!A:C,3,0)</f>
        <v>Кемерово</v>
      </c>
      <c r="J3851">
        <f>VLOOKUP(D3851,Товары!A:I,4,0)</f>
        <v>9615</v>
      </c>
      <c r="K3851">
        <f t="shared" si="60"/>
        <v>28845</v>
      </c>
    </row>
    <row r="3852" spans="1:11" hidden="1" x14ac:dyDescent="0.25">
      <c r="A3852">
        <v>3851</v>
      </c>
      <c r="B3852" s="1">
        <v>45751</v>
      </c>
      <c r="C3852" t="s">
        <v>92</v>
      </c>
      <c r="D3852" t="s">
        <v>85</v>
      </c>
      <c r="E3852" t="s">
        <v>13</v>
      </c>
      <c r="F3852">
        <v>2</v>
      </c>
      <c r="G3852" t="str">
        <f>VLOOKUP(D3852,Товары!A:I,3,0)</f>
        <v>Пенал напол. Аква 450 белый 2 двери + 2 ящика + корзина</v>
      </c>
      <c r="H3852">
        <f>VLOOKUP(D3852,Товары!A:I,6,0)</f>
        <v>190</v>
      </c>
      <c r="I3852" t="str">
        <f>VLOOKUP(C3852,Магазины!A:C,3,0)</f>
        <v>Кемерово</v>
      </c>
      <c r="J3852">
        <f>VLOOKUP(D3852,Товары!A:I,4,0)</f>
        <v>13335</v>
      </c>
      <c r="K3852">
        <f t="shared" si="60"/>
        <v>26670</v>
      </c>
    </row>
    <row r="3853" spans="1:11" hidden="1" x14ac:dyDescent="0.25">
      <c r="A3853">
        <v>3852</v>
      </c>
      <c r="B3853" s="1">
        <v>45750</v>
      </c>
      <c r="C3853" t="s">
        <v>43</v>
      </c>
      <c r="D3853" t="s">
        <v>65</v>
      </c>
      <c r="E3853" t="s">
        <v>13</v>
      </c>
      <c r="F3853">
        <v>1</v>
      </c>
      <c r="G3853" t="str">
        <f>VLOOKUP(D3853,Товары!A:I,3,0)</f>
        <v>Тумба с раковиной  навес. Альба 800 суфле 2 ящика с умыв. Слим</v>
      </c>
      <c r="H3853">
        <f>VLOOKUP(D3853,Товары!A:I,6,0)</f>
        <v>50</v>
      </c>
      <c r="I3853" t="str">
        <f>VLOOKUP(C3853,Магазины!A:C,3,0)</f>
        <v>Набережные Челны</v>
      </c>
      <c r="J3853">
        <f>VLOOKUP(D3853,Товары!A:I,4,0)</f>
        <v>26070</v>
      </c>
      <c r="K3853">
        <f t="shared" si="60"/>
        <v>26070</v>
      </c>
    </row>
    <row r="3854" spans="1:11" hidden="1" x14ac:dyDescent="0.25">
      <c r="A3854">
        <v>3853</v>
      </c>
      <c r="B3854" s="1">
        <v>45749</v>
      </c>
      <c r="C3854" t="s">
        <v>57</v>
      </c>
      <c r="D3854" t="s">
        <v>98</v>
      </c>
      <c r="E3854" t="s">
        <v>13</v>
      </c>
      <c r="F3854">
        <v>2</v>
      </c>
      <c r="G3854" t="str">
        <f>VLOOKUP(D3854,Товары!A:I,3,0)</f>
        <v>Тумба с раковиной  напол. Рица 800 cерый/керамика 2 ящика с умыв. Слим</v>
      </c>
      <c r="H3854">
        <f>VLOOKUP(D3854,Товары!A:I,6,0)</f>
        <v>80</v>
      </c>
      <c r="I3854" t="str">
        <f>VLOOKUP(C3854,Магазины!A:C,3,0)</f>
        <v>Оренбург</v>
      </c>
      <c r="J3854">
        <f>VLOOKUP(D3854,Товары!A:I,4,0)</f>
        <v>28980</v>
      </c>
      <c r="K3854">
        <f t="shared" si="60"/>
        <v>57960</v>
      </c>
    </row>
    <row r="3855" spans="1:11" hidden="1" x14ac:dyDescent="0.25">
      <c r="A3855">
        <v>3854</v>
      </c>
      <c r="B3855" s="1">
        <v>45752</v>
      </c>
      <c r="C3855" t="s">
        <v>103</v>
      </c>
      <c r="D3855" t="s">
        <v>59</v>
      </c>
      <c r="E3855" t="s">
        <v>13</v>
      </c>
      <c r="F3855">
        <v>1</v>
      </c>
      <c r="G3855" t="str">
        <f>VLOOKUP(D3855,Товары!A:I,3,0)</f>
        <v>Тумба с раковиной  навес. Куба Риф 600 белый 2 ящика с умыв. Океан</v>
      </c>
      <c r="H3855">
        <f>VLOOKUP(D3855,Товары!A:I,6,0)</f>
        <v>55</v>
      </c>
      <c r="I3855" t="str">
        <f>VLOOKUP(C3855,Магазины!A:C,3,0)</f>
        <v>Ставрополь</v>
      </c>
      <c r="J3855">
        <f>VLOOKUP(D3855,Товары!A:I,4,0)</f>
        <v>15765</v>
      </c>
      <c r="K3855">
        <f t="shared" si="60"/>
        <v>15765</v>
      </c>
    </row>
    <row r="3856" spans="1:11" hidden="1" x14ac:dyDescent="0.25">
      <c r="A3856">
        <v>3855</v>
      </c>
      <c r="B3856" s="1">
        <v>45752</v>
      </c>
      <c r="C3856" t="s">
        <v>28</v>
      </c>
      <c r="D3856" t="s">
        <v>79</v>
      </c>
      <c r="E3856" t="s">
        <v>8</v>
      </c>
      <c r="F3856">
        <v>3</v>
      </c>
      <c r="G3856" t="str">
        <f>VLOOKUP(D3856,Товары!A:I,3,0)</f>
        <v>Зеркальный шкаф Альба 70 со светильником правый цвет мята</v>
      </c>
      <c r="H3856">
        <f>VLOOKUP(D3856,Товары!A:I,6,0)</f>
        <v>75</v>
      </c>
      <c r="I3856" t="str">
        <f>VLOOKUP(C3856,Магазины!A:C,3,0)</f>
        <v>Набережные Челны</v>
      </c>
      <c r="J3856">
        <f>VLOOKUP(D3856,Товары!A:I,4,0)</f>
        <v>9615</v>
      </c>
      <c r="K3856">
        <f t="shared" si="60"/>
        <v>28845</v>
      </c>
    </row>
    <row r="3857" spans="1:11" hidden="1" x14ac:dyDescent="0.25">
      <c r="A3857">
        <v>3856</v>
      </c>
      <c r="B3857" s="1">
        <v>45757</v>
      </c>
      <c r="C3857" t="s">
        <v>48</v>
      </c>
      <c r="D3857" t="s">
        <v>66</v>
      </c>
      <c r="E3857" t="s">
        <v>8</v>
      </c>
      <c r="F3857">
        <v>2</v>
      </c>
      <c r="G3857" t="str">
        <f>VLOOKUP(D3857,Товары!A:I,3,0)</f>
        <v>Тумба с раковиной  навес. Альба 800 мята 2 ящика с умыв. Слим</v>
      </c>
      <c r="H3857">
        <f>VLOOKUP(D3857,Товары!A:I,6,0)</f>
        <v>50</v>
      </c>
      <c r="I3857" t="str">
        <f>VLOOKUP(C3857,Магазины!A:C,3,0)</f>
        <v>Ставрополь</v>
      </c>
      <c r="J3857">
        <f>VLOOKUP(D3857,Товары!A:I,4,0)</f>
        <v>26070</v>
      </c>
      <c r="K3857">
        <f t="shared" si="60"/>
        <v>52140</v>
      </c>
    </row>
    <row r="3858" spans="1:11" hidden="1" x14ac:dyDescent="0.25">
      <c r="A3858">
        <v>3857</v>
      </c>
      <c r="B3858" s="1">
        <v>45754</v>
      </c>
      <c r="C3858" t="s">
        <v>92</v>
      </c>
      <c r="D3858" t="s">
        <v>115</v>
      </c>
      <c r="E3858" t="s">
        <v>8</v>
      </c>
      <c r="F3858">
        <v>3</v>
      </c>
      <c r="G3858" t="str">
        <f>VLOOKUP(D3858,Товары!A:I,3,0)</f>
        <v>Тумба под стиральную машину Куба Риф 57 напольная 2 ящика под ст/маш, без умывальника /под Marshall 120 Белый</v>
      </c>
      <c r="H3858">
        <f>VLOOKUP(D3858,Товары!A:I,6,0)</f>
        <v>85</v>
      </c>
      <c r="I3858" t="str">
        <f>VLOOKUP(C3858,Магазины!A:C,3,0)</f>
        <v>Кемерово</v>
      </c>
      <c r="J3858">
        <f>VLOOKUP(D3858,Товары!A:I,4,0)</f>
        <v>10530</v>
      </c>
      <c r="K3858">
        <f t="shared" si="60"/>
        <v>31590</v>
      </c>
    </row>
    <row r="3859" spans="1:11" hidden="1" x14ac:dyDescent="0.25">
      <c r="A3859">
        <v>3858</v>
      </c>
      <c r="B3859" s="1">
        <v>45751</v>
      </c>
      <c r="C3859" t="s">
        <v>63</v>
      </c>
      <c r="D3859" t="s">
        <v>99</v>
      </c>
      <c r="E3859" t="s">
        <v>8</v>
      </c>
      <c r="F3859">
        <v>3</v>
      </c>
      <c r="G3859" t="str">
        <f>VLOOKUP(D3859,Товары!A:I,3,0)</f>
        <v>Тумба с раковиной  навес. Леон 600 оникс 2 ящика с умыв. Слим</v>
      </c>
      <c r="H3859">
        <f>VLOOKUP(D3859,Товары!A:I,6,0)</f>
        <v>60</v>
      </c>
      <c r="I3859" t="str">
        <f>VLOOKUP(C3859,Магазины!A:C,3,0)</f>
        <v>Ставрополь</v>
      </c>
      <c r="J3859">
        <f>VLOOKUP(D3859,Товары!A:I,4,0)</f>
        <v>25125</v>
      </c>
      <c r="K3859">
        <f t="shared" si="60"/>
        <v>75375</v>
      </c>
    </row>
    <row r="3860" spans="1:11" hidden="1" x14ac:dyDescent="0.25">
      <c r="A3860">
        <v>3859</v>
      </c>
      <c r="B3860" s="1">
        <v>45756</v>
      </c>
      <c r="C3860" t="s">
        <v>111</v>
      </c>
      <c r="D3860" t="s">
        <v>121</v>
      </c>
      <c r="E3860" t="s">
        <v>8</v>
      </c>
      <c r="F3860">
        <v>2</v>
      </c>
      <c r="G3860" t="str">
        <f>VLOOKUP(D3860,Товары!A:I,3,0)</f>
        <v>Тумба с раковиной  напол. Куба Риф 600 белый 2 двери с умыв. Como</v>
      </c>
      <c r="H3860">
        <f>VLOOKUP(D3860,Товары!A:I,6,0)</f>
        <v>85</v>
      </c>
      <c r="I3860" t="str">
        <f>VLOOKUP(C3860,Магазины!A:C,3,0)</f>
        <v>Набережные Челны</v>
      </c>
      <c r="J3860">
        <f>VLOOKUP(D3860,Товары!A:I,4,0)</f>
        <v>13695</v>
      </c>
      <c r="K3860">
        <f t="shared" si="60"/>
        <v>27390</v>
      </c>
    </row>
    <row r="3861" spans="1:11" hidden="1" x14ac:dyDescent="0.25">
      <c r="A3861">
        <v>3860</v>
      </c>
      <c r="B3861" s="1">
        <v>45754</v>
      </c>
      <c r="C3861" t="s">
        <v>18</v>
      </c>
      <c r="D3861" t="s">
        <v>97</v>
      </c>
      <c r="E3861" t="s">
        <v>8</v>
      </c>
      <c r="F3861">
        <v>1</v>
      </c>
      <c r="G3861" t="str">
        <f>VLOOKUP(D3861,Товары!A:I,3,0)</f>
        <v>Пенал напол. Кристалл 350 суфле 2 двери</v>
      </c>
      <c r="H3861">
        <f>VLOOKUP(D3861,Товары!A:I,6,0)</f>
        <v>190</v>
      </c>
      <c r="I3861" t="str">
        <f>VLOOKUP(C3861,Магазины!A:C,3,0)</f>
        <v>Набережные Челны</v>
      </c>
      <c r="J3861">
        <f>VLOOKUP(D3861,Товары!A:I,4,0)</f>
        <v>15810</v>
      </c>
      <c r="K3861">
        <f t="shared" si="60"/>
        <v>15810</v>
      </c>
    </row>
    <row r="3862" spans="1:11" hidden="1" x14ac:dyDescent="0.25">
      <c r="A3862">
        <v>3861</v>
      </c>
      <c r="B3862" s="1">
        <v>45756</v>
      </c>
      <c r="C3862" t="s">
        <v>33</v>
      </c>
      <c r="D3862" t="s">
        <v>90</v>
      </c>
      <c r="E3862" t="s">
        <v>8</v>
      </c>
      <c r="F3862">
        <v>3</v>
      </c>
      <c r="G3862" t="str">
        <f>VLOOKUP(D3862,Товары!A:I,3,0)</f>
        <v>Пенал напол. Аква 350 белый 2 двери + 2 ящика</v>
      </c>
      <c r="H3862">
        <f>VLOOKUP(D3862,Товары!A:I,6,0)</f>
        <v>190</v>
      </c>
      <c r="I3862" t="str">
        <f>VLOOKUP(C3862,Магазины!A:C,3,0)</f>
        <v>Набережные Челны</v>
      </c>
      <c r="J3862">
        <f>VLOOKUP(D3862,Товары!A:I,4,0)</f>
        <v>10650</v>
      </c>
      <c r="K3862">
        <f t="shared" si="60"/>
        <v>31950</v>
      </c>
    </row>
    <row r="3863" spans="1:11" hidden="1" x14ac:dyDescent="0.25">
      <c r="A3863">
        <v>3862</v>
      </c>
      <c r="B3863" s="1">
        <v>45750</v>
      </c>
      <c r="C3863" t="s">
        <v>28</v>
      </c>
      <c r="D3863" t="s">
        <v>74</v>
      </c>
      <c r="E3863" t="s">
        <v>8</v>
      </c>
      <c r="F3863">
        <v>1</v>
      </c>
      <c r="G3863" t="str">
        <f>VLOOKUP(D3863,Товары!A:I,3,0)</f>
        <v>Тумба с раковиной  напол. Альба 800 суфле 2 ящика с умыв. Слим</v>
      </c>
      <c r="H3863">
        <f>VLOOKUP(D3863,Товары!A:I,6,0)</f>
        <v>80</v>
      </c>
      <c r="I3863" t="str">
        <f>VLOOKUP(C3863,Магазины!A:C,3,0)</f>
        <v>Набережные Челны</v>
      </c>
      <c r="J3863">
        <f>VLOOKUP(D3863,Товары!A:I,4,0)</f>
        <v>29340</v>
      </c>
      <c r="K3863">
        <f t="shared" si="60"/>
        <v>29340</v>
      </c>
    </row>
    <row r="3864" spans="1:11" hidden="1" x14ac:dyDescent="0.25">
      <c r="A3864">
        <v>3863</v>
      </c>
      <c r="B3864" s="1">
        <v>45753</v>
      </c>
      <c r="C3864" t="s">
        <v>111</v>
      </c>
      <c r="D3864" t="s">
        <v>15</v>
      </c>
      <c r="E3864" t="s">
        <v>8</v>
      </c>
      <c r="F3864">
        <v>2</v>
      </c>
      <c r="G3864" t="str">
        <f>VLOOKUP(D3864,Товары!A:I,3,0)</f>
        <v>Зеркальный шкаф Кристалл 60 со светильником правый, ручка кнопка дуб цвет Шато Азур</v>
      </c>
      <c r="H3864">
        <f>VLOOKUP(D3864,Товары!A:I,6,0)</f>
        <v>75</v>
      </c>
      <c r="I3864" t="str">
        <f>VLOOKUP(C3864,Магазины!A:C,3,0)</f>
        <v>Набережные Челны</v>
      </c>
      <c r="J3864">
        <f>VLOOKUP(D3864,Товары!A:I,4,0)</f>
        <v>9195</v>
      </c>
      <c r="K3864">
        <f t="shared" si="60"/>
        <v>18390</v>
      </c>
    </row>
    <row r="3865" spans="1:11" hidden="1" x14ac:dyDescent="0.25">
      <c r="A3865">
        <v>3864</v>
      </c>
      <c r="B3865" s="1">
        <v>45752</v>
      </c>
      <c r="C3865" t="s">
        <v>54</v>
      </c>
      <c r="D3865" t="s">
        <v>78</v>
      </c>
      <c r="E3865" t="s">
        <v>8</v>
      </c>
      <c r="F3865">
        <v>3</v>
      </c>
      <c r="G3865" t="str">
        <f>VLOOKUP(D3865,Товары!A:I,3,0)</f>
        <v>Зеркальный шкаф Кристалл 70 со светильником правый, ручка кнопка дуб цвет Шато Азур</v>
      </c>
      <c r="H3865">
        <f>VLOOKUP(D3865,Товары!A:I,6,0)</f>
        <v>75</v>
      </c>
      <c r="I3865" t="str">
        <f>VLOOKUP(C3865,Магазины!A:C,3,0)</f>
        <v>Ставрополь</v>
      </c>
      <c r="J3865">
        <f>VLOOKUP(D3865,Товары!A:I,4,0)</f>
        <v>9615</v>
      </c>
      <c r="K3865">
        <f t="shared" si="60"/>
        <v>28845</v>
      </c>
    </row>
    <row r="3866" spans="1:11" hidden="1" x14ac:dyDescent="0.25">
      <c r="A3866">
        <v>3865</v>
      </c>
      <c r="B3866" s="1">
        <v>45754</v>
      </c>
      <c r="C3866" t="s">
        <v>9</v>
      </c>
      <c r="D3866" t="s">
        <v>114</v>
      </c>
      <c r="E3866" t="s">
        <v>13</v>
      </c>
      <c r="F3866">
        <v>1</v>
      </c>
      <c r="G3866" t="str">
        <f>VLOOKUP(D3866,Товары!A:I,3,0)</f>
        <v>Тумба с раковиной  навес. Альба 700 мята 2 ящика с умыв. Слим</v>
      </c>
      <c r="H3866">
        <f>VLOOKUP(D3866,Товары!A:I,6,0)</f>
        <v>60</v>
      </c>
      <c r="I3866" t="str">
        <f>VLOOKUP(C3866,Магазины!A:C,3,0)</f>
        <v>Кемерово</v>
      </c>
      <c r="J3866">
        <f>VLOOKUP(D3866,Товары!A:I,4,0)</f>
        <v>25095</v>
      </c>
      <c r="K3866">
        <f t="shared" si="60"/>
        <v>25095</v>
      </c>
    </row>
    <row r="3867" spans="1:11" hidden="1" x14ac:dyDescent="0.25">
      <c r="A3867">
        <v>3866</v>
      </c>
      <c r="B3867" s="1">
        <v>45755</v>
      </c>
      <c r="C3867" t="s">
        <v>6</v>
      </c>
      <c r="D3867" t="s">
        <v>127</v>
      </c>
      <c r="E3867" t="s">
        <v>13</v>
      </c>
      <c r="F3867">
        <v>1</v>
      </c>
      <c r="G3867" t="str">
        <f>VLOOKUP(D3867,Товары!A:I,3,0)</f>
        <v>Тумба с раковиной  навес. Альба 700 мята 1 ящик с умыв. Слим</v>
      </c>
      <c r="H3867">
        <f>VLOOKUP(D3867,Товары!A:I,6,0)</f>
        <v>45</v>
      </c>
      <c r="I3867" t="str">
        <f>VLOOKUP(C3867,Магазины!A:C,3,0)</f>
        <v>Оренбург</v>
      </c>
      <c r="J3867">
        <f>VLOOKUP(D3867,Товары!A:I,4,0)</f>
        <v>20130</v>
      </c>
      <c r="K3867">
        <f t="shared" si="60"/>
        <v>20130</v>
      </c>
    </row>
    <row r="3868" spans="1:11" hidden="1" x14ac:dyDescent="0.25">
      <c r="A3868">
        <v>3867</v>
      </c>
      <c r="B3868" s="1">
        <v>45750</v>
      </c>
      <c r="C3868" t="s">
        <v>63</v>
      </c>
      <c r="D3868" t="s">
        <v>112</v>
      </c>
      <c r="E3868" t="s">
        <v>8</v>
      </c>
      <c r="F3868">
        <v>3</v>
      </c>
      <c r="G3868" t="str">
        <f>VLOOKUP(D3868,Товары!A:I,3,0)</f>
        <v>Тумба с раковиной  напол. Аква 560 белый 2 двери с умыв. Уют</v>
      </c>
      <c r="H3868">
        <f>VLOOKUP(D3868,Товары!A:I,6,0)</f>
        <v>85</v>
      </c>
      <c r="I3868" t="str">
        <f>VLOOKUP(C3868,Магазины!A:C,3,0)</f>
        <v>Ставрополь</v>
      </c>
      <c r="J3868">
        <f>VLOOKUP(D3868,Товары!A:I,4,0)</f>
        <v>9330</v>
      </c>
      <c r="K3868">
        <f t="shared" si="60"/>
        <v>27990</v>
      </c>
    </row>
    <row r="3869" spans="1:11" hidden="1" x14ac:dyDescent="0.25">
      <c r="A3869">
        <v>3868</v>
      </c>
      <c r="B3869" s="1">
        <v>45748</v>
      </c>
      <c r="C3869" t="s">
        <v>63</v>
      </c>
      <c r="D3869" t="s">
        <v>53</v>
      </c>
      <c r="E3869" t="s">
        <v>13</v>
      </c>
      <c r="F3869">
        <v>3</v>
      </c>
      <c r="G3869" t="str">
        <f>VLOOKUP(D3869,Товары!A:I,3,0)</f>
        <v>Тумба с раковиной  напол. Кристалл 600 шато азур 2 ящика с умыв. Океан</v>
      </c>
      <c r="H3869">
        <f>VLOOKUP(D3869,Товары!A:I,6,0)</f>
        <v>85</v>
      </c>
      <c r="I3869" t="str">
        <f>VLOOKUP(C3869,Магазины!A:C,3,0)</f>
        <v>Ставрополь</v>
      </c>
      <c r="J3869">
        <f>VLOOKUP(D3869,Товары!A:I,4,0)</f>
        <v>27600</v>
      </c>
      <c r="K3869">
        <f t="shared" si="60"/>
        <v>82800</v>
      </c>
    </row>
    <row r="3870" spans="1:11" hidden="1" x14ac:dyDescent="0.25">
      <c r="A3870">
        <v>3869</v>
      </c>
      <c r="B3870" s="1">
        <v>45750</v>
      </c>
      <c r="C3870" t="s">
        <v>33</v>
      </c>
      <c r="D3870" t="s">
        <v>131</v>
      </c>
      <c r="E3870" t="s">
        <v>8</v>
      </c>
      <c r="F3870">
        <v>1</v>
      </c>
      <c r="G3870" t="str">
        <f>VLOOKUP(D3870,Товары!A:I,3,0)</f>
        <v>Тумба с раковиной  напол. Леон 800 форест 2 ящика с умыв. Слим</v>
      </c>
      <c r="H3870">
        <f>VLOOKUP(D3870,Товары!A:I,6,0)</f>
        <v>80</v>
      </c>
      <c r="I3870" t="str">
        <f>VLOOKUP(C3870,Магазины!A:C,3,0)</f>
        <v>Набережные Челны</v>
      </c>
      <c r="J3870">
        <f>VLOOKUP(D3870,Товары!A:I,4,0)</f>
        <v>29400</v>
      </c>
      <c r="K3870">
        <f t="shared" si="60"/>
        <v>29400</v>
      </c>
    </row>
    <row r="3871" spans="1:11" hidden="1" x14ac:dyDescent="0.25">
      <c r="A3871">
        <v>3870</v>
      </c>
      <c r="B3871" s="1">
        <v>45755</v>
      </c>
      <c r="C3871" t="s">
        <v>28</v>
      </c>
      <c r="D3871" t="s">
        <v>69</v>
      </c>
      <c r="E3871" t="s">
        <v>8</v>
      </c>
      <c r="F3871">
        <v>3</v>
      </c>
      <c r="G3871" t="str">
        <f>VLOOKUP(D3871,Товары!A:I,3,0)</f>
        <v>Пенал навес./напол. Альба 350 антрацит 2 двери</v>
      </c>
      <c r="H3871">
        <f>VLOOKUP(D3871,Товары!A:I,6,0)</f>
        <v>150</v>
      </c>
      <c r="I3871" t="str">
        <f>VLOOKUP(C3871,Магазины!A:C,3,0)</f>
        <v>Набережные Челны</v>
      </c>
      <c r="J3871">
        <f>VLOOKUP(D3871,Товары!A:I,4,0)</f>
        <v>11655</v>
      </c>
      <c r="K3871">
        <f t="shared" si="60"/>
        <v>34965</v>
      </c>
    </row>
    <row r="3872" spans="1:11" hidden="1" x14ac:dyDescent="0.25">
      <c r="A3872">
        <v>3871</v>
      </c>
      <c r="B3872" s="1">
        <v>45751</v>
      </c>
      <c r="C3872" t="s">
        <v>63</v>
      </c>
      <c r="D3872" t="s">
        <v>72</v>
      </c>
      <c r="E3872" t="s">
        <v>13</v>
      </c>
      <c r="F3872">
        <v>2</v>
      </c>
      <c r="G3872" t="str">
        <f>VLOOKUP(D3872,Товары!A:I,3,0)</f>
        <v>Тумба с раковиной  напол. Сохо 600 белый 2 ящика с умыв. Океан</v>
      </c>
      <c r="H3872">
        <f>VLOOKUP(D3872,Товары!A:I,6,0)</f>
        <v>85</v>
      </c>
      <c r="I3872" t="str">
        <f>VLOOKUP(C3872,Магазины!A:C,3,0)</f>
        <v>Ставрополь</v>
      </c>
      <c r="J3872">
        <f>VLOOKUP(D3872,Товары!A:I,4,0)</f>
        <v>16140</v>
      </c>
      <c r="K3872">
        <f t="shared" si="60"/>
        <v>32280</v>
      </c>
    </row>
    <row r="3873" spans="1:11" hidden="1" x14ac:dyDescent="0.25">
      <c r="A3873">
        <v>3872</v>
      </c>
      <c r="B3873" s="1">
        <v>45748</v>
      </c>
      <c r="C3873" t="s">
        <v>54</v>
      </c>
      <c r="D3873" t="s">
        <v>129</v>
      </c>
      <c r="E3873" t="s">
        <v>13</v>
      </c>
      <c r="F3873">
        <v>1</v>
      </c>
      <c r="G3873" t="str">
        <f>VLOOKUP(D3873,Товары!A:I,3,0)</f>
        <v>Тумба с раковиной  напол. Альба 700 антрацит 2 ящика с умыв. Слим</v>
      </c>
      <c r="H3873">
        <f>VLOOKUP(D3873,Товары!A:I,6,0)</f>
        <v>85</v>
      </c>
      <c r="I3873" t="str">
        <f>VLOOKUP(C3873,Магазины!A:C,3,0)</f>
        <v>Ставрополь</v>
      </c>
      <c r="J3873">
        <f>VLOOKUP(D3873,Товары!A:I,4,0)</f>
        <v>28695</v>
      </c>
      <c r="K3873">
        <f t="shared" si="60"/>
        <v>28695</v>
      </c>
    </row>
    <row r="3874" spans="1:11" hidden="1" x14ac:dyDescent="0.25">
      <c r="A3874">
        <v>3873</v>
      </c>
      <c r="B3874" s="1">
        <v>45756</v>
      </c>
      <c r="C3874" t="s">
        <v>41</v>
      </c>
      <c r="D3874" t="s">
        <v>121</v>
      </c>
      <c r="E3874" t="s">
        <v>8</v>
      </c>
      <c r="F3874">
        <v>3</v>
      </c>
      <c r="G3874" t="str">
        <f>VLOOKUP(D3874,Товары!A:I,3,0)</f>
        <v>Тумба с раковиной  напол. Куба Риф 600 белый 2 двери с умыв. Como</v>
      </c>
      <c r="H3874">
        <f>VLOOKUP(D3874,Товары!A:I,6,0)</f>
        <v>85</v>
      </c>
      <c r="I3874" t="str">
        <f>VLOOKUP(C3874,Магазины!A:C,3,0)</f>
        <v>Ставрополь</v>
      </c>
      <c r="J3874">
        <f>VLOOKUP(D3874,Товары!A:I,4,0)</f>
        <v>13695</v>
      </c>
      <c r="K3874">
        <f t="shared" si="60"/>
        <v>41085</v>
      </c>
    </row>
    <row r="3875" spans="1:11" hidden="1" x14ac:dyDescent="0.25">
      <c r="A3875">
        <v>3874</v>
      </c>
      <c r="B3875" s="1">
        <v>45750</v>
      </c>
      <c r="C3875" t="s">
        <v>16</v>
      </c>
      <c r="D3875" t="s">
        <v>46</v>
      </c>
      <c r="E3875" t="s">
        <v>13</v>
      </c>
      <c r="F3875">
        <v>1</v>
      </c>
      <c r="G3875" t="str">
        <f>VLOOKUP(D3875,Товары!A:I,3,0)</f>
        <v>Тумба с раковиной  напол. Сохо 700 белый 2 ящика с умыв. Слим</v>
      </c>
      <c r="H3875">
        <f>VLOOKUP(D3875,Товары!A:I,6,0)</f>
        <v>85</v>
      </c>
      <c r="I3875" t="str">
        <f>VLOOKUP(C3875,Магазины!A:C,3,0)</f>
        <v>Оренбург</v>
      </c>
      <c r="J3875">
        <f>VLOOKUP(D3875,Товары!A:I,4,0)</f>
        <v>18405</v>
      </c>
      <c r="K3875">
        <f t="shared" si="60"/>
        <v>18405</v>
      </c>
    </row>
    <row r="3876" spans="1:11" hidden="1" x14ac:dyDescent="0.25">
      <c r="A3876">
        <v>3875</v>
      </c>
      <c r="B3876" s="1">
        <v>45754</v>
      </c>
      <c r="C3876" t="s">
        <v>11</v>
      </c>
      <c r="D3876" t="s">
        <v>113</v>
      </c>
      <c r="E3876" t="s">
        <v>13</v>
      </c>
      <c r="F3876">
        <v>2</v>
      </c>
      <c r="G3876" t="str">
        <f>VLOOKUP(D3876,Товары!A:I,3,0)</f>
        <v>Зеркальный шкаф Альба 60 со светильником правый цвет мята</v>
      </c>
      <c r="H3876">
        <f>VLOOKUP(D3876,Товары!A:I,6,0)</f>
        <v>75</v>
      </c>
      <c r="I3876" t="str">
        <f>VLOOKUP(C3876,Магазины!A:C,3,0)</f>
        <v>Кемерово</v>
      </c>
      <c r="J3876">
        <f>VLOOKUP(D3876,Товары!A:I,4,0)</f>
        <v>8910</v>
      </c>
      <c r="K3876">
        <f t="shared" si="60"/>
        <v>17820</v>
      </c>
    </row>
    <row r="3877" spans="1:11" hidden="1" x14ac:dyDescent="0.25">
      <c r="A3877">
        <v>3876</v>
      </c>
      <c r="B3877" s="1">
        <v>45756</v>
      </c>
      <c r="C3877" t="s">
        <v>35</v>
      </c>
      <c r="D3877" t="s">
        <v>83</v>
      </c>
      <c r="E3877" t="s">
        <v>13</v>
      </c>
      <c r="F3877">
        <v>1</v>
      </c>
      <c r="G3877" t="str">
        <f>VLOOKUP(D3877,Товары!A:I,3,0)</f>
        <v>Зеркальный шкаф Альба 60 со светильником правый цвет суфле</v>
      </c>
      <c r="H3877">
        <f>VLOOKUP(D3877,Товары!A:I,6,0)</f>
        <v>75</v>
      </c>
      <c r="I3877" t="str">
        <f>VLOOKUP(C3877,Магазины!A:C,3,0)</f>
        <v>Набережные Челны</v>
      </c>
      <c r="J3877">
        <f>VLOOKUP(D3877,Товары!A:I,4,0)</f>
        <v>8910</v>
      </c>
      <c r="K3877">
        <f t="shared" si="60"/>
        <v>8910</v>
      </c>
    </row>
    <row r="3878" spans="1:11" hidden="1" x14ac:dyDescent="0.25">
      <c r="A3878">
        <v>3877</v>
      </c>
      <c r="B3878" s="1">
        <v>45753</v>
      </c>
      <c r="C3878" t="s">
        <v>111</v>
      </c>
      <c r="D3878" t="s">
        <v>110</v>
      </c>
      <c r="E3878" t="s">
        <v>8</v>
      </c>
      <c r="F3878">
        <v>1</v>
      </c>
      <c r="G3878" t="str">
        <f>VLOOKUP(D3878,Товары!A:I,3,0)</f>
        <v>Тумба с раковиной  напол. Альба 600 антрацит 2 ящика с умыв. Океан</v>
      </c>
      <c r="H3878">
        <f>VLOOKUP(D3878,Товары!A:I,6,0)</f>
        <v>80</v>
      </c>
      <c r="I3878" t="str">
        <f>VLOOKUP(C3878,Магазины!A:C,3,0)</f>
        <v>Набережные Челны</v>
      </c>
      <c r="J3878">
        <f>VLOOKUP(D3878,Товары!A:I,4,0)</f>
        <v>26370</v>
      </c>
      <c r="K3878">
        <f t="shared" si="60"/>
        <v>26370</v>
      </c>
    </row>
    <row r="3879" spans="1:11" hidden="1" x14ac:dyDescent="0.25">
      <c r="A3879">
        <v>3878</v>
      </c>
      <c r="B3879" s="1">
        <v>45750</v>
      </c>
      <c r="C3879" t="s">
        <v>6</v>
      </c>
      <c r="D3879" t="s">
        <v>66</v>
      </c>
      <c r="E3879" t="s">
        <v>8</v>
      </c>
      <c r="F3879">
        <v>1</v>
      </c>
      <c r="G3879" t="str">
        <f>VLOOKUP(D3879,Товары!A:I,3,0)</f>
        <v>Тумба с раковиной  навес. Альба 800 мята 2 ящика с умыв. Слим</v>
      </c>
      <c r="H3879">
        <f>VLOOKUP(D3879,Товары!A:I,6,0)</f>
        <v>50</v>
      </c>
      <c r="I3879" t="str">
        <f>VLOOKUP(C3879,Магазины!A:C,3,0)</f>
        <v>Оренбург</v>
      </c>
      <c r="J3879">
        <f>VLOOKUP(D3879,Товары!A:I,4,0)</f>
        <v>26070</v>
      </c>
      <c r="K3879">
        <f t="shared" si="60"/>
        <v>26070</v>
      </c>
    </row>
    <row r="3880" spans="1:11" hidden="1" x14ac:dyDescent="0.25">
      <c r="A3880">
        <v>3879</v>
      </c>
      <c r="B3880" s="1">
        <v>45752</v>
      </c>
      <c r="C3880" t="s">
        <v>14</v>
      </c>
      <c r="D3880" t="s">
        <v>82</v>
      </c>
      <c r="E3880" t="s">
        <v>13</v>
      </c>
      <c r="F3880">
        <v>2</v>
      </c>
      <c r="G3880" t="str">
        <f>VLOOKUP(D3880,Товары!A:I,3,0)</f>
        <v>Тумба с раковиной  навес. Леон 800 форест 2 ящика с умыв. Слим</v>
      </c>
      <c r="H3880">
        <f>VLOOKUP(D3880,Товары!A:I,6,0)</f>
        <v>60</v>
      </c>
      <c r="I3880" t="str">
        <f>VLOOKUP(C3880,Магазины!A:C,3,0)</f>
        <v>Оренбург</v>
      </c>
      <c r="J3880">
        <f>VLOOKUP(D3880,Товары!A:I,4,0)</f>
        <v>27930</v>
      </c>
      <c r="K3880">
        <f t="shared" si="60"/>
        <v>55860</v>
      </c>
    </row>
    <row r="3881" spans="1:11" hidden="1" x14ac:dyDescent="0.25">
      <c r="A3881">
        <v>3880</v>
      </c>
      <c r="B3881" s="1">
        <v>45750</v>
      </c>
      <c r="C3881" t="s">
        <v>6</v>
      </c>
      <c r="D3881" t="s">
        <v>123</v>
      </c>
      <c r="E3881" t="s">
        <v>8</v>
      </c>
      <c r="F3881">
        <v>1</v>
      </c>
      <c r="G3881" t="str">
        <f>VLOOKUP(D3881,Товары!A:I,3,0)</f>
        <v>Тумба с раковиной  напол. Кристалл 800 суфле 2 ящика с умыв. Слим</v>
      </c>
      <c r="H3881">
        <f>VLOOKUP(D3881,Товары!A:I,6,0)</f>
        <v>80</v>
      </c>
      <c r="I3881" t="str">
        <f>VLOOKUP(C3881,Магазины!A:C,3,0)</f>
        <v>Оренбург</v>
      </c>
      <c r="J3881">
        <f>VLOOKUP(D3881,Товары!A:I,4,0)</f>
        <v>31125</v>
      </c>
      <c r="K3881">
        <f t="shared" si="60"/>
        <v>31125</v>
      </c>
    </row>
    <row r="3882" spans="1:11" hidden="1" x14ac:dyDescent="0.25">
      <c r="A3882">
        <v>3881</v>
      </c>
      <c r="B3882" s="1">
        <v>45753</v>
      </c>
      <c r="C3882" t="s">
        <v>43</v>
      </c>
      <c r="D3882" t="s">
        <v>101</v>
      </c>
      <c r="E3882" t="s">
        <v>13</v>
      </c>
      <c r="F3882">
        <v>1</v>
      </c>
      <c r="G3882" t="str">
        <f>VLOOKUP(D3882,Товары!A:I,3,0)</f>
        <v>Пенал напол. Сохо 400 белый 2 двери + 1 ящик</v>
      </c>
      <c r="H3882">
        <f>VLOOKUP(D3882,Товары!A:I,6,0)</f>
        <v>190</v>
      </c>
      <c r="I3882" t="str">
        <f>VLOOKUP(C3882,Магазины!A:C,3,0)</f>
        <v>Набережные Челны</v>
      </c>
      <c r="J3882">
        <f>VLOOKUP(D3882,Товары!A:I,4,0)</f>
        <v>11040</v>
      </c>
      <c r="K3882">
        <f t="shared" si="60"/>
        <v>11040</v>
      </c>
    </row>
    <row r="3883" spans="1:11" hidden="1" x14ac:dyDescent="0.25">
      <c r="A3883">
        <v>3882</v>
      </c>
      <c r="B3883" s="1">
        <v>45748</v>
      </c>
      <c r="C3883" t="s">
        <v>92</v>
      </c>
      <c r="D3883" t="s">
        <v>116</v>
      </c>
      <c r="E3883" t="s">
        <v>13</v>
      </c>
      <c r="F3883">
        <v>1</v>
      </c>
      <c r="G3883" t="str">
        <f>VLOOKUP(D3883,Товары!A:I,3,0)</f>
        <v>Зеркало Нева 60 дуб/белый со светильником</v>
      </c>
      <c r="H3883">
        <f>VLOOKUP(D3883,Товары!A:I,6,0)</f>
        <v>80</v>
      </c>
      <c r="I3883" t="str">
        <f>VLOOKUP(C3883,Магазины!A:C,3,0)</f>
        <v>Кемерово</v>
      </c>
      <c r="J3883">
        <f>VLOOKUP(D3883,Товары!A:I,4,0)</f>
        <v>5100</v>
      </c>
      <c r="K3883">
        <f t="shared" si="60"/>
        <v>5100</v>
      </c>
    </row>
    <row r="3884" spans="1:11" hidden="1" x14ac:dyDescent="0.25">
      <c r="A3884">
        <v>3883</v>
      </c>
      <c r="B3884" s="1">
        <v>45752</v>
      </c>
      <c r="C3884" t="s">
        <v>16</v>
      </c>
      <c r="D3884" t="s">
        <v>51</v>
      </c>
      <c r="E3884" t="s">
        <v>13</v>
      </c>
      <c r="F3884">
        <v>3</v>
      </c>
      <c r="G3884" t="str">
        <f>VLOOKUP(D3884,Товары!A:I,3,0)</f>
        <v>Зеркальный шкаф Альба 80 со светильником правый цвет суфле</v>
      </c>
      <c r="H3884">
        <f>VLOOKUP(D3884,Товары!A:I,6,0)</f>
        <v>75</v>
      </c>
      <c r="I3884" t="str">
        <f>VLOOKUP(C3884,Магазины!A:C,3,0)</f>
        <v>Оренбург</v>
      </c>
      <c r="J3884">
        <f>VLOOKUP(D3884,Товары!A:I,4,0)</f>
        <v>9930</v>
      </c>
      <c r="K3884">
        <f t="shared" si="60"/>
        <v>29790</v>
      </c>
    </row>
    <row r="3885" spans="1:11" hidden="1" x14ac:dyDescent="0.25">
      <c r="A3885">
        <v>3884</v>
      </c>
      <c r="B3885" s="1">
        <v>45750</v>
      </c>
      <c r="C3885" t="s">
        <v>43</v>
      </c>
      <c r="D3885" t="s">
        <v>98</v>
      </c>
      <c r="E3885" t="s">
        <v>8</v>
      </c>
      <c r="F3885">
        <v>1</v>
      </c>
      <c r="G3885" t="str">
        <f>VLOOKUP(D3885,Товары!A:I,3,0)</f>
        <v>Тумба с раковиной  напол. Рица 800 cерый/керамика 2 ящика с умыв. Слим</v>
      </c>
      <c r="H3885">
        <f>VLOOKUP(D3885,Товары!A:I,6,0)</f>
        <v>80</v>
      </c>
      <c r="I3885" t="str">
        <f>VLOOKUP(C3885,Магазины!A:C,3,0)</f>
        <v>Набережные Челны</v>
      </c>
      <c r="J3885">
        <f>VLOOKUP(D3885,Товары!A:I,4,0)</f>
        <v>28980</v>
      </c>
      <c r="K3885">
        <f t="shared" si="60"/>
        <v>28980</v>
      </c>
    </row>
    <row r="3886" spans="1:11" hidden="1" x14ac:dyDescent="0.25">
      <c r="A3886">
        <v>3885</v>
      </c>
      <c r="B3886" s="1">
        <v>45750</v>
      </c>
      <c r="C3886" t="s">
        <v>57</v>
      </c>
      <c r="D3886" t="s">
        <v>85</v>
      </c>
      <c r="E3886" t="s">
        <v>8</v>
      </c>
      <c r="F3886">
        <v>3</v>
      </c>
      <c r="G3886" t="str">
        <f>VLOOKUP(D3886,Товары!A:I,3,0)</f>
        <v>Пенал напол. Аква 450 белый 2 двери + 2 ящика + корзина</v>
      </c>
      <c r="H3886">
        <f>VLOOKUP(D3886,Товары!A:I,6,0)</f>
        <v>190</v>
      </c>
      <c r="I3886" t="str">
        <f>VLOOKUP(C3886,Магазины!A:C,3,0)</f>
        <v>Оренбург</v>
      </c>
      <c r="J3886">
        <f>VLOOKUP(D3886,Товары!A:I,4,0)</f>
        <v>13335</v>
      </c>
      <c r="K3886">
        <f t="shared" si="60"/>
        <v>40005</v>
      </c>
    </row>
    <row r="3887" spans="1:11" hidden="1" x14ac:dyDescent="0.25">
      <c r="A3887">
        <v>3886</v>
      </c>
      <c r="B3887" s="1">
        <v>45751</v>
      </c>
      <c r="C3887" t="s">
        <v>54</v>
      </c>
      <c r="D3887" t="s">
        <v>131</v>
      </c>
      <c r="E3887" t="s">
        <v>13</v>
      </c>
      <c r="F3887">
        <v>2</v>
      </c>
      <c r="G3887" t="str">
        <f>VLOOKUP(D3887,Товары!A:I,3,0)</f>
        <v>Тумба с раковиной  напол. Леон 800 форест 2 ящика с умыв. Слим</v>
      </c>
      <c r="H3887">
        <f>VLOOKUP(D3887,Товары!A:I,6,0)</f>
        <v>80</v>
      </c>
      <c r="I3887" t="str">
        <f>VLOOKUP(C3887,Магазины!A:C,3,0)</f>
        <v>Ставрополь</v>
      </c>
      <c r="J3887">
        <f>VLOOKUP(D3887,Товары!A:I,4,0)</f>
        <v>29400</v>
      </c>
      <c r="K3887">
        <f t="shared" si="60"/>
        <v>58800</v>
      </c>
    </row>
    <row r="3888" spans="1:11" hidden="1" x14ac:dyDescent="0.25">
      <c r="A3888">
        <v>3887</v>
      </c>
      <c r="B3888" s="1">
        <v>45748</v>
      </c>
      <c r="C3888" t="s">
        <v>6</v>
      </c>
      <c r="D3888" t="s">
        <v>72</v>
      </c>
      <c r="E3888" t="s">
        <v>13</v>
      </c>
      <c r="F3888">
        <v>2</v>
      </c>
      <c r="G3888" t="str">
        <f>VLOOKUP(D3888,Товары!A:I,3,0)</f>
        <v>Тумба с раковиной  напол. Сохо 600 белый 2 ящика с умыв. Океан</v>
      </c>
      <c r="H3888">
        <f>VLOOKUP(D3888,Товары!A:I,6,0)</f>
        <v>85</v>
      </c>
      <c r="I3888" t="str">
        <f>VLOOKUP(C3888,Магазины!A:C,3,0)</f>
        <v>Оренбург</v>
      </c>
      <c r="J3888">
        <f>VLOOKUP(D3888,Товары!A:I,4,0)</f>
        <v>16140</v>
      </c>
      <c r="K3888">
        <f t="shared" si="60"/>
        <v>32280</v>
      </c>
    </row>
    <row r="3889" spans="1:11" hidden="1" x14ac:dyDescent="0.25">
      <c r="A3889">
        <v>3888</v>
      </c>
      <c r="B3889" s="1">
        <v>45750</v>
      </c>
      <c r="C3889" t="s">
        <v>43</v>
      </c>
      <c r="D3889" t="s">
        <v>49</v>
      </c>
      <c r="E3889" t="s">
        <v>13</v>
      </c>
      <c r="F3889">
        <v>2</v>
      </c>
      <c r="G3889" t="str">
        <f>VLOOKUP(D3889,Товары!A:I,3,0)</f>
        <v>Тумба с раковиной  напол. Леон 700 оникс 2 ящика с умыв. Слим</v>
      </c>
      <c r="H3889">
        <f>VLOOKUP(D3889,Товары!A:I,6,0)</f>
        <v>80</v>
      </c>
      <c r="I3889" t="str">
        <f>VLOOKUP(C3889,Магазины!A:C,3,0)</f>
        <v>Набережные Челны</v>
      </c>
      <c r="J3889">
        <f>VLOOKUP(D3889,Товары!A:I,4,0)</f>
        <v>28380</v>
      </c>
      <c r="K3889">
        <f t="shared" si="60"/>
        <v>56760</v>
      </c>
    </row>
    <row r="3890" spans="1:11" hidden="1" x14ac:dyDescent="0.25">
      <c r="A3890">
        <v>3889</v>
      </c>
      <c r="B3890" s="1">
        <v>45754</v>
      </c>
      <c r="C3890" t="s">
        <v>28</v>
      </c>
      <c r="D3890" t="s">
        <v>12</v>
      </c>
      <c r="E3890" t="s">
        <v>8</v>
      </c>
      <c r="F3890">
        <v>2</v>
      </c>
      <c r="G3890" t="str">
        <f>VLOOKUP(D3890,Товары!A:I,3,0)</f>
        <v>Тумба с раковиной  напол. Сохо 700 белый 2 двери с умыв. Слим</v>
      </c>
      <c r="H3890">
        <f>VLOOKUP(D3890,Товары!A:I,6,0)</f>
        <v>85</v>
      </c>
      <c r="I3890" t="str">
        <f>VLOOKUP(C3890,Магазины!A:C,3,0)</f>
        <v>Набережные Челны</v>
      </c>
      <c r="J3890">
        <f>VLOOKUP(D3890,Товары!A:I,4,0)</f>
        <v>17160</v>
      </c>
      <c r="K3890">
        <f t="shared" si="60"/>
        <v>34320</v>
      </c>
    </row>
    <row r="3891" spans="1:11" hidden="1" x14ac:dyDescent="0.25">
      <c r="A3891">
        <v>3890</v>
      </c>
      <c r="B3891" s="1">
        <v>45754</v>
      </c>
      <c r="C3891" t="s">
        <v>20</v>
      </c>
      <c r="D3891" t="s">
        <v>50</v>
      </c>
      <c r="E3891" t="s">
        <v>13</v>
      </c>
      <c r="F3891">
        <v>3</v>
      </c>
      <c r="G3891" t="str">
        <f>VLOOKUP(D3891,Товары!A:I,3,0)</f>
        <v>Тумба с раковиной  напол. Леон 800 оникс 2 ящика с умыв. Слим</v>
      </c>
      <c r="H3891">
        <f>VLOOKUP(D3891,Товары!A:I,6,0)</f>
        <v>80</v>
      </c>
      <c r="I3891" t="str">
        <f>VLOOKUP(C3891,Магазины!A:C,3,0)</f>
        <v>Оренбург</v>
      </c>
      <c r="J3891">
        <f>VLOOKUP(D3891,Товары!A:I,4,0)</f>
        <v>29400</v>
      </c>
      <c r="K3891">
        <f t="shared" si="60"/>
        <v>88200</v>
      </c>
    </row>
    <row r="3892" spans="1:11" hidden="1" x14ac:dyDescent="0.25">
      <c r="A3892">
        <v>3891</v>
      </c>
      <c r="B3892" s="1">
        <v>45753</v>
      </c>
      <c r="C3892" t="s">
        <v>41</v>
      </c>
      <c r="D3892" t="s">
        <v>84</v>
      </c>
      <c r="E3892" t="s">
        <v>8</v>
      </c>
      <c r="F3892">
        <v>3</v>
      </c>
      <c r="G3892" t="str">
        <f>VLOOKUP(D3892,Товары!A:I,3,0)</f>
        <v>Тумба с раковиной  напол. Куба Риф 800 белый 3 двери с умыв. Слим</v>
      </c>
      <c r="H3892">
        <f>VLOOKUP(D3892,Товары!A:I,6,0)</f>
        <v>85</v>
      </c>
      <c r="I3892" t="str">
        <f>VLOOKUP(C3892,Магазины!A:C,3,0)</f>
        <v>Ставрополь</v>
      </c>
      <c r="J3892">
        <f>VLOOKUP(D3892,Товары!A:I,4,0)</f>
        <v>19920</v>
      </c>
      <c r="K3892">
        <f t="shared" si="60"/>
        <v>59760</v>
      </c>
    </row>
    <row r="3893" spans="1:11" hidden="1" x14ac:dyDescent="0.25">
      <c r="A3893">
        <v>3892</v>
      </c>
      <c r="B3893" s="1">
        <v>45751</v>
      </c>
      <c r="C3893" t="s">
        <v>18</v>
      </c>
      <c r="D3893" t="s">
        <v>106</v>
      </c>
      <c r="E3893" t="s">
        <v>8</v>
      </c>
      <c r="F3893">
        <v>3</v>
      </c>
      <c r="G3893" t="str">
        <f>VLOOKUP(D3893,Товары!A:I,3,0)</f>
        <v>Тумба с раковиной  навес. Кристалл 700 шато азур 2 ящика с умыв. Слим</v>
      </c>
      <c r="H3893">
        <f>VLOOKUP(D3893,Товары!A:I,6,0)</f>
        <v>60</v>
      </c>
      <c r="I3893" t="str">
        <f>VLOOKUP(C3893,Магазины!A:C,3,0)</f>
        <v>Набережные Челны</v>
      </c>
      <c r="J3893">
        <f>VLOOKUP(D3893,Товары!A:I,4,0)</f>
        <v>24150</v>
      </c>
      <c r="K3893">
        <f t="shared" si="60"/>
        <v>72450</v>
      </c>
    </row>
    <row r="3894" spans="1:11" hidden="1" x14ac:dyDescent="0.25">
      <c r="A3894">
        <v>3893</v>
      </c>
      <c r="B3894" s="1">
        <v>45750</v>
      </c>
      <c r="C3894" t="s">
        <v>92</v>
      </c>
      <c r="D3894" t="s">
        <v>126</v>
      </c>
      <c r="E3894" t="s">
        <v>13</v>
      </c>
      <c r="F3894">
        <v>1</v>
      </c>
      <c r="G3894" t="str">
        <f>VLOOKUP(D3894,Товары!A:I,3,0)</f>
        <v>Тумба с раковиной  напол. Кристалл 800 шато азур 2 ящика с умыв. Комфорт</v>
      </c>
      <c r="H3894">
        <f>VLOOKUP(D3894,Товары!A:I,6,0)</f>
        <v>85</v>
      </c>
      <c r="I3894" t="str">
        <f>VLOOKUP(C3894,Магазины!A:C,3,0)</f>
        <v>Кемерово</v>
      </c>
      <c r="J3894">
        <f>VLOOKUP(D3894,Товары!A:I,4,0)</f>
        <v>31125</v>
      </c>
      <c r="K3894">
        <f t="shared" si="60"/>
        <v>31125</v>
      </c>
    </row>
    <row r="3895" spans="1:11" hidden="1" x14ac:dyDescent="0.25">
      <c r="A3895">
        <v>3894</v>
      </c>
      <c r="B3895" s="1">
        <v>45751</v>
      </c>
      <c r="C3895" t="s">
        <v>11</v>
      </c>
      <c r="D3895" t="s">
        <v>69</v>
      </c>
      <c r="E3895" t="s">
        <v>8</v>
      </c>
      <c r="F3895">
        <v>1</v>
      </c>
      <c r="G3895" t="str">
        <f>VLOOKUP(D3895,Товары!A:I,3,0)</f>
        <v>Пенал навес./напол. Альба 350 антрацит 2 двери</v>
      </c>
      <c r="H3895">
        <f>VLOOKUP(D3895,Товары!A:I,6,0)</f>
        <v>150</v>
      </c>
      <c r="I3895" t="str">
        <f>VLOOKUP(C3895,Магазины!A:C,3,0)</f>
        <v>Кемерово</v>
      </c>
      <c r="J3895">
        <f>VLOOKUP(D3895,Товары!A:I,4,0)</f>
        <v>11655</v>
      </c>
      <c r="K3895">
        <f t="shared" si="60"/>
        <v>11655</v>
      </c>
    </row>
    <row r="3896" spans="1:11" hidden="1" x14ac:dyDescent="0.25">
      <c r="A3896">
        <v>3895</v>
      </c>
      <c r="B3896" s="1">
        <v>45754</v>
      </c>
      <c r="C3896" t="s">
        <v>111</v>
      </c>
      <c r="D3896" t="s">
        <v>96</v>
      </c>
      <c r="E3896" t="s">
        <v>8</v>
      </c>
      <c r="F3896">
        <v>3</v>
      </c>
      <c r="G3896" t="str">
        <f>VLOOKUP(D3896,Товары!A:I,3,0)</f>
        <v>Тумба с раковиной  навес. Альба 600 мята 1 ящик с умыв. Океан</v>
      </c>
      <c r="H3896">
        <f>VLOOKUP(D3896,Товары!A:I,6,0)</f>
        <v>85</v>
      </c>
      <c r="I3896" t="str">
        <f>VLOOKUP(C3896,Магазины!A:C,3,0)</f>
        <v>Набережные Челны</v>
      </c>
      <c r="J3896">
        <f>VLOOKUP(D3896,Товары!A:I,4,0)</f>
        <v>17625</v>
      </c>
      <c r="K3896">
        <f t="shared" si="60"/>
        <v>52875</v>
      </c>
    </row>
    <row r="3897" spans="1:11" hidden="1" x14ac:dyDescent="0.25">
      <c r="A3897">
        <v>3896</v>
      </c>
      <c r="B3897" s="1">
        <v>45750</v>
      </c>
      <c r="C3897" t="s">
        <v>33</v>
      </c>
      <c r="D3897" t="s">
        <v>36</v>
      </c>
      <c r="E3897" t="s">
        <v>8</v>
      </c>
      <c r="F3897">
        <v>1</v>
      </c>
      <c r="G3897" t="str">
        <f>VLOOKUP(D3897,Товары!A:I,3,0)</f>
        <v>Тумба с раковиной  напол. Альба 800 мята 2 ящика с умыв. Слим</v>
      </c>
      <c r="H3897">
        <f>VLOOKUP(D3897,Товары!A:I,6,0)</f>
        <v>80</v>
      </c>
      <c r="I3897" t="str">
        <f>VLOOKUP(C3897,Магазины!A:C,3,0)</f>
        <v>Набережные Челны</v>
      </c>
      <c r="J3897">
        <f>VLOOKUP(D3897,Товары!A:I,4,0)</f>
        <v>29340</v>
      </c>
      <c r="K3897">
        <f t="shared" si="60"/>
        <v>29340</v>
      </c>
    </row>
    <row r="3898" spans="1:11" hidden="1" x14ac:dyDescent="0.25">
      <c r="A3898">
        <v>3897</v>
      </c>
      <c r="B3898" s="1">
        <v>45748</v>
      </c>
      <c r="C3898" t="s">
        <v>43</v>
      </c>
      <c r="D3898" t="s">
        <v>65</v>
      </c>
      <c r="E3898" t="s">
        <v>8</v>
      </c>
      <c r="F3898">
        <v>3</v>
      </c>
      <c r="G3898" t="str">
        <f>VLOOKUP(D3898,Товары!A:I,3,0)</f>
        <v>Тумба с раковиной  навес. Альба 800 суфле 2 ящика с умыв. Слим</v>
      </c>
      <c r="H3898">
        <f>VLOOKUP(D3898,Товары!A:I,6,0)</f>
        <v>50</v>
      </c>
      <c r="I3898" t="str">
        <f>VLOOKUP(C3898,Магазины!A:C,3,0)</f>
        <v>Набережные Челны</v>
      </c>
      <c r="J3898">
        <f>VLOOKUP(D3898,Товары!A:I,4,0)</f>
        <v>26070</v>
      </c>
      <c r="K3898">
        <f t="shared" si="60"/>
        <v>78210</v>
      </c>
    </row>
    <row r="3899" spans="1:11" hidden="1" x14ac:dyDescent="0.25">
      <c r="A3899">
        <v>3898</v>
      </c>
      <c r="B3899" s="1">
        <v>45750</v>
      </c>
      <c r="C3899" t="s">
        <v>41</v>
      </c>
      <c r="D3899" t="s">
        <v>116</v>
      </c>
      <c r="E3899" t="s">
        <v>13</v>
      </c>
      <c r="F3899">
        <v>1</v>
      </c>
      <c r="G3899" t="str">
        <f>VLOOKUP(D3899,Товары!A:I,3,0)</f>
        <v>Зеркало Нева 60 дуб/белый со светильником</v>
      </c>
      <c r="H3899">
        <f>VLOOKUP(D3899,Товары!A:I,6,0)</f>
        <v>80</v>
      </c>
      <c r="I3899" t="str">
        <f>VLOOKUP(C3899,Магазины!A:C,3,0)</f>
        <v>Ставрополь</v>
      </c>
      <c r="J3899">
        <f>VLOOKUP(D3899,Товары!A:I,4,0)</f>
        <v>5100</v>
      </c>
      <c r="K3899">
        <f t="shared" si="60"/>
        <v>5100</v>
      </c>
    </row>
    <row r="3900" spans="1:11" hidden="1" x14ac:dyDescent="0.25">
      <c r="A3900">
        <v>3899</v>
      </c>
      <c r="B3900" s="1">
        <v>45754</v>
      </c>
      <c r="C3900" t="s">
        <v>28</v>
      </c>
      <c r="D3900" t="s">
        <v>89</v>
      </c>
      <c r="E3900" t="s">
        <v>13</v>
      </c>
      <c r="F3900">
        <v>3</v>
      </c>
      <c r="G3900" t="str">
        <f>VLOOKUP(D3900,Товары!A:I,3,0)</f>
        <v>Тумба с раковиной  напол. Сохо 600 белый 2 двери с умыв. Океан</v>
      </c>
      <c r="H3900">
        <f>VLOOKUP(D3900,Товары!A:I,6,0)</f>
        <v>85</v>
      </c>
      <c r="I3900" t="str">
        <f>VLOOKUP(C3900,Магазины!A:C,3,0)</f>
        <v>Набережные Челны</v>
      </c>
      <c r="J3900">
        <f>VLOOKUP(D3900,Товары!A:I,4,0)</f>
        <v>14880</v>
      </c>
      <c r="K3900">
        <f t="shared" si="60"/>
        <v>44640</v>
      </c>
    </row>
    <row r="3901" spans="1:11" hidden="1" x14ac:dyDescent="0.25">
      <c r="A3901">
        <v>3900</v>
      </c>
      <c r="B3901" s="1">
        <v>45752</v>
      </c>
      <c r="C3901" t="s">
        <v>54</v>
      </c>
      <c r="D3901" t="s">
        <v>7</v>
      </c>
      <c r="E3901" t="s">
        <v>8</v>
      </c>
      <c r="F3901">
        <v>3</v>
      </c>
      <c r="G3901" t="str">
        <f>VLOOKUP(D3901,Товары!A:I,3,0)</f>
        <v>Пенал напол. Леон Риф 400 солярис/белый риф 2 двери + 1 ящик</v>
      </c>
      <c r="H3901">
        <f>VLOOKUP(D3901,Товары!A:I,6,0)</f>
        <v>190</v>
      </c>
      <c r="I3901" t="str">
        <f>VLOOKUP(C3901,Магазины!A:C,3,0)</f>
        <v>Ставрополь</v>
      </c>
      <c r="J3901">
        <f>VLOOKUP(D3901,Товары!A:I,4,0)</f>
        <v>14490</v>
      </c>
      <c r="K3901">
        <f t="shared" si="60"/>
        <v>43470</v>
      </c>
    </row>
    <row r="3902" spans="1:11" hidden="1" x14ac:dyDescent="0.25">
      <c r="A3902">
        <v>3901</v>
      </c>
      <c r="B3902" s="1">
        <v>45753</v>
      </c>
      <c r="C3902" t="s">
        <v>20</v>
      </c>
      <c r="D3902" t="s">
        <v>31</v>
      </c>
      <c r="E3902" t="s">
        <v>13</v>
      </c>
      <c r="F3902">
        <v>3</v>
      </c>
      <c r="G3902" t="str">
        <f>VLOOKUP(D3902,Товары!A:I,3,0)</f>
        <v>Пенал напол. Виктория 350 белый 2 двери</v>
      </c>
      <c r="H3902">
        <f>VLOOKUP(D3902,Товары!A:I,6,0)</f>
        <v>190</v>
      </c>
      <c r="I3902" t="str">
        <f>VLOOKUP(C3902,Магазины!A:C,3,0)</f>
        <v>Оренбург</v>
      </c>
      <c r="J3902">
        <f>VLOOKUP(D3902,Товары!A:I,4,0)</f>
        <v>14085</v>
      </c>
      <c r="K3902">
        <f t="shared" si="60"/>
        <v>42255</v>
      </c>
    </row>
    <row r="3903" spans="1:11" hidden="1" x14ac:dyDescent="0.25">
      <c r="A3903">
        <v>3902</v>
      </c>
      <c r="B3903" s="1">
        <v>45748</v>
      </c>
      <c r="C3903" t="s">
        <v>22</v>
      </c>
      <c r="D3903" t="s">
        <v>62</v>
      </c>
      <c r="E3903" t="s">
        <v>8</v>
      </c>
      <c r="F3903">
        <v>1</v>
      </c>
      <c r="G3903" t="str">
        <f>VLOOKUP(D3903,Товары!A:I,3,0)</f>
        <v>Тумба с раковиной  напол. Альба 600 мята 2 ящика с умыв. Океан</v>
      </c>
      <c r="H3903">
        <f>VLOOKUP(D3903,Товары!A:I,6,0)</f>
        <v>80</v>
      </c>
      <c r="I3903" t="str">
        <f>VLOOKUP(C3903,Магазины!A:C,3,0)</f>
        <v>Кемерово</v>
      </c>
      <c r="J3903">
        <f>VLOOKUP(D3903,Товары!A:I,4,0)</f>
        <v>26370</v>
      </c>
      <c r="K3903">
        <f t="shared" si="60"/>
        <v>26370</v>
      </c>
    </row>
    <row r="3904" spans="1:11" hidden="1" x14ac:dyDescent="0.25">
      <c r="A3904">
        <v>3903</v>
      </c>
      <c r="B3904" s="1">
        <v>45749</v>
      </c>
      <c r="C3904" t="s">
        <v>18</v>
      </c>
      <c r="D3904" t="s">
        <v>99</v>
      </c>
      <c r="E3904" t="s">
        <v>8</v>
      </c>
      <c r="F3904">
        <v>3</v>
      </c>
      <c r="G3904" t="str">
        <f>VLOOKUP(D3904,Товары!A:I,3,0)</f>
        <v>Тумба с раковиной  навес. Леон 600 оникс 2 ящика с умыв. Слим</v>
      </c>
      <c r="H3904">
        <f>VLOOKUP(D3904,Товары!A:I,6,0)</f>
        <v>60</v>
      </c>
      <c r="I3904" t="str">
        <f>VLOOKUP(C3904,Магазины!A:C,3,0)</f>
        <v>Набережные Челны</v>
      </c>
      <c r="J3904">
        <f>VLOOKUP(D3904,Товары!A:I,4,0)</f>
        <v>25125</v>
      </c>
      <c r="K3904">
        <f t="shared" si="60"/>
        <v>75375</v>
      </c>
    </row>
    <row r="3905" spans="1:11" hidden="1" x14ac:dyDescent="0.25">
      <c r="A3905">
        <v>3904</v>
      </c>
      <c r="B3905" s="1">
        <v>45751</v>
      </c>
      <c r="C3905" t="s">
        <v>57</v>
      </c>
      <c r="D3905" t="s">
        <v>99</v>
      </c>
      <c r="E3905" t="s">
        <v>13</v>
      </c>
      <c r="F3905">
        <v>1</v>
      </c>
      <c r="G3905" t="str">
        <f>VLOOKUP(D3905,Товары!A:I,3,0)</f>
        <v>Тумба с раковиной  навес. Леон 600 оникс 2 ящика с умыв. Слим</v>
      </c>
      <c r="H3905">
        <f>VLOOKUP(D3905,Товары!A:I,6,0)</f>
        <v>60</v>
      </c>
      <c r="I3905" t="str">
        <f>VLOOKUP(C3905,Магазины!A:C,3,0)</f>
        <v>Оренбург</v>
      </c>
      <c r="J3905">
        <f>VLOOKUP(D3905,Товары!A:I,4,0)</f>
        <v>25125</v>
      </c>
      <c r="K3905">
        <f t="shared" si="60"/>
        <v>25125</v>
      </c>
    </row>
    <row r="3906" spans="1:11" hidden="1" x14ac:dyDescent="0.25">
      <c r="A3906">
        <v>3905</v>
      </c>
      <c r="B3906" s="1">
        <v>45751</v>
      </c>
      <c r="C3906" t="s">
        <v>16</v>
      </c>
      <c r="D3906" t="s">
        <v>65</v>
      </c>
      <c r="E3906" t="s">
        <v>13</v>
      </c>
      <c r="F3906">
        <v>3</v>
      </c>
      <c r="G3906" t="str">
        <f>VLOOKUP(D3906,Товары!A:I,3,0)</f>
        <v>Тумба с раковиной  навес. Альба 800 суфле 2 ящика с умыв. Слим</v>
      </c>
      <c r="H3906">
        <f>VLOOKUP(D3906,Товары!A:I,6,0)</f>
        <v>50</v>
      </c>
      <c r="I3906" t="str">
        <f>VLOOKUP(C3906,Магазины!A:C,3,0)</f>
        <v>Оренбург</v>
      </c>
      <c r="J3906">
        <f>VLOOKUP(D3906,Товары!A:I,4,0)</f>
        <v>26070</v>
      </c>
      <c r="K3906">
        <f t="shared" si="60"/>
        <v>78210</v>
      </c>
    </row>
    <row r="3907" spans="1:11" hidden="1" x14ac:dyDescent="0.25">
      <c r="A3907">
        <v>3906</v>
      </c>
      <c r="B3907" s="1">
        <v>45753</v>
      </c>
      <c r="C3907" t="s">
        <v>63</v>
      </c>
      <c r="D3907" t="s">
        <v>19</v>
      </c>
      <c r="E3907" t="s">
        <v>13</v>
      </c>
      <c r="F3907">
        <v>1</v>
      </c>
      <c r="G3907" t="str">
        <f>VLOOKUP(D3907,Товары!A:I,3,0)</f>
        <v>Тумба с раковиной  навес. Леон 800 оникс 2 ящика с умыв. Слим</v>
      </c>
      <c r="H3907">
        <f>VLOOKUP(D3907,Товары!A:I,6,0)</f>
        <v>60</v>
      </c>
      <c r="I3907" t="str">
        <f>VLOOKUP(C3907,Магазины!A:C,3,0)</f>
        <v>Ставрополь</v>
      </c>
      <c r="J3907">
        <f>VLOOKUP(D3907,Товары!A:I,4,0)</f>
        <v>27930</v>
      </c>
      <c r="K3907">
        <f t="shared" ref="K3907:K3970" si="61">J3907*F3907</f>
        <v>27930</v>
      </c>
    </row>
    <row r="3908" spans="1:11" hidden="1" x14ac:dyDescent="0.25">
      <c r="A3908">
        <v>3907</v>
      </c>
      <c r="B3908" s="1">
        <v>45750</v>
      </c>
      <c r="C3908" t="s">
        <v>92</v>
      </c>
      <c r="D3908" t="s">
        <v>130</v>
      </c>
      <c r="E3908" t="s">
        <v>13</v>
      </c>
      <c r="F3908">
        <v>3</v>
      </c>
      <c r="G3908" t="str">
        <f>VLOOKUP(D3908,Товары!A:I,3,0)</f>
        <v>Пенал напол. Леон 400 форест 2 двери + 1 ящик</v>
      </c>
      <c r="H3908">
        <f>VLOOKUP(D3908,Товары!A:I,6,0)</f>
        <v>190</v>
      </c>
      <c r="I3908" t="str">
        <f>VLOOKUP(C3908,Магазины!A:C,3,0)</f>
        <v>Кемерово</v>
      </c>
      <c r="J3908">
        <f>VLOOKUP(D3908,Товары!A:I,4,0)</f>
        <v>18450</v>
      </c>
      <c r="K3908">
        <f t="shared" si="61"/>
        <v>55350</v>
      </c>
    </row>
    <row r="3909" spans="1:11" hidden="1" x14ac:dyDescent="0.25">
      <c r="A3909">
        <v>3908</v>
      </c>
      <c r="B3909" s="1">
        <v>45757</v>
      </c>
      <c r="C3909" t="s">
        <v>28</v>
      </c>
      <c r="D3909" t="s">
        <v>108</v>
      </c>
      <c r="E3909" t="s">
        <v>8</v>
      </c>
      <c r="F3909">
        <v>1</v>
      </c>
      <c r="G3909" t="str">
        <f>VLOOKUP(D3909,Товары!A:I,3,0)</f>
        <v>Тумба с раковиной  навес. Виктория 1000 белый 2 ящика с умыв. Слим</v>
      </c>
      <c r="H3909">
        <f>VLOOKUP(D3909,Товары!A:I,6,0)</f>
        <v>60</v>
      </c>
      <c r="I3909" t="str">
        <f>VLOOKUP(C3909,Магазины!A:C,3,0)</f>
        <v>Набережные Челны</v>
      </c>
      <c r="J3909">
        <f>VLOOKUP(D3909,Товары!A:I,4,0)</f>
        <v>29205</v>
      </c>
      <c r="K3909">
        <f t="shared" si="61"/>
        <v>29205</v>
      </c>
    </row>
    <row r="3910" spans="1:11" hidden="1" x14ac:dyDescent="0.25">
      <c r="A3910">
        <v>3909</v>
      </c>
      <c r="B3910" s="1">
        <v>45753</v>
      </c>
      <c r="C3910" t="s">
        <v>111</v>
      </c>
      <c r="D3910" t="s">
        <v>27</v>
      </c>
      <c r="E3910" t="s">
        <v>8</v>
      </c>
      <c r="F3910">
        <v>1</v>
      </c>
      <c r="G3910" t="str">
        <f>VLOOKUP(D3910,Товары!A:I,3,0)</f>
        <v>Тумба с раковиной  навес. Виктория 800 белый 2 ящика с умыв. Слим</v>
      </c>
      <c r="H3910">
        <f>VLOOKUP(D3910,Товары!A:I,6,0)</f>
        <v>60</v>
      </c>
      <c r="I3910" t="str">
        <f>VLOOKUP(C3910,Магазины!A:C,3,0)</f>
        <v>Набережные Челны</v>
      </c>
      <c r="J3910">
        <f>VLOOKUP(D3910,Товары!A:I,4,0)</f>
        <v>25290</v>
      </c>
      <c r="K3910">
        <f t="shared" si="61"/>
        <v>25290</v>
      </c>
    </row>
    <row r="3911" spans="1:11" hidden="1" x14ac:dyDescent="0.25">
      <c r="A3911">
        <v>3910</v>
      </c>
      <c r="B3911" s="1">
        <v>45754</v>
      </c>
      <c r="C3911" t="s">
        <v>43</v>
      </c>
      <c r="D3911" t="s">
        <v>38</v>
      </c>
      <c r="E3911" t="s">
        <v>8</v>
      </c>
      <c r="F3911">
        <v>3</v>
      </c>
      <c r="G3911" t="str">
        <f>VLOOKUP(D3911,Товары!A:I,3,0)</f>
        <v>Тумба с раковиной  навес. Куба Риф 600 белый 2 ящика с умыв. Como</v>
      </c>
      <c r="H3911">
        <f>VLOOKUP(D3911,Товары!A:I,6,0)</f>
        <v>55</v>
      </c>
      <c r="I3911" t="str">
        <f>VLOOKUP(C3911,Магазины!A:C,3,0)</f>
        <v>Набережные Челны</v>
      </c>
      <c r="J3911">
        <f>VLOOKUP(D3911,Товары!A:I,4,0)</f>
        <v>14265</v>
      </c>
      <c r="K3911">
        <f t="shared" si="61"/>
        <v>42795</v>
      </c>
    </row>
    <row r="3912" spans="1:11" hidden="1" x14ac:dyDescent="0.25">
      <c r="A3912">
        <v>3911</v>
      </c>
      <c r="B3912" s="1">
        <v>45755</v>
      </c>
      <c r="C3912" t="s">
        <v>111</v>
      </c>
      <c r="D3912" t="s">
        <v>27</v>
      </c>
      <c r="E3912" t="s">
        <v>13</v>
      </c>
      <c r="F3912">
        <v>2</v>
      </c>
      <c r="G3912" t="str">
        <f>VLOOKUP(D3912,Товары!A:I,3,0)</f>
        <v>Тумба с раковиной  навес. Виктория 800 белый 2 ящика с умыв. Слим</v>
      </c>
      <c r="H3912">
        <f>VLOOKUP(D3912,Товары!A:I,6,0)</f>
        <v>60</v>
      </c>
      <c r="I3912" t="str">
        <f>VLOOKUP(C3912,Магазины!A:C,3,0)</f>
        <v>Набережные Челны</v>
      </c>
      <c r="J3912">
        <f>VLOOKUP(D3912,Товары!A:I,4,0)</f>
        <v>25290</v>
      </c>
      <c r="K3912">
        <f t="shared" si="61"/>
        <v>50580</v>
      </c>
    </row>
    <row r="3913" spans="1:11" hidden="1" x14ac:dyDescent="0.25">
      <c r="A3913">
        <v>3912</v>
      </c>
      <c r="B3913" s="1">
        <v>45756</v>
      </c>
      <c r="C3913" t="s">
        <v>11</v>
      </c>
      <c r="D3913" t="s">
        <v>108</v>
      </c>
      <c r="E3913" t="s">
        <v>8</v>
      </c>
      <c r="F3913">
        <v>1</v>
      </c>
      <c r="G3913" t="str">
        <f>VLOOKUP(D3913,Товары!A:I,3,0)</f>
        <v>Тумба с раковиной  навес. Виктория 1000 белый 2 ящика с умыв. Слим</v>
      </c>
      <c r="H3913">
        <f>VLOOKUP(D3913,Товары!A:I,6,0)</f>
        <v>60</v>
      </c>
      <c r="I3913" t="str">
        <f>VLOOKUP(C3913,Магазины!A:C,3,0)</f>
        <v>Кемерово</v>
      </c>
      <c r="J3913">
        <f>VLOOKUP(D3913,Товары!A:I,4,0)</f>
        <v>29205</v>
      </c>
      <c r="K3913">
        <f t="shared" si="61"/>
        <v>29205</v>
      </c>
    </row>
    <row r="3914" spans="1:11" hidden="1" x14ac:dyDescent="0.25">
      <c r="A3914">
        <v>3913</v>
      </c>
      <c r="B3914" s="1">
        <v>45754</v>
      </c>
      <c r="C3914" t="s">
        <v>54</v>
      </c>
      <c r="D3914" t="s">
        <v>118</v>
      </c>
      <c r="E3914" t="s">
        <v>13</v>
      </c>
      <c r="F3914">
        <v>1</v>
      </c>
      <c r="G3914" t="str">
        <f>VLOOKUP(D3914,Товары!A:I,3,0)</f>
        <v>Тумба с раковиной  напол. Сохо 800 белый 2 ящика с умыв. Слим</v>
      </c>
      <c r="H3914">
        <f>VLOOKUP(D3914,Товары!A:I,6,0)</f>
        <v>85</v>
      </c>
      <c r="I3914" t="str">
        <f>VLOOKUP(C3914,Магазины!A:C,3,0)</f>
        <v>Ставрополь</v>
      </c>
      <c r="J3914">
        <f>VLOOKUP(D3914,Товары!A:I,4,0)</f>
        <v>19575</v>
      </c>
      <c r="K3914">
        <f t="shared" si="61"/>
        <v>19575</v>
      </c>
    </row>
    <row r="3915" spans="1:11" hidden="1" x14ac:dyDescent="0.25">
      <c r="A3915">
        <v>3914</v>
      </c>
      <c r="B3915" s="1">
        <v>45748</v>
      </c>
      <c r="C3915" t="s">
        <v>20</v>
      </c>
      <c r="D3915" t="s">
        <v>108</v>
      </c>
      <c r="E3915" t="s">
        <v>13</v>
      </c>
      <c r="F3915">
        <v>3</v>
      </c>
      <c r="G3915" t="str">
        <f>VLOOKUP(D3915,Товары!A:I,3,0)</f>
        <v>Тумба с раковиной  навес. Виктория 1000 белый 2 ящика с умыв. Слим</v>
      </c>
      <c r="H3915">
        <f>VLOOKUP(D3915,Товары!A:I,6,0)</f>
        <v>60</v>
      </c>
      <c r="I3915" t="str">
        <f>VLOOKUP(C3915,Магазины!A:C,3,0)</f>
        <v>Оренбург</v>
      </c>
      <c r="J3915">
        <f>VLOOKUP(D3915,Товары!A:I,4,0)</f>
        <v>29205</v>
      </c>
      <c r="K3915">
        <f t="shared" si="61"/>
        <v>87615</v>
      </c>
    </row>
    <row r="3916" spans="1:11" hidden="1" x14ac:dyDescent="0.25">
      <c r="A3916">
        <v>3915</v>
      </c>
      <c r="B3916" s="1">
        <v>45750</v>
      </c>
      <c r="C3916" t="s">
        <v>41</v>
      </c>
      <c r="D3916" t="s">
        <v>127</v>
      </c>
      <c r="E3916" t="s">
        <v>8</v>
      </c>
      <c r="F3916">
        <v>2</v>
      </c>
      <c r="G3916" t="str">
        <f>VLOOKUP(D3916,Товары!A:I,3,0)</f>
        <v>Тумба с раковиной  навес. Альба 700 мята 1 ящик с умыв. Слим</v>
      </c>
      <c r="H3916">
        <f>VLOOKUP(D3916,Товары!A:I,6,0)</f>
        <v>45</v>
      </c>
      <c r="I3916" t="str">
        <f>VLOOKUP(C3916,Магазины!A:C,3,0)</f>
        <v>Ставрополь</v>
      </c>
      <c r="J3916">
        <f>VLOOKUP(D3916,Товары!A:I,4,0)</f>
        <v>20130</v>
      </c>
      <c r="K3916">
        <f t="shared" si="61"/>
        <v>40260</v>
      </c>
    </row>
    <row r="3917" spans="1:11" hidden="1" x14ac:dyDescent="0.25">
      <c r="A3917">
        <v>3916</v>
      </c>
      <c r="B3917" s="1">
        <v>45753</v>
      </c>
      <c r="C3917" t="s">
        <v>54</v>
      </c>
      <c r="D3917" t="s">
        <v>87</v>
      </c>
      <c r="E3917" t="s">
        <v>8</v>
      </c>
      <c r="F3917">
        <v>1</v>
      </c>
      <c r="G3917" t="str">
        <f>VLOOKUP(D3917,Товары!A:I,3,0)</f>
        <v>Тумба с раковиной  напол. Леон 700 форест 2 ящика с умыв. Слим</v>
      </c>
      <c r="H3917">
        <f>VLOOKUP(D3917,Товары!A:I,6,0)</f>
        <v>80</v>
      </c>
      <c r="I3917" t="str">
        <f>VLOOKUP(C3917,Магазины!A:C,3,0)</f>
        <v>Ставрополь</v>
      </c>
      <c r="J3917">
        <f>VLOOKUP(D3917,Товары!A:I,4,0)</f>
        <v>28380</v>
      </c>
      <c r="K3917">
        <f t="shared" si="61"/>
        <v>28380</v>
      </c>
    </row>
    <row r="3918" spans="1:11" hidden="1" x14ac:dyDescent="0.25">
      <c r="A3918">
        <v>3917</v>
      </c>
      <c r="B3918" s="1">
        <v>45754</v>
      </c>
      <c r="C3918" t="s">
        <v>33</v>
      </c>
      <c r="D3918" t="s">
        <v>94</v>
      </c>
      <c r="E3918" t="s">
        <v>8</v>
      </c>
      <c r="F3918">
        <v>2</v>
      </c>
      <c r="G3918" t="str">
        <f>VLOOKUP(D3918,Товары!A:I,3,0)</f>
        <v>Зеркальный шкаф Альба 80 со светильником правый цвет антрацит</v>
      </c>
      <c r="H3918">
        <f>VLOOKUP(D3918,Товары!A:I,6,0)</f>
        <v>75</v>
      </c>
      <c r="I3918" t="str">
        <f>VLOOKUP(C3918,Магазины!A:C,3,0)</f>
        <v>Набережные Челны</v>
      </c>
      <c r="J3918">
        <f>VLOOKUP(D3918,Товары!A:I,4,0)</f>
        <v>9930</v>
      </c>
      <c r="K3918">
        <f t="shared" si="61"/>
        <v>19860</v>
      </c>
    </row>
    <row r="3919" spans="1:11" hidden="1" x14ac:dyDescent="0.25">
      <c r="A3919">
        <v>3918</v>
      </c>
      <c r="B3919" s="1">
        <v>45757</v>
      </c>
      <c r="C3919" t="s">
        <v>22</v>
      </c>
      <c r="D3919" t="s">
        <v>44</v>
      </c>
      <c r="E3919" t="s">
        <v>8</v>
      </c>
      <c r="F3919">
        <v>3</v>
      </c>
      <c r="G3919" t="str">
        <f>VLOOKUP(D3919,Товары!A:I,3,0)</f>
        <v>Тумба с раковиной  навес. Кристалл 800 шато азур 2 ящика с умыв. Комфорт</v>
      </c>
      <c r="H3919">
        <f>VLOOKUP(D3919,Товары!A:I,6,0)</f>
        <v>55</v>
      </c>
      <c r="I3919" t="str">
        <f>VLOOKUP(C3919,Магазины!A:C,3,0)</f>
        <v>Кемерово</v>
      </c>
      <c r="J3919">
        <f>VLOOKUP(D3919,Товары!A:I,4,0)</f>
        <v>25080</v>
      </c>
      <c r="K3919">
        <f t="shared" si="61"/>
        <v>75240</v>
      </c>
    </row>
    <row r="3920" spans="1:11" hidden="1" x14ac:dyDescent="0.25">
      <c r="A3920">
        <v>3919</v>
      </c>
      <c r="B3920" s="1">
        <v>45753</v>
      </c>
      <c r="C3920" t="s">
        <v>9</v>
      </c>
      <c r="D3920" t="s">
        <v>114</v>
      </c>
      <c r="E3920" t="s">
        <v>13</v>
      </c>
      <c r="F3920">
        <v>3</v>
      </c>
      <c r="G3920" t="str">
        <f>VLOOKUP(D3920,Товары!A:I,3,0)</f>
        <v>Тумба с раковиной  навес. Альба 700 мята 2 ящика с умыв. Слим</v>
      </c>
      <c r="H3920">
        <f>VLOOKUP(D3920,Товары!A:I,6,0)</f>
        <v>60</v>
      </c>
      <c r="I3920" t="str">
        <f>VLOOKUP(C3920,Магазины!A:C,3,0)</f>
        <v>Кемерово</v>
      </c>
      <c r="J3920">
        <f>VLOOKUP(D3920,Товары!A:I,4,0)</f>
        <v>25095</v>
      </c>
      <c r="K3920">
        <f t="shared" si="61"/>
        <v>75285</v>
      </c>
    </row>
    <row r="3921" spans="1:11" hidden="1" x14ac:dyDescent="0.25">
      <c r="A3921">
        <v>3920</v>
      </c>
      <c r="B3921" s="1">
        <v>45753</v>
      </c>
      <c r="C3921" t="s">
        <v>22</v>
      </c>
      <c r="D3921" t="s">
        <v>10</v>
      </c>
      <c r="E3921" t="s">
        <v>13</v>
      </c>
      <c r="F3921">
        <v>3</v>
      </c>
      <c r="G3921" t="str">
        <f>VLOOKUP(D3921,Товары!A:I,3,0)</f>
        <v>Тумба с раковиной  навес. Альба 700 антрацит 1 ящик с умыв. Слим</v>
      </c>
      <c r="H3921">
        <f>VLOOKUP(D3921,Товары!A:I,6,0)</f>
        <v>45</v>
      </c>
      <c r="I3921" t="str">
        <f>VLOOKUP(C3921,Магазины!A:C,3,0)</f>
        <v>Кемерово</v>
      </c>
      <c r="J3921">
        <f>VLOOKUP(D3921,Товары!A:I,4,0)</f>
        <v>20130</v>
      </c>
      <c r="K3921">
        <f t="shared" si="61"/>
        <v>60390</v>
      </c>
    </row>
    <row r="3922" spans="1:11" hidden="1" x14ac:dyDescent="0.25">
      <c r="A3922">
        <v>3921</v>
      </c>
      <c r="B3922" s="1">
        <v>45755</v>
      </c>
      <c r="C3922" t="s">
        <v>11</v>
      </c>
      <c r="D3922" t="s">
        <v>89</v>
      </c>
      <c r="E3922" t="s">
        <v>8</v>
      </c>
      <c r="F3922">
        <v>1</v>
      </c>
      <c r="G3922" t="str">
        <f>VLOOKUP(D3922,Товары!A:I,3,0)</f>
        <v>Тумба с раковиной  напол. Сохо 600 белый 2 двери с умыв. Океан</v>
      </c>
      <c r="H3922">
        <f>VLOOKUP(D3922,Товары!A:I,6,0)</f>
        <v>85</v>
      </c>
      <c r="I3922" t="str">
        <f>VLOOKUP(C3922,Магазины!A:C,3,0)</f>
        <v>Кемерово</v>
      </c>
      <c r="J3922">
        <f>VLOOKUP(D3922,Товары!A:I,4,0)</f>
        <v>14880</v>
      </c>
      <c r="K3922">
        <f t="shared" si="61"/>
        <v>14880</v>
      </c>
    </row>
    <row r="3923" spans="1:11" hidden="1" x14ac:dyDescent="0.25">
      <c r="A3923">
        <v>3922</v>
      </c>
      <c r="B3923" s="1">
        <v>45748</v>
      </c>
      <c r="C3923" t="s">
        <v>92</v>
      </c>
      <c r="D3923" t="s">
        <v>77</v>
      </c>
      <c r="E3923" t="s">
        <v>13</v>
      </c>
      <c r="F3923">
        <v>3</v>
      </c>
      <c r="G3923" t="str">
        <f>VLOOKUP(D3923,Товары!A:I,3,0)</f>
        <v>Тумба с раковиной  напол. Куба Риф 600 белый 2 ящика с умыв. Como</v>
      </c>
      <c r="H3923">
        <f>VLOOKUP(D3923,Товары!A:I,6,0)</f>
        <v>85</v>
      </c>
      <c r="I3923" t="str">
        <f>VLOOKUP(C3923,Магазины!A:C,3,0)</f>
        <v>Кемерово</v>
      </c>
      <c r="J3923">
        <f>VLOOKUP(D3923,Товары!A:I,4,0)</f>
        <v>15660</v>
      </c>
      <c r="K3923">
        <f t="shared" si="61"/>
        <v>46980</v>
      </c>
    </row>
    <row r="3924" spans="1:11" hidden="1" x14ac:dyDescent="0.25">
      <c r="A3924">
        <v>3923</v>
      </c>
      <c r="B3924" s="1">
        <v>45755</v>
      </c>
      <c r="C3924" t="s">
        <v>20</v>
      </c>
      <c r="D3924" t="s">
        <v>126</v>
      </c>
      <c r="E3924" t="s">
        <v>13</v>
      </c>
      <c r="F3924">
        <v>1</v>
      </c>
      <c r="G3924" t="str">
        <f>VLOOKUP(D3924,Товары!A:I,3,0)</f>
        <v>Тумба с раковиной  напол. Кристалл 800 шато азур 2 ящика с умыв. Комфорт</v>
      </c>
      <c r="H3924">
        <f>VLOOKUP(D3924,Товары!A:I,6,0)</f>
        <v>85</v>
      </c>
      <c r="I3924" t="str">
        <f>VLOOKUP(C3924,Магазины!A:C,3,0)</f>
        <v>Оренбург</v>
      </c>
      <c r="J3924">
        <f>VLOOKUP(D3924,Товары!A:I,4,0)</f>
        <v>31125</v>
      </c>
      <c r="K3924">
        <f t="shared" si="61"/>
        <v>31125</v>
      </c>
    </row>
    <row r="3925" spans="1:11" hidden="1" x14ac:dyDescent="0.25">
      <c r="A3925">
        <v>3924</v>
      </c>
      <c r="B3925" s="1">
        <v>45753</v>
      </c>
      <c r="C3925" t="s">
        <v>48</v>
      </c>
      <c r="D3925" t="s">
        <v>52</v>
      </c>
      <c r="E3925" t="s">
        <v>13</v>
      </c>
      <c r="F3925">
        <v>1</v>
      </c>
      <c r="G3925" t="str">
        <f>VLOOKUP(D3925,Товары!A:I,3,0)</f>
        <v>Тумба с раковиной  напол. Кристалл 600 суфле 2 ящика с умыв. Океан</v>
      </c>
      <c r="H3925">
        <f>VLOOKUP(D3925,Товары!A:I,6,0)</f>
        <v>80</v>
      </c>
      <c r="I3925" t="str">
        <f>VLOOKUP(C3925,Магазины!A:C,3,0)</f>
        <v>Ставрополь</v>
      </c>
      <c r="J3925">
        <f>VLOOKUP(D3925,Товары!A:I,4,0)</f>
        <v>27600</v>
      </c>
      <c r="K3925">
        <f t="shared" si="61"/>
        <v>27600</v>
      </c>
    </row>
    <row r="3926" spans="1:11" hidden="1" x14ac:dyDescent="0.25">
      <c r="A3926">
        <v>3925</v>
      </c>
      <c r="B3926" s="1">
        <v>45748</v>
      </c>
      <c r="C3926" t="s">
        <v>103</v>
      </c>
      <c r="D3926" t="s">
        <v>78</v>
      </c>
      <c r="E3926" t="s">
        <v>13</v>
      </c>
      <c r="F3926">
        <v>3</v>
      </c>
      <c r="G3926" t="str">
        <f>VLOOKUP(D3926,Товары!A:I,3,0)</f>
        <v>Зеркальный шкаф Кристалл 70 со светильником правый, ручка кнопка дуб цвет Шато Азур</v>
      </c>
      <c r="H3926">
        <f>VLOOKUP(D3926,Товары!A:I,6,0)</f>
        <v>75</v>
      </c>
      <c r="I3926" t="str">
        <f>VLOOKUP(C3926,Магазины!A:C,3,0)</f>
        <v>Ставрополь</v>
      </c>
      <c r="J3926">
        <f>VLOOKUP(D3926,Товары!A:I,4,0)</f>
        <v>9615</v>
      </c>
      <c r="K3926">
        <f t="shared" si="61"/>
        <v>28845</v>
      </c>
    </row>
    <row r="3927" spans="1:11" hidden="1" x14ac:dyDescent="0.25">
      <c r="A3927">
        <v>3926</v>
      </c>
      <c r="B3927" s="1">
        <v>45752</v>
      </c>
      <c r="C3927" t="s">
        <v>20</v>
      </c>
      <c r="D3927" t="s">
        <v>105</v>
      </c>
      <c r="E3927" t="s">
        <v>8</v>
      </c>
      <c r="F3927">
        <v>2</v>
      </c>
      <c r="G3927" t="str">
        <f>VLOOKUP(D3927,Товары!A:I,3,0)</f>
        <v>Тумба с раковиной  напол. Нева 600 белый 2 двери + 1 ящик с умыв. Como</v>
      </c>
      <c r="H3927">
        <f>VLOOKUP(D3927,Товары!A:I,6,0)</f>
        <v>80</v>
      </c>
      <c r="I3927" t="str">
        <f>VLOOKUP(C3927,Магазины!A:C,3,0)</f>
        <v>Оренбург</v>
      </c>
      <c r="J3927">
        <f>VLOOKUP(D3927,Товары!A:I,4,0)</f>
        <v>13470</v>
      </c>
      <c r="K3927">
        <f t="shared" si="61"/>
        <v>26940</v>
      </c>
    </row>
    <row r="3928" spans="1:11" hidden="1" x14ac:dyDescent="0.25">
      <c r="A3928">
        <v>3927</v>
      </c>
      <c r="B3928" s="1">
        <v>45749</v>
      </c>
      <c r="C3928" t="s">
        <v>41</v>
      </c>
      <c r="D3928" t="s">
        <v>82</v>
      </c>
      <c r="E3928" t="s">
        <v>13</v>
      </c>
      <c r="F3928">
        <v>2</v>
      </c>
      <c r="G3928" t="str">
        <f>VLOOKUP(D3928,Товары!A:I,3,0)</f>
        <v>Тумба с раковиной  навес. Леон 800 форест 2 ящика с умыв. Слим</v>
      </c>
      <c r="H3928">
        <f>VLOOKUP(D3928,Товары!A:I,6,0)</f>
        <v>60</v>
      </c>
      <c r="I3928" t="str">
        <f>VLOOKUP(C3928,Магазины!A:C,3,0)</f>
        <v>Ставрополь</v>
      </c>
      <c r="J3928">
        <f>VLOOKUP(D3928,Товары!A:I,4,0)</f>
        <v>27930</v>
      </c>
      <c r="K3928">
        <f t="shared" si="61"/>
        <v>55860</v>
      </c>
    </row>
    <row r="3929" spans="1:11" hidden="1" x14ac:dyDescent="0.25">
      <c r="A3929">
        <v>3928</v>
      </c>
      <c r="B3929" s="1">
        <v>45752</v>
      </c>
      <c r="C3929" t="s">
        <v>28</v>
      </c>
      <c r="D3929" t="s">
        <v>60</v>
      </c>
      <c r="E3929" t="s">
        <v>8</v>
      </c>
      <c r="F3929">
        <v>1</v>
      </c>
      <c r="G3929" t="str">
        <f>VLOOKUP(D3929,Товары!A:I,3,0)</f>
        <v>Пенал навес. Куба Риф 350 белый 2 двери</v>
      </c>
      <c r="H3929">
        <f>VLOOKUP(D3929,Товары!A:I,6,0)</f>
        <v>150</v>
      </c>
      <c r="I3929" t="str">
        <f>VLOOKUP(C3929,Магазины!A:C,3,0)</f>
        <v>Набережные Челны</v>
      </c>
      <c r="J3929">
        <f>VLOOKUP(D3929,Товары!A:I,4,0)</f>
        <v>9720</v>
      </c>
      <c r="K3929">
        <f t="shared" si="61"/>
        <v>9720</v>
      </c>
    </row>
    <row r="3930" spans="1:11" hidden="1" x14ac:dyDescent="0.25">
      <c r="A3930">
        <v>3929</v>
      </c>
      <c r="B3930" s="1">
        <v>45751</v>
      </c>
      <c r="C3930" t="s">
        <v>26</v>
      </c>
      <c r="D3930" t="s">
        <v>110</v>
      </c>
      <c r="E3930" t="s">
        <v>8</v>
      </c>
      <c r="F3930">
        <v>1</v>
      </c>
      <c r="G3930" t="str">
        <f>VLOOKUP(D3930,Товары!A:I,3,0)</f>
        <v>Тумба с раковиной  напол. Альба 600 антрацит 2 ящика с умыв. Океан</v>
      </c>
      <c r="H3930">
        <f>VLOOKUP(D3930,Товары!A:I,6,0)</f>
        <v>80</v>
      </c>
      <c r="I3930" t="str">
        <f>VLOOKUP(C3930,Магазины!A:C,3,0)</f>
        <v>Оренбург</v>
      </c>
      <c r="J3930">
        <f>VLOOKUP(D3930,Товары!A:I,4,0)</f>
        <v>26370</v>
      </c>
      <c r="K3930">
        <f t="shared" si="61"/>
        <v>26370</v>
      </c>
    </row>
    <row r="3931" spans="1:11" hidden="1" x14ac:dyDescent="0.25">
      <c r="A3931">
        <v>3930</v>
      </c>
      <c r="B3931" s="1">
        <v>45752</v>
      </c>
      <c r="C3931" t="s">
        <v>33</v>
      </c>
      <c r="D3931" t="s">
        <v>17</v>
      </c>
      <c r="E3931" t="s">
        <v>8</v>
      </c>
      <c r="F3931">
        <v>1</v>
      </c>
      <c r="G3931" t="str">
        <f>VLOOKUP(D3931,Товары!A:I,3,0)</f>
        <v>Тумба с раковиной  навес. Альба 800 антрацит 1 ящик с умыв. Слим</v>
      </c>
      <c r="H3931">
        <f>VLOOKUP(D3931,Товары!A:I,6,0)</f>
        <v>45</v>
      </c>
      <c r="I3931" t="str">
        <f>VLOOKUP(C3931,Магазины!A:C,3,0)</f>
        <v>Набережные Челны</v>
      </c>
      <c r="J3931">
        <f>VLOOKUP(D3931,Товары!A:I,4,0)</f>
        <v>21630</v>
      </c>
      <c r="K3931">
        <f t="shared" si="61"/>
        <v>21630</v>
      </c>
    </row>
    <row r="3932" spans="1:11" hidden="1" x14ac:dyDescent="0.25">
      <c r="A3932">
        <v>3931</v>
      </c>
      <c r="B3932" s="1">
        <v>45748</v>
      </c>
      <c r="C3932" t="s">
        <v>28</v>
      </c>
      <c r="D3932" t="s">
        <v>74</v>
      </c>
      <c r="E3932" t="s">
        <v>8</v>
      </c>
      <c r="F3932">
        <v>1</v>
      </c>
      <c r="G3932" t="str">
        <f>VLOOKUP(D3932,Товары!A:I,3,0)</f>
        <v>Тумба с раковиной  напол. Альба 800 суфле 2 ящика с умыв. Слим</v>
      </c>
      <c r="H3932">
        <f>VLOOKUP(D3932,Товары!A:I,6,0)</f>
        <v>80</v>
      </c>
      <c r="I3932" t="str">
        <f>VLOOKUP(C3932,Магазины!A:C,3,0)</f>
        <v>Набережные Челны</v>
      </c>
      <c r="J3932">
        <f>VLOOKUP(D3932,Товары!A:I,4,0)</f>
        <v>29340</v>
      </c>
      <c r="K3932">
        <f t="shared" si="61"/>
        <v>29340</v>
      </c>
    </row>
    <row r="3933" spans="1:11" hidden="1" x14ac:dyDescent="0.25">
      <c r="A3933">
        <v>3932</v>
      </c>
      <c r="B3933" s="1">
        <v>45755</v>
      </c>
      <c r="C3933" t="s">
        <v>11</v>
      </c>
      <c r="D3933" t="s">
        <v>84</v>
      </c>
      <c r="E3933" t="s">
        <v>13</v>
      </c>
      <c r="F3933">
        <v>3</v>
      </c>
      <c r="G3933" t="str">
        <f>VLOOKUP(D3933,Товары!A:I,3,0)</f>
        <v>Тумба с раковиной  напол. Куба Риф 800 белый 3 двери с умыв. Слим</v>
      </c>
      <c r="H3933">
        <f>VLOOKUP(D3933,Товары!A:I,6,0)</f>
        <v>85</v>
      </c>
      <c r="I3933" t="str">
        <f>VLOOKUP(C3933,Магазины!A:C,3,0)</f>
        <v>Кемерово</v>
      </c>
      <c r="J3933">
        <f>VLOOKUP(D3933,Товары!A:I,4,0)</f>
        <v>19920</v>
      </c>
      <c r="K3933">
        <f t="shared" si="61"/>
        <v>59760</v>
      </c>
    </row>
    <row r="3934" spans="1:11" hidden="1" x14ac:dyDescent="0.25">
      <c r="A3934">
        <v>3933</v>
      </c>
      <c r="B3934" s="1">
        <v>45756</v>
      </c>
      <c r="C3934" t="s">
        <v>16</v>
      </c>
      <c r="D3934" t="s">
        <v>108</v>
      </c>
      <c r="E3934" t="s">
        <v>13</v>
      </c>
      <c r="F3934">
        <v>1</v>
      </c>
      <c r="G3934" t="str">
        <f>VLOOKUP(D3934,Товары!A:I,3,0)</f>
        <v>Тумба с раковиной  навес. Виктория 1000 белый 2 ящика с умыв. Слим</v>
      </c>
      <c r="H3934">
        <f>VLOOKUP(D3934,Товары!A:I,6,0)</f>
        <v>60</v>
      </c>
      <c r="I3934" t="str">
        <f>VLOOKUP(C3934,Магазины!A:C,3,0)</f>
        <v>Оренбург</v>
      </c>
      <c r="J3934">
        <f>VLOOKUP(D3934,Товары!A:I,4,0)</f>
        <v>29205</v>
      </c>
      <c r="K3934">
        <f t="shared" si="61"/>
        <v>29205</v>
      </c>
    </row>
    <row r="3935" spans="1:11" hidden="1" x14ac:dyDescent="0.25">
      <c r="A3935">
        <v>3934</v>
      </c>
      <c r="B3935" s="1">
        <v>45749</v>
      </c>
      <c r="C3935" t="s">
        <v>35</v>
      </c>
      <c r="D3935" t="s">
        <v>32</v>
      </c>
      <c r="E3935" t="s">
        <v>13</v>
      </c>
      <c r="F3935">
        <v>3</v>
      </c>
      <c r="G3935" t="str">
        <f>VLOOKUP(D3935,Товары!A:I,3,0)</f>
        <v>Тумба с раковиной  напол. Леон Риф 700 солярис/белый риф 2 ящика с умыв. Слим</v>
      </c>
      <c r="H3935">
        <f>VLOOKUP(D3935,Товары!A:I,6,0)</f>
        <v>85</v>
      </c>
      <c r="I3935" t="str">
        <f>VLOOKUP(C3935,Магазины!A:C,3,0)</f>
        <v>Набережные Челны</v>
      </c>
      <c r="J3935">
        <f>VLOOKUP(D3935,Товары!A:I,4,0)</f>
        <v>26460</v>
      </c>
      <c r="K3935">
        <f t="shared" si="61"/>
        <v>79380</v>
      </c>
    </row>
    <row r="3936" spans="1:11" hidden="1" x14ac:dyDescent="0.25">
      <c r="A3936">
        <v>3935</v>
      </c>
      <c r="B3936" s="1">
        <v>45755</v>
      </c>
      <c r="C3936" t="s">
        <v>9</v>
      </c>
      <c r="D3936" t="s">
        <v>110</v>
      </c>
      <c r="E3936" t="s">
        <v>8</v>
      </c>
      <c r="F3936">
        <v>3</v>
      </c>
      <c r="G3936" t="str">
        <f>VLOOKUP(D3936,Товары!A:I,3,0)</f>
        <v>Тумба с раковиной  напол. Альба 600 антрацит 2 ящика с умыв. Океан</v>
      </c>
      <c r="H3936">
        <f>VLOOKUP(D3936,Товары!A:I,6,0)</f>
        <v>80</v>
      </c>
      <c r="I3936" t="str">
        <f>VLOOKUP(C3936,Магазины!A:C,3,0)</f>
        <v>Кемерово</v>
      </c>
      <c r="J3936">
        <f>VLOOKUP(D3936,Товары!A:I,4,0)</f>
        <v>26370</v>
      </c>
      <c r="K3936">
        <f t="shared" si="61"/>
        <v>79110</v>
      </c>
    </row>
    <row r="3937" spans="1:11" hidden="1" x14ac:dyDescent="0.25">
      <c r="A3937">
        <v>3936</v>
      </c>
      <c r="B3937" s="1">
        <v>45749</v>
      </c>
      <c r="C3937" t="s">
        <v>57</v>
      </c>
      <c r="D3937" t="s">
        <v>75</v>
      </c>
      <c r="E3937" t="s">
        <v>13</v>
      </c>
      <c r="F3937">
        <v>3</v>
      </c>
      <c r="G3937" t="str">
        <f>VLOOKUP(D3937,Товары!A:I,3,0)</f>
        <v>Тумба с раковиной  напол. Альба 600 суфле 2 ящика с умыв. Океан</v>
      </c>
      <c r="H3937">
        <f>VLOOKUP(D3937,Товары!A:I,6,0)</f>
        <v>80</v>
      </c>
      <c r="I3937" t="str">
        <f>VLOOKUP(C3937,Магазины!A:C,3,0)</f>
        <v>Оренбург</v>
      </c>
      <c r="J3937">
        <f>VLOOKUP(D3937,Товары!A:I,4,0)</f>
        <v>26370</v>
      </c>
      <c r="K3937">
        <f t="shared" si="61"/>
        <v>79110</v>
      </c>
    </row>
    <row r="3938" spans="1:11" hidden="1" x14ac:dyDescent="0.25">
      <c r="A3938">
        <v>3937</v>
      </c>
      <c r="B3938" s="1">
        <v>45749</v>
      </c>
      <c r="C3938" t="s">
        <v>35</v>
      </c>
      <c r="D3938" t="s">
        <v>62</v>
      </c>
      <c r="E3938" t="s">
        <v>13</v>
      </c>
      <c r="F3938">
        <v>1</v>
      </c>
      <c r="G3938" t="str">
        <f>VLOOKUP(D3938,Товары!A:I,3,0)</f>
        <v>Тумба с раковиной  напол. Альба 600 мята 2 ящика с умыв. Океан</v>
      </c>
      <c r="H3938">
        <f>VLOOKUP(D3938,Товары!A:I,6,0)</f>
        <v>80</v>
      </c>
      <c r="I3938" t="str">
        <f>VLOOKUP(C3938,Магазины!A:C,3,0)</f>
        <v>Набережные Челны</v>
      </c>
      <c r="J3938">
        <f>VLOOKUP(D3938,Товары!A:I,4,0)</f>
        <v>26370</v>
      </c>
      <c r="K3938">
        <f t="shared" si="61"/>
        <v>26370</v>
      </c>
    </row>
    <row r="3939" spans="1:11" hidden="1" x14ac:dyDescent="0.25">
      <c r="A3939">
        <v>3938</v>
      </c>
      <c r="B3939" s="1">
        <v>45755</v>
      </c>
      <c r="C3939" t="s">
        <v>54</v>
      </c>
      <c r="D3939" t="s">
        <v>94</v>
      </c>
      <c r="E3939" t="s">
        <v>8</v>
      </c>
      <c r="F3939">
        <v>3</v>
      </c>
      <c r="G3939" t="str">
        <f>VLOOKUP(D3939,Товары!A:I,3,0)</f>
        <v>Зеркальный шкаф Альба 80 со светильником правый цвет антрацит</v>
      </c>
      <c r="H3939">
        <f>VLOOKUP(D3939,Товары!A:I,6,0)</f>
        <v>75</v>
      </c>
      <c r="I3939" t="str">
        <f>VLOOKUP(C3939,Магазины!A:C,3,0)</f>
        <v>Ставрополь</v>
      </c>
      <c r="J3939">
        <f>VLOOKUP(D3939,Товары!A:I,4,0)</f>
        <v>9930</v>
      </c>
      <c r="K3939">
        <f t="shared" si="61"/>
        <v>29790</v>
      </c>
    </row>
    <row r="3940" spans="1:11" hidden="1" x14ac:dyDescent="0.25">
      <c r="A3940">
        <v>3939</v>
      </c>
      <c r="B3940" s="1">
        <v>45755</v>
      </c>
      <c r="C3940" t="s">
        <v>43</v>
      </c>
      <c r="D3940" t="s">
        <v>66</v>
      </c>
      <c r="E3940" t="s">
        <v>8</v>
      </c>
      <c r="F3940">
        <v>3</v>
      </c>
      <c r="G3940" t="str">
        <f>VLOOKUP(D3940,Товары!A:I,3,0)</f>
        <v>Тумба с раковиной  навес. Альба 800 мята 2 ящика с умыв. Слим</v>
      </c>
      <c r="H3940">
        <f>VLOOKUP(D3940,Товары!A:I,6,0)</f>
        <v>50</v>
      </c>
      <c r="I3940" t="str">
        <f>VLOOKUP(C3940,Магазины!A:C,3,0)</f>
        <v>Набережные Челны</v>
      </c>
      <c r="J3940">
        <f>VLOOKUP(D3940,Товары!A:I,4,0)</f>
        <v>26070</v>
      </c>
      <c r="K3940">
        <f t="shared" si="61"/>
        <v>78210</v>
      </c>
    </row>
    <row r="3941" spans="1:11" hidden="1" x14ac:dyDescent="0.25">
      <c r="A3941">
        <v>3940</v>
      </c>
      <c r="B3941" s="1">
        <v>45754</v>
      </c>
      <c r="C3941" t="s">
        <v>30</v>
      </c>
      <c r="D3941" t="s">
        <v>65</v>
      </c>
      <c r="E3941" t="s">
        <v>8</v>
      </c>
      <c r="F3941">
        <v>3</v>
      </c>
      <c r="G3941" t="str">
        <f>VLOOKUP(D3941,Товары!A:I,3,0)</f>
        <v>Тумба с раковиной  навес. Альба 800 суфле 2 ящика с умыв. Слим</v>
      </c>
      <c r="H3941">
        <f>VLOOKUP(D3941,Товары!A:I,6,0)</f>
        <v>50</v>
      </c>
      <c r="I3941" t="str">
        <f>VLOOKUP(C3941,Магазины!A:C,3,0)</f>
        <v>Кемерово</v>
      </c>
      <c r="J3941">
        <f>VLOOKUP(D3941,Товары!A:I,4,0)</f>
        <v>26070</v>
      </c>
      <c r="K3941">
        <f t="shared" si="61"/>
        <v>78210</v>
      </c>
    </row>
    <row r="3942" spans="1:11" hidden="1" x14ac:dyDescent="0.25">
      <c r="A3942">
        <v>3941</v>
      </c>
      <c r="B3942" s="1">
        <v>45755</v>
      </c>
      <c r="C3942" t="s">
        <v>48</v>
      </c>
      <c r="D3942" t="s">
        <v>108</v>
      </c>
      <c r="E3942" t="s">
        <v>8</v>
      </c>
      <c r="F3942">
        <v>3</v>
      </c>
      <c r="G3942" t="str">
        <f>VLOOKUP(D3942,Товары!A:I,3,0)</f>
        <v>Тумба с раковиной  навес. Виктория 1000 белый 2 ящика с умыв. Слим</v>
      </c>
      <c r="H3942">
        <f>VLOOKUP(D3942,Товары!A:I,6,0)</f>
        <v>60</v>
      </c>
      <c r="I3942" t="str">
        <f>VLOOKUP(C3942,Магазины!A:C,3,0)</f>
        <v>Ставрополь</v>
      </c>
      <c r="J3942">
        <f>VLOOKUP(D3942,Товары!A:I,4,0)</f>
        <v>29205</v>
      </c>
      <c r="K3942">
        <f t="shared" si="61"/>
        <v>87615</v>
      </c>
    </row>
    <row r="3943" spans="1:11" hidden="1" x14ac:dyDescent="0.25">
      <c r="A3943">
        <v>3942</v>
      </c>
      <c r="B3943" s="1">
        <v>45754</v>
      </c>
      <c r="C3943" t="s">
        <v>6</v>
      </c>
      <c r="D3943" t="s">
        <v>15</v>
      </c>
      <c r="E3943" t="s">
        <v>8</v>
      </c>
      <c r="F3943">
        <v>1</v>
      </c>
      <c r="G3943" t="str">
        <f>VLOOKUP(D3943,Товары!A:I,3,0)</f>
        <v>Зеркальный шкаф Кристалл 60 со светильником правый, ручка кнопка дуб цвет Шато Азур</v>
      </c>
      <c r="H3943">
        <f>VLOOKUP(D3943,Товары!A:I,6,0)</f>
        <v>75</v>
      </c>
      <c r="I3943" t="str">
        <f>VLOOKUP(C3943,Магазины!A:C,3,0)</f>
        <v>Оренбург</v>
      </c>
      <c r="J3943">
        <f>VLOOKUP(D3943,Товары!A:I,4,0)</f>
        <v>9195</v>
      </c>
      <c r="K3943">
        <f t="shared" si="61"/>
        <v>9195</v>
      </c>
    </row>
    <row r="3944" spans="1:11" hidden="1" x14ac:dyDescent="0.25">
      <c r="A3944">
        <v>3943</v>
      </c>
      <c r="B3944" s="1">
        <v>45753</v>
      </c>
      <c r="C3944" t="s">
        <v>33</v>
      </c>
      <c r="D3944" t="s">
        <v>75</v>
      </c>
      <c r="E3944" t="s">
        <v>8</v>
      </c>
      <c r="F3944">
        <v>2</v>
      </c>
      <c r="G3944" t="str">
        <f>VLOOKUP(D3944,Товары!A:I,3,0)</f>
        <v>Тумба с раковиной  напол. Альба 600 суфле 2 ящика с умыв. Океан</v>
      </c>
      <c r="H3944">
        <f>VLOOKUP(D3944,Товары!A:I,6,0)</f>
        <v>80</v>
      </c>
      <c r="I3944" t="str">
        <f>VLOOKUP(C3944,Магазины!A:C,3,0)</f>
        <v>Набережные Челны</v>
      </c>
      <c r="J3944">
        <f>VLOOKUP(D3944,Товары!A:I,4,0)</f>
        <v>26370</v>
      </c>
      <c r="K3944">
        <f t="shared" si="61"/>
        <v>52740</v>
      </c>
    </row>
    <row r="3945" spans="1:11" hidden="1" x14ac:dyDescent="0.25">
      <c r="A3945">
        <v>3944</v>
      </c>
      <c r="B3945" s="1">
        <v>45756</v>
      </c>
      <c r="C3945" t="s">
        <v>9</v>
      </c>
      <c r="D3945" t="s">
        <v>45</v>
      </c>
      <c r="E3945" t="s">
        <v>13</v>
      </c>
      <c r="F3945">
        <v>1</v>
      </c>
      <c r="G3945" t="str">
        <f>VLOOKUP(D3945,Товары!A:I,3,0)</f>
        <v>Зеркальный шкаф Рица 80 со светильником правый цвет cерый/керамика</v>
      </c>
      <c r="H3945">
        <f>VLOOKUP(D3945,Товары!A:I,6,0)</f>
        <v>75</v>
      </c>
      <c r="I3945" t="str">
        <f>VLOOKUP(C3945,Магазины!A:C,3,0)</f>
        <v>Кемерово</v>
      </c>
      <c r="J3945">
        <f>VLOOKUP(D3945,Товары!A:I,4,0)</f>
        <v>9930</v>
      </c>
      <c r="K3945">
        <f t="shared" si="61"/>
        <v>9930</v>
      </c>
    </row>
    <row r="3946" spans="1:11" hidden="1" x14ac:dyDescent="0.25">
      <c r="A3946">
        <v>3945</v>
      </c>
      <c r="B3946" s="1">
        <v>45751</v>
      </c>
      <c r="C3946" t="s">
        <v>57</v>
      </c>
      <c r="D3946" t="s">
        <v>86</v>
      </c>
      <c r="E3946" t="s">
        <v>8</v>
      </c>
      <c r="F3946">
        <v>1</v>
      </c>
      <c r="G3946" t="str">
        <f>VLOOKUP(D3946,Товары!A:I,3,0)</f>
        <v>Комод Аква 50 напольный 1 ящик 2 двери белый</v>
      </c>
      <c r="H3946">
        <f>VLOOKUP(D3946,Товары!A:I,6,0)</f>
        <v>90</v>
      </c>
      <c r="I3946" t="str">
        <f>VLOOKUP(C3946,Магазины!A:C,3,0)</f>
        <v>Оренбург</v>
      </c>
      <c r="J3946">
        <f>VLOOKUP(D3946,Товары!A:I,4,0)</f>
        <v>7260</v>
      </c>
      <c r="K3946">
        <f t="shared" si="61"/>
        <v>7260</v>
      </c>
    </row>
    <row r="3947" spans="1:11" hidden="1" x14ac:dyDescent="0.25">
      <c r="A3947">
        <v>3946</v>
      </c>
      <c r="B3947" s="1">
        <v>45757</v>
      </c>
      <c r="C3947" t="s">
        <v>26</v>
      </c>
      <c r="D3947" t="s">
        <v>96</v>
      </c>
      <c r="E3947" t="s">
        <v>13</v>
      </c>
      <c r="F3947">
        <v>2</v>
      </c>
      <c r="G3947" t="str">
        <f>VLOOKUP(D3947,Товары!A:I,3,0)</f>
        <v>Тумба с раковиной  навес. Альба 600 мята 1 ящик с умыв. Океан</v>
      </c>
      <c r="H3947">
        <f>VLOOKUP(D3947,Товары!A:I,6,0)</f>
        <v>85</v>
      </c>
      <c r="I3947" t="str">
        <f>VLOOKUP(C3947,Магазины!A:C,3,0)</f>
        <v>Оренбург</v>
      </c>
      <c r="J3947">
        <f>VLOOKUP(D3947,Товары!A:I,4,0)</f>
        <v>17625</v>
      </c>
      <c r="K3947">
        <f t="shared" si="61"/>
        <v>35250</v>
      </c>
    </row>
    <row r="3948" spans="1:11" hidden="1" x14ac:dyDescent="0.25">
      <c r="A3948">
        <v>3947</v>
      </c>
      <c r="B3948" s="1">
        <v>45750</v>
      </c>
      <c r="C3948" t="s">
        <v>43</v>
      </c>
      <c r="D3948" t="s">
        <v>24</v>
      </c>
      <c r="E3948" t="s">
        <v>13</v>
      </c>
      <c r="F3948">
        <v>2</v>
      </c>
      <c r="G3948" t="str">
        <f>VLOOKUP(D3948,Товары!A:I,3,0)</f>
        <v>Тумба с раковиной  напол. Леон 600 форест 2 ящика с умыв. Слим</v>
      </c>
      <c r="H3948">
        <f>VLOOKUP(D3948,Товары!A:I,6,0)</f>
        <v>80</v>
      </c>
      <c r="I3948" t="str">
        <f>VLOOKUP(C3948,Магазины!A:C,3,0)</f>
        <v>Набережные Челны</v>
      </c>
      <c r="J3948">
        <f>VLOOKUP(D3948,Товары!A:I,4,0)</f>
        <v>27150</v>
      </c>
      <c r="K3948">
        <f t="shared" si="61"/>
        <v>54300</v>
      </c>
    </row>
    <row r="3949" spans="1:11" hidden="1" x14ac:dyDescent="0.25">
      <c r="A3949">
        <v>3948</v>
      </c>
      <c r="B3949" s="1">
        <v>45755</v>
      </c>
      <c r="C3949" t="s">
        <v>16</v>
      </c>
      <c r="D3949" t="s">
        <v>104</v>
      </c>
      <c r="E3949" t="s">
        <v>13</v>
      </c>
      <c r="F3949">
        <v>2</v>
      </c>
      <c r="G3949" t="str">
        <f>VLOOKUP(D3949,Товары!A:I,3,0)</f>
        <v>Тумба под стиральную машину Куба Риф 57 подвесная 2 ящика под ст/маш, без умывальника /под Marshall 120 Белый</v>
      </c>
      <c r="H3949">
        <f>VLOOKUP(D3949,Товары!A:I,6,0)</f>
        <v>50</v>
      </c>
      <c r="I3949" t="str">
        <f>VLOOKUP(C3949,Магазины!A:C,3,0)</f>
        <v>Оренбург</v>
      </c>
      <c r="J3949">
        <f>VLOOKUP(D3949,Товары!A:I,4,0)</f>
        <v>8505</v>
      </c>
      <c r="K3949">
        <f t="shared" si="61"/>
        <v>17010</v>
      </c>
    </row>
    <row r="3950" spans="1:11" hidden="1" x14ac:dyDescent="0.25">
      <c r="A3950">
        <v>3949</v>
      </c>
      <c r="B3950" s="1">
        <v>45748</v>
      </c>
      <c r="C3950" t="s">
        <v>16</v>
      </c>
      <c r="D3950" t="s">
        <v>126</v>
      </c>
      <c r="E3950" t="s">
        <v>8</v>
      </c>
      <c r="F3950">
        <v>3</v>
      </c>
      <c r="G3950" t="str">
        <f>VLOOKUP(D3950,Товары!A:I,3,0)</f>
        <v>Тумба с раковиной  напол. Кристалл 800 шато азур 2 ящика с умыв. Комфорт</v>
      </c>
      <c r="H3950">
        <f>VLOOKUP(D3950,Товары!A:I,6,0)</f>
        <v>85</v>
      </c>
      <c r="I3950" t="str">
        <f>VLOOKUP(C3950,Магазины!A:C,3,0)</f>
        <v>Оренбург</v>
      </c>
      <c r="J3950">
        <f>VLOOKUP(D3950,Товары!A:I,4,0)</f>
        <v>31125</v>
      </c>
      <c r="K3950">
        <f t="shared" si="61"/>
        <v>93375</v>
      </c>
    </row>
    <row r="3951" spans="1:11" hidden="1" x14ac:dyDescent="0.25">
      <c r="A3951">
        <v>3950</v>
      </c>
      <c r="B3951" s="1">
        <v>45755</v>
      </c>
      <c r="C3951" t="s">
        <v>18</v>
      </c>
      <c r="D3951" t="s">
        <v>80</v>
      </c>
      <c r="E3951" t="s">
        <v>13</v>
      </c>
      <c r="F3951">
        <v>2</v>
      </c>
      <c r="G3951" t="str">
        <f>VLOOKUP(D3951,Товары!A:I,3,0)</f>
        <v>Тумба с раковиной  навес. Сохо 600 белый 2 ящика с умыв. Океан</v>
      </c>
      <c r="H3951">
        <f>VLOOKUP(D3951,Товары!A:I,6,0)</f>
        <v>55</v>
      </c>
      <c r="I3951" t="str">
        <f>VLOOKUP(C3951,Магазины!A:C,3,0)</f>
        <v>Набережные Челны</v>
      </c>
      <c r="J3951">
        <f>VLOOKUP(D3951,Товары!A:I,4,0)</f>
        <v>13950</v>
      </c>
      <c r="K3951">
        <f t="shared" si="61"/>
        <v>27900</v>
      </c>
    </row>
    <row r="3952" spans="1:11" hidden="1" x14ac:dyDescent="0.25">
      <c r="A3952">
        <v>3951</v>
      </c>
      <c r="B3952" s="1">
        <v>45754</v>
      </c>
      <c r="C3952" t="s">
        <v>18</v>
      </c>
      <c r="D3952" t="s">
        <v>23</v>
      </c>
      <c r="E3952" t="s">
        <v>13</v>
      </c>
      <c r="F3952">
        <v>2</v>
      </c>
      <c r="G3952" t="str">
        <f>VLOOKUP(D3952,Товары!A:I,3,0)</f>
        <v>Тумба с раковиной  напол. Альба 800 антрацит 2 ящика с умыв. Слим</v>
      </c>
      <c r="H3952">
        <f>VLOOKUP(D3952,Товары!A:I,6,0)</f>
        <v>80</v>
      </c>
      <c r="I3952" t="str">
        <f>VLOOKUP(C3952,Магазины!A:C,3,0)</f>
        <v>Набережные Челны</v>
      </c>
      <c r="J3952">
        <f>VLOOKUP(D3952,Товары!A:I,4,0)</f>
        <v>29340</v>
      </c>
      <c r="K3952">
        <f t="shared" si="61"/>
        <v>58680</v>
      </c>
    </row>
    <row r="3953" spans="1:11" hidden="1" x14ac:dyDescent="0.25">
      <c r="A3953">
        <v>3952</v>
      </c>
      <c r="B3953" s="1">
        <v>45753</v>
      </c>
      <c r="C3953" t="s">
        <v>30</v>
      </c>
      <c r="D3953" t="s">
        <v>65</v>
      </c>
      <c r="E3953" t="s">
        <v>8</v>
      </c>
      <c r="F3953">
        <v>2</v>
      </c>
      <c r="G3953" t="str">
        <f>VLOOKUP(D3953,Товары!A:I,3,0)</f>
        <v>Тумба с раковиной  навес. Альба 800 суфле 2 ящика с умыв. Слим</v>
      </c>
      <c r="H3953">
        <f>VLOOKUP(D3953,Товары!A:I,6,0)</f>
        <v>50</v>
      </c>
      <c r="I3953" t="str">
        <f>VLOOKUP(C3953,Магазины!A:C,3,0)</f>
        <v>Кемерово</v>
      </c>
      <c r="J3953">
        <f>VLOOKUP(D3953,Товары!A:I,4,0)</f>
        <v>26070</v>
      </c>
      <c r="K3953">
        <f t="shared" si="61"/>
        <v>52140</v>
      </c>
    </row>
    <row r="3954" spans="1:11" hidden="1" x14ac:dyDescent="0.25">
      <c r="A3954">
        <v>3953</v>
      </c>
      <c r="B3954" s="1">
        <v>45756</v>
      </c>
      <c r="C3954" t="s">
        <v>41</v>
      </c>
      <c r="D3954" t="s">
        <v>94</v>
      </c>
      <c r="E3954" t="s">
        <v>13</v>
      </c>
      <c r="F3954">
        <v>1</v>
      </c>
      <c r="G3954" t="str">
        <f>VLOOKUP(D3954,Товары!A:I,3,0)</f>
        <v>Зеркальный шкаф Альба 80 со светильником правый цвет антрацит</v>
      </c>
      <c r="H3954">
        <f>VLOOKUP(D3954,Товары!A:I,6,0)</f>
        <v>75</v>
      </c>
      <c r="I3954" t="str">
        <f>VLOOKUP(C3954,Магазины!A:C,3,0)</f>
        <v>Ставрополь</v>
      </c>
      <c r="J3954">
        <f>VLOOKUP(D3954,Товары!A:I,4,0)</f>
        <v>9930</v>
      </c>
      <c r="K3954">
        <f t="shared" si="61"/>
        <v>9930</v>
      </c>
    </row>
    <row r="3955" spans="1:11" hidden="1" x14ac:dyDescent="0.25">
      <c r="A3955">
        <v>3954</v>
      </c>
      <c r="B3955" s="1">
        <v>45752</v>
      </c>
      <c r="C3955" t="s">
        <v>26</v>
      </c>
      <c r="D3955" t="s">
        <v>107</v>
      </c>
      <c r="E3955" t="s">
        <v>8</v>
      </c>
      <c r="F3955">
        <v>2</v>
      </c>
      <c r="G3955" t="str">
        <f>VLOOKUP(D3955,Товары!A:I,3,0)</f>
        <v>Комод Аква 35 напольный 1 дверь белый правый</v>
      </c>
      <c r="H3955">
        <f>VLOOKUP(D3955,Товары!A:I,6,0)</f>
        <v>90</v>
      </c>
      <c r="I3955" t="str">
        <f>VLOOKUP(C3955,Магазины!A:C,3,0)</f>
        <v>Оренбург</v>
      </c>
      <c r="J3955">
        <f>VLOOKUP(D3955,Товары!A:I,4,0)</f>
        <v>6705</v>
      </c>
      <c r="K3955">
        <f t="shared" si="61"/>
        <v>13410</v>
      </c>
    </row>
    <row r="3956" spans="1:11" hidden="1" x14ac:dyDescent="0.25">
      <c r="A3956">
        <v>3955</v>
      </c>
      <c r="B3956" s="1">
        <v>45752</v>
      </c>
      <c r="C3956" t="s">
        <v>11</v>
      </c>
      <c r="D3956" t="s">
        <v>122</v>
      </c>
      <c r="E3956" t="s">
        <v>8</v>
      </c>
      <c r="F3956">
        <v>1</v>
      </c>
      <c r="G3956" t="str">
        <f>VLOOKUP(D3956,Товары!A:I,3,0)</f>
        <v>Тумба с раковиной  навес. Кристалл 600 шато азур 2 ящика с умыв. Океан</v>
      </c>
      <c r="H3956">
        <f>VLOOKUP(D3956,Товары!A:I,6,0)</f>
        <v>55</v>
      </c>
      <c r="I3956" t="str">
        <f>VLOOKUP(C3956,Магазины!A:C,3,0)</f>
        <v>Кемерово</v>
      </c>
      <c r="J3956">
        <f>VLOOKUP(D3956,Товары!A:I,4,0)</f>
        <v>21960</v>
      </c>
      <c r="K3956">
        <f t="shared" si="61"/>
        <v>21960</v>
      </c>
    </row>
    <row r="3957" spans="1:11" hidden="1" x14ac:dyDescent="0.25">
      <c r="A3957">
        <v>3956</v>
      </c>
      <c r="B3957" s="1">
        <v>45748</v>
      </c>
      <c r="C3957" t="s">
        <v>14</v>
      </c>
      <c r="D3957" t="s">
        <v>70</v>
      </c>
      <c r="E3957" t="s">
        <v>8</v>
      </c>
      <c r="F3957">
        <v>1</v>
      </c>
      <c r="G3957" t="str">
        <f>VLOOKUP(D3957,Товары!A:I,3,0)</f>
        <v>Тумба с раковиной  напол. Кристалл 700 шато азур 2 ящика с умыв. Слим</v>
      </c>
      <c r="H3957">
        <f>VLOOKUP(D3957,Товары!A:I,6,0)</f>
        <v>85</v>
      </c>
      <c r="I3957" t="str">
        <f>VLOOKUP(C3957,Магазины!A:C,3,0)</f>
        <v>Оренбург</v>
      </c>
      <c r="J3957">
        <f>VLOOKUP(D3957,Товары!A:I,4,0)</f>
        <v>29910</v>
      </c>
      <c r="K3957">
        <f t="shared" si="61"/>
        <v>29910</v>
      </c>
    </row>
    <row r="3958" spans="1:11" hidden="1" x14ac:dyDescent="0.25">
      <c r="A3958">
        <v>3957</v>
      </c>
      <c r="B3958" s="1">
        <v>45751</v>
      </c>
      <c r="C3958" t="s">
        <v>26</v>
      </c>
      <c r="D3958" t="s">
        <v>89</v>
      </c>
      <c r="E3958" t="s">
        <v>8</v>
      </c>
      <c r="F3958">
        <v>1</v>
      </c>
      <c r="G3958" t="str">
        <f>VLOOKUP(D3958,Товары!A:I,3,0)</f>
        <v>Тумба с раковиной  напол. Сохо 600 белый 2 двери с умыв. Океан</v>
      </c>
      <c r="H3958">
        <f>VLOOKUP(D3958,Товары!A:I,6,0)</f>
        <v>85</v>
      </c>
      <c r="I3958" t="str">
        <f>VLOOKUP(C3958,Магазины!A:C,3,0)</f>
        <v>Оренбург</v>
      </c>
      <c r="J3958">
        <f>VLOOKUP(D3958,Товары!A:I,4,0)</f>
        <v>14880</v>
      </c>
      <c r="K3958">
        <f t="shared" si="61"/>
        <v>14880</v>
      </c>
    </row>
    <row r="3959" spans="1:11" hidden="1" x14ac:dyDescent="0.25">
      <c r="A3959">
        <v>3958</v>
      </c>
      <c r="B3959" s="1">
        <v>45748</v>
      </c>
      <c r="C3959" t="s">
        <v>28</v>
      </c>
      <c r="D3959" t="s">
        <v>32</v>
      </c>
      <c r="E3959" t="s">
        <v>13</v>
      </c>
      <c r="F3959">
        <v>1</v>
      </c>
      <c r="G3959" t="str">
        <f>VLOOKUP(D3959,Товары!A:I,3,0)</f>
        <v>Тумба с раковиной  напол. Леон Риф 700 солярис/белый риф 2 ящика с умыв. Слим</v>
      </c>
      <c r="H3959">
        <f>VLOOKUP(D3959,Товары!A:I,6,0)</f>
        <v>85</v>
      </c>
      <c r="I3959" t="str">
        <f>VLOOKUP(C3959,Магазины!A:C,3,0)</f>
        <v>Набережные Челны</v>
      </c>
      <c r="J3959">
        <f>VLOOKUP(D3959,Товары!A:I,4,0)</f>
        <v>26460</v>
      </c>
      <c r="K3959">
        <f t="shared" si="61"/>
        <v>26460</v>
      </c>
    </row>
    <row r="3960" spans="1:11" hidden="1" x14ac:dyDescent="0.25">
      <c r="A3960">
        <v>3959</v>
      </c>
      <c r="B3960" s="1">
        <v>45753</v>
      </c>
      <c r="C3960" t="s">
        <v>35</v>
      </c>
      <c r="D3960" t="s">
        <v>72</v>
      </c>
      <c r="E3960" t="s">
        <v>8</v>
      </c>
      <c r="F3960">
        <v>2</v>
      </c>
      <c r="G3960" t="str">
        <f>VLOOKUP(D3960,Товары!A:I,3,0)</f>
        <v>Тумба с раковиной  напол. Сохо 600 белый 2 ящика с умыв. Океан</v>
      </c>
      <c r="H3960">
        <f>VLOOKUP(D3960,Товары!A:I,6,0)</f>
        <v>85</v>
      </c>
      <c r="I3960" t="str">
        <f>VLOOKUP(C3960,Магазины!A:C,3,0)</f>
        <v>Набережные Челны</v>
      </c>
      <c r="J3960">
        <f>VLOOKUP(D3960,Товары!A:I,4,0)</f>
        <v>16140</v>
      </c>
      <c r="K3960">
        <f t="shared" si="61"/>
        <v>32280</v>
      </c>
    </row>
    <row r="3961" spans="1:11" hidden="1" x14ac:dyDescent="0.25">
      <c r="A3961">
        <v>3960</v>
      </c>
      <c r="B3961" s="1">
        <v>45754</v>
      </c>
      <c r="C3961" t="s">
        <v>11</v>
      </c>
      <c r="D3961" t="s">
        <v>69</v>
      </c>
      <c r="E3961" t="s">
        <v>13</v>
      </c>
      <c r="F3961">
        <v>1</v>
      </c>
      <c r="G3961" t="str">
        <f>VLOOKUP(D3961,Товары!A:I,3,0)</f>
        <v>Пенал навес./напол. Альба 350 антрацит 2 двери</v>
      </c>
      <c r="H3961">
        <f>VLOOKUP(D3961,Товары!A:I,6,0)</f>
        <v>150</v>
      </c>
      <c r="I3961" t="str">
        <f>VLOOKUP(C3961,Магазины!A:C,3,0)</f>
        <v>Кемерово</v>
      </c>
      <c r="J3961">
        <f>VLOOKUP(D3961,Товары!A:I,4,0)</f>
        <v>11655</v>
      </c>
      <c r="K3961">
        <f t="shared" si="61"/>
        <v>11655</v>
      </c>
    </row>
    <row r="3962" spans="1:11" hidden="1" x14ac:dyDescent="0.25">
      <c r="A3962">
        <v>3961</v>
      </c>
      <c r="B3962" s="1">
        <v>45757</v>
      </c>
      <c r="C3962" t="s">
        <v>14</v>
      </c>
      <c r="D3962" t="s">
        <v>7</v>
      </c>
      <c r="E3962" t="s">
        <v>8</v>
      </c>
      <c r="F3962">
        <v>3</v>
      </c>
      <c r="G3962" t="str">
        <f>VLOOKUP(D3962,Товары!A:I,3,0)</f>
        <v>Пенал напол. Леон Риф 400 солярис/белый риф 2 двери + 1 ящик</v>
      </c>
      <c r="H3962">
        <f>VLOOKUP(D3962,Товары!A:I,6,0)</f>
        <v>190</v>
      </c>
      <c r="I3962" t="str">
        <f>VLOOKUP(C3962,Магазины!A:C,3,0)</f>
        <v>Оренбург</v>
      </c>
      <c r="J3962">
        <f>VLOOKUP(D3962,Товары!A:I,4,0)</f>
        <v>14490</v>
      </c>
      <c r="K3962">
        <f t="shared" si="61"/>
        <v>43470</v>
      </c>
    </row>
    <row r="3963" spans="1:11" hidden="1" x14ac:dyDescent="0.25">
      <c r="A3963">
        <v>3962</v>
      </c>
      <c r="B3963" s="1">
        <v>45751</v>
      </c>
      <c r="C3963" t="s">
        <v>30</v>
      </c>
      <c r="D3963" t="s">
        <v>39</v>
      </c>
      <c r="E3963" t="s">
        <v>8</v>
      </c>
      <c r="F3963">
        <v>3</v>
      </c>
      <c r="G3963" t="str">
        <f>VLOOKUP(D3963,Товары!A:I,3,0)</f>
        <v>Тумба с раковиной  напол. Альба 700 мята 2 ящика с умыв. Слим</v>
      </c>
      <c r="H3963">
        <f>VLOOKUP(D3963,Товары!A:I,6,0)</f>
        <v>85</v>
      </c>
      <c r="I3963" t="str">
        <f>VLOOKUP(C3963,Магазины!A:C,3,0)</f>
        <v>Кемерово</v>
      </c>
      <c r="J3963">
        <f>VLOOKUP(D3963,Товары!A:I,4,0)</f>
        <v>28695</v>
      </c>
      <c r="K3963">
        <f t="shared" si="61"/>
        <v>86085</v>
      </c>
    </row>
    <row r="3964" spans="1:11" hidden="1" x14ac:dyDescent="0.25">
      <c r="A3964">
        <v>3963</v>
      </c>
      <c r="B3964" s="1">
        <v>45756</v>
      </c>
      <c r="C3964" t="s">
        <v>11</v>
      </c>
      <c r="D3964" t="s">
        <v>98</v>
      </c>
      <c r="E3964" t="s">
        <v>8</v>
      </c>
      <c r="F3964">
        <v>2</v>
      </c>
      <c r="G3964" t="str">
        <f>VLOOKUP(D3964,Товары!A:I,3,0)</f>
        <v>Тумба с раковиной  напол. Рица 800 cерый/керамика 2 ящика с умыв. Слим</v>
      </c>
      <c r="H3964">
        <f>VLOOKUP(D3964,Товары!A:I,6,0)</f>
        <v>80</v>
      </c>
      <c r="I3964" t="str">
        <f>VLOOKUP(C3964,Магазины!A:C,3,0)</f>
        <v>Кемерово</v>
      </c>
      <c r="J3964">
        <f>VLOOKUP(D3964,Товары!A:I,4,0)</f>
        <v>28980</v>
      </c>
      <c r="K3964">
        <f t="shared" si="61"/>
        <v>57960</v>
      </c>
    </row>
    <row r="3965" spans="1:11" hidden="1" x14ac:dyDescent="0.25">
      <c r="A3965">
        <v>3964</v>
      </c>
      <c r="B3965" s="1">
        <v>45756</v>
      </c>
      <c r="C3965" t="s">
        <v>111</v>
      </c>
      <c r="D3965" t="s">
        <v>45</v>
      </c>
      <c r="E3965" t="s">
        <v>8</v>
      </c>
      <c r="F3965">
        <v>3</v>
      </c>
      <c r="G3965" t="str">
        <f>VLOOKUP(D3965,Товары!A:I,3,0)</f>
        <v>Зеркальный шкаф Рица 80 со светильником правый цвет cерый/керамика</v>
      </c>
      <c r="H3965">
        <f>VLOOKUP(D3965,Товары!A:I,6,0)</f>
        <v>75</v>
      </c>
      <c r="I3965" t="str">
        <f>VLOOKUP(C3965,Магазины!A:C,3,0)</f>
        <v>Набережные Челны</v>
      </c>
      <c r="J3965">
        <f>VLOOKUP(D3965,Товары!A:I,4,0)</f>
        <v>9930</v>
      </c>
      <c r="K3965">
        <f t="shared" si="61"/>
        <v>29790</v>
      </c>
    </row>
    <row r="3966" spans="1:11" hidden="1" x14ac:dyDescent="0.25">
      <c r="A3966">
        <v>3965</v>
      </c>
      <c r="B3966" s="1">
        <v>45748</v>
      </c>
      <c r="C3966" t="s">
        <v>35</v>
      </c>
      <c r="D3966" t="s">
        <v>61</v>
      </c>
      <c r="E3966" t="s">
        <v>13</v>
      </c>
      <c r="F3966">
        <v>2</v>
      </c>
      <c r="G3966" t="str">
        <f>VLOOKUP(D3966,Товары!A:I,3,0)</f>
        <v>Тумба под стиральную машину Леон Риф 57 напольная 2 ящика под ст/маш, без умывальника /под Marshall 120 Солярис/Белый Риф</v>
      </c>
      <c r="H3966">
        <f>VLOOKUP(D3966,Товары!A:I,6,0)</f>
        <v>85</v>
      </c>
      <c r="I3966" t="str">
        <f>VLOOKUP(C3966,Магазины!A:C,3,0)</f>
        <v>Набережные Челны</v>
      </c>
      <c r="J3966">
        <f>VLOOKUP(D3966,Товары!A:I,4,0)</f>
        <v>17430</v>
      </c>
      <c r="K3966">
        <f t="shared" si="61"/>
        <v>34860</v>
      </c>
    </row>
    <row r="3967" spans="1:11" hidden="1" x14ac:dyDescent="0.25">
      <c r="A3967">
        <v>3966</v>
      </c>
      <c r="B3967" s="1">
        <v>45748</v>
      </c>
      <c r="C3967" t="s">
        <v>54</v>
      </c>
      <c r="D3967" t="s">
        <v>66</v>
      </c>
      <c r="E3967" t="s">
        <v>13</v>
      </c>
      <c r="F3967">
        <v>2</v>
      </c>
      <c r="G3967" t="str">
        <f>VLOOKUP(D3967,Товары!A:I,3,0)</f>
        <v>Тумба с раковиной  навес. Альба 800 мята 2 ящика с умыв. Слим</v>
      </c>
      <c r="H3967">
        <f>VLOOKUP(D3967,Товары!A:I,6,0)</f>
        <v>50</v>
      </c>
      <c r="I3967" t="str">
        <f>VLOOKUP(C3967,Магазины!A:C,3,0)</f>
        <v>Ставрополь</v>
      </c>
      <c r="J3967">
        <f>VLOOKUP(D3967,Товары!A:I,4,0)</f>
        <v>26070</v>
      </c>
      <c r="K3967">
        <f t="shared" si="61"/>
        <v>52140</v>
      </c>
    </row>
    <row r="3968" spans="1:11" hidden="1" x14ac:dyDescent="0.25">
      <c r="A3968">
        <v>3967</v>
      </c>
      <c r="B3968" s="1">
        <v>45754</v>
      </c>
      <c r="C3968" t="s">
        <v>16</v>
      </c>
      <c r="D3968" t="s">
        <v>31</v>
      </c>
      <c r="E3968" t="s">
        <v>8</v>
      </c>
      <c r="F3968">
        <v>2</v>
      </c>
      <c r="G3968" t="str">
        <f>VLOOKUP(D3968,Товары!A:I,3,0)</f>
        <v>Пенал напол. Виктория 350 белый 2 двери</v>
      </c>
      <c r="H3968">
        <f>VLOOKUP(D3968,Товары!A:I,6,0)</f>
        <v>190</v>
      </c>
      <c r="I3968" t="str">
        <f>VLOOKUP(C3968,Магазины!A:C,3,0)</f>
        <v>Оренбург</v>
      </c>
      <c r="J3968">
        <f>VLOOKUP(D3968,Товары!A:I,4,0)</f>
        <v>14085</v>
      </c>
      <c r="K3968">
        <f t="shared" si="61"/>
        <v>28170</v>
      </c>
    </row>
    <row r="3969" spans="1:11" hidden="1" x14ac:dyDescent="0.25">
      <c r="A3969">
        <v>3968</v>
      </c>
      <c r="B3969" s="1">
        <v>45755</v>
      </c>
      <c r="C3969" t="s">
        <v>58</v>
      </c>
      <c r="D3969" t="s">
        <v>73</v>
      </c>
      <c r="E3969" t="s">
        <v>8</v>
      </c>
      <c r="F3969">
        <v>3</v>
      </c>
      <c r="G3969" t="str">
        <f>VLOOKUP(D3969,Товары!A:I,3,0)</f>
        <v>Зеркальный шкаф Альба 70 со светильником правый цвет антрацит</v>
      </c>
      <c r="H3969">
        <f>VLOOKUP(D3969,Товары!A:I,6,0)</f>
        <v>75</v>
      </c>
      <c r="I3969" t="str">
        <f>VLOOKUP(C3969,Магазины!A:C,3,0)</f>
        <v>Ставрополь</v>
      </c>
      <c r="J3969">
        <f>VLOOKUP(D3969,Товары!A:I,4,0)</f>
        <v>9615</v>
      </c>
      <c r="K3969">
        <f t="shared" si="61"/>
        <v>28845</v>
      </c>
    </row>
    <row r="3970" spans="1:11" hidden="1" x14ac:dyDescent="0.25">
      <c r="A3970">
        <v>3969</v>
      </c>
      <c r="B3970" s="1">
        <v>45754</v>
      </c>
      <c r="C3970" t="s">
        <v>103</v>
      </c>
      <c r="D3970" t="s">
        <v>121</v>
      </c>
      <c r="E3970" t="s">
        <v>8</v>
      </c>
      <c r="F3970">
        <v>2</v>
      </c>
      <c r="G3970" t="str">
        <f>VLOOKUP(D3970,Товары!A:I,3,0)</f>
        <v>Тумба с раковиной  напол. Куба Риф 600 белый 2 двери с умыв. Como</v>
      </c>
      <c r="H3970">
        <f>VLOOKUP(D3970,Товары!A:I,6,0)</f>
        <v>85</v>
      </c>
      <c r="I3970" t="str">
        <f>VLOOKUP(C3970,Магазины!A:C,3,0)</f>
        <v>Ставрополь</v>
      </c>
      <c r="J3970">
        <f>VLOOKUP(D3970,Товары!A:I,4,0)</f>
        <v>13695</v>
      </c>
      <c r="K3970">
        <f t="shared" si="61"/>
        <v>27390</v>
      </c>
    </row>
    <row r="3971" spans="1:11" hidden="1" x14ac:dyDescent="0.25">
      <c r="A3971">
        <v>3970</v>
      </c>
      <c r="B3971" s="1">
        <v>45749</v>
      </c>
      <c r="C3971" t="s">
        <v>92</v>
      </c>
      <c r="D3971" t="s">
        <v>119</v>
      </c>
      <c r="E3971" t="s">
        <v>13</v>
      </c>
      <c r="F3971">
        <v>2</v>
      </c>
      <c r="G3971" t="str">
        <f>VLOOKUP(D3971,Товары!A:I,3,0)</f>
        <v>Пенал навес./напол. Рица 350 cерый/керамика 2 двери</v>
      </c>
      <c r="H3971">
        <f>VLOOKUP(D3971,Товары!A:I,6,0)</f>
        <v>160</v>
      </c>
      <c r="I3971" t="str">
        <f>VLOOKUP(C3971,Магазины!A:C,3,0)</f>
        <v>Кемерово</v>
      </c>
      <c r="J3971">
        <f>VLOOKUP(D3971,Товары!A:I,4,0)</f>
        <v>11250</v>
      </c>
      <c r="K3971">
        <f t="shared" ref="K3971:K4034" si="62">J3971*F3971</f>
        <v>22500</v>
      </c>
    </row>
    <row r="3972" spans="1:11" hidden="1" x14ac:dyDescent="0.25">
      <c r="A3972">
        <v>3971</v>
      </c>
      <c r="B3972" s="1">
        <v>45752</v>
      </c>
      <c r="C3972" t="s">
        <v>57</v>
      </c>
      <c r="D3972" t="s">
        <v>101</v>
      </c>
      <c r="E3972" t="s">
        <v>13</v>
      </c>
      <c r="F3972">
        <v>1</v>
      </c>
      <c r="G3972" t="str">
        <f>VLOOKUP(D3972,Товары!A:I,3,0)</f>
        <v>Пенал напол. Сохо 400 белый 2 двери + 1 ящик</v>
      </c>
      <c r="H3972">
        <f>VLOOKUP(D3972,Товары!A:I,6,0)</f>
        <v>190</v>
      </c>
      <c r="I3972" t="str">
        <f>VLOOKUP(C3972,Магазины!A:C,3,0)</f>
        <v>Оренбург</v>
      </c>
      <c r="J3972">
        <f>VLOOKUP(D3972,Товары!A:I,4,0)</f>
        <v>11040</v>
      </c>
      <c r="K3972">
        <f t="shared" si="62"/>
        <v>11040</v>
      </c>
    </row>
    <row r="3973" spans="1:11" hidden="1" x14ac:dyDescent="0.25">
      <c r="A3973">
        <v>3972</v>
      </c>
      <c r="B3973" s="1">
        <v>45750</v>
      </c>
      <c r="C3973" t="s">
        <v>43</v>
      </c>
      <c r="D3973" t="s">
        <v>51</v>
      </c>
      <c r="E3973" t="s">
        <v>8</v>
      </c>
      <c r="F3973">
        <v>1</v>
      </c>
      <c r="G3973" t="str">
        <f>VLOOKUP(D3973,Товары!A:I,3,0)</f>
        <v>Зеркальный шкаф Альба 80 со светильником правый цвет суфле</v>
      </c>
      <c r="H3973">
        <f>VLOOKUP(D3973,Товары!A:I,6,0)</f>
        <v>75</v>
      </c>
      <c r="I3973" t="str">
        <f>VLOOKUP(C3973,Магазины!A:C,3,0)</f>
        <v>Набережные Челны</v>
      </c>
      <c r="J3973">
        <f>VLOOKUP(D3973,Товары!A:I,4,0)</f>
        <v>9930</v>
      </c>
      <c r="K3973">
        <f t="shared" si="62"/>
        <v>9930</v>
      </c>
    </row>
    <row r="3974" spans="1:11" hidden="1" x14ac:dyDescent="0.25">
      <c r="A3974">
        <v>3973</v>
      </c>
      <c r="B3974" s="1">
        <v>45749</v>
      </c>
      <c r="C3974" t="s">
        <v>11</v>
      </c>
      <c r="D3974" t="s">
        <v>17</v>
      </c>
      <c r="E3974" t="s">
        <v>8</v>
      </c>
      <c r="F3974">
        <v>3</v>
      </c>
      <c r="G3974" t="str">
        <f>VLOOKUP(D3974,Товары!A:I,3,0)</f>
        <v>Тумба с раковиной  навес. Альба 800 антрацит 1 ящик с умыв. Слим</v>
      </c>
      <c r="H3974">
        <f>VLOOKUP(D3974,Товары!A:I,6,0)</f>
        <v>45</v>
      </c>
      <c r="I3974" t="str">
        <f>VLOOKUP(C3974,Магазины!A:C,3,0)</f>
        <v>Кемерово</v>
      </c>
      <c r="J3974">
        <f>VLOOKUP(D3974,Товары!A:I,4,0)</f>
        <v>21630</v>
      </c>
      <c r="K3974">
        <f t="shared" si="62"/>
        <v>64890</v>
      </c>
    </row>
    <row r="3975" spans="1:11" hidden="1" x14ac:dyDescent="0.25">
      <c r="A3975">
        <v>3974</v>
      </c>
      <c r="B3975" s="1">
        <v>45754</v>
      </c>
      <c r="C3975" t="s">
        <v>111</v>
      </c>
      <c r="D3975" t="s">
        <v>120</v>
      </c>
      <c r="E3975" t="s">
        <v>8</v>
      </c>
      <c r="F3975">
        <v>1</v>
      </c>
      <c r="G3975" t="str">
        <f>VLOOKUP(D3975,Товары!A:I,3,0)</f>
        <v>Зеркальный шкаф Альба 60 со светильником правый цвет антрацит</v>
      </c>
      <c r="H3975">
        <f>VLOOKUP(D3975,Товары!A:I,6,0)</f>
        <v>75</v>
      </c>
      <c r="I3975" t="str">
        <f>VLOOKUP(C3975,Магазины!A:C,3,0)</f>
        <v>Набережные Челны</v>
      </c>
      <c r="J3975">
        <f>VLOOKUP(D3975,Товары!A:I,4,0)</f>
        <v>8910</v>
      </c>
      <c r="K3975">
        <f t="shared" si="62"/>
        <v>8910</v>
      </c>
    </row>
    <row r="3976" spans="1:11" hidden="1" x14ac:dyDescent="0.25">
      <c r="A3976">
        <v>3975</v>
      </c>
      <c r="B3976" s="1">
        <v>45757</v>
      </c>
      <c r="C3976" t="s">
        <v>20</v>
      </c>
      <c r="D3976" t="s">
        <v>45</v>
      </c>
      <c r="E3976" t="s">
        <v>13</v>
      </c>
      <c r="F3976">
        <v>2</v>
      </c>
      <c r="G3976" t="str">
        <f>VLOOKUP(D3976,Товары!A:I,3,0)</f>
        <v>Зеркальный шкаф Рица 80 со светильником правый цвет cерый/керамика</v>
      </c>
      <c r="H3976">
        <f>VLOOKUP(D3976,Товары!A:I,6,0)</f>
        <v>75</v>
      </c>
      <c r="I3976" t="str">
        <f>VLOOKUP(C3976,Магазины!A:C,3,0)</f>
        <v>Оренбург</v>
      </c>
      <c r="J3976">
        <f>VLOOKUP(D3976,Товары!A:I,4,0)</f>
        <v>9930</v>
      </c>
      <c r="K3976">
        <f t="shared" si="62"/>
        <v>19860</v>
      </c>
    </row>
    <row r="3977" spans="1:11" x14ac:dyDescent="0.25">
      <c r="A3977">
        <v>3976</v>
      </c>
      <c r="B3977" s="1">
        <v>45749</v>
      </c>
      <c r="C3977" t="s">
        <v>30</v>
      </c>
      <c r="D3977" t="s">
        <v>69</v>
      </c>
      <c r="E3977" t="s">
        <v>13</v>
      </c>
      <c r="F3977">
        <v>2</v>
      </c>
      <c r="G3977" t="str">
        <f>VLOOKUP(D3977,Товары!A:I,3,0)</f>
        <v>Пенал навес./напол. Альба 350 антрацит 2 двери</v>
      </c>
      <c r="H3977">
        <f>VLOOKUP(D3977,Товары!A:I,6,0)</f>
        <v>150</v>
      </c>
      <c r="I3977" t="str">
        <f>VLOOKUP(C3977,Магазины!A:C,3,0)</f>
        <v>Кемерово</v>
      </c>
      <c r="J3977">
        <f>VLOOKUP(D3977,Товары!A:I,4,0)</f>
        <v>11655</v>
      </c>
      <c r="K3977">
        <f t="shared" si="62"/>
        <v>23310</v>
      </c>
    </row>
    <row r="3978" spans="1:11" hidden="1" x14ac:dyDescent="0.25">
      <c r="A3978">
        <v>3977</v>
      </c>
      <c r="B3978" s="1">
        <v>45748</v>
      </c>
      <c r="C3978" t="s">
        <v>41</v>
      </c>
      <c r="D3978" t="s">
        <v>109</v>
      </c>
      <c r="E3978" t="s">
        <v>8</v>
      </c>
      <c r="F3978">
        <v>2</v>
      </c>
      <c r="G3978" t="str">
        <f>VLOOKUP(D3978,Товары!A:I,3,0)</f>
        <v>Тумба с раковиной  навес. Альба 600 антрацит 2 ящика с умыв. Океан</v>
      </c>
      <c r="H3978">
        <f>VLOOKUP(D3978,Товары!A:I,6,0)</f>
        <v>50</v>
      </c>
      <c r="I3978" t="str">
        <f>VLOOKUP(C3978,Магазины!A:C,3,0)</f>
        <v>Ставрополь</v>
      </c>
      <c r="J3978">
        <f>VLOOKUP(D3978,Товары!A:I,4,0)</f>
        <v>24810</v>
      </c>
      <c r="K3978">
        <f t="shared" si="62"/>
        <v>49620</v>
      </c>
    </row>
    <row r="3979" spans="1:11" hidden="1" x14ac:dyDescent="0.25">
      <c r="A3979">
        <v>3978</v>
      </c>
      <c r="B3979" s="1">
        <v>45751</v>
      </c>
      <c r="C3979" t="s">
        <v>35</v>
      </c>
      <c r="D3979" t="s">
        <v>95</v>
      </c>
      <c r="E3979" t="s">
        <v>8</v>
      </c>
      <c r="F3979">
        <v>2</v>
      </c>
      <c r="G3979" t="str">
        <f>VLOOKUP(D3979,Товары!A:I,3,0)</f>
        <v>Тумба с раковиной  напол. Рица 600 антрацит 2 ящика с умыв. Океан</v>
      </c>
      <c r="H3979">
        <f>VLOOKUP(D3979,Товары!A:I,6,0)</f>
        <v>80</v>
      </c>
      <c r="I3979" t="str">
        <f>VLOOKUP(C3979,Магазины!A:C,3,0)</f>
        <v>Набережные Челны</v>
      </c>
      <c r="J3979">
        <f>VLOOKUP(D3979,Товары!A:I,4,0)</f>
        <v>25560</v>
      </c>
      <c r="K3979">
        <f t="shared" si="62"/>
        <v>51120</v>
      </c>
    </row>
    <row r="3980" spans="1:11" hidden="1" x14ac:dyDescent="0.25">
      <c r="A3980">
        <v>3979</v>
      </c>
      <c r="B3980" s="1">
        <v>45749</v>
      </c>
      <c r="C3980" t="s">
        <v>103</v>
      </c>
      <c r="D3980" t="s">
        <v>21</v>
      </c>
      <c r="E3980" t="s">
        <v>13</v>
      </c>
      <c r="F3980">
        <v>2</v>
      </c>
      <c r="G3980" t="str">
        <f>VLOOKUP(D3980,Товары!A:I,3,0)</f>
        <v>Зеркальный шкаф Рица 60 со светильником правый цвет cерый/керамика</v>
      </c>
      <c r="H3980">
        <f>VLOOKUP(D3980,Товары!A:I,6,0)</f>
        <v>75</v>
      </c>
      <c r="I3980" t="str">
        <f>VLOOKUP(C3980,Магазины!A:C,3,0)</f>
        <v>Ставрополь</v>
      </c>
      <c r="J3980">
        <f>VLOOKUP(D3980,Товары!A:I,4,0)</f>
        <v>8910</v>
      </c>
      <c r="K3980">
        <f t="shared" si="62"/>
        <v>17820</v>
      </c>
    </row>
    <row r="3981" spans="1:11" hidden="1" x14ac:dyDescent="0.25">
      <c r="A3981">
        <v>3980</v>
      </c>
      <c r="B3981" s="1">
        <v>45749</v>
      </c>
      <c r="C3981" t="s">
        <v>103</v>
      </c>
      <c r="D3981" t="s">
        <v>77</v>
      </c>
      <c r="E3981" t="s">
        <v>8</v>
      </c>
      <c r="F3981">
        <v>1</v>
      </c>
      <c r="G3981" t="str">
        <f>VLOOKUP(D3981,Товары!A:I,3,0)</f>
        <v>Тумба с раковиной  напол. Куба Риф 600 белый 2 ящика с умыв. Como</v>
      </c>
      <c r="H3981">
        <f>VLOOKUP(D3981,Товары!A:I,6,0)</f>
        <v>85</v>
      </c>
      <c r="I3981" t="str">
        <f>VLOOKUP(C3981,Магазины!A:C,3,0)</f>
        <v>Ставрополь</v>
      </c>
      <c r="J3981">
        <f>VLOOKUP(D3981,Товары!A:I,4,0)</f>
        <v>15660</v>
      </c>
      <c r="K3981">
        <f t="shared" si="62"/>
        <v>15660</v>
      </c>
    </row>
    <row r="3982" spans="1:11" hidden="1" x14ac:dyDescent="0.25">
      <c r="A3982">
        <v>3981</v>
      </c>
      <c r="B3982" s="1">
        <v>45757</v>
      </c>
      <c r="C3982" t="s">
        <v>48</v>
      </c>
      <c r="D3982" t="s">
        <v>21</v>
      </c>
      <c r="E3982" t="s">
        <v>13</v>
      </c>
      <c r="F3982">
        <v>2</v>
      </c>
      <c r="G3982" t="str">
        <f>VLOOKUP(D3982,Товары!A:I,3,0)</f>
        <v>Зеркальный шкаф Рица 60 со светильником правый цвет cерый/керамика</v>
      </c>
      <c r="H3982">
        <f>VLOOKUP(D3982,Товары!A:I,6,0)</f>
        <v>75</v>
      </c>
      <c r="I3982" t="str">
        <f>VLOOKUP(C3982,Магазины!A:C,3,0)</f>
        <v>Ставрополь</v>
      </c>
      <c r="J3982">
        <f>VLOOKUP(D3982,Товары!A:I,4,0)</f>
        <v>8910</v>
      </c>
      <c r="K3982">
        <f t="shared" si="62"/>
        <v>17820</v>
      </c>
    </row>
    <row r="3983" spans="1:11" hidden="1" x14ac:dyDescent="0.25">
      <c r="A3983">
        <v>3982</v>
      </c>
      <c r="B3983" s="1">
        <v>45757</v>
      </c>
      <c r="C3983" t="s">
        <v>92</v>
      </c>
      <c r="D3983" t="s">
        <v>76</v>
      </c>
      <c r="E3983" t="s">
        <v>8</v>
      </c>
      <c r="F3983">
        <v>1</v>
      </c>
      <c r="G3983" t="str">
        <f>VLOOKUP(D3983,Товары!A:I,3,0)</f>
        <v>Тумба с раковиной  напол. Леон 600 оникс 2 ящика с умыв. Слим</v>
      </c>
      <c r="H3983">
        <f>VLOOKUP(D3983,Товары!A:I,6,0)</f>
        <v>80</v>
      </c>
      <c r="I3983" t="str">
        <f>VLOOKUP(C3983,Магазины!A:C,3,0)</f>
        <v>Кемерово</v>
      </c>
      <c r="J3983">
        <f>VLOOKUP(D3983,Товары!A:I,4,0)</f>
        <v>25860</v>
      </c>
      <c r="K3983">
        <f t="shared" si="62"/>
        <v>25860</v>
      </c>
    </row>
    <row r="3984" spans="1:11" hidden="1" x14ac:dyDescent="0.25">
      <c r="A3984">
        <v>3983</v>
      </c>
      <c r="B3984" s="1">
        <v>45751</v>
      </c>
      <c r="C3984" t="s">
        <v>54</v>
      </c>
      <c r="D3984" t="s">
        <v>69</v>
      </c>
      <c r="E3984" t="s">
        <v>8</v>
      </c>
      <c r="F3984">
        <v>1</v>
      </c>
      <c r="G3984" t="str">
        <f>VLOOKUP(D3984,Товары!A:I,3,0)</f>
        <v>Пенал навес./напол. Альба 350 антрацит 2 двери</v>
      </c>
      <c r="H3984">
        <f>VLOOKUP(D3984,Товары!A:I,6,0)</f>
        <v>150</v>
      </c>
      <c r="I3984" t="str">
        <f>VLOOKUP(C3984,Магазины!A:C,3,0)</f>
        <v>Ставрополь</v>
      </c>
      <c r="J3984">
        <f>VLOOKUP(D3984,Товары!A:I,4,0)</f>
        <v>11655</v>
      </c>
      <c r="K3984">
        <f t="shared" si="62"/>
        <v>11655</v>
      </c>
    </row>
    <row r="3985" spans="1:11" hidden="1" x14ac:dyDescent="0.25">
      <c r="A3985">
        <v>3984</v>
      </c>
      <c r="B3985" s="1">
        <v>45748</v>
      </c>
      <c r="C3985" t="s">
        <v>35</v>
      </c>
      <c r="D3985" t="s">
        <v>49</v>
      </c>
      <c r="E3985" t="s">
        <v>8</v>
      </c>
      <c r="F3985">
        <v>3</v>
      </c>
      <c r="G3985" t="str">
        <f>VLOOKUP(D3985,Товары!A:I,3,0)</f>
        <v>Тумба с раковиной  напол. Леон 700 оникс 2 ящика с умыв. Слим</v>
      </c>
      <c r="H3985">
        <f>VLOOKUP(D3985,Товары!A:I,6,0)</f>
        <v>80</v>
      </c>
      <c r="I3985" t="str">
        <f>VLOOKUP(C3985,Магазины!A:C,3,0)</f>
        <v>Набережные Челны</v>
      </c>
      <c r="J3985">
        <f>VLOOKUP(D3985,Товары!A:I,4,0)</f>
        <v>28380</v>
      </c>
      <c r="K3985">
        <f t="shared" si="62"/>
        <v>85140</v>
      </c>
    </row>
    <row r="3986" spans="1:11" hidden="1" x14ac:dyDescent="0.25">
      <c r="A3986">
        <v>3985</v>
      </c>
      <c r="B3986" s="1">
        <v>45755</v>
      </c>
      <c r="C3986" t="s">
        <v>18</v>
      </c>
      <c r="D3986" t="s">
        <v>69</v>
      </c>
      <c r="E3986" t="s">
        <v>13</v>
      </c>
      <c r="F3986">
        <v>2</v>
      </c>
      <c r="G3986" t="str">
        <f>VLOOKUP(D3986,Товары!A:I,3,0)</f>
        <v>Пенал навес./напол. Альба 350 антрацит 2 двери</v>
      </c>
      <c r="H3986">
        <f>VLOOKUP(D3986,Товары!A:I,6,0)</f>
        <v>150</v>
      </c>
      <c r="I3986" t="str">
        <f>VLOOKUP(C3986,Магазины!A:C,3,0)</f>
        <v>Набережные Челны</v>
      </c>
      <c r="J3986">
        <f>VLOOKUP(D3986,Товары!A:I,4,0)</f>
        <v>11655</v>
      </c>
      <c r="K3986">
        <f t="shared" si="62"/>
        <v>23310</v>
      </c>
    </row>
    <row r="3987" spans="1:11" hidden="1" x14ac:dyDescent="0.25">
      <c r="A3987">
        <v>3986</v>
      </c>
      <c r="B3987" s="1">
        <v>45753</v>
      </c>
      <c r="C3987" t="s">
        <v>11</v>
      </c>
      <c r="D3987" t="s">
        <v>52</v>
      </c>
      <c r="E3987" t="s">
        <v>8</v>
      </c>
      <c r="F3987">
        <v>2</v>
      </c>
      <c r="G3987" t="str">
        <f>VLOOKUP(D3987,Товары!A:I,3,0)</f>
        <v>Тумба с раковиной  напол. Кристалл 600 суфле 2 ящика с умыв. Океан</v>
      </c>
      <c r="H3987">
        <f>VLOOKUP(D3987,Товары!A:I,6,0)</f>
        <v>80</v>
      </c>
      <c r="I3987" t="str">
        <f>VLOOKUP(C3987,Магазины!A:C,3,0)</f>
        <v>Кемерово</v>
      </c>
      <c r="J3987">
        <f>VLOOKUP(D3987,Товары!A:I,4,0)</f>
        <v>27600</v>
      </c>
      <c r="K3987">
        <f t="shared" si="62"/>
        <v>55200</v>
      </c>
    </row>
    <row r="3988" spans="1:11" hidden="1" x14ac:dyDescent="0.25">
      <c r="A3988">
        <v>3987</v>
      </c>
      <c r="B3988" s="1">
        <v>45748</v>
      </c>
      <c r="C3988" t="s">
        <v>41</v>
      </c>
      <c r="D3988" t="s">
        <v>70</v>
      </c>
      <c r="E3988" t="s">
        <v>13</v>
      </c>
      <c r="F3988">
        <v>1</v>
      </c>
      <c r="G3988" t="str">
        <f>VLOOKUP(D3988,Товары!A:I,3,0)</f>
        <v>Тумба с раковиной  напол. Кристалл 700 шато азур 2 ящика с умыв. Слим</v>
      </c>
      <c r="H3988">
        <f>VLOOKUP(D3988,Товары!A:I,6,0)</f>
        <v>85</v>
      </c>
      <c r="I3988" t="str">
        <f>VLOOKUP(C3988,Магазины!A:C,3,0)</f>
        <v>Ставрополь</v>
      </c>
      <c r="J3988">
        <f>VLOOKUP(D3988,Товары!A:I,4,0)</f>
        <v>29910</v>
      </c>
      <c r="K3988">
        <f t="shared" si="62"/>
        <v>29910</v>
      </c>
    </row>
    <row r="3989" spans="1:11" hidden="1" x14ac:dyDescent="0.25">
      <c r="A3989">
        <v>3988</v>
      </c>
      <c r="B3989" s="1">
        <v>45756</v>
      </c>
      <c r="C3989" t="s">
        <v>33</v>
      </c>
      <c r="D3989" t="s">
        <v>34</v>
      </c>
      <c r="E3989" t="s">
        <v>8</v>
      </c>
      <c r="F3989">
        <v>1</v>
      </c>
      <c r="G3989" t="str">
        <f>VLOOKUP(D3989,Товары!A:I,3,0)</f>
        <v>Тумба с раковиной  навес. Леон 700 форест 2 ящика с умыв. Слим</v>
      </c>
      <c r="H3989">
        <f>VLOOKUP(D3989,Товары!A:I,6,0)</f>
        <v>60</v>
      </c>
      <c r="I3989" t="str">
        <f>VLOOKUP(C3989,Магазины!A:C,3,0)</f>
        <v>Набережные Челны</v>
      </c>
      <c r="J3989">
        <f>VLOOKUP(D3989,Товары!A:I,4,0)</f>
        <v>26220</v>
      </c>
      <c r="K3989">
        <f t="shared" si="62"/>
        <v>26220</v>
      </c>
    </row>
    <row r="3990" spans="1:11" hidden="1" x14ac:dyDescent="0.25">
      <c r="A3990">
        <v>3989</v>
      </c>
      <c r="B3990" s="1">
        <v>45753</v>
      </c>
      <c r="C3990" t="s">
        <v>30</v>
      </c>
      <c r="D3990" t="s">
        <v>31</v>
      </c>
      <c r="E3990" t="s">
        <v>13</v>
      </c>
      <c r="F3990">
        <v>2</v>
      </c>
      <c r="G3990" t="str">
        <f>VLOOKUP(D3990,Товары!A:I,3,0)</f>
        <v>Пенал напол. Виктория 350 белый 2 двери</v>
      </c>
      <c r="H3990">
        <f>VLOOKUP(D3990,Товары!A:I,6,0)</f>
        <v>190</v>
      </c>
      <c r="I3990" t="str">
        <f>VLOOKUP(C3990,Магазины!A:C,3,0)</f>
        <v>Кемерово</v>
      </c>
      <c r="J3990">
        <f>VLOOKUP(D3990,Товары!A:I,4,0)</f>
        <v>14085</v>
      </c>
      <c r="K3990">
        <f t="shared" si="62"/>
        <v>28170</v>
      </c>
    </row>
    <row r="3991" spans="1:11" hidden="1" x14ac:dyDescent="0.25">
      <c r="A3991">
        <v>3990</v>
      </c>
      <c r="B3991" s="1">
        <v>45754</v>
      </c>
      <c r="C3991" t="s">
        <v>35</v>
      </c>
      <c r="D3991" t="s">
        <v>47</v>
      </c>
      <c r="E3991" t="s">
        <v>8</v>
      </c>
      <c r="F3991">
        <v>2</v>
      </c>
      <c r="G3991" t="str">
        <f>VLOOKUP(D3991,Товары!A:I,3,0)</f>
        <v>Пенал напол. Кристалл 350 шато азур 2 двери</v>
      </c>
      <c r="H3991">
        <f>VLOOKUP(D3991,Товары!A:I,6,0)</f>
        <v>190</v>
      </c>
      <c r="I3991" t="str">
        <f>VLOOKUP(C3991,Магазины!A:C,3,0)</f>
        <v>Набережные Челны</v>
      </c>
      <c r="J3991">
        <f>VLOOKUP(D3991,Товары!A:I,4,0)</f>
        <v>15810</v>
      </c>
      <c r="K3991">
        <f t="shared" si="62"/>
        <v>31620</v>
      </c>
    </row>
    <row r="3992" spans="1:11" hidden="1" x14ac:dyDescent="0.25">
      <c r="A3992">
        <v>3991</v>
      </c>
      <c r="B3992" s="1">
        <v>45751</v>
      </c>
      <c r="C3992" t="s">
        <v>41</v>
      </c>
      <c r="D3992" t="s">
        <v>46</v>
      </c>
      <c r="E3992" t="s">
        <v>13</v>
      </c>
      <c r="F3992">
        <v>2</v>
      </c>
      <c r="G3992" t="str">
        <f>VLOOKUP(D3992,Товары!A:I,3,0)</f>
        <v>Тумба с раковиной  напол. Сохо 700 белый 2 ящика с умыв. Слим</v>
      </c>
      <c r="H3992">
        <f>VLOOKUP(D3992,Товары!A:I,6,0)</f>
        <v>85</v>
      </c>
      <c r="I3992" t="str">
        <f>VLOOKUP(C3992,Магазины!A:C,3,0)</f>
        <v>Ставрополь</v>
      </c>
      <c r="J3992">
        <f>VLOOKUP(D3992,Товары!A:I,4,0)</f>
        <v>18405</v>
      </c>
      <c r="K3992">
        <f t="shared" si="62"/>
        <v>36810</v>
      </c>
    </row>
    <row r="3993" spans="1:11" hidden="1" x14ac:dyDescent="0.25">
      <c r="A3993">
        <v>3992</v>
      </c>
      <c r="B3993" s="1">
        <v>45753</v>
      </c>
      <c r="C3993" t="s">
        <v>16</v>
      </c>
      <c r="D3993" t="s">
        <v>78</v>
      </c>
      <c r="E3993" t="s">
        <v>8</v>
      </c>
      <c r="F3993">
        <v>1</v>
      </c>
      <c r="G3993" t="str">
        <f>VLOOKUP(D3993,Товары!A:I,3,0)</f>
        <v>Зеркальный шкаф Кристалл 70 со светильником правый, ручка кнопка дуб цвет Шато Азур</v>
      </c>
      <c r="H3993">
        <f>VLOOKUP(D3993,Товары!A:I,6,0)</f>
        <v>75</v>
      </c>
      <c r="I3993" t="str">
        <f>VLOOKUP(C3993,Магазины!A:C,3,0)</f>
        <v>Оренбург</v>
      </c>
      <c r="J3993">
        <f>VLOOKUP(D3993,Товары!A:I,4,0)</f>
        <v>9615</v>
      </c>
      <c r="K3993">
        <f t="shared" si="62"/>
        <v>9615</v>
      </c>
    </row>
    <row r="3994" spans="1:11" hidden="1" x14ac:dyDescent="0.25">
      <c r="A3994">
        <v>3993</v>
      </c>
      <c r="B3994" s="1">
        <v>45751</v>
      </c>
      <c r="C3994" t="s">
        <v>92</v>
      </c>
      <c r="D3994" t="s">
        <v>93</v>
      </c>
      <c r="E3994" t="s">
        <v>13</v>
      </c>
      <c r="F3994">
        <v>2</v>
      </c>
      <c r="G3994" t="str">
        <f>VLOOKUP(D3994,Товары!A:I,3,0)</f>
        <v>Тумба с раковиной  напол. Леон Риф 800 солярис/белый риф 2 ящика с умыв. Слим</v>
      </c>
      <c r="H3994">
        <f>VLOOKUP(D3994,Товары!A:I,6,0)</f>
        <v>80</v>
      </c>
      <c r="I3994" t="str">
        <f>VLOOKUP(C3994,Магазины!A:C,3,0)</f>
        <v>Кемерово</v>
      </c>
      <c r="J3994">
        <f>VLOOKUP(D3994,Товары!A:I,4,0)</f>
        <v>29340</v>
      </c>
      <c r="K3994">
        <f t="shared" si="62"/>
        <v>58680</v>
      </c>
    </row>
    <row r="3995" spans="1:11" hidden="1" x14ac:dyDescent="0.25">
      <c r="A3995">
        <v>3994</v>
      </c>
      <c r="B3995" s="1">
        <v>45757</v>
      </c>
      <c r="C3995" t="s">
        <v>26</v>
      </c>
      <c r="D3995" t="s">
        <v>104</v>
      </c>
      <c r="E3995" t="s">
        <v>8</v>
      </c>
      <c r="F3995">
        <v>2</v>
      </c>
      <c r="G3995" t="str">
        <f>VLOOKUP(D3995,Товары!A:I,3,0)</f>
        <v>Тумба под стиральную машину Куба Риф 57 подвесная 2 ящика под ст/маш, без умывальника /под Marshall 120 Белый</v>
      </c>
      <c r="H3995">
        <f>VLOOKUP(D3995,Товары!A:I,6,0)</f>
        <v>50</v>
      </c>
      <c r="I3995" t="str">
        <f>VLOOKUP(C3995,Магазины!A:C,3,0)</f>
        <v>Оренбург</v>
      </c>
      <c r="J3995">
        <f>VLOOKUP(D3995,Товары!A:I,4,0)</f>
        <v>8505</v>
      </c>
      <c r="K3995">
        <f t="shared" si="62"/>
        <v>17010</v>
      </c>
    </row>
    <row r="3996" spans="1:11" hidden="1" x14ac:dyDescent="0.25">
      <c r="A3996">
        <v>3995</v>
      </c>
      <c r="B3996" s="1">
        <v>45751</v>
      </c>
      <c r="C3996" t="s">
        <v>111</v>
      </c>
      <c r="D3996" t="s">
        <v>52</v>
      </c>
      <c r="E3996" t="s">
        <v>8</v>
      </c>
      <c r="F3996">
        <v>1</v>
      </c>
      <c r="G3996" t="str">
        <f>VLOOKUP(D3996,Товары!A:I,3,0)</f>
        <v>Тумба с раковиной  напол. Кристалл 600 суфле 2 ящика с умыв. Океан</v>
      </c>
      <c r="H3996">
        <f>VLOOKUP(D3996,Товары!A:I,6,0)</f>
        <v>80</v>
      </c>
      <c r="I3996" t="str">
        <f>VLOOKUP(C3996,Магазины!A:C,3,0)</f>
        <v>Набережные Челны</v>
      </c>
      <c r="J3996">
        <f>VLOOKUP(D3996,Товары!A:I,4,0)</f>
        <v>27600</v>
      </c>
      <c r="K3996">
        <f t="shared" si="62"/>
        <v>27600</v>
      </c>
    </row>
    <row r="3997" spans="1:11" hidden="1" x14ac:dyDescent="0.25">
      <c r="A3997">
        <v>3996</v>
      </c>
      <c r="B3997" s="1">
        <v>45752</v>
      </c>
      <c r="C3997" t="s">
        <v>22</v>
      </c>
      <c r="D3997" t="s">
        <v>39</v>
      </c>
      <c r="E3997" t="s">
        <v>8</v>
      </c>
      <c r="F3997">
        <v>1</v>
      </c>
      <c r="G3997" t="str">
        <f>VLOOKUP(D3997,Товары!A:I,3,0)</f>
        <v>Тумба с раковиной  напол. Альба 700 мята 2 ящика с умыв. Слим</v>
      </c>
      <c r="H3997">
        <f>VLOOKUP(D3997,Товары!A:I,6,0)</f>
        <v>85</v>
      </c>
      <c r="I3997" t="str">
        <f>VLOOKUP(C3997,Магазины!A:C,3,0)</f>
        <v>Кемерово</v>
      </c>
      <c r="J3997">
        <f>VLOOKUP(D3997,Товары!A:I,4,0)</f>
        <v>28695</v>
      </c>
      <c r="K3997">
        <f t="shared" si="62"/>
        <v>28695</v>
      </c>
    </row>
    <row r="3998" spans="1:11" hidden="1" x14ac:dyDescent="0.25">
      <c r="A3998">
        <v>3997</v>
      </c>
      <c r="B3998" s="1">
        <v>45749</v>
      </c>
      <c r="C3998" t="s">
        <v>33</v>
      </c>
      <c r="D3998" t="s">
        <v>123</v>
      </c>
      <c r="E3998" t="s">
        <v>8</v>
      </c>
      <c r="F3998">
        <v>3</v>
      </c>
      <c r="G3998" t="str">
        <f>VLOOKUP(D3998,Товары!A:I,3,0)</f>
        <v>Тумба с раковиной  напол. Кристалл 800 суфле 2 ящика с умыв. Слим</v>
      </c>
      <c r="H3998">
        <f>VLOOKUP(D3998,Товары!A:I,6,0)</f>
        <v>80</v>
      </c>
      <c r="I3998" t="str">
        <f>VLOOKUP(C3998,Магазины!A:C,3,0)</f>
        <v>Набережные Челны</v>
      </c>
      <c r="J3998">
        <f>VLOOKUP(D3998,Товары!A:I,4,0)</f>
        <v>31125</v>
      </c>
      <c r="K3998">
        <f t="shared" si="62"/>
        <v>93375</v>
      </c>
    </row>
    <row r="3999" spans="1:11" hidden="1" x14ac:dyDescent="0.25">
      <c r="A3999">
        <v>3998</v>
      </c>
      <c r="B3999" s="1">
        <v>45757</v>
      </c>
      <c r="C3999" t="s">
        <v>35</v>
      </c>
      <c r="D3999" t="s">
        <v>114</v>
      </c>
      <c r="E3999" t="s">
        <v>8</v>
      </c>
      <c r="F3999">
        <v>2</v>
      </c>
      <c r="G3999" t="str">
        <f>VLOOKUP(D3999,Товары!A:I,3,0)</f>
        <v>Тумба с раковиной  навес. Альба 700 мята 2 ящика с умыв. Слим</v>
      </c>
      <c r="H3999">
        <f>VLOOKUP(D3999,Товары!A:I,6,0)</f>
        <v>60</v>
      </c>
      <c r="I3999" t="str">
        <f>VLOOKUP(C3999,Магазины!A:C,3,0)</f>
        <v>Набережные Челны</v>
      </c>
      <c r="J3999">
        <f>VLOOKUP(D3999,Товары!A:I,4,0)</f>
        <v>25095</v>
      </c>
      <c r="K3999">
        <f t="shared" si="62"/>
        <v>50190</v>
      </c>
    </row>
    <row r="4000" spans="1:11" hidden="1" x14ac:dyDescent="0.25">
      <c r="A4000">
        <v>3999</v>
      </c>
      <c r="B4000" s="1">
        <v>45749</v>
      </c>
      <c r="C4000" t="s">
        <v>14</v>
      </c>
      <c r="D4000" t="s">
        <v>124</v>
      </c>
      <c r="E4000" t="s">
        <v>13</v>
      </c>
      <c r="F4000">
        <v>2</v>
      </c>
      <c r="G4000" t="str">
        <f>VLOOKUP(D4000,Товары!A:I,3,0)</f>
        <v>Тумба с раковиной  напол. Леон 600 оникс 2 ящика с умыв. Океан</v>
      </c>
      <c r="H4000">
        <f>VLOOKUP(D4000,Товары!A:I,6,0)</f>
        <v>80</v>
      </c>
      <c r="I4000" t="str">
        <f>VLOOKUP(C4000,Магазины!A:C,3,0)</f>
        <v>Оренбург</v>
      </c>
      <c r="J4000">
        <f>VLOOKUP(D4000,Товары!A:I,4,0)</f>
        <v>25860</v>
      </c>
      <c r="K4000">
        <f t="shared" si="62"/>
        <v>51720</v>
      </c>
    </row>
    <row r="4001" spans="1:11" hidden="1" x14ac:dyDescent="0.25">
      <c r="A4001">
        <v>4000</v>
      </c>
      <c r="B4001" s="1">
        <v>45753</v>
      </c>
      <c r="C4001" t="s">
        <v>18</v>
      </c>
      <c r="D4001" t="s">
        <v>101</v>
      </c>
      <c r="E4001" t="s">
        <v>8</v>
      </c>
      <c r="F4001">
        <v>2</v>
      </c>
      <c r="G4001" t="str">
        <f>VLOOKUP(D4001,Товары!A:I,3,0)</f>
        <v>Пенал напол. Сохо 400 белый 2 двери + 1 ящик</v>
      </c>
      <c r="H4001">
        <f>VLOOKUP(D4001,Товары!A:I,6,0)</f>
        <v>190</v>
      </c>
      <c r="I4001" t="str">
        <f>VLOOKUP(C4001,Магазины!A:C,3,0)</f>
        <v>Набережные Челны</v>
      </c>
      <c r="J4001">
        <f>VLOOKUP(D4001,Товары!A:I,4,0)</f>
        <v>11040</v>
      </c>
      <c r="K4001">
        <f t="shared" si="62"/>
        <v>22080</v>
      </c>
    </row>
    <row r="4002" spans="1:11" hidden="1" x14ac:dyDescent="0.25">
      <c r="A4002">
        <v>4001</v>
      </c>
      <c r="B4002" s="1">
        <v>45750</v>
      </c>
      <c r="C4002" t="s">
        <v>26</v>
      </c>
      <c r="D4002" t="s">
        <v>128</v>
      </c>
      <c r="E4002" t="s">
        <v>8</v>
      </c>
      <c r="F4002">
        <v>3</v>
      </c>
      <c r="G4002" t="str">
        <f>VLOOKUP(D4002,Товары!A:I,3,0)</f>
        <v>Тумба с раковиной  напол. Куба Риф 1000 белый 2 ящика с умыв. Слим</v>
      </c>
      <c r="H4002">
        <f>VLOOKUP(D4002,Товары!A:I,6,0)</f>
        <v>85</v>
      </c>
      <c r="I4002" t="str">
        <f>VLOOKUP(C4002,Магазины!A:C,3,0)</f>
        <v>Оренбург</v>
      </c>
      <c r="J4002">
        <f>VLOOKUP(D4002,Товары!A:I,4,0)</f>
        <v>22905</v>
      </c>
      <c r="K4002">
        <f t="shared" si="62"/>
        <v>68715</v>
      </c>
    </row>
    <row r="4003" spans="1:11" hidden="1" x14ac:dyDescent="0.25">
      <c r="A4003">
        <v>4002</v>
      </c>
      <c r="B4003" s="1">
        <v>45749</v>
      </c>
      <c r="C4003" t="s">
        <v>111</v>
      </c>
      <c r="D4003" t="s">
        <v>121</v>
      </c>
      <c r="E4003" t="s">
        <v>8</v>
      </c>
      <c r="F4003">
        <v>1</v>
      </c>
      <c r="G4003" t="str">
        <f>VLOOKUP(D4003,Товары!A:I,3,0)</f>
        <v>Тумба с раковиной  напол. Куба Риф 600 белый 2 двери с умыв. Como</v>
      </c>
      <c r="H4003">
        <f>VLOOKUP(D4003,Товары!A:I,6,0)</f>
        <v>85</v>
      </c>
      <c r="I4003" t="str">
        <f>VLOOKUP(C4003,Магазины!A:C,3,0)</f>
        <v>Набережные Челны</v>
      </c>
      <c r="J4003">
        <f>VLOOKUP(D4003,Товары!A:I,4,0)</f>
        <v>13695</v>
      </c>
      <c r="K4003">
        <f t="shared" si="62"/>
        <v>13695</v>
      </c>
    </row>
    <row r="4004" spans="1:11" hidden="1" x14ac:dyDescent="0.25">
      <c r="A4004">
        <v>4003</v>
      </c>
      <c r="B4004" s="1">
        <v>45754</v>
      </c>
      <c r="C4004" t="s">
        <v>30</v>
      </c>
      <c r="D4004" t="s">
        <v>23</v>
      </c>
      <c r="E4004" t="s">
        <v>13</v>
      </c>
      <c r="F4004">
        <v>1</v>
      </c>
      <c r="G4004" t="str">
        <f>VLOOKUP(D4004,Товары!A:I,3,0)</f>
        <v>Тумба с раковиной  напол. Альба 800 антрацит 2 ящика с умыв. Слим</v>
      </c>
      <c r="H4004">
        <f>VLOOKUP(D4004,Товары!A:I,6,0)</f>
        <v>80</v>
      </c>
      <c r="I4004" t="str">
        <f>VLOOKUP(C4004,Магазины!A:C,3,0)</f>
        <v>Кемерово</v>
      </c>
      <c r="J4004">
        <f>VLOOKUP(D4004,Товары!A:I,4,0)</f>
        <v>29340</v>
      </c>
      <c r="K4004">
        <f t="shared" si="62"/>
        <v>29340</v>
      </c>
    </row>
    <row r="4005" spans="1:11" hidden="1" x14ac:dyDescent="0.25">
      <c r="A4005">
        <v>4004</v>
      </c>
      <c r="B4005" s="1">
        <v>45752</v>
      </c>
      <c r="C4005" t="s">
        <v>33</v>
      </c>
      <c r="D4005" t="s">
        <v>120</v>
      </c>
      <c r="E4005" t="s">
        <v>8</v>
      </c>
      <c r="F4005">
        <v>1</v>
      </c>
      <c r="G4005" t="str">
        <f>VLOOKUP(D4005,Товары!A:I,3,0)</f>
        <v>Зеркальный шкаф Альба 60 со светильником правый цвет антрацит</v>
      </c>
      <c r="H4005">
        <f>VLOOKUP(D4005,Товары!A:I,6,0)</f>
        <v>75</v>
      </c>
      <c r="I4005" t="str">
        <f>VLOOKUP(C4005,Магазины!A:C,3,0)</f>
        <v>Набережные Челны</v>
      </c>
      <c r="J4005">
        <f>VLOOKUP(D4005,Товары!A:I,4,0)</f>
        <v>8910</v>
      </c>
      <c r="K4005">
        <f t="shared" si="62"/>
        <v>8910</v>
      </c>
    </row>
    <row r="4006" spans="1:11" hidden="1" x14ac:dyDescent="0.25">
      <c r="A4006">
        <v>4005</v>
      </c>
      <c r="B4006" s="1">
        <v>45749</v>
      </c>
      <c r="C4006" t="s">
        <v>54</v>
      </c>
      <c r="D4006" t="s">
        <v>29</v>
      </c>
      <c r="E4006" t="s">
        <v>13</v>
      </c>
      <c r="F4006">
        <v>1</v>
      </c>
      <c r="G4006" t="str">
        <f>VLOOKUP(D4006,Товары!A:I,3,0)</f>
        <v>Тумба с раковиной  напол. Леон Риф 600 солярис/белый риф 2 ящика с умыв. Океан</v>
      </c>
      <c r="H4006">
        <f>VLOOKUP(D4006,Товары!A:I,6,0)</f>
        <v>80</v>
      </c>
      <c r="I4006" t="str">
        <f>VLOOKUP(C4006,Магазины!A:C,3,0)</f>
        <v>Ставрополь</v>
      </c>
      <c r="J4006">
        <f>VLOOKUP(D4006,Товары!A:I,4,0)</f>
        <v>24150</v>
      </c>
      <c r="K4006">
        <f t="shared" si="62"/>
        <v>24150</v>
      </c>
    </row>
    <row r="4007" spans="1:11" hidden="1" x14ac:dyDescent="0.25">
      <c r="A4007">
        <v>4006</v>
      </c>
      <c r="B4007" s="1">
        <v>45749</v>
      </c>
      <c r="C4007" t="s">
        <v>35</v>
      </c>
      <c r="D4007" t="s">
        <v>21</v>
      </c>
      <c r="E4007" t="s">
        <v>13</v>
      </c>
      <c r="F4007">
        <v>2</v>
      </c>
      <c r="G4007" t="str">
        <f>VLOOKUP(D4007,Товары!A:I,3,0)</f>
        <v>Зеркальный шкаф Рица 60 со светильником правый цвет cерый/керамика</v>
      </c>
      <c r="H4007">
        <f>VLOOKUP(D4007,Товары!A:I,6,0)</f>
        <v>75</v>
      </c>
      <c r="I4007" t="str">
        <f>VLOOKUP(C4007,Магазины!A:C,3,0)</f>
        <v>Набережные Челны</v>
      </c>
      <c r="J4007">
        <f>VLOOKUP(D4007,Товары!A:I,4,0)</f>
        <v>8910</v>
      </c>
      <c r="K4007">
        <f t="shared" si="62"/>
        <v>17820</v>
      </c>
    </row>
    <row r="4008" spans="1:11" hidden="1" x14ac:dyDescent="0.25">
      <c r="A4008">
        <v>4007</v>
      </c>
      <c r="B4008" s="1">
        <v>45748</v>
      </c>
      <c r="C4008" t="s">
        <v>18</v>
      </c>
      <c r="D4008" t="s">
        <v>107</v>
      </c>
      <c r="E4008" t="s">
        <v>13</v>
      </c>
      <c r="F4008">
        <v>3</v>
      </c>
      <c r="G4008" t="str">
        <f>VLOOKUP(D4008,Товары!A:I,3,0)</f>
        <v>Комод Аква 35 напольный 1 дверь белый правый</v>
      </c>
      <c r="H4008">
        <f>VLOOKUP(D4008,Товары!A:I,6,0)</f>
        <v>90</v>
      </c>
      <c r="I4008" t="str">
        <f>VLOOKUP(C4008,Магазины!A:C,3,0)</f>
        <v>Набережные Челны</v>
      </c>
      <c r="J4008">
        <f>VLOOKUP(D4008,Товары!A:I,4,0)</f>
        <v>6705</v>
      </c>
      <c r="K4008">
        <f t="shared" si="62"/>
        <v>20115</v>
      </c>
    </row>
    <row r="4009" spans="1:11" hidden="1" x14ac:dyDescent="0.25">
      <c r="A4009">
        <v>4008</v>
      </c>
      <c r="B4009" s="1">
        <v>45750</v>
      </c>
      <c r="C4009" t="s">
        <v>103</v>
      </c>
      <c r="D4009" t="s">
        <v>87</v>
      </c>
      <c r="E4009" t="s">
        <v>8</v>
      </c>
      <c r="F4009">
        <v>2</v>
      </c>
      <c r="G4009" t="str">
        <f>VLOOKUP(D4009,Товары!A:I,3,0)</f>
        <v>Тумба с раковиной  напол. Леон 700 форест 2 ящика с умыв. Слим</v>
      </c>
      <c r="H4009">
        <f>VLOOKUP(D4009,Товары!A:I,6,0)</f>
        <v>80</v>
      </c>
      <c r="I4009" t="str">
        <f>VLOOKUP(C4009,Магазины!A:C,3,0)</f>
        <v>Ставрополь</v>
      </c>
      <c r="J4009">
        <f>VLOOKUP(D4009,Товары!A:I,4,0)</f>
        <v>28380</v>
      </c>
      <c r="K4009">
        <f t="shared" si="62"/>
        <v>56760</v>
      </c>
    </row>
    <row r="4010" spans="1:11" hidden="1" x14ac:dyDescent="0.25">
      <c r="A4010">
        <v>4009</v>
      </c>
      <c r="B4010" s="1">
        <v>45754</v>
      </c>
      <c r="C4010" t="s">
        <v>6</v>
      </c>
      <c r="D4010" t="s">
        <v>45</v>
      </c>
      <c r="E4010" t="s">
        <v>13</v>
      </c>
      <c r="F4010">
        <v>2</v>
      </c>
      <c r="G4010" t="str">
        <f>VLOOKUP(D4010,Товары!A:I,3,0)</f>
        <v>Зеркальный шкаф Рица 80 со светильником правый цвет cерый/керамика</v>
      </c>
      <c r="H4010">
        <f>VLOOKUP(D4010,Товары!A:I,6,0)</f>
        <v>75</v>
      </c>
      <c r="I4010" t="str">
        <f>VLOOKUP(C4010,Магазины!A:C,3,0)</f>
        <v>Оренбург</v>
      </c>
      <c r="J4010">
        <f>VLOOKUP(D4010,Товары!A:I,4,0)</f>
        <v>9930</v>
      </c>
      <c r="K4010">
        <f t="shared" si="62"/>
        <v>19860</v>
      </c>
    </row>
    <row r="4011" spans="1:11" hidden="1" x14ac:dyDescent="0.25">
      <c r="A4011">
        <v>4010</v>
      </c>
      <c r="B4011" s="1">
        <v>45751</v>
      </c>
      <c r="C4011" t="s">
        <v>22</v>
      </c>
      <c r="D4011" t="s">
        <v>24</v>
      </c>
      <c r="E4011" t="s">
        <v>13</v>
      </c>
      <c r="F4011">
        <v>2</v>
      </c>
      <c r="G4011" t="str">
        <f>VLOOKUP(D4011,Товары!A:I,3,0)</f>
        <v>Тумба с раковиной  напол. Леон 600 форест 2 ящика с умыв. Слим</v>
      </c>
      <c r="H4011">
        <f>VLOOKUP(D4011,Товары!A:I,6,0)</f>
        <v>80</v>
      </c>
      <c r="I4011" t="str">
        <f>VLOOKUP(C4011,Магазины!A:C,3,0)</f>
        <v>Кемерово</v>
      </c>
      <c r="J4011">
        <f>VLOOKUP(D4011,Товары!A:I,4,0)</f>
        <v>27150</v>
      </c>
      <c r="K4011">
        <f t="shared" si="62"/>
        <v>54300</v>
      </c>
    </row>
    <row r="4012" spans="1:11" hidden="1" x14ac:dyDescent="0.25">
      <c r="A4012">
        <v>4011</v>
      </c>
      <c r="B4012" s="1">
        <v>45751</v>
      </c>
      <c r="C4012" t="s">
        <v>111</v>
      </c>
      <c r="D4012" t="s">
        <v>55</v>
      </c>
      <c r="E4012" t="s">
        <v>13</v>
      </c>
      <c r="F4012">
        <v>2</v>
      </c>
      <c r="G4012" t="str">
        <f>VLOOKUP(D4012,Товары!A:I,3,0)</f>
        <v>Тумба с раковиной  напол. Рица 600 cерый/керамика 2 ящика с умыв. Океан</v>
      </c>
      <c r="H4012">
        <f>VLOOKUP(D4012,Товары!A:I,6,0)</f>
        <v>80</v>
      </c>
      <c r="I4012" t="str">
        <f>VLOOKUP(C4012,Магазины!A:C,3,0)</f>
        <v>Набережные Челны</v>
      </c>
      <c r="J4012">
        <f>VLOOKUP(D4012,Товары!A:I,4,0)</f>
        <v>25560</v>
      </c>
      <c r="K4012">
        <f t="shared" si="62"/>
        <v>51120</v>
      </c>
    </row>
    <row r="4013" spans="1:11" hidden="1" x14ac:dyDescent="0.25">
      <c r="A4013">
        <v>4012</v>
      </c>
      <c r="B4013" s="1">
        <v>45753</v>
      </c>
      <c r="C4013" t="s">
        <v>30</v>
      </c>
      <c r="D4013" t="s">
        <v>127</v>
      </c>
      <c r="E4013" t="s">
        <v>8</v>
      </c>
      <c r="F4013">
        <v>1</v>
      </c>
      <c r="G4013" t="str">
        <f>VLOOKUP(D4013,Товары!A:I,3,0)</f>
        <v>Тумба с раковиной  навес. Альба 700 мята 1 ящик с умыв. Слим</v>
      </c>
      <c r="H4013">
        <f>VLOOKUP(D4013,Товары!A:I,6,0)</f>
        <v>45</v>
      </c>
      <c r="I4013" t="str">
        <f>VLOOKUP(C4013,Магазины!A:C,3,0)</f>
        <v>Кемерово</v>
      </c>
      <c r="J4013">
        <f>VLOOKUP(D4013,Товары!A:I,4,0)</f>
        <v>20130</v>
      </c>
      <c r="K4013">
        <f t="shared" si="62"/>
        <v>20130</v>
      </c>
    </row>
    <row r="4014" spans="1:11" hidden="1" x14ac:dyDescent="0.25">
      <c r="A4014">
        <v>4013</v>
      </c>
      <c r="B4014" s="1">
        <v>45756</v>
      </c>
      <c r="C4014" t="s">
        <v>22</v>
      </c>
      <c r="D4014" t="s">
        <v>113</v>
      </c>
      <c r="E4014" t="s">
        <v>8</v>
      </c>
      <c r="F4014">
        <v>3</v>
      </c>
      <c r="G4014" t="str">
        <f>VLOOKUP(D4014,Товары!A:I,3,0)</f>
        <v>Зеркальный шкаф Альба 60 со светильником правый цвет мята</v>
      </c>
      <c r="H4014">
        <f>VLOOKUP(D4014,Товары!A:I,6,0)</f>
        <v>75</v>
      </c>
      <c r="I4014" t="str">
        <f>VLOOKUP(C4014,Магазины!A:C,3,0)</f>
        <v>Кемерово</v>
      </c>
      <c r="J4014">
        <f>VLOOKUP(D4014,Товары!A:I,4,0)</f>
        <v>8910</v>
      </c>
      <c r="K4014">
        <f t="shared" si="62"/>
        <v>26730</v>
      </c>
    </row>
    <row r="4015" spans="1:11" hidden="1" x14ac:dyDescent="0.25">
      <c r="A4015">
        <v>4014</v>
      </c>
      <c r="B4015" s="1">
        <v>45749</v>
      </c>
      <c r="C4015" t="s">
        <v>26</v>
      </c>
      <c r="D4015" t="s">
        <v>60</v>
      </c>
      <c r="E4015" t="s">
        <v>8</v>
      </c>
      <c r="F4015">
        <v>3</v>
      </c>
      <c r="G4015" t="str">
        <f>VLOOKUP(D4015,Товары!A:I,3,0)</f>
        <v>Пенал навес. Куба Риф 350 белый 2 двери</v>
      </c>
      <c r="H4015">
        <f>VLOOKUP(D4015,Товары!A:I,6,0)</f>
        <v>150</v>
      </c>
      <c r="I4015" t="str">
        <f>VLOOKUP(C4015,Магазины!A:C,3,0)</f>
        <v>Оренбург</v>
      </c>
      <c r="J4015">
        <f>VLOOKUP(D4015,Товары!A:I,4,0)</f>
        <v>9720</v>
      </c>
      <c r="K4015">
        <f t="shared" si="62"/>
        <v>29160</v>
      </c>
    </row>
    <row r="4016" spans="1:11" hidden="1" x14ac:dyDescent="0.25">
      <c r="A4016">
        <v>4015</v>
      </c>
      <c r="B4016" s="1">
        <v>45754</v>
      </c>
      <c r="C4016" t="s">
        <v>14</v>
      </c>
      <c r="D4016" t="s">
        <v>125</v>
      </c>
      <c r="E4016" t="s">
        <v>8</v>
      </c>
      <c r="F4016">
        <v>1</v>
      </c>
      <c r="G4016" t="str">
        <f>VLOOKUP(D4016,Товары!A:I,3,0)</f>
        <v>Зеркальный шкаф Сохо 60 белый со светильником правый цвет Белый глянец</v>
      </c>
      <c r="H4016">
        <f>VLOOKUP(D4016,Товары!A:I,6,0)</f>
        <v>75</v>
      </c>
      <c r="I4016" t="str">
        <f>VLOOKUP(C4016,Магазины!A:C,3,0)</f>
        <v>Оренбург</v>
      </c>
      <c r="J4016">
        <f>VLOOKUP(D4016,Товары!A:I,4,0)</f>
        <v>7395</v>
      </c>
      <c r="K4016">
        <f t="shared" si="62"/>
        <v>7395</v>
      </c>
    </row>
    <row r="4017" spans="1:11" hidden="1" x14ac:dyDescent="0.25">
      <c r="A4017">
        <v>4016</v>
      </c>
      <c r="B4017" s="1">
        <v>45754</v>
      </c>
      <c r="C4017" t="s">
        <v>57</v>
      </c>
      <c r="D4017" t="s">
        <v>12</v>
      </c>
      <c r="E4017" t="s">
        <v>8</v>
      </c>
      <c r="F4017">
        <v>2</v>
      </c>
      <c r="G4017" t="str">
        <f>VLOOKUP(D4017,Товары!A:I,3,0)</f>
        <v>Тумба с раковиной  напол. Сохо 700 белый 2 двери с умыв. Слим</v>
      </c>
      <c r="H4017">
        <f>VLOOKUP(D4017,Товары!A:I,6,0)</f>
        <v>85</v>
      </c>
      <c r="I4017" t="str">
        <f>VLOOKUP(C4017,Магазины!A:C,3,0)</f>
        <v>Оренбург</v>
      </c>
      <c r="J4017">
        <f>VLOOKUP(D4017,Товары!A:I,4,0)</f>
        <v>17160</v>
      </c>
      <c r="K4017">
        <f t="shared" si="62"/>
        <v>34320</v>
      </c>
    </row>
    <row r="4018" spans="1:11" hidden="1" x14ac:dyDescent="0.25">
      <c r="A4018">
        <v>4017</v>
      </c>
      <c r="B4018" s="1">
        <v>45755</v>
      </c>
      <c r="C4018" t="s">
        <v>16</v>
      </c>
      <c r="D4018" t="s">
        <v>130</v>
      </c>
      <c r="E4018" t="s">
        <v>13</v>
      </c>
      <c r="F4018">
        <v>1</v>
      </c>
      <c r="G4018" t="str">
        <f>VLOOKUP(D4018,Товары!A:I,3,0)</f>
        <v>Пенал напол. Леон 400 форест 2 двери + 1 ящик</v>
      </c>
      <c r="H4018">
        <f>VLOOKUP(D4018,Товары!A:I,6,0)</f>
        <v>190</v>
      </c>
      <c r="I4018" t="str">
        <f>VLOOKUP(C4018,Магазины!A:C,3,0)</f>
        <v>Оренбург</v>
      </c>
      <c r="J4018">
        <f>VLOOKUP(D4018,Товары!A:I,4,0)</f>
        <v>18450</v>
      </c>
      <c r="K4018">
        <f t="shared" si="62"/>
        <v>18450</v>
      </c>
    </row>
    <row r="4019" spans="1:11" hidden="1" x14ac:dyDescent="0.25">
      <c r="A4019">
        <v>4018</v>
      </c>
      <c r="B4019" s="1">
        <v>45756</v>
      </c>
      <c r="C4019" t="s">
        <v>18</v>
      </c>
      <c r="D4019" t="s">
        <v>46</v>
      </c>
      <c r="E4019" t="s">
        <v>13</v>
      </c>
      <c r="F4019">
        <v>3</v>
      </c>
      <c r="G4019" t="str">
        <f>VLOOKUP(D4019,Товары!A:I,3,0)</f>
        <v>Тумба с раковиной  напол. Сохо 700 белый 2 ящика с умыв. Слим</v>
      </c>
      <c r="H4019">
        <f>VLOOKUP(D4019,Товары!A:I,6,0)</f>
        <v>85</v>
      </c>
      <c r="I4019" t="str">
        <f>VLOOKUP(C4019,Магазины!A:C,3,0)</f>
        <v>Набережные Челны</v>
      </c>
      <c r="J4019">
        <f>VLOOKUP(D4019,Товары!A:I,4,0)</f>
        <v>18405</v>
      </c>
      <c r="K4019">
        <f t="shared" si="62"/>
        <v>55215</v>
      </c>
    </row>
    <row r="4020" spans="1:11" hidden="1" x14ac:dyDescent="0.25">
      <c r="A4020">
        <v>4019</v>
      </c>
      <c r="B4020" s="1">
        <v>45752</v>
      </c>
      <c r="C4020" t="s">
        <v>30</v>
      </c>
      <c r="D4020" t="s">
        <v>75</v>
      </c>
      <c r="E4020" t="s">
        <v>13</v>
      </c>
      <c r="F4020">
        <v>3</v>
      </c>
      <c r="G4020" t="str">
        <f>VLOOKUP(D4020,Товары!A:I,3,0)</f>
        <v>Тумба с раковиной  напол. Альба 600 суфле 2 ящика с умыв. Океан</v>
      </c>
      <c r="H4020">
        <f>VLOOKUP(D4020,Товары!A:I,6,0)</f>
        <v>80</v>
      </c>
      <c r="I4020" t="str">
        <f>VLOOKUP(C4020,Магазины!A:C,3,0)</f>
        <v>Кемерово</v>
      </c>
      <c r="J4020">
        <f>VLOOKUP(D4020,Товары!A:I,4,0)</f>
        <v>26370</v>
      </c>
      <c r="K4020">
        <f t="shared" si="62"/>
        <v>79110</v>
      </c>
    </row>
    <row r="4021" spans="1:11" hidden="1" x14ac:dyDescent="0.25">
      <c r="A4021">
        <v>4020</v>
      </c>
      <c r="B4021" s="1">
        <v>45751</v>
      </c>
      <c r="C4021" t="s">
        <v>35</v>
      </c>
      <c r="D4021" t="s">
        <v>127</v>
      </c>
      <c r="E4021" t="s">
        <v>8</v>
      </c>
      <c r="F4021">
        <v>1</v>
      </c>
      <c r="G4021" t="str">
        <f>VLOOKUP(D4021,Товары!A:I,3,0)</f>
        <v>Тумба с раковиной  навес. Альба 700 мята 1 ящик с умыв. Слим</v>
      </c>
      <c r="H4021">
        <f>VLOOKUP(D4021,Товары!A:I,6,0)</f>
        <v>45</v>
      </c>
      <c r="I4021" t="str">
        <f>VLOOKUP(C4021,Магазины!A:C,3,0)</f>
        <v>Набережные Челны</v>
      </c>
      <c r="J4021">
        <f>VLOOKUP(D4021,Товары!A:I,4,0)</f>
        <v>20130</v>
      </c>
      <c r="K4021">
        <f t="shared" si="62"/>
        <v>20130</v>
      </c>
    </row>
    <row r="4022" spans="1:11" hidden="1" x14ac:dyDescent="0.25">
      <c r="A4022">
        <v>4021</v>
      </c>
      <c r="B4022" s="1">
        <v>45748</v>
      </c>
      <c r="C4022" t="s">
        <v>48</v>
      </c>
      <c r="D4022" t="s">
        <v>39</v>
      </c>
      <c r="E4022" t="s">
        <v>13</v>
      </c>
      <c r="F4022">
        <v>1</v>
      </c>
      <c r="G4022" t="str">
        <f>VLOOKUP(D4022,Товары!A:I,3,0)</f>
        <v>Тумба с раковиной  напол. Альба 700 мята 2 ящика с умыв. Слим</v>
      </c>
      <c r="H4022">
        <f>VLOOKUP(D4022,Товары!A:I,6,0)</f>
        <v>85</v>
      </c>
      <c r="I4022" t="str">
        <f>VLOOKUP(C4022,Магазины!A:C,3,0)</f>
        <v>Ставрополь</v>
      </c>
      <c r="J4022">
        <f>VLOOKUP(D4022,Товары!A:I,4,0)</f>
        <v>28695</v>
      </c>
      <c r="K4022">
        <f t="shared" si="62"/>
        <v>28695</v>
      </c>
    </row>
    <row r="4023" spans="1:11" hidden="1" x14ac:dyDescent="0.25">
      <c r="A4023">
        <v>4022</v>
      </c>
      <c r="B4023" s="1">
        <v>45755</v>
      </c>
      <c r="C4023" t="s">
        <v>63</v>
      </c>
      <c r="D4023" t="s">
        <v>72</v>
      </c>
      <c r="E4023" t="s">
        <v>13</v>
      </c>
      <c r="F4023">
        <v>2</v>
      </c>
      <c r="G4023" t="str">
        <f>VLOOKUP(D4023,Товары!A:I,3,0)</f>
        <v>Тумба с раковиной  напол. Сохо 600 белый 2 ящика с умыв. Океан</v>
      </c>
      <c r="H4023">
        <f>VLOOKUP(D4023,Товары!A:I,6,0)</f>
        <v>85</v>
      </c>
      <c r="I4023" t="str">
        <f>VLOOKUP(C4023,Магазины!A:C,3,0)</f>
        <v>Ставрополь</v>
      </c>
      <c r="J4023">
        <f>VLOOKUP(D4023,Товары!A:I,4,0)</f>
        <v>16140</v>
      </c>
      <c r="K4023">
        <f t="shared" si="62"/>
        <v>32280</v>
      </c>
    </row>
    <row r="4024" spans="1:11" hidden="1" x14ac:dyDescent="0.25">
      <c r="A4024">
        <v>4023</v>
      </c>
      <c r="B4024" s="1">
        <v>45753</v>
      </c>
      <c r="C4024" t="s">
        <v>9</v>
      </c>
      <c r="D4024" t="s">
        <v>90</v>
      </c>
      <c r="E4024" t="s">
        <v>13</v>
      </c>
      <c r="F4024">
        <v>1</v>
      </c>
      <c r="G4024" t="str">
        <f>VLOOKUP(D4024,Товары!A:I,3,0)</f>
        <v>Пенал напол. Аква 350 белый 2 двери + 2 ящика</v>
      </c>
      <c r="H4024">
        <f>VLOOKUP(D4024,Товары!A:I,6,0)</f>
        <v>190</v>
      </c>
      <c r="I4024" t="str">
        <f>VLOOKUP(C4024,Магазины!A:C,3,0)</f>
        <v>Кемерово</v>
      </c>
      <c r="J4024">
        <f>VLOOKUP(D4024,Товары!A:I,4,0)</f>
        <v>10650</v>
      </c>
      <c r="K4024">
        <f t="shared" si="62"/>
        <v>10650</v>
      </c>
    </row>
    <row r="4025" spans="1:11" hidden="1" x14ac:dyDescent="0.25">
      <c r="A4025">
        <v>4024</v>
      </c>
      <c r="B4025" s="1">
        <v>45750</v>
      </c>
      <c r="C4025" t="s">
        <v>54</v>
      </c>
      <c r="D4025" t="s">
        <v>60</v>
      </c>
      <c r="E4025" t="s">
        <v>8</v>
      </c>
      <c r="F4025">
        <v>3</v>
      </c>
      <c r="G4025" t="str">
        <f>VLOOKUP(D4025,Товары!A:I,3,0)</f>
        <v>Пенал навес. Куба Риф 350 белый 2 двери</v>
      </c>
      <c r="H4025">
        <f>VLOOKUP(D4025,Товары!A:I,6,0)</f>
        <v>150</v>
      </c>
      <c r="I4025" t="str">
        <f>VLOOKUP(C4025,Магазины!A:C,3,0)</f>
        <v>Ставрополь</v>
      </c>
      <c r="J4025">
        <f>VLOOKUP(D4025,Товары!A:I,4,0)</f>
        <v>9720</v>
      </c>
      <c r="K4025">
        <f t="shared" si="62"/>
        <v>29160</v>
      </c>
    </row>
    <row r="4026" spans="1:11" hidden="1" x14ac:dyDescent="0.25">
      <c r="A4026">
        <v>4025</v>
      </c>
      <c r="B4026" s="1">
        <v>45750</v>
      </c>
      <c r="C4026" t="s">
        <v>11</v>
      </c>
      <c r="D4026" t="s">
        <v>88</v>
      </c>
      <c r="E4026" t="s">
        <v>8</v>
      </c>
      <c r="F4026">
        <v>3</v>
      </c>
      <c r="G4026" t="str">
        <f>VLOOKUP(D4026,Товары!A:I,3,0)</f>
        <v>Тумба с раковиной  навес. Альба 800 антрацит 2 ящика с умыв. Слим</v>
      </c>
      <c r="H4026">
        <f>VLOOKUP(D4026,Товары!A:I,6,0)</f>
        <v>50</v>
      </c>
      <c r="I4026" t="str">
        <f>VLOOKUP(C4026,Магазины!A:C,3,0)</f>
        <v>Кемерово</v>
      </c>
      <c r="J4026">
        <f>VLOOKUP(D4026,Товары!A:I,4,0)</f>
        <v>26070</v>
      </c>
      <c r="K4026">
        <f t="shared" si="62"/>
        <v>78210</v>
      </c>
    </row>
    <row r="4027" spans="1:11" hidden="1" x14ac:dyDescent="0.25">
      <c r="A4027">
        <v>4026</v>
      </c>
      <c r="B4027" s="1">
        <v>45752</v>
      </c>
      <c r="C4027" t="s">
        <v>28</v>
      </c>
      <c r="D4027" t="s">
        <v>10</v>
      </c>
      <c r="E4027" t="s">
        <v>13</v>
      </c>
      <c r="F4027">
        <v>2</v>
      </c>
      <c r="G4027" t="str">
        <f>VLOOKUP(D4027,Товары!A:I,3,0)</f>
        <v>Тумба с раковиной  навес. Альба 700 антрацит 1 ящик с умыв. Слим</v>
      </c>
      <c r="H4027">
        <f>VLOOKUP(D4027,Товары!A:I,6,0)</f>
        <v>45</v>
      </c>
      <c r="I4027" t="str">
        <f>VLOOKUP(C4027,Магазины!A:C,3,0)</f>
        <v>Набережные Челны</v>
      </c>
      <c r="J4027">
        <f>VLOOKUP(D4027,Товары!A:I,4,0)</f>
        <v>20130</v>
      </c>
      <c r="K4027">
        <f t="shared" si="62"/>
        <v>40260</v>
      </c>
    </row>
    <row r="4028" spans="1:11" hidden="1" x14ac:dyDescent="0.25">
      <c r="A4028">
        <v>4027</v>
      </c>
      <c r="B4028" s="1">
        <v>45756</v>
      </c>
      <c r="C4028" t="s">
        <v>16</v>
      </c>
      <c r="D4028" t="s">
        <v>12</v>
      </c>
      <c r="E4028" t="s">
        <v>13</v>
      </c>
      <c r="F4028">
        <v>2</v>
      </c>
      <c r="G4028" t="str">
        <f>VLOOKUP(D4028,Товары!A:I,3,0)</f>
        <v>Тумба с раковиной  напол. Сохо 700 белый 2 двери с умыв. Слим</v>
      </c>
      <c r="H4028">
        <f>VLOOKUP(D4028,Товары!A:I,6,0)</f>
        <v>85</v>
      </c>
      <c r="I4028" t="str">
        <f>VLOOKUP(C4028,Магазины!A:C,3,0)</f>
        <v>Оренбург</v>
      </c>
      <c r="J4028">
        <f>VLOOKUP(D4028,Товары!A:I,4,0)</f>
        <v>17160</v>
      </c>
      <c r="K4028">
        <f t="shared" si="62"/>
        <v>34320</v>
      </c>
    </row>
    <row r="4029" spans="1:11" hidden="1" x14ac:dyDescent="0.25">
      <c r="A4029">
        <v>4028</v>
      </c>
      <c r="B4029" s="1">
        <v>45752</v>
      </c>
      <c r="C4029" t="s">
        <v>57</v>
      </c>
      <c r="D4029" t="s">
        <v>53</v>
      </c>
      <c r="E4029" t="s">
        <v>13</v>
      </c>
      <c r="F4029">
        <v>2</v>
      </c>
      <c r="G4029" t="str">
        <f>VLOOKUP(D4029,Товары!A:I,3,0)</f>
        <v>Тумба с раковиной  напол. Кристалл 600 шато азур 2 ящика с умыв. Океан</v>
      </c>
      <c r="H4029">
        <f>VLOOKUP(D4029,Товары!A:I,6,0)</f>
        <v>85</v>
      </c>
      <c r="I4029" t="str">
        <f>VLOOKUP(C4029,Магазины!A:C,3,0)</f>
        <v>Оренбург</v>
      </c>
      <c r="J4029">
        <f>VLOOKUP(D4029,Товары!A:I,4,0)</f>
        <v>27600</v>
      </c>
      <c r="K4029">
        <f t="shared" si="62"/>
        <v>55200</v>
      </c>
    </row>
    <row r="4030" spans="1:11" hidden="1" x14ac:dyDescent="0.25">
      <c r="A4030">
        <v>4029</v>
      </c>
      <c r="B4030" s="1">
        <v>45754</v>
      </c>
      <c r="C4030" t="s">
        <v>28</v>
      </c>
      <c r="D4030" t="s">
        <v>12</v>
      </c>
      <c r="E4030" t="s">
        <v>13</v>
      </c>
      <c r="F4030">
        <v>1</v>
      </c>
      <c r="G4030" t="str">
        <f>VLOOKUP(D4030,Товары!A:I,3,0)</f>
        <v>Тумба с раковиной  напол. Сохо 700 белый 2 двери с умыв. Слим</v>
      </c>
      <c r="H4030">
        <f>VLOOKUP(D4030,Товары!A:I,6,0)</f>
        <v>85</v>
      </c>
      <c r="I4030" t="str">
        <f>VLOOKUP(C4030,Магазины!A:C,3,0)</f>
        <v>Набережные Челны</v>
      </c>
      <c r="J4030">
        <f>VLOOKUP(D4030,Товары!A:I,4,0)</f>
        <v>17160</v>
      </c>
      <c r="K4030">
        <f t="shared" si="62"/>
        <v>17160</v>
      </c>
    </row>
    <row r="4031" spans="1:11" hidden="1" x14ac:dyDescent="0.25">
      <c r="A4031">
        <v>4030</v>
      </c>
      <c r="B4031" s="1">
        <v>45755</v>
      </c>
      <c r="C4031" t="s">
        <v>6</v>
      </c>
      <c r="D4031" t="s">
        <v>64</v>
      </c>
      <c r="E4031" t="s">
        <v>8</v>
      </c>
      <c r="F4031">
        <v>3</v>
      </c>
      <c r="G4031" t="str">
        <f>VLOOKUP(D4031,Товары!A:I,3,0)</f>
        <v>Тумба с раковиной  напол. Рица 800 антрацит 2 ящика с умыв. Слим</v>
      </c>
      <c r="H4031">
        <f>VLOOKUP(D4031,Товары!A:I,6,0)</f>
        <v>80</v>
      </c>
      <c r="I4031" t="str">
        <f>VLOOKUP(C4031,Магазины!A:C,3,0)</f>
        <v>Оренбург</v>
      </c>
      <c r="J4031">
        <f>VLOOKUP(D4031,Товары!A:I,4,0)</f>
        <v>28980</v>
      </c>
      <c r="K4031">
        <f t="shared" si="62"/>
        <v>86940</v>
      </c>
    </row>
    <row r="4032" spans="1:11" hidden="1" x14ac:dyDescent="0.25">
      <c r="A4032">
        <v>4031</v>
      </c>
      <c r="B4032" s="1">
        <v>45757</v>
      </c>
      <c r="C4032" t="s">
        <v>48</v>
      </c>
      <c r="D4032" t="s">
        <v>70</v>
      </c>
      <c r="E4032" t="s">
        <v>13</v>
      </c>
      <c r="F4032">
        <v>3</v>
      </c>
      <c r="G4032" t="str">
        <f>VLOOKUP(D4032,Товары!A:I,3,0)</f>
        <v>Тумба с раковиной  напол. Кристалл 700 шато азур 2 ящика с умыв. Слим</v>
      </c>
      <c r="H4032">
        <f>VLOOKUP(D4032,Товары!A:I,6,0)</f>
        <v>85</v>
      </c>
      <c r="I4032" t="str">
        <f>VLOOKUP(C4032,Магазины!A:C,3,0)</f>
        <v>Ставрополь</v>
      </c>
      <c r="J4032">
        <f>VLOOKUP(D4032,Товары!A:I,4,0)</f>
        <v>29910</v>
      </c>
      <c r="K4032">
        <f t="shared" si="62"/>
        <v>89730</v>
      </c>
    </row>
    <row r="4033" spans="1:11" hidden="1" x14ac:dyDescent="0.25">
      <c r="A4033">
        <v>4032</v>
      </c>
      <c r="B4033" s="1">
        <v>45752</v>
      </c>
      <c r="C4033" t="s">
        <v>30</v>
      </c>
      <c r="D4033" t="s">
        <v>83</v>
      </c>
      <c r="E4033" t="s">
        <v>13</v>
      </c>
      <c r="F4033">
        <v>2</v>
      </c>
      <c r="G4033" t="str">
        <f>VLOOKUP(D4033,Товары!A:I,3,0)</f>
        <v>Зеркальный шкаф Альба 60 со светильником правый цвет суфле</v>
      </c>
      <c r="H4033">
        <f>VLOOKUP(D4033,Товары!A:I,6,0)</f>
        <v>75</v>
      </c>
      <c r="I4033" t="str">
        <f>VLOOKUP(C4033,Магазины!A:C,3,0)</f>
        <v>Кемерово</v>
      </c>
      <c r="J4033">
        <f>VLOOKUP(D4033,Товары!A:I,4,0)</f>
        <v>8910</v>
      </c>
      <c r="K4033">
        <f t="shared" si="62"/>
        <v>17820</v>
      </c>
    </row>
    <row r="4034" spans="1:11" hidden="1" x14ac:dyDescent="0.25">
      <c r="A4034">
        <v>4033</v>
      </c>
      <c r="B4034" s="1">
        <v>45750</v>
      </c>
      <c r="C4034" t="s">
        <v>41</v>
      </c>
      <c r="D4034" t="s">
        <v>119</v>
      </c>
      <c r="E4034" t="s">
        <v>13</v>
      </c>
      <c r="F4034">
        <v>1</v>
      </c>
      <c r="G4034" t="str">
        <f>VLOOKUP(D4034,Товары!A:I,3,0)</f>
        <v>Пенал навес./напол. Рица 350 cерый/керамика 2 двери</v>
      </c>
      <c r="H4034">
        <f>VLOOKUP(D4034,Товары!A:I,6,0)</f>
        <v>160</v>
      </c>
      <c r="I4034" t="str">
        <f>VLOOKUP(C4034,Магазины!A:C,3,0)</f>
        <v>Ставрополь</v>
      </c>
      <c r="J4034">
        <f>VLOOKUP(D4034,Товары!A:I,4,0)</f>
        <v>11250</v>
      </c>
      <c r="K4034">
        <f t="shared" si="62"/>
        <v>11250</v>
      </c>
    </row>
    <row r="4035" spans="1:11" hidden="1" x14ac:dyDescent="0.25">
      <c r="A4035">
        <v>4034</v>
      </c>
      <c r="B4035" s="1">
        <v>45757</v>
      </c>
      <c r="C4035" t="s">
        <v>30</v>
      </c>
      <c r="D4035" t="s">
        <v>74</v>
      </c>
      <c r="E4035" t="s">
        <v>13</v>
      </c>
      <c r="F4035">
        <v>2</v>
      </c>
      <c r="G4035" t="str">
        <f>VLOOKUP(D4035,Товары!A:I,3,0)</f>
        <v>Тумба с раковиной  напол. Альба 800 суфле 2 ящика с умыв. Слим</v>
      </c>
      <c r="H4035">
        <f>VLOOKUP(D4035,Товары!A:I,6,0)</f>
        <v>80</v>
      </c>
      <c r="I4035" t="str">
        <f>VLOOKUP(C4035,Магазины!A:C,3,0)</f>
        <v>Кемерово</v>
      </c>
      <c r="J4035">
        <f>VLOOKUP(D4035,Товары!A:I,4,0)</f>
        <v>29340</v>
      </c>
      <c r="K4035">
        <f t="shared" ref="K4035:K4098" si="63">J4035*F4035</f>
        <v>58680</v>
      </c>
    </row>
    <row r="4036" spans="1:11" hidden="1" x14ac:dyDescent="0.25">
      <c r="A4036">
        <v>4035</v>
      </c>
      <c r="B4036" s="1">
        <v>45757</v>
      </c>
      <c r="C4036" t="s">
        <v>63</v>
      </c>
      <c r="D4036" t="s">
        <v>108</v>
      </c>
      <c r="E4036" t="s">
        <v>13</v>
      </c>
      <c r="F4036">
        <v>1</v>
      </c>
      <c r="G4036" t="str">
        <f>VLOOKUP(D4036,Товары!A:I,3,0)</f>
        <v>Тумба с раковиной  навес. Виктория 1000 белый 2 ящика с умыв. Слим</v>
      </c>
      <c r="H4036">
        <f>VLOOKUP(D4036,Товары!A:I,6,0)</f>
        <v>60</v>
      </c>
      <c r="I4036" t="str">
        <f>VLOOKUP(C4036,Магазины!A:C,3,0)</f>
        <v>Ставрополь</v>
      </c>
      <c r="J4036">
        <f>VLOOKUP(D4036,Товары!A:I,4,0)</f>
        <v>29205</v>
      </c>
      <c r="K4036">
        <f t="shared" si="63"/>
        <v>29205</v>
      </c>
    </row>
    <row r="4037" spans="1:11" hidden="1" x14ac:dyDescent="0.25">
      <c r="A4037">
        <v>4036</v>
      </c>
      <c r="B4037" s="1">
        <v>45756</v>
      </c>
      <c r="C4037" t="s">
        <v>63</v>
      </c>
      <c r="D4037" t="s">
        <v>38</v>
      </c>
      <c r="E4037" t="s">
        <v>8</v>
      </c>
      <c r="F4037">
        <v>1</v>
      </c>
      <c r="G4037" t="str">
        <f>VLOOKUP(D4037,Товары!A:I,3,0)</f>
        <v>Тумба с раковиной  навес. Куба Риф 600 белый 2 ящика с умыв. Como</v>
      </c>
      <c r="H4037">
        <f>VLOOKUP(D4037,Товары!A:I,6,0)</f>
        <v>55</v>
      </c>
      <c r="I4037" t="str">
        <f>VLOOKUP(C4037,Магазины!A:C,3,0)</f>
        <v>Ставрополь</v>
      </c>
      <c r="J4037">
        <f>VLOOKUP(D4037,Товары!A:I,4,0)</f>
        <v>14265</v>
      </c>
      <c r="K4037">
        <f t="shared" si="63"/>
        <v>14265</v>
      </c>
    </row>
    <row r="4038" spans="1:11" hidden="1" x14ac:dyDescent="0.25">
      <c r="A4038">
        <v>4037</v>
      </c>
      <c r="B4038" s="1">
        <v>45754</v>
      </c>
      <c r="C4038" t="s">
        <v>20</v>
      </c>
      <c r="D4038" t="s">
        <v>112</v>
      </c>
      <c r="E4038" t="s">
        <v>13</v>
      </c>
      <c r="F4038">
        <v>3</v>
      </c>
      <c r="G4038" t="str">
        <f>VLOOKUP(D4038,Товары!A:I,3,0)</f>
        <v>Тумба с раковиной  напол. Аква 560 белый 2 двери с умыв. Уют</v>
      </c>
      <c r="H4038">
        <f>VLOOKUP(D4038,Товары!A:I,6,0)</f>
        <v>85</v>
      </c>
      <c r="I4038" t="str">
        <f>VLOOKUP(C4038,Магазины!A:C,3,0)</f>
        <v>Оренбург</v>
      </c>
      <c r="J4038">
        <f>VLOOKUP(D4038,Товары!A:I,4,0)</f>
        <v>9330</v>
      </c>
      <c r="K4038">
        <f t="shared" si="63"/>
        <v>27990</v>
      </c>
    </row>
    <row r="4039" spans="1:11" hidden="1" x14ac:dyDescent="0.25">
      <c r="A4039">
        <v>4038</v>
      </c>
      <c r="B4039" s="1">
        <v>45750</v>
      </c>
      <c r="C4039" t="s">
        <v>11</v>
      </c>
      <c r="D4039" t="s">
        <v>127</v>
      </c>
      <c r="E4039" t="s">
        <v>13</v>
      </c>
      <c r="F4039">
        <v>3</v>
      </c>
      <c r="G4039" t="str">
        <f>VLOOKUP(D4039,Товары!A:I,3,0)</f>
        <v>Тумба с раковиной  навес. Альба 700 мята 1 ящик с умыв. Слим</v>
      </c>
      <c r="H4039">
        <f>VLOOKUP(D4039,Товары!A:I,6,0)</f>
        <v>45</v>
      </c>
      <c r="I4039" t="str">
        <f>VLOOKUP(C4039,Магазины!A:C,3,0)</f>
        <v>Кемерово</v>
      </c>
      <c r="J4039">
        <f>VLOOKUP(D4039,Товары!A:I,4,0)</f>
        <v>20130</v>
      </c>
      <c r="K4039">
        <f t="shared" si="63"/>
        <v>60390</v>
      </c>
    </row>
    <row r="4040" spans="1:11" hidden="1" x14ac:dyDescent="0.25">
      <c r="A4040">
        <v>4039</v>
      </c>
      <c r="B4040" s="1">
        <v>45757</v>
      </c>
      <c r="C4040" t="s">
        <v>14</v>
      </c>
      <c r="D4040" t="s">
        <v>40</v>
      </c>
      <c r="E4040" t="s">
        <v>8</v>
      </c>
      <c r="F4040">
        <v>1</v>
      </c>
      <c r="G4040" t="str">
        <f>VLOOKUP(D4040,Товары!A:I,3,0)</f>
        <v>Тумба с раковиной  навес. Рица 800 cерый/керамика 1 ящик + ниша 1 с умыв. Слим</v>
      </c>
      <c r="H4040">
        <f>VLOOKUP(D4040,Товары!A:I,6,0)</f>
        <v>60</v>
      </c>
      <c r="I4040" t="str">
        <f>VLOOKUP(C4040,Магазины!A:C,3,0)</f>
        <v>Оренбург</v>
      </c>
      <c r="J4040">
        <f>VLOOKUP(D4040,Товары!A:I,4,0)</f>
        <v>22425</v>
      </c>
      <c r="K4040">
        <f t="shared" si="63"/>
        <v>22425</v>
      </c>
    </row>
    <row r="4041" spans="1:11" hidden="1" x14ac:dyDescent="0.25">
      <c r="A4041">
        <v>4040</v>
      </c>
      <c r="B4041" s="1">
        <v>45751</v>
      </c>
      <c r="C4041" t="s">
        <v>28</v>
      </c>
      <c r="D4041" t="s">
        <v>55</v>
      </c>
      <c r="E4041" t="s">
        <v>8</v>
      </c>
      <c r="F4041">
        <v>2</v>
      </c>
      <c r="G4041" t="str">
        <f>VLOOKUP(D4041,Товары!A:I,3,0)</f>
        <v>Тумба с раковиной  напол. Рица 600 cерый/керамика 2 ящика с умыв. Океан</v>
      </c>
      <c r="H4041">
        <f>VLOOKUP(D4041,Товары!A:I,6,0)</f>
        <v>80</v>
      </c>
      <c r="I4041" t="str">
        <f>VLOOKUP(C4041,Магазины!A:C,3,0)</f>
        <v>Набережные Челны</v>
      </c>
      <c r="J4041">
        <f>VLOOKUP(D4041,Товары!A:I,4,0)</f>
        <v>25560</v>
      </c>
      <c r="K4041">
        <f t="shared" si="63"/>
        <v>51120</v>
      </c>
    </row>
    <row r="4042" spans="1:11" hidden="1" x14ac:dyDescent="0.25">
      <c r="A4042">
        <v>4041</v>
      </c>
      <c r="B4042" s="1">
        <v>45748</v>
      </c>
      <c r="C4042" t="s">
        <v>54</v>
      </c>
      <c r="D4042" t="s">
        <v>32</v>
      </c>
      <c r="E4042" t="s">
        <v>8</v>
      </c>
      <c r="F4042">
        <v>1</v>
      </c>
      <c r="G4042" t="str">
        <f>VLOOKUP(D4042,Товары!A:I,3,0)</f>
        <v>Тумба с раковиной  напол. Леон Риф 700 солярис/белый риф 2 ящика с умыв. Слим</v>
      </c>
      <c r="H4042">
        <f>VLOOKUP(D4042,Товары!A:I,6,0)</f>
        <v>85</v>
      </c>
      <c r="I4042" t="str">
        <f>VLOOKUP(C4042,Магазины!A:C,3,0)</f>
        <v>Ставрополь</v>
      </c>
      <c r="J4042">
        <f>VLOOKUP(D4042,Товары!A:I,4,0)</f>
        <v>26460</v>
      </c>
      <c r="K4042">
        <f t="shared" si="63"/>
        <v>26460</v>
      </c>
    </row>
    <row r="4043" spans="1:11" hidden="1" x14ac:dyDescent="0.25">
      <c r="A4043">
        <v>4042</v>
      </c>
      <c r="B4043" s="1">
        <v>45755</v>
      </c>
      <c r="C4043" t="s">
        <v>11</v>
      </c>
      <c r="D4043" t="s">
        <v>104</v>
      </c>
      <c r="E4043" t="s">
        <v>8</v>
      </c>
      <c r="F4043">
        <v>2</v>
      </c>
      <c r="G4043" t="str">
        <f>VLOOKUP(D4043,Товары!A:I,3,0)</f>
        <v>Тумба под стиральную машину Куба Риф 57 подвесная 2 ящика под ст/маш, без умывальника /под Marshall 120 Белый</v>
      </c>
      <c r="H4043">
        <f>VLOOKUP(D4043,Товары!A:I,6,0)</f>
        <v>50</v>
      </c>
      <c r="I4043" t="str">
        <f>VLOOKUP(C4043,Магазины!A:C,3,0)</f>
        <v>Кемерово</v>
      </c>
      <c r="J4043">
        <f>VLOOKUP(D4043,Товары!A:I,4,0)</f>
        <v>8505</v>
      </c>
      <c r="K4043">
        <f t="shared" si="63"/>
        <v>17010</v>
      </c>
    </row>
    <row r="4044" spans="1:11" hidden="1" x14ac:dyDescent="0.25">
      <c r="A4044">
        <v>4043</v>
      </c>
      <c r="B4044" s="1">
        <v>45752</v>
      </c>
      <c r="C4044" t="s">
        <v>63</v>
      </c>
      <c r="D4044" t="s">
        <v>71</v>
      </c>
      <c r="E4044" t="s">
        <v>13</v>
      </c>
      <c r="F4044">
        <v>3</v>
      </c>
      <c r="G4044" t="str">
        <f>VLOOKUP(D4044,Товары!A:I,3,0)</f>
        <v>Тумба с раковиной  навес. Альба 600 мята 2 ящика с умыв. Океан</v>
      </c>
      <c r="H4044">
        <f>VLOOKUP(D4044,Товары!A:I,6,0)</f>
        <v>50</v>
      </c>
      <c r="I4044" t="str">
        <f>VLOOKUP(C4044,Магазины!A:C,3,0)</f>
        <v>Ставрополь</v>
      </c>
      <c r="J4044">
        <f>VLOOKUP(D4044,Товары!A:I,4,0)</f>
        <v>24810</v>
      </c>
      <c r="K4044">
        <f t="shared" si="63"/>
        <v>74430</v>
      </c>
    </row>
    <row r="4045" spans="1:11" hidden="1" x14ac:dyDescent="0.25">
      <c r="A4045">
        <v>4044</v>
      </c>
      <c r="B4045" s="1">
        <v>45757</v>
      </c>
      <c r="C4045" t="s">
        <v>9</v>
      </c>
      <c r="D4045" t="s">
        <v>104</v>
      </c>
      <c r="E4045" t="s">
        <v>13</v>
      </c>
      <c r="F4045">
        <v>3</v>
      </c>
      <c r="G4045" t="str">
        <f>VLOOKUP(D4045,Товары!A:I,3,0)</f>
        <v>Тумба под стиральную машину Куба Риф 57 подвесная 2 ящика под ст/маш, без умывальника /под Marshall 120 Белый</v>
      </c>
      <c r="H4045">
        <f>VLOOKUP(D4045,Товары!A:I,6,0)</f>
        <v>50</v>
      </c>
      <c r="I4045" t="str">
        <f>VLOOKUP(C4045,Магазины!A:C,3,0)</f>
        <v>Кемерово</v>
      </c>
      <c r="J4045">
        <f>VLOOKUP(D4045,Товары!A:I,4,0)</f>
        <v>8505</v>
      </c>
      <c r="K4045">
        <f t="shared" si="63"/>
        <v>25515</v>
      </c>
    </row>
    <row r="4046" spans="1:11" hidden="1" x14ac:dyDescent="0.25">
      <c r="A4046">
        <v>4045</v>
      </c>
      <c r="B4046" s="1">
        <v>45757</v>
      </c>
      <c r="C4046" t="s">
        <v>30</v>
      </c>
      <c r="D4046" t="s">
        <v>24</v>
      </c>
      <c r="E4046" t="s">
        <v>8</v>
      </c>
      <c r="F4046">
        <v>2</v>
      </c>
      <c r="G4046" t="str">
        <f>VLOOKUP(D4046,Товары!A:I,3,0)</f>
        <v>Тумба с раковиной  напол. Леон 600 форест 2 ящика с умыв. Слим</v>
      </c>
      <c r="H4046">
        <f>VLOOKUP(D4046,Товары!A:I,6,0)</f>
        <v>80</v>
      </c>
      <c r="I4046" t="str">
        <f>VLOOKUP(C4046,Магазины!A:C,3,0)</f>
        <v>Кемерово</v>
      </c>
      <c r="J4046">
        <f>VLOOKUP(D4046,Товары!A:I,4,0)</f>
        <v>27150</v>
      </c>
      <c r="K4046">
        <f t="shared" si="63"/>
        <v>54300</v>
      </c>
    </row>
    <row r="4047" spans="1:11" hidden="1" x14ac:dyDescent="0.25">
      <c r="A4047">
        <v>4046</v>
      </c>
      <c r="B4047" s="1">
        <v>45750</v>
      </c>
      <c r="C4047" t="s">
        <v>9</v>
      </c>
      <c r="D4047" t="s">
        <v>59</v>
      </c>
      <c r="E4047" t="s">
        <v>8</v>
      </c>
      <c r="F4047">
        <v>3</v>
      </c>
      <c r="G4047" t="str">
        <f>VLOOKUP(D4047,Товары!A:I,3,0)</f>
        <v>Тумба с раковиной  навес. Куба Риф 600 белый 2 ящика с умыв. Океан</v>
      </c>
      <c r="H4047">
        <f>VLOOKUP(D4047,Товары!A:I,6,0)</f>
        <v>55</v>
      </c>
      <c r="I4047" t="str">
        <f>VLOOKUP(C4047,Магазины!A:C,3,0)</f>
        <v>Кемерово</v>
      </c>
      <c r="J4047">
        <f>VLOOKUP(D4047,Товары!A:I,4,0)</f>
        <v>15765</v>
      </c>
      <c r="K4047">
        <f t="shared" si="63"/>
        <v>47295</v>
      </c>
    </row>
    <row r="4048" spans="1:11" hidden="1" x14ac:dyDescent="0.25">
      <c r="A4048">
        <v>4047</v>
      </c>
      <c r="B4048" s="1">
        <v>45755</v>
      </c>
      <c r="C4048" t="s">
        <v>11</v>
      </c>
      <c r="D4048" t="s">
        <v>68</v>
      </c>
      <c r="E4048" t="s">
        <v>13</v>
      </c>
      <c r="F4048">
        <v>2</v>
      </c>
      <c r="G4048" t="str">
        <f>VLOOKUP(D4048,Товары!A:I,3,0)</f>
        <v>Тумба с раковиной  навес. Альба 600 антрацит 1 ящик с умыв. Океан</v>
      </c>
      <c r="H4048">
        <f>VLOOKUP(D4048,Товары!A:I,6,0)</f>
        <v>85</v>
      </c>
      <c r="I4048" t="str">
        <f>VLOOKUP(C4048,Магазины!A:C,3,0)</f>
        <v>Кемерово</v>
      </c>
      <c r="J4048">
        <f>VLOOKUP(D4048,Товары!A:I,4,0)</f>
        <v>17625</v>
      </c>
      <c r="K4048">
        <f t="shared" si="63"/>
        <v>35250</v>
      </c>
    </row>
    <row r="4049" spans="1:11" hidden="1" x14ac:dyDescent="0.25">
      <c r="A4049">
        <v>4048</v>
      </c>
      <c r="B4049" s="1">
        <v>45757</v>
      </c>
      <c r="C4049" t="s">
        <v>26</v>
      </c>
      <c r="D4049" t="s">
        <v>108</v>
      </c>
      <c r="E4049" t="s">
        <v>8</v>
      </c>
      <c r="F4049">
        <v>3</v>
      </c>
      <c r="G4049" t="str">
        <f>VLOOKUP(D4049,Товары!A:I,3,0)</f>
        <v>Тумба с раковиной  навес. Виктория 1000 белый 2 ящика с умыв. Слим</v>
      </c>
      <c r="H4049">
        <f>VLOOKUP(D4049,Товары!A:I,6,0)</f>
        <v>60</v>
      </c>
      <c r="I4049" t="str">
        <f>VLOOKUP(C4049,Магазины!A:C,3,0)</f>
        <v>Оренбург</v>
      </c>
      <c r="J4049">
        <f>VLOOKUP(D4049,Товары!A:I,4,0)</f>
        <v>29205</v>
      </c>
      <c r="K4049">
        <f t="shared" si="63"/>
        <v>87615</v>
      </c>
    </row>
    <row r="4050" spans="1:11" hidden="1" x14ac:dyDescent="0.25">
      <c r="A4050">
        <v>4049</v>
      </c>
      <c r="B4050" s="1">
        <v>45753</v>
      </c>
      <c r="C4050" t="s">
        <v>6</v>
      </c>
      <c r="D4050" t="s">
        <v>90</v>
      </c>
      <c r="E4050" t="s">
        <v>8</v>
      </c>
      <c r="F4050">
        <v>1</v>
      </c>
      <c r="G4050" t="str">
        <f>VLOOKUP(D4050,Товары!A:I,3,0)</f>
        <v>Пенал напол. Аква 350 белый 2 двери + 2 ящика</v>
      </c>
      <c r="H4050">
        <f>VLOOKUP(D4050,Товары!A:I,6,0)</f>
        <v>190</v>
      </c>
      <c r="I4050" t="str">
        <f>VLOOKUP(C4050,Магазины!A:C,3,0)</f>
        <v>Оренбург</v>
      </c>
      <c r="J4050">
        <f>VLOOKUP(D4050,Товары!A:I,4,0)</f>
        <v>10650</v>
      </c>
      <c r="K4050">
        <f t="shared" si="63"/>
        <v>10650</v>
      </c>
    </row>
    <row r="4051" spans="1:11" hidden="1" x14ac:dyDescent="0.25">
      <c r="A4051">
        <v>4050</v>
      </c>
      <c r="B4051" s="1">
        <v>45749</v>
      </c>
      <c r="C4051" t="s">
        <v>26</v>
      </c>
      <c r="D4051" t="s">
        <v>69</v>
      </c>
      <c r="E4051" t="s">
        <v>13</v>
      </c>
      <c r="F4051">
        <v>3</v>
      </c>
      <c r="G4051" t="str">
        <f>VLOOKUP(D4051,Товары!A:I,3,0)</f>
        <v>Пенал навес./напол. Альба 350 антрацит 2 двери</v>
      </c>
      <c r="H4051">
        <f>VLOOKUP(D4051,Товары!A:I,6,0)</f>
        <v>150</v>
      </c>
      <c r="I4051" t="str">
        <f>VLOOKUP(C4051,Магазины!A:C,3,0)</f>
        <v>Оренбург</v>
      </c>
      <c r="J4051">
        <f>VLOOKUP(D4051,Товары!A:I,4,0)</f>
        <v>11655</v>
      </c>
      <c r="K4051">
        <f t="shared" si="63"/>
        <v>34965</v>
      </c>
    </row>
    <row r="4052" spans="1:11" hidden="1" x14ac:dyDescent="0.25">
      <c r="A4052">
        <v>4051</v>
      </c>
      <c r="B4052" s="1">
        <v>45748</v>
      </c>
      <c r="C4052" t="s">
        <v>103</v>
      </c>
      <c r="D4052" t="s">
        <v>85</v>
      </c>
      <c r="E4052" t="s">
        <v>8</v>
      </c>
      <c r="F4052">
        <v>3</v>
      </c>
      <c r="G4052" t="str">
        <f>VLOOKUP(D4052,Товары!A:I,3,0)</f>
        <v>Пенал напол. Аква 450 белый 2 двери + 2 ящика + корзина</v>
      </c>
      <c r="H4052">
        <f>VLOOKUP(D4052,Товары!A:I,6,0)</f>
        <v>190</v>
      </c>
      <c r="I4052" t="str">
        <f>VLOOKUP(C4052,Магазины!A:C,3,0)</f>
        <v>Ставрополь</v>
      </c>
      <c r="J4052">
        <f>VLOOKUP(D4052,Товары!A:I,4,0)</f>
        <v>13335</v>
      </c>
      <c r="K4052">
        <f t="shared" si="63"/>
        <v>40005</v>
      </c>
    </row>
    <row r="4053" spans="1:11" hidden="1" x14ac:dyDescent="0.25">
      <c r="A4053">
        <v>4052</v>
      </c>
      <c r="B4053" s="1">
        <v>45755</v>
      </c>
      <c r="C4053" t="s">
        <v>18</v>
      </c>
      <c r="D4053" t="s">
        <v>126</v>
      </c>
      <c r="E4053" t="s">
        <v>13</v>
      </c>
      <c r="F4053">
        <v>3</v>
      </c>
      <c r="G4053" t="str">
        <f>VLOOKUP(D4053,Товары!A:I,3,0)</f>
        <v>Тумба с раковиной  напол. Кристалл 800 шато азур 2 ящика с умыв. Комфорт</v>
      </c>
      <c r="H4053">
        <f>VLOOKUP(D4053,Товары!A:I,6,0)</f>
        <v>85</v>
      </c>
      <c r="I4053" t="str">
        <f>VLOOKUP(C4053,Магазины!A:C,3,0)</f>
        <v>Набережные Челны</v>
      </c>
      <c r="J4053">
        <f>VLOOKUP(D4053,Товары!A:I,4,0)</f>
        <v>31125</v>
      </c>
      <c r="K4053">
        <f t="shared" si="63"/>
        <v>93375</v>
      </c>
    </row>
    <row r="4054" spans="1:11" hidden="1" x14ac:dyDescent="0.25">
      <c r="A4054">
        <v>4053</v>
      </c>
      <c r="B4054" s="1">
        <v>45755</v>
      </c>
      <c r="C4054" t="s">
        <v>35</v>
      </c>
      <c r="D4054" t="s">
        <v>50</v>
      </c>
      <c r="E4054" t="s">
        <v>13</v>
      </c>
      <c r="F4054">
        <v>3</v>
      </c>
      <c r="G4054" t="str">
        <f>VLOOKUP(D4054,Товары!A:I,3,0)</f>
        <v>Тумба с раковиной  напол. Леон 800 оникс 2 ящика с умыв. Слим</v>
      </c>
      <c r="H4054">
        <f>VLOOKUP(D4054,Товары!A:I,6,0)</f>
        <v>80</v>
      </c>
      <c r="I4054" t="str">
        <f>VLOOKUP(C4054,Магазины!A:C,3,0)</f>
        <v>Набережные Челны</v>
      </c>
      <c r="J4054">
        <f>VLOOKUP(D4054,Товары!A:I,4,0)</f>
        <v>29400</v>
      </c>
      <c r="K4054">
        <f t="shared" si="63"/>
        <v>88200</v>
      </c>
    </row>
    <row r="4055" spans="1:11" hidden="1" x14ac:dyDescent="0.25">
      <c r="A4055">
        <v>4054</v>
      </c>
      <c r="B4055" s="1">
        <v>45750</v>
      </c>
      <c r="C4055" t="s">
        <v>22</v>
      </c>
      <c r="D4055" t="s">
        <v>10</v>
      </c>
      <c r="E4055" t="s">
        <v>8</v>
      </c>
      <c r="F4055">
        <v>2</v>
      </c>
      <c r="G4055" t="str">
        <f>VLOOKUP(D4055,Товары!A:I,3,0)</f>
        <v>Тумба с раковиной  навес. Альба 700 антрацит 1 ящик с умыв. Слим</v>
      </c>
      <c r="H4055">
        <f>VLOOKUP(D4055,Товары!A:I,6,0)</f>
        <v>45</v>
      </c>
      <c r="I4055" t="str">
        <f>VLOOKUP(C4055,Магазины!A:C,3,0)</f>
        <v>Кемерово</v>
      </c>
      <c r="J4055">
        <f>VLOOKUP(D4055,Товары!A:I,4,0)</f>
        <v>20130</v>
      </c>
      <c r="K4055">
        <f t="shared" si="63"/>
        <v>40260</v>
      </c>
    </row>
    <row r="4056" spans="1:11" hidden="1" x14ac:dyDescent="0.25">
      <c r="A4056">
        <v>4055</v>
      </c>
      <c r="B4056" s="1">
        <v>45748</v>
      </c>
      <c r="C4056" t="s">
        <v>26</v>
      </c>
      <c r="D4056" t="s">
        <v>39</v>
      </c>
      <c r="E4056" t="s">
        <v>8</v>
      </c>
      <c r="F4056">
        <v>1</v>
      </c>
      <c r="G4056" t="str">
        <f>VLOOKUP(D4056,Товары!A:I,3,0)</f>
        <v>Тумба с раковиной  напол. Альба 700 мята 2 ящика с умыв. Слим</v>
      </c>
      <c r="H4056">
        <f>VLOOKUP(D4056,Товары!A:I,6,0)</f>
        <v>85</v>
      </c>
      <c r="I4056" t="str">
        <f>VLOOKUP(C4056,Магазины!A:C,3,0)</f>
        <v>Оренбург</v>
      </c>
      <c r="J4056">
        <f>VLOOKUP(D4056,Товары!A:I,4,0)</f>
        <v>28695</v>
      </c>
      <c r="K4056">
        <f t="shared" si="63"/>
        <v>28695</v>
      </c>
    </row>
    <row r="4057" spans="1:11" hidden="1" x14ac:dyDescent="0.25">
      <c r="A4057">
        <v>4056</v>
      </c>
      <c r="B4057" s="1">
        <v>45752</v>
      </c>
      <c r="C4057" t="s">
        <v>14</v>
      </c>
      <c r="D4057" t="s">
        <v>108</v>
      </c>
      <c r="E4057" t="s">
        <v>8</v>
      </c>
      <c r="F4057">
        <v>1</v>
      </c>
      <c r="G4057" t="str">
        <f>VLOOKUP(D4057,Товары!A:I,3,0)</f>
        <v>Тумба с раковиной  навес. Виктория 1000 белый 2 ящика с умыв. Слим</v>
      </c>
      <c r="H4057">
        <f>VLOOKUP(D4057,Товары!A:I,6,0)</f>
        <v>60</v>
      </c>
      <c r="I4057" t="str">
        <f>VLOOKUP(C4057,Магазины!A:C,3,0)</f>
        <v>Оренбург</v>
      </c>
      <c r="J4057">
        <f>VLOOKUP(D4057,Товары!A:I,4,0)</f>
        <v>29205</v>
      </c>
      <c r="K4057">
        <f t="shared" si="63"/>
        <v>29205</v>
      </c>
    </row>
    <row r="4058" spans="1:11" hidden="1" x14ac:dyDescent="0.25">
      <c r="A4058">
        <v>4057</v>
      </c>
      <c r="B4058" s="1">
        <v>45754</v>
      </c>
      <c r="C4058" t="s">
        <v>9</v>
      </c>
      <c r="D4058" t="s">
        <v>15</v>
      </c>
      <c r="E4058" t="s">
        <v>13</v>
      </c>
      <c r="F4058">
        <v>1</v>
      </c>
      <c r="G4058" t="str">
        <f>VLOOKUP(D4058,Товары!A:I,3,0)</f>
        <v>Зеркальный шкаф Кристалл 60 со светильником правый, ручка кнопка дуб цвет Шато Азур</v>
      </c>
      <c r="H4058">
        <f>VLOOKUP(D4058,Товары!A:I,6,0)</f>
        <v>75</v>
      </c>
      <c r="I4058" t="str">
        <f>VLOOKUP(C4058,Магазины!A:C,3,0)</f>
        <v>Кемерово</v>
      </c>
      <c r="J4058">
        <f>VLOOKUP(D4058,Товары!A:I,4,0)</f>
        <v>9195</v>
      </c>
      <c r="K4058">
        <f t="shared" si="63"/>
        <v>9195</v>
      </c>
    </row>
    <row r="4059" spans="1:11" hidden="1" x14ac:dyDescent="0.25">
      <c r="A4059">
        <v>4058</v>
      </c>
      <c r="B4059" s="1">
        <v>45751</v>
      </c>
      <c r="C4059" t="s">
        <v>28</v>
      </c>
      <c r="D4059" t="s">
        <v>87</v>
      </c>
      <c r="E4059" t="s">
        <v>13</v>
      </c>
      <c r="F4059">
        <v>3</v>
      </c>
      <c r="G4059" t="str">
        <f>VLOOKUP(D4059,Товары!A:I,3,0)</f>
        <v>Тумба с раковиной  напол. Леон 700 форест 2 ящика с умыв. Слим</v>
      </c>
      <c r="H4059">
        <f>VLOOKUP(D4059,Товары!A:I,6,0)</f>
        <v>80</v>
      </c>
      <c r="I4059" t="str">
        <f>VLOOKUP(C4059,Магазины!A:C,3,0)</f>
        <v>Набережные Челны</v>
      </c>
      <c r="J4059">
        <f>VLOOKUP(D4059,Товары!A:I,4,0)</f>
        <v>28380</v>
      </c>
      <c r="K4059">
        <f t="shared" si="63"/>
        <v>85140</v>
      </c>
    </row>
    <row r="4060" spans="1:11" hidden="1" x14ac:dyDescent="0.25">
      <c r="A4060">
        <v>4059</v>
      </c>
      <c r="B4060" s="1">
        <v>45752</v>
      </c>
      <c r="C4060" t="s">
        <v>9</v>
      </c>
      <c r="D4060" t="s">
        <v>55</v>
      </c>
      <c r="E4060" t="s">
        <v>13</v>
      </c>
      <c r="F4060">
        <v>1</v>
      </c>
      <c r="G4060" t="str">
        <f>VLOOKUP(D4060,Товары!A:I,3,0)</f>
        <v>Тумба с раковиной  напол. Рица 600 cерый/керамика 2 ящика с умыв. Океан</v>
      </c>
      <c r="H4060">
        <f>VLOOKUP(D4060,Товары!A:I,6,0)</f>
        <v>80</v>
      </c>
      <c r="I4060" t="str">
        <f>VLOOKUP(C4060,Магазины!A:C,3,0)</f>
        <v>Кемерово</v>
      </c>
      <c r="J4060">
        <f>VLOOKUP(D4060,Товары!A:I,4,0)</f>
        <v>25560</v>
      </c>
      <c r="K4060">
        <f t="shared" si="63"/>
        <v>25560</v>
      </c>
    </row>
    <row r="4061" spans="1:11" hidden="1" x14ac:dyDescent="0.25">
      <c r="A4061">
        <v>4060</v>
      </c>
      <c r="B4061" s="1">
        <v>45752</v>
      </c>
      <c r="C4061" t="s">
        <v>103</v>
      </c>
      <c r="D4061" t="s">
        <v>39</v>
      </c>
      <c r="E4061" t="s">
        <v>13</v>
      </c>
      <c r="F4061">
        <v>2</v>
      </c>
      <c r="G4061" t="str">
        <f>VLOOKUP(D4061,Товары!A:I,3,0)</f>
        <v>Тумба с раковиной  напол. Альба 700 мята 2 ящика с умыв. Слим</v>
      </c>
      <c r="H4061">
        <f>VLOOKUP(D4061,Товары!A:I,6,0)</f>
        <v>85</v>
      </c>
      <c r="I4061" t="str">
        <f>VLOOKUP(C4061,Магазины!A:C,3,0)</f>
        <v>Ставрополь</v>
      </c>
      <c r="J4061">
        <f>VLOOKUP(D4061,Товары!A:I,4,0)</f>
        <v>28695</v>
      </c>
      <c r="K4061">
        <f t="shared" si="63"/>
        <v>57390</v>
      </c>
    </row>
    <row r="4062" spans="1:11" hidden="1" x14ac:dyDescent="0.25">
      <c r="A4062">
        <v>4061</v>
      </c>
      <c r="B4062" s="1">
        <v>45755</v>
      </c>
      <c r="C4062" t="s">
        <v>58</v>
      </c>
      <c r="D4062" t="s">
        <v>70</v>
      </c>
      <c r="E4062" t="s">
        <v>8</v>
      </c>
      <c r="F4062">
        <v>3</v>
      </c>
      <c r="G4062" t="str">
        <f>VLOOKUP(D4062,Товары!A:I,3,0)</f>
        <v>Тумба с раковиной  напол. Кристалл 700 шато азур 2 ящика с умыв. Слим</v>
      </c>
      <c r="H4062">
        <f>VLOOKUP(D4062,Товары!A:I,6,0)</f>
        <v>85</v>
      </c>
      <c r="I4062" t="str">
        <f>VLOOKUP(C4062,Магазины!A:C,3,0)</f>
        <v>Ставрополь</v>
      </c>
      <c r="J4062">
        <f>VLOOKUP(D4062,Товары!A:I,4,0)</f>
        <v>29910</v>
      </c>
      <c r="K4062">
        <f t="shared" si="63"/>
        <v>89730</v>
      </c>
    </row>
    <row r="4063" spans="1:11" hidden="1" x14ac:dyDescent="0.25">
      <c r="A4063">
        <v>4062</v>
      </c>
      <c r="B4063" s="1">
        <v>45748</v>
      </c>
      <c r="C4063" t="s">
        <v>103</v>
      </c>
      <c r="D4063" t="s">
        <v>104</v>
      </c>
      <c r="E4063" t="s">
        <v>8</v>
      </c>
      <c r="F4063">
        <v>2</v>
      </c>
      <c r="G4063" t="str">
        <f>VLOOKUP(D4063,Товары!A:I,3,0)</f>
        <v>Тумба под стиральную машину Куба Риф 57 подвесная 2 ящика под ст/маш, без умывальника /под Marshall 120 Белый</v>
      </c>
      <c r="H4063">
        <f>VLOOKUP(D4063,Товары!A:I,6,0)</f>
        <v>50</v>
      </c>
      <c r="I4063" t="str">
        <f>VLOOKUP(C4063,Магазины!A:C,3,0)</f>
        <v>Ставрополь</v>
      </c>
      <c r="J4063">
        <f>VLOOKUP(D4063,Товары!A:I,4,0)</f>
        <v>8505</v>
      </c>
      <c r="K4063">
        <f t="shared" si="63"/>
        <v>17010</v>
      </c>
    </row>
    <row r="4064" spans="1:11" hidden="1" x14ac:dyDescent="0.25">
      <c r="A4064">
        <v>4063</v>
      </c>
      <c r="B4064" s="1">
        <v>45755</v>
      </c>
      <c r="C4064" t="s">
        <v>11</v>
      </c>
      <c r="D4064" t="s">
        <v>89</v>
      </c>
      <c r="E4064" t="s">
        <v>13</v>
      </c>
      <c r="F4064">
        <v>2</v>
      </c>
      <c r="G4064" t="str">
        <f>VLOOKUP(D4064,Товары!A:I,3,0)</f>
        <v>Тумба с раковиной  напол. Сохо 600 белый 2 двери с умыв. Океан</v>
      </c>
      <c r="H4064">
        <f>VLOOKUP(D4064,Товары!A:I,6,0)</f>
        <v>85</v>
      </c>
      <c r="I4064" t="str">
        <f>VLOOKUP(C4064,Магазины!A:C,3,0)</f>
        <v>Кемерово</v>
      </c>
      <c r="J4064">
        <f>VLOOKUP(D4064,Товары!A:I,4,0)</f>
        <v>14880</v>
      </c>
      <c r="K4064">
        <f t="shared" si="63"/>
        <v>29760</v>
      </c>
    </row>
    <row r="4065" spans="1:11" hidden="1" x14ac:dyDescent="0.25">
      <c r="A4065">
        <v>4064</v>
      </c>
      <c r="B4065" s="1">
        <v>45757</v>
      </c>
      <c r="C4065" t="s">
        <v>28</v>
      </c>
      <c r="D4065" t="s">
        <v>32</v>
      </c>
      <c r="E4065" t="s">
        <v>8</v>
      </c>
      <c r="F4065">
        <v>1</v>
      </c>
      <c r="G4065" t="str">
        <f>VLOOKUP(D4065,Товары!A:I,3,0)</f>
        <v>Тумба с раковиной  напол. Леон Риф 700 солярис/белый риф 2 ящика с умыв. Слим</v>
      </c>
      <c r="H4065">
        <f>VLOOKUP(D4065,Товары!A:I,6,0)</f>
        <v>85</v>
      </c>
      <c r="I4065" t="str">
        <f>VLOOKUP(C4065,Магазины!A:C,3,0)</f>
        <v>Набережные Челны</v>
      </c>
      <c r="J4065">
        <f>VLOOKUP(D4065,Товары!A:I,4,0)</f>
        <v>26460</v>
      </c>
      <c r="K4065">
        <f t="shared" si="63"/>
        <v>26460</v>
      </c>
    </row>
    <row r="4066" spans="1:11" hidden="1" x14ac:dyDescent="0.25">
      <c r="A4066">
        <v>4065</v>
      </c>
      <c r="B4066" s="1">
        <v>45754</v>
      </c>
      <c r="C4066" t="s">
        <v>18</v>
      </c>
      <c r="D4066" t="s">
        <v>21</v>
      </c>
      <c r="E4066" t="s">
        <v>13</v>
      </c>
      <c r="F4066">
        <v>2</v>
      </c>
      <c r="G4066" t="str">
        <f>VLOOKUP(D4066,Товары!A:I,3,0)</f>
        <v>Зеркальный шкаф Рица 60 со светильником правый цвет cерый/керамика</v>
      </c>
      <c r="H4066">
        <f>VLOOKUP(D4066,Товары!A:I,6,0)</f>
        <v>75</v>
      </c>
      <c r="I4066" t="str">
        <f>VLOOKUP(C4066,Магазины!A:C,3,0)</f>
        <v>Набережные Челны</v>
      </c>
      <c r="J4066">
        <f>VLOOKUP(D4066,Товары!A:I,4,0)</f>
        <v>8910</v>
      </c>
      <c r="K4066">
        <f t="shared" si="63"/>
        <v>17820</v>
      </c>
    </row>
    <row r="4067" spans="1:11" hidden="1" x14ac:dyDescent="0.25">
      <c r="A4067">
        <v>4066</v>
      </c>
      <c r="B4067" s="1">
        <v>45749</v>
      </c>
      <c r="C4067" t="s">
        <v>103</v>
      </c>
      <c r="D4067" t="s">
        <v>40</v>
      </c>
      <c r="E4067" t="s">
        <v>13</v>
      </c>
      <c r="F4067">
        <v>1</v>
      </c>
      <c r="G4067" t="str">
        <f>VLOOKUP(D4067,Товары!A:I,3,0)</f>
        <v>Тумба с раковиной  навес. Рица 800 cерый/керамика 1 ящик + ниша 1 с умыв. Слим</v>
      </c>
      <c r="H4067">
        <f>VLOOKUP(D4067,Товары!A:I,6,0)</f>
        <v>60</v>
      </c>
      <c r="I4067" t="str">
        <f>VLOOKUP(C4067,Магазины!A:C,3,0)</f>
        <v>Ставрополь</v>
      </c>
      <c r="J4067">
        <f>VLOOKUP(D4067,Товары!A:I,4,0)</f>
        <v>22425</v>
      </c>
      <c r="K4067">
        <f t="shared" si="63"/>
        <v>22425</v>
      </c>
    </row>
    <row r="4068" spans="1:11" hidden="1" x14ac:dyDescent="0.25">
      <c r="A4068">
        <v>4067</v>
      </c>
      <c r="B4068" s="1">
        <v>45757</v>
      </c>
      <c r="C4068" t="s">
        <v>58</v>
      </c>
      <c r="D4068" t="s">
        <v>101</v>
      </c>
      <c r="E4068" t="s">
        <v>8</v>
      </c>
      <c r="F4068">
        <v>3</v>
      </c>
      <c r="G4068" t="str">
        <f>VLOOKUP(D4068,Товары!A:I,3,0)</f>
        <v>Пенал напол. Сохо 400 белый 2 двери + 1 ящик</v>
      </c>
      <c r="H4068">
        <f>VLOOKUP(D4068,Товары!A:I,6,0)</f>
        <v>190</v>
      </c>
      <c r="I4068" t="str">
        <f>VLOOKUP(C4068,Магазины!A:C,3,0)</f>
        <v>Ставрополь</v>
      </c>
      <c r="J4068">
        <f>VLOOKUP(D4068,Товары!A:I,4,0)</f>
        <v>11040</v>
      </c>
      <c r="K4068">
        <f t="shared" si="63"/>
        <v>33120</v>
      </c>
    </row>
    <row r="4069" spans="1:11" hidden="1" x14ac:dyDescent="0.25">
      <c r="A4069">
        <v>4068</v>
      </c>
      <c r="B4069" s="1">
        <v>45754</v>
      </c>
      <c r="C4069" t="s">
        <v>92</v>
      </c>
      <c r="D4069" t="s">
        <v>38</v>
      </c>
      <c r="E4069" t="s">
        <v>13</v>
      </c>
      <c r="F4069">
        <v>3</v>
      </c>
      <c r="G4069" t="str">
        <f>VLOOKUP(D4069,Товары!A:I,3,0)</f>
        <v>Тумба с раковиной  навес. Куба Риф 600 белый 2 ящика с умыв. Como</v>
      </c>
      <c r="H4069">
        <f>VLOOKUP(D4069,Товары!A:I,6,0)</f>
        <v>55</v>
      </c>
      <c r="I4069" t="str">
        <f>VLOOKUP(C4069,Магазины!A:C,3,0)</f>
        <v>Кемерово</v>
      </c>
      <c r="J4069">
        <f>VLOOKUP(D4069,Товары!A:I,4,0)</f>
        <v>14265</v>
      </c>
      <c r="K4069">
        <f t="shared" si="63"/>
        <v>42795</v>
      </c>
    </row>
    <row r="4070" spans="1:11" hidden="1" x14ac:dyDescent="0.25">
      <c r="A4070">
        <v>4069</v>
      </c>
      <c r="B4070" s="1">
        <v>45754</v>
      </c>
      <c r="C4070" t="s">
        <v>20</v>
      </c>
      <c r="D4070" t="s">
        <v>117</v>
      </c>
      <c r="E4070" t="s">
        <v>13</v>
      </c>
      <c r="F4070">
        <v>2</v>
      </c>
      <c r="G4070" t="str">
        <f>VLOOKUP(D4070,Товары!A:I,3,0)</f>
        <v>Тумба с раковиной  навес. Альба 700 антрацит 2 ящика с умыв. Слим</v>
      </c>
      <c r="H4070">
        <f>VLOOKUP(D4070,Товары!A:I,6,0)</f>
        <v>60</v>
      </c>
      <c r="I4070" t="str">
        <f>VLOOKUP(C4070,Магазины!A:C,3,0)</f>
        <v>Оренбург</v>
      </c>
      <c r="J4070">
        <f>VLOOKUP(D4070,Товары!A:I,4,0)</f>
        <v>25095</v>
      </c>
      <c r="K4070">
        <f t="shared" si="63"/>
        <v>50190</v>
      </c>
    </row>
    <row r="4071" spans="1:11" hidden="1" x14ac:dyDescent="0.25">
      <c r="A4071">
        <v>4070</v>
      </c>
      <c r="B4071" s="1">
        <v>45750</v>
      </c>
      <c r="C4071" t="s">
        <v>41</v>
      </c>
      <c r="D4071" t="s">
        <v>32</v>
      </c>
      <c r="E4071" t="s">
        <v>13</v>
      </c>
      <c r="F4071">
        <v>1</v>
      </c>
      <c r="G4071" t="str">
        <f>VLOOKUP(D4071,Товары!A:I,3,0)</f>
        <v>Тумба с раковиной  напол. Леон Риф 700 солярис/белый риф 2 ящика с умыв. Слим</v>
      </c>
      <c r="H4071">
        <f>VLOOKUP(D4071,Товары!A:I,6,0)</f>
        <v>85</v>
      </c>
      <c r="I4071" t="str">
        <f>VLOOKUP(C4071,Магазины!A:C,3,0)</f>
        <v>Ставрополь</v>
      </c>
      <c r="J4071">
        <f>VLOOKUP(D4071,Товары!A:I,4,0)</f>
        <v>26460</v>
      </c>
      <c r="K4071">
        <f t="shared" si="63"/>
        <v>26460</v>
      </c>
    </row>
    <row r="4072" spans="1:11" hidden="1" x14ac:dyDescent="0.25">
      <c r="A4072">
        <v>4071</v>
      </c>
      <c r="B4072" s="1">
        <v>45752</v>
      </c>
      <c r="C4072" t="s">
        <v>58</v>
      </c>
      <c r="D4072" t="s">
        <v>127</v>
      </c>
      <c r="E4072" t="s">
        <v>8</v>
      </c>
      <c r="F4072">
        <v>1</v>
      </c>
      <c r="G4072" t="str">
        <f>VLOOKUP(D4072,Товары!A:I,3,0)</f>
        <v>Тумба с раковиной  навес. Альба 700 мята 1 ящик с умыв. Слим</v>
      </c>
      <c r="H4072">
        <f>VLOOKUP(D4072,Товары!A:I,6,0)</f>
        <v>45</v>
      </c>
      <c r="I4072" t="str">
        <f>VLOOKUP(C4072,Магазины!A:C,3,0)</f>
        <v>Ставрополь</v>
      </c>
      <c r="J4072">
        <f>VLOOKUP(D4072,Товары!A:I,4,0)</f>
        <v>20130</v>
      </c>
      <c r="K4072">
        <f t="shared" si="63"/>
        <v>20130</v>
      </c>
    </row>
    <row r="4073" spans="1:11" hidden="1" x14ac:dyDescent="0.25">
      <c r="A4073">
        <v>4072</v>
      </c>
      <c r="B4073" s="1">
        <v>45756</v>
      </c>
      <c r="C4073" t="s">
        <v>11</v>
      </c>
      <c r="D4073" t="s">
        <v>80</v>
      </c>
      <c r="E4073" t="s">
        <v>13</v>
      </c>
      <c r="F4073">
        <v>1</v>
      </c>
      <c r="G4073" t="str">
        <f>VLOOKUP(D4073,Товары!A:I,3,0)</f>
        <v>Тумба с раковиной  навес. Сохо 600 белый 2 ящика с умыв. Океан</v>
      </c>
      <c r="H4073">
        <f>VLOOKUP(D4073,Товары!A:I,6,0)</f>
        <v>55</v>
      </c>
      <c r="I4073" t="str">
        <f>VLOOKUP(C4073,Магазины!A:C,3,0)</f>
        <v>Кемерово</v>
      </c>
      <c r="J4073">
        <f>VLOOKUP(D4073,Товары!A:I,4,0)</f>
        <v>13950</v>
      </c>
      <c r="K4073">
        <f t="shared" si="63"/>
        <v>13950</v>
      </c>
    </row>
    <row r="4074" spans="1:11" hidden="1" x14ac:dyDescent="0.25">
      <c r="A4074">
        <v>4073</v>
      </c>
      <c r="B4074" s="1">
        <v>45748</v>
      </c>
      <c r="C4074" t="s">
        <v>28</v>
      </c>
      <c r="D4074" t="s">
        <v>69</v>
      </c>
      <c r="E4074" t="s">
        <v>8</v>
      </c>
      <c r="F4074">
        <v>1</v>
      </c>
      <c r="G4074" t="str">
        <f>VLOOKUP(D4074,Товары!A:I,3,0)</f>
        <v>Пенал навес./напол. Альба 350 антрацит 2 двери</v>
      </c>
      <c r="H4074">
        <f>VLOOKUP(D4074,Товары!A:I,6,0)</f>
        <v>150</v>
      </c>
      <c r="I4074" t="str">
        <f>VLOOKUP(C4074,Магазины!A:C,3,0)</f>
        <v>Набережные Челны</v>
      </c>
      <c r="J4074">
        <f>VLOOKUP(D4074,Товары!A:I,4,0)</f>
        <v>11655</v>
      </c>
      <c r="K4074">
        <f t="shared" si="63"/>
        <v>11655</v>
      </c>
    </row>
    <row r="4075" spans="1:11" hidden="1" x14ac:dyDescent="0.25">
      <c r="A4075">
        <v>4074</v>
      </c>
      <c r="B4075" s="1">
        <v>45757</v>
      </c>
      <c r="C4075" t="s">
        <v>33</v>
      </c>
      <c r="D4075" t="s">
        <v>128</v>
      </c>
      <c r="E4075" t="s">
        <v>8</v>
      </c>
      <c r="F4075">
        <v>3</v>
      </c>
      <c r="G4075" t="str">
        <f>VLOOKUP(D4075,Товары!A:I,3,0)</f>
        <v>Тумба с раковиной  напол. Куба Риф 1000 белый 2 ящика с умыв. Слим</v>
      </c>
      <c r="H4075">
        <f>VLOOKUP(D4075,Товары!A:I,6,0)</f>
        <v>85</v>
      </c>
      <c r="I4075" t="str">
        <f>VLOOKUP(C4075,Магазины!A:C,3,0)</f>
        <v>Набережные Челны</v>
      </c>
      <c r="J4075">
        <f>VLOOKUP(D4075,Товары!A:I,4,0)</f>
        <v>22905</v>
      </c>
      <c r="K4075">
        <f t="shared" si="63"/>
        <v>68715</v>
      </c>
    </row>
    <row r="4076" spans="1:11" hidden="1" x14ac:dyDescent="0.25">
      <c r="A4076">
        <v>4075</v>
      </c>
      <c r="B4076" s="1">
        <v>45753</v>
      </c>
      <c r="C4076" t="s">
        <v>16</v>
      </c>
      <c r="D4076" t="s">
        <v>76</v>
      </c>
      <c r="E4076" t="s">
        <v>13</v>
      </c>
      <c r="F4076">
        <v>3</v>
      </c>
      <c r="G4076" t="str">
        <f>VLOOKUP(D4076,Товары!A:I,3,0)</f>
        <v>Тумба с раковиной  напол. Леон 600 оникс 2 ящика с умыв. Слим</v>
      </c>
      <c r="H4076">
        <f>VLOOKUP(D4076,Товары!A:I,6,0)</f>
        <v>80</v>
      </c>
      <c r="I4076" t="str">
        <f>VLOOKUP(C4076,Магазины!A:C,3,0)</f>
        <v>Оренбург</v>
      </c>
      <c r="J4076">
        <f>VLOOKUP(D4076,Товары!A:I,4,0)</f>
        <v>25860</v>
      </c>
      <c r="K4076">
        <f t="shared" si="63"/>
        <v>77580</v>
      </c>
    </row>
    <row r="4077" spans="1:11" hidden="1" x14ac:dyDescent="0.25">
      <c r="A4077">
        <v>4076</v>
      </c>
      <c r="B4077" s="1">
        <v>45756</v>
      </c>
      <c r="C4077" t="s">
        <v>6</v>
      </c>
      <c r="D4077" t="s">
        <v>95</v>
      </c>
      <c r="E4077" t="s">
        <v>8</v>
      </c>
      <c r="F4077">
        <v>2</v>
      </c>
      <c r="G4077" t="str">
        <f>VLOOKUP(D4077,Товары!A:I,3,0)</f>
        <v>Тумба с раковиной  напол. Рица 600 антрацит 2 ящика с умыв. Океан</v>
      </c>
      <c r="H4077">
        <f>VLOOKUP(D4077,Товары!A:I,6,0)</f>
        <v>80</v>
      </c>
      <c r="I4077" t="str">
        <f>VLOOKUP(C4077,Магазины!A:C,3,0)</f>
        <v>Оренбург</v>
      </c>
      <c r="J4077">
        <f>VLOOKUP(D4077,Товары!A:I,4,0)</f>
        <v>25560</v>
      </c>
      <c r="K4077">
        <f t="shared" si="63"/>
        <v>51120</v>
      </c>
    </row>
    <row r="4078" spans="1:11" hidden="1" x14ac:dyDescent="0.25">
      <c r="A4078">
        <v>4077</v>
      </c>
      <c r="B4078" s="1">
        <v>45748</v>
      </c>
      <c r="C4078" t="s">
        <v>22</v>
      </c>
      <c r="D4078" t="s">
        <v>34</v>
      </c>
      <c r="E4078" t="s">
        <v>13</v>
      </c>
      <c r="F4078">
        <v>3</v>
      </c>
      <c r="G4078" t="str">
        <f>VLOOKUP(D4078,Товары!A:I,3,0)</f>
        <v>Тумба с раковиной  навес. Леон 700 форест 2 ящика с умыв. Слим</v>
      </c>
      <c r="H4078">
        <f>VLOOKUP(D4078,Товары!A:I,6,0)</f>
        <v>60</v>
      </c>
      <c r="I4078" t="str">
        <f>VLOOKUP(C4078,Магазины!A:C,3,0)</f>
        <v>Кемерово</v>
      </c>
      <c r="J4078">
        <f>VLOOKUP(D4078,Товары!A:I,4,0)</f>
        <v>26220</v>
      </c>
      <c r="K4078">
        <f t="shared" si="63"/>
        <v>78660</v>
      </c>
    </row>
    <row r="4079" spans="1:11" hidden="1" x14ac:dyDescent="0.25">
      <c r="A4079">
        <v>4078</v>
      </c>
      <c r="B4079" s="1">
        <v>45749</v>
      </c>
      <c r="C4079" t="s">
        <v>16</v>
      </c>
      <c r="D4079" t="s">
        <v>131</v>
      </c>
      <c r="E4079" t="s">
        <v>13</v>
      </c>
      <c r="F4079">
        <v>3</v>
      </c>
      <c r="G4079" t="str">
        <f>VLOOKUP(D4079,Товары!A:I,3,0)</f>
        <v>Тумба с раковиной  напол. Леон 800 форест 2 ящика с умыв. Слим</v>
      </c>
      <c r="H4079">
        <f>VLOOKUP(D4079,Товары!A:I,6,0)</f>
        <v>80</v>
      </c>
      <c r="I4079" t="str">
        <f>VLOOKUP(C4079,Магазины!A:C,3,0)</f>
        <v>Оренбург</v>
      </c>
      <c r="J4079">
        <f>VLOOKUP(D4079,Товары!A:I,4,0)</f>
        <v>29400</v>
      </c>
      <c r="K4079">
        <f t="shared" si="63"/>
        <v>88200</v>
      </c>
    </row>
    <row r="4080" spans="1:11" hidden="1" x14ac:dyDescent="0.25">
      <c r="A4080">
        <v>4079</v>
      </c>
      <c r="B4080" s="1">
        <v>45749</v>
      </c>
      <c r="C4080" t="s">
        <v>103</v>
      </c>
      <c r="D4080" t="s">
        <v>71</v>
      </c>
      <c r="E4080" t="s">
        <v>8</v>
      </c>
      <c r="F4080">
        <v>2</v>
      </c>
      <c r="G4080" t="str">
        <f>VLOOKUP(D4080,Товары!A:I,3,0)</f>
        <v>Тумба с раковиной  навес. Альба 600 мята 2 ящика с умыв. Океан</v>
      </c>
      <c r="H4080">
        <f>VLOOKUP(D4080,Товары!A:I,6,0)</f>
        <v>50</v>
      </c>
      <c r="I4080" t="str">
        <f>VLOOKUP(C4080,Магазины!A:C,3,0)</f>
        <v>Ставрополь</v>
      </c>
      <c r="J4080">
        <f>VLOOKUP(D4080,Товары!A:I,4,0)</f>
        <v>24810</v>
      </c>
      <c r="K4080">
        <f t="shared" si="63"/>
        <v>49620</v>
      </c>
    </row>
    <row r="4081" spans="1:11" hidden="1" x14ac:dyDescent="0.25">
      <c r="A4081">
        <v>4080</v>
      </c>
      <c r="B4081" s="1">
        <v>45750</v>
      </c>
      <c r="C4081" t="s">
        <v>20</v>
      </c>
      <c r="D4081" t="s">
        <v>69</v>
      </c>
      <c r="E4081" t="s">
        <v>13</v>
      </c>
      <c r="F4081">
        <v>3</v>
      </c>
      <c r="G4081" t="str">
        <f>VLOOKUP(D4081,Товары!A:I,3,0)</f>
        <v>Пенал навес./напол. Альба 350 антрацит 2 двери</v>
      </c>
      <c r="H4081">
        <f>VLOOKUP(D4081,Товары!A:I,6,0)</f>
        <v>150</v>
      </c>
      <c r="I4081" t="str">
        <f>VLOOKUP(C4081,Магазины!A:C,3,0)</f>
        <v>Оренбург</v>
      </c>
      <c r="J4081">
        <f>VLOOKUP(D4081,Товары!A:I,4,0)</f>
        <v>11655</v>
      </c>
      <c r="K4081">
        <f t="shared" si="63"/>
        <v>34965</v>
      </c>
    </row>
    <row r="4082" spans="1:11" hidden="1" x14ac:dyDescent="0.25">
      <c r="A4082">
        <v>4081</v>
      </c>
      <c r="B4082" s="1">
        <v>45749</v>
      </c>
      <c r="C4082" t="s">
        <v>57</v>
      </c>
      <c r="D4082" t="s">
        <v>32</v>
      </c>
      <c r="E4082" t="s">
        <v>13</v>
      </c>
      <c r="F4082">
        <v>3</v>
      </c>
      <c r="G4082" t="str">
        <f>VLOOKUP(D4082,Товары!A:I,3,0)</f>
        <v>Тумба с раковиной  напол. Леон Риф 700 солярис/белый риф 2 ящика с умыв. Слим</v>
      </c>
      <c r="H4082">
        <f>VLOOKUP(D4082,Товары!A:I,6,0)</f>
        <v>85</v>
      </c>
      <c r="I4082" t="str">
        <f>VLOOKUP(C4082,Магазины!A:C,3,0)</f>
        <v>Оренбург</v>
      </c>
      <c r="J4082">
        <f>VLOOKUP(D4082,Товары!A:I,4,0)</f>
        <v>26460</v>
      </c>
      <c r="K4082">
        <f t="shared" si="63"/>
        <v>79380</v>
      </c>
    </row>
    <row r="4083" spans="1:11" hidden="1" x14ac:dyDescent="0.25">
      <c r="A4083">
        <v>4082</v>
      </c>
      <c r="B4083" s="1">
        <v>45755</v>
      </c>
      <c r="C4083" t="s">
        <v>20</v>
      </c>
      <c r="D4083" t="s">
        <v>65</v>
      </c>
      <c r="E4083" t="s">
        <v>8</v>
      </c>
      <c r="F4083">
        <v>1</v>
      </c>
      <c r="G4083" t="str">
        <f>VLOOKUP(D4083,Товары!A:I,3,0)</f>
        <v>Тумба с раковиной  навес. Альба 800 суфле 2 ящика с умыв. Слим</v>
      </c>
      <c r="H4083">
        <f>VLOOKUP(D4083,Товары!A:I,6,0)</f>
        <v>50</v>
      </c>
      <c r="I4083" t="str">
        <f>VLOOKUP(C4083,Магазины!A:C,3,0)</f>
        <v>Оренбург</v>
      </c>
      <c r="J4083">
        <f>VLOOKUP(D4083,Товары!A:I,4,0)</f>
        <v>26070</v>
      </c>
      <c r="K4083">
        <f t="shared" si="63"/>
        <v>26070</v>
      </c>
    </row>
    <row r="4084" spans="1:11" hidden="1" x14ac:dyDescent="0.25">
      <c r="A4084">
        <v>4083</v>
      </c>
      <c r="B4084" s="1">
        <v>45749</v>
      </c>
      <c r="C4084" t="s">
        <v>92</v>
      </c>
      <c r="D4084" t="s">
        <v>68</v>
      </c>
      <c r="E4084" t="s">
        <v>8</v>
      </c>
      <c r="F4084">
        <v>3</v>
      </c>
      <c r="G4084" t="str">
        <f>VLOOKUP(D4084,Товары!A:I,3,0)</f>
        <v>Тумба с раковиной  навес. Альба 600 антрацит 1 ящик с умыв. Океан</v>
      </c>
      <c r="H4084">
        <f>VLOOKUP(D4084,Товары!A:I,6,0)</f>
        <v>85</v>
      </c>
      <c r="I4084" t="str">
        <f>VLOOKUP(C4084,Магазины!A:C,3,0)</f>
        <v>Кемерово</v>
      </c>
      <c r="J4084">
        <f>VLOOKUP(D4084,Товары!A:I,4,0)</f>
        <v>17625</v>
      </c>
      <c r="K4084">
        <f t="shared" si="63"/>
        <v>52875</v>
      </c>
    </row>
    <row r="4085" spans="1:11" hidden="1" x14ac:dyDescent="0.25">
      <c r="A4085">
        <v>4084</v>
      </c>
      <c r="B4085" s="1">
        <v>45748</v>
      </c>
      <c r="C4085" t="s">
        <v>63</v>
      </c>
      <c r="D4085" t="s">
        <v>119</v>
      </c>
      <c r="E4085" t="s">
        <v>8</v>
      </c>
      <c r="F4085">
        <v>1</v>
      </c>
      <c r="G4085" t="str">
        <f>VLOOKUP(D4085,Товары!A:I,3,0)</f>
        <v>Пенал навес./напол. Рица 350 cерый/керамика 2 двери</v>
      </c>
      <c r="H4085">
        <f>VLOOKUP(D4085,Товары!A:I,6,0)</f>
        <v>160</v>
      </c>
      <c r="I4085" t="str">
        <f>VLOOKUP(C4085,Магазины!A:C,3,0)</f>
        <v>Ставрополь</v>
      </c>
      <c r="J4085">
        <f>VLOOKUP(D4085,Товары!A:I,4,0)</f>
        <v>11250</v>
      </c>
      <c r="K4085">
        <f t="shared" si="63"/>
        <v>11250</v>
      </c>
    </row>
    <row r="4086" spans="1:11" hidden="1" x14ac:dyDescent="0.25">
      <c r="A4086">
        <v>4085</v>
      </c>
      <c r="B4086" s="1">
        <v>45755</v>
      </c>
      <c r="C4086" t="s">
        <v>20</v>
      </c>
      <c r="D4086" t="s">
        <v>76</v>
      </c>
      <c r="E4086" t="s">
        <v>8</v>
      </c>
      <c r="F4086">
        <v>2</v>
      </c>
      <c r="G4086" t="str">
        <f>VLOOKUP(D4086,Товары!A:I,3,0)</f>
        <v>Тумба с раковиной  напол. Леон 600 оникс 2 ящика с умыв. Слим</v>
      </c>
      <c r="H4086">
        <f>VLOOKUP(D4086,Товары!A:I,6,0)</f>
        <v>80</v>
      </c>
      <c r="I4086" t="str">
        <f>VLOOKUP(C4086,Магазины!A:C,3,0)</f>
        <v>Оренбург</v>
      </c>
      <c r="J4086">
        <f>VLOOKUP(D4086,Товары!A:I,4,0)</f>
        <v>25860</v>
      </c>
      <c r="K4086">
        <f t="shared" si="63"/>
        <v>51720</v>
      </c>
    </row>
    <row r="4087" spans="1:11" hidden="1" x14ac:dyDescent="0.25">
      <c r="A4087">
        <v>4086</v>
      </c>
      <c r="B4087" s="1">
        <v>45748</v>
      </c>
      <c r="C4087" t="s">
        <v>14</v>
      </c>
      <c r="D4087" t="s">
        <v>89</v>
      </c>
      <c r="E4087" t="s">
        <v>8</v>
      </c>
      <c r="F4087">
        <v>3</v>
      </c>
      <c r="G4087" t="str">
        <f>VLOOKUP(D4087,Товары!A:I,3,0)</f>
        <v>Тумба с раковиной  напол. Сохо 600 белый 2 двери с умыв. Океан</v>
      </c>
      <c r="H4087">
        <f>VLOOKUP(D4087,Товары!A:I,6,0)</f>
        <v>85</v>
      </c>
      <c r="I4087" t="str">
        <f>VLOOKUP(C4087,Магазины!A:C,3,0)</f>
        <v>Оренбург</v>
      </c>
      <c r="J4087">
        <f>VLOOKUP(D4087,Товары!A:I,4,0)</f>
        <v>14880</v>
      </c>
      <c r="K4087">
        <f t="shared" si="63"/>
        <v>44640</v>
      </c>
    </row>
    <row r="4088" spans="1:11" hidden="1" x14ac:dyDescent="0.25">
      <c r="A4088">
        <v>4087</v>
      </c>
      <c r="B4088" s="1">
        <v>45753</v>
      </c>
      <c r="C4088" t="s">
        <v>92</v>
      </c>
      <c r="D4088" t="s">
        <v>118</v>
      </c>
      <c r="E4088" t="s">
        <v>13</v>
      </c>
      <c r="F4088">
        <v>3</v>
      </c>
      <c r="G4088" t="str">
        <f>VLOOKUP(D4088,Товары!A:I,3,0)</f>
        <v>Тумба с раковиной  напол. Сохо 800 белый 2 ящика с умыв. Слим</v>
      </c>
      <c r="H4088">
        <f>VLOOKUP(D4088,Товары!A:I,6,0)</f>
        <v>85</v>
      </c>
      <c r="I4088" t="str">
        <f>VLOOKUP(C4088,Магазины!A:C,3,0)</f>
        <v>Кемерово</v>
      </c>
      <c r="J4088">
        <f>VLOOKUP(D4088,Товары!A:I,4,0)</f>
        <v>19575</v>
      </c>
      <c r="K4088">
        <f t="shared" si="63"/>
        <v>58725</v>
      </c>
    </row>
    <row r="4089" spans="1:11" hidden="1" x14ac:dyDescent="0.25">
      <c r="A4089">
        <v>4088</v>
      </c>
      <c r="B4089" s="1">
        <v>45749</v>
      </c>
      <c r="C4089" t="s">
        <v>54</v>
      </c>
      <c r="D4089" t="s">
        <v>86</v>
      </c>
      <c r="E4089" t="s">
        <v>8</v>
      </c>
      <c r="F4089">
        <v>2</v>
      </c>
      <c r="G4089" t="str">
        <f>VLOOKUP(D4089,Товары!A:I,3,0)</f>
        <v>Комод Аква 50 напольный 1 ящик 2 двери белый</v>
      </c>
      <c r="H4089">
        <f>VLOOKUP(D4089,Товары!A:I,6,0)</f>
        <v>90</v>
      </c>
      <c r="I4089" t="str">
        <f>VLOOKUP(C4089,Магазины!A:C,3,0)</f>
        <v>Ставрополь</v>
      </c>
      <c r="J4089">
        <f>VLOOKUP(D4089,Товары!A:I,4,0)</f>
        <v>7260</v>
      </c>
      <c r="K4089">
        <f t="shared" si="63"/>
        <v>14520</v>
      </c>
    </row>
    <row r="4090" spans="1:11" hidden="1" x14ac:dyDescent="0.25">
      <c r="A4090">
        <v>4089</v>
      </c>
      <c r="B4090" s="1">
        <v>45754</v>
      </c>
      <c r="C4090" t="s">
        <v>22</v>
      </c>
      <c r="D4090" t="s">
        <v>104</v>
      </c>
      <c r="E4090" t="s">
        <v>8</v>
      </c>
      <c r="F4090">
        <v>1</v>
      </c>
      <c r="G4090" t="str">
        <f>VLOOKUP(D4090,Товары!A:I,3,0)</f>
        <v>Тумба под стиральную машину Куба Риф 57 подвесная 2 ящика под ст/маш, без умывальника /под Marshall 120 Белый</v>
      </c>
      <c r="H4090">
        <f>VLOOKUP(D4090,Товары!A:I,6,0)</f>
        <v>50</v>
      </c>
      <c r="I4090" t="str">
        <f>VLOOKUP(C4090,Магазины!A:C,3,0)</f>
        <v>Кемерово</v>
      </c>
      <c r="J4090">
        <f>VLOOKUP(D4090,Товары!A:I,4,0)</f>
        <v>8505</v>
      </c>
      <c r="K4090">
        <f t="shared" si="63"/>
        <v>8505</v>
      </c>
    </row>
    <row r="4091" spans="1:11" hidden="1" x14ac:dyDescent="0.25">
      <c r="A4091">
        <v>4090</v>
      </c>
      <c r="B4091" s="1">
        <v>45751</v>
      </c>
      <c r="C4091" t="s">
        <v>41</v>
      </c>
      <c r="D4091" t="s">
        <v>84</v>
      </c>
      <c r="E4091" t="s">
        <v>8</v>
      </c>
      <c r="F4091">
        <v>3</v>
      </c>
      <c r="G4091" t="str">
        <f>VLOOKUP(D4091,Товары!A:I,3,0)</f>
        <v>Тумба с раковиной  напол. Куба Риф 800 белый 3 двери с умыв. Слим</v>
      </c>
      <c r="H4091">
        <f>VLOOKUP(D4091,Товары!A:I,6,0)</f>
        <v>85</v>
      </c>
      <c r="I4091" t="str">
        <f>VLOOKUP(C4091,Магазины!A:C,3,0)</f>
        <v>Ставрополь</v>
      </c>
      <c r="J4091">
        <f>VLOOKUP(D4091,Товары!A:I,4,0)</f>
        <v>19920</v>
      </c>
      <c r="K4091">
        <f t="shared" si="63"/>
        <v>59760</v>
      </c>
    </row>
    <row r="4092" spans="1:11" hidden="1" x14ac:dyDescent="0.25">
      <c r="A4092">
        <v>4091</v>
      </c>
      <c r="B4092" s="1">
        <v>45749</v>
      </c>
      <c r="C4092" t="s">
        <v>20</v>
      </c>
      <c r="D4092" t="s">
        <v>76</v>
      </c>
      <c r="E4092" t="s">
        <v>13</v>
      </c>
      <c r="F4092">
        <v>2</v>
      </c>
      <c r="G4092" t="str">
        <f>VLOOKUP(D4092,Товары!A:I,3,0)</f>
        <v>Тумба с раковиной  напол. Леон 600 оникс 2 ящика с умыв. Слим</v>
      </c>
      <c r="H4092">
        <f>VLOOKUP(D4092,Товары!A:I,6,0)</f>
        <v>80</v>
      </c>
      <c r="I4092" t="str">
        <f>VLOOKUP(C4092,Магазины!A:C,3,0)</f>
        <v>Оренбург</v>
      </c>
      <c r="J4092">
        <f>VLOOKUP(D4092,Товары!A:I,4,0)</f>
        <v>25860</v>
      </c>
      <c r="K4092">
        <f t="shared" si="63"/>
        <v>51720</v>
      </c>
    </row>
    <row r="4093" spans="1:11" hidden="1" x14ac:dyDescent="0.25">
      <c r="A4093">
        <v>4092</v>
      </c>
      <c r="B4093" s="1">
        <v>45752</v>
      </c>
      <c r="C4093" t="s">
        <v>11</v>
      </c>
      <c r="D4093" t="s">
        <v>122</v>
      </c>
      <c r="E4093" t="s">
        <v>8</v>
      </c>
      <c r="F4093">
        <v>1</v>
      </c>
      <c r="G4093" t="str">
        <f>VLOOKUP(D4093,Товары!A:I,3,0)</f>
        <v>Тумба с раковиной  навес. Кристалл 600 шато азур 2 ящика с умыв. Океан</v>
      </c>
      <c r="H4093">
        <f>VLOOKUP(D4093,Товары!A:I,6,0)</f>
        <v>55</v>
      </c>
      <c r="I4093" t="str">
        <f>VLOOKUP(C4093,Магазины!A:C,3,0)</f>
        <v>Кемерово</v>
      </c>
      <c r="J4093">
        <f>VLOOKUP(D4093,Товары!A:I,4,0)</f>
        <v>21960</v>
      </c>
      <c r="K4093">
        <f t="shared" si="63"/>
        <v>21960</v>
      </c>
    </row>
    <row r="4094" spans="1:11" hidden="1" x14ac:dyDescent="0.25">
      <c r="A4094">
        <v>4093</v>
      </c>
      <c r="B4094" s="1">
        <v>45748</v>
      </c>
      <c r="C4094" t="s">
        <v>20</v>
      </c>
      <c r="D4094" t="s">
        <v>83</v>
      </c>
      <c r="E4094" t="s">
        <v>8</v>
      </c>
      <c r="F4094">
        <v>2</v>
      </c>
      <c r="G4094" t="str">
        <f>VLOOKUP(D4094,Товары!A:I,3,0)</f>
        <v>Зеркальный шкаф Альба 60 со светильником правый цвет суфле</v>
      </c>
      <c r="H4094">
        <f>VLOOKUP(D4094,Товары!A:I,6,0)</f>
        <v>75</v>
      </c>
      <c r="I4094" t="str">
        <f>VLOOKUP(C4094,Магазины!A:C,3,0)</f>
        <v>Оренбург</v>
      </c>
      <c r="J4094">
        <f>VLOOKUP(D4094,Товары!A:I,4,0)</f>
        <v>8910</v>
      </c>
      <c r="K4094">
        <f t="shared" si="63"/>
        <v>17820</v>
      </c>
    </row>
    <row r="4095" spans="1:11" hidden="1" x14ac:dyDescent="0.25">
      <c r="A4095">
        <v>4094</v>
      </c>
      <c r="B4095" s="1">
        <v>45753</v>
      </c>
      <c r="C4095" t="s">
        <v>41</v>
      </c>
      <c r="D4095" t="s">
        <v>105</v>
      </c>
      <c r="E4095" t="s">
        <v>8</v>
      </c>
      <c r="F4095">
        <v>2</v>
      </c>
      <c r="G4095" t="str">
        <f>VLOOKUP(D4095,Товары!A:I,3,0)</f>
        <v>Тумба с раковиной  напол. Нева 600 белый 2 двери + 1 ящик с умыв. Como</v>
      </c>
      <c r="H4095">
        <f>VLOOKUP(D4095,Товары!A:I,6,0)</f>
        <v>80</v>
      </c>
      <c r="I4095" t="str">
        <f>VLOOKUP(C4095,Магазины!A:C,3,0)</f>
        <v>Ставрополь</v>
      </c>
      <c r="J4095">
        <f>VLOOKUP(D4095,Товары!A:I,4,0)</f>
        <v>13470</v>
      </c>
      <c r="K4095">
        <f t="shared" si="63"/>
        <v>26940</v>
      </c>
    </row>
    <row r="4096" spans="1:11" hidden="1" x14ac:dyDescent="0.25">
      <c r="A4096">
        <v>4095</v>
      </c>
      <c r="B4096" s="1">
        <v>45748</v>
      </c>
      <c r="C4096" t="s">
        <v>22</v>
      </c>
      <c r="D4096" t="s">
        <v>53</v>
      </c>
      <c r="E4096" t="s">
        <v>8</v>
      </c>
      <c r="F4096">
        <v>1</v>
      </c>
      <c r="G4096" t="str">
        <f>VLOOKUP(D4096,Товары!A:I,3,0)</f>
        <v>Тумба с раковиной  напол. Кристалл 600 шато азур 2 ящика с умыв. Океан</v>
      </c>
      <c r="H4096">
        <f>VLOOKUP(D4096,Товары!A:I,6,0)</f>
        <v>85</v>
      </c>
      <c r="I4096" t="str">
        <f>VLOOKUP(C4096,Магазины!A:C,3,0)</f>
        <v>Кемерово</v>
      </c>
      <c r="J4096">
        <f>VLOOKUP(D4096,Товары!A:I,4,0)</f>
        <v>27600</v>
      </c>
      <c r="K4096">
        <f t="shared" si="63"/>
        <v>27600</v>
      </c>
    </row>
    <row r="4097" spans="1:11" hidden="1" x14ac:dyDescent="0.25">
      <c r="A4097">
        <v>4096</v>
      </c>
      <c r="B4097" s="1">
        <v>45752</v>
      </c>
      <c r="C4097" t="s">
        <v>58</v>
      </c>
      <c r="D4097" t="s">
        <v>21</v>
      </c>
      <c r="E4097" t="s">
        <v>13</v>
      </c>
      <c r="F4097">
        <v>1</v>
      </c>
      <c r="G4097" t="str">
        <f>VLOOKUP(D4097,Товары!A:I,3,0)</f>
        <v>Зеркальный шкаф Рица 60 со светильником правый цвет cерый/керамика</v>
      </c>
      <c r="H4097">
        <f>VLOOKUP(D4097,Товары!A:I,6,0)</f>
        <v>75</v>
      </c>
      <c r="I4097" t="str">
        <f>VLOOKUP(C4097,Магазины!A:C,3,0)</f>
        <v>Ставрополь</v>
      </c>
      <c r="J4097">
        <f>VLOOKUP(D4097,Товары!A:I,4,0)</f>
        <v>8910</v>
      </c>
      <c r="K4097">
        <f t="shared" si="63"/>
        <v>8910</v>
      </c>
    </row>
    <row r="4098" spans="1:11" hidden="1" x14ac:dyDescent="0.25">
      <c r="A4098">
        <v>4097</v>
      </c>
      <c r="B4098" s="1">
        <v>45757</v>
      </c>
      <c r="C4098" t="s">
        <v>54</v>
      </c>
      <c r="D4098" t="s">
        <v>80</v>
      </c>
      <c r="E4098" t="s">
        <v>13</v>
      </c>
      <c r="F4098">
        <v>1</v>
      </c>
      <c r="G4098" t="str">
        <f>VLOOKUP(D4098,Товары!A:I,3,0)</f>
        <v>Тумба с раковиной  навес. Сохо 600 белый 2 ящика с умыв. Океан</v>
      </c>
      <c r="H4098">
        <f>VLOOKUP(D4098,Товары!A:I,6,0)</f>
        <v>55</v>
      </c>
      <c r="I4098" t="str">
        <f>VLOOKUP(C4098,Магазины!A:C,3,0)</f>
        <v>Ставрополь</v>
      </c>
      <c r="J4098">
        <f>VLOOKUP(D4098,Товары!A:I,4,0)</f>
        <v>13950</v>
      </c>
      <c r="K4098">
        <f t="shared" si="63"/>
        <v>13950</v>
      </c>
    </row>
    <row r="4099" spans="1:11" hidden="1" x14ac:dyDescent="0.25">
      <c r="A4099">
        <v>4098</v>
      </c>
      <c r="B4099" s="1">
        <v>45751</v>
      </c>
      <c r="C4099" t="s">
        <v>58</v>
      </c>
      <c r="D4099" t="s">
        <v>100</v>
      </c>
      <c r="E4099" t="s">
        <v>8</v>
      </c>
      <c r="F4099">
        <v>3</v>
      </c>
      <c r="G4099" t="str">
        <f>VLOOKUP(D4099,Товары!A:I,3,0)</f>
        <v>Тумба с раковиной  навес. Альба 800 мята 1 ящик с умыв. Слим</v>
      </c>
      <c r="H4099">
        <f>VLOOKUP(D4099,Товары!A:I,6,0)</f>
        <v>45</v>
      </c>
      <c r="I4099" t="str">
        <f>VLOOKUP(C4099,Магазины!A:C,3,0)</f>
        <v>Ставрополь</v>
      </c>
      <c r="J4099">
        <f>VLOOKUP(D4099,Товары!A:I,4,0)</f>
        <v>21630</v>
      </c>
      <c r="K4099">
        <f t="shared" ref="K4099:K4162" si="64">J4099*F4099</f>
        <v>64890</v>
      </c>
    </row>
    <row r="4100" spans="1:11" hidden="1" x14ac:dyDescent="0.25">
      <c r="A4100">
        <v>4099</v>
      </c>
      <c r="B4100" s="1">
        <v>45754</v>
      </c>
      <c r="C4100" t="s">
        <v>33</v>
      </c>
      <c r="D4100" t="s">
        <v>101</v>
      </c>
      <c r="E4100" t="s">
        <v>8</v>
      </c>
      <c r="F4100">
        <v>1</v>
      </c>
      <c r="G4100" t="str">
        <f>VLOOKUP(D4100,Товары!A:I,3,0)</f>
        <v>Пенал напол. Сохо 400 белый 2 двери + 1 ящик</v>
      </c>
      <c r="H4100">
        <f>VLOOKUP(D4100,Товары!A:I,6,0)</f>
        <v>190</v>
      </c>
      <c r="I4100" t="str">
        <f>VLOOKUP(C4100,Магазины!A:C,3,0)</f>
        <v>Набережные Челны</v>
      </c>
      <c r="J4100">
        <f>VLOOKUP(D4100,Товары!A:I,4,0)</f>
        <v>11040</v>
      </c>
      <c r="K4100">
        <f t="shared" si="64"/>
        <v>11040</v>
      </c>
    </row>
    <row r="4101" spans="1:11" hidden="1" x14ac:dyDescent="0.25">
      <c r="A4101">
        <v>4100</v>
      </c>
      <c r="B4101" s="1">
        <v>45754</v>
      </c>
      <c r="C4101" t="s">
        <v>103</v>
      </c>
      <c r="D4101" t="s">
        <v>19</v>
      </c>
      <c r="E4101" t="s">
        <v>8</v>
      </c>
      <c r="F4101">
        <v>2</v>
      </c>
      <c r="G4101" t="str">
        <f>VLOOKUP(D4101,Товары!A:I,3,0)</f>
        <v>Тумба с раковиной  навес. Леон 800 оникс 2 ящика с умыв. Слим</v>
      </c>
      <c r="H4101">
        <f>VLOOKUP(D4101,Товары!A:I,6,0)</f>
        <v>60</v>
      </c>
      <c r="I4101" t="str">
        <f>VLOOKUP(C4101,Магазины!A:C,3,0)</f>
        <v>Ставрополь</v>
      </c>
      <c r="J4101">
        <f>VLOOKUP(D4101,Товары!A:I,4,0)</f>
        <v>27930</v>
      </c>
      <c r="K4101">
        <f t="shared" si="64"/>
        <v>55860</v>
      </c>
    </row>
    <row r="4102" spans="1:11" hidden="1" x14ac:dyDescent="0.25">
      <c r="A4102">
        <v>4101</v>
      </c>
      <c r="B4102" s="1">
        <v>45753</v>
      </c>
      <c r="C4102" t="s">
        <v>22</v>
      </c>
      <c r="D4102" t="s">
        <v>120</v>
      </c>
      <c r="E4102" t="s">
        <v>13</v>
      </c>
      <c r="F4102">
        <v>1</v>
      </c>
      <c r="G4102" t="str">
        <f>VLOOKUP(D4102,Товары!A:I,3,0)</f>
        <v>Зеркальный шкаф Альба 60 со светильником правый цвет антрацит</v>
      </c>
      <c r="H4102">
        <f>VLOOKUP(D4102,Товары!A:I,6,0)</f>
        <v>75</v>
      </c>
      <c r="I4102" t="str">
        <f>VLOOKUP(C4102,Магазины!A:C,3,0)</f>
        <v>Кемерово</v>
      </c>
      <c r="J4102">
        <f>VLOOKUP(D4102,Товары!A:I,4,0)</f>
        <v>8910</v>
      </c>
      <c r="K4102">
        <f t="shared" si="64"/>
        <v>8910</v>
      </c>
    </row>
    <row r="4103" spans="1:11" hidden="1" x14ac:dyDescent="0.25">
      <c r="A4103">
        <v>4102</v>
      </c>
      <c r="B4103" s="1">
        <v>45755</v>
      </c>
      <c r="C4103" t="s">
        <v>18</v>
      </c>
      <c r="D4103" t="s">
        <v>95</v>
      </c>
      <c r="E4103" t="s">
        <v>8</v>
      </c>
      <c r="F4103">
        <v>2</v>
      </c>
      <c r="G4103" t="str">
        <f>VLOOKUP(D4103,Товары!A:I,3,0)</f>
        <v>Тумба с раковиной  напол. Рица 600 антрацит 2 ящика с умыв. Океан</v>
      </c>
      <c r="H4103">
        <f>VLOOKUP(D4103,Товары!A:I,6,0)</f>
        <v>80</v>
      </c>
      <c r="I4103" t="str">
        <f>VLOOKUP(C4103,Магазины!A:C,3,0)</f>
        <v>Набережные Челны</v>
      </c>
      <c r="J4103">
        <f>VLOOKUP(D4103,Товары!A:I,4,0)</f>
        <v>25560</v>
      </c>
      <c r="K4103">
        <f t="shared" si="64"/>
        <v>51120</v>
      </c>
    </row>
    <row r="4104" spans="1:11" hidden="1" x14ac:dyDescent="0.25">
      <c r="A4104">
        <v>4103</v>
      </c>
      <c r="B4104" s="1">
        <v>45752</v>
      </c>
      <c r="C4104" t="s">
        <v>57</v>
      </c>
      <c r="D4104" t="s">
        <v>47</v>
      </c>
      <c r="E4104" t="s">
        <v>8</v>
      </c>
      <c r="F4104">
        <v>3</v>
      </c>
      <c r="G4104" t="str">
        <f>VLOOKUP(D4104,Товары!A:I,3,0)</f>
        <v>Пенал напол. Кристалл 350 шато азур 2 двери</v>
      </c>
      <c r="H4104">
        <f>VLOOKUP(D4104,Товары!A:I,6,0)</f>
        <v>190</v>
      </c>
      <c r="I4104" t="str">
        <f>VLOOKUP(C4104,Магазины!A:C,3,0)</f>
        <v>Оренбург</v>
      </c>
      <c r="J4104">
        <f>VLOOKUP(D4104,Товары!A:I,4,0)</f>
        <v>15810</v>
      </c>
      <c r="K4104">
        <f t="shared" si="64"/>
        <v>47430</v>
      </c>
    </row>
    <row r="4105" spans="1:11" hidden="1" x14ac:dyDescent="0.25">
      <c r="A4105">
        <v>4104</v>
      </c>
      <c r="B4105" s="1">
        <v>45749</v>
      </c>
      <c r="C4105" t="s">
        <v>22</v>
      </c>
      <c r="D4105" t="s">
        <v>113</v>
      </c>
      <c r="E4105" t="s">
        <v>13</v>
      </c>
      <c r="F4105">
        <v>2</v>
      </c>
      <c r="G4105" t="str">
        <f>VLOOKUP(D4105,Товары!A:I,3,0)</f>
        <v>Зеркальный шкаф Альба 60 со светильником правый цвет мята</v>
      </c>
      <c r="H4105">
        <f>VLOOKUP(D4105,Товары!A:I,6,0)</f>
        <v>75</v>
      </c>
      <c r="I4105" t="str">
        <f>VLOOKUP(C4105,Магазины!A:C,3,0)</f>
        <v>Кемерово</v>
      </c>
      <c r="J4105">
        <f>VLOOKUP(D4105,Товары!A:I,4,0)</f>
        <v>8910</v>
      </c>
      <c r="K4105">
        <f t="shared" si="64"/>
        <v>17820</v>
      </c>
    </row>
    <row r="4106" spans="1:11" hidden="1" x14ac:dyDescent="0.25">
      <c r="A4106">
        <v>4105</v>
      </c>
      <c r="B4106" s="1">
        <v>45748</v>
      </c>
      <c r="C4106" t="s">
        <v>33</v>
      </c>
      <c r="D4106" t="s">
        <v>17</v>
      </c>
      <c r="E4106" t="s">
        <v>8</v>
      </c>
      <c r="F4106">
        <v>1</v>
      </c>
      <c r="G4106" t="str">
        <f>VLOOKUP(D4106,Товары!A:I,3,0)</f>
        <v>Тумба с раковиной  навес. Альба 800 антрацит 1 ящик с умыв. Слим</v>
      </c>
      <c r="H4106">
        <f>VLOOKUP(D4106,Товары!A:I,6,0)</f>
        <v>45</v>
      </c>
      <c r="I4106" t="str">
        <f>VLOOKUP(C4106,Магазины!A:C,3,0)</f>
        <v>Набережные Челны</v>
      </c>
      <c r="J4106">
        <f>VLOOKUP(D4106,Товары!A:I,4,0)</f>
        <v>21630</v>
      </c>
      <c r="K4106">
        <f t="shared" si="64"/>
        <v>21630</v>
      </c>
    </row>
    <row r="4107" spans="1:11" hidden="1" x14ac:dyDescent="0.25">
      <c r="A4107">
        <v>4106</v>
      </c>
      <c r="B4107" s="1">
        <v>45753</v>
      </c>
      <c r="C4107" t="s">
        <v>28</v>
      </c>
      <c r="D4107" t="s">
        <v>120</v>
      </c>
      <c r="E4107" t="s">
        <v>13</v>
      </c>
      <c r="F4107">
        <v>3</v>
      </c>
      <c r="G4107" t="str">
        <f>VLOOKUP(D4107,Товары!A:I,3,0)</f>
        <v>Зеркальный шкаф Альба 60 со светильником правый цвет антрацит</v>
      </c>
      <c r="H4107">
        <f>VLOOKUP(D4107,Товары!A:I,6,0)</f>
        <v>75</v>
      </c>
      <c r="I4107" t="str">
        <f>VLOOKUP(C4107,Магазины!A:C,3,0)</f>
        <v>Набережные Челны</v>
      </c>
      <c r="J4107">
        <f>VLOOKUP(D4107,Товары!A:I,4,0)</f>
        <v>8910</v>
      </c>
      <c r="K4107">
        <f t="shared" si="64"/>
        <v>26730</v>
      </c>
    </row>
    <row r="4108" spans="1:11" hidden="1" x14ac:dyDescent="0.25">
      <c r="A4108">
        <v>4107</v>
      </c>
      <c r="B4108" s="1">
        <v>45754</v>
      </c>
      <c r="C4108" t="s">
        <v>30</v>
      </c>
      <c r="D4108" t="s">
        <v>31</v>
      </c>
      <c r="E4108" t="s">
        <v>8</v>
      </c>
      <c r="F4108">
        <v>1</v>
      </c>
      <c r="G4108" t="str">
        <f>VLOOKUP(D4108,Товары!A:I,3,0)</f>
        <v>Пенал напол. Виктория 350 белый 2 двери</v>
      </c>
      <c r="H4108">
        <f>VLOOKUP(D4108,Товары!A:I,6,0)</f>
        <v>190</v>
      </c>
      <c r="I4108" t="str">
        <f>VLOOKUP(C4108,Магазины!A:C,3,0)</f>
        <v>Кемерово</v>
      </c>
      <c r="J4108">
        <f>VLOOKUP(D4108,Товары!A:I,4,0)</f>
        <v>14085</v>
      </c>
      <c r="K4108">
        <f t="shared" si="64"/>
        <v>14085</v>
      </c>
    </row>
    <row r="4109" spans="1:11" hidden="1" x14ac:dyDescent="0.25">
      <c r="A4109">
        <v>4108</v>
      </c>
      <c r="B4109" s="1">
        <v>45748</v>
      </c>
      <c r="C4109" t="s">
        <v>48</v>
      </c>
      <c r="D4109" t="s">
        <v>80</v>
      </c>
      <c r="E4109" t="s">
        <v>8</v>
      </c>
      <c r="F4109">
        <v>2</v>
      </c>
      <c r="G4109" t="str">
        <f>VLOOKUP(D4109,Товары!A:I,3,0)</f>
        <v>Тумба с раковиной  навес. Сохо 600 белый 2 ящика с умыв. Океан</v>
      </c>
      <c r="H4109">
        <f>VLOOKUP(D4109,Товары!A:I,6,0)</f>
        <v>55</v>
      </c>
      <c r="I4109" t="str">
        <f>VLOOKUP(C4109,Магазины!A:C,3,0)</f>
        <v>Ставрополь</v>
      </c>
      <c r="J4109">
        <f>VLOOKUP(D4109,Товары!A:I,4,0)</f>
        <v>13950</v>
      </c>
      <c r="K4109">
        <f t="shared" si="64"/>
        <v>27900</v>
      </c>
    </row>
    <row r="4110" spans="1:11" hidden="1" x14ac:dyDescent="0.25">
      <c r="A4110">
        <v>4109</v>
      </c>
      <c r="B4110" s="1">
        <v>45750</v>
      </c>
      <c r="C4110" t="s">
        <v>14</v>
      </c>
      <c r="D4110" t="s">
        <v>97</v>
      </c>
      <c r="E4110" t="s">
        <v>13</v>
      </c>
      <c r="F4110">
        <v>1</v>
      </c>
      <c r="G4110" t="str">
        <f>VLOOKUP(D4110,Товары!A:I,3,0)</f>
        <v>Пенал напол. Кристалл 350 суфле 2 двери</v>
      </c>
      <c r="H4110">
        <f>VLOOKUP(D4110,Товары!A:I,6,0)</f>
        <v>190</v>
      </c>
      <c r="I4110" t="str">
        <f>VLOOKUP(C4110,Магазины!A:C,3,0)</f>
        <v>Оренбург</v>
      </c>
      <c r="J4110">
        <f>VLOOKUP(D4110,Товары!A:I,4,0)</f>
        <v>15810</v>
      </c>
      <c r="K4110">
        <f t="shared" si="64"/>
        <v>15810</v>
      </c>
    </row>
    <row r="4111" spans="1:11" hidden="1" x14ac:dyDescent="0.25">
      <c r="A4111">
        <v>4110</v>
      </c>
      <c r="B4111" s="1">
        <v>45753</v>
      </c>
      <c r="C4111" t="s">
        <v>9</v>
      </c>
      <c r="D4111" t="s">
        <v>113</v>
      </c>
      <c r="E4111" t="s">
        <v>8</v>
      </c>
      <c r="F4111">
        <v>3</v>
      </c>
      <c r="G4111" t="str">
        <f>VLOOKUP(D4111,Товары!A:I,3,0)</f>
        <v>Зеркальный шкаф Альба 60 со светильником правый цвет мята</v>
      </c>
      <c r="H4111">
        <f>VLOOKUP(D4111,Товары!A:I,6,0)</f>
        <v>75</v>
      </c>
      <c r="I4111" t="str">
        <f>VLOOKUP(C4111,Магазины!A:C,3,0)</f>
        <v>Кемерово</v>
      </c>
      <c r="J4111">
        <f>VLOOKUP(D4111,Товары!A:I,4,0)</f>
        <v>8910</v>
      </c>
      <c r="K4111">
        <f t="shared" si="64"/>
        <v>26730</v>
      </c>
    </row>
    <row r="4112" spans="1:11" hidden="1" x14ac:dyDescent="0.25">
      <c r="A4112">
        <v>4111</v>
      </c>
      <c r="B4112" s="1">
        <v>45750</v>
      </c>
      <c r="C4112" t="s">
        <v>6</v>
      </c>
      <c r="D4112" t="s">
        <v>59</v>
      </c>
      <c r="E4112" t="s">
        <v>8</v>
      </c>
      <c r="F4112">
        <v>3</v>
      </c>
      <c r="G4112" t="str">
        <f>VLOOKUP(D4112,Товары!A:I,3,0)</f>
        <v>Тумба с раковиной  навес. Куба Риф 600 белый 2 ящика с умыв. Океан</v>
      </c>
      <c r="H4112">
        <f>VLOOKUP(D4112,Товары!A:I,6,0)</f>
        <v>55</v>
      </c>
      <c r="I4112" t="str">
        <f>VLOOKUP(C4112,Магазины!A:C,3,0)</f>
        <v>Оренбург</v>
      </c>
      <c r="J4112">
        <f>VLOOKUP(D4112,Товары!A:I,4,0)</f>
        <v>15765</v>
      </c>
      <c r="K4112">
        <f t="shared" si="64"/>
        <v>47295</v>
      </c>
    </row>
    <row r="4113" spans="1:11" hidden="1" x14ac:dyDescent="0.25">
      <c r="A4113">
        <v>4112</v>
      </c>
      <c r="B4113" s="1">
        <v>45754</v>
      </c>
      <c r="C4113" t="s">
        <v>35</v>
      </c>
      <c r="D4113" t="s">
        <v>86</v>
      </c>
      <c r="E4113" t="s">
        <v>8</v>
      </c>
      <c r="F4113">
        <v>3</v>
      </c>
      <c r="G4113" t="str">
        <f>VLOOKUP(D4113,Товары!A:I,3,0)</f>
        <v>Комод Аква 50 напольный 1 ящик 2 двери белый</v>
      </c>
      <c r="H4113">
        <f>VLOOKUP(D4113,Товары!A:I,6,0)</f>
        <v>90</v>
      </c>
      <c r="I4113" t="str">
        <f>VLOOKUP(C4113,Магазины!A:C,3,0)</f>
        <v>Набережные Челны</v>
      </c>
      <c r="J4113">
        <f>VLOOKUP(D4113,Товары!A:I,4,0)</f>
        <v>7260</v>
      </c>
      <c r="K4113">
        <f t="shared" si="64"/>
        <v>21780</v>
      </c>
    </row>
    <row r="4114" spans="1:11" hidden="1" x14ac:dyDescent="0.25">
      <c r="A4114">
        <v>4113</v>
      </c>
      <c r="B4114" s="1">
        <v>45754</v>
      </c>
      <c r="C4114" t="s">
        <v>41</v>
      </c>
      <c r="D4114" t="s">
        <v>49</v>
      </c>
      <c r="E4114" t="s">
        <v>13</v>
      </c>
      <c r="F4114">
        <v>3</v>
      </c>
      <c r="G4114" t="str">
        <f>VLOOKUP(D4114,Товары!A:I,3,0)</f>
        <v>Тумба с раковиной  напол. Леон 700 оникс 2 ящика с умыв. Слим</v>
      </c>
      <c r="H4114">
        <f>VLOOKUP(D4114,Товары!A:I,6,0)</f>
        <v>80</v>
      </c>
      <c r="I4114" t="str">
        <f>VLOOKUP(C4114,Магазины!A:C,3,0)</f>
        <v>Ставрополь</v>
      </c>
      <c r="J4114">
        <f>VLOOKUP(D4114,Товары!A:I,4,0)</f>
        <v>28380</v>
      </c>
      <c r="K4114">
        <f t="shared" si="64"/>
        <v>85140</v>
      </c>
    </row>
    <row r="4115" spans="1:11" hidden="1" x14ac:dyDescent="0.25">
      <c r="A4115">
        <v>4114</v>
      </c>
      <c r="B4115" s="1">
        <v>45748</v>
      </c>
      <c r="C4115" t="s">
        <v>92</v>
      </c>
      <c r="D4115" t="s">
        <v>21</v>
      </c>
      <c r="E4115" t="s">
        <v>13</v>
      </c>
      <c r="F4115">
        <v>2</v>
      </c>
      <c r="G4115" t="str">
        <f>VLOOKUP(D4115,Товары!A:I,3,0)</f>
        <v>Зеркальный шкаф Рица 60 со светильником правый цвет cерый/керамика</v>
      </c>
      <c r="H4115">
        <f>VLOOKUP(D4115,Товары!A:I,6,0)</f>
        <v>75</v>
      </c>
      <c r="I4115" t="str">
        <f>VLOOKUP(C4115,Магазины!A:C,3,0)</f>
        <v>Кемерово</v>
      </c>
      <c r="J4115">
        <f>VLOOKUP(D4115,Товары!A:I,4,0)</f>
        <v>8910</v>
      </c>
      <c r="K4115">
        <f t="shared" si="64"/>
        <v>17820</v>
      </c>
    </row>
    <row r="4116" spans="1:11" hidden="1" x14ac:dyDescent="0.25">
      <c r="A4116">
        <v>4115</v>
      </c>
      <c r="B4116" s="1">
        <v>45752</v>
      </c>
      <c r="C4116" t="s">
        <v>103</v>
      </c>
      <c r="D4116" t="s">
        <v>21</v>
      </c>
      <c r="E4116" t="s">
        <v>13</v>
      </c>
      <c r="F4116">
        <v>1</v>
      </c>
      <c r="G4116" t="str">
        <f>VLOOKUP(D4116,Товары!A:I,3,0)</f>
        <v>Зеркальный шкаф Рица 60 со светильником правый цвет cерый/керамика</v>
      </c>
      <c r="H4116">
        <f>VLOOKUP(D4116,Товары!A:I,6,0)</f>
        <v>75</v>
      </c>
      <c r="I4116" t="str">
        <f>VLOOKUP(C4116,Магазины!A:C,3,0)</f>
        <v>Ставрополь</v>
      </c>
      <c r="J4116">
        <f>VLOOKUP(D4116,Товары!A:I,4,0)</f>
        <v>8910</v>
      </c>
      <c r="K4116">
        <f t="shared" si="64"/>
        <v>8910</v>
      </c>
    </row>
    <row r="4117" spans="1:11" hidden="1" x14ac:dyDescent="0.25">
      <c r="A4117">
        <v>4116</v>
      </c>
      <c r="B4117" s="1">
        <v>45753</v>
      </c>
      <c r="C4117" t="s">
        <v>35</v>
      </c>
      <c r="D4117" t="s">
        <v>53</v>
      </c>
      <c r="E4117" t="s">
        <v>8</v>
      </c>
      <c r="F4117">
        <v>2</v>
      </c>
      <c r="G4117" t="str">
        <f>VLOOKUP(D4117,Товары!A:I,3,0)</f>
        <v>Тумба с раковиной  напол. Кристалл 600 шато азур 2 ящика с умыв. Океан</v>
      </c>
      <c r="H4117">
        <f>VLOOKUP(D4117,Товары!A:I,6,0)</f>
        <v>85</v>
      </c>
      <c r="I4117" t="str">
        <f>VLOOKUP(C4117,Магазины!A:C,3,0)</f>
        <v>Набережные Челны</v>
      </c>
      <c r="J4117">
        <f>VLOOKUP(D4117,Товары!A:I,4,0)</f>
        <v>27600</v>
      </c>
      <c r="K4117">
        <f t="shared" si="64"/>
        <v>55200</v>
      </c>
    </row>
    <row r="4118" spans="1:11" hidden="1" x14ac:dyDescent="0.25">
      <c r="A4118">
        <v>4117</v>
      </c>
      <c r="B4118" s="1">
        <v>45753</v>
      </c>
      <c r="C4118" t="s">
        <v>103</v>
      </c>
      <c r="D4118" t="s">
        <v>61</v>
      </c>
      <c r="E4118" t="s">
        <v>13</v>
      </c>
      <c r="F4118">
        <v>3</v>
      </c>
      <c r="G4118" t="str">
        <f>VLOOKUP(D4118,Товары!A:I,3,0)</f>
        <v>Тумба под стиральную машину Леон Риф 57 напольная 2 ящика под ст/маш, без умывальника /под Marshall 120 Солярис/Белый Риф</v>
      </c>
      <c r="H4118">
        <f>VLOOKUP(D4118,Товары!A:I,6,0)</f>
        <v>85</v>
      </c>
      <c r="I4118" t="str">
        <f>VLOOKUP(C4118,Магазины!A:C,3,0)</f>
        <v>Ставрополь</v>
      </c>
      <c r="J4118">
        <f>VLOOKUP(D4118,Товары!A:I,4,0)</f>
        <v>17430</v>
      </c>
      <c r="K4118">
        <f t="shared" si="64"/>
        <v>52290</v>
      </c>
    </row>
    <row r="4119" spans="1:11" hidden="1" x14ac:dyDescent="0.25">
      <c r="A4119">
        <v>4118</v>
      </c>
      <c r="B4119" s="1">
        <v>45755</v>
      </c>
      <c r="C4119" t="s">
        <v>111</v>
      </c>
      <c r="D4119" t="s">
        <v>100</v>
      </c>
      <c r="E4119" t="s">
        <v>13</v>
      </c>
      <c r="F4119">
        <v>1</v>
      </c>
      <c r="G4119" t="str">
        <f>VLOOKUP(D4119,Товары!A:I,3,0)</f>
        <v>Тумба с раковиной  навес. Альба 800 мята 1 ящик с умыв. Слим</v>
      </c>
      <c r="H4119">
        <f>VLOOKUP(D4119,Товары!A:I,6,0)</f>
        <v>45</v>
      </c>
      <c r="I4119" t="str">
        <f>VLOOKUP(C4119,Магазины!A:C,3,0)</f>
        <v>Набережные Челны</v>
      </c>
      <c r="J4119">
        <f>VLOOKUP(D4119,Товары!A:I,4,0)</f>
        <v>21630</v>
      </c>
      <c r="K4119">
        <f t="shared" si="64"/>
        <v>21630</v>
      </c>
    </row>
    <row r="4120" spans="1:11" hidden="1" x14ac:dyDescent="0.25">
      <c r="A4120">
        <v>4119</v>
      </c>
      <c r="B4120" s="1">
        <v>45751</v>
      </c>
      <c r="C4120" t="s">
        <v>54</v>
      </c>
      <c r="D4120" t="s">
        <v>89</v>
      </c>
      <c r="E4120" t="s">
        <v>13</v>
      </c>
      <c r="F4120">
        <v>3</v>
      </c>
      <c r="G4120" t="str">
        <f>VLOOKUP(D4120,Товары!A:I,3,0)</f>
        <v>Тумба с раковиной  напол. Сохо 600 белый 2 двери с умыв. Океан</v>
      </c>
      <c r="H4120">
        <f>VLOOKUP(D4120,Товары!A:I,6,0)</f>
        <v>85</v>
      </c>
      <c r="I4120" t="str">
        <f>VLOOKUP(C4120,Магазины!A:C,3,0)</f>
        <v>Ставрополь</v>
      </c>
      <c r="J4120">
        <f>VLOOKUP(D4120,Товары!A:I,4,0)</f>
        <v>14880</v>
      </c>
      <c r="K4120">
        <f t="shared" si="64"/>
        <v>44640</v>
      </c>
    </row>
    <row r="4121" spans="1:11" hidden="1" x14ac:dyDescent="0.25">
      <c r="A4121">
        <v>4120</v>
      </c>
      <c r="B4121" s="1">
        <v>45752</v>
      </c>
      <c r="C4121" t="s">
        <v>57</v>
      </c>
      <c r="D4121" t="s">
        <v>70</v>
      </c>
      <c r="E4121" t="s">
        <v>13</v>
      </c>
      <c r="F4121">
        <v>3</v>
      </c>
      <c r="G4121" t="str">
        <f>VLOOKUP(D4121,Товары!A:I,3,0)</f>
        <v>Тумба с раковиной  напол. Кристалл 700 шато азур 2 ящика с умыв. Слим</v>
      </c>
      <c r="H4121">
        <f>VLOOKUP(D4121,Товары!A:I,6,0)</f>
        <v>85</v>
      </c>
      <c r="I4121" t="str">
        <f>VLOOKUP(C4121,Магазины!A:C,3,0)</f>
        <v>Оренбург</v>
      </c>
      <c r="J4121">
        <f>VLOOKUP(D4121,Товары!A:I,4,0)</f>
        <v>29910</v>
      </c>
      <c r="K4121">
        <f t="shared" si="64"/>
        <v>89730</v>
      </c>
    </row>
    <row r="4122" spans="1:11" hidden="1" x14ac:dyDescent="0.25">
      <c r="A4122">
        <v>4121</v>
      </c>
      <c r="B4122" s="1">
        <v>45752</v>
      </c>
      <c r="C4122" t="s">
        <v>26</v>
      </c>
      <c r="D4122" t="s">
        <v>10</v>
      </c>
      <c r="E4122" t="s">
        <v>8</v>
      </c>
      <c r="F4122">
        <v>3</v>
      </c>
      <c r="G4122" t="str">
        <f>VLOOKUP(D4122,Товары!A:I,3,0)</f>
        <v>Тумба с раковиной  навес. Альба 700 антрацит 1 ящик с умыв. Слим</v>
      </c>
      <c r="H4122">
        <f>VLOOKUP(D4122,Товары!A:I,6,0)</f>
        <v>45</v>
      </c>
      <c r="I4122" t="str">
        <f>VLOOKUP(C4122,Магазины!A:C,3,0)</f>
        <v>Оренбург</v>
      </c>
      <c r="J4122">
        <f>VLOOKUP(D4122,Товары!A:I,4,0)</f>
        <v>20130</v>
      </c>
      <c r="K4122">
        <f t="shared" si="64"/>
        <v>60390</v>
      </c>
    </row>
    <row r="4123" spans="1:11" hidden="1" x14ac:dyDescent="0.25">
      <c r="A4123">
        <v>4122</v>
      </c>
      <c r="B4123" s="1">
        <v>45752</v>
      </c>
      <c r="C4123" t="s">
        <v>111</v>
      </c>
      <c r="D4123" t="s">
        <v>72</v>
      </c>
      <c r="E4123" t="s">
        <v>8</v>
      </c>
      <c r="F4123">
        <v>3</v>
      </c>
      <c r="G4123" t="str">
        <f>VLOOKUP(D4123,Товары!A:I,3,0)</f>
        <v>Тумба с раковиной  напол. Сохо 600 белый 2 ящика с умыв. Океан</v>
      </c>
      <c r="H4123">
        <f>VLOOKUP(D4123,Товары!A:I,6,0)</f>
        <v>85</v>
      </c>
      <c r="I4123" t="str">
        <f>VLOOKUP(C4123,Магазины!A:C,3,0)</f>
        <v>Набережные Челны</v>
      </c>
      <c r="J4123">
        <f>VLOOKUP(D4123,Товары!A:I,4,0)</f>
        <v>16140</v>
      </c>
      <c r="K4123">
        <f t="shared" si="64"/>
        <v>48420</v>
      </c>
    </row>
    <row r="4124" spans="1:11" hidden="1" x14ac:dyDescent="0.25">
      <c r="A4124">
        <v>4123</v>
      </c>
      <c r="B4124" s="1">
        <v>45748</v>
      </c>
      <c r="C4124" t="s">
        <v>22</v>
      </c>
      <c r="D4124" t="s">
        <v>50</v>
      </c>
      <c r="E4124" t="s">
        <v>8</v>
      </c>
      <c r="F4124">
        <v>2</v>
      </c>
      <c r="G4124" t="str">
        <f>VLOOKUP(D4124,Товары!A:I,3,0)</f>
        <v>Тумба с раковиной  напол. Леон 800 оникс 2 ящика с умыв. Слим</v>
      </c>
      <c r="H4124">
        <f>VLOOKUP(D4124,Товары!A:I,6,0)</f>
        <v>80</v>
      </c>
      <c r="I4124" t="str">
        <f>VLOOKUP(C4124,Магазины!A:C,3,0)</f>
        <v>Кемерово</v>
      </c>
      <c r="J4124">
        <f>VLOOKUP(D4124,Товары!A:I,4,0)</f>
        <v>29400</v>
      </c>
      <c r="K4124">
        <f t="shared" si="64"/>
        <v>58800</v>
      </c>
    </row>
    <row r="4125" spans="1:11" hidden="1" x14ac:dyDescent="0.25">
      <c r="A4125">
        <v>4124</v>
      </c>
      <c r="B4125" s="1">
        <v>45748</v>
      </c>
      <c r="C4125" t="s">
        <v>26</v>
      </c>
      <c r="D4125" t="s">
        <v>64</v>
      </c>
      <c r="E4125" t="s">
        <v>13</v>
      </c>
      <c r="F4125">
        <v>2</v>
      </c>
      <c r="G4125" t="str">
        <f>VLOOKUP(D4125,Товары!A:I,3,0)</f>
        <v>Тумба с раковиной  напол. Рица 800 антрацит 2 ящика с умыв. Слим</v>
      </c>
      <c r="H4125">
        <f>VLOOKUP(D4125,Товары!A:I,6,0)</f>
        <v>80</v>
      </c>
      <c r="I4125" t="str">
        <f>VLOOKUP(C4125,Магазины!A:C,3,0)</f>
        <v>Оренбург</v>
      </c>
      <c r="J4125">
        <f>VLOOKUP(D4125,Товары!A:I,4,0)</f>
        <v>28980</v>
      </c>
      <c r="K4125">
        <f t="shared" si="64"/>
        <v>57960</v>
      </c>
    </row>
    <row r="4126" spans="1:11" hidden="1" x14ac:dyDescent="0.25">
      <c r="A4126">
        <v>4125</v>
      </c>
      <c r="B4126" s="1">
        <v>45755</v>
      </c>
      <c r="C4126" t="s">
        <v>92</v>
      </c>
      <c r="D4126" t="s">
        <v>38</v>
      </c>
      <c r="E4126" t="s">
        <v>8</v>
      </c>
      <c r="F4126">
        <v>3</v>
      </c>
      <c r="G4126" t="str">
        <f>VLOOKUP(D4126,Товары!A:I,3,0)</f>
        <v>Тумба с раковиной  навес. Куба Риф 600 белый 2 ящика с умыв. Como</v>
      </c>
      <c r="H4126">
        <f>VLOOKUP(D4126,Товары!A:I,6,0)</f>
        <v>55</v>
      </c>
      <c r="I4126" t="str">
        <f>VLOOKUP(C4126,Магазины!A:C,3,0)</f>
        <v>Кемерово</v>
      </c>
      <c r="J4126">
        <f>VLOOKUP(D4126,Товары!A:I,4,0)</f>
        <v>14265</v>
      </c>
      <c r="K4126">
        <f t="shared" si="64"/>
        <v>42795</v>
      </c>
    </row>
    <row r="4127" spans="1:11" hidden="1" x14ac:dyDescent="0.25">
      <c r="A4127">
        <v>4126</v>
      </c>
      <c r="B4127" s="1">
        <v>45754</v>
      </c>
      <c r="C4127" t="s">
        <v>48</v>
      </c>
      <c r="D4127" t="s">
        <v>81</v>
      </c>
      <c r="E4127" t="s">
        <v>8</v>
      </c>
      <c r="F4127">
        <v>3</v>
      </c>
      <c r="G4127" t="str">
        <f>VLOOKUP(D4127,Товары!A:I,3,0)</f>
        <v>Тумба с раковиной  навес. Рица 600 cерый/керамика 1 ящик + ниша 1 с умыв. Океан</v>
      </c>
      <c r="H4127">
        <f>VLOOKUP(D4127,Товары!A:I,6,0)</f>
        <v>60</v>
      </c>
      <c r="I4127" t="str">
        <f>VLOOKUP(C4127,Магазины!A:C,3,0)</f>
        <v>Ставрополь</v>
      </c>
      <c r="J4127">
        <f>VLOOKUP(D4127,Товары!A:I,4,0)</f>
        <v>18900</v>
      </c>
      <c r="K4127">
        <f t="shared" si="64"/>
        <v>56700</v>
      </c>
    </row>
    <row r="4128" spans="1:11" hidden="1" x14ac:dyDescent="0.25">
      <c r="A4128">
        <v>4127</v>
      </c>
      <c r="B4128" s="1">
        <v>45749</v>
      </c>
      <c r="C4128" t="s">
        <v>54</v>
      </c>
      <c r="D4128" t="s">
        <v>107</v>
      </c>
      <c r="E4128" t="s">
        <v>13</v>
      </c>
      <c r="F4128">
        <v>2</v>
      </c>
      <c r="G4128" t="str">
        <f>VLOOKUP(D4128,Товары!A:I,3,0)</f>
        <v>Комод Аква 35 напольный 1 дверь белый правый</v>
      </c>
      <c r="H4128">
        <f>VLOOKUP(D4128,Товары!A:I,6,0)</f>
        <v>90</v>
      </c>
      <c r="I4128" t="str">
        <f>VLOOKUP(C4128,Магазины!A:C,3,0)</f>
        <v>Ставрополь</v>
      </c>
      <c r="J4128">
        <f>VLOOKUP(D4128,Товары!A:I,4,0)</f>
        <v>6705</v>
      </c>
      <c r="K4128">
        <f t="shared" si="64"/>
        <v>13410</v>
      </c>
    </row>
    <row r="4129" spans="1:11" hidden="1" x14ac:dyDescent="0.25">
      <c r="A4129">
        <v>4128</v>
      </c>
      <c r="B4129" s="1">
        <v>45756</v>
      </c>
      <c r="C4129" t="s">
        <v>92</v>
      </c>
      <c r="D4129" t="s">
        <v>128</v>
      </c>
      <c r="E4129" t="s">
        <v>13</v>
      </c>
      <c r="F4129">
        <v>2</v>
      </c>
      <c r="G4129" t="str">
        <f>VLOOKUP(D4129,Товары!A:I,3,0)</f>
        <v>Тумба с раковиной  напол. Куба Риф 1000 белый 2 ящика с умыв. Слим</v>
      </c>
      <c r="H4129">
        <f>VLOOKUP(D4129,Товары!A:I,6,0)</f>
        <v>85</v>
      </c>
      <c r="I4129" t="str">
        <f>VLOOKUP(C4129,Магазины!A:C,3,0)</f>
        <v>Кемерово</v>
      </c>
      <c r="J4129">
        <f>VLOOKUP(D4129,Товары!A:I,4,0)</f>
        <v>22905</v>
      </c>
      <c r="K4129">
        <f t="shared" si="64"/>
        <v>45810</v>
      </c>
    </row>
    <row r="4130" spans="1:11" hidden="1" x14ac:dyDescent="0.25">
      <c r="A4130">
        <v>4129</v>
      </c>
      <c r="B4130" s="1">
        <v>45749</v>
      </c>
      <c r="C4130" t="s">
        <v>54</v>
      </c>
      <c r="D4130" t="s">
        <v>67</v>
      </c>
      <c r="E4130" t="s">
        <v>13</v>
      </c>
      <c r="F4130">
        <v>1</v>
      </c>
      <c r="G4130" t="str">
        <f>VLOOKUP(D4130,Товары!A:I,3,0)</f>
        <v>Пенал навес./напол. Альба 350 суфле 2 двери</v>
      </c>
      <c r="H4130">
        <f>VLOOKUP(D4130,Товары!A:I,6,0)</f>
        <v>150</v>
      </c>
      <c r="I4130" t="str">
        <f>VLOOKUP(C4130,Магазины!A:C,3,0)</f>
        <v>Ставрополь</v>
      </c>
      <c r="J4130">
        <f>VLOOKUP(D4130,Товары!A:I,4,0)</f>
        <v>11655</v>
      </c>
      <c r="K4130">
        <f t="shared" si="64"/>
        <v>11655</v>
      </c>
    </row>
    <row r="4131" spans="1:11" hidden="1" x14ac:dyDescent="0.25">
      <c r="A4131">
        <v>4130</v>
      </c>
      <c r="B4131" s="1">
        <v>45748</v>
      </c>
      <c r="C4131" t="s">
        <v>14</v>
      </c>
      <c r="D4131" t="s">
        <v>7</v>
      </c>
      <c r="E4131" t="s">
        <v>13</v>
      </c>
      <c r="F4131">
        <v>1</v>
      </c>
      <c r="G4131" t="str">
        <f>VLOOKUP(D4131,Товары!A:I,3,0)</f>
        <v>Пенал напол. Леон Риф 400 солярис/белый риф 2 двери + 1 ящик</v>
      </c>
      <c r="H4131">
        <f>VLOOKUP(D4131,Товары!A:I,6,0)</f>
        <v>190</v>
      </c>
      <c r="I4131" t="str">
        <f>VLOOKUP(C4131,Магазины!A:C,3,0)</f>
        <v>Оренбург</v>
      </c>
      <c r="J4131">
        <f>VLOOKUP(D4131,Товары!A:I,4,0)</f>
        <v>14490</v>
      </c>
      <c r="K4131">
        <f t="shared" si="64"/>
        <v>14490</v>
      </c>
    </row>
    <row r="4132" spans="1:11" hidden="1" x14ac:dyDescent="0.25">
      <c r="A4132">
        <v>4131</v>
      </c>
      <c r="B4132" s="1">
        <v>45754</v>
      </c>
      <c r="C4132" t="s">
        <v>41</v>
      </c>
      <c r="D4132" t="s">
        <v>102</v>
      </c>
      <c r="E4132" t="s">
        <v>8</v>
      </c>
      <c r="F4132">
        <v>1</v>
      </c>
      <c r="G4132" t="str">
        <f>VLOOKUP(D4132,Товары!A:I,3,0)</f>
        <v>Тумба с раковиной  напол. Леон Риф 1000 солярис/белый риф 2 ящика с умыв. Слим</v>
      </c>
      <c r="H4132">
        <f>VLOOKUP(D4132,Товары!A:I,6,0)</f>
        <v>85</v>
      </c>
      <c r="I4132" t="str">
        <f>VLOOKUP(C4132,Магазины!A:C,3,0)</f>
        <v>Ставрополь</v>
      </c>
      <c r="J4132">
        <f>VLOOKUP(D4132,Товары!A:I,4,0)</f>
        <v>32085</v>
      </c>
      <c r="K4132">
        <f t="shared" si="64"/>
        <v>32085</v>
      </c>
    </row>
    <row r="4133" spans="1:11" hidden="1" x14ac:dyDescent="0.25">
      <c r="A4133">
        <v>4132</v>
      </c>
      <c r="B4133" s="1">
        <v>45752</v>
      </c>
      <c r="C4133" t="s">
        <v>41</v>
      </c>
      <c r="D4133" t="s">
        <v>104</v>
      </c>
      <c r="E4133" t="s">
        <v>13</v>
      </c>
      <c r="F4133">
        <v>1</v>
      </c>
      <c r="G4133" t="str">
        <f>VLOOKUP(D4133,Товары!A:I,3,0)</f>
        <v>Тумба под стиральную машину Куба Риф 57 подвесная 2 ящика под ст/маш, без умывальника /под Marshall 120 Белый</v>
      </c>
      <c r="H4133">
        <f>VLOOKUP(D4133,Товары!A:I,6,0)</f>
        <v>50</v>
      </c>
      <c r="I4133" t="str">
        <f>VLOOKUP(C4133,Магазины!A:C,3,0)</f>
        <v>Ставрополь</v>
      </c>
      <c r="J4133">
        <f>VLOOKUP(D4133,Товары!A:I,4,0)</f>
        <v>8505</v>
      </c>
      <c r="K4133">
        <f t="shared" si="64"/>
        <v>8505</v>
      </c>
    </row>
    <row r="4134" spans="1:11" hidden="1" x14ac:dyDescent="0.25">
      <c r="A4134">
        <v>4133</v>
      </c>
      <c r="B4134" s="1">
        <v>45749</v>
      </c>
      <c r="C4134" t="s">
        <v>48</v>
      </c>
      <c r="D4134" t="s">
        <v>78</v>
      </c>
      <c r="E4134" t="s">
        <v>13</v>
      </c>
      <c r="F4134">
        <v>3</v>
      </c>
      <c r="G4134" t="str">
        <f>VLOOKUP(D4134,Товары!A:I,3,0)</f>
        <v>Зеркальный шкаф Кристалл 70 со светильником правый, ручка кнопка дуб цвет Шато Азур</v>
      </c>
      <c r="H4134">
        <f>VLOOKUP(D4134,Товары!A:I,6,0)</f>
        <v>75</v>
      </c>
      <c r="I4134" t="str">
        <f>VLOOKUP(C4134,Магазины!A:C,3,0)</f>
        <v>Ставрополь</v>
      </c>
      <c r="J4134">
        <f>VLOOKUP(D4134,Товары!A:I,4,0)</f>
        <v>9615</v>
      </c>
      <c r="K4134">
        <f t="shared" si="64"/>
        <v>28845</v>
      </c>
    </row>
    <row r="4135" spans="1:11" hidden="1" x14ac:dyDescent="0.25">
      <c r="A4135">
        <v>4134</v>
      </c>
      <c r="B4135" s="1">
        <v>45749</v>
      </c>
      <c r="C4135" t="s">
        <v>28</v>
      </c>
      <c r="D4135" t="s">
        <v>27</v>
      </c>
      <c r="E4135" t="s">
        <v>8</v>
      </c>
      <c r="F4135">
        <v>2</v>
      </c>
      <c r="G4135" t="str">
        <f>VLOOKUP(D4135,Товары!A:I,3,0)</f>
        <v>Тумба с раковиной  навес. Виктория 800 белый 2 ящика с умыв. Слим</v>
      </c>
      <c r="H4135">
        <f>VLOOKUP(D4135,Товары!A:I,6,0)</f>
        <v>60</v>
      </c>
      <c r="I4135" t="str">
        <f>VLOOKUP(C4135,Магазины!A:C,3,0)</f>
        <v>Набережные Челны</v>
      </c>
      <c r="J4135">
        <f>VLOOKUP(D4135,Товары!A:I,4,0)</f>
        <v>25290</v>
      </c>
      <c r="K4135">
        <f t="shared" si="64"/>
        <v>50580</v>
      </c>
    </row>
    <row r="4136" spans="1:11" hidden="1" x14ac:dyDescent="0.25">
      <c r="A4136">
        <v>4135</v>
      </c>
      <c r="B4136" s="1">
        <v>45748</v>
      </c>
      <c r="C4136" t="s">
        <v>6</v>
      </c>
      <c r="D4136" t="s">
        <v>69</v>
      </c>
      <c r="E4136" t="s">
        <v>8</v>
      </c>
      <c r="F4136">
        <v>2</v>
      </c>
      <c r="G4136" t="str">
        <f>VLOOKUP(D4136,Товары!A:I,3,0)</f>
        <v>Пенал навес./напол. Альба 350 антрацит 2 двери</v>
      </c>
      <c r="H4136">
        <f>VLOOKUP(D4136,Товары!A:I,6,0)</f>
        <v>150</v>
      </c>
      <c r="I4136" t="str">
        <f>VLOOKUP(C4136,Магазины!A:C,3,0)</f>
        <v>Оренбург</v>
      </c>
      <c r="J4136">
        <f>VLOOKUP(D4136,Товары!A:I,4,0)</f>
        <v>11655</v>
      </c>
      <c r="K4136">
        <f t="shared" si="64"/>
        <v>23310</v>
      </c>
    </row>
    <row r="4137" spans="1:11" hidden="1" x14ac:dyDescent="0.25">
      <c r="A4137">
        <v>4136</v>
      </c>
      <c r="B4137" s="1">
        <v>45751</v>
      </c>
      <c r="C4137" t="s">
        <v>14</v>
      </c>
      <c r="D4137" t="s">
        <v>53</v>
      </c>
      <c r="E4137" t="s">
        <v>13</v>
      </c>
      <c r="F4137">
        <v>3</v>
      </c>
      <c r="G4137" t="str">
        <f>VLOOKUP(D4137,Товары!A:I,3,0)</f>
        <v>Тумба с раковиной  напол. Кристалл 600 шато азур 2 ящика с умыв. Океан</v>
      </c>
      <c r="H4137">
        <f>VLOOKUP(D4137,Товары!A:I,6,0)</f>
        <v>85</v>
      </c>
      <c r="I4137" t="str">
        <f>VLOOKUP(C4137,Магазины!A:C,3,0)</f>
        <v>Оренбург</v>
      </c>
      <c r="J4137">
        <f>VLOOKUP(D4137,Товары!A:I,4,0)</f>
        <v>27600</v>
      </c>
      <c r="K4137">
        <f t="shared" si="64"/>
        <v>82800</v>
      </c>
    </row>
    <row r="4138" spans="1:11" hidden="1" x14ac:dyDescent="0.25">
      <c r="A4138">
        <v>4137</v>
      </c>
      <c r="B4138" s="1">
        <v>45750</v>
      </c>
      <c r="C4138" t="s">
        <v>92</v>
      </c>
      <c r="D4138" t="s">
        <v>44</v>
      </c>
      <c r="E4138" t="s">
        <v>13</v>
      </c>
      <c r="F4138">
        <v>2</v>
      </c>
      <c r="G4138" t="str">
        <f>VLOOKUP(D4138,Товары!A:I,3,0)</f>
        <v>Тумба с раковиной  навес. Кристалл 800 шато азур 2 ящика с умыв. Комфорт</v>
      </c>
      <c r="H4138">
        <f>VLOOKUP(D4138,Товары!A:I,6,0)</f>
        <v>55</v>
      </c>
      <c r="I4138" t="str">
        <f>VLOOKUP(C4138,Магазины!A:C,3,0)</f>
        <v>Кемерово</v>
      </c>
      <c r="J4138">
        <f>VLOOKUP(D4138,Товары!A:I,4,0)</f>
        <v>25080</v>
      </c>
      <c r="K4138">
        <f t="shared" si="64"/>
        <v>50160</v>
      </c>
    </row>
    <row r="4139" spans="1:11" hidden="1" x14ac:dyDescent="0.25">
      <c r="A4139">
        <v>4138</v>
      </c>
      <c r="B4139" s="1">
        <v>45753</v>
      </c>
      <c r="C4139" t="s">
        <v>18</v>
      </c>
      <c r="D4139" t="s">
        <v>79</v>
      </c>
      <c r="E4139" t="s">
        <v>8</v>
      </c>
      <c r="F4139">
        <v>3</v>
      </c>
      <c r="G4139" t="str">
        <f>VLOOKUP(D4139,Товары!A:I,3,0)</f>
        <v>Зеркальный шкаф Альба 70 со светильником правый цвет мята</v>
      </c>
      <c r="H4139">
        <f>VLOOKUP(D4139,Товары!A:I,6,0)</f>
        <v>75</v>
      </c>
      <c r="I4139" t="str">
        <f>VLOOKUP(C4139,Магазины!A:C,3,0)</f>
        <v>Набережные Челны</v>
      </c>
      <c r="J4139">
        <f>VLOOKUP(D4139,Товары!A:I,4,0)</f>
        <v>9615</v>
      </c>
      <c r="K4139">
        <f t="shared" si="64"/>
        <v>28845</v>
      </c>
    </row>
    <row r="4140" spans="1:11" hidden="1" x14ac:dyDescent="0.25">
      <c r="A4140">
        <v>4139</v>
      </c>
      <c r="B4140" s="1">
        <v>45749</v>
      </c>
      <c r="C4140" t="s">
        <v>26</v>
      </c>
      <c r="D4140" t="s">
        <v>119</v>
      </c>
      <c r="E4140" t="s">
        <v>8</v>
      </c>
      <c r="F4140">
        <v>1</v>
      </c>
      <c r="G4140" t="str">
        <f>VLOOKUP(D4140,Товары!A:I,3,0)</f>
        <v>Пенал навес./напол. Рица 350 cерый/керамика 2 двери</v>
      </c>
      <c r="H4140">
        <f>VLOOKUP(D4140,Товары!A:I,6,0)</f>
        <v>160</v>
      </c>
      <c r="I4140" t="str">
        <f>VLOOKUP(C4140,Магазины!A:C,3,0)</f>
        <v>Оренбург</v>
      </c>
      <c r="J4140">
        <f>VLOOKUP(D4140,Товары!A:I,4,0)</f>
        <v>11250</v>
      </c>
      <c r="K4140">
        <f t="shared" si="64"/>
        <v>11250</v>
      </c>
    </row>
    <row r="4141" spans="1:11" hidden="1" x14ac:dyDescent="0.25">
      <c r="A4141">
        <v>4140</v>
      </c>
      <c r="B4141" s="1">
        <v>45757</v>
      </c>
      <c r="C4141" t="s">
        <v>14</v>
      </c>
      <c r="D4141" t="s">
        <v>45</v>
      </c>
      <c r="E4141" t="s">
        <v>13</v>
      </c>
      <c r="F4141">
        <v>3</v>
      </c>
      <c r="G4141" t="str">
        <f>VLOOKUP(D4141,Товары!A:I,3,0)</f>
        <v>Зеркальный шкаф Рица 80 со светильником правый цвет cерый/керамика</v>
      </c>
      <c r="H4141">
        <f>VLOOKUP(D4141,Товары!A:I,6,0)</f>
        <v>75</v>
      </c>
      <c r="I4141" t="str">
        <f>VLOOKUP(C4141,Магазины!A:C,3,0)</f>
        <v>Оренбург</v>
      </c>
      <c r="J4141">
        <f>VLOOKUP(D4141,Товары!A:I,4,0)</f>
        <v>9930</v>
      </c>
      <c r="K4141">
        <f t="shared" si="64"/>
        <v>29790</v>
      </c>
    </row>
    <row r="4142" spans="1:11" hidden="1" x14ac:dyDescent="0.25">
      <c r="A4142">
        <v>4141</v>
      </c>
      <c r="B4142" s="1">
        <v>45751</v>
      </c>
      <c r="C4142" t="s">
        <v>111</v>
      </c>
      <c r="D4142" t="s">
        <v>102</v>
      </c>
      <c r="E4142" t="s">
        <v>13</v>
      </c>
      <c r="F4142">
        <v>2</v>
      </c>
      <c r="G4142" t="str">
        <f>VLOOKUP(D4142,Товары!A:I,3,0)</f>
        <v>Тумба с раковиной  напол. Леон Риф 1000 солярис/белый риф 2 ящика с умыв. Слим</v>
      </c>
      <c r="H4142">
        <f>VLOOKUP(D4142,Товары!A:I,6,0)</f>
        <v>85</v>
      </c>
      <c r="I4142" t="str">
        <f>VLOOKUP(C4142,Магазины!A:C,3,0)</f>
        <v>Набережные Челны</v>
      </c>
      <c r="J4142">
        <f>VLOOKUP(D4142,Товары!A:I,4,0)</f>
        <v>32085</v>
      </c>
      <c r="K4142">
        <f t="shared" si="64"/>
        <v>64170</v>
      </c>
    </row>
    <row r="4143" spans="1:11" hidden="1" x14ac:dyDescent="0.25">
      <c r="A4143">
        <v>4142</v>
      </c>
      <c r="B4143" s="1">
        <v>45754</v>
      </c>
      <c r="C4143" t="s">
        <v>28</v>
      </c>
      <c r="D4143" t="s">
        <v>39</v>
      </c>
      <c r="E4143" t="s">
        <v>13</v>
      </c>
      <c r="F4143">
        <v>1</v>
      </c>
      <c r="G4143" t="str">
        <f>VLOOKUP(D4143,Товары!A:I,3,0)</f>
        <v>Тумба с раковиной  напол. Альба 700 мята 2 ящика с умыв. Слим</v>
      </c>
      <c r="H4143">
        <f>VLOOKUP(D4143,Товары!A:I,6,0)</f>
        <v>85</v>
      </c>
      <c r="I4143" t="str">
        <f>VLOOKUP(C4143,Магазины!A:C,3,0)</f>
        <v>Набережные Челны</v>
      </c>
      <c r="J4143">
        <f>VLOOKUP(D4143,Товары!A:I,4,0)</f>
        <v>28695</v>
      </c>
      <c r="K4143">
        <f t="shared" si="64"/>
        <v>28695</v>
      </c>
    </row>
    <row r="4144" spans="1:11" hidden="1" x14ac:dyDescent="0.25">
      <c r="A4144">
        <v>4143</v>
      </c>
      <c r="B4144" s="1">
        <v>45749</v>
      </c>
      <c r="C4144" t="s">
        <v>16</v>
      </c>
      <c r="D4144" t="s">
        <v>44</v>
      </c>
      <c r="E4144" t="s">
        <v>8</v>
      </c>
      <c r="F4144">
        <v>1</v>
      </c>
      <c r="G4144" t="str">
        <f>VLOOKUP(D4144,Товары!A:I,3,0)</f>
        <v>Тумба с раковиной  навес. Кристалл 800 шато азур 2 ящика с умыв. Комфорт</v>
      </c>
      <c r="H4144">
        <f>VLOOKUP(D4144,Товары!A:I,6,0)</f>
        <v>55</v>
      </c>
      <c r="I4144" t="str">
        <f>VLOOKUP(C4144,Магазины!A:C,3,0)</f>
        <v>Оренбург</v>
      </c>
      <c r="J4144">
        <f>VLOOKUP(D4144,Товары!A:I,4,0)</f>
        <v>25080</v>
      </c>
      <c r="K4144">
        <f t="shared" si="64"/>
        <v>25080</v>
      </c>
    </row>
    <row r="4145" spans="1:11" hidden="1" x14ac:dyDescent="0.25">
      <c r="A4145">
        <v>4144</v>
      </c>
      <c r="B4145" s="1">
        <v>45753</v>
      </c>
      <c r="C4145" t="s">
        <v>103</v>
      </c>
      <c r="D4145" t="s">
        <v>68</v>
      </c>
      <c r="E4145" t="s">
        <v>8</v>
      </c>
      <c r="F4145">
        <v>3</v>
      </c>
      <c r="G4145" t="str">
        <f>VLOOKUP(D4145,Товары!A:I,3,0)</f>
        <v>Тумба с раковиной  навес. Альба 600 антрацит 1 ящик с умыв. Океан</v>
      </c>
      <c r="H4145">
        <f>VLOOKUP(D4145,Товары!A:I,6,0)</f>
        <v>85</v>
      </c>
      <c r="I4145" t="str">
        <f>VLOOKUP(C4145,Магазины!A:C,3,0)</f>
        <v>Ставрополь</v>
      </c>
      <c r="J4145">
        <f>VLOOKUP(D4145,Товары!A:I,4,0)</f>
        <v>17625</v>
      </c>
      <c r="K4145">
        <f t="shared" si="64"/>
        <v>52875</v>
      </c>
    </row>
    <row r="4146" spans="1:11" hidden="1" x14ac:dyDescent="0.25">
      <c r="A4146">
        <v>4145</v>
      </c>
      <c r="B4146" s="1">
        <v>45749</v>
      </c>
      <c r="C4146" t="s">
        <v>20</v>
      </c>
      <c r="D4146" t="s">
        <v>80</v>
      </c>
      <c r="E4146" t="s">
        <v>13</v>
      </c>
      <c r="F4146">
        <v>3</v>
      </c>
      <c r="G4146" t="str">
        <f>VLOOKUP(D4146,Товары!A:I,3,0)</f>
        <v>Тумба с раковиной  навес. Сохо 600 белый 2 ящика с умыв. Океан</v>
      </c>
      <c r="H4146">
        <f>VLOOKUP(D4146,Товары!A:I,6,0)</f>
        <v>55</v>
      </c>
      <c r="I4146" t="str">
        <f>VLOOKUP(C4146,Магазины!A:C,3,0)</f>
        <v>Оренбург</v>
      </c>
      <c r="J4146">
        <f>VLOOKUP(D4146,Товары!A:I,4,0)</f>
        <v>13950</v>
      </c>
      <c r="K4146">
        <f t="shared" si="64"/>
        <v>41850</v>
      </c>
    </row>
    <row r="4147" spans="1:11" hidden="1" x14ac:dyDescent="0.25">
      <c r="A4147">
        <v>4146</v>
      </c>
      <c r="B4147" s="1">
        <v>45749</v>
      </c>
      <c r="C4147" t="s">
        <v>18</v>
      </c>
      <c r="D4147" t="s">
        <v>66</v>
      </c>
      <c r="E4147" t="s">
        <v>8</v>
      </c>
      <c r="F4147">
        <v>2</v>
      </c>
      <c r="G4147" t="str">
        <f>VLOOKUP(D4147,Товары!A:I,3,0)</f>
        <v>Тумба с раковиной  навес. Альба 800 мята 2 ящика с умыв. Слим</v>
      </c>
      <c r="H4147">
        <f>VLOOKUP(D4147,Товары!A:I,6,0)</f>
        <v>50</v>
      </c>
      <c r="I4147" t="str">
        <f>VLOOKUP(C4147,Магазины!A:C,3,0)</f>
        <v>Набережные Челны</v>
      </c>
      <c r="J4147">
        <f>VLOOKUP(D4147,Товары!A:I,4,0)</f>
        <v>26070</v>
      </c>
      <c r="K4147">
        <f t="shared" si="64"/>
        <v>52140</v>
      </c>
    </row>
    <row r="4148" spans="1:11" hidden="1" x14ac:dyDescent="0.25">
      <c r="A4148">
        <v>4147</v>
      </c>
      <c r="B4148" s="1">
        <v>45753</v>
      </c>
      <c r="C4148" t="s">
        <v>22</v>
      </c>
      <c r="D4148" t="s">
        <v>90</v>
      </c>
      <c r="E4148" t="s">
        <v>8</v>
      </c>
      <c r="F4148">
        <v>3</v>
      </c>
      <c r="G4148" t="str">
        <f>VLOOKUP(D4148,Товары!A:I,3,0)</f>
        <v>Пенал напол. Аква 350 белый 2 двери + 2 ящика</v>
      </c>
      <c r="H4148">
        <f>VLOOKUP(D4148,Товары!A:I,6,0)</f>
        <v>190</v>
      </c>
      <c r="I4148" t="str">
        <f>VLOOKUP(C4148,Магазины!A:C,3,0)</f>
        <v>Кемерово</v>
      </c>
      <c r="J4148">
        <f>VLOOKUP(D4148,Товары!A:I,4,0)</f>
        <v>10650</v>
      </c>
      <c r="K4148">
        <f t="shared" si="64"/>
        <v>31950</v>
      </c>
    </row>
    <row r="4149" spans="1:11" hidden="1" x14ac:dyDescent="0.25">
      <c r="A4149">
        <v>4148</v>
      </c>
      <c r="B4149" s="1">
        <v>45754</v>
      </c>
      <c r="C4149" t="s">
        <v>28</v>
      </c>
      <c r="D4149" t="s">
        <v>45</v>
      </c>
      <c r="E4149" t="s">
        <v>13</v>
      </c>
      <c r="F4149">
        <v>1</v>
      </c>
      <c r="G4149" t="str">
        <f>VLOOKUP(D4149,Товары!A:I,3,0)</f>
        <v>Зеркальный шкаф Рица 80 со светильником правый цвет cерый/керамика</v>
      </c>
      <c r="H4149">
        <f>VLOOKUP(D4149,Товары!A:I,6,0)</f>
        <v>75</v>
      </c>
      <c r="I4149" t="str">
        <f>VLOOKUP(C4149,Магазины!A:C,3,0)</f>
        <v>Набережные Челны</v>
      </c>
      <c r="J4149">
        <f>VLOOKUP(D4149,Товары!A:I,4,0)</f>
        <v>9930</v>
      </c>
      <c r="K4149">
        <f t="shared" si="64"/>
        <v>9930</v>
      </c>
    </row>
    <row r="4150" spans="1:11" hidden="1" x14ac:dyDescent="0.25">
      <c r="A4150">
        <v>4149</v>
      </c>
      <c r="B4150" s="1">
        <v>45748</v>
      </c>
      <c r="C4150" t="s">
        <v>103</v>
      </c>
      <c r="D4150" t="s">
        <v>122</v>
      </c>
      <c r="E4150" t="s">
        <v>8</v>
      </c>
      <c r="F4150">
        <v>1</v>
      </c>
      <c r="G4150" t="str">
        <f>VLOOKUP(D4150,Товары!A:I,3,0)</f>
        <v>Тумба с раковиной  навес. Кристалл 600 шато азур 2 ящика с умыв. Океан</v>
      </c>
      <c r="H4150">
        <f>VLOOKUP(D4150,Товары!A:I,6,0)</f>
        <v>55</v>
      </c>
      <c r="I4150" t="str">
        <f>VLOOKUP(C4150,Магазины!A:C,3,0)</f>
        <v>Ставрополь</v>
      </c>
      <c r="J4150">
        <f>VLOOKUP(D4150,Товары!A:I,4,0)</f>
        <v>21960</v>
      </c>
      <c r="K4150">
        <f t="shared" si="64"/>
        <v>21960</v>
      </c>
    </row>
    <row r="4151" spans="1:11" hidden="1" x14ac:dyDescent="0.25">
      <c r="A4151">
        <v>4150</v>
      </c>
      <c r="B4151" s="1">
        <v>45757</v>
      </c>
      <c r="C4151" t="s">
        <v>14</v>
      </c>
      <c r="D4151" t="s">
        <v>44</v>
      </c>
      <c r="E4151" t="s">
        <v>13</v>
      </c>
      <c r="F4151">
        <v>1</v>
      </c>
      <c r="G4151" t="str">
        <f>VLOOKUP(D4151,Товары!A:I,3,0)</f>
        <v>Тумба с раковиной  навес. Кристалл 800 шато азур 2 ящика с умыв. Комфорт</v>
      </c>
      <c r="H4151">
        <f>VLOOKUP(D4151,Товары!A:I,6,0)</f>
        <v>55</v>
      </c>
      <c r="I4151" t="str">
        <f>VLOOKUP(C4151,Магазины!A:C,3,0)</f>
        <v>Оренбург</v>
      </c>
      <c r="J4151">
        <f>VLOOKUP(D4151,Товары!A:I,4,0)</f>
        <v>25080</v>
      </c>
      <c r="K4151">
        <f t="shared" si="64"/>
        <v>25080</v>
      </c>
    </row>
    <row r="4152" spans="1:11" hidden="1" x14ac:dyDescent="0.25">
      <c r="A4152">
        <v>4151</v>
      </c>
      <c r="B4152" s="1">
        <v>45749</v>
      </c>
      <c r="C4152" t="s">
        <v>16</v>
      </c>
      <c r="D4152" t="s">
        <v>86</v>
      </c>
      <c r="E4152" t="s">
        <v>13</v>
      </c>
      <c r="F4152">
        <v>3</v>
      </c>
      <c r="G4152" t="str">
        <f>VLOOKUP(D4152,Товары!A:I,3,0)</f>
        <v>Комод Аква 50 напольный 1 ящик 2 двери белый</v>
      </c>
      <c r="H4152">
        <f>VLOOKUP(D4152,Товары!A:I,6,0)</f>
        <v>90</v>
      </c>
      <c r="I4152" t="str">
        <f>VLOOKUP(C4152,Магазины!A:C,3,0)</f>
        <v>Оренбург</v>
      </c>
      <c r="J4152">
        <f>VLOOKUP(D4152,Товары!A:I,4,0)</f>
        <v>7260</v>
      </c>
      <c r="K4152">
        <f t="shared" si="64"/>
        <v>21780</v>
      </c>
    </row>
    <row r="4153" spans="1:11" hidden="1" x14ac:dyDescent="0.25">
      <c r="A4153">
        <v>4152</v>
      </c>
      <c r="B4153" s="1">
        <v>45753</v>
      </c>
      <c r="C4153" t="s">
        <v>9</v>
      </c>
      <c r="D4153" t="s">
        <v>50</v>
      </c>
      <c r="E4153" t="s">
        <v>8</v>
      </c>
      <c r="F4153">
        <v>1</v>
      </c>
      <c r="G4153" t="str">
        <f>VLOOKUP(D4153,Товары!A:I,3,0)</f>
        <v>Тумба с раковиной  напол. Леон 800 оникс 2 ящика с умыв. Слим</v>
      </c>
      <c r="H4153">
        <f>VLOOKUP(D4153,Товары!A:I,6,0)</f>
        <v>80</v>
      </c>
      <c r="I4153" t="str">
        <f>VLOOKUP(C4153,Магазины!A:C,3,0)</f>
        <v>Кемерово</v>
      </c>
      <c r="J4153">
        <f>VLOOKUP(D4153,Товары!A:I,4,0)</f>
        <v>29400</v>
      </c>
      <c r="K4153">
        <f t="shared" si="64"/>
        <v>29400</v>
      </c>
    </row>
    <row r="4154" spans="1:11" hidden="1" x14ac:dyDescent="0.25">
      <c r="A4154">
        <v>4153</v>
      </c>
      <c r="B4154" s="1">
        <v>45754</v>
      </c>
      <c r="C4154" t="s">
        <v>54</v>
      </c>
      <c r="D4154" t="s">
        <v>102</v>
      </c>
      <c r="E4154" t="s">
        <v>13</v>
      </c>
      <c r="F4154">
        <v>1</v>
      </c>
      <c r="G4154" t="str">
        <f>VLOOKUP(D4154,Товары!A:I,3,0)</f>
        <v>Тумба с раковиной  напол. Леон Риф 1000 солярис/белый риф 2 ящика с умыв. Слим</v>
      </c>
      <c r="H4154">
        <f>VLOOKUP(D4154,Товары!A:I,6,0)</f>
        <v>85</v>
      </c>
      <c r="I4154" t="str">
        <f>VLOOKUP(C4154,Магазины!A:C,3,0)</f>
        <v>Ставрополь</v>
      </c>
      <c r="J4154">
        <f>VLOOKUP(D4154,Товары!A:I,4,0)</f>
        <v>32085</v>
      </c>
      <c r="K4154">
        <f t="shared" si="64"/>
        <v>32085</v>
      </c>
    </row>
    <row r="4155" spans="1:11" hidden="1" x14ac:dyDescent="0.25">
      <c r="A4155">
        <v>4154</v>
      </c>
      <c r="B4155" s="1">
        <v>45753</v>
      </c>
      <c r="C4155" t="s">
        <v>26</v>
      </c>
      <c r="D4155" t="s">
        <v>82</v>
      </c>
      <c r="E4155" t="s">
        <v>8</v>
      </c>
      <c r="F4155">
        <v>3</v>
      </c>
      <c r="G4155" t="str">
        <f>VLOOKUP(D4155,Товары!A:I,3,0)</f>
        <v>Тумба с раковиной  навес. Леон 800 форест 2 ящика с умыв. Слим</v>
      </c>
      <c r="H4155">
        <f>VLOOKUP(D4155,Товары!A:I,6,0)</f>
        <v>60</v>
      </c>
      <c r="I4155" t="str">
        <f>VLOOKUP(C4155,Магазины!A:C,3,0)</f>
        <v>Оренбург</v>
      </c>
      <c r="J4155">
        <f>VLOOKUP(D4155,Товары!A:I,4,0)</f>
        <v>27930</v>
      </c>
      <c r="K4155">
        <f t="shared" si="64"/>
        <v>83790</v>
      </c>
    </row>
    <row r="4156" spans="1:11" hidden="1" x14ac:dyDescent="0.25">
      <c r="A4156">
        <v>4155</v>
      </c>
      <c r="B4156" s="1">
        <v>45753</v>
      </c>
      <c r="C4156" t="s">
        <v>92</v>
      </c>
      <c r="D4156" t="s">
        <v>73</v>
      </c>
      <c r="E4156" t="s">
        <v>13</v>
      </c>
      <c r="F4156">
        <v>1</v>
      </c>
      <c r="G4156" t="str">
        <f>VLOOKUP(D4156,Товары!A:I,3,0)</f>
        <v>Зеркальный шкаф Альба 70 со светильником правый цвет антрацит</v>
      </c>
      <c r="H4156">
        <f>VLOOKUP(D4156,Товары!A:I,6,0)</f>
        <v>75</v>
      </c>
      <c r="I4156" t="str">
        <f>VLOOKUP(C4156,Магазины!A:C,3,0)</f>
        <v>Кемерово</v>
      </c>
      <c r="J4156">
        <f>VLOOKUP(D4156,Товары!A:I,4,0)</f>
        <v>9615</v>
      </c>
      <c r="K4156">
        <f t="shared" si="64"/>
        <v>9615</v>
      </c>
    </row>
    <row r="4157" spans="1:11" hidden="1" x14ac:dyDescent="0.25">
      <c r="A4157">
        <v>4156</v>
      </c>
      <c r="B4157" s="1">
        <v>45753</v>
      </c>
      <c r="C4157" t="s">
        <v>54</v>
      </c>
      <c r="D4157" t="s">
        <v>82</v>
      </c>
      <c r="E4157" t="s">
        <v>8</v>
      </c>
      <c r="F4157">
        <v>1</v>
      </c>
      <c r="G4157" t="str">
        <f>VLOOKUP(D4157,Товары!A:I,3,0)</f>
        <v>Тумба с раковиной  навес. Леон 800 форест 2 ящика с умыв. Слим</v>
      </c>
      <c r="H4157">
        <f>VLOOKUP(D4157,Товары!A:I,6,0)</f>
        <v>60</v>
      </c>
      <c r="I4157" t="str">
        <f>VLOOKUP(C4157,Магазины!A:C,3,0)</f>
        <v>Ставрополь</v>
      </c>
      <c r="J4157">
        <f>VLOOKUP(D4157,Товары!A:I,4,0)</f>
        <v>27930</v>
      </c>
      <c r="K4157">
        <f t="shared" si="64"/>
        <v>27930</v>
      </c>
    </row>
    <row r="4158" spans="1:11" hidden="1" x14ac:dyDescent="0.25">
      <c r="A4158">
        <v>4157</v>
      </c>
      <c r="B4158" s="1">
        <v>45753</v>
      </c>
      <c r="C4158" t="s">
        <v>43</v>
      </c>
      <c r="D4158" t="s">
        <v>102</v>
      </c>
      <c r="E4158" t="s">
        <v>8</v>
      </c>
      <c r="F4158">
        <v>2</v>
      </c>
      <c r="G4158" t="str">
        <f>VLOOKUP(D4158,Товары!A:I,3,0)</f>
        <v>Тумба с раковиной  напол. Леон Риф 1000 солярис/белый риф 2 ящика с умыв. Слим</v>
      </c>
      <c r="H4158">
        <f>VLOOKUP(D4158,Товары!A:I,6,0)</f>
        <v>85</v>
      </c>
      <c r="I4158" t="str">
        <f>VLOOKUP(C4158,Магазины!A:C,3,0)</f>
        <v>Набережные Челны</v>
      </c>
      <c r="J4158">
        <f>VLOOKUP(D4158,Товары!A:I,4,0)</f>
        <v>32085</v>
      </c>
      <c r="K4158">
        <f t="shared" si="64"/>
        <v>64170</v>
      </c>
    </row>
    <row r="4159" spans="1:11" hidden="1" x14ac:dyDescent="0.25">
      <c r="A4159">
        <v>4158</v>
      </c>
      <c r="B4159" s="1">
        <v>45756</v>
      </c>
      <c r="C4159" t="s">
        <v>33</v>
      </c>
      <c r="D4159" t="s">
        <v>69</v>
      </c>
      <c r="E4159" t="s">
        <v>8</v>
      </c>
      <c r="F4159">
        <v>3</v>
      </c>
      <c r="G4159" t="str">
        <f>VLOOKUP(D4159,Товары!A:I,3,0)</f>
        <v>Пенал навес./напол. Альба 350 антрацит 2 двери</v>
      </c>
      <c r="H4159">
        <f>VLOOKUP(D4159,Товары!A:I,6,0)</f>
        <v>150</v>
      </c>
      <c r="I4159" t="str">
        <f>VLOOKUP(C4159,Магазины!A:C,3,0)</f>
        <v>Набережные Челны</v>
      </c>
      <c r="J4159">
        <f>VLOOKUP(D4159,Товары!A:I,4,0)</f>
        <v>11655</v>
      </c>
      <c r="K4159">
        <f t="shared" si="64"/>
        <v>34965</v>
      </c>
    </row>
    <row r="4160" spans="1:11" hidden="1" x14ac:dyDescent="0.25">
      <c r="A4160">
        <v>4159</v>
      </c>
      <c r="B4160" s="1">
        <v>45756</v>
      </c>
      <c r="C4160" t="s">
        <v>16</v>
      </c>
      <c r="D4160" t="s">
        <v>29</v>
      </c>
      <c r="E4160" t="s">
        <v>13</v>
      </c>
      <c r="F4160">
        <v>2</v>
      </c>
      <c r="G4160" t="str">
        <f>VLOOKUP(D4160,Товары!A:I,3,0)</f>
        <v>Тумба с раковиной  напол. Леон Риф 600 солярис/белый риф 2 ящика с умыв. Океан</v>
      </c>
      <c r="H4160">
        <f>VLOOKUP(D4160,Товары!A:I,6,0)</f>
        <v>80</v>
      </c>
      <c r="I4160" t="str">
        <f>VLOOKUP(C4160,Магазины!A:C,3,0)</f>
        <v>Оренбург</v>
      </c>
      <c r="J4160">
        <f>VLOOKUP(D4160,Товары!A:I,4,0)</f>
        <v>24150</v>
      </c>
      <c r="K4160">
        <f t="shared" si="64"/>
        <v>48300</v>
      </c>
    </row>
    <row r="4161" spans="1:11" hidden="1" x14ac:dyDescent="0.25">
      <c r="A4161">
        <v>4160</v>
      </c>
      <c r="B4161" s="1">
        <v>45752</v>
      </c>
      <c r="C4161" t="s">
        <v>9</v>
      </c>
      <c r="D4161" t="s">
        <v>75</v>
      </c>
      <c r="E4161" t="s">
        <v>8</v>
      </c>
      <c r="F4161">
        <v>3</v>
      </c>
      <c r="G4161" t="str">
        <f>VLOOKUP(D4161,Товары!A:I,3,0)</f>
        <v>Тумба с раковиной  напол. Альба 600 суфле 2 ящика с умыв. Океан</v>
      </c>
      <c r="H4161">
        <f>VLOOKUP(D4161,Товары!A:I,6,0)</f>
        <v>80</v>
      </c>
      <c r="I4161" t="str">
        <f>VLOOKUP(C4161,Магазины!A:C,3,0)</f>
        <v>Кемерово</v>
      </c>
      <c r="J4161">
        <f>VLOOKUP(D4161,Товары!A:I,4,0)</f>
        <v>26370</v>
      </c>
      <c r="K4161">
        <f t="shared" si="64"/>
        <v>79110</v>
      </c>
    </row>
    <row r="4162" spans="1:11" hidden="1" x14ac:dyDescent="0.25">
      <c r="A4162">
        <v>4161</v>
      </c>
      <c r="B4162" s="1">
        <v>45750</v>
      </c>
      <c r="C4162" t="s">
        <v>48</v>
      </c>
      <c r="D4162" t="s">
        <v>117</v>
      </c>
      <c r="E4162" t="s">
        <v>8</v>
      </c>
      <c r="F4162">
        <v>3</v>
      </c>
      <c r="G4162" t="str">
        <f>VLOOKUP(D4162,Товары!A:I,3,0)</f>
        <v>Тумба с раковиной  навес. Альба 700 антрацит 2 ящика с умыв. Слим</v>
      </c>
      <c r="H4162">
        <f>VLOOKUP(D4162,Товары!A:I,6,0)</f>
        <v>60</v>
      </c>
      <c r="I4162" t="str">
        <f>VLOOKUP(C4162,Магазины!A:C,3,0)</f>
        <v>Ставрополь</v>
      </c>
      <c r="J4162">
        <f>VLOOKUP(D4162,Товары!A:I,4,0)</f>
        <v>25095</v>
      </c>
      <c r="K4162">
        <f t="shared" si="64"/>
        <v>75285</v>
      </c>
    </row>
    <row r="4163" spans="1:11" hidden="1" x14ac:dyDescent="0.25">
      <c r="A4163">
        <v>4162</v>
      </c>
      <c r="B4163" s="1">
        <v>45755</v>
      </c>
      <c r="C4163" t="s">
        <v>18</v>
      </c>
      <c r="D4163" t="s">
        <v>118</v>
      </c>
      <c r="E4163" t="s">
        <v>8</v>
      </c>
      <c r="F4163">
        <v>1</v>
      </c>
      <c r="G4163" t="str">
        <f>VLOOKUP(D4163,Товары!A:I,3,0)</f>
        <v>Тумба с раковиной  напол. Сохо 800 белый 2 ящика с умыв. Слим</v>
      </c>
      <c r="H4163">
        <f>VLOOKUP(D4163,Товары!A:I,6,0)</f>
        <v>85</v>
      </c>
      <c r="I4163" t="str">
        <f>VLOOKUP(C4163,Магазины!A:C,3,0)</f>
        <v>Набережные Челны</v>
      </c>
      <c r="J4163">
        <f>VLOOKUP(D4163,Товары!A:I,4,0)</f>
        <v>19575</v>
      </c>
      <c r="K4163">
        <f t="shared" ref="K4163:K4226" si="65">J4163*F4163</f>
        <v>19575</v>
      </c>
    </row>
    <row r="4164" spans="1:11" hidden="1" x14ac:dyDescent="0.25">
      <c r="A4164">
        <v>4163</v>
      </c>
      <c r="B4164" s="1">
        <v>45751</v>
      </c>
      <c r="C4164" t="s">
        <v>26</v>
      </c>
      <c r="D4164" t="s">
        <v>123</v>
      </c>
      <c r="E4164" t="s">
        <v>13</v>
      </c>
      <c r="F4164">
        <v>1</v>
      </c>
      <c r="G4164" t="str">
        <f>VLOOKUP(D4164,Товары!A:I,3,0)</f>
        <v>Тумба с раковиной  напол. Кристалл 800 суфле 2 ящика с умыв. Слим</v>
      </c>
      <c r="H4164">
        <f>VLOOKUP(D4164,Товары!A:I,6,0)</f>
        <v>80</v>
      </c>
      <c r="I4164" t="str">
        <f>VLOOKUP(C4164,Магазины!A:C,3,0)</f>
        <v>Оренбург</v>
      </c>
      <c r="J4164">
        <f>VLOOKUP(D4164,Товары!A:I,4,0)</f>
        <v>31125</v>
      </c>
      <c r="K4164">
        <f t="shared" si="65"/>
        <v>31125</v>
      </c>
    </row>
    <row r="4165" spans="1:11" hidden="1" x14ac:dyDescent="0.25">
      <c r="A4165">
        <v>4164</v>
      </c>
      <c r="B4165" s="1">
        <v>45752</v>
      </c>
      <c r="C4165" t="s">
        <v>57</v>
      </c>
      <c r="D4165" t="s">
        <v>90</v>
      </c>
      <c r="E4165" t="s">
        <v>8</v>
      </c>
      <c r="F4165">
        <v>3</v>
      </c>
      <c r="G4165" t="str">
        <f>VLOOKUP(D4165,Товары!A:I,3,0)</f>
        <v>Пенал напол. Аква 350 белый 2 двери + 2 ящика</v>
      </c>
      <c r="H4165">
        <f>VLOOKUP(D4165,Товары!A:I,6,0)</f>
        <v>190</v>
      </c>
      <c r="I4165" t="str">
        <f>VLOOKUP(C4165,Магазины!A:C,3,0)</f>
        <v>Оренбург</v>
      </c>
      <c r="J4165">
        <f>VLOOKUP(D4165,Товары!A:I,4,0)</f>
        <v>10650</v>
      </c>
      <c r="K4165">
        <f t="shared" si="65"/>
        <v>31950</v>
      </c>
    </row>
    <row r="4166" spans="1:11" hidden="1" x14ac:dyDescent="0.25">
      <c r="A4166">
        <v>4165</v>
      </c>
      <c r="B4166" s="1">
        <v>45749</v>
      </c>
      <c r="C4166" t="s">
        <v>103</v>
      </c>
      <c r="D4166" t="s">
        <v>17</v>
      </c>
      <c r="E4166" t="s">
        <v>8</v>
      </c>
      <c r="F4166">
        <v>1</v>
      </c>
      <c r="G4166" t="str">
        <f>VLOOKUP(D4166,Товары!A:I,3,0)</f>
        <v>Тумба с раковиной  навес. Альба 800 антрацит 1 ящик с умыв. Слим</v>
      </c>
      <c r="H4166">
        <f>VLOOKUP(D4166,Товары!A:I,6,0)</f>
        <v>45</v>
      </c>
      <c r="I4166" t="str">
        <f>VLOOKUP(C4166,Магазины!A:C,3,0)</f>
        <v>Ставрополь</v>
      </c>
      <c r="J4166">
        <f>VLOOKUP(D4166,Товары!A:I,4,0)</f>
        <v>21630</v>
      </c>
      <c r="K4166">
        <f t="shared" si="65"/>
        <v>21630</v>
      </c>
    </row>
    <row r="4167" spans="1:11" hidden="1" x14ac:dyDescent="0.25">
      <c r="A4167">
        <v>4166</v>
      </c>
      <c r="B4167" s="1">
        <v>45753</v>
      </c>
      <c r="C4167" t="s">
        <v>54</v>
      </c>
      <c r="D4167" t="s">
        <v>56</v>
      </c>
      <c r="E4167" t="s">
        <v>13</v>
      </c>
      <c r="F4167">
        <v>2</v>
      </c>
      <c r="G4167" t="str">
        <f>VLOOKUP(D4167,Товары!A:I,3,0)</f>
        <v>Зеркальный шкаф Альба 80 со светильником правый цвет мята</v>
      </c>
      <c r="H4167">
        <f>VLOOKUP(D4167,Товары!A:I,6,0)</f>
        <v>75</v>
      </c>
      <c r="I4167" t="str">
        <f>VLOOKUP(C4167,Магазины!A:C,3,0)</f>
        <v>Ставрополь</v>
      </c>
      <c r="J4167">
        <f>VLOOKUP(D4167,Товары!A:I,4,0)</f>
        <v>9930</v>
      </c>
      <c r="K4167">
        <f t="shared" si="65"/>
        <v>19860</v>
      </c>
    </row>
    <row r="4168" spans="1:11" hidden="1" x14ac:dyDescent="0.25">
      <c r="A4168">
        <v>4167</v>
      </c>
      <c r="B4168" s="1">
        <v>45748</v>
      </c>
      <c r="C4168" t="s">
        <v>30</v>
      </c>
      <c r="D4168" t="s">
        <v>115</v>
      </c>
      <c r="E4168" t="s">
        <v>8</v>
      </c>
      <c r="F4168">
        <v>1</v>
      </c>
      <c r="G4168" t="str">
        <f>VLOOKUP(D4168,Товары!A:I,3,0)</f>
        <v>Тумба под стиральную машину Куба Риф 57 напольная 2 ящика под ст/маш, без умывальника /под Marshall 120 Белый</v>
      </c>
      <c r="H4168">
        <f>VLOOKUP(D4168,Товары!A:I,6,0)</f>
        <v>85</v>
      </c>
      <c r="I4168" t="str">
        <f>VLOOKUP(C4168,Магазины!A:C,3,0)</f>
        <v>Кемерово</v>
      </c>
      <c r="J4168">
        <f>VLOOKUP(D4168,Товары!A:I,4,0)</f>
        <v>10530</v>
      </c>
      <c r="K4168">
        <f t="shared" si="65"/>
        <v>10530</v>
      </c>
    </row>
    <row r="4169" spans="1:11" hidden="1" x14ac:dyDescent="0.25">
      <c r="A4169">
        <v>4168</v>
      </c>
      <c r="B4169" s="1">
        <v>45749</v>
      </c>
      <c r="C4169" t="s">
        <v>41</v>
      </c>
      <c r="D4169" t="s">
        <v>121</v>
      </c>
      <c r="E4169" t="s">
        <v>13</v>
      </c>
      <c r="F4169">
        <v>1</v>
      </c>
      <c r="G4169" t="str">
        <f>VLOOKUP(D4169,Товары!A:I,3,0)</f>
        <v>Тумба с раковиной  напол. Куба Риф 600 белый 2 двери с умыв. Como</v>
      </c>
      <c r="H4169">
        <f>VLOOKUP(D4169,Товары!A:I,6,0)</f>
        <v>85</v>
      </c>
      <c r="I4169" t="str">
        <f>VLOOKUP(C4169,Магазины!A:C,3,0)</f>
        <v>Ставрополь</v>
      </c>
      <c r="J4169">
        <f>VLOOKUP(D4169,Товары!A:I,4,0)</f>
        <v>13695</v>
      </c>
      <c r="K4169">
        <f t="shared" si="65"/>
        <v>13695</v>
      </c>
    </row>
    <row r="4170" spans="1:11" hidden="1" x14ac:dyDescent="0.25">
      <c r="A4170">
        <v>4169</v>
      </c>
      <c r="B4170" s="1">
        <v>45749</v>
      </c>
      <c r="C4170" t="s">
        <v>14</v>
      </c>
      <c r="D4170" t="s">
        <v>71</v>
      </c>
      <c r="E4170" t="s">
        <v>8</v>
      </c>
      <c r="F4170">
        <v>2</v>
      </c>
      <c r="G4170" t="str">
        <f>VLOOKUP(D4170,Товары!A:I,3,0)</f>
        <v>Тумба с раковиной  навес. Альба 600 мята 2 ящика с умыв. Океан</v>
      </c>
      <c r="H4170">
        <f>VLOOKUP(D4170,Товары!A:I,6,0)</f>
        <v>50</v>
      </c>
      <c r="I4170" t="str">
        <f>VLOOKUP(C4170,Магазины!A:C,3,0)</f>
        <v>Оренбург</v>
      </c>
      <c r="J4170">
        <f>VLOOKUP(D4170,Товары!A:I,4,0)</f>
        <v>24810</v>
      </c>
      <c r="K4170">
        <f t="shared" si="65"/>
        <v>49620</v>
      </c>
    </row>
    <row r="4171" spans="1:11" hidden="1" x14ac:dyDescent="0.25">
      <c r="A4171">
        <v>4170</v>
      </c>
      <c r="B4171" s="1">
        <v>45753</v>
      </c>
      <c r="C4171" t="s">
        <v>22</v>
      </c>
      <c r="D4171" t="s">
        <v>87</v>
      </c>
      <c r="E4171" t="s">
        <v>13</v>
      </c>
      <c r="F4171">
        <v>2</v>
      </c>
      <c r="G4171" t="str">
        <f>VLOOKUP(D4171,Товары!A:I,3,0)</f>
        <v>Тумба с раковиной  напол. Леон 700 форест 2 ящика с умыв. Слим</v>
      </c>
      <c r="H4171">
        <f>VLOOKUP(D4171,Товары!A:I,6,0)</f>
        <v>80</v>
      </c>
      <c r="I4171" t="str">
        <f>VLOOKUP(C4171,Магазины!A:C,3,0)</f>
        <v>Кемерово</v>
      </c>
      <c r="J4171">
        <f>VLOOKUP(D4171,Товары!A:I,4,0)</f>
        <v>28380</v>
      </c>
      <c r="K4171">
        <f t="shared" si="65"/>
        <v>56760</v>
      </c>
    </row>
    <row r="4172" spans="1:11" hidden="1" x14ac:dyDescent="0.25">
      <c r="A4172">
        <v>4171</v>
      </c>
      <c r="B4172" s="1">
        <v>45751</v>
      </c>
      <c r="C4172" t="s">
        <v>41</v>
      </c>
      <c r="D4172" t="s">
        <v>77</v>
      </c>
      <c r="E4172" t="s">
        <v>13</v>
      </c>
      <c r="F4172">
        <v>2</v>
      </c>
      <c r="G4172" t="str">
        <f>VLOOKUP(D4172,Товары!A:I,3,0)</f>
        <v>Тумба с раковиной  напол. Куба Риф 600 белый 2 ящика с умыв. Como</v>
      </c>
      <c r="H4172">
        <f>VLOOKUP(D4172,Товары!A:I,6,0)</f>
        <v>85</v>
      </c>
      <c r="I4172" t="str">
        <f>VLOOKUP(C4172,Магазины!A:C,3,0)</f>
        <v>Ставрополь</v>
      </c>
      <c r="J4172">
        <f>VLOOKUP(D4172,Товары!A:I,4,0)</f>
        <v>15660</v>
      </c>
      <c r="K4172">
        <f t="shared" si="65"/>
        <v>31320</v>
      </c>
    </row>
    <row r="4173" spans="1:11" hidden="1" x14ac:dyDescent="0.25">
      <c r="A4173">
        <v>4172</v>
      </c>
      <c r="B4173" s="1">
        <v>45752</v>
      </c>
      <c r="C4173" t="s">
        <v>16</v>
      </c>
      <c r="D4173" t="s">
        <v>100</v>
      </c>
      <c r="E4173" t="s">
        <v>13</v>
      </c>
      <c r="F4173">
        <v>3</v>
      </c>
      <c r="G4173" t="str">
        <f>VLOOKUP(D4173,Товары!A:I,3,0)</f>
        <v>Тумба с раковиной  навес. Альба 800 мята 1 ящик с умыв. Слим</v>
      </c>
      <c r="H4173">
        <f>VLOOKUP(D4173,Товары!A:I,6,0)</f>
        <v>45</v>
      </c>
      <c r="I4173" t="str">
        <f>VLOOKUP(C4173,Магазины!A:C,3,0)</f>
        <v>Оренбург</v>
      </c>
      <c r="J4173">
        <f>VLOOKUP(D4173,Товары!A:I,4,0)</f>
        <v>21630</v>
      </c>
      <c r="K4173">
        <f t="shared" si="65"/>
        <v>64890</v>
      </c>
    </row>
    <row r="4174" spans="1:11" hidden="1" x14ac:dyDescent="0.25">
      <c r="A4174">
        <v>4173</v>
      </c>
      <c r="B4174" s="1">
        <v>45755</v>
      </c>
      <c r="C4174" t="s">
        <v>26</v>
      </c>
      <c r="D4174" t="s">
        <v>7</v>
      </c>
      <c r="E4174" t="s">
        <v>8</v>
      </c>
      <c r="F4174">
        <v>2</v>
      </c>
      <c r="G4174" t="str">
        <f>VLOOKUP(D4174,Товары!A:I,3,0)</f>
        <v>Пенал напол. Леон Риф 400 солярис/белый риф 2 двери + 1 ящик</v>
      </c>
      <c r="H4174">
        <f>VLOOKUP(D4174,Товары!A:I,6,0)</f>
        <v>190</v>
      </c>
      <c r="I4174" t="str">
        <f>VLOOKUP(C4174,Магазины!A:C,3,0)</f>
        <v>Оренбург</v>
      </c>
      <c r="J4174">
        <f>VLOOKUP(D4174,Товары!A:I,4,0)</f>
        <v>14490</v>
      </c>
      <c r="K4174">
        <f t="shared" si="65"/>
        <v>28980</v>
      </c>
    </row>
    <row r="4175" spans="1:11" hidden="1" x14ac:dyDescent="0.25">
      <c r="A4175">
        <v>4174</v>
      </c>
      <c r="B4175" s="1">
        <v>45753</v>
      </c>
      <c r="C4175" t="s">
        <v>30</v>
      </c>
      <c r="D4175" t="s">
        <v>96</v>
      </c>
      <c r="E4175" t="s">
        <v>13</v>
      </c>
      <c r="F4175">
        <v>1</v>
      </c>
      <c r="G4175" t="str">
        <f>VLOOKUP(D4175,Товары!A:I,3,0)</f>
        <v>Тумба с раковиной  навес. Альба 600 мята 1 ящик с умыв. Океан</v>
      </c>
      <c r="H4175">
        <f>VLOOKUP(D4175,Товары!A:I,6,0)</f>
        <v>85</v>
      </c>
      <c r="I4175" t="str">
        <f>VLOOKUP(C4175,Магазины!A:C,3,0)</f>
        <v>Кемерово</v>
      </c>
      <c r="J4175">
        <f>VLOOKUP(D4175,Товары!A:I,4,0)</f>
        <v>17625</v>
      </c>
      <c r="K4175">
        <f t="shared" si="65"/>
        <v>17625</v>
      </c>
    </row>
    <row r="4176" spans="1:11" hidden="1" x14ac:dyDescent="0.25">
      <c r="A4176">
        <v>4175</v>
      </c>
      <c r="B4176" s="1">
        <v>45751</v>
      </c>
      <c r="C4176" t="s">
        <v>48</v>
      </c>
      <c r="D4176" t="s">
        <v>76</v>
      </c>
      <c r="E4176" t="s">
        <v>8</v>
      </c>
      <c r="F4176">
        <v>2</v>
      </c>
      <c r="G4176" t="str">
        <f>VLOOKUP(D4176,Товары!A:I,3,0)</f>
        <v>Тумба с раковиной  напол. Леон 600 оникс 2 ящика с умыв. Слим</v>
      </c>
      <c r="H4176">
        <f>VLOOKUP(D4176,Товары!A:I,6,0)</f>
        <v>80</v>
      </c>
      <c r="I4176" t="str">
        <f>VLOOKUP(C4176,Магазины!A:C,3,0)</f>
        <v>Ставрополь</v>
      </c>
      <c r="J4176">
        <f>VLOOKUP(D4176,Товары!A:I,4,0)</f>
        <v>25860</v>
      </c>
      <c r="K4176">
        <f t="shared" si="65"/>
        <v>51720</v>
      </c>
    </row>
    <row r="4177" spans="1:11" hidden="1" x14ac:dyDescent="0.25">
      <c r="A4177">
        <v>4176</v>
      </c>
      <c r="B4177" s="1">
        <v>45754</v>
      </c>
      <c r="C4177" t="s">
        <v>14</v>
      </c>
      <c r="D4177" t="s">
        <v>67</v>
      </c>
      <c r="E4177" t="s">
        <v>8</v>
      </c>
      <c r="F4177">
        <v>3</v>
      </c>
      <c r="G4177" t="str">
        <f>VLOOKUP(D4177,Товары!A:I,3,0)</f>
        <v>Пенал навес./напол. Альба 350 суфле 2 двери</v>
      </c>
      <c r="H4177">
        <f>VLOOKUP(D4177,Товары!A:I,6,0)</f>
        <v>150</v>
      </c>
      <c r="I4177" t="str">
        <f>VLOOKUP(C4177,Магазины!A:C,3,0)</f>
        <v>Оренбург</v>
      </c>
      <c r="J4177">
        <f>VLOOKUP(D4177,Товары!A:I,4,0)</f>
        <v>11655</v>
      </c>
      <c r="K4177">
        <f t="shared" si="65"/>
        <v>34965</v>
      </c>
    </row>
    <row r="4178" spans="1:11" hidden="1" x14ac:dyDescent="0.25">
      <c r="A4178">
        <v>4177</v>
      </c>
      <c r="B4178" s="1">
        <v>45754</v>
      </c>
      <c r="C4178" t="s">
        <v>6</v>
      </c>
      <c r="D4178" t="s">
        <v>38</v>
      </c>
      <c r="E4178" t="s">
        <v>13</v>
      </c>
      <c r="F4178">
        <v>1</v>
      </c>
      <c r="G4178" t="str">
        <f>VLOOKUP(D4178,Товары!A:I,3,0)</f>
        <v>Тумба с раковиной  навес. Куба Риф 600 белый 2 ящика с умыв. Como</v>
      </c>
      <c r="H4178">
        <f>VLOOKUP(D4178,Товары!A:I,6,0)</f>
        <v>55</v>
      </c>
      <c r="I4178" t="str">
        <f>VLOOKUP(C4178,Магазины!A:C,3,0)</f>
        <v>Оренбург</v>
      </c>
      <c r="J4178">
        <f>VLOOKUP(D4178,Товары!A:I,4,0)</f>
        <v>14265</v>
      </c>
      <c r="K4178">
        <f t="shared" si="65"/>
        <v>14265</v>
      </c>
    </row>
    <row r="4179" spans="1:11" hidden="1" x14ac:dyDescent="0.25">
      <c r="A4179">
        <v>4178</v>
      </c>
      <c r="B4179" s="1">
        <v>45750</v>
      </c>
      <c r="C4179" t="s">
        <v>43</v>
      </c>
      <c r="D4179" t="s">
        <v>25</v>
      </c>
      <c r="E4179" t="s">
        <v>13</v>
      </c>
      <c r="F4179">
        <v>2</v>
      </c>
      <c r="G4179" t="str">
        <f>VLOOKUP(D4179,Товары!A:I,3,0)</f>
        <v>Пенал напол. Леон 400 оникс 2 двери + 1 ящик</v>
      </c>
      <c r="H4179">
        <f>VLOOKUP(D4179,Товары!A:I,6,0)</f>
        <v>190</v>
      </c>
      <c r="I4179" t="str">
        <f>VLOOKUP(C4179,Магазины!A:C,3,0)</f>
        <v>Набережные Челны</v>
      </c>
      <c r="J4179">
        <f>VLOOKUP(D4179,Товары!A:I,4,0)</f>
        <v>18450</v>
      </c>
      <c r="K4179">
        <f t="shared" si="65"/>
        <v>36900</v>
      </c>
    </row>
    <row r="4180" spans="1:11" hidden="1" x14ac:dyDescent="0.25">
      <c r="A4180">
        <v>4179</v>
      </c>
      <c r="B4180" s="1">
        <v>45755</v>
      </c>
      <c r="C4180" t="s">
        <v>111</v>
      </c>
      <c r="D4180" t="s">
        <v>49</v>
      </c>
      <c r="E4180" t="s">
        <v>8</v>
      </c>
      <c r="F4180">
        <v>3</v>
      </c>
      <c r="G4180" t="str">
        <f>VLOOKUP(D4180,Товары!A:I,3,0)</f>
        <v>Тумба с раковиной  напол. Леон 700 оникс 2 ящика с умыв. Слим</v>
      </c>
      <c r="H4180">
        <f>VLOOKUP(D4180,Товары!A:I,6,0)</f>
        <v>80</v>
      </c>
      <c r="I4180" t="str">
        <f>VLOOKUP(C4180,Магазины!A:C,3,0)</f>
        <v>Набережные Челны</v>
      </c>
      <c r="J4180">
        <f>VLOOKUP(D4180,Товары!A:I,4,0)</f>
        <v>28380</v>
      </c>
      <c r="K4180">
        <f t="shared" si="65"/>
        <v>85140</v>
      </c>
    </row>
    <row r="4181" spans="1:11" hidden="1" x14ac:dyDescent="0.25">
      <c r="A4181">
        <v>4180</v>
      </c>
      <c r="B4181" s="1">
        <v>45756</v>
      </c>
      <c r="C4181" t="s">
        <v>54</v>
      </c>
      <c r="D4181" t="s">
        <v>62</v>
      </c>
      <c r="E4181" t="s">
        <v>13</v>
      </c>
      <c r="F4181">
        <v>2</v>
      </c>
      <c r="G4181" t="str">
        <f>VLOOKUP(D4181,Товары!A:I,3,0)</f>
        <v>Тумба с раковиной  напол. Альба 600 мята 2 ящика с умыв. Океан</v>
      </c>
      <c r="H4181">
        <f>VLOOKUP(D4181,Товары!A:I,6,0)</f>
        <v>80</v>
      </c>
      <c r="I4181" t="str">
        <f>VLOOKUP(C4181,Магазины!A:C,3,0)</f>
        <v>Ставрополь</v>
      </c>
      <c r="J4181">
        <f>VLOOKUP(D4181,Товары!A:I,4,0)</f>
        <v>26370</v>
      </c>
      <c r="K4181">
        <f t="shared" si="65"/>
        <v>52740</v>
      </c>
    </row>
    <row r="4182" spans="1:11" hidden="1" x14ac:dyDescent="0.25">
      <c r="A4182">
        <v>4181</v>
      </c>
      <c r="B4182" s="1">
        <v>45753</v>
      </c>
      <c r="C4182" t="s">
        <v>18</v>
      </c>
      <c r="D4182" t="s">
        <v>21</v>
      </c>
      <c r="E4182" t="s">
        <v>13</v>
      </c>
      <c r="F4182">
        <v>2</v>
      </c>
      <c r="G4182" t="str">
        <f>VLOOKUP(D4182,Товары!A:I,3,0)</f>
        <v>Зеркальный шкаф Рица 60 со светильником правый цвет cерый/керамика</v>
      </c>
      <c r="H4182">
        <f>VLOOKUP(D4182,Товары!A:I,6,0)</f>
        <v>75</v>
      </c>
      <c r="I4182" t="str">
        <f>VLOOKUP(C4182,Магазины!A:C,3,0)</f>
        <v>Набережные Челны</v>
      </c>
      <c r="J4182">
        <f>VLOOKUP(D4182,Товары!A:I,4,0)</f>
        <v>8910</v>
      </c>
      <c r="K4182">
        <f t="shared" si="65"/>
        <v>17820</v>
      </c>
    </row>
    <row r="4183" spans="1:11" hidden="1" x14ac:dyDescent="0.25">
      <c r="A4183">
        <v>4182</v>
      </c>
      <c r="B4183" s="1">
        <v>45748</v>
      </c>
      <c r="C4183" t="s">
        <v>92</v>
      </c>
      <c r="D4183" t="s">
        <v>96</v>
      </c>
      <c r="E4183" t="s">
        <v>13</v>
      </c>
      <c r="F4183">
        <v>3</v>
      </c>
      <c r="G4183" t="str">
        <f>VLOOKUP(D4183,Товары!A:I,3,0)</f>
        <v>Тумба с раковиной  навес. Альба 600 мята 1 ящик с умыв. Океан</v>
      </c>
      <c r="H4183">
        <f>VLOOKUP(D4183,Товары!A:I,6,0)</f>
        <v>85</v>
      </c>
      <c r="I4183" t="str">
        <f>VLOOKUP(C4183,Магазины!A:C,3,0)</f>
        <v>Кемерово</v>
      </c>
      <c r="J4183">
        <f>VLOOKUP(D4183,Товары!A:I,4,0)</f>
        <v>17625</v>
      </c>
      <c r="K4183">
        <f t="shared" si="65"/>
        <v>52875</v>
      </c>
    </row>
    <row r="4184" spans="1:11" hidden="1" x14ac:dyDescent="0.25">
      <c r="A4184">
        <v>4183</v>
      </c>
      <c r="B4184" s="1">
        <v>45753</v>
      </c>
      <c r="C4184" t="s">
        <v>30</v>
      </c>
      <c r="D4184" t="s">
        <v>69</v>
      </c>
      <c r="E4184" t="s">
        <v>8</v>
      </c>
      <c r="F4184">
        <v>1</v>
      </c>
      <c r="G4184" t="str">
        <f>VLOOKUP(D4184,Товары!A:I,3,0)</f>
        <v>Пенал навес./напол. Альба 350 антрацит 2 двери</v>
      </c>
      <c r="H4184">
        <f>VLOOKUP(D4184,Товары!A:I,6,0)</f>
        <v>150</v>
      </c>
      <c r="I4184" t="str">
        <f>VLOOKUP(C4184,Магазины!A:C,3,0)</f>
        <v>Кемерово</v>
      </c>
      <c r="J4184">
        <f>VLOOKUP(D4184,Товары!A:I,4,0)</f>
        <v>11655</v>
      </c>
      <c r="K4184">
        <f t="shared" si="65"/>
        <v>11655</v>
      </c>
    </row>
    <row r="4185" spans="1:11" hidden="1" x14ac:dyDescent="0.25">
      <c r="A4185">
        <v>4184</v>
      </c>
      <c r="B4185" s="1">
        <v>45755</v>
      </c>
      <c r="C4185" t="s">
        <v>43</v>
      </c>
      <c r="D4185" t="s">
        <v>77</v>
      </c>
      <c r="E4185" t="s">
        <v>13</v>
      </c>
      <c r="F4185">
        <v>1</v>
      </c>
      <c r="G4185" t="str">
        <f>VLOOKUP(D4185,Товары!A:I,3,0)</f>
        <v>Тумба с раковиной  напол. Куба Риф 600 белый 2 ящика с умыв. Como</v>
      </c>
      <c r="H4185">
        <f>VLOOKUP(D4185,Товары!A:I,6,0)</f>
        <v>85</v>
      </c>
      <c r="I4185" t="str">
        <f>VLOOKUP(C4185,Магазины!A:C,3,0)</f>
        <v>Набережные Челны</v>
      </c>
      <c r="J4185">
        <f>VLOOKUP(D4185,Товары!A:I,4,0)</f>
        <v>15660</v>
      </c>
      <c r="K4185">
        <f t="shared" si="65"/>
        <v>15660</v>
      </c>
    </row>
    <row r="4186" spans="1:11" hidden="1" x14ac:dyDescent="0.25">
      <c r="A4186">
        <v>4185</v>
      </c>
      <c r="B4186" s="1">
        <v>45754</v>
      </c>
      <c r="C4186" t="s">
        <v>18</v>
      </c>
      <c r="D4186" t="s">
        <v>109</v>
      </c>
      <c r="E4186" t="s">
        <v>8</v>
      </c>
      <c r="F4186">
        <v>3</v>
      </c>
      <c r="G4186" t="str">
        <f>VLOOKUP(D4186,Товары!A:I,3,0)</f>
        <v>Тумба с раковиной  навес. Альба 600 антрацит 2 ящика с умыв. Океан</v>
      </c>
      <c r="H4186">
        <f>VLOOKUP(D4186,Товары!A:I,6,0)</f>
        <v>50</v>
      </c>
      <c r="I4186" t="str">
        <f>VLOOKUP(C4186,Магазины!A:C,3,0)</f>
        <v>Набережные Челны</v>
      </c>
      <c r="J4186">
        <f>VLOOKUP(D4186,Товары!A:I,4,0)</f>
        <v>24810</v>
      </c>
      <c r="K4186">
        <f t="shared" si="65"/>
        <v>74430</v>
      </c>
    </row>
    <row r="4187" spans="1:11" hidden="1" x14ac:dyDescent="0.25">
      <c r="A4187">
        <v>4186</v>
      </c>
      <c r="B4187" s="1">
        <v>45748</v>
      </c>
      <c r="C4187" t="s">
        <v>111</v>
      </c>
      <c r="D4187" t="s">
        <v>59</v>
      </c>
      <c r="E4187" t="s">
        <v>8</v>
      </c>
      <c r="F4187">
        <v>3</v>
      </c>
      <c r="G4187" t="str">
        <f>VLOOKUP(D4187,Товары!A:I,3,0)</f>
        <v>Тумба с раковиной  навес. Куба Риф 600 белый 2 ящика с умыв. Океан</v>
      </c>
      <c r="H4187">
        <f>VLOOKUP(D4187,Товары!A:I,6,0)</f>
        <v>55</v>
      </c>
      <c r="I4187" t="str">
        <f>VLOOKUP(C4187,Магазины!A:C,3,0)</f>
        <v>Набережные Челны</v>
      </c>
      <c r="J4187">
        <f>VLOOKUP(D4187,Товары!A:I,4,0)</f>
        <v>15765</v>
      </c>
      <c r="K4187">
        <f t="shared" si="65"/>
        <v>47295</v>
      </c>
    </row>
    <row r="4188" spans="1:11" hidden="1" x14ac:dyDescent="0.25">
      <c r="A4188">
        <v>4187</v>
      </c>
      <c r="B4188" s="1">
        <v>45757</v>
      </c>
      <c r="C4188" t="s">
        <v>14</v>
      </c>
      <c r="D4188" t="s">
        <v>10</v>
      </c>
      <c r="E4188" t="s">
        <v>13</v>
      </c>
      <c r="F4188">
        <v>3</v>
      </c>
      <c r="G4188" t="str">
        <f>VLOOKUP(D4188,Товары!A:I,3,0)</f>
        <v>Тумба с раковиной  навес. Альба 700 антрацит 1 ящик с умыв. Слим</v>
      </c>
      <c r="H4188">
        <f>VLOOKUP(D4188,Товары!A:I,6,0)</f>
        <v>45</v>
      </c>
      <c r="I4188" t="str">
        <f>VLOOKUP(C4188,Магазины!A:C,3,0)</f>
        <v>Оренбург</v>
      </c>
      <c r="J4188">
        <f>VLOOKUP(D4188,Товары!A:I,4,0)</f>
        <v>20130</v>
      </c>
      <c r="K4188">
        <f t="shared" si="65"/>
        <v>60390</v>
      </c>
    </row>
    <row r="4189" spans="1:11" hidden="1" x14ac:dyDescent="0.25">
      <c r="A4189">
        <v>4188</v>
      </c>
      <c r="B4189" s="1">
        <v>45748</v>
      </c>
      <c r="C4189" t="s">
        <v>57</v>
      </c>
      <c r="D4189" t="s">
        <v>55</v>
      </c>
      <c r="E4189" t="s">
        <v>13</v>
      </c>
      <c r="F4189">
        <v>3</v>
      </c>
      <c r="G4189" t="str">
        <f>VLOOKUP(D4189,Товары!A:I,3,0)</f>
        <v>Тумба с раковиной  напол. Рица 600 cерый/керамика 2 ящика с умыв. Океан</v>
      </c>
      <c r="H4189">
        <f>VLOOKUP(D4189,Товары!A:I,6,0)</f>
        <v>80</v>
      </c>
      <c r="I4189" t="str">
        <f>VLOOKUP(C4189,Магазины!A:C,3,0)</f>
        <v>Оренбург</v>
      </c>
      <c r="J4189">
        <f>VLOOKUP(D4189,Товары!A:I,4,0)</f>
        <v>25560</v>
      </c>
      <c r="K4189">
        <f t="shared" si="65"/>
        <v>76680</v>
      </c>
    </row>
    <row r="4190" spans="1:11" hidden="1" x14ac:dyDescent="0.25">
      <c r="A4190">
        <v>4189</v>
      </c>
      <c r="B4190" s="1">
        <v>45752</v>
      </c>
      <c r="C4190" t="s">
        <v>14</v>
      </c>
      <c r="D4190" t="s">
        <v>80</v>
      </c>
      <c r="E4190" t="s">
        <v>13</v>
      </c>
      <c r="F4190">
        <v>3</v>
      </c>
      <c r="G4190" t="str">
        <f>VLOOKUP(D4190,Товары!A:I,3,0)</f>
        <v>Тумба с раковиной  навес. Сохо 600 белый 2 ящика с умыв. Океан</v>
      </c>
      <c r="H4190">
        <f>VLOOKUP(D4190,Товары!A:I,6,0)</f>
        <v>55</v>
      </c>
      <c r="I4190" t="str">
        <f>VLOOKUP(C4190,Магазины!A:C,3,0)</f>
        <v>Оренбург</v>
      </c>
      <c r="J4190">
        <f>VLOOKUP(D4190,Товары!A:I,4,0)</f>
        <v>13950</v>
      </c>
      <c r="K4190">
        <f t="shared" si="65"/>
        <v>41850</v>
      </c>
    </row>
    <row r="4191" spans="1:11" hidden="1" x14ac:dyDescent="0.25">
      <c r="A4191">
        <v>4190</v>
      </c>
      <c r="B4191" s="1">
        <v>45751</v>
      </c>
      <c r="C4191" t="s">
        <v>6</v>
      </c>
      <c r="D4191" t="s">
        <v>87</v>
      </c>
      <c r="E4191" t="s">
        <v>8</v>
      </c>
      <c r="F4191">
        <v>2</v>
      </c>
      <c r="G4191" t="str">
        <f>VLOOKUP(D4191,Товары!A:I,3,0)</f>
        <v>Тумба с раковиной  напол. Леон 700 форест 2 ящика с умыв. Слим</v>
      </c>
      <c r="H4191">
        <f>VLOOKUP(D4191,Товары!A:I,6,0)</f>
        <v>80</v>
      </c>
      <c r="I4191" t="str">
        <f>VLOOKUP(C4191,Магазины!A:C,3,0)</f>
        <v>Оренбург</v>
      </c>
      <c r="J4191">
        <f>VLOOKUP(D4191,Товары!A:I,4,0)</f>
        <v>28380</v>
      </c>
      <c r="K4191">
        <f t="shared" si="65"/>
        <v>56760</v>
      </c>
    </row>
    <row r="4192" spans="1:11" x14ac:dyDescent="0.25">
      <c r="A4192">
        <v>4191</v>
      </c>
      <c r="B4192" s="1">
        <v>45749</v>
      </c>
      <c r="C4192" t="s">
        <v>22</v>
      </c>
      <c r="D4192" t="s">
        <v>69</v>
      </c>
      <c r="E4192" t="s">
        <v>13</v>
      </c>
      <c r="F4192">
        <v>3</v>
      </c>
      <c r="G4192" t="str">
        <f>VLOOKUP(D4192,Товары!A:I,3,0)</f>
        <v>Пенал навес./напол. Альба 350 антрацит 2 двери</v>
      </c>
      <c r="H4192">
        <f>VLOOKUP(D4192,Товары!A:I,6,0)</f>
        <v>150</v>
      </c>
      <c r="I4192" t="str">
        <f>VLOOKUP(C4192,Магазины!A:C,3,0)</f>
        <v>Кемерово</v>
      </c>
      <c r="J4192">
        <f>VLOOKUP(D4192,Товары!A:I,4,0)</f>
        <v>11655</v>
      </c>
      <c r="K4192">
        <f t="shared" si="65"/>
        <v>34965</v>
      </c>
    </row>
    <row r="4193" spans="1:11" hidden="1" x14ac:dyDescent="0.25">
      <c r="A4193">
        <v>4192</v>
      </c>
      <c r="B4193" s="1">
        <v>45752</v>
      </c>
      <c r="C4193" t="s">
        <v>111</v>
      </c>
      <c r="D4193" t="s">
        <v>24</v>
      </c>
      <c r="E4193" t="s">
        <v>8</v>
      </c>
      <c r="F4193">
        <v>1</v>
      </c>
      <c r="G4193" t="str">
        <f>VLOOKUP(D4193,Товары!A:I,3,0)</f>
        <v>Тумба с раковиной  напол. Леон 600 форест 2 ящика с умыв. Слим</v>
      </c>
      <c r="H4193">
        <f>VLOOKUP(D4193,Товары!A:I,6,0)</f>
        <v>80</v>
      </c>
      <c r="I4193" t="str">
        <f>VLOOKUP(C4193,Магазины!A:C,3,0)</f>
        <v>Набережные Челны</v>
      </c>
      <c r="J4193">
        <f>VLOOKUP(D4193,Товары!A:I,4,0)</f>
        <v>27150</v>
      </c>
      <c r="K4193">
        <f t="shared" si="65"/>
        <v>27150</v>
      </c>
    </row>
    <row r="4194" spans="1:11" hidden="1" x14ac:dyDescent="0.25">
      <c r="A4194">
        <v>4193</v>
      </c>
      <c r="B4194" s="1">
        <v>45755</v>
      </c>
      <c r="C4194" t="s">
        <v>18</v>
      </c>
      <c r="D4194" t="s">
        <v>87</v>
      </c>
      <c r="E4194" t="s">
        <v>8</v>
      </c>
      <c r="F4194">
        <v>3</v>
      </c>
      <c r="G4194" t="str">
        <f>VLOOKUP(D4194,Товары!A:I,3,0)</f>
        <v>Тумба с раковиной  напол. Леон 700 форест 2 ящика с умыв. Слим</v>
      </c>
      <c r="H4194">
        <f>VLOOKUP(D4194,Товары!A:I,6,0)</f>
        <v>80</v>
      </c>
      <c r="I4194" t="str">
        <f>VLOOKUP(C4194,Магазины!A:C,3,0)</f>
        <v>Набережные Челны</v>
      </c>
      <c r="J4194">
        <f>VLOOKUP(D4194,Товары!A:I,4,0)</f>
        <v>28380</v>
      </c>
      <c r="K4194">
        <f t="shared" si="65"/>
        <v>85140</v>
      </c>
    </row>
    <row r="4195" spans="1:11" hidden="1" x14ac:dyDescent="0.25">
      <c r="A4195">
        <v>4194</v>
      </c>
      <c r="B4195" s="1">
        <v>45752</v>
      </c>
      <c r="C4195" t="s">
        <v>92</v>
      </c>
      <c r="D4195" t="s">
        <v>10</v>
      </c>
      <c r="E4195" t="s">
        <v>13</v>
      </c>
      <c r="F4195">
        <v>3</v>
      </c>
      <c r="G4195" t="str">
        <f>VLOOKUP(D4195,Товары!A:I,3,0)</f>
        <v>Тумба с раковиной  навес. Альба 700 антрацит 1 ящик с умыв. Слим</v>
      </c>
      <c r="H4195">
        <f>VLOOKUP(D4195,Товары!A:I,6,0)</f>
        <v>45</v>
      </c>
      <c r="I4195" t="str">
        <f>VLOOKUP(C4195,Магазины!A:C,3,0)</f>
        <v>Кемерово</v>
      </c>
      <c r="J4195">
        <f>VLOOKUP(D4195,Товары!A:I,4,0)</f>
        <v>20130</v>
      </c>
      <c r="K4195">
        <f t="shared" si="65"/>
        <v>60390</v>
      </c>
    </row>
    <row r="4196" spans="1:11" hidden="1" x14ac:dyDescent="0.25">
      <c r="A4196">
        <v>4195</v>
      </c>
      <c r="B4196" s="1">
        <v>45755</v>
      </c>
      <c r="C4196" t="s">
        <v>33</v>
      </c>
      <c r="D4196" t="s">
        <v>96</v>
      </c>
      <c r="E4196" t="s">
        <v>13</v>
      </c>
      <c r="F4196">
        <v>3</v>
      </c>
      <c r="G4196" t="str">
        <f>VLOOKUP(D4196,Товары!A:I,3,0)</f>
        <v>Тумба с раковиной  навес. Альба 600 мята 1 ящик с умыв. Океан</v>
      </c>
      <c r="H4196">
        <f>VLOOKUP(D4196,Товары!A:I,6,0)</f>
        <v>85</v>
      </c>
      <c r="I4196" t="str">
        <f>VLOOKUP(C4196,Магазины!A:C,3,0)</f>
        <v>Набережные Челны</v>
      </c>
      <c r="J4196">
        <f>VLOOKUP(D4196,Товары!A:I,4,0)</f>
        <v>17625</v>
      </c>
      <c r="K4196">
        <f t="shared" si="65"/>
        <v>52875</v>
      </c>
    </row>
    <row r="4197" spans="1:11" hidden="1" x14ac:dyDescent="0.25">
      <c r="A4197">
        <v>4196</v>
      </c>
      <c r="B4197" s="1">
        <v>45756</v>
      </c>
      <c r="C4197" t="s">
        <v>54</v>
      </c>
      <c r="D4197" t="s">
        <v>32</v>
      </c>
      <c r="E4197" t="s">
        <v>8</v>
      </c>
      <c r="F4197">
        <v>2</v>
      </c>
      <c r="G4197" t="str">
        <f>VLOOKUP(D4197,Товары!A:I,3,0)</f>
        <v>Тумба с раковиной  напол. Леон Риф 700 солярис/белый риф 2 ящика с умыв. Слим</v>
      </c>
      <c r="H4197">
        <f>VLOOKUP(D4197,Товары!A:I,6,0)</f>
        <v>85</v>
      </c>
      <c r="I4197" t="str">
        <f>VLOOKUP(C4197,Магазины!A:C,3,0)</f>
        <v>Ставрополь</v>
      </c>
      <c r="J4197">
        <f>VLOOKUP(D4197,Товары!A:I,4,0)</f>
        <v>26460</v>
      </c>
      <c r="K4197">
        <f t="shared" si="65"/>
        <v>52920</v>
      </c>
    </row>
    <row r="4198" spans="1:11" hidden="1" x14ac:dyDescent="0.25">
      <c r="A4198">
        <v>4197</v>
      </c>
      <c r="B4198" s="1">
        <v>45752</v>
      </c>
      <c r="C4198" t="s">
        <v>48</v>
      </c>
      <c r="D4198" t="s">
        <v>53</v>
      </c>
      <c r="E4198" t="s">
        <v>8</v>
      </c>
      <c r="F4198">
        <v>3</v>
      </c>
      <c r="G4198" t="str">
        <f>VLOOKUP(D4198,Товары!A:I,3,0)</f>
        <v>Тумба с раковиной  напол. Кристалл 600 шато азур 2 ящика с умыв. Океан</v>
      </c>
      <c r="H4198">
        <f>VLOOKUP(D4198,Товары!A:I,6,0)</f>
        <v>85</v>
      </c>
      <c r="I4198" t="str">
        <f>VLOOKUP(C4198,Магазины!A:C,3,0)</f>
        <v>Ставрополь</v>
      </c>
      <c r="J4198">
        <f>VLOOKUP(D4198,Товары!A:I,4,0)</f>
        <v>27600</v>
      </c>
      <c r="K4198">
        <f t="shared" si="65"/>
        <v>82800</v>
      </c>
    </row>
    <row r="4199" spans="1:11" hidden="1" x14ac:dyDescent="0.25">
      <c r="A4199">
        <v>4198</v>
      </c>
      <c r="B4199" s="1">
        <v>45755</v>
      </c>
      <c r="C4199" t="s">
        <v>28</v>
      </c>
      <c r="D4199" t="s">
        <v>129</v>
      </c>
      <c r="E4199" t="s">
        <v>13</v>
      </c>
      <c r="F4199">
        <v>1</v>
      </c>
      <c r="G4199" t="str">
        <f>VLOOKUP(D4199,Товары!A:I,3,0)</f>
        <v>Тумба с раковиной  напол. Альба 700 антрацит 2 ящика с умыв. Слим</v>
      </c>
      <c r="H4199">
        <f>VLOOKUP(D4199,Товары!A:I,6,0)</f>
        <v>85</v>
      </c>
      <c r="I4199" t="str">
        <f>VLOOKUP(C4199,Магазины!A:C,3,0)</f>
        <v>Набережные Челны</v>
      </c>
      <c r="J4199">
        <f>VLOOKUP(D4199,Товары!A:I,4,0)</f>
        <v>28695</v>
      </c>
      <c r="K4199">
        <f t="shared" si="65"/>
        <v>28695</v>
      </c>
    </row>
    <row r="4200" spans="1:11" hidden="1" x14ac:dyDescent="0.25">
      <c r="A4200">
        <v>4199</v>
      </c>
      <c r="B4200" s="1">
        <v>45751</v>
      </c>
      <c r="C4200" t="s">
        <v>43</v>
      </c>
      <c r="D4200" t="s">
        <v>89</v>
      </c>
      <c r="E4200" t="s">
        <v>13</v>
      </c>
      <c r="F4200">
        <v>1</v>
      </c>
      <c r="G4200" t="str">
        <f>VLOOKUP(D4200,Товары!A:I,3,0)</f>
        <v>Тумба с раковиной  напол. Сохо 600 белый 2 двери с умыв. Океан</v>
      </c>
      <c r="H4200">
        <f>VLOOKUP(D4200,Товары!A:I,6,0)</f>
        <v>85</v>
      </c>
      <c r="I4200" t="str">
        <f>VLOOKUP(C4200,Магазины!A:C,3,0)</f>
        <v>Набережные Челны</v>
      </c>
      <c r="J4200">
        <f>VLOOKUP(D4200,Товары!A:I,4,0)</f>
        <v>14880</v>
      </c>
      <c r="K4200">
        <f t="shared" si="65"/>
        <v>14880</v>
      </c>
    </row>
    <row r="4201" spans="1:11" hidden="1" x14ac:dyDescent="0.25">
      <c r="A4201">
        <v>4200</v>
      </c>
      <c r="B4201" s="1">
        <v>45749</v>
      </c>
      <c r="C4201" t="s">
        <v>54</v>
      </c>
      <c r="D4201" t="s">
        <v>55</v>
      </c>
      <c r="E4201" t="s">
        <v>8</v>
      </c>
      <c r="F4201">
        <v>2</v>
      </c>
      <c r="G4201" t="str">
        <f>VLOOKUP(D4201,Товары!A:I,3,0)</f>
        <v>Тумба с раковиной  напол. Рица 600 cерый/керамика 2 ящика с умыв. Океан</v>
      </c>
      <c r="H4201">
        <f>VLOOKUP(D4201,Товары!A:I,6,0)</f>
        <v>80</v>
      </c>
      <c r="I4201" t="str">
        <f>VLOOKUP(C4201,Магазины!A:C,3,0)</f>
        <v>Ставрополь</v>
      </c>
      <c r="J4201">
        <f>VLOOKUP(D4201,Товары!A:I,4,0)</f>
        <v>25560</v>
      </c>
      <c r="K4201">
        <f t="shared" si="65"/>
        <v>51120</v>
      </c>
    </row>
    <row r="4202" spans="1:11" hidden="1" x14ac:dyDescent="0.25">
      <c r="A4202">
        <v>4201</v>
      </c>
      <c r="B4202" s="1">
        <v>45749</v>
      </c>
      <c r="C4202" t="s">
        <v>18</v>
      </c>
      <c r="D4202" t="s">
        <v>51</v>
      </c>
      <c r="E4202" t="s">
        <v>13</v>
      </c>
      <c r="F4202">
        <v>1</v>
      </c>
      <c r="G4202" t="str">
        <f>VLOOKUP(D4202,Товары!A:I,3,0)</f>
        <v>Зеркальный шкаф Альба 80 со светильником правый цвет суфле</v>
      </c>
      <c r="H4202">
        <f>VLOOKUP(D4202,Товары!A:I,6,0)</f>
        <v>75</v>
      </c>
      <c r="I4202" t="str">
        <f>VLOOKUP(C4202,Магазины!A:C,3,0)</f>
        <v>Набережные Челны</v>
      </c>
      <c r="J4202">
        <f>VLOOKUP(D4202,Товары!A:I,4,0)</f>
        <v>9930</v>
      </c>
      <c r="K4202">
        <f t="shared" si="65"/>
        <v>9930</v>
      </c>
    </row>
    <row r="4203" spans="1:11" hidden="1" x14ac:dyDescent="0.25">
      <c r="A4203">
        <v>4202</v>
      </c>
      <c r="B4203" s="1">
        <v>45749</v>
      </c>
      <c r="C4203" t="s">
        <v>30</v>
      </c>
      <c r="D4203" t="s">
        <v>50</v>
      </c>
      <c r="E4203" t="s">
        <v>8</v>
      </c>
      <c r="F4203">
        <v>2</v>
      </c>
      <c r="G4203" t="str">
        <f>VLOOKUP(D4203,Товары!A:I,3,0)</f>
        <v>Тумба с раковиной  напол. Леон 800 оникс 2 ящика с умыв. Слим</v>
      </c>
      <c r="H4203">
        <f>VLOOKUP(D4203,Товары!A:I,6,0)</f>
        <v>80</v>
      </c>
      <c r="I4203" t="str">
        <f>VLOOKUP(C4203,Магазины!A:C,3,0)</f>
        <v>Кемерово</v>
      </c>
      <c r="J4203">
        <f>VLOOKUP(D4203,Товары!A:I,4,0)</f>
        <v>29400</v>
      </c>
      <c r="K4203">
        <f t="shared" si="65"/>
        <v>58800</v>
      </c>
    </row>
    <row r="4204" spans="1:11" hidden="1" x14ac:dyDescent="0.25">
      <c r="A4204">
        <v>4203</v>
      </c>
      <c r="B4204" s="1">
        <v>45757</v>
      </c>
      <c r="C4204" t="s">
        <v>43</v>
      </c>
      <c r="D4204" t="s">
        <v>76</v>
      </c>
      <c r="E4204" t="s">
        <v>13</v>
      </c>
      <c r="F4204">
        <v>1</v>
      </c>
      <c r="G4204" t="str">
        <f>VLOOKUP(D4204,Товары!A:I,3,0)</f>
        <v>Тумба с раковиной  напол. Леон 600 оникс 2 ящика с умыв. Слим</v>
      </c>
      <c r="H4204">
        <f>VLOOKUP(D4204,Товары!A:I,6,0)</f>
        <v>80</v>
      </c>
      <c r="I4204" t="str">
        <f>VLOOKUP(C4204,Магазины!A:C,3,0)</f>
        <v>Набережные Челны</v>
      </c>
      <c r="J4204">
        <f>VLOOKUP(D4204,Товары!A:I,4,0)</f>
        <v>25860</v>
      </c>
      <c r="K4204">
        <f t="shared" si="65"/>
        <v>25860</v>
      </c>
    </row>
    <row r="4205" spans="1:11" hidden="1" x14ac:dyDescent="0.25">
      <c r="A4205">
        <v>4204</v>
      </c>
      <c r="B4205" s="1">
        <v>45749</v>
      </c>
      <c r="C4205" t="s">
        <v>57</v>
      </c>
      <c r="D4205" t="s">
        <v>10</v>
      </c>
      <c r="E4205" t="s">
        <v>8</v>
      </c>
      <c r="F4205">
        <v>3</v>
      </c>
      <c r="G4205" t="str">
        <f>VLOOKUP(D4205,Товары!A:I,3,0)</f>
        <v>Тумба с раковиной  навес. Альба 700 антрацит 1 ящик с умыв. Слим</v>
      </c>
      <c r="H4205">
        <f>VLOOKUP(D4205,Товары!A:I,6,0)</f>
        <v>45</v>
      </c>
      <c r="I4205" t="str">
        <f>VLOOKUP(C4205,Магазины!A:C,3,0)</f>
        <v>Оренбург</v>
      </c>
      <c r="J4205">
        <f>VLOOKUP(D4205,Товары!A:I,4,0)</f>
        <v>20130</v>
      </c>
      <c r="K4205">
        <f t="shared" si="65"/>
        <v>60390</v>
      </c>
    </row>
    <row r="4206" spans="1:11" hidden="1" x14ac:dyDescent="0.25">
      <c r="A4206">
        <v>4205</v>
      </c>
      <c r="B4206" s="1">
        <v>45755</v>
      </c>
      <c r="C4206" t="s">
        <v>28</v>
      </c>
      <c r="D4206" t="s">
        <v>118</v>
      </c>
      <c r="E4206" t="s">
        <v>8</v>
      </c>
      <c r="F4206">
        <v>3</v>
      </c>
      <c r="G4206" t="str">
        <f>VLOOKUP(D4206,Товары!A:I,3,0)</f>
        <v>Тумба с раковиной  напол. Сохо 800 белый 2 ящика с умыв. Слим</v>
      </c>
      <c r="H4206">
        <f>VLOOKUP(D4206,Товары!A:I,6,0)</f>
        <v>85</v>
      </c>
      <c r="I4206" t="str">
        <f>VLOOKUP(C4206,Магазины!A:C,3,0)</f>
        <v>Набережные Челны</v>
      </c>
      <c r="J4206">
        <f>VLOOKUP(D4206,Товары!A:I,4,0)</f>
        <v>19575</v>
      </c>
      <c r="K4206">
        <f t="shared" si="65"/>
        <v>58725</v>
      </c>
    </row>
    <row r="4207" spans="1:11" hidden="1" x14ac:dyDescent="0.25">
      <c r="A4207">
        <v>4206</v>
      </c>
      <c r="B4207" s="1">
        <v>45748</v>
      </c>
      <c r="C4207" t="s">
        <v>30</v>
      </c>
      <c r="D4207" t="s">
        <v>127</v>
      </c>
      <c r="E4207" t="s">
        <v>13</v>
      </c>
      <c r="F4207">
        <v>1</v>
      </c>
      <c r="G4207" t="str">
        <f>VLOOKUP(D4207,Товары!A:I,3,0)</f>
        <v>Тумба с раковиной  навес. Альба 700 мята 1 ящик с умыв. Слим</v>
      </c>
      <c r="H4207">
        <f>VLOOKUP(D4207,Товары!A:I,6,0)</f>
        <v>45</v>
      </c>
      <c r="I4207" t="str">
        <f>VLOOKUP(C4207,Магазины!A:C,3,0)</f>
        <v>Кемерово</v>
      </c>
      <c r="J4207">
        <f>VLOOKUP(D4207,Товары!A:I,4,0)</f>
        <v>20130</v>
      </c>
      <c r="K4207">
        <f t="shared" si="65"/>
        <v>20130</v>
      </c>
    </row>
    <row r="4208" spans="1:11" hidden="1" x14ac:dyDescent="0.25">
      <c r="A4208">
        <v>4207</v>
      </c>
      <c r="B4208" s="1">
        <v>45751</v>
      </c>
      <c r="C4208" t="s">
        <v>111</v>
      </c>
      <c r="D4208" t="s">
        <v>23</v>
      </c>
      <c r="E4208" t="s">
        <v>8</v>
      </c>
      <c r="F4208">
        <v>3</v>
      </c>
      <c r="G4208" t="str">
        <f>VLOOKUP(D4208,Товары!A:I,3,0)</f>
        <v>Тумба с раковиной  напол. Альба 800 антрацит 2 ящика с умыв. Слим</v>
      </c>
      <c r="H4208">
        <f>VLOOKUP(D4208,Товары!A:I,6,0)</f>
        <v>80</v>
      </c>
      <c r="I4208" t="str">
        <f>VLOOKUP(C4208,Магазины!A:C,3,0)</f>
        <v>Набережные Челны</v>
      </c>
      <c r="J4208">
        <f>VLOOKUP(D4208,Товары!A:I,4,0)</f>
        <v>29340</v>
      </c>
      <c r="K4208">
        <f t="shared" si="65"/>
        <v>88020</v>
      </c>
    </row>
    <row r="4209" spans="1:11" hidden="1" x14ac:dyDescent="0.25">
      <c r="A4209">
        <v>4208</v>
      </c>
      <c r="B4209" s="1">
        <v>45749</v>
      </c>
      <c r="C4209" t="s">
        <v>41</v>
      </c>
      <c r="D4209" t="s">
        <v>47</v>
      </c>
      <c r="E4209" t="s">
        <v>13</v>
      </c>
      <c r="F4209">
        <v>1</v>
      </c>
      <c r="G4209" t="str">
        <f>VLOOKUP(D4209,Товары!A:I,3,0)</f>
        <v>Пенал напол. Кристалл 350 шато азур 2 двери</v>
      </c>
      <c r="H4209">
        <f>VLOOKUP(D4209,Товары!A:I,6,0)</f>
        <v>190</v>
      </c>
      <c r="I4209" t="str">
        <f>VLOOKUP(C4209,Магазины!A:C,3,0)</f>
        <v>Ставрополь</v>
      </c>
      <c r="J4209">
        <f>VLOOKUP(D4209,Товары!A:I,4,0)</f>
        <v>15810</v>
      </c>
      <c r="K4209">
        <f t="shared" si="65"/>
        <v>15810</v>
      </c>
    </row>
    <row r="4210" spans="1:11" hidden="1" x14ac:dyDescent="0.25">
      <c r="A4210">
        <v>4209</v>
      </c>
      <c r="B4210" s="1">
        <v>45757</v>
      </c>
      <c r="C4210" t="s">
        <v>58</v>
      </c>
      <c r="D4210" t="s">
        <v>131</v>
      </c>
      <c r="E4210" t="s">
        <v>8</v>
      </c>
      <c r="F4210">
        <v>2</v>
      </c>
      <c r="G4210" t="str">
        <f>VLOOKUP(D4210,Товары!A:I,3,0)</f>
        <v>Тумба с раковиной  напол. Леон 800 форест 2 ящика с умыв. Слим</v>
      </c>
      <c r="H4210">
        <f>VLOOKUP(D4210,Товары!A:I,6,0)</f>
        <v>80</v>
      </c>
      <c r="I4210" t="str">
        <f>VLOOKUP(C4210,Магазины!A:C,3,0)</f>
        <v>Ставрополь</v>
      </c>
      <c r="J4210">
        <f>VLOOKUP(D4210,Товары!A:I,4,0)</f>
        <v>29400</v>
      </c>
      <c r="K4210">
        <f t="shared" si="65"/>
        <v>58800</v>
      </c>
    </row>
    <row r="4211" spans="1:11" hidden="1" x14ac:dyDescent="0.25">
      <c r="A4211">
        <v>4210</v>
      </c>
      <c r="B4211" s="1">
        <v>45754</v>
      </c>
      <c r="C4211" t="s">
        <v>54</v>
      </c>
      <c r="D4211" t="s">
        <v>56</v>
      </c>
      <c r="E4211" t="s">
        <v>13</v>
      </c>
      <c r="F4211">
        <v>2</v>
      </c>
      <c r="G4211" t="str">
        <f>VLOOKUP(D4211,Товары!A:I,3,0)</f>
        <v>Зеркальный шкаф Альба 80 со светильником правый цвет мята</v>
      </c>
      <c r="H4211">
        <f>VLOOKUP(D4211,Товары!A:I,6,0)</f>
        <v>75</v>
      </c>
      <c r="I4211" t="str">
        <f>VLOOKUP(C4211,Магазины!A:C,3,0)</f>
        <v>Ставрополь</v>
      </c>
      <c r="J4211">
        <f>VLOOKUP(D4211,Товары!A:I,4,0)</f>
        <v>9930</v>
      </c>
      <c r="K4211">
        <f t="shared" si="65"/>
        <v>19860</v>
      </c>
    </row>
    <row r="4212" spans="1:11" hidden="1" x14ac:dyDescent="0.25">
      <c r="A4212">
        <v>4211</v>
      </c>
      <c r="B4212" s="1">
        <v>45749</v>
      </c>
      <c r="C4212" t="s">
        <v>35</v>
      </c>
      <c r="D4212" t="s">
        <v>87</v>
      </c>
      <c r="E4212" t="s">
        <v>8</v>
      </c>
      <c r="F4212">
        <v>1</v>
      </c>
      <c r="G4212" t="str">
        <f>VLOOKUP(D4212,Товары!A:I,3,0)</f>
        <v>Тумба с раковиной  напол. Леон 700 форест 2 ящика с умыв. Слим</v>
      </c>
      <c r="H4212">
        <f>VLOOKUP(D4212,Товары!A:I,6,0)</f>
        <v>80</v>
      </c>
      <c r="I4212" t="str">
        <f>VLOOKUP(C4212,Магазины!A:C,3,0)</f>
        <v>Набережные Челны</v>
      </c>
      <c r="J4212">
        <f>VLOOKUP(D4212,Товары!A:I,4,0)</f>
        <v>28380</v>
      </c>
      <c r="K4212">
        <f t="shared" si="65"/>
        <v>28380</v>
      </c>
    </row>
    <row r="4213" spans="1:11" hidden="1" x14ac:dyDescent="0.25">
      <c r="A4213">
        <v>4212</v>
      </c>
      <c r="B4213" s="1">
        <v>45750</v>
      </c>
      <c r="C4213" t="s">
        <v>58</v>
      </c>
      <c r="D4213" t="s">
        <v>17</v>
      </c>
      <c r="E4213" t="s">
        <v>8</v>
      </c>
      <c r="F4213">
        <v>1</v>
      </c>
      <c r="G4213" t="str">
        <f>VLOOKUP(D4213,Товары!A:I,3,0)</f>
        <v>Тумба с раковиной  навес. Альба 800 антрацит 1 ящик с умыв. Слим</v>
      </c>
      <c r="H4213">
        <f>VLOOKUP(D4213,Товары!A:I,6,0)</f>
        <v>45</v>
      </c>
      <c r="I4213" t="str">
        <f>VLOOKUP(C4213,Магазины!A:C,3,0)</f>
        <v>Ставрополь</v>
      </c>
      <c r="J4213">
        <f>VLOOKUP(D4213,Товары!A:I,4,0)</f>
        <v>21630</v>
      </c>
      <c r="K4213">
        <f t="shared" si="65"/>
        <v>21630</v>
      </c>
    </row>
    <row r="4214" spans="1:11" hidden="1" x14ac:dyDescent="0.25">
      <c r="A4214">
        <v>4213</v>
      </c>
      <c r="B4214" s="1">
        <v>45753</v>
      </c>
      <c r="C4214" t="s">
        <v>30</v>
      </c>
      <c r="D4214" t="s">
        <v>65</v>
      </c>
      <c r="E4214" t="s">
        <v>13</v>
      </c>
      <c r="F4214">
        <v>3</v>
      </c>
      <c r="G4214" t="str">
        <f>VLOOKUP(D4214,Товары!A:I,3,0)</f>
        <v>Тумба с раковиной  навес. Альба 800 суфле 2 ящика с умыв. Слим</v>
      </c>
      <c r="H4214">
        <f>VLOOKUP(D4214,Товары!A:I,6,0)</f>
        <v>50</v>
      </c>
      <c r="I4214" t="str">
        <f>VLOOKUP(C4214,Магазины!A:C,3,0)</f>
        <v>Кемерово</v>
      </c>
      <c r="J4214">
        <f>VLOOKUP(D4214,Товары!A:I,4,0)</f>
        <v>26070</v>
      </c>
      <c r="K4214">
        <f t="shared" si="65"/>
        <v>78210</v>
      </c>
    </row>
    <row r="4215" spans="1:11" hidden="1" x14ac:dyDescent="0.25">
      <c r="A4215">
        <v>4214</v>
      </c>
      <c r="B4215" s="1">
        <v>45756</v>
      </c>
      <c r="C4215" t="s">
        <v>103</v>
      </c>
      <c r="D4215" t="s">
        <v>76</v>
      </c>
      <c r="E4215" t="s">
        <v>13</v>
      </c>
      <c r="F4215">
        <v>1</v>
      </c>
      <c r="G4215" t="str">
        <f>VLOOKUP(D4215,Товары!A:I,3,0)</f>
        <v>Тумба с раковиной  напол. Леон 600 оникс 2 ящика с умыв. Слим</v>
      </c>
      <c r="H4215">
        <f>VLOOKUP(D4215,Товары!A:I,6,0)</f>
        <v>80</v>
      </c>
      <c r="I4215" t="str">
        <f>VLOOKUP(C4215,Магазины!A:C,3,0)</f>
        <v>Ставрополь</v>
      </c>
      <c r="J4215">
        <f>VLOOKUP(D4215,Товары!A:I,4,0)</f>
        <v>25860</v>
      </c>
      <c r="K4215">
        <f t="shared" si="65"/>
        <v>25860</v>
      </c>
    </row>
    <row r="4216" spans="1:11" hidden="1" x14ac:dyDescent="0.25">
      <c r="A4216">
        <v>4215</v>
      </c>
      <c r="B4216" s="1">
        <v>45754</v>
      </c>
      <c r="C4216" t="s">
        <v>6</v>
      </c>
      <c r="D4216" t="s">
        <v>37</v>
      </c>
      <c r="E4216" t="s">
        <v>13</v>
      </c>
      <c r="F4216">
        <v>3</v>
      </c>
      <c r="G4216" t="str">
        <f>VLOOKUP(D4216,Товары!A:I,3,0)</f>
        <v>Зеркальный шкаф Сохо 70 белый со светильником правый цвет Белый глянец</v>
      </c>
      <c r="H4216">
        <f>VLOOKUP(D4216,Товары!A:I,6,0)</f>
        <v>75</v>
      </c>
      <c r="I4216" t="str">
        <f>VLOOKUP(C4216,Магазины!A:C,3,0)</f>
        <v>Оренбург</v>
      </c>
      <c r="J4216">
        <f>VLOOKUP(D4216,Товары!A:I,4,0)</f>
        <v>7935</v>
      </c>
      <c r="K4216">
        <f t="shared" si="65"/>
        <v>23805</v>
      </c>
    </row>
    <row r="4217" spans="1:11" hidden="1" x14ac:dyDescent="0.25">
      <c r="A4217">
        <v>4216</v>
      </c>
      <c r="B4217" s="1">
        <v>45754</v>
      </c>
      <c r="C4217" t="s">
        <v>6</v>
      </c>
      <c r="D4217" t="s">
        <v>85</v>
      </c>
      <c r="E4217" t="s">
        <v>13</v>
      </c>
      <c r="F4217">
        <v>1</v>
      </c>
      <c r="G4217" t="str">
        <f>VLOOKUP(D4217,Товары!A:I,3,0)</f>
        <v>Пенал напол. Аква 450 белый 2 двери + 2 ящика + корзина</v>
      </c>
      <c r="H4217">
        <f>VLOOKUP(D4217,Товары!A:I,6,0)</f>
        <v>190</v>
      </c>
      <c r="I4217" t="str">
        <f>VLOOKUP(C4217,Магазины!A:C,3,0)</f>
        <v>Оренбург</v>
      </c>
      <c r="J4217">
        <f>VLOOKUP(D4217,Товары!A:I,4,0)</f>
        <v>13335</v>
      </c>
      <c r="K4217">
        <f t="shared" si="65"/>
        <v>13335</v>
      </c>
    </row>
    <row r="4218" spans="1:11" hidden="1" x14ac:dyDescent="0.25">
      <c r="A4218">
        <v>4217</v>
      </c>
      <c r="B4218" s="1">
        <v>45755</v>
      </c>
      <c r="C4218" t="s">
        <v>18</v>
      </c>
      <c r="D4218" t="s">
        <v>72</v>
      </c>
      <c r="E4218" t="s">
        <v>13</v>
      </c>
      <c r="F4218">
        <v>1</v>
      </c>
      <c r="G4218" t="str">
        <f>VLOOKUP(D4218,Товары!A:I,3,0)</f>
        <v>Тумба с раковиной  напол. Сохо 600 белый 2 ящика с умыв. Океан</v>
      </c>
      <c r="H4218">
        <f>VLOOKUP(D4218,Товары!A:I,6,0)</f>
        <v>85</v>
      </c>
      <c r="I4218" t="str">
        <f>VLOOKUP(C4218,Магазины!A:C,3,0)</f>
        <v>Набережные Челны</v>
      </c>
      <c r="J4218">
        <f>VLOOKUP(D4218,Товары!A:I,4,0)</f>
        <v>16140</v>
      </c>
      <c r="K4218">
        <f t="shared" si="65"/>
        <v>16140</v>
      </c>
    </row>
    <row r="4219" spans="1:11" hidden="1" x14ac:dyDescent="0.25">
      <c r="A4219">
        <v>4218</v>
      </c>
      <c r="B4219" s="1">
        <v>45748</v>
      </c>
      <c r="C4219" t="s">
        <v>54</v>
      </c>
      <c r="D4219" t="s">
        <v>50</v>
      </c>
      <c r="E4219" t="s">
        <v>13</v>
      </c>
      <c r="F4219">
        <v>2</v>
      </c>
      <c r="G4219" t="str">
        <f>VLOOKUP(D4219,Товары!A:I,3,0)</f>
        <v>Тумба с раковиной  напол. Леон 800 оникс 2 ящика с умыв. Слим</v>
      </c>
      <c r="H4219">
        <f>VLOOKUP(D4219,Товары!A:I,6,0)</f>
        <v>80</v>
      </c>
      <c r="I4219" t="str">
        <f>VLOOKUP(C4219,Магазины!A:C,3,0)</f>
        <v>Ставрополь</v>
      </c>
      <c r="J4219">
        <f>VLOOKUP(D4219,Товары!A:I,4,0)</f>
        <v>29400</v>
      </c>
      <c r="K4219">
        <f t="shared" si="65"/>
        <v>58800</v>
      </c>
    </row>
    <row r="4220" spans="1:11" hidden="1" x14ac:dyDescent="0.25">
      <c r="A4220">
        <v>4219</v>
      </c>
      <c r="B4220" s="1">
        <v>45753</v>
      </c>
      <c r="C4220" t="s">
        <v>57</v>
      </c>
      <c r="D4220" t="s">
        <v>66</v>
      </c>
      <c r="E4220" t="s">
        <v>13</v>
      </c>
      <c r="F4220">
        <v>3</v>
      </c>
      <c r="G4220" t="str">
        <f>VLOOKUP(D4220,Товары!A:I,3,0)</f>
        <v>Тумба с раковиной  навес. Альба 800 мята 2 ящика с умыв. Слим</v>
      </c>
      <c r="H4220">
        <f>VLOOKUP(D4220,Товары!A:I,6,0)</f>
        <v>50</v>
      </c>
      <c r="I4220" t="str">
        <f>VLOOKUP(C4220,Магазины!A:C,3,0)</f>
        <v>Оренбург</v>
      </c>
      <c r="J4220">
        <f>VLOOKUP(D4220,Товары!A:I,4,0)</f>
        <v>26070</v>
      </c>
      <c r="K4220">
        <f t="shared" si="65"/>
        <v>78210</v>
      </c>
    </row>
    <row r="4221" spans="1:11" hidden="1" x14ac:dyDescent="0.25">
      <c r="A4221">
        <v>4220</v>
      </c>
      <c r="B4221" s="1">
        <v>45754</v>
      </c>
      <c r="C4221" t="s">
        <v>18</v>
      </c>
      <c r="D4221" t="s">
        <v>53</v>
      </c>
      <c r="E4221" t="s">
        <v>8</v>
      </c>
      <c r="F4221">
        <v>3</v>
      </c>
      <c r="G4221" t="str">
        <f>VLOOKUP(D4221,Товары!A:I,3,0)</f>
        <v>Тумба с раковиной  напол. Кристалл 600 шато азур 2 ящика с умыв. Океан</v>
      </c>
      <c r="H4221">
        <f>VLOOKUP(D4221,Товары!A:I,6,0)</f>
        <v>85</v>
      </c>
      <c r="I4221" t="str">
        <f>VLOOKUP(C4221,Магазины!A:C,3,0)</f>
        <v>Набережные Челны</v>
      </c>
      <c r="J4221">
        <f>VLOOKUP(D4221,Товары!A:I,4,0)</f>
        <v>27600</v>
      </c>
      <c r="K4221">
        <f t="shared" si="65"/>
        <v>82800</v>
      </c>
    </row>
    <row r="4222" spans="1:11" hidden="1" x14ac:dyDescent="0.25">
      <c r="A4222">
        <v>4221</v>
      </c>
      <c r="B4222" s="1">
        <v>45752</v>
      </c>
      <c r="C4222" t="s">
        <v>92</v>
      </c>
      <c r="D4222" t="s">
        <v>55</v>
      </c>
      <c r="E4222" t="s">
        <v>13</v>
      </c>
      <c r="F4222">
        <v>3</v>
      </c>
      <c r="G4222" t="str">
        <f>VLOOKUP(D4222,Товары!A:I,3,0)</f>
        <v>Тумба с раковиной  напол. Рица 600 cерый/керамика 2 ящика с умыв. Океан</v>
      </c>
      <c r="H4222">
        <f>VLOOKUP(D4222,Товары!A:I,6,0)</f>
        <v>80</v>
      </c>
      <c r="I4222" t="str">
        <f>VLOOKUP(C4222,Магазины!A:C,3,0)</f>
        <v>Кемерово</v>
      </c>
      <c r="J4222">
        <f>VLOOKUP(D4222,Товары!A:I,4,0)</f>
        <v>25560</v>
      </c>
      <c r="K4222">
        <f t="shared" si="65"/>
        <v>76680</v>
      </c>
    </row>
    <row r="4223" spans="1:11" hidden="1" x14ac:dyDescent="0.25">
      <c r="A4223">
        <v>4222</v>
      </c>
      <c r="B4223" s="1">
        <v>45754</v>
      </c>
      <c r="C4223" t="s">
        <v>18</v>
      </c>
      <c r="D4223" t="s">
        <v>76</v>
      </c>
      <c r="E4223" t="s">
        <v>13</v>
      </c>
      <c r="F4223">
        <v>3</v>
      </c>
      <c r="G4223" t="str">
        <f>VLOOKUP(D4223,Товары!A:I,3,0)</f>
        <v>Тумба с раковиной  напол. Леон 600 оникс 2 ящика с умыв. Слим</v>
      </c>
      <c r="H4223">
        <f>VLOOKUP(D4223,Товары!A:I,6,0)</f>
        <v>80</v>
      </c>
      <c r="I4223" t="str">
        <f>VLOOKUP(C4223,Магазины!A:C,3,0)</f>
        <v>Набережные Челны</v>
      </c>
      <c r="J4223">
        <f>VLOOKUP(D4223,Товары!A:I,4,0)</f>
        <v>25860</v>
      </c>
      <c r="K4223">
        <f t="shared" si="65"/>
        <v>77580</v>
      </c>
    </row>
    <row r="4224" spans="1:11" hidden="1" x14ac:dyDescent="0.25">
      <c r="A4224">
        <v>4223</v>
      </c>
      <c r="B4224" s="1">
        <v>45757</v>
      </c>
      <c r="C4224" t="s">
        <v>103</v>
      </c>
      <c r="D4224" t="s">
        <v>114</v>
      </c>
      <c r="E4224" t="s">
        <v>13</v>
      </c>
      <c r="F4224">
        <v>3</v>
      </c>
      <c r="G4224" t="str">
        <f>VLOOKUP(D4224,Товары!A:I,3,0)</f>
        <v>Тумба с раковиной  навес. Альба 700 мята 2 ящика с умыв. Слим</v>
      </c>
      <c r="H4224">
        <f>VLOOKUP(D4224,Товары!A:I,6,0)</f>
        <v>60</v>
      </c>
      <c r="I4224" t="str">
        <f>VLOOKUP(C4224,Магазины!A:C,3,0)</f>
        <v>Ставрополь</v>
      </c>
      <c r="J4224">
        <f>VLOOKUP(D4224,Товары!A:I,4,0)</f>
        <v>25095</v>
      </c>
      <c r="K4224">
        <f t="shared" si="65"/>
        <v>75285</v>
      </c>
    </row>
    <row r="4225" spans="1:11" hidden="1" x14ac:dyDescent="0.25">
      <c r="A4225">
        <v>4224</v>
      </c>
      <c r="B4225" s="1">
        <v>45755</v>
      </c>
      <c r="C4225" t="s">
        <v>111</v>
      </c>
      <c r="D4225" t="s">
        <v>126</v>
      </c>
      <c r="E4225" t="s">
        <v>8</v>
      </c>
      <c r="F4225">
        <v>1</v>
      </c>
      <c r="G4225" t="str">
        <f>VLOOKUP(D4225,Товары!A:I,3,0)</f>
        <v>Тумба с раковиной  напол. Кристалл 800 шато азур 2 ящика с умыв. Комфорт</v>
      </c>
      <c r="H4225">
        <f>VLOOKUP(D4225,Товары!A:I,6,0)</f>
        <v>85</v>
      </c>
      <c r="I4225" t="str">
        <f>VLOOKUP(C4225,Магазины!A:C,3,0)</f>
        <v>Набережные Челны</v>
      </c>
      <c r="J4225">
        <f>VLOOKUP(D4225,Товары!A:I,4,0)</f>
        <v>31125</v>
      </c>
      <c r="K4225">
        <f t="shared" si="65"/>
        <v>31125</v>
      </c>
    </row>
    <row r="4226" spans="1:11" hidden="1" x14ac:dyDescent="0.25">
      <c r="A4226">
        <v>4225</v>
      </c>
      <c r="B4226" s="1">
        <v>45748</v>
      </c>
      <c r="C4226" t="s">
        <v>48</v>
      </c>
      <c r="D4226" t="s">
        <v>56</v>
      </c>
      <c r="E4226" t="s">
        <v>8</v>
      </c>
      <c r="F4226">
        <v>3</v>
      </c>
      <c r="G4226" t="str">
        <f>VLOOKUP(D4226,Товары!A:I,3,0)</f>
        <v>Зеркальный шкаф Альба 80 со светильником правый цвет мята</v>
      </c>
      <c r="H4226">
        <f>VLOOKUP(D4226,Товары!A:I,6,0)</f>
        <v>75</v>
      </c>
      <c r="I4226" t="str">
        <f>VLOOKUP(C4226,Магазины!A:C,3,0)</f>
        <v>Ставрополь</v>
      </c>
      <c r="J4226">
        <f>VLOOKUP(D4226,Товары!A:I,4,0)</f>
        <v>9930</v>
      </c>
      <c r="K4226">
        <f t="shared" si="65"/>
        <v>29790</v>
      </c>
    </row>
    <row r="4227" spans="1:11" hidden="1" x14ac:dyDescent="0.25">
      <c r="A4227">
        <v>4226</v>
      </c>
      <c r="B4227" s="1">
        <v>45755</v>
      </c>
      <c r="C4227" t="s">
        <v>58</v>
      </c>
      <c r="D4227" t="s">
        <v>83</v>
      </c>
      <c r="E4227" t="s">
        <v>13</v>
      </c>
      <c r="F4227">
        <v>3</v>
      </c>
      <c r="G4227" t="str">
        <f>VLOOKUP(D4227,Товары!A:I,3,0)</f>
        <v>Зеркальный шкаф Альба 60 со светильником правый цвет суфле</v>
      </c>
      <c r="H4227">
        <f>VLOOKUP(D4227,Товары!A:I,6,0)</f>
        <v>75</v>
      </c>
      <c r="I4227" t="str">
        <f>VLOOKUP(C4227,Магазины!A:C,3,0)</f>
        <v>Ставрополь</v>
      </c>
      <c r="J4227">
        <f>VLOOKUP(D4227,Товары!A:I,4,0)</f>
        <v>8910</v>
      </c>
      <c r="K4227">
        <f t="shared" ref="K4227:K4290" si="66">J4227*F4227</f>
        <v>26730</v>
      </c>
    </row>
    <row r="4228" spans="1:11" hidden="1" x14ac:dyDescent="0.25">
      <c r="A4228">
        <v>4227</v>
      </c>
      <c r="B4228" s="1">
        <v>45756</v>
      </c>
      <c r="C4228" t="s">
        <v>41</v>
      </c>
      <c r="D4228" t="s">
        <v>29</v>
      </c>
      <c r="E4228" t="s">
        <v>13</v>
      </c>
      <c r="F4228">
        <v>2</v>
      </c>
      <c r="G4228" t="str">
        <f>VLOOKUP(D4228,Товары!A:I,3,0)</f>
        <v>Тумба с раковиной  напол. Леон Риф 600 солярис/белый риф 2 ящика с умыв. Океан</v>
      </c>
      <c r="H4228">
        <f>VLOOKUP(D4228,Товары!A:I,6,0)</f>
        <v>80</v>
      </c>
      <c r="I4228" t="str">
        <f>VLOOKUP(C4228,Магазины!A:C,3,0)</f>
        <v>Ставрополь</v>
      </c>
      <c r="J4228">
        <f>VLOOKUP(D4228,Товары!A:I,4,0)</f>
        <v>24150</v>
      </c>
      <c r="K4228">
        <f t="shared" si="66"/>
        <v>48300</v>
      </c>
    </row>
    <row r="4229" spans="1:11" hidden="1" x14ac:dyDescent="0.25">
      <c r="A4229">
        <v>4228</v>
      </c>
      <c r="B4229" s="1">
        <v>45750</v>
      </c>
      <c r="C4229" t="s">
        <v>18</v>
      </c>
      <c r="D4229" t="s">
        <v>95</v>
      </c>
      <c r="E4229" t="s">
        <v>13</v>
      </c>
      <c r="F4229">
        <v>1</v>
      </c>
      <c r="G4229" t="str">
        <f>VLOOKUP(D4229,Товары!A:I,3,0)</f>
        <v>Тумба с раковиной  напол. Рица 600 антрацит 2 ящика с умыв. Океан</v>
      </c>
      <c r="H4229">
        <f>VLOOKUP(D4229,Товары!A:I,6,0)</f>
        <v>80</v>
      </c>
      <c r="I4229" t="str">
        <f>VLOOKUP(C4229,Магазины!A:C,3,0)</f>
        <v>Набережные Челны</v>
      </c>
      <c r="J4229">
        <f>VLOOKUP(D4229,Товары!A:I,4,0)</f>
        <v>25560</v>
      </c>
      <c r="K4229">
        <f t="shared" si="66"/>
        <v>25560</v>
      </c>
    </row>
    <row r="4230" spans="1:11" hidden="1" x14ac:dyDescent="0.25">
      <c r="A4230">
        <v>4229</v>
      </c>
      <c r="B4230" s="1">
        <v>45749</v>
      </c>
      <c r="C4230" t="s">
        <v>35</v>
      </c>
      <c r="D4230" t="s">
        <v>84</v>
      </c>
      <c r="E4230" t="s">
        <v>13</v>
      </c>
      <c r="F4230">
        <v>3</v>
      </c>
      <c r="G4230" t="str">
        <f>VLOOKUP(D4230,Товары!A:I,3,0)</f>
        <v>Тумба с раковиной  напол. Куба Риф 800 белый 3 двери с умыв. Слим</v>
      </c>
      <c r="H4230">
        <f>VLOOKUP(D4230,Товары!A:I,6,0)</f>
        <v>85</v>
      </c>
      <c r="I4230" t="str">
        <f>VLOOKUP(C4230,Магазины!A:C,3,0)</f>
        <v>Набережные Челны</v>
      </c>
      <c r="J4230">
        <f>VLOOKUP(D4230,Товары!A:I,4,0)</f>
        <v>19920</v>
      </c>
      <c r="K4230">
        <f t="shared" si="66"/>
        <v>59760</v>
      </c>
    </row>
    <row r="4231" spans="1:11" hidden="1" x14ac:dyDescent="0.25">
      <c r="A4231">
        <v>4230</v>
      </c>
      <c r="B4231" s="1">
        <v>45748</v>
      </c>
      <c r="C4231" t="s">
        <v>26</v>
      </c>
      <c r="D4231" t="s">
        <v>76</v>
      </c>
      <c r="E4231" t="s">
        <v>13</v>
      </c>
      <c r="F4231">
        <v>3</v>
      </c>
      <c r="G4231" t="str">
        <f>VLOOKUP(D4231,Товары!A:I,3,0)</f>
        <v>Тумба с раковиной  напол. Леон 600 оникс 2 ящика с умыв. Слим</v>
      </c>
      <c r="H4231">
        <f>VLOOKUP(D4231,Товары!A:I,6,0)</f>
        <v>80</v>
      </c>
      <c r="I4231" t="str">
        <f>VLOOKUP(C4231,Магазины!A:C,3,0)</f>
        <v>Оренбург</v>
      </c>
      <c r="J4231">
        <f>VLOOKUP(D4231,Товары!A:I,4,0)</f>
        <v>25860</v>
      </c>
      <c r="K4231">
        <f t="shared" si="66"/>
        <v>77580</v>
      </c>
    </row>
    <row r="4232" spans="1:11" hidden="1" x14ac:dyDescent="0.25">
      <c r="A4232">
        <v>4231</v>
      </c>
      <c r="B4232" s="1">
        <v>45755</v>
      </c>
      <c r="C4232" t="s">
        <v>28</v>
      </c>
      <c r="D4232" t="s">
        <v>117</v>
      </c>
      <c r="E4232" t="s">
        <v>13</v>
      </c>
      <c r="F4232">
        <v>1</v>
      </c>
      <c r="G4232" t="str">
        <f>VLOOKUP(D4232,Товары!A:I,3,0)</f>
        <v>Тумба с раковиной  навес. Альба 700 антрацит 2 ящика с умыв. Слим</v>
      </c>
      <c r="H4232">
        <f>VLOOKUP(D4232,Товары!A:I,6,0)</f>
        <v>60</v>
      </c>
      <c r="I4232" t="str">
        <f>VLOOKUP(C4232,Магазины!A:C,3,0)</f>
        <v>Набережные Челны</v>
      </c>
      <c r="J4232">
        <f>VLOOKUP(D4232,Товары!A:I,4,0)</f>
        <v>25095</v>
      </c>
      <c r="K4232">
        <f t="shared" si="66"/>
        <v>25095</v>
      </c>
    </row>
    <row r="4233" spans="1:11" hidden="1" x14ac:dyDescent="0.25">
      <c r="A4233">
        <v>4232</v>
      </c>
      <c r="B4233" s="1">
        <v>45752</v>
      </c>
      <c r="C4233" t="s">
        <v>43</v>
      </c>
      <c r="D4233" t="s">
        <v>78</v>
      </c>
      <c r="E4233" t="s">
        <v>8</v>
      </c>
      <c r="F4233">
        <v>3</v>
      </c>
      <c r="G4233" t="str">
        <f>VLOOKUP(D4233,Товары!A:I,3,0)</f>
        <v>Зеркальный шкаф Кристалл 70 со светильником правый, ручка кнопка дуб цвет Шато Азур</v>
      </c>
      <c r="H4233">
        <f>VLOOKUP(D4233,Товары!A:I,6,0)</f>
        <v>75</v>
      </c>
      <c r="I4233" t="str">
        <f>VLOOKUP(C4233,Магазины!A:C,3,0)</f>
        <v>Набережные Челны</v>
      </c>
      <c r="J4233">
        <f>VLOOKUP(D4233,Товары!A:I,4,0)</f>
        <v>9615</v>
      </c>
      <c r="K4233">
        <f t="shared" si="66"/>
        <v>28845</v>
      </c>
    </row>
    <row r="4234" spans="1:11" hidden="1" x14ac:dyDescent="0.25">
      <c r="A4234">
        <v>4233</v>
      </c>
      <c r="B4234" s="1">
        <v>45756</v>
      </c>
      <c r="C4234" t="s">
        <v>48</v>
      </c>
      <c r="D4234" t="s">
        <v>121</v>
      </c>
      <c r="E4234" t="s">
        <v>8</v>
      </c>
      <c r="F4234">
        <v>3</v>
      </c>
      <c r="G4234" t="str">
        <f>VLOOKUP(D4234,Товары!A:I,3,0)</f>
        <v>Тумба с раковиной  напол. Куба Риф 600 белый 2 двери с умыв. Como</v>
      </c>
      <c r="H4234">
        <f>VLOOKUP(D4234,Товары!A:I,6,0)</f>
        <v>85</v>
      </c>
      <c r="I4234" t="str">
        <f>VLOOKUP(C4234,Магазины!A:C,3,0)</f>
        <v>Ставрополь</v>
      </c>
      <c r="J4234">
        <f>VLOOKUP(D4234,Товары!A:I,4,0)</f>
        <v>13695</v>
      </c>
      <c r="K4234">
        <f t="shared" si="66"/>
        <v>41085</v>
      </c>
    </row>
    <row r="4235" spans="1:11" hidden="1" x14ac:dyDescent="0.25">
      <c r="A4235">
        <v>4234</v>
      </c>
      <c r="B4235" s="1">
        <v>45757</v>
      </c>
      <c r="C4235" t="s">
        <v>20</v>
      </c>
      <c r="D4235" t="s">
        <v>100</v>
      </c>
      <c r="E4235" t="s">
        <v>8</v>
      </c>
      <c r="F4235">
        <v>2</v>
      </c>
      <c r="G4235" t="str">
        <f>VLOOKUP(D4235,Товары!A:I,3,0)</f>
        <v>Тумба с раковиной  навес. Альба 800 мята 1 ящик с умыв. Слим</v>
      </c>
      <c r="H4235">
        <f>VLOOKUP(D4235,Товары!A:I,6,0)</f>
        <v>45</v>
      </c>
      <c r="I4235" t="str">
        <f>VLOOKUP(C4235,Магазины!A:C,3,0)</f>
        <v>Оренбург</v>
      </c>
      <c r="J4235">
        <f>VLOOKUP(D4235,Товары!A:I,4,0)</f>
        <v>21630</v>
      </c>
      <c r="K4235">
        <f t="shared" si="66"/>
        <v>43260</v>
      </c>
    </row>
    <row r="4236" spans="1:11" hidden="1" x14ac:dyDescent="0.25">
      <c r="A4236">
        <v>4235</v>
      </c>
      <c r="B4236" s="1">
        <v>45754</v>
      </c>
      <c r="C4236" t="s">
        <v>63</v>
      </c>
      <c r="D4236" t="s">
        <v>78</v>
      </c>
      <c r="E4236" t="s">
        <v>13</v>
      </c>
      <c r="F4236">
        <v>2</v>
      </c>
      <c r="G4236" t="str">
        <f>VLOOKUP(D4236,Товары!A:I,3,0)</f>
        <v>Зеркальный шкаф Кристалл 70 со светильником правый, ручка кнопка дуб цвет Шато Азур</v>
      </c>
      <c r="H4236">
        <f>VLOOKUP(D4236,Товары!A:I,6,0)</f>
        <v>75</v>
      </c>
      <c r="I4236" t="str">
        <f>VLOOKUP(C4236,Магазины!A:C,3,0)</f>
        <v>Ставрополь</v>
      </c>
      <c r="J4236">
        <f>VLOOKUP(D4236,Товары!A:I,4,0)</f>
        <v>9615</v>
      </c>
      <c r="K4236">
        <f t="shared" si="66"/>
        <v>19230</v>
      </c>
    </row>
    <row r="4237" spans="1:11" hidden="1" x14ac:dyDescent="0.25">
      <c r="A4237">
        <v>4236</v>
      </c>
      <c r="B4237" s="1">
        <v>45753</v>
      </c>
      <c r="C4237" t="s">
        <v>57</v>
      </c>
      <c r="D4237" t="s">
        <v>56</v>
      </c>
      <c r="E4237" t="s">
        <v>13</v>
      </c>
      <c r="F4237">
        <v>3</v>
      </c>
      <c r="G4237" t="str">
        <f>VLOOKUP(D4237,Товары!A:I,3,0)</f>
        <v>Зеркальный шкаф Альба 80 со светильником правый цвет мята</v>
      </c>
      <c r="H4237">
        <f>VLOOKUP(D4237,Товары!A:I,6,0)</f>
        <v>75</v>
      </c>
      <c r="I4237" t="str">
        <f>VLOOKUP(C4237,Магазины!A:C,3,0)</f>
        <v>Оренбург</v>
      </c>
      <c r="J4237">
        <f>VLOOKUP(D4237,Товары!A:I,4,0)</f>
        <v>9930</v>
      </c>
      <c r="K4237">
        <f t="shared" si="66"/>
        <v>29790</v>
      </c>
    </row>
    <row r="4238" spans="1:11" hidden="1" x14ac:dyDescent="0.25">
      <c r="A4238">
        <v>4237</v>
      </c>
      <c r="B4238" s="1">
        <v>45752</v>
      </c>
      <c r="C4238" t="s">
        <v>111</v>
      </c>
      <c r="D4238" t="s">
        <v>125</v>
      </c>
      <c r="E4238" t="s">
        <v>8</v>
      </c>
      <c r="F4238">
        <v>2</v>
      </c>
      <c r="G4238" t="str">
        <f>VLOOKUP(D4238,Товары!A:I,3,0)</f>
        <v>Зеркальный шкаф Сохо 60 белый со светильником правый цвет Белый глянец</v>
      </c>
      <c r="H4238">
        <f>VLOOKUP(D4238,Товары!A:I,6,0)</f>
        <v>75</v>
      </c>
      <c r="I4238" t="str">
        <f>VLOOKUP(C4238,Магазины!A:C,3,0)</f>
        <v>Набережные Челны</v>
      </c>
      <c r="J4238">
        <f>VLOOKUP(D4238,Товары!A:I,4,0)</f>
        <v>7395</v>
      </c>
      <c r="K4238">
        <f t="shared" si="66"/>
        <v>14790</v>
      </c>
    </row>
    <row r="4239" spans="1:11" hidden="1" x14ac:dyDescent="0.25">
      <c r="A4239">
        <v>4238</v>
      </c>
      <c r="B4239" s="1">
        <v>45751</v>
      </c>
      <c r="C4239" t="s">
        <v>26</v>
      </c>
      <c r="D4239" t="s">
        <v>68</v>
      </c>
      <c r="E4239" t="s">
        <v>13</v>
      </c>
      <c r="F4239">
        <v>2</v>
      </c>
      <c r="G4239" t="str">
        <f>VLOOKUP(D4239,Товары!A:I,3,0)</f>
        <v>Тумба с раковиной  навес. Альба 600 антрацит 1 ящик с умыв. Океан</v>
      </c>
      <c r="H4239">
        <f>VLOOKUP(D4239,Товары!A:I,6,0)</f>
        <v>85</v>
      </c>
      <c r="I4239" t="str">
        <f>VLOOKUP(C4239,Магазины!A:C,3,0)</f>
        <v>Оренбург</v>
      </c>
      <c r="J4239">
        <f>VLOOKUP(D4239,Товары!A:I,4,0)</f>
        <v>17625</v>
      </c>
      <c r="K4239">
        <f t="shared" si="66"/>
        <v>35250</v>
      </c>
    </row>
    <row r="4240" spans="1:11" hidden="1" x14ac:dyDescent="0.25">
      <c r="A4240">
        <v>4239</v>
      </c>
      <c r="B4240" s="1">
        <v>45755</v>
      </c>
      <c r="C4240" t="s">
        <v>111</v>
      </c>
      <c r="D4240" t="s">
        <v>124</v>
      </c>
      <c r="E4240" t="s">
        <v>13</v>
      </c>
      <c r="F4240">
        <v>1</v>
      </c>
      <c r="G4240" t="str">
        <f>VLOOKUP(D4240,Товары!A:I,3,0)</f>
        <v>Тумба с раковиной  напол. Леон 600 оникс 2 ящика с умыв. Океан</v>
      </c>
      <c r="H4240">
        <f>VLOOKUP(D4240,Товары!A:I,6,0)</f>
        <v>80</v>
      </c>
      <c r="I4240" t="str">
        <f>VLOOKUP(C4240,Магазины!A:C,3,0)</f>
        <v>Набережные Челны</v>
      </c>
      <c r="J4240">
        <f>VLOOKUP(D4240,Товары!A:I,4,0)</f>
        <v>25860</v>
      </c>
      <c r="K4240">
        <f t="shared" si="66"/>
        <v>25860</v>
      </c>
    </row>
    <row r="4241" spans="1:11" hidden="1" x14ac:dyDescent="0.25">
      <c r="A4241">
        <v>4240</v>
      </c>
      <c r="B4241" s="1">
        <v>45753</v>
      </c>
      <c r="C4241" t="s">
        <v>57</v>
      </c>
      <c r="D4241" t="s">
        <v>89</v>
      </c>
      <c r="E4241" t="s">
        <v>8</v>
      </c>
      <c r="F4241">
        <v>2</v>
      </c>
      <c r="G4241" t="str">
        <f>VLOOKUP(D4241,Товары!A:I,3,0)</f>
        <v>Тумба с раковиной  напол. Сохо 600 белый 2 двери с умыв. Океан</v>
      </c>
      <c r="H4241">
        <f>VLOOKUP(D4241,Товары!A:I,6,0)</f>
        <v>85</v>
      </c>
      <c r="I4241" t="str">
        <f>VLOOKUP(C4241,Магазины!A:C,3,0)</f>
        <v>Оренбург</v>
      </c>
      <c r="J4241">
        <f>VLOOKUP(D4241,Товары!A:I,4,0)</f>
        <v>14880</v>
      </c>
      <c r="K4241">
        <f t="shared" si="66"/>
        <v>29760</v>
      </c>
    </row>
    <row r="4242" spans="1:11" hidden="1" x14ac:dyDescent="0.25">
      <c r="A4242">
        <v>4241</v>
      </c>
      <c r="B4242" s="1">
        <v>45754</v>
      </c>
      <c r="C4242" t="s">
        <v>57</v>
      </c>
      <c r="D4242" t="s">
        <v>71</v>
      </c>
      <c r="E4242" t="s">
        <v>8</v>
      </c>
      <c r="F4242">
        <v>2</v>
      </c>
      <c r="G4242" t="str">
        <f>VLOOKUP(D4242,Товары!A:I,3,0)</f>
        <v>Тумба с раковиной  навес. Альба 600 мята 2 ящика с умыв. Океан</v>
      </c>
      <c r="H4242">
        <f>VLOOKUP(D4242,Товары!A:I,6,0)</f>
        <v>50</v>
      </c>
      <c r="I4242" t="str">
        <f>VLOOKUP(C4242,Магазины!A:C,3,0)</f>
        <v>Оренбург</v>
      </c>
      <c r="J4242">
        <f>VLOOKUP(D4242,Товары!A:I,4,0)</f>
        <v>24810</v>
      </c>
      <c r="K4242">
        <f t="shared" si="66"/>
        <v>49620</v>
      </c>
    </row>
    <row r="4243" spans="1:11" hidden="1" x14ac:dyDescent="0.25">
      <c r="A4243">
        <v>4242</v>
      </c>
      <c r="B4243" s="1">
        <v>45751</v>
      </c>
      <c r="C4243" t="s">
        <v>33</v>
      </c>
      <c r="D4243" t="s">
        <v>59</v>
      </c>
      <c r="E4243" t="s">
        <v>8</v>
      </c>
      <c r="F4243">
        <v>3</v>
      </c>
      <c r="G4243" t="str">
        <f>VLOOKUP(D4243,Товары!A:I,3,0)</f>
        <v>Тумба с раковиной  навес. Куба Риф 600 белый 2 ящика с умыв. Океан</v>
      </c>
      <c r="H4243">
        <f>VLOOKUP(D4243,Товары!A:I,6,0)</f>
        <v>55</v>
      </c>
      <c r="I4243" t="str">
        <f>VLOOKUP(C4243,Магазины!A:C,3,0)</f>
        <v>Набережные Челны</v>
      </c>
      <c r="J4243">
        <f>VLOOKUP(D4243,Товары!A:I,4,0)</f>
        <v>15765</v>
      </c>
      <c r="K4243">
        <f t="shared" si="66"/>
        <v>47295</v>
      </c>
    </row>
    <row r="4244" spans="1:11" hidden="1" x14ac:dyDescent="0.25">
      <c r="A4244">
        <v>4243</v>
      </c>
      <c r="B4244" s="1">
        <v>45751</v>
      </c>
      <c r="C4244" t="s">
        <v>26</v>
      </c>
      <c r="D4244" t="s">
        <v>130</v>
      </c>
      <c r="E4244" t="s">
        <v>13</v>
      </c>
      <c r="F4244">
        <v>1</v>
      </c>
      <c r="G4244" t="str">
        <f>VLOOKUP(D4244,Товары!A:I,3,0)</f>
        <v>Пенал напол. Леон 400 форест 2 двери + 1 ящик</v>
      </c>
      <c r="H4244">
        <f>VLOOKUP(D4244,Товары!A:I,6,0)</f>
        <v>190</v>
      </c>
      <c r="I4244" t="str">
        <f>VLOOKUP(C4244,Магазины!A:C,3,0)</f>
        <v>Оренбург</v>
      </c>
      <c r="J4244">
        <f>VLOOKUP(D4244,Товары!A:I,4,0)</f>
        <v>18450</v>
      </c>
      <c r="K4244">
        <f t="shared" si="66"/>
        <v>18450</v>
      </c>
    </row>
    <row r="4245" spans="1:11" hidden="1" x14ac:dyDescent="0.25">
      <c r="A4245">
        <v>4244</v>
      </c>
      <c r="B4245" s="1">
        <v>45754</v>
      </c>
      <c r="C4245" t="s">
        <v>22</v>
      </c>
      <c r="D4245" t="s">
        <v>120</v>
      </c>
      <c r="E4245" t="s">
        <v>8</v>
      </c>
      <c r="F4245">
        <v>3</v>
      </c>
      <c r="G4245" t="str">
        <f>VLOOKUP(D4245,Товары!A:I,3,0)</f>
        <v>Зеркальный шкаф Альба 60 со светильником правый цвет антрацит</v>
      </c>
      <c r="H4245">
        <f>VLOOKUP(D4245,Товары!A:I,6,0)</f>
        <v>75</v>
      </c>
      <c r="I4245" t="str">
        <f>VLOOKUP(C4245,Магазины!A:C,3,0)</f>
        <v>Кемерово</v>
      </c>
      <c r="J4245">
        <f>VLOOKUP(D4245,Товары!A:I,4,0)</f>
        <v>8910</v>
      </c>
      <c r="K4245">
        <f t="shared" si="66"/>
        <v>26730</v>
      </c>
    </row>
    <row r="4246" spans="1:11" hidden="1" x14ac:dyDescent="0.25">
      <c r="A4246">
        <v>4245</v>
      </c>
      <c r="B4246" s="1">
        <v>45749</v>
      </c>
      <c r="C4246" t="s">
        <v>28</v>
      </c>
      <c r="D4246" t="s">
        <v>129</v>
      </c>
      <c r="E4246" t="s">
        <v>13</v>
      </c>
      <c r="F4246">
        <v>2</v>
      </c>
      <c r="G4246" t="str">
        <f>VLOOKUP(D4246,Товары!A:I,3,0)</f>
        <v>Тумба с раковиной  напол. Альба 700 антрацит 2 ящика с умыв. Слим</v>
      </c>
      <c r="H4246">
        <f>VLOOKUP(D4246,Товары!A:I,6,0)</f>
        <v>85</v>
      </c>
      <c r="I4246" t="str">
        <f>VLOOKUP(C4246,Магазины!A:C,3,0)</f>
        <v>Набережные Челны</v>
      </c>
      <c r="J4246">
        <f>VLOOKUP(D4246,Товары!A:I,4,0)</f>
        <v>28695</v>
      </c>
      <c r="K4246">
        <f t="shared" si="66"/>
        <v>57390</v>
      </c>
    </row>
    <row r="4247" spans="1:11" hidden="1" x14ac:dyDescent="0.25">
      <c r="A4247">
        <v>4246</v>
      </c>
      <c r="B4247" s="1">
        <v>45750</v>
      </c>
      <c r="C4247" t="s">
        <v>57</v>
      </c>
      <c r="D4247" t="s">
        <v>109</v>
      </c>
      <c r="E4247" t="s">
        <v>8</v>
      </c>
      <c r="F4247">
        <v>1</v>
      </c>
      <c r="G4247" t="str">
        <f>VLOOKUP(D4247,Товары!A:I,3,0)</f>
        <v>Тумба с раковиной  навес. Альба 600 антрацит 2 ящика с умыв. Океан</v>
      </c>
      <c r="H4247">
        <f>VLOOKUP(D4247,Товары!A:I,6,0)</f>
        <v>50</v>
      </c>
      <c r="I4247" t="str">
        <f>VLOOKUP(C4247,Магазины!A:C,3,0)</f>
        <v>Оренбург</v>
      </c>
      <c r="J4247">
        <f>VLOOKUP(D4247,Товары!A:I,4,0)</f>
        <v>24810</v>
      </c>
      <c r="K4247">
        <f t="shared" si="66"/>
        <v>24810</v>
      </c>
    </row>
    <row r="4248" spans="1:11" hidden="1" x14ac:dyDescent="0.25">
      <c r="A4248">
        <v>4247</v>
      </c>
      <c r="B4248" s="1">
        <v>45749</v>
      </c>
      <c r="C4248" t="s">
        <v>28</v>
      </c>
      <c r="D4248" t="s">
        <v>67</v>
      </c>
      <c r="E4248" t="s">
        <v>13</v>
      </c>
      <c r="F4248">
        <v>2</v>
      </c>
      <c r="G4248" t="str">
        <f>VLOOKUP(D4248,Товары!A:I,3,0)</f>
        <v>Пенал навес./напол. Альба 350 суфле 2 двери</v>
      </c>
      <c r="H4248">
        <f>VLOOKUP(D4248,Товары!A:I,6,0)</f>
        <v>150</v>
      </c>
      <c r="I4248" t="str">
        <f>VLOOKUP(C4248,Магазины!A:C,3,0)</f>
        <v>Набережные Челны</v>
      </c>
      <c r="J4248">
        <f>VLOOKUP(D4248,Товары!A:I,4,0)</f>
        <v>11655</v>
      </c>
      <c r="K4248">
        <f t="shared" si="66"/>
        <v>23310</v>
      </c>
    </row>
    <row r="4249" spans="1:11" hidden="1" x14ac:dyDescent="0.25">
      <c r="A4249">
        <v>4248</v>
      </c>
      <c r="B4249" s="1">
        <v>45756</v>
      </c>
      <c r="C4249" t="s">
        <v>48</v>
      </c>
      <c r="D4249" t="s">
        <v>118</v>
      </c>
      <c r="E4249" t="s">
        <v>13</v>
      </c>
      <c r="F4249">
        <v>3</v>
      </c>
      <c r="G4249" t="str">
        <f>VLOOKUP(D4249,Товары!A:I,3,0)</f>
        <v>Тумба с раковиной  напол. Сохо 800 белый 2 ящика с умыв. Слим</v>
      </c>
      <c r="H4249">
        <f>VLOOKUP(D4249,Товары!A:I,6,0)</f>
        <v>85</v>
      </c>
      <c r="I4249" t="str">
        <f>VLOOKUP(C4249,Магазины!A:C,3,0)</f>
        <v>Ставрополь</v>
      </c>
      <c r="J4249">
        <f>VLOOKUP(D4249,Товары!A:I,4,0)</f>
        <v>19575</v>
      </c>
      <c r="K4249">
        <f t="shared" si="66"/>
        <v>58725</v>
      </c>
    </row>
    <row r="4250" spans="1:11" hidden="1" x14ac:dyDescent="0.25">
      <c r="A4250">
        <v>4249</v>
      </c>
      <c r="B4250" s="1">
        <v>45757</v>
      </c>
      <c r="C4250" t="s">
        <v>28</v>
      </c>
      <c r="D4250" t="s">
        <v>10</v>
      </c>
      <c r="E4250" t="s">
        <v>13</v>
      </c>
      <c r="F4250">
        <v>1</v>
      </c>
      <c r="G4250" t="str">
        <f>VLOOKUP(D4250,Товары!A:I,3,0)</f>
        <v>Тумба с раковиной  навес. Альба 700 антрацит 1 ящик с умыв. Слим</v>
      </c>
      <c r="H4250">
        <f>VLOOKUP(D4250,Товары!A:I,6,0)</f>
        <v>45</v>
      </c>
      <c r="I4250" t="str">
        <f>VLOOKUP(C4250,Магазины!A:C,3,0)</f>
        <v>Набережные Челны</v>
      </c>
      <c r="J4250">
        <f>VLOOKUP(D4250,Товары!A:I,4,0)</f>
        <v>20130</v>
      </c>
      <c r="K4250">
        <f t="shared" si="66"/>
        <v>20130</v>
      </c>
    </row>
    <row r="4251" spans="1:11" hidden="1" x14ac:dyDescent="0.25">
      <c r="A4251">
        <v>4250</v>
      </c>
      <c r="B4251" s="1">
        <v>45757</v>
      </c>
      <c r="C4251" t="s">
        <v>41</v>
      </c>
      <c r="D4251" t="s">
        <v>114</v>
      </c>
      <c r="E4251" t="s">
        <v>13</v>
      </c>
      <c r="F4251">
        <v>1</v>
      </c>
      <c r="G4251" t="str">
        <f>VLOOKUP(D4251,Товары!A:I,3,0)</f>
        <v>Тумба с раковиной  навес. Альба 700 мята 2 ящика с умыв. Слим</v>
      </c>
      <c r="H4251">
        <f>VLOOKUP(D4251,Товары!A:I,6,0)</f>
        <v>60</v>
      </c>
      <c r="I4251" t="str">
        <f>VLOOKUP(C4251,Магазины!A:C,3,0)</f>
        <v>Ставрополь</v>
      </c>
      <c r="J4251">
        <f>VLOOKUP(D4251,Товары!A:I,4,0)</f>
        <v>25095</v>
      </c>
      <c r="K4251">
        <f t="shared" si="66"/>
        <v>25095</v>
      </c>
    </row>
    <row r="4252" spans="1:11" hidden="1" x14ac:dyDescent="0.25">
      <c r="A4252">
        <v>4251</v>
      </c>
      <c r="B4252" s="1">
        <v>45749</v>
      </c>
      <c r="C4252" t="s">
        <v>20</v>
      </c>
      <c r="D4252" t="s">
        <v>122</v>
      </c>
      <c r="E4252" t="s">
        <v>8</v>
      </c>
      <c r="F4252">
        <v>2</v>
      </c>
      <c r="G4252" t="str">
        <f>VLOOKUP(D4252,Товары!A:I,3,0)</f>
        <v>Тумба с раковиной  навес. Кристалл 600 шато азур 2 ящика с умыв. Океан</v>
      </c>
      <c r="H4252">
        <f>VLOOKUP(D4252,Товары!A:I,6,0)</f>
        <v>55</v>
      </c>
      <c r="I4252" t="str">
        <f>VLOOKUP(C4252,Магазины!A:C,3,0)</f>
        <v>Оренбург</v>
      </c>
      <c r="J4252">
        <f>VLOOKUP(D4252,Товары!A:I,4,0)</f>
        <v>21960</v>
      </c>
      <c r="K4252">
        <f t="shared" si="66"/>
        <v>43920</v>
      </c>
    </row>
    <row r="4253" spans="1:11" hidden="1" x14ac:dyDescent="0.25">
      <c r="A4253">
        <v>4252</v>
      </c>
      <c r="B4253" s="1">
        <v>45755</v>
      </c>
      <c r="C4253" t="s">
        <v>111</v>
      </c>
      <c r="D4253" t="s">
        <v>29</v>
      </c>
      <c r="E4253" t="s">
        <v>8</v>
      </c>
      <c r="F4253">
        <v>1</v>
      </c>
      <c r="G4253" t="str">
        <f>VLOOKUP(D4253,Товары!A:I,3,0)</f>
        <v>Тумба с раковиной  напол. Леон Риф 600 солярис/белый риф 2 ящика с умыв. Океан</v>
      </c>
      <c r="H4253">
        <f>VLOOKUP(D4253,Товары!A:I,6,0)</f>
        <v>80</v>
      </c>
      <c r="I4253" t="str">
        <f>VLOOKUP(C4253,Магазины!A:C,3,0)</f>
        <v>Набережные Челны</v>
      </c>
      <c r="J4253">
        <f>VLOOKUP(D4253,Товары!A:I,4,0)</f>
        <v>24150</v>
      </c>
      <c r="K4253">
        <f t="shared" si="66"/>
        <v>24150</v>
      </c>
    </row>
    <row r="4254" spans="1:11" hidden="1" x14ac:dyDescent="0.25">
      <c r="A4254">
        <v>4253</v>
      </c>
      <c r="B4254" s="1">
        <v>45754</v>
      </c>
      <c r="C4254" t="s">
        <v>9</v>
      </c>
      <c r="D4254" t="s">
        <v>64</v>
      </c>
      <c r="E4254" t="s">
        <v>13</v>
      </c>
      <c r="F4254">
        <v>1</v>
      </c>
      <c r="G4254" t="str">
        <f>VLOOKUP(D4254,Товары!A:I,3,0)</f>
        <v>Тумба с раковиной  напол. Рица 800 антрацит 2 ящика с умыв. Слим</v>
      </c>
      <c r="H4254">
        <f>VLOOKUP(D4254,Товары!A:I,6,0)</f>
        <v>80</v>
      </c>
      <c r="I4254" t="str">
        <f>VLOOKUP(C4254,Магазины!A:C,3,0)</f>
        <v>Кемерово</v>
      </c>
      <c r="J4254">
        <f>VLOOKUP(D4254,Товары!A:I,4,0)</f>
        <v>28980</v>
      </c>
      <c r="K4254">
        <f t="shared" si="66"/>
        <v>28980</v>
      </c>
    </row>
    <row r="4255" spans="1:11" hidden="1" x14ac:dyDescent="0.25">
      <c r="A4255">
        <v>4254</v>
      </c>
      <c r="B4255" s="1">
        <v>45749</v>
      </c>
      <c r="C4255" t="s">
        <v>26</v>
      </c>
      <c r="D4255" t="s">
        <v>126</v>
      </c>
      <c r="E4255" t="s">
        <v>8</v>
      </c>
      <c r="F4255">
        <v>1</v>
      </c>
      <c r="G4255" t="str">
        <f>VLOOKUP(D4255,Товары!A:I,3,0)</f>
        <v>Тумба с раковиной  напол. Кристалл 800 шато азур 2 ящика с умыв. Комфорт</v>
      </c>
      <c r="H4255">
        <f>VLOOKUP(D4255,Товары!A:I,6,0)</f>
        <v>85</v>
      </c>
      <c r="I4255" t="str">
        <f>VLOOKUP(C4255,Магазины!A:C,3,0)</f>
        <v>Оренбург</v>
      </c>
      <c r="J4255">
        <f>VLOOKUP(D4255,Товары!A:I,4,0)</f>
        <v>31125</v>
      </c>
      <c r="K4255">
        <f t="shared" si="66"/>
        <v>31125</v>
      </c>
    </row>
    <row r="4256" spans="1:11" hidden="1" x14ac:dyDescent="0.25">
      <c r="A4256">
        <v>4255</v>
      </c>
      <c r="B4256" s="1">
        <v>45755</v>
      </c>
      <c r="C4256" t="s">
        <v>28</v>
      </c>
      <c r="D4256" t="s">
        <v>49</v>
      </c>
      <c r="E4256" t="s">
        <v>13</v>
      </c>
      <c r="F4256">
        <v>2</v>
      </c>
      <c r="G4256" t="str">
        <f>VLOOKUP(D4256,Товары!A:I,3,0)</f>
        <v>Тумба с раковиной  напол. Леон 700 оникс 2 ящика с умыв. Слим</v>
      </c>
      <c r="H4256">
        <f>VLOOKUP(D4256,Товары!A:I,6,0)</f>
        <v>80</v>
      </c>
      <c r="I4256" t="str">
        <f>VLOOKUP(C4256,Магазины!A:C,3,0)</f>
        <v>Набережные Челны</v>
      </c>
      <c r="J4256">
        <f>VLOOKUP(D4256,Товары!A:I,4,0)</f>
        <v>28380</v>
      </c>
      <c r="K4256">
        <f t="shared" si="66"/>
        <v>56760</v>
      </c>
    </row>
    <row r="4257" spans="1:11" hidden="1" x14ac:dyDescent="0.25">
      <c r="A4257">
        <v>4256</v>
      </c>
      <c r="B4257" s="1">
        <v>45757</v>
      </c>
      <c r="C4257" t="s">
        <v>16</v>
      </c>
      <c r="D4257" t="s">
        <v>21</v>
      </c>
      <c r="E4257" t="s">
        <v>8</v>
      </c>
      <c r="F4257">
        <v>2</v>
      </c>
      <c r="G4257" t="str">
        <f>VLOOKUP(D4257,Товары!A:I,3,0)</f>
        <v>Зеркальный шкаф Рица 60 со светильником правый цвет cерый/керамика</v>
      </c>
      <c r="H4257">
        <f>VLOOKUP(D4257,Товары!A:I,6,0)</f>
        <v>75</v>
      </c>
      <c r="I4257" t="str">
        <f>VLOOKUP(C4257,Магазины!A:C,3,0)</f>
        <v>Оренбург</v>
      </c>
      <c r="J4257">
        <f>VLOOKUP(D4257,Товары!A:I,4,0)</f>
        <v>8910</v>
      </c>
      <c r="K4257">
        <f t="shared" si="66"/>
        <v>17820</v>
      </c>
    </row>
    <row r="4258" spans="1:11" hidden="1" x14ac:dyDescent="0.25">
      <c r="A4258">
        <v>4257</v>
      </c>
      <c r="B4258" s="1">
        <v>45752</v>
      </c>
      <c r="C4258" t="s">
        <v>11</v>
      </c>
      <c r="D4258" t="s">
        <v>131</v>
      </c>
      <c r="E4258" t="s">
        <v>8</v>
      </c>
      <c r="F4258">
        <v>3</v>
      </c>
      <c r="G4258" t="str">
        <f>VLOOKUP(D4258,Товары!A:I,3,0)</f>
        <v>Тумба с раковиной  напол. Леон 800 форест 2 ящика с умыв. Слим</v>
      </c>
      <c r="H4258">
        <f>VLOOKUP(D4258,Товары!A:I,6,0)</f>
        <v>80</v>
      </c>
      <c r="I4258" t="str">
        <f>VLOOKUP(C4258,Магазины!A:C,3,0)</f>
        <v>Кемерово</v>
      </c>
      <c r="J4258">
        <f>VLOOKUP(D4258,Товары!A:I,4,0)</f>
        <v>29400</v>
      </c>
      <c r="K4258">
        <f t="shared" si="66"/>
        <v>88200</v>
      </c>
    </row>
    <row r="4259" spans="1:11" hidden="1" x14ac:dyDescent="0.25">
      <c r="A4259">
        <v>4258</v>
      </c>
      <c r="B4259" s="1">
        <v>45750</v>
      </c>
      <c r="C4259" t="s">
        <v>43</v>
      </c>
      <c r="D4259" t="s">
        <v>112</v>
      </c>
      <c r="E4259" t="s">
        <v>8</v>
      </c>
      <c r="F4259">
        <v>1</v>
      </c>
      <c r="G4259" t="str">
        <f>VLOOKUP(D4259,Товары!A:I,3,0)</f>
        <v>Тумба с раковиной  напол. Аква 560 белый 2 двери с умыв. Уют</v>
      </c>
      <c r="H4259">
        <f>VLOOKUP(D4259,Товары!A:I,6,0)</f>
        <v>85</v>
      </c>
      <c r="I4259" t="str">
        <f>VLOOKUP(C4259,Магазины!A:C,3,0)</f>
        <v>Набережные Челны</v>
      </c>
      <c r="J4259">
        <f>VLOOKUP(D4259,Товары!A:I,4,0)</f>
        <v>9330</v>
      </c>
      <c r="K4259">
        <f t="shared" si="66"/>
        <v>9330</v>
      </c>
    </row>
    <row r="4260" spans="1:11" hidden="1" x14ac:dyDescent="0.25">
      <c r="A4260">
        <v>4259</v>
      </c>
      <c r="B4260" s="1">
        <v>45749</v>
      </c>
      <c r="C4260" t="s">
        <v>16</v>
      </c>
      <c r="D4260" t="s">
        <v>32</v>
      </c>
      <c r="E4260" t="s">
        <v>8</v>
      </c>
      <c r="F4260">
        <v>3</v>
      </c>
      <c r="G4260" t="str">
        <f>VLOOKUP(D4260,Товары!A:I,3,0)</f>
        <v>Тумба с раковиной  напол. Леон Риф 700 солярис/белый риф 2 ящика с умыв. Слим</v>
      </c>
      <c r="H4260">
        <f>VLOOKUP(D4260,Товары!A:I,6,0)</f>
        <v>85</v>
      </c>
      <c r="I4260" t="str">
        <f>VLOOKUP(C4260,Магазины!A:C,3,0)</f>
        <v>Оренбург</v>
      </c>
      <c r="J4260">
        <f>VLOOKUP(D4260,Товары!A:I,4,0)</f>
        <v>26460</v>
      </c>
      <c r="K4260">
        <f t="shared" si="66"/>
        <v>79380</v>
      </c>
    </row>
    <row r="4261" spans="1:11" hidden="1" x14ac:dyDescent="0.25">
      <c r="A4261">
        <v>4260</v>
      </c>
      <c r="B4261" s="1">
        <v>45748</v>
      </c>
      <c r="C4261" t="s">
        <v>41</v>
      </c>
      <c r="D4261" t="s">
        <v>96</v>
      </c>
      <c r="E4261" t="s">
        <v>13</v>
      </c>
      <c r="F4261">
        <v>3</v>
      </c>
      <c r="G4261" t="str">
        <f>VLOOKUP(D4261,Товары!A:I,3,0)</f>
        <v>Тумба с раковиной  навес. Альба 600 мята 1 ящик с умыв. Океан</v>
      </c>
      <c r="H4261">
        <f>VLOOKUP(D4261,Товары!A:I,6,0)</f>
        <v>85</v>
      </c>
      <c r="I4261" t="str">
        <f>VLOOKUP(C4261,Магазины!A:C,3,0)</f>
        <v>Ставрополь</v>
      </c>
      <c r="J4261">
        <f>VLOOKUP(D4261,Товары!A:I,4,0)</f>
        <v>17625</v>
      </c>
      <c r="K4261">
        <f t="shared" si="66"/>
        <v>52875</v>
      </c>
    </row>
    <row r="4262" spans="1:11" hidden="1" x14ac:dyDescent="0.25">
      <c r="A4262">
        <v>4261</v>
      </c>
      <c r="B4262" s="1">
        <v>45749</v>
      </c>
      <c r="C4262" t="s">
        <v>103</v>
      </c>
      <c r="D4262" t="s">
        <v>120</v>
      </c>
      <c r="E4262" t="s">
        <v>8</v>
      </c>
      <c r="F4262">
        <v>2</v>
      </c>
      <c r="G4262" t="str">
        <f>VLOOKUP(D4262,Товары!A:I,3,0)</f>
        <v>Зеркальный шкаф Альба 60 со светильником правый цвет антрацит</v>
      </c>
      <c r="H4262">
        <f>VLOOKUP(D4262,Товары!A:I,6,0)</f>
        <v>75</v>
      </c>
      <c r="I4262" t="str">
        <f>VLOOKUP(C4262,Магазины!A:C,3,0)</f>
        <v>Ставрополь</v>
      </c>
      <c r="J4262">
        <f>VLOOKUP(D4262,Товары!A:I,4,0)</f>
        <v>8910</v>
      </c>
      <c r="K4262">
        <f t="shared" si="66"/>
        <v>17820</v>
      </c>
    </row>
    <row r="4263" spans="1:11" hidden="1" x14ac:dyDescent="0.25">
      <c r="A4263">
        <v>4262</v>
      </c>
      <c r="B4263" s="1">
        <v>45754</v>
      </c>
      <c r="C4263" t="s">
        <v>43</v>
      </c>
      <c r="D4263" t="s">
        <v>61</v>
      </c>
      <c r="E4263" t="s">
        <v>8</v>
      </c>
      <c r="F4263">
        <v>3</v>
      </c>
      <c r="G4263" t="str">
        <f>VLOOKUP(D4263,Товары!A:I,3,0)</f>
        <v>Тумба под стиральную машину Леон Риф 57 напольная 2 ящика под ст/маш, без умывальника /под Marshall 120 Солярис/Белый Риф</v>
      </c>
      <c r="H4263">
        <f>VLOOKUP(D4263,Товары!A:I,6,0)</f>
        <v>85</v>
      </c>
      <c r="I4263" t="str">
        <f>VLOOKUP(C4263,Магазины!A:C,3,0)</f>
        <v>Набережные Челны</v>
      </c>
      <c r="J4263">
        <f>VLOOKUP(D4263,Товары!A:I,4,0)</f>
        <v>17430</v>
      </c>
      <c r="K4263">
        <f t="shared" si="66"/>
        <v>52290</v>
      </c>
    </row>
    <row r="4264" spans="1:11" hidden="1" x14ac:dyDescent="0.25">
      <c r="A4264">
        <v>4263</v>
      </c>
      <c r="B4264" s="1">
        <v>45753</v>
      </c>
      <c r="C4264" t="s">
        <v>20</v>
      </c>
      <c r="D4264" t="s">
        <v>83</v>
      </c>
      <c r="E4264" t="s">
        <v>13</v>
      </c>
      <c r="F4264">
        <v>1</v>
      </c>
      <c r="G4264" t="str">
        <f>VLOOKUP(D4264,Товары!A:I,3,0)</f>
        <v>Зеркальный шкаф Альба 60 со светильником правый цвет суфле</v>
      </c>
      <c r="H4264">
        <f>VLOOKUP(D4264,Товары!A:I,6,0)</f>
        <v>75</v>
      </c>
      <c r="I4264" t="str">
        <f>VLOOKUP(C4264,Магазины!A:C,3,0)</f>
        <v>Оренбург</v>
      </c>
      <c r="J4264">
        <f>VLOOKUP(D4264,Товары!A:I,4,0)</f>
        <v>8910</v>
      </c>
      <c r="K4264">
        <f t="shared" si="66"/>
        <v>8910</v>
      </c>
    </row>
    <row r="4265" spans="1:11" hidden="1" x14ac:dyDescent="0.25">
      <c r="A4265">
        <v>4264</v>
      </c>
      <c r="B4265" s="1">
        <v>45751</v>
      </c>
      <c r="C4265" t="s">
        <v>6</v>
      </c>
      <c r="D4265" t="s">
        <v>68</v>
      </c>
      <c r="E4265" t="s">
        <v>13</v>
      </c>
      <c r="F4265">
        <v>3</v>
      </c>
      <c r="G4265" t="str">
        <f>VLOOKUP(D4265,Товары!A:I,3,0)</f>
        <v>Тумба с раковиной  навес. Альба 600 антрацит 1 ящик с умыв. Океан</v>
      </c>
      <c r="H4265">
        <f>VLOOKUP(D4265,Товары!A:I,6,0)</f>
        <v>85</v>
      </c>
      <c r="I4265" t="str">
        <f>VLOOKUP(C4265,Магазины!A:C,3,0)</f>
        <v>Оренбург</v>
      </c>
      <c r="J4265">
        <f>VLOOKUP(D4265,Товары!A:I,4,0)</f>
        <v>17625</v>
      </c>
      <c r="K4265">
        <f t="shared" si="66"/>
        <v>52875</v>
      </c>
    </row>
    <row r="4266" spans="1:11" hidden="1" x14ac:dyDescent="0.25">
      <c r="A4266">
        <v>4265</v>
      </c>
      <c r="B4266" s="1">
        <v>45751</v>
      </c>
      <c r="C4266" t="s">
        <v>20</v>
      </c>
      <c r="D4266" t="s">
        <v>100</v>
      </c>
      <c r="E4266" t="s">
        <v>8</v>
      </c>
      <c r="F4266">
        <v>3</v>
      </c>
      <c r="G4266" t="str">
        <f>VLOOKUP(D4266,Товары!A:I,3,0)</f>
        <v>Тумба с раковиной  навес. Альба 800 мята 1 ящик с умыв. Слим</v>
      </c>
      <c r="H4266">
        <f>VLOOKUP(D4266,Товары!A:I,6,0)</f>
        <v>45</v>
      </c>
      <c r="I4266" t="str">
        <f>VLOOKUP(C4266,Магазины!A:C,3,0)</f>
        <v>Оренбург</v>
      </c>
      <c r="J4266">
        <f>VLOOKUP(D4266,Товары!A:I,4,0)</f>
        <v>21630</v>
      </c>
      <c r="K4266">
        <f t="shared" si="66"/>
        <v>64890</v>
      </c>
    </row>
    <row r="4267" spans="1:11" hidden="1" x14ac:dyDescent="0.25">
      <c r="A4267">
        <v>4266</v>
      </c>
      <c r="B4267" s="1">
        <v>45750</v>
      </c>
      <c r="C4267" t="s">
        <v>14</v>
      </c>
      <c r="D4267" t="s">
        <v>50</v>
      </c>
      <c r="E4267" t="s">
        <v>13</v>
      </c>
      <c r="F4267">
        <v>2</v>
      </c>
      <c r="G4267" t="str">
        <f>VLOOKUP(D4267,Товары!A:I,3,0)</f>
        <v>Тумба с раковиной  напол. Леон 800 оникс 2 ящика с умыв. Слим</v>
      </c>
      <c r="H4267">
        <f>VLOOKUP(D4267,Товары!A:I,6,0)</f>
        <v>80</v>
      </c>
      <c r="I4267" t="str">
        <f>VLOOKUP(C4267,Магазины!A:C,3,0)</f>
        <v>Оренбург</v>
      </c>
      <c r="J4267">
        <f>VLOOKUP(D4267,Товары!A:I,4,0)</f>
        <v>29400</v>
      </c>
      <c r="K4267">
        <f t="shared" si="66"/>
        <v>58800</v>
      </c>
    </row>
    <row r="4268" spans="1:11" hidden="1" x14ac:dyDescent="0.25">
      <c r="A4268">
        <v>4267</v>
      </c>
      <c r="B4268" s="1">
        <v>45751</v>
      </c>
      <c r="C4268" t="s">
        <v>20</v>
      </c>
      <c r="D4268" t="s">
        <v>15</v>
      </c>
      <c r="E4268" t="s">
        <v>8</v>
      </c>
      <c r="F4268">
        <v>2</v>
      </c>
      <c r="G4268" t="str">
        <f>VLOOKUP(D4268,Товары!A:I,3,0)</f>
        <v>Зеркальный шкаф Кристалл 60 со светильником правый, ручка кнопка дуб цвет Шато Азур</v>
      </c>
      <c r="H4268">
        <f>VLOOKUP(D4268,Товары!A:I,6,0)</f>
        <v>75</v>
      </c>
      <c r="I4268" t="str">
        <f>VLOOKUP(C4268,Магазины!A:C,3,0)</f>
        <v>Оренбург</v>
      </c>
      <c r="J4268">
        <f>VLOOKUP(D4268,Товары!A:I,4,0)</f>
        <v>9195</v>
      </c>
      <c r="K4268">
        <f t="shared" si="66"/>
        <v>18390</v>
      </c>
    </row>
    <row r="4269" spans="1:11" hidden="1" x14ac:dyDescent="0.25">
      <c r="A4269">
        <v>4268</v>
      </c>
      <c r="B4269" s="1">
        <v>45748</v>
      </c>
      <c r="C4269" t="s">
        <v>48</v>
      </c>
      <c r="D4269" t="s">
        <v>46</v>
      </c>
      <c r="E4269" t="s">
        <v>13</v>
      </c>
      <c r="F4269">
        <v>3</v>
      </c>
      <c r="G4269" t="str">
        <f>VLOOKUP(D4269,Товары!A:I,3,0)</f>
        <v>Тумба с раковиной  напол. Сохо 700 белый 2 ящика с умыв. Слим</v>
      </c>
      <c r="H4269">
        <f>VLOOKUP(D4269,Товары!A:I,6,0)</f>
        <v>85</v>
      </c>
      <c r="I4269" t="str">
        <f>VLOOKUP(C4269,Магазины!A:C,3,0)</f>
        <v>Ставрополь</v>
      </c>
      <c r="J4269">
        <f>VLOOKUP(D4269,Товары!A:I,4,0)</f>
        <v>18405</v>
      </c>
      <c r="K4269">
        <f t="shared" si="66"/>
        <v>55215</v>
      </c>
    </row>
    <row r="4270" spans="1:11" hidden="1" x14ac:dyDescent="0.25">
      <c r="A4270">
        <v>4269</v>
      </c>
      <c r="B4270" s="1">
        <v>45750</v>
      </c>
      <c r="C4270" t="s">
        <v>54</v>
      </c>
      <c r="D4270" t="s">
        <v>72</v>
      </c>
      <c r="E4270" t="s">
        <v>13</v>
      </c>
      <c r="F4270">
        <v>2</v>
      </c>
      <c r="G4270" t="str">
        <f>VLOOKUP(D4270,Товары!A:I,3,0)</f>
        <v>Тумба с раковиной  напол. Сохо 600 белый 2 ящика с умыв. Океан</v>
      </c>
      <c r="H4270">
        <f>VLOOKUP(D4270,Товары!A:I,6,0)</f>
        <v>85</v>
      </c>
      <c r="I4270" t="str">
        <f>VLOOKUP(C4270,Магазины!A:C,3,0)</f>
        <v>Ставрополь</v>
      </c>
      <c r="J4270">
        <f>VLOOKUP(D4270,Товары!A:I,4,0)</f>
        <v>16140</v>
      </c>
      <c r="K4270">
        <f t="shared" si="66"/>
        <v>32280</v>
      </c>
    </row>
    <row r="4271" spans="1:11" hidden="1" x14ac:dyDescent="0.25">
      <c r="A4271">
        <v>4270</v>
      </c>
      <c r="B4271" s="1">
        <v>45755</v>
      </c>
      <c r="C4271" t="s">
        <v>54</v>
      </c>
      <c r="D4271" t="s">
        <v>80</v>
      </c>
      <c r="E4271" t="s">
        <v>13</v>
      </c>
      <c r="F4271">
        <v>3</v>
      </c>
      <c r="G4271" t="str">
        <f>VLOOKUP(D4271,Товары!A:I,3,0)</f>
        <v>Тумба с раковиной  навес. Сохо 600 белый 2 ящика с умыв. Океан</v>
      </c>
      <c r="H4271">
        <f>VLOOKUP(D4271,Товары!A:I,6,0)</f>
        <v>55</v>
      </c>
      <c r="I4271" t="str">
        <f>VLOOKUP(C4271,Магазины!A:C,3,0)</f>
        <v>Ставрополь</v>
      </c>
      <c r="J4271">
        <f>VLOOKUP(D4271,Товары!A:I,4,0)</f>
        <v>13950</v>
      </c>
      <c r="K4271">
        <f t="shared" si="66"/>
        <v>41850</v>
      </c>
    </row>
    <row r="4272" spans="1:11" hidden="1" x14ac:dyDescent="0.25">
      <c r="A4272">
        <v>4271</v>
      </c>
      <c r="B4272" s="1">
        <v>45755</v>
      </c>
      <c r="C4272" t="s">
        <v>9</v>
      </c>
      <c r="D4272" t="s">
        <v>128</v>
      </c>
      <c r="E4272" t="s">
        <v>8</v>
      </c>
      <c r="F4272">
        <v>3</v>
      </c>
      <c r="G4272" t="str">
        <f>VLOOKUP(D4272,Товары!A:I,3,0)</f>
        <v>Тумба с раковиной  напол. Куба Риф 1000 белый 2 ящика с умыв. Слим</v>
      </c>
      <c r="H4272">
        <f>VLOOKUP(D4272,Товары!A:I,6,0)</f>
        <v>85</v>
      </c>
      <c r="I4272" t="str">
        <f>VLOOKUP(C4272,Магазины!A:C,3,0)</f>
        <v>Кемерово</v>
      </c>
      <c r="J4272">
        <f>VLOOKUP(D4272,Товары!A:I,4,0)</f>
        <v>22905</v>
      </c>
      <c r="K4272">
        <f t="shared" si="66"/>
        <v>68715</v>
      </c>
    </row>
    <row r="4273" spans="1:11" hidden="1" x14ac:dyDescent="0.25">
      <c r="A4273">
        <v>4272</v>
      </c>
      <c r="B4273" s="1">
        <v>45757</v>
      </c>
      <c r="C4273" t="s">
        <v>33</v>
      </c>
      <c r="D4273" t="s">
        <v>69</v>
      </c>
      <c r="E4273" t="s">
        <v>8</v>
      </c>
      <c r="F4273">
        <v>1</v>
      </c>
      <c r="G4273" t="str">
        <f>VLOOKUP(D4273,Товары!A:I,3,0)</f>
        <v>Пенал навес./напол. Альба 350 антрацит 2 двери</v>
      </c>
      <c r="H4273">
        <f>VLOOKUP(D4273,Товары!A:I,6,0)</f>
        <v>150</v>
      </c>
      <c r="I4273" t="str">
        <f>VLOOKUP(C4273,Магазины!A:C,3,0)</f>
        <v>Набережные Челны</v>
      </c>
      <c r="J4273">
        <f>VLOOKUP(D4273,Товары!A:I,4,0)</f>
        <v>11655</v>
      </c>
      <c r="K4273">
        <f t="shared" si="66"/>
        <v>11655</v>
      </c>
    </row>
    <row r="4274" spans="1:11" hidden="1" x14ac:dyDescent="0.25">
      <c r="A4274">
        <v>4273</v>
      </c>
      <c r="B4274" s="1">
        <v>45748</v>
      </c>
      <c r="C4274" t="s">
        <v>18</v>
      </c>
      <c r="D4274" t="s">
        <v>51</v>
      </c>
      <c r="E4274" t="s">
        <v>13</v>
      </c>
      <c r="F4274">
        <v>2</v>
      </c>
      <c r="G4274" t="str">
        <f>VLOOKUP(D4274,Товары!A:I,3,0)</f>
        <v>Зеркальный шкаф Альба 80 со светильником правый цвет суфле</v>
      </c>
      <c r="H4274">
        <f>VLOOKUP(D4274,Товары!A:I,6,0)</f>
        <v>75</v>
      </c>
      <c r="I4274" t="str">
        <f>VLOOKUP(C4274,Магазины!A:C,3,0)</f>
        <v>Набережные Челны</v>
      </c>
      <c r="J4274">
        <f>VLOOKUP(D4274,Товары!A:I,4,0)</f>
        <v>9930</v>
      </c>
      <c r="K4274">
        <f t="shared" si="66"/>
        <v>19860</v>
      </c>
    </row>
    <row r="4275" spans="1:11" hidden="1" x14ac:dyDescent="0.25">
      <c r="A4275">
        <v>4274</v>
      </c>
      <c r="B4275" s="1">
        <v>45757</v>
      </c>
      <c r="C4275" t="s">
        <v>35</v>
      </c>
      <c r="D4275" t="s">
        <v>70</v>
      </c>
      <c r="E4275" t="s">
        <v>8</v>
      </c>
      <c r="F4275">
        <v>2</v>
      </c>
      <c r="G4275" t="str">
        <f>VLOOKUP(D4275,Товары!A:I,3,0)</f>
        <v>Тумба с раковиной  напол. Кристалл 700 шато азур 2 ящика с умыв. Слим</v>
      </c>
      <c r="H4275">
        <f>VLOOKUP(D4275,Товары!A:I,6,0)</f>
        <v>85</v>
      </c>
      <c r="I4275" t="str">
        <f>VLOOKUP(C4275,Магазины!A:C,3,0)</f>
        <v>Набережные Челны</v>
      </c>
      <c r="J4275">
        <f>VLOOKUP(D4275,Товары!A:I,4,0)</f>
        <v>29910</v>
      </c>
      <c r="K4275">
        <f t="shared" si="66"/>
        <v>59820</v>
      </c>
    </row>
    <row r="4276" spans="1:11" hidden="1" x14ac:dyDescent="0.25">
      <c r="A4276">
        <v>4275</v>
      </c>
      <c r="B4276" s="1">
        <v>45749</v>
      </c>
      <c r="C4276" t="s">
        <v>18</v>
      </c>
      <c r="D4276" t="s">
        <v>100</v>
      </c>
      <c r="E4276" t="s">
        <v>13</v>
      </c>
      <c r="F4276">
        <v>3</v>
      </c>
      <c r="G4276" t="str">
        <f>VLOOKUP(D4276,Товары!A:I,3,0)</f>
        <v>Тумба с раковиной  навес. Альба 800 мята 1 ящик с умыв. Слим</v>
      </c>
      <c r="H4276">
        <f>VLOOKUP(D4276,Товары!A:I,6,0)</f>
        <v>45</v>
      </c>
      <c r="I4276" t="str">
        <f>VLOOKUP(C4276,Магазины!A:C,3,0)</f>
        <v>Набережные Челны</v>
      </c>
      <c r="J4276">
        <f>VLOOKUP(D4276,Товары!A:I,4,0)</f>
        <v>21630</v>
      </c>
      <c r="K4276">
        <f t="shared" si="66"/>
        <v>64890</v>
      </c>
    </row>
    <row r="4277" spans="1:11" hidden="1" x14ac:dyDescent="0.25">
      <c r="A4277">
        <v>4276</v>
      </c>
      <c r="B4277" s="1">
        <v>45753</v>
      </c>
      <c r="C4277" t="s">
        <v>6</v>
      </c>
      <c r="D4277" t="s">
        <v>79</v>
      </c>
      <c r="E4277" t="s">
        <v>8</v>
      </c>
      <c r="F4277">
        <v>1</v>
      </c>
      <c r="G4277" t="str">
        <f>VLOOKUP(D4277,Товары!A:I,3,0)</f>
        <v>Зеркальный шкаф Альба 70 со светильником правый цвет мята</v>
      </c>
      <c r="H4277">
        <f>VLOOKUP(D4277,Товары!A:I,6,0)</f>
        <v>75</v>
      </c>
      <c r="I4277" t="str">
        <f>VLOOKUP(C4277,Магазины!A:C,3,0)</f>
        <v>Оренбург</v>
      </c>
      <c r="J4277">
        <f>VLOOKUP(D4277,Товары!A:I,4,0)</f>
        <v>9615</v>
      </c>
      <c r="K4277">
        <f t="shared" si="66"/>
        <v>9615</v>
      </c>
    </row>
    <row r="4278" spans="1:11" hidden="1" x14ac:dyDescent="0.25">
      <c r="A4278">
        <v>4277</v>
      </c>
      <c r="B4278" s="1">
        <v>45749</v>
      </c>
      <c r="C4278" t="s">
        <v>30</v>
      </c>
      <c r="D4278" t="s">
        <v>99</v>
      </c>
      <c r="E4278" t="s">
        <v>13</v>
      </c>
      <c r="F4278">
        <v>1</v>
      </c>
      <c r="G4278" t="str">
        <f>VLOOKUP(D4278,Товары!A:I,3,0)</f>
        <v>Тумба с раковиной  навес. Леон 600 оникс 2 ящика с умыв. Слим</v>
      </c>
      <c r="H4278">
        <f>VLOOKUP(D4278,Товары!A:I,6,0)</f>
        <v>60</v>
      </c>
      <c r="I4278" t="str">
        <f>VLOOKUP(C4278,Магазины!A:C,3,0)</f>
        <v>Кемерово</v>
      </c>
      <c r="J4278">
        <f>VLOOKUP(D4278,Товары!A:I,4,0)</f>
        <v>25125</v>
      </c>
      <c r="K4278">
        <f t="shared" si="66"/>
        <v>25125</v>
      </c>
    </row>
    <row r="4279" spans="1:11" hidden="1" x14ac:dyDescent="0.25">
      <c r="A4279">
        <v>4278</v>
      </c>
      <c r="B4279" s="1">
        <v>45755</v>
      </c>
      <c r="C4279" t="s">
        <v>58</v>
      </c>
      <c r="D4279" t="s">
        <v>67</v>
      </c>
      <c r="E4279" t="s">
        <v>13</v>
      </c>
      <c r="F4279">
        <v>3</v>
      </c>
      <c r="G4279" t="str">
        <f>VLOOKUP(D4279,Товары!A:I,3,0)</f>
        <v>Пенал навес./напол. Альба 350 суфле 2 двери</v>
      </c>
      <c r="H4279">
        <f>VLOOKUP(D4279,Товары!A:I,6,0)</f>
        <v>150</v>
      </c>
      <c r="I4279" t="str">
        <f>VLOOKUP(C4279,Магазины!A:C,3,0)</f>
        <v>Ставрополь</v>
      </c>
      <c r="J4279">
        <f>VLOOKUP(D4279,Товары!A:I,4,0)</f>
        <v>11655</v>
      </c>
      <c r="K4279">
        <f t="shared" si="66"/>
        <v>34965</v>
      </c>
    </row>
    <row r="4280" spans="1:11" hidden="1" x14ac:dyDescent="0.25">
      <c r="A4280">
        <v>4279</v>
      </c>
      <c r="B4280" s="1">
        <v>45748</v>
      </c>
      <c r="C4280" t="s">
        <v>18</v>
      </c>
      <c r="D4280" t="s">
        <v>114</v>
      </c>
      <c r="E4280" t="s">
        <v>8</v>
      </c>
      <c r="F4280">
        <v>2</v>
      </c>
      <c r="G4280" t="str">
        <f>VLOOKUP(D4280,Товары!A:I,3,0)</f>
        <v>Тумба с раковиной  навес. Альба 700 мята 2 ящика с умыв. Слим</v>
      </c>
      <c r="H4280">
        <f>VLOOKUP(D4280,Товары!A:I,6,0)</f>
        <v>60</v>
      </c>
      <c r="I4280" t="str">
        <f>VLOOKUP(C4280,Магазины!A:C,3,0)</f>
        <v>Набережные Челны</v>
      </c>
      <c r="J4280">
        <f>VLOOKUP(D4280,Товары!A:I,4,0)</f>
        <v>25095</v>
      </c>
      <c r="K4280">
        <f t="shared" si="66"/>
        <v>50190</v>
      </c>
    </row>
    <row r="4281" spans="1:11" hidden="1" x14ac:dyDescent="0.25">
      <c r="A4281">
        <v>4280</v>
      </c>
      <c r="B4281" s="1">
        <v>45751</v>
      </c>
      <c r="C4281" t="s">
        <v>48</v>
      </c>
      <c r="D4281" t="s">
        <v>60</v>
      </c>
      <c r="E4281" t="s">
        <v>8</v>
      </c>
      <c r="F4281">
        <v>1</v>
      </c>
      <c r="G4281" t="str">
        <f>VLOOKUP(D4281,Товары!A:I,3,0)</f>
        <v>Пенал навес. Куба Риф 350 белый 2 двери</v>
      </c>
      <c r="H4281">
        <f>VLOOKUP(D4281,Товары!A:I,6,0)</f>
        <v>150</v>
      </c>
      <c r="I4281" t="str">
        <f>VLOOKUP(C4281,Магазины!A:C,3,0)</f>
        <v>Ставрополь</v>
      </c>
      <c r="J4281">
        <f>VLOOKUP(D4281,Товары!A:I,4,0)</f>
        <v>9720</v>
      </c>
      <c r="K4281">
        <f t="shared" si="66"/>
        <v>9720</v>
      </c>
    </row>
    <row r="4282" spans="1:11" hidden="1" x14ac:dyDescent="0.25">
      <c r="A4282">
        <v>4281</v>
      </c>
      <c r="B4282" s="1">
        <v>45751</v>
      </c>
      <c r="C4282" t="s">
        <v>111</v>
      </c>
      <c r="D4282" t="s">
        <v>106</v>
      </c>
      <c r="E4282" t="s">
        <v>8</v>
      </c>
      <c r="F4282">
        <v>2</v>
      </c>
      <c r="G4282" t="str">
        <f>VLOOKUP(D4282,Товары!A:I,3,0)</f>
        <v>Тумба с раковиной  навес. Кристалл 700 шато азур 2 ящика с умыв. Слим</v>
      </c>
      <c r="H4282">
        <f>VLOOKUP(D4282,Товары!A:I,6,0)</f>
        <v>60</v>
      </c>
      <c r="I4282" t="str">
        <f>VLOOKUP(C4282,Магазины!A:C,3,0)</f>
        <v>Набережные Челны</v>
      </c>
      <c r="J4282">
        <f>VLOOKUP(D4282,Товары!A:I,4,0)</f>
        <v>24150</v>
      </c>
      <c r="K4282">
        <f t="shared" si="66"/>
        <v>48300</v>
      </c>
    </row>
    <row r="4283" spans="1:11" hidden="1" x14ac:dyDescent="0.25">
      <c r="A4283">
        <v>4282</v>
      </c>
      <c r="B4283" s="1">
        <v>45752</v>
      </c>
      <c r="C4283" t="s">
        <v>33</v>
      </c>
      <c r="D4283" t="s">
        <v>42</v>
      </c>
      <c r="E4283" t="s">
        <v>13</v>
      </c>
      <c r="F4283">
        <v>3</v>
      </c>
      <c r="G4283" t="str">
        <f>VLOOKUP(D4283,Товары!A:I,3,0)</f>
        <v>Тумба под стиральную машину Леон Риф 57 подвесная 2 ящика под ст/маш, без умывальника /под Marshall 120 Солярис/Белый Риф</v>
      </c>
      <c r="H4283">
        <f>VLOOKUP(D4283,Товары!A:I,6,0)</f>
        <v>60</v>
      </c>
      <c r="I4283" t="str">
        <f>VLOOKUP(C4283,Магазины!A:C,3,0)</f>
        <v>Набережные Челны</v>
      </c>
      <c r="J4283">
        <f>VLOOKUP(D4283,Товары!A:I,4,0)</f>
        <v>15495</v>
      </c>
      <c r="K4283">
        <f t="shared" si="66"/>
        <v>46485</v>
      </c>
    </row>
    <row r="4284" spans="1:11" hidden="1" x14ac:dyDescent="0.25">
      <c r="A4284">
        <v>4283</v>
      </c>
      <c r="B4284" s="1">
        <v>45754</v>
      </c>
      <c r="C4284" t="s">
        <v>16</v>
      </c>
      <c r="D4284" t="s">
        <v>82</v>
      </c>
      <c r="E4284" t="s">
        <v>13</v>
      </c>
      <c r="F4284">
        <v>2</v>
      </c>
      <c r="G4284" t="str">
        <f>VLOOKUP(D4284,Товары!A:I,3,0)</f>
        <v>Тумба с раковиной  навес. Леон 800 форест 2 ящика с умыв. Слим</v>
      </c>
      <c r="H4284">
        <f>VLOOKUP(D4284,Товары!A:I,6,0)</f>
        <v>60</v>
      </c>
      <c r="I4284" t="str">
        <f>VLOOKUP(C4284,Магазины!A:C,3,0)</f>
        <v>Оренбург</v>
      </c>
      <c r="J4284">
        <f>VLOOKUP(D4284,Товары!A:I,4,0)</f>
        <v>27930</v>
      </c>
      <c r="K4284">
        <f t="shared" si="66"/>
        <v>55860</v>
      </c>
    </row>
    <row r="4285" spans="1:11" hidden="1" x14ac:dyDescent="0.25">
      <c r="A4285">
        <v>4284</v>
      </c>
      <c r="B4285" s="1">
        <v>45749</v>
      </c>
      <c r="C4285" t="s">
        <v>111</v>
      </c>
      <c r="D4285" t="s">
        <v>129</v>
      </c>
      <c r="E4285" t="s">
        <v>13</v>
      </c>
      <c r="F4285">
        <v>3</v>
      </c>
      <c r="G4285" t="str">
        <f>VLOOKUP(D4285,Товары!A:I,3,0)</f>
        <v>Тумба с раковиной  напол. Альба 700 антрацит 2 ящика с умыв. Слим</v>
      </c>
      <c r="H4285">
        <f>VLOOKUP(D4285,Товары!A:I,6,0)</f>
        <v>85</v>
      </c>
      <c r="I4285" t="str">
        <f>VLOOKUP(C4285,Магазины!A:C,3,0)</f>
        <v>Набережные Челны</v>
      </c>
      <c r="J4285">
        <f>VLOOKUP(D4285,Товары!A:I,4,0)</f>
        <v>28695</v>
      </c>
      <c r="K4285">
        <f t="shared" si="66"/>
        <v>86085</v>
      </c>
    </row>
    <row r="4286" spans="1:11" hidden="1" x14ac:dyDescent="0.25">
      <c r="A4286">
        <v>4285</v>
      </c>
      <c r="B4286" s="1">
        <v>45755</v>
      </c>
      <c r="C4286" t="s">
        <v>57</v>
      </c>
      <c r="D4286" t="s">
        <v>76</v>
      </c>
      <c r="E4286" t="s">
        <v>8</v>
      </c>
      <c r="F4286">
        <v>1</v>
      </c>
      <c r="G4286" t="str">
        <f>VLOOKUP(D4286,Товары!A:I,3,0)</f>
        <v>Тумба с раковиной  напол. Леон 600 оникс 2 ящика с умыв. Слим</v>
      </c>
      <c r="H4286">
        <f>VLOOKUP(D4286,Товары!A:I,6,0)</f>
        <v>80</v>
      </c>
      <c r="I4286" t="str">
        <f>VLOOKUP(C4286,Магазины!A:C,3,0)</f>
        <v>Оренбург</v>
      </c>
      <c r="J4286">
        <f>VLOOKUP(D4286,Товары!A:I,4,0)</f>
        <v>25860</v>
      </c>
      <c r="K4286">
        <f t="shared" si="66"/>
        <v>25860</v>
      </c>
    </row>
    <row r="4287" spans="1:11" hidden="1" x14ac:dyDescent="0.25">
      <c r="A4287">
        <v>4286</v>
      </c>
      <c r="B4287" s="1">
        <v>45757</v>
      </c>
      <c r="C4287" t="s">
        <v>41</v>
      </c>
      <c r="D4287" t="s">
        <v>119</v>
      </c>
      <c r="E4287" t="s">
        <v>13</v>
      </c>
      <c r="F4287">
        <v>3</v>
      </c>
      <c r="G4287" t="str">
        <f>VLOOKUP(D4287,Товары!A:I,3,0)</f>
        <v>Пенал навес./напол. Рица 350 cерый/керамика 2 двери</v>
      </c>
      <c r="H4287">
        <f>VLOOKUP(D4287,Товары!A:I,6,0)</f>
        <v>160</v>
      </c>
      <c r="I4287" t="str">
        <f>VLOOKUP(C4287,Магазины!A:C,3,0)</f>
        <v>Ставрополь</v>
      </c>
      <c r="J4287">
        <f>VLOOKUP(D4287,Товары!A:I,4,0)</f>
        <v>11250</v>
      </c>
      <c r="K4287">
        <f t="shared" si="66"/>
        <v>33750</v>
      </c>
    </row>
    <row r="4288" spans="1:11" hidden="1" x14ac:dyDescent="0.25">
      <c r="A4288">
        <v>4287</v>
      </c>
      <c r="B4288" s="1">
        <v>45751</v>
      </c>
      <c r="C4288" t="s">
        <v>58</v>
      </c>
      <c r="D4288" t="s">
        <v>21</v>
      </c>
      <c r="E4288" t="s">
        <v>13</v>
      </c>
      <c r="F4288">
        <v>3</v>
      </c>
      <c r="G4288" t="str">
        <f>VLOOKUP(D4288,Товары!A:I,3,0)</f>
        <v>Зеркальный шкаф Рица 60 со светильником правый цвет cерый/керамика</v>
      </c>
      <c r="H4288">
        <f>VLOOKUP(D4288,Товары!A:I,6,0)</f>
        <v>75</v>
      </c>
      <c r="I4288" t="str">
        <f>VLOOKUP(C4288,Магазины!A:C,3,0)</f>
        <v>Ставрополь</v>
      </c>
      <c r="J4288">
        <f>VLOOKUP(D4288,Товары!A:I,4,0)</f>
        <v>8910</v>
      </c>
      <c r="K4288">
        <f t="shared" si="66"/>
        <v>26730</v>
      </c>
    </row>
    <row r="4289" spans="1:11" hidden="1" x14ac:dyDescent="0.25">
      <c r="A4289">
        <v>4288</v>
      </c>
      <c r="B4289" s="1">
        <v>45753</v>
      </c>
      <c r="C4289" t="s">
        <v>57</v>
      </c>
      <c r="D4289" t="s">
        <v>7</v>
      </c>
      <c r="E4289" t="s">
        <v>8</v>
      </c>
      <c r="F4289">
        <v>2</v>
      </c>
      <c r="G4289" t="str">
        <f>VLOOKUP(D4289,Товары!A:I,3,0)</f>
        <v>Пенал напол. Леон Риф 400 солярис/белый риф 2 двери + 1 ящик</v>
      </c>
      <c r="H4289">
        <f>VLOOKUP(D4289,Товары!A:I,6,0)</f>
        <v>190</v>
      </c>
      <c r="I4289" t="str">
        <f>VLOOKUP(C4289,Магазины!A:C,3,0)</f>
        <v>Оренбург</v>
      </c>
      <c r="J4289">
        <f>VLOOKUP(D4289,Товары!A:I,4,0)</f>
        <v>14490</v>
      </c>
      <c r="K4289">
        <f t="shared" si="66"/>
        <v>28980</v>
      </c>
    </row>
    <row r="4290" spans="1:11" hidden="1" x14ac:dyDescent="0.25">
      <c r="A4290">
        <v>4289</v>
      </c>
      <c r="B4290" s="1">
        <v>45754</v>
      </c>
      <c r="C4290" t="s">
        <v>6</v>
      </c>
      <c r="D4290" t="s">
        <v>105</v>
      </c>
      <c r="E4290" t="s">
        <v>8</v>
      </c>
      <c r="F4290">
        <v>2</v>
      </c>
      <c r="G4290" t="str">
        <f>VLOOKUP(D4290,Товары!A:I,3,0)</f>
        <v>Тумба с раковиной  напол. Нева 600 белый 2 двери + 1 ящик с умыв. Como</v>
      </c>
      <c r="H4290">
        <f>VLOOKUP(D4290,Товары!A:I,6,0)</f>
        <v>80</v>
      </c>
      <c r="I4290" t="str">
        <f>VLOOKUP(C4290,Магазины!A:C,3,0)</f>
        <v>Оренбург</v>
      </c>
      <c r="J4290">
        <f>VLOOKUP(D4290,Товары!A:I,4,0)</f>
        <v>13470</v>
      </c>
      <c r="K4290">
        <f t="shared" si="66"/>
        <v>26940</v>
      </c>
    </row>
    <row r="4291" spans="1:11" hidden="1" x14ac:dyDescent="0.25">
      <c r="A4291">
        <v>4290</v>
      </c>
      <c r="B4291" s="1">
        <v>45749</v>
      </c>
      <c r="C4291" t="s">
        <v>111</v>
      </c>
      <c r="D4291" t="s">
        <v>109</v>
      </c>
      <c r="E4291" t="s">
        <v>13</v>
      </c>
      <c r="F4291">
        <v>3</v>
      </c>
      <c r="G4291" t="str">
        <f>VLOOKUP(D4291,Товары!A:I,3,0)</f>
        <v>Тумба с раковиной  навес. Альба 600 антрацит 2 ящика с умыв. Океан</v>
      </c>
      <c r="H4291">
        <f>VLOOKUP(D4291,Товары!A:I,6,0)</f>
        <v>50</v>
      </c>
      <c r="I4291" t="str">
        <f>VLOOKUP(C4291,Магазины!A:C,3,0)</f>
        <v>Набережные Челны</v>
      </c>
      <c r="J4291">
        <f>VLOOKUP(D4291,Товары!A:I,4,0)</f>
        <v>24810</v>
      </c>
      <c r="K4291">
        <f t="shared" ref="K4291:K4354" si="67">J4291*F4291</f>
        <v>74430</v>
      </c>
    </row>
    <row r="4292" spans="1:11" hidden="1" x14ac:dyDescent="0.25">
      <c r="A4292">
        <v>4291</v>
      </c>
      <c r="B4292" s="1">
        <v>45757</v>
      </c>
      <c r="C4292" t="s">
        <v>28</v>
      </c>
      <c r="D4292" t="s">
        <v>72</v>
      </c>
      <c r="E4292" t="s">
        <v>13</v>
      </c>
      <c r="F4292">
        <v>2</v>
      </c>
      <c r="G4292" t="str">
        <f>VLOOKUP(D4292,Товары!A:I,3,0)</f>
        <v>Тумба с раковиной  напол. Сохо 600 белый 2 ящика с умыв. Океан</v>
      </c>
      <c r="H4292">
        <f>VLOOKUP(D4292,Товары!A:I,6,0)</f>
        <v>85</v>
      </c>
      <c r="I4292" t="str">
        <f>VLOOKUP(C4292,Магазины!A:C,3,0)</f>
        <v>Набережные Челны</v>
      </c>
      <c r="J4292">
        <f>VLOOKUP(D4292,Товары!A:I,4,0)</f>
        <v>16140</v>
      </c>
      <c r="K4292">
        <f t="shared" si="67"/>
        <v>32280</v>
      </c>
    </row>
    <row r="4293" spans="1:11" hidden="1" x14ac:dyDescent="0.25">
      <c r="A4293">
        <v>4292</v>
      </c>
      <c r="B4293" s="1">
        <v>45754</v>
      </c>
      <c r="C4293" t="s">
        <v>14</v>
      </c>
      <c r="D4293" t="s">
        <v>74</v>
      </c>
      <c r="E4293" t="s">
        <v>8</v>
      </c>
      <c r="F4293">
        <v>2</v>
      </c>
      <c r="G4293" t="str">
        <f>VLOOKUP(D4293,Товары!A:I,3,0)</f>
        <v>Тумба с раковиной  напол. Альба 800 суфле 2 ящика с умыв. Слим</v>
      </c>
      <c r="H4293">
        <f>VLOOKUP(D4293,Товары!A:I,6,0)</f>
        <v>80</v>
      </c>
      <c r="I4293" t="str">
        <f>VLOOKUP(C4293,Магазины!A:C,3,0)</f>
        <v>Оренбург</v>
      </c>
      <c r="J4293">
        <f>VLOOKUP(D4293,Товары!A:I,4,0)</f>
        <v>29340</v>
      </c>
      <c r="K4293">
        <f t="shared" si="67"/>
        <v>58680</v>
      </c>
    </row>
    <row r="4294" spans="1:11" hidden="1" x14ac:dyDescent="0.25">
      <c r="A4294">
        <v>4293</v>
      </c>
      <c r="B4294" s="1">
        <v>45757</v>
      </c>
      <c r="C4294" t="s">
        <v>11</v>
      </c>
      <c r="D4294" t="s">
        <v>79</v>
      </c>
      <c r="E4294" t="s">
        <v>8</v>
      </c>
      <c r="F4294">
        <v>1</v>
      </c>
      <c r="G4294" t="str">
        <f>VLOOKUP(D4294,Товары!A:I,3,0)</f>
        <v>Зеркальный шкаф Альба 70 со светильником правый цвет мята</v>
      </c>
      <c r="H4294">
        <f>VLOOKUP(D4294,Товары!A:I,6,0)</f>
        <v>75</v>
      </c>
      <c r="I4294" t="str">
        <f>VLOOKUP(C4294,Магазины!A:C,3,0)</f>
        <v>Кемерово</v>
      </c>
      <c r="J4294">
        <f>VLOOKUP(D4294,Товары!A:I,4,0)</f>
        <v>9615</v>
      </c>
      <c r="K4294">
        <f t="shared" si="67"/>
        <v>9615</v>
      </c>
    </row>
    <row r="4295" spans="1:11" hidden="1" x14ac:dyDescent="0.25">
      <c r="A4295">
        <v>4294</v>
      </c>
      <c r="B4295" s="1">
        <v>45752</v>
      </c>
      <c r="C4295" t="s">
        <v>6</v>
      </c>
      <c r="D4295" t="s">
        <v>32</v>
      </c>
      <c r="E4295" t="s">
        <v>13</v>
      </c>
      <c r="F4295">
        <v>1</v>
      </c>
      <c r="G4295" t="str">
        <f>VLOOKUP(D4295,Товары!A:I,3,0)</f>
        <v>Тумба с раковиной  напол. Леон Риф 700 солярис/белый риф 2 ящика с умыв. Слим</v>
      </c>
      <c r="H4295">
        <f>VLOOKUP(D4295,Товары!A:I,6,0)</f>
        <v>85</v>
      </c>
      <c r="I4295" t="str">
        <f>VLOOKUP(C4295,Магазины!A:C,3,0)</f>
        <v>Оренбург</v>
      </c>
      <c r="J4295">
        <f>VLOOKUP(D4295,Товары!A:I,4,0)</f>
        <v>26460</v>
      </c>
      <c r="K4295">
        <f t="shared" si="67"/>
        <v>26460</v>
      </c>
    </row>
    <row r="4296" spans="1:11" hidden="1" x14ac:dyDescent="0.25">
      <c r="A4296">
        <v>4295</v>
      </c>
      <c r="B4296" s="1">
        <v>45756</v>
      </c>
      <c r="C4296" t="s">
        <v>35</v>
      </c>
      <c r="D4296" t="s">
        <v>80</v>
      </c>
      <c r="E4296" t="s">
        <v>8</v>
      </c>
      <c r="F4296">
        <v>1</v>
      </c>
      <c r="G4296" t="str">
        <f>VLOOKUP(D4296,Товары!A:I,3,0)</f>
        <v>Тумба с раковиной  навес. Сохо 600 белый 2 ящика с умыв. Океан</v>
      </c>
      <c r="H4296">
        <f>VLOOKUP(D4296,Товары!A:I,6,0)</f>
        <v>55</v>
      </c>
      <c r="I4296" t="str">
        <f>VLOOKUP(C4296,Магазины!A:C,3,0)</f>
        <v>Набережные Челны</v>
      </c>
      <c r="J4296">
        <f>VLOOKUP(D4296,Товары!A:I,4,0)</f>
        <v>13950</v>
      </c>
      <c r="K4296">
        <f t="shared" si="67"/>
        <v>13950</v>
      </c>
    </row>
    <row r="4297" spans="1:11" hidden="1" x14ac:dyDescent="0.25">
      <c r="A4297">
        <v>4296</v>
      </c>
      <c r="B4297" s="1">
        <v>45751</v>
      </c>
      <c r="C4297" t="s">
        <v>22</v>
      </c>
      <c r="D4297" t="s">
        <v>73</v>
      </c>
      <c r="E4297" t="s">
        <v>8</v>
      </c>
      <c r="F4297">
        <v>3</v>
      </c>
      <c r="G4297" t="str">
        <f>VLOOKUP(D4297,Товары!A:I,3,0)</f>
        <v>Зеркальный шкаф Альба 70 со светильником правый цвет антрацит</v>
      </c>
      <c r="H4297">
        <f>VLOOKUP(D4297,Товары!A:I,6,0)</f>
        <v>75</v>
      </c>
      <c r="I4297" t="str">
        <f>VLOOKUP(C4297,Магазины!A:C,3,0)</f>
        <v>Кемерово</v>
      </c>
      <c r="J4297">
        <f>VLOOKUP(D4297,Товары!A:I,4,0)</f>
        <v>9615</v>
      </c>
      <c r="K4297">
        <f t="shared" si="67"/>
        <v>28845</v>
      </c>
    </row>
    <row r="4298" spans="1:11" hidden="1" x14ac:dyDescent="0.25">
      <c r="A4298">
        <v>4297</v>
      </c>
      <c r="B4298" s="1">
        <v>45756</v>
      </c>
      <c r="C4298" t="s">
        <v>22</v>
      </c>
      <c r="D4298" t="s">
        <v>50</v>
      </c>
      <c r="E4298" t="s">
        <v>8</v>
      </c>
      <c r="F4298">
        <v>1</v>
      </c>
      <c r="G4298" t="str">
        <f>VLOOKUP(D4298,Товары!A:I,3,0)</f>
        <v>Тумба с раковиной  напол. Леон 800 оникс 2 ящика с умыв. Слим</v>
      </c>
      <c r="H4298">
        <f>VLOOKUP(D4298,Товары!A:I,6,0)</f>
        <v>80</v>
      </c>
      <c r="I4298" t="str">
        <f>VLOOKUP(C4298,Магазины!A:C,3,0)</f>
        <v>Кемерово</v>
      </c>
      <c r="J4298">
        <f>VLOOKUP(D4298,Товары!A:I,4,0)</f>
        <v>29400</v>
      </c>
      <c r="K4298">
        <f t="shared" si="67"/>
        <v>29400</v>
      </c>
    </row>
    <row r="4299" spans="1:11" hidden="1" x14ac:dyDescent="0.25">
      <c r="A4299">
        <v>4298</v>
      </c>
      <c r="B4299" s="1">
        <v>45751</v>
      </c>
      <c r="C4299" t="s">
        <v>28</v>
      </c>
      <c r="D4299" t="s">
        <v>52</v>
      </c>
      <c r="E4299" t="s">
        <v>13</v>
      </c>
      <c r="F4299">
        <v>2</v>
      </c>
      <c r="G4299" t="str">
        <f>VLOOKUP(D4299,Товары!A:I,3,0)</f>
        <v>Тумба с раковиной  напол. Кристалл 600 суфле 2 ящика с умыв. Океан</v>
      </c>
      <c r="H4299">
        <f>VLOOKUP(D4299,Товары!A:I,6,0)</f>
        <v>80</v>
      </c>
      <c r="I4299" t="str">
        <f>VLOOKUP(C4299,Магазины!A:C,3,0)</f>
        <v>Набережные Челны</v>
      </c>
      <c r="J4299">
        <f>VLOOKUP(D4299,Товары!A:I,4,0)</f>
        <v>27600</v>
      </c>
      <c r="K4299">
        <f t="shared" si="67"/>
        <v>55200</v>
      </c>
    </row>
    <row r="4300" spans="1:11" hidden="1" x14ac:dyDescent="0.25">
      <c r="A4300">
        <v>4299</v>
      </c>
      <c r="B4300" s="1">
        <v>45752</v>
      </c>
      <c r="C4300" t="s">
        <v>9</v>
      </c>
      <c r="D4300" t="s">
        <v>131</v>
      </c>
      <c r="E4300" t="s">
        <v>13</v>
      </c>
      <c r="F4300">
        <v>3</v>
      </c>
      <c r="G4300" t="str">
        <f>VLOOKUP(D4300,Товары!A:I,3,0)</f>
        <v>Тумба с раковиной  напол. Леон 800 форест 2 ящика с умыв. Слим</v>
      </c>
      <c r="H4300">
        <f>VLOOKUP(D4300,Товары!A:I,6,0)</f>
        <v>80</v>
      </c>
      <c r="I4300" t="str">
        <f>VLOOKUP(C4300,Магазины!A:C,3,0)</f>
        <v>Кемерово</v>
      </c>
      <c r="J4300">
        <f>VLOOKUP(D4300,Товары!A:I,4,0)</f>
        <v>29400</v>
      </c>
      <c r="K4300">
        <f t="shared" si="67"/>
        <v>88200</v>
      </c>
    </row>
    <row r="4301" spans="1:11" hidden="1" x14ac:dyDescent="0.25">
      <c r="A4301">
        <v>4300</v>
      </c>
      <c r="B4301" s="1">
        <v>45752</v>
      </c>
      <c r="C4301" t="s">
        <v>41</v>
      </c>
      <c r="D4301" t="s">
        <v>83</v>
      </c>
      <c r="E4301" t="s">
        <v>13</v>
      </c>
      <c r="F4301">
        <v>1</v>
      </c>
      <c r="G4301" t="str">
        <f>VLOOKUP(D4301,Товары!A:I,3,0)</f>
        <v>Зеркальный шкаф Альба 60 со светильником правый цвет суфле</v>
      </c>
      <c r="H4301">
        <f>VLOOKUP(D4301,Товары!A:I,6,0)</f>
        <v>75</v>
      </c>
      <c r="I4301" t="str">
        <f>VLOOKUP(C4301,Магазины!A:C,3,0)</f>
        <v>Ставрополь</v>
      </c>
      <c r="J4301">
        <f>VLOOKUP(D4301,Товары!A:I,4,0)</f>
        <v>8910</v>
      </c>
      <c r="K4301">
        <f t="shared" si="67"/>
        <v>8910</v>
      </c>
    </row>
    <row r="4302" spans="1:11" hidden="1" x14ac:dyDescent="0.25">
      <c r="A4302">
        <v>4301</v>
      </c>
      <c r="B4302" s="1">
        <v>45749</v>
      </c>
      <c r="C4302" t="s">
        <v>26</v>
      </c>
      <c r="D4302" t="s">
        <v>15</v>
      </c>
      <c r="E4302" t="s">
        <v>8</v>
      </c>
      <c r="F4302">
        <v>3</v>
      </c>
      <c r="G4302" t="str">
        <f>VLOOKUP(D4302,Товары!A:I,3,0)</f>
        <v>Зеркальный шкаф Кристалл 60 со светильником правый, ручка кнопка дуб цвет Шато Азур</v>
      </c>
      <c r="H4302">
        <f>VLOOKUP(D4302,Товары!A:I,6,0)</f>
        <v>75</v>
      </c>
      <c r="I4302" t="str">
        <f>VLOOKUP(C4302,Магазины!A:C,3,0)</f>
        <v>Оренбург</v>
      </c>
      <c r="J4302">
        <f>VLOOKUP(D4302,Товары!A:I,4,0)</f>
        <v>9195</v>
      </c>
      <c r="K4302">
        <f t="shared" si="67"/>
        <v>27585</v>
      </c>
    </row>
    <row r="4303" spans="1:11" hidden="1" x14ac:dyDescent="0.25">
      <c r="A4303">
        <v>4302</v>
      </c>
      <c r="B4303" s="1">
        <v>45755</v>
      </c>
      <c r="C4303" t="s">
        <v>111</v>
      </c>
      <c r="D4303" t="s">
        <v>60</v>
      </c>
      <c r="E4303" t="s">
        <v>8</v>
      </c>
      <c r="F4303">
        <v>2</v>
      </c>
      <c r="G4303" t="str">
        <f>VLOOKUP(D4303,Товары!A:I,3,0)</f>
        <v>Пенал навес. Куба Риф 350 белый 2 двери</v>
      </c>
      <c r="H4303">
        <f>VLOOKUP(D4303,Товары!A:I,6,0)</f>
        <v>150</v>
      </c>
      <c r="I4303" t="str">
        <f>VLOOKUP(C4303,Магазины!A:C,3,0)</f>
        <v>Набережные Челны</v>
      </c>
      <c r="J4303">
        <f>VLOOKUP(D4303,Товары!A:I,4,0)</f>
        <v>9720</v>
      </c>
      <c r="K4303">
        <f t="shared" si="67"/>
        <v>19440</v>
      </c>
    </row>
    <row r="4304" spans="1:11" hidden="1" x14ac:dyDescent="0.25">
      <c r="A4304">
        <v>4303</v>
      </c>
      <c r="B4304" s="1">
        <v>45749</v>
      </c>
      <c r="C4304" t="s">
        <v>30</v>
      </c>
      <c r="D4304" t="s">
        <v>23</v>
      </c>
      <c r="E4304" t="s">
        <v>8</v>
      </c>
      <c r="F4304">
        <v>2</v>
      </c>
      <c r="G4304" t="str">
        <f>VLOOKUP(D4304,Товары!A:I,3,0)</f>
        <v>Тумба с раковиной  напол. Альба 800 антрацит 2 ящика с умыв. Слим</v>
      </c>
      <c r="H4304">
        <f>VLOOKUP(D4304,Товары!A:I,6,0)</f>
        <v>80</v>
      </c>
      <c r="I4304" t="str">
        <f>VLOOKUP(C4304,Магазины!A:C,3,0)</f>
        <v>Кемерово</v>
      </c>
      <c r="J4304">
        <f>VLOOKUP(D4304,Товары!A:I,4,0)</f>
        <v>29340</v>
      </c>
      <c r="K4304">
        <f t="shared" si="67"/>
        <v>58680</v>
      </c>
    </row>
    <row r="4305" spans="1:11" hidden="1" x14ac:dyDescent="0.25">
      <c r="A4305">
        <v>4304</v>
      </c>
      <c r="B4305" s="1">
        <v>45749</v>
      </c>
      <c r="C4305" t="s">
        <v>16</v>
      </c>
      <c r="D4305" t="s">
        <v>74</v>
      </c>
      <c r="E4305" t="s">
        <v>13</v>
      </c>
      <c r="F4305">
        <v>1</v>
      </c>
      <c r="G4305" t="str">
        <f>VLOOKUP(D4305,Товары!A:I,3,0)</f>
        <v>Тумба с раковиной  напол. Альба 800 суфле 2 ящика с умыв. Слим</v>
      </c>
      <c r="H4305">
        <f>VLOOKUP(D4305,Товары!A:I,6,0)</f>
        <v>80</v>
      </c>
      <c r="I4305" t="str">
        <f>VLOOKUP(C4305,Магазины!A:C,3,0)</f>
        <v>Оренбург</v>
      </c>
      <c r="J4305">
        <f>VLOOKUP(D4305,Товары!A:I,4,0)</f>
        <v>29340</v>
      </c>
      <c r="K4305">
        <f t="shared" si="67"/>
        <v>29340</v>
      </c>
    </row>
    <row r="4306" spans="1:11" hidden="1" x14ac:dyDescent="0.25">
      <c r="A4306">
        <v>4305</v>
      </c>
      <c r="B4306" s="1">
        <v>45753</v>
      </c>
      <c r="C4306" t="s">
        <v>14</v>
      </c>
      <c r="D4306" t="s">
        <v>38</v>
      </c>
      <c r="E4306" t="s">
        <v>13</v>
      </c>
      <c r="F4306">
        <v>3</v>
      </c>
      <c r="G4306" t="str">
        <f>VLOOKUP(D4306,Товары!A:I,3,0)</f>
        <v>Тумба с раковиной  навес. Куба Риф 600 белый 2 ящика с умыв. Como</v>
      </c>
      <c r="H4306">
        <f>VLOOKUP(D4306,Товары!A:I,6,0)</f>
        <v>55</v>
      </c>
      <c r="I4306" t="str">
        <f>VLOOKUP(C4306,Магазины!A:C,3,0)</f>
        <v>Оренбург</v>
      </c>
      <c r="J4306">
        <f>VLOOKUP(D4306,Товары!A:I,4,0)</f>
        <v>14265</v>
      </c>
      <c r="K4306">
        <f t="shared" si="67"/>
        <v>42795</v>
      </c>
    </row>
    <row r="4307" spans="1:11" hidden="1" x14ac:dyDescent="0.25">
      <c r="A4307">
        <v>4306</v>
      </c>
      <c r="B4307" s="1">
        <v>45748</v>
      </c>
      <c r="C4307" t="s">
        <v>63</v>
      </c>
      <c r="D4307" t="s">
        <v>65</v>
      </c>
      <c r="E4307" t="s">
        <v>13</v>
      </c>
      <c r="F4307">
        <v>1</v>
      </c>
      <c r="G4307" t="str">
        <f>VLOOKUP(D4307,Товары!A:I,3,0)</f>
        <v>Тумба с раковиной  навес. Альба 800 суфле 2 ящика с умыв. Слим</v>
      </c>
      <c r="H4307">
        <f>VLOOKUP(D4307,Товары!A:I,6,0)</f>
        <v>50</v>
      </c>
      <c r="I4307" t="str">
        <f>VLOOKUP(C4307,Магазины!A:C,3,0)</f>
        <v>Ставрополь</v>
      </c>
      <c r="J4307">
        <f>VLOOKUP(D4307,Товары!A:I,4,0)</f>
        <v>26070</v>
      </c>
      <c r="K4307">
        <f t="shared" si="67"/>
        <v>26070</v>
      </c>
    </row>
    <row r="4308" spans="1:11" hidden="1" x14ac:dyDescent="0.25">
      <c r="A4308">
        <v>4307</v>
      </c>
      <c r="B4308" s="1">
        <v>45756</v>
      </c>
      <c r="C4308" t="s">
        <v>63</v>
      </c>
      <c r="D4308" t="s">
        <v>25</v>
      </c>
      <c r="E4308" t="s">
        <v>13</v>
      </c>
      <c r="F4308">
        <v>3</v>
      </c>
      <c r="G4308" t="str">
        <f>VLOOKUP(D4308,Товары!A:I,3,0)</f>
        <v>Пенал напол. Леон 400 оникс 2 двери + 1 ящик</v>
      </c>
      <c r="H4308">
        <f>VLOOKUP(D4308,Товары!A:I,6,0)</f>
        <v>190</v>
      </c>
      <c r="I4308" t="str">
        <f>VLOOKUP(C4308,Магазины!A:C,3,0)</f>
        <v>Ставрополь</v>
      </c>
      <c r="J4308">
        <f>VLOOKUP(D4308,Товары!A:I,4,0)</f>
        <v>18450</v>
      </c>
      <c r="K4308">
        <f t="shared" si="67"/>
        <v>55350</v>
      </c>
    </row>
    <row r="4309" spans="1:11" hidden="1" x14ac:dyDescent="0.25">
      <c r="A4309">
        <v>4308</v>
      </c>
      <c r="B4309" s="1">
        <v>45756</v>
      </c>
      <c r="C4309" t="s">
        <v>20</v>
      </c>
      <c r="D4309" t="s">
        <v>40</v>
      </c>
      <c r="E4309" t="s">
        <v>8</v>
      </c>
      <c r="F4309">
        <v>2</v>
      </c>
      <c r="G4309" t="str">
        <f>VLOOKUP(D4309,Товары!A:I,3,0)</f>
        <v>Тумба с раковиной  навес. Рица 800 cерый/керамика 1 ящик + ниша 1 с умыв. Слим</v>
      </c>
      <c r="H4309">
        <f>VLOOKUP(D4309,Товары!A:I,6,0)</f>
        <v>60</v>
      </c>
      <c r="I4309" t="str">
        <f>VLOOKUP(C4309,Магазины!A:C,3,0)</f>
        <v>Оренбург</v>
      </c>
      <c r="J4309">
        <f>VLOOKUP(D4309,Товары!A:I,4,0)</f>
        <v>22425</v>
      </c>
      <c r="K4309">
        <f t="shared" si="67"/>
        <v>44850</v>
      </c>
    </row>
    <row r="4310" spans="1:11" hidden="1" x14ac:dyDescent="0.25">
      <c r="A4310">
        <v>4309</v>
      </c>
      <c r="B4310" s="1">
        <v>45753</v>
      </c>
      <c r="C4310" t="s">
        <v>41</v>
      </c>
      <c r="D4310" t="s">
        <v>53</v>
      </c>
      <c r="E4310" t="s">
        <v>8</v>
      </c>
      <c r="F4310">
        <v>1</v>
      </c>
      <c r="G4310" t="str">
        <f>VLOOKUP(D4310,Товары!A:I,3,0)</f>
        <v>Тумба с раковиной  напол. Кристалл 600 шато азур 2 ящика с умыв. Океан</v>
      </c>
      <c r="H4310">
        <f>VLOOKUP(D4310,Товары!A:I,6,0)</f>
        <v>85</v>
      </c>
      <c r="I4310" t="str">
        <f>VLOOKUP(C4310,Магазины!A:C,3,0)</f>
        <v>Ставрополь</v>
      </c>
      <c r="J4310">
        <f>VLOOKUP(D4310,Товары!A:I,4,0)</f>
        <v>27600</v>
      </c>
      <c r="K4310">
        <f t="shared" si="67"/>
        <v>27600</v>
      </c>
    </row>
    <row r="4311" spans="1:11" hidden="1" x14ac:dyDescent="0.25">
      <c r="A4311">
        <v>4310</v>
      </c>
      <c r="B4311" s="1">
        <v>45748</v>
      </c>
      <c r="C4311" t="s">
        <v>41</v>
      </c>
      <c r="D4311" t="s">
        <v>121</v>
      </c>
      <c r="E4311" t="s">
        <v>13</v>
      </c>
      <c r="F4311">
        <v>1</v>
      </c>
      <c r="G4311" t="str">
        <f>VLOOKUP(D4311,Товары!A:I,3,0)</f>
        <v>Тумба с раковиной  напол. Куба Риф 600 белый 2 двери с умыв. Como</v>
      </c>
      <c r="H4311">
        <f>VLOOKUP(D4311,Товары!A:I,6,0)</f>
        <v>85</v>
      </c>
      <c r="I4311" t="str">
        <f>VLOOKUP(C4311,Магазины!A:C,3,0)</f>
        <v>Ставрополь</v>
      </c>
      <c r="J4311">
        <f>VLOOKUP(D4311,Товары!A:I,4,0)</f>
        <v>13695</v>
      </c>
      <c r="K4311">
        <f t="shared" si="67"/>
        <v>13695</v>
      </c>
    </row>
    <row r="4312" spans="1:11" hidden="1" x14ac:dyDescent="0.25">
      <c r="A4312">
        <v>4311</v>
      </c>
      <c r="B4312" s="1">
        <v>45754</v>
      </c>
      <c r="C4312" t="s">
        <v>48</v>
      </c>
      <c r="D4312" t="s">
        <v>15</v>
      </c>
      <c r="E4312" t="s">
        <v>8</v>
      </c>
      <c r="F4312">
        <v>1</v>
      </c>
      <c r="G4312" t="str">
        <f>VLOOKUP(D4312,Товары!A:I,3,0)</f>
        <v>Зеркальный шкаф Кристалл 60 со светильником правый, ручка кнопка дуб цвет Шато Азур</v>
      </c>
      <c r="H4312">
        <f>VLOOKUP(D4312,Товары!A:I,6,0)</f>
        <v>75</v>
      </c>
      <c r="I4312" t="str">
        <f>VLOOKUP(C4312,Магазины!A:C,3,0)</f>
        <v>Ставрополь</v>
      </c>
      <c r="J4312">
        <f>VLOOKUP(D4312,Товары!A:I,4,0)</f>
        <v>9195</v>
      </c>
      <c r="K4312">
        <f t="shared" si="67"/>
        <v>9195</v>
      </c>
    </row>
    <row r="4313" spans="1:11" hidden="1" x14ac:dyDescent="0.25">
      <c r="A4313">
        <v>4312</v>
      </c>
      <c r="B4313" s="1">
        <v>45753</v>
      </c>
      <c r="C4313" t="s">
        <v>92</v>
      </c>
      <c r="D4313" t="s">
        <v>12</v>
      </c>
      <c r="E4313" t="s">
        <v>8</v>
      </c>
      <c r="F4313">
        <v>1</v>
      </c>
      <c r="G4313" t="str">
        <f>VLOOKUP(D4313,Товары!A:I,3,0)</f>
        <v>Тумба с раковиной  напол. Сохо 700 белый 2 двери с умыв. Слим</v>
      </c>
      <c r="H4313">
        <f>VLOOKUP(D4313,Товары!A:I,6,0)</f>
        <v>85</v>
      </c>
      <c r="I4313" t="str">
        <f>VLOOKUP(C4313,Магазины!A:C,3,0)</f>
        <v>Кемерово</v>
      </c>
      <c r="J4313">
        <f>VLOOKUP(D4313,Товары!A:I,4,0)</f>
        <v>17160</v>
      </c>
      <c r="K4313">
        <f t="shared" si="67"/>
        <v>17160</v>
      </c>
    </row>
    <row r="4314" spans="1:11" hidden="1" x14ac:dyDescent="0.25">
      <c r="A4314">
        <v>4313</v>
      </c>
      <c r="B4314" s="1">
        <v>45757</v>
      </c>
      <c r="C4314" t="s">
        <v>30</v>
      </c>
      <c r="D4314" t="s">
        <v>21</v>
      </c>
      <c r="E4314" t="s">
        <v>13</v>
      </c>
      <c r="F4314">
        <v>2</v>
      </c>
      <c r="G4314" t="str">
        <f>VLOOKUP(D4314,Товары!A:I,3,0)</f>
        <v>Зеркальный шкаф Рица 60 со светильником правый цвет cерый/керамика</v>
      </c>
      <c r="H4314">
        <f>VLOOKUP(D4314,Товары!A:I,6,0)</f>
        <v>75</v>
      </c>
      <c r="I4314" t="str">
        <f>VLOOKUP(C4314,Магазины!A:C,3,0)</f>
        <v>Кемерово</v>
      </c>
      <c r="J4314">
        <f>VLOOKUP(D4314,Товары!A:I,4,0)</f>
        <v>8910</v>
      </c>
      <c r="K4314">
        <f t="shared" si="67"/>
        <v>17820</v>
      </c>
    </row>
    <row r="4315" spans="1:11" hidden="1" x14ac:dyDescent="0.25">
      <c r="A4315">
        <v>4314</v>
      </c>
      <c r="B4315" s="1">
        <v>45754</v>
      </c>
      <c r="C4315" t="s">
        <v>58</v>
      </c>
      <c r="D4315" t="s">
        <v>50</v>
      </c>
      <c r="E4315" t="s">
        <v>13</v>
      </c>
      <c r="F4315">
        <v>1</v>
      </c>
      <c r="G4315" t="str">
        <f>VLOOKUP(D4315,Товары!A:I,3,0)</f>
        <v>Тумба с раковиной  напол. Леон 800 оникс 2 ящика с умыв. Слим</v>
      </c>
      <c r="H4315">
        <f>VLOOKUP(D4315,Товары!A:I,6,0)</f>
        <v>80</v>
      </c>
      <c r="I4315" t="str">
        <f>VLOOKUP(C4315,Магазины!A:C,3,0)</f>
        <v>Ставрополь</v>
      </c>
      <c r="J4315">
        <f>VLOOKUP(D4315,Товары!A:I,4,0)</f>
        <v>29400</v>
      </c>
      <c r="K4315">
        <f t="shared" si="67"/>
        <v>29400</v>
      </c>
    </row>
    <row r="4316" spans="1:11" hidden="1" x14ac:dyDescent="0.25">
      <c r="A4316">
        <v>4315</v>
      </c>
      <c r="B4316" s="1">
        <v>45752</v>
      </c>
      <c r="C4316" t="s">
        <v>9</v>
      </c>
      <c r="D4316" t="s">
        <v>122</v>
      </c>
      <c r="E4316" t="s">
        <v>8</v>
      </c>
      <c r="F4316">
        <v>3</v>
      </c>
      <c r="G4316" t="str">
        <f>VLOOKUP(D4316,Товары!A:I,3,0)</f>
        <v>Тумба с раковиной  навес. Кристалл 600 шато азур 2 ящика с умыв. Океан</v>
      </c>
      <c r="H4316">
        <f>VLOOKUP(D4316,Товары!A:I,6,0)</f>
        <v>55</v>
      </c>
      <c r="I4316" t="str">
        <f>VLOOKUP(C4316,Магазины!A:C,3,0)</f>
        <v>Кемерово</v>
      </c>
      <c r="J4316">
        <f>VLOOKUP(D4316,Товары!A:I,4,0)</f>
        <v>21960</v>
      </c>
      <c r="K4316">
        <f t="shared" si="67"/>
        <v>65880</v>
      </c>
    </row>
    <row r="4317" spans="1:11" hidden="1" x14ac:dyDescent="0.25">
      <c r="A4317">
        <v>4316</v>
      </c>
      <c r="B4317" s="1">
        <v>45755</v>
      </c>
      <c r="C4317" t="s">
        <v>14</v>
      </c>
      <c r="D4317" t="s">
        <v>17</v>
      </c>
      <c r="E4317" t="s">
        <v>8</v>
      </c>
      <c r="F4317">
        <v>2</v>
      </c>
      <c r="G4317" t="str">
        <f>VLOOKUP(D4317,Товары!A:I,3,0)</f>
        <v>Тумба с раковиной  навес. Альба 800 антрацит 1 ящик с умыв. Слим</v>
      </c>
      <c r="H4317">
        <f>VLOOKUP(D4317,Товары!A:I,6,0)</f>
        <v>45</v>
      </c>
      <c r="I4317" t="str">
        <f>VLOOKUP(C4317,Магазины!A:C,3,0)</f>
        <v>Оренбург</v>
      </c>
      <c r="J4317">
        <f>VLOOKUP(D4317,Товары!A:I,4,0)</f>
        <v>21630</v>
      </c>
      <c r="K4317">
        <f t="shared" si="67"/>
        <v>43260</v>
      </c>
    </row>
    <row r="4318" spans="1:11" hidden="1" x14ac:dyDescent="0.25">
      <c r="A4318">
        <v>4317</v>
      </c>
      <c r="B4318" s="1">
        <v>45754</v>
      </c>
      <c r="C4318" t="s">
        <v>26</v>
      </c>
      <c r="D4318" t="s">
        <v>80</v>
      </c>
      <c r="E4318" t="s">
        <v>8</v>
      </c>
      <c r="F4318">
        <v>3</v>
      </c>
      <c r="G4318" t="str">
        <f>VLOOKUP(D4318,Товары!A:I,3,0)</f>
        <v>Тумба с раковиной  навес. Сохо 600 белый 2 ящика с умыв. Океан</v>
      </c>
      <c r="H4318">
        <f>VLOOKUP(D4318,Товары!A:I,6,0)</f>
        <v>55</v>
      </c>
      <c r="I4318" t="str">
        <f>VLOOKUP(C4318,Магазины!A:C,3,0)</f>
        <v>Оренбург</v>
      </c>
      <c r="J4318">
        <f>VLOOKUP(D4318,Товары!A:I,4,0)</f>
        <v>13950</v>
      </c>
      <c r="K4318">
        <f t="shared" si="67"/>
        <v>41850</v>
      </c>
    </row>
    <row r="4319" spans="1:11" hidden="1" x14ac:dyDescent="0.25">
      <c r="A4319">
        <v>4318</v>
      </c>
      <c r="B4319" s="1">
        <v>45749</v>
      </c>
      <c r="C4319" t="s">
        <v>92</v>
      </c>
      <c r="D4319" t="s">
        <v>101</v>
      </c>
      <c r="E4319" t="s">
        <v>13</v>
      </c>
      <c r="F4319">
        <v>1</v>
      </c>
      <c r="G4319" t="str">
        <f>VLOOKUP(D4319,Товары!A:I,3,0)</f>
        <v>Пенал напол. Сохо 400 белый 2 двери + 1 ящик</v>
      </c>
      <c r="H4319">
        <f>VLOOKUP(D4319,Товары!A:I,6,0)</f>
        <v>190</v>
      </c>
      <c r="I4319" t="str">
        <f>VLOOKUP(C4319,Магазины!A:C,3,0)</f>
        <v>Кемерово</v>
      </c>
      <c r="J4319">
        <f>VLOOKUP(D4319,Товары!A:I,4,0)</f>
        <v>11040</v>
      </c>
      <c r="K4319">
        <f t="shared" si="67"/>
        <v>11040</v>
      </c>
    </row>
    <row r="4320" spans="1:11" hidden="1" x14ac:dyDescent="0.25">
      <c r="A4320">
        <v>4319</v>
      </c>
      <c r="B4320" s="1">
        <v>45751</v>
      </c>
      <c r="C4320" t="s">
        <v>43</v>
      </c>
      <c r="D4320" t="s">
        <v>130</v>
      </c>
      <c r="E4320" t="s">
        <v>13</v>
      </c>
      <c r="F4320">
        <v>1</v>
      </c>
      <c r="G4320" t="str">
        <f>VLOOKUP(D4320,Товары!A:I,3,0)</f>
        <v>Пенал напол. Леон 400 форест 2 двери + 1 ящик</v>
      </c>
      <c r="H4320">
        <f>VLOOKUP(D4320,Товары!A:I,6,0)</f>
        <v>190</v>
      </c>
      <c r="I4320" t="str">
        <f>VLOOKUP(C4320,Магазины!A:C,3,0)</f>
        <v>Набережные Челны</v>
      </c>
      <c r="J4320">
        <f>VLOOKUP(D4320,Товары!A:I,4,0)</f>
        <v>18450</v>
      </c>
      <c r="K4320">
        <f t="shared" si="67"/>
        <v>18450</v>
      </c>
    </row>
    <row r="4321" spans="1:11" hidden="1" x14ac:dyDescent="0.25">
      <c r="A4321">
        <v>4320</v>
      </c>
      <c r="B4321" s="1">
        <v>45749</v>
      </c>
      <c r="C4321" t="s">
        <v>18</v>
      </c>
      <c r="D4321" t="s">
        <v>81</v>
      </c>
      <c r="E4321" t="s">
        <v>13</v>
      </c>
      <c r="F4321">
        <v>3</v>
      </c>
      <c r="G4321" t="str">
        <f>VLOOKUP(D4321,Товары!A:I,3,0)</f>
        <v>Тумба с раковиной  навес. Рица 600 cерый/керамика 1 ящик + ниша 1 с умыв. Океан</v>
      </c>
      <c r="H4321">
        <f>VLOOKUP(D4321,Товары!A:I,6,0)</f>
        <v>60</v>
      </c>
      <c r="I4321" t="str">
        <f>VLOOKUP(C4321,Магазины!A:C,3,0)</f>
        <v>Набережные Челны</v>
      </c>
      <c r="J4321">
        <f>VLOOKUP(D4321,Товары!A:I,4,0)</f>
        <v>18900</v>
      </c>
      <c r="K4321">
        <f t="shared" si="67"/>
        <v>56700</v>
      </c>
    </row>
    <row r="4322" spans="1:11" hidden="1" x14ac:dyDescent="0.25">
      <c r="A4322">
        <v>4321</v>
      </c>
      <c r="B4322" s="1">
        <v>45751</v>
      </c>
      <c r="C4322" t="s">
        <v>22</v>
      </c>
      <c r="D4322" t="s">
        <v>118</v>
      </c>
      <c r="E4322" t="s">
        <v>13</v>
      </c>
      <c r="F4322">
        <v>3</v>
      </c>
      <c r="G4322" t="str">
        <f>VLOOKUP(D4322,Товары!A:I,3,0)</f>
        <v>Тумба с раковиной  напол. Сохо 800 белый 2 ящика с умыв. Слим</v>
      </c>
      <c r="H4322">
        <f>VLOOKUP(D4322,Товары!A:I,6,0)</f>
        <v>85</v>
      </c>
      <c r="I4322" t="str">
        <f>VLOOKUP(C4322,Магазины!A:C,3,0)</f>
        <v>Кемерово</v>
      </c>
      <c r="J4322">
        <f>VLOOKUP(D4322,Товары!A:I,4,0)</f>
        <v>19575</v>
      </c>
      <c r="K4322">
        <f t="shared" si="67"/>
        <v>58725</v>
      </c>
    </row>
    <row r="4323" spans="1:11" hidden="1" x14ac:dyDescent="0.25">
      <c r="A4323">
        <v>4322</v>
      </c>
      <c r="B4323" s="1">
        <v>45757</v>
      </c>
      <c r="C4323" t="s">
        <v>103</v>
      </c>
      <c r="D4323" t="s">
        <v>122</v>
      </c>
      <c r="E4323" t="s">
        <v>8</v>
      </c>
      <c r="F4323">
        <v>3</v>
      </c>
      <c r="G4323" t="str">
        <f>VLOOKUP(D4323,Товары!A:I,3,0)</f>
        <v>Тумба с раковиной  навес. Кристалл 600 шато азур 2 ящика с умыв. Океан</v>
      </c>
      <c r="H4323">
        <f>VLOOKUP(D4323,Товары!A:I,6,0)</f>
        <v>55</v>
      </c>
      <c r="I4323" t="str">
        <f>VLOOKUP(C4323,Магазины!A:C,3,0)</f>
        <v>Ставрополь</v>
      </c>
      <c r="J4323">
        <f>VLOOKUP(D4323,Товары!A:I,4,0)</f>
        <v>21960</v>
      </c>
      <c r="K4323">
        <f t="shared" si="67"/>
        <v>65880</v>
      </c>
    </row>
    <row r="4324" spans="1:11" hidden="1" x14ac:dyDescent="0.25">
      <c r="A4324">
        <v>4323</v>
      </c>
      <c r="B4324" s="1">
        <v>45757</v>
      </c>
      <c r="C4324" t="s">
        <v>33</v>
      </c>
      <c r="D4324" t="s">
        <v>56</v>
      </c>
      <c r="E4324" t="s">
        <v>13</v>
      </c>
      <c r="F4324">
        <v>3</v>
      </c>
      <c r="G4324" t="str">
        <f>VLOOKUP(D4324,Товары!A:I,3,0)</f>
        <v>Зеркальный шкаф Альба 80 со светильником правый цвет мята</v>
      </c>
      <c r="H4324">
        <f>VLOOKUP(D4324,Товары!A:I,6,0)</f>
        <v>75</v>
      </c>
      <c r="I4324" t="str">
        <f>VLOOKUP(C4324,Магазины!A:C,3,0)</f>
        <v>Набережные Челны</v>
      </c>
      <c r="J4324">
        <f>VLOOKUP(D4324,Товары!A:I,4,0)</f>
        <v>9930</v>
      </c>
      <c r="K4324">
        <f t="shared" si="67"/>
        <v>29790</v>
      </c>
    </row>
    <row r="4325" spans="1:11" hidden="1" x14ac:dyDescent="0.25">
      <c r="A4325">
        <v>4324</v>
      </c>
      <c r="B4325" s="1">
        <v>45754</v>
      </c>
      <c r="C4325" t="s">
        <v>26</v>
      </c>
      <c r="D4325" t="s">
        <v>128</v>
      </c>
      <c r="E4325" t="s">
        <v>8</v>
      </c>
      <c r="F4325">
        <v>3</v>
      </c>
      <c r="G4325" t="str">
        <f>VLOOKUP(D4325,Товары!A:I,3,0)</f>
        <v>Тумба с раковиной  напол. Куба Риф 1000 белый 2 ящика с умыв. Слим</v>
      </c>
      <c r="H4325">
        <f>VLOOKUP(D4325,Товары!A:I,6,0)</f>
        <v>85</v>
      </c>
      <c r="I4325" t="str">
        <f>VLOOKUP(C4325,Магазины!A:C,3,0)</f>
        <v>Оренбург</v>
      </c>
      <c r="J4325">
        <f>VLOOKUP(D4325,Товары!A:I,4,0)</f>
        <v>22905</v>
      </c>
      <c r="K4325">
        <f t="shared" si="67"/>
        <v>68715</v>
      </c>
    </row>
    <row r="4326" spans="1:11" hidden="1" x14ac:dyDescent="0.25">
      <c r="A4326">
        <v>4325</v>
      </c>
      <c r="B4326" s="1">
        <v>45751</v>
      </c>
      <c r="C4326" t="s">
        <v>57</v>
      </c>
      <c r="D4326" t="s">
        <v>42</v>
      </c>
      <c r="E4326" t="s">
        <v>8</v>
      </c>
      <c r="F4326">
        <v>1</v>
      </c>
      <c r="G4326" t="str">
        <f>VLOOKUP(D4326,Товары!A:I,3,0)</f>
        <v>Тумба под стиральную машину Леон Риф 57 подвесная 2 ящика под ст/маш, без умывальника /под Marshall 120 Солярис/Белый Риф</v>
      </c>
      <c r="H4326">
        <f>VLOOKUP(D4326,Товары!A:I,6,0)</f>
        <v>60</v>
      </c>
      <c r="I4326" t="str">
        <f>VLOOKUP(C4326,Магазины!A:C,3,0)</f>
        <v>Оренбург</v>
      </c>
      <c r="J4326">
        <f>VLOOKUP(D4326,Товары!A:I,4,0)</f>
        <v>15495</v>
      </c>
      <c r="K4326">
        <f t="shared" si="67"/>
        <v>15495</v>
      </c>
    </row>
    <row r="4327" spans="1:11" hidden="1" x14ac:dyDescent="0.25">
      <c r="A4327">
        <v>4326</v>
      </c>
      <c r="B4327" s="1">
        <v>45755</v>
      </c>
      <c r="C4327" t="s">
        <v>18</v>
      </c>
      <c r="D4327" t="s">
        <v>42</v>
      </c>
      <c r="E4327" t="s">
        <v>13</v>
      </c>
      <c r="F4327">
        <v>2</v>
      </c>
      <c r="G4327" t="str">
        <f>VLOOKUP(D4327,Товары!A:I,3,0)</f>
        <v>Тумба под стиральную машину Леон Риф 57 подвесная 2 ящика под ст/маш, без умывальника /под Marshall 120 Солярис/Белый Риф</v>
      </c>
      <c r="H4327">
        <f>VLOOKUP(D4327,Товары!A:I,6,0)</f>
        <v>60</v>
      </c>
      <c r="I4327" t="str">
        <f>VLOOKUP(C4327,Магазины!A:C,3,0)</f>
        <v>Набережные Челны</v>
      </c>
      <c r="J4327">
        <f>VLOOKUP(D4327,Товары!A:I,4,0)</f>
        <v>15495</v>
      </c>
      <c r="K4327">
        <f t="shared" si="67"/>
        <v>30990</v>
      </c>
    </row>
    <row r="4328" spans="1:11" hidden="1" x14ac:dyDescent="0.25">
      <c r="A4328">
        <v>4327</v>
      </c>
      <c r="B4328" s="1">
        <v>45757</v>
      </c>
      <c r="C4328" t="s">
        <v>48</v>
      </c>
      <c r="D4328" t="s">
        <v>109</v>
      </c>
      <c r="E4328" t="s">
        <v>8</v>
      </c>
      <c r="F4328">
        <v>2</v>
      </c>
      <c r="G4328" t="str">
        <f>VLOOKUP(D4328,Товары!A:I,3,0)</f>
        <v>Тумба с раковиной  навес. Альба 600 антрацит 2 ящика с умыв. Океан</v>
      </c>
      <c r="H4328">
        <f>VLOOKUP(D4328,Товары!A:I,6,0)</f>
        <v>50</v>
      </c>
      <c r="I4328" t="str">
        <f>VLOOKUP(C4328,Магазины!A:C,3,0)</f>
        <v>Ставрополь</v>
      </c>
      <c r="J4328">
        <f>VLOOKUP(D4328,Товары!A:I,4,0)</f>
        <v>24810</v>
      </c>
      <c r="K4328">
        <f t="shared" si="67"/>
        <v>49620</v>
      </c>
    </row>
    <row r="4329" spans="1:11" hidden="1" x14ac:dyDescent="0.25">
      <c r="A4329">
        <v>4328</v>
      </c>
      <c r="B4329" s="1">
        <v>45751</v>
      </c>
      <c r="C4329" t="s">
        <v>18</v>
      </c>
      <c r="D4329" t="s">
        <v>29</v>
      </c>
      <c r="E4329" t="s">
        <v>13</v>
      </c>
      <c r="F4329">
        <v>2</v>
      </c>
      <c r="G4329" t="str">
        <f>VLOOKUP(D4329,Товары!A:I,3,0)</f>
        <v>Тумба с раковиной  напол. Леон Риф 600 солярис/белый риф 2 ящика с умыв. Океан</v>
      </c>
      <c r="H4329">
        <f>VLOOKUP(D4329,Товары!A:I,6,0)</f>
        <v>80</v>
      </c>
      <c r="I4329" t="str">
        <f>VLOOKUP(C4329,Магазины!A:C,3,0)</f>
        <v>Набережные Челны</v>
      </c>
      <c r="J4329">
        <f>VLOOKUP(D4329,Товары!A:I,4,0)</f>
        <v>24150</v>
      </c>
      <c r="K4329">
        <f t="shared" si="67"/>
        <v>48300</v>
      </c>
    </row>
    <row r="4330" spans="1:11" hidden="1" x14ac:dyDescent="0.25">
      <c r="A4330">
        <v>4329</v>
      </c>
      <c r="B4330" s="1">
        <v>45748</v>
      </c>
      <c r="C4330" t="s">
        <v>18</v>
      </c>
      <c r="D4330" t="s">
        <v>72</v>
      </c>
      <c r="E4330" t="s">
        <v>13</v>
      </c>
      <c r="F4330">
        <v>2</v>
      </c>
      <c r="G4330" t="str">
        <f>VLOOKUP(D4330,Товары!A:I,3,0)</f>
        <v>Тумба с раковиной  напол. Сохо 600 белый 2 ящика с умыв. Океан</v>
      </c>
      <c r="H4330">
        <f>VLOOKUP(D4330,Товары!A:I,6,0)</f>
        <v>85</v>
      </c>
      <c r="I4330" t="str">
        <f>VLOOKUP(C4330,Магазины!A:C,3,0)</f>
        <v>Набережные Челны</v>
      </c>
      <c r="J4330">
        <f>VLOOKUP(D4330,Товары!A:I,4,0)</f>
        <v>16140</v>
      </c>
      <c r="K4330">
        <f t="shared" si="67"/>
        <v>32280</v>
      </c>
    </row>
    <row r="4331" spans="1:11" hidden="1" x14ac:dyDescent="0.25">
      <c r="A4331">
        <v>4330</v>
      </c>
      <c r="B4331" s="1">
        <v>45755</v>
      </c>
      <c r="C4331" t="s">
        <v>63</v>
      </c>
      <c r="D4331" t="s">
        <v>90</v>
      </c>
      <c r="E4331" t="s">
        <v>13</v>
      </c>
      <c r="F4331">
        <v>1</v>
      </c>
      <c r="G4331" t="str">
        <f>VLOOKUP(D4331,Товары!A:I,3,0)</f>
        <v>Пенал напол. Аква 350 белый 2 двери + 2 ящика</v>
      </c>
      <c r="H4331">
        <f>VLOOKUP(D4331,Товары!A:I,6,0)</f>
        <v>190</v>
      </c>
      <c r="I4331" t="str">
        <f>VLOOKUP(C4331,Магазины!A:C,3,0)</f>
        <v>Ставрополь</v>
      </c>
      <c r="J4331">
        <f>VLOOKUP(D4331,Товары!A:I,4,0)</f>
        <v>10650</v>
      </c>
      <c r="K4331">
        <f t="shared" si="67"/>
        <v>10650</v>
      </c>
    </row>
    <row r="4332" spans="1:11" hidden="1" x14ac:dyDescent="0.25">
      <c r="A4332">
        <v>4331</v>
      </c>
      <c r="B4332" s="1">
        <v>45752</v>
      </c>
      <c r="C4332" t="s">
        <v>57</v>
      </c>
      <c r="D4332" t="s">
        <v>38</v>
      </c>
      <c r="E4332" t="s">
        <v>8</v>
      </c>
      <c r="F4332">
        <v>2</v>
      </c>
      <c r="G4332" t="str">
        <f>VLOOKUP(D4332,Товары!A:I,3,0)</f>
        <v>Тумба с раковиной  навес. Куба Риф 600 белый 2 ящика с умыв. Como</v>
      </c>
      <c r="H4332">
        <f>VLOOKUP(D4332,Товары!A:I,6,0)</f>
        <v>55</v>
      </c>
      <c r="I4332" t="str">
        <f>VLOOKUP(C4332,Магазины!A:C,3,0)</f>
        <v>Оренбург</v>
      </c>
      <c r="J4332">
        <f>VLOOKUP(D4332,Товары!A:I,4,0)</f>
        <v>14265</v>
      </c>
      <c r="K4332">
        <f t="shared" si="67"/>
        <v>28530</v>
      </c>
    </row>
    <row r="4333" spans="1:11" hidden="1" x14ac:dyDescent="0.25">
      <c r="A4333">
        <v>4332</v>
      </c>
      <c r="B4333" s="1">
        <v>45749</v>
      </c>
      <c r="C4333" t="s">
        <v>43</v>
      </c>
      <c r="D4333" t="s">
        <v>107</v>
      </c>
      <c r="E4333" t="s">
        <v>13</v>
      </c>
      <c r="F4333">
        <v>1</v>
      </c>
      <c r="G4333" t="str">
        <f>VLOOKUP(D4333,Товары!A:I,3,0)</f>
        <v>Комод Аква 35 напольный 1 дверь белый правый</v>
      </c>
      <c r="H4333">
        <f>VLOOKUP(D4333,Товары!A:I,6,0)</f>
        <v>90</v>
      </c>
      <c r="I4333" t="str">
        <f>VLOOKUP(C4333,Магазины!A:C,3,0)</f>
        <v>Набережные Челны</v>
      </c>
      <c r="J4333">
        <f>VLOOKUP(D4333,Товары!A:I,4,0)</f>
        <v>6705</v>
      </c>
      <c r="K4333">
        <f t="shared" si="67"/>
        <v>6705</v>
      </c>
    </row>
    <row r="4334" spans="1:11" hidden="1" x14ac:dyDescent="0.25">
      <c r="A4334">
        <v>4333</v>
      </c>
      <c r="B4334" s="1">
        <v>45752</v>
      </c>
      <c r="C4334" t="s">
        <v>18</v>
      </c>
      <c r="D4334" t="s">
        <v>12</v>
      </c>
      <c r="E4334" t="s">
        <v>8</v>
      </c>
      <c r="F4334">
        <v>2</v>
      </c>
      <c r="G4334" t="str">
        <f>VLOOKUP(D4334,Товары!A:I,3,0)</f>
        <v>Тумба с раковиной  напол. Сохо 700 белый 2 двери с умыв. Слим</v>
      </c>
      <c r="H4334">
        <f>VLOOKUP(D4334,Товары!A:I,6,0)</f>
        <v>85</v>
      </c>
      <c r="I4334" t="str">
        <f>VLOOKUP(C4334,Магазины!A:C,3,0)</f>
        <v>Набережные Челны</v>
      </c>
      <c r="J4334">
        <f>VLOOKUP(D4334,Товары!A:I,4,0)</f>
        <v>17160</v>
      </c>
      <c r="K4334">
        <f t="shared" si="67"/>
        <v>34320</v>
      </c>
    </row>
    <row r="4335" spans="1:11" hidden="1" x14ac:dyDescent="0.25">
      <c r="A4335">
        <v>4334</v>
      </c>
      <c r="B4335" s="1">
        <v>45753</v>
      </c>
      <c r="C4335" t="s">
        <v>30</v>
      </c>
      <c r="D4335" t="s">
        <v>125</v>
      </c>
      <c r="E4335" t="s">
        <v>8</v>
      </c>
      <c r="F4335">
        <v>3</v>
      </c>
      <c r="G4335" t="str">
        <f>VLOOKUP(D4335,Товары!A:I,3,0)</f>
        <v>Зеркальный шкаф Сохо 60 белый со светильником правый цвет Белый глянец</v>
      </c>
      <c r="H4335">
        <f>VLOOKUP(D4335,Товары!A:I,6,0)</f>
        <v>75</v>
      </c>
      <c r="I4335" t="str">
        <f>VLOOKUP(C4335,Магазины!A:C,3,0)</f>
        <v>Кемерово</v>
      </c>
      <c r="J4335">
        <f>VLOOKUP(D4335,Товары!A:I,4,0)</f>
        <v>7395</v>
      </c>
      <c r="K4335">
        <f t="shared" si="67"/>
        <v>22185</v>
      </c>
    </row>
    <row r="4336" spans="1:11" hidden="1" x14ac:dyDescent="0.25">
      <c r="A4336">
        <v>4335</v>
      </c>
      <c r="B4336" s="1">
        <v>45751</v>
      </c>
      <c r="C4336" t="s">
        <v>18</v>
      </c>
      <c r="D4336" t="s">
        <v>12</v>
      </c>
      <c r="E4336" t="s">
        <v>13</v>
      </c>
      <c r="F4336">
        <v>1</v>
      </c>
      <c r="G4336" t="str">
        <f>VLOOKUP(D4336,Товары!A:I,3,0)</f>
        <v>Тумба с раковиной  напол. Сохо 700 белый 2 двери с умыв. Слим</v>
      </c>
      <c r="H4336">
        <f>VLOOKUP(D4336,Товары!A:I,6,0)</f>
        <v>85</v>
      </c>
      <c r="I4336" t="str">
        <f>VLOOKUP(C4336,Магазины!A:C,3,0)</f>
        <v>Набережные Челны</v>
      </c>
      <c r="J4336">
        <f>VLOOKUP(D4336,Товары!A:I,4,0)</f>
        <v>17160</v>
      </c>
      <c r="K4336">
        <f t="shared" si="67"/>
        <v>17160</v>
      </c>
    </row>
    <row r="4337" spans="1:11" hidden="1" x14ac:dyDescent="0.25">
      <c r="A4337">
        <v>4336</v>
      </c>
      <c r="B4337" s="1">
        <v>45749</v>
      </c>
      <c r="C4337" t="s">
        <v>30</v>
      </c>
      <c r="D4337" t="s">
        <v>79</v>
      </c>
      <c r="E4337" t="s">
        <v>8</v>
      </c>
      <c r="F4337">
        <v>1</v>
      </c>
      <c r="G4337" t="str">
        <f>VLOOKUP(D4337,Товары!A:I,3,0)</f>
        <v>Зеркальный шкаф Альба 70 со светильником правый цвет мята</v>
      </c>
      <c r="H4337">
        <f>VLOOKUP(D4337,Товары!A:I,6,0)</f>
        <v>75</v>
      </c>
      <c r="I4337" t="str">
        <f>VLOOKUP(C4337,Магазины!A:C,3,0)</f>
        <v>Кемерово</v>
      </c>
      <c r="J4337">
        <f>VLOOKUP(D4337,Товары!A:I,4,0)</f>
        <v>9615</v>
      </c>
      <c r="K4337">
        <f t="shared" si="67"/>
        <v>9615</v>
      </c>
    </row>
    <row r="4338" spans="1:11" hidden="1" x14ac:dyDescent="0.25">
      <c r="A4338">
        <v>4337</v>
      </c>
      <c r="B4338" s="1">
        <v>45750</v>
      </c>
      <c r="C4338" t="s">
        <v>103</v>
      </c>
      <c r="D4338" t="s">
        <v>49</v>
      </c>
      <c r="E4338" t="s">
        <v>8</v>
      </c>
      <c r="F4338">
        <v>3</v>
      </c>
      <c r="G4338" t="str">
        <f>VLOOKUP(D4338,Товары!A:I,3,0)</f>
        <v>Тумба с раковиной  напол. Леон 700 оникс 2 ящика с умыв. Слим</v>
      </c>
      <c r="H4338">
        <f>VLOOKUP(D4338,Товары!A:I,6,0)</f>
        <v>80</v>
      </c>
      <c r="I4338" t="str">
        <f>VLOOKUP(C4338,Магазины!A:C,3,0)</f>
        <v>Ставрополь</v>
      </c>
      <c r="J4338">
        <f>VLOOKUP(D4338,Товары!A:I,4,0)</f>
        <v>28380</v>
      </c>
      <c r="K4338">
        <f t="shared" si="67"/>
        <v>85140</v>
      </c>
    </row>
    <row r="4339" spans="1:11" hidden="1" x14ac:dyDescent="0.25">
      <c r="A4339">
        <v>4338</v>
      </c>
      <c r="B4339" s="1">
        <v>45753</v>
      </c>
      <c r="C4339" t="s">
        <v>28</v>
      </c>
      <c r="D4339" t="s">
        <v>59</v>
      </c>
      <c r="E4339" t="s">
        <v>8</v>
      </c>
      <c r="F4339">
        <v>2</v>
      </c>
      <c r="G4339" t="str">
        <f>VLOOKUP(D4339,Товары!A:I,3,0)</f>
        <v>Тумба с раковиной  навес. Куба Риф 600 белый 2 ящика с умыв. Океан</v>
      </c>
      <c r="H4339">
        <f>VLOOKUP(D4339,Товары!A:I,6,0)</f>
        <v>55</v>
      </c>
      <c r="I4339" t="str">
        <f>VLOOKUP(C4339,Магазины!A:C,3,0)</f>
        <v>Набережные Челны</v>
      </c>
      <c r="J4339">
        <f>VLOOKUP(D4339,Товары!A:I,4,0)</f>
        <v>15765</v>
      </c>
      <c r="K4339">
        <f t="shared" si="67"/>
        <v>31530</v>
      </c>
    </row>
    <row r="4340" spans="1:11" hidden="1" x14ac:dyDescent="0.25">
      <c r="A4340">
        <v>4339</v>
      </c>
      <c r="B4340" s="1">
        <v>45754</v>
      </c>
      <c r="C4340" t="s">
        <v>30</v>
      </c>
      <c r="D4340" t="s">
        <v>94</v>
      </c>
      <c r="E4340" t="s">
        <v>8</v>
      </c>
      <c r="F4340">
        <v>2</v>
      </c>
      <c r="G4340" t="str">
        <f>VLOOKUP(D4340,Товары!A:I,3,0)</f>
        <v>Зеркальный шкаф Альба 80 со светильником правый цвет антрацит</v>
      </c>
      <c r="H4340">
        <f>VLOOKUP(D4340,Товары!A:I,6,0)</f>
        <v>75</v>
      </c>
      <c r="I4340" t="str">
        <f>VLOOKUP(C4340,Магазины!A:C,3,0)</f>
        <v>Кемерово</v>
      </c>
      <c r="J4340">
        <f>VLOOKUP(D4340,Товары!A:I,4,0)</f>
        <v>9930</v>
      </c>
      <c r="K4340">
        <f t="shared" si="67"/>
        <v>19860</v>
      </c>
    </row>
    <row r="4341" spans="1:11" hidden="1" x14ac:dyDescent="0.25">
      <c r="A4341">
        <v>4340</v>
      </c>
      <c r="B4341" s="1">
        <v>45751</v>
      </c>
      <c r="C4341" t="s">
        <v>35</v>
      </c>
      <c r="D4341" t="s">
        <v>52</v>
      </c>
      <c r="E4341" t="s">
        <v>13</v>
      </c>
      <c r="F4341">
        <v>1</v>
      </c>
      <c r="G4341" t="str">
        <f>VLOOKUP(D4341,Товары!A:I,3,0)</f>
        <v>Тумба с раковиной  напол. Кристалл 600 суфле 2 ящика с умыв. Океан</v>
      </c>
      <c r="H4341">
        <f>VLOOKUP(D4341,Товары!A:I,6,0)</f>
        <v>80</v>
      </c>
      <c r="I4341" t="str">
        <f>VLOOKUP(C4341,Магазины!A:C,3,0)</f>
        <v>Набережные Челны</v>
      </c>
      <c r="J4341">
        <f>VLOOKUP(D4341,Товары!A:I,4,0)</f>
        <v>27600</v>
      </c>
      <c r="K4341">
        <f t="shared" si="67"/>
        <v>27600</v>
      </c>
    </row>
    <row r="4342" spans="1:11" hidden="1" x14ac:dyDescent="0.25">
      <c r="A4342">
        <v>4341</v>
      </c>
      <c r="B4342" s="1">
        <v>45748</v>
      </c>
      <c r="C4342" t="s">
        <v>28</v>
      </c>
      <c r="D4342" t="s">
        <v>106</v>
      </c>
      <c r="E4342" t="s">
        <v>13</v>
      </c>
      <c r="F4342">
        <v>3</v>
      </c>
      <c r="G4342" t="str">
        <f>VLOOKUP(D4342,Товары!A:I,3,0)</f>
        <v>Тумба с раковиной  навес. Кристалл 700 шато азур 2 ящика с умыв. Слим</v>
      </c>
      <c r="H4342">
        <f>VLOOKUP(D4342,Товары!A:I,6,0)</f>
        <v>60</v>
      </c>
      <c r="I4342" t="str">
        <f>VLOOKUP(C4342,Магазины!A:C,3,0)</f>
        <v>Набережные Челны</v>
      </c>
      <c r="J4342">
        <f>VLOOKUP(D4342,Товары!A:I,4,0)</f>
        <v>24150</v>
      </c>
      <c r="K4342">
        <f t="shared" si="67"/>
        <v>72450</v>
      </c>
    </row>
    <row r="4343" spans="1:11" hidden="1" x14ac:dyDescent="0.25">
      <c r="A4343">
        <v>4342</v>
      </c>
      <c r="B4343" s="1">
        <v>45752</v>
      </c>
      <c r="C4343" t="s">
        <v>63</v>
      </c>
      <c r="D4343" t="s">
        <v>96</v>
      </c>
      <c r="E4343" t="s">
        <v>13</v>
      </c>
      <c r="F4343">
        <v>2</v>
      </c>
      <c r="G4343" t="str">
        <f>VLOOKUP(D4343,Товары!A:I,3,0)</f>
        <v>Тумба с раковиной  навес. Альба 600 мята 1 ящик с умыв. Океан</v>
      </c>
      <c r="H4343">
        <f>VLOOKUP(D4343,Товары!A:I,6,0)</f>
        <v>85</v>
      </c>
      <c r="I4343" t="str">
        <f>VLOOKUP(C4343,Магазины!A:C,3,0)</f>
        <v>Ставрополь</v>
      </c>
      <c r="J4343">
        <f>VLOOKUP(D4343,Товары!A:I,4,0)</f>
        <v>17625</v>
      </c>
      <c r="K4343">
        <f t="shared" si="67"/>
        <v>35250</v>
      </c>
    </row>
    <row r="4344" spans="1:11" hidden="1" x14ac:dyDescent="0.25">
      <c r="A4344">
        <v>4343</v>
      </c>
      <c r="B4344" s="1">
        <v>45757</v>
      </c>
      <c r="C4344" t="s">
        <v>48</v>
      </c>
      <c r="D4344" t="s">
        <v>23</v>
      </c>
      <c r="E4344" t="s">
        <v>13</v>
      </c>
      <c r="F4344">
        <v>2</v>
      </c>
      <c r="G4344" t="str">
        <f>VLOOKUP(D4344,Товары!A:I,3,0)</f>
        <v>Тумба с раковиной  напол. Альба 800 антрацит 2 ящика с умыв. Слим</v>
      </c>
      <c r="H4344">
        <f>VLOOKUP(D4344,Товары!A:I,6,0)</f>
        <v>80</v>
      </c>
      <c r="I4344" t="str">
        <f>VLOOKUP(C4344,Магазины!A:C,3,0)</f>
        <v>Ставрополь</v>
      </c>
      <c r="J4344">
        <f>VLOOKUP(D4344,Товары!A:I,4,0)</f>
        <v>29340</v>
      </c>
      <c r="K4344">
        <f t="shared" si="67"/>
        <v>58680</v>
      </c>
    </row>
    <row r="4345" spans="1:11" hidden="1" x14ac:dyDescent="0.25">
      <c r="A4345">
        <v>4344</v>
      </c>
      <c r="B4345" s="1">
        <v>45753</v>
      </c>
      <c r="C4345" t="s">
        <v>92</v>
      </c>
      <c r="D4345" t="s">
        <v>19</v>
      </c>
      <c r="E4345" t="s">
        <v>13</v>
      </c>
      <c r="F4345">
        <v>3</v>
      </c>
      <c r="G4345" t="str">
        <f>VLOOKUP(D4345,Товары!A:I,3,0)</f>
        <v>Тумба с раковиной  навес. Леон 800 оникс 2 ящика с умыв. Слим</v>
      </c>
      <c r="H4345">
        <f>VLOOKUP(D4345,Товары!A:I,6,0)</f>
        <v>60</v>
      </c>
      <c r="I4345" t="str">
        <f>VLOOKUP(C4345,Магазины!A:C,3,0)</f>
        <v>Кемерово</v>
      </c>
      <c r="J4345">
        <f>VLOOKUP(D4345,Товары!A:I,4,0)</f>
        <v>27930</v>
      </c>
      <c r="K4345">
        <f t="shared" si="67"/>
        <v>83790</v>
      </c>
    </row>
    <row r="4346" spans="1:11" hidden="1" x14ac:dyDescent="0.25">
      <c r="A4346">
        <v>4345</v>
      </c>
      <c r="B4346" s="1">
        <v>45750</v>
      </c>
      <c r="C4346" t="s">
        <v>57</v>
      </c>
      <c r="D4346" t="s">
        <v>115</v>
      </c>
      <c r="E4346" t="s">
        <v>13</v>
      </c>
      <c r="F4346">
        <v>3</v>
      </c>
      <c r="G4346" t="str">
        <f>VLOOKUP(D4346,Товары!A:I,3,0)</f>
        <v>Тумба под стиральную машину Куба Риф 57 напольная 2 ящика под ст/маш, без умывальника /под Marshall 120 Белый</v>
      </c>
      <c r="H4346">
        <f>VLOOKUP(D4346,Товары!A:I,6,0)</f>
        <v>85</v>
      </c>
      <c r="I4346" t="str">
        <f>VLOOKUP(C4346,Магазины!A:C,3,0)</f>
        <v>Оренбург</v>
      </c>
      <c r="J4346">
        <f>VLOOKUP(D4346,Товары!A:I,4,0)</f>
        <v>10530</v>
      </c>
      <c r="K4346">
        <f t="shared" si="67"/>
        <v>31590</v>
      </c>
    </row>
    <row r="4347" spans="1:11" hidden="1" x14ac:dyDescent="0.25">
      <c r="A4347">
        <v>4346</v>
      </c>
      <c r="B4347" s="1">
        <v>45757</v>
      </c>
      <c r="C4347" t="s">
        <v>35</v>
      </c>
      <c r="D4347" t="s">
        <v>49</v>
      </c>
      <c r="E4347" t="s">
        <v>13</v>
      </c>
      <c r="F4347">
        <v>1</v>
      </c>
      <c r="G4347" t="str">
        <f>VLOOKUP(D4347,Товары!A:I,3,0)</f>
        <v>Тумба с раковиной  напол. Леон 700 оникс 2 ящика с умыв. Слим</v>
      </c>
      <c r="H4347">
        <f>VLOOKUP(D4347,Товары!A:I,6,0)</f>
        <v>80</v>
      </c>
      <c r="I4347" t="str">
        <f>VLOOKUP(C4347,Магазины!A:C,3,0)</f>
        <v>Набережные Челны</v>
      </c>
      <c r="J4347">
        <f>VLOOKUP(D4347,Товары!A:I,4,0)</f>
        <v>28380</v>
      </c>
      <c r="K4347">
        <f t="shared" si="67"/>
        <v>28380</v>
      </c>
    </row>
    <row r="4348" spans="1:11" hidden="1" x14ac:dyDescent="0.25">
      <c r="A4348">
        <v>4347</v>
      </c>
      <c r="B4348" s="1">
        <v>45750</v>
      </c>
      <c r="C4348" t="s">
        <v>18</v>
      </c>
      <c r="D4348" t="s">
        <v>50</v>
      </c>
      <c r="E4348" t="s">
        <v>13</v>
      </c>
      <c r="F4348">
        <v>1</v>
      </c>
      <c r="G4348" t="str">
        <f>VLOOKUP(D4348,Товары!A:I,3,0)</f>
        <v>Тумба с раковиной  напол. Леон 800 оникс 2 ящика с умыв. Слим</v>
      </c>
      <c r="H4348">
        <f>VLOOKUP(D4348,Товары!A:I,6,0)</f>
        <v>80</v>
      </c>
      <c r="I4348" t="str">
        <f>VLOOKUP(C4348,Магазины!A:C,3,0)</f>
        <v>Набережные Челны</v>
      </c>
      <c r="J4348">
        <f>VLOOKUP(D4348,Товары!A:I,4,0)</f>
        <v>29400</v>
      </c>
      <c r="K4348">
        <f t="shared" si="67"/>
        <v>29400</v>
      </c>
    </row>
    <row r="4349" spans="1:11" hidden="1" x14ac:dyDescent="0.25">
      <c r="A4349">
        <v>4348</v>
      </c>
      <c r="B4349" s="1">
        <v>45757</v>
      </c>
      <c r="C4349" t="s">
        <v>57</v>
      </c>
      <c r="D4349" t="s">
        <v>102</v>
      </c>
      <c r="E4349" t="s">
        <v>13</v>
      </c>
      <c r="F4349">
        <v>2</v>
      </c>
      <c r="G4349" t="str">
        <f>VLOOKUP(D4349,Товары!A:I,3,0)</f>
        <v>Тумба с раковиной  напол. Леон Риф 1000 солярис/белый риф 2 ящика с умыв. Слим</v>
      </c>
      <c r="H4349">
        <f>VLOOKUP(D4349,Товары!A:I,6,0)</f>
        <v>85</v>
      </c>
      <c r="I4349" t="str">
        <f>VLOOKUP(C4349,Магазины!A:C,3,0)</f>
        <v>Оренбург</v>
      </c>
      <c r="J4349">
        <f>VLOOKUP(D4349,Товары!A:I,4,0)</f>
        <v>32085</v>
      </c>
      <c r="K4349">
        <f t="shared" si="67"/>
        <v>64170</v>
      </c>
    </row>
    <row r="4350" spans="1:11" hidden="1" x14ac:dyDescent="0.25">
      <c r="A4350">
        <v>4349</v>
      </c>
      <c r="B4350" s="1">
        <v>45748</v>
      </c>
      <c r="C4350" t="s">
        <v>111</v>
      </c>
      <c r="D4350" t="s">
        <v>83</v>
      </c>
      <c r="E4350" t="s">
        <v>13</v>
      </c>
      <c r="F4350">
        <v>1</v>
      </c>
      <c r="G4350" t="str">
        <f>VLOOKUP(D4350,Товары!A:I,3,0)</f>
        <v>Зеркальный шкаф Альба 60 со светильником правый цвет суфле</v>
      </c>
      <c r="H4350">
        <f>VLOOKUP(D4350,Товары!A:I,6,0)</f>
        <v>75</v>
      </c>
      <c r="I4350" t="str">
        <f>VLOOKUP(C4350,Магазины!A:C,3,0)</f>
        <v>Набережные Челны</v>
      </c>
      <c r="J4350">
        <f>VLOOKUP(D4350,Товары!A:I,4,0)</f>
        <v>8910</v>
      </c>
      <c r="K4350">
        <f t="shared" si="67"/>
        <v>8910</v>
      </c>
    </row>
    <row r="4351" spans="1:11" hidden="1" x14ac:dyDescent="0.25">
      <c r="A4351">
        <v>4350</v>
      </c>
      <c r="B4351" s="1">
        <v>45750</v>
      </c>
      <c r="C4351" t="s">
        <v>58</v>
      </c>
      <c r="D4351" t="s">
        <v>68</v>
      </c>
      <c r="E4351" t="s">
        <v>8</v>
      </c>
      <c r="F4351">
        <v>3</v>
      </c>
      <c r="G4351" t="str">
        <f>VLOOKUP(D4351,Товары!A:I,3,0)</f>
        <v>Тумба с раковиной  навес. Альба 600 антрацит 1 ящик с умыв. Океан</v>
      </c>
      <c r="H4351">
        <f>VLOOKUP(D4351,Товары!A:I,6,0)</f>
        <v>85</v>
      </c>
      <c r="I4351" t="str">
        <f>VLOOKUP(C4351,Магазины!A:C,3,0)</f>
        <v>Ставрополь</v>
      </c>
      <c r="J4351">
        <f>VLOOKUP(D4351,Товары!A:I,4,0)</f>
        <v>17625</v>
      </c>
      <c r="K4351">
        <f t="shared" si="67"/>
        <v>52875</v>
      </c>
    </row>
    <row r="4352" spans="1:11" hidden="1" x14ac:dyDescent="0.25">
      <c r="A4352">
        <v>4351</v>
      </c>
      <c r="B4352" s="1">
        <v>45755</v>
      </c>
      <c r="C4352" t="s">
        <v>48</v>
      </c>
      <c r="D4352" t="s">
        <v>122</v>
      </c>
      <c r="E4352" t="s">
        <v>13</v>
      </c>
      <c r="F4352">
        <v>1</v>
      </c>
      <c r="G4352" t="str">
        <f>VLOOKUP(D4352,Товары!A:I,3,0)</f>
        <v>Тумба с раковиной  навес. Кристалл 600 шато азур 2 ящика с умыв. Океан</v>
      </c>
      <c r="H4352">
        <f>VLOOKUP(D4352,Товары!A:I,6,0)</f>
        <v>55</v>
      </c>
      <c r="I4352" t="str">
        <f>VLOOKUP(C4352,Магазины!A:C,3,0)</f>
        <v>Ставрополь</v>
      </c>
      <c r="J4352">
        <f>VLOOKUP(D4352,Товары!A:I,4,0)</f>
        <v>21960</v>
      </c>
      <c r="K4352">
        <f t="shared" si="67"/>
        <v>21960</v>
      </c>
    </row>
    <row r="4353" spans="1:11" hidden="1" x14ac:dyDescent="0.25">
      <c r="A4353">
        <v>4352</v>
      </c>
      <c r="B4353" s="1">
        <v>45749</v>
      </c>
      <c r="C4353" t="s">
        <v>26</v>
      </c>
      <c r="D4353" t="s">
        <v>46</v>
      </c>
      <c r="E4353" t="s">
        <v>8</v>
      </c>
      <c r="F4353">
        <v>3</v>
      </c>
      <c r="G4353" t="str">
        <f>VLOOKUP(D4353,Товары!A:I,3,0)</f>
        <v>Тумба с раковиной  напол. Сохо 700 белый 2 ящика с умыв. Слим</v>
      </c>
      <c r="H4353">
        <f>VLOOKUP(D4353,Товары!A:I,6,0)</f>
        <v>85</v>
      </c>
      <c r="I4353" t="str">
        <f>VLOOKUP(C4353,Магазины!A:C,3,0)</f>
        <v>Оренбург</v>
      </c>
      <c r="J4353">
        <f>VLOOKUP(D4353,Товары!A:I,4,0)</f>
        <v>18405</v>
      </c>
      <c r="K4353">
        <f t="shared" si="67"/>
        <v>55215</v>
      </c>
    </row>
    <row r="4354" spans="1:11" hidden="1" x14ac:dyDescent="0.25">
      <c r="A4354">
        <v>4353</v>
      </c>
      <c r="B4354" s="1">
        <v>45756</v>
      </c>
      <c r="C4354" t="s">
        <v>22</v>
      </c>
      <c r="D4354" t="s">
        <v>128</v>
      </c>
      <c r="E4354" t="s">
        <v>13</v>
      </c>
      <c r="F4354">
        <v>3</v>
      </c>
      <c r="G4354" t="str">
        <f>VLOOKUP(D4354,Товары!A:I,3,0)</f>
        <v>Тумба с раковиной  напол. Куба Риф 1000 белый 2 ящика с умыв. Слим</v>
      </c>
      <c r="H4354">
        <f>VLOOKUP(D4354,Товары!A:I,6,0)</f>
        <v>85</v>
      </c>
      <c r="I4354" t="str">
        <f>VLOOKUP(C4354,Магазины!A:C,3,0)</f>
        <v>Кемерово</v>
      </c>
      <c r="J4354">
        <f>VLOOKUP(D4354,Товары!A:I,4,0)</f>
        <v>22905</v>
      </c>
      <c r="K4354">
        <f t="shared" si="67"/>
        <v>68715</v>
      </c>
    </row>
    <row r="4355" spans="1:11" hidden="1" x14ac:dyDescent="0.25">
      <c r="A4355">
        <v>4354</v>
      </c>
      <c r="B4355" s="1">
        <v>45753</v>
      </c>
      <c r="C4355" t="s">
        <v>103</v>
      </c>
      <c r="D4355" t="s">
        <v>115</v>
      </c>
      <c r="E4355" t="s">
        <v>13</v>
      </c>
      <c r="F4355">
        <v>3</v>
      </c>
      <c r="G4355" t="str">
        <f>VLOOKUP(D4355,Товары!A:I,3,0)</f>
        <v>Тумба под стиральную машину Куба Риф 57 напольная 2 ящика под ст/маш, без умывальника /под Marshall 120 Белый</v>
      </c>
      <c r="H4355">
        <f>VLOOKUP(D4355,Товары!A:I,6,0)</f>
        <v>85</v>
      </c>
      <c r="I4355" t="str">
        <f>VLOOKUP(C4355,Магазины!A:C,3,0)</f>
        <v>Ставрополь</v>
      </c>
      <c r="J4355">
        <f>VLOOKUP(D4355,Товары!A:I,4,0)</f>
        <v>10530</v>
      </c>
      <c r="K4355">
        <f t="shared" ref="K4355:K4418" si="68">J4355*F4355</f>
        <v>31590</v>
      </c>
    </row>
    <row r="4356" spans="1:11" hidden="1" x14ac:dyDescent="0.25">
      <c r="A4356">
        <v>4355</v>
      </c>
      <c r="B4356" s="1">
        <v>45748</v>
      </c>
      <c r="C4356" t="s">
        <v>30</v>
      </c>
      <c r="D4356" t="s">
        <v>12</v>
      </c>
      <c r="E4356" t="s">
        <v>8</v>
      </c>
      <c r="F4356">
        <v>2</v>
      </c>
      <c r="G4356" t="str">
        <f>VLOOKUP(D4356,Товары!A:I,3,0)</f>
        <v>Тумба с раковиной  напол. Сохо 700 белый 2 двери с умыв. Слим</v>
      </c>
      <c r="H4356">
        <f>VLOOKUP(D4356,Товары!A:I,6,0)</f>
        <v>85</v>
      </c>
      <c r="I4356" t="str">
        <f>VLOOKUP(C4356,Магазины!A:C,3,0)</f>
        <v>Кемерово</v>
      </c>
      <c r="J4356">
        <f>VLOOKUP(D4356,Товары!A:I,4,0)</f>
        <v>17160</v>
      </c>
      <c r="K4356">
        <f t="shared" si="68"/>
        <v>34320</v>
      </c>
    </row>
    <row r="4357" spans="1:11" hidden="1" x14ac:dyDescent="0.25">
      <c r="A4357">
        <v>4356</v>
      </c>
      <c r="B4357" s="1">
        <v>45754</v>
      </c>
      <c r="C4357" t="s">
        <v>58</v>
      </c>
      <c r="D4357" t="s">
        <v>129</v>
      </c>
      <c r="E4357" t="s">
        <v>13</v>
      </c>
      <c r="F4357">
        <v>3</v>
      </c>
      <c r="G4357" t="str">
        <f>VLOOKUP(D4357,Товары!A:I,3,0)</f>
        <v>Тумба с раковиной  напол. Альба 700 антрацит 2 ящика с умыв. Слим</v>
      </c>
      <c r="H4357">
        <f>VLOOKUP(D4357,Товары!A:I,6,0)</f>
        <v>85</v>
      </c>
      <c r="I4357" t="str">
        <f>VLOOKUP(C4357,Магазины!A:C,3,0)</f>
        <v>Ставрополь</v>
      </c>
      <c r="J4357">
        <f>VLOOKUP(D4357,Товары!A:I,4,0)</f>
        <v>28695</v>
      </c>
      <c r="K4357">
        <f t="shared" si="68"/>
        <v>86085</v>
      </c>
    </row>
    <row r="4358" spans="1:11" hidden="1" x14ac:dyDescent="0.25">
      <c r="A4358">
        <v>4357</v>
      </c>
      <c r="B4358" s="1">
        <v>45757</v>
      </c>
      <c r="C4358" t="s">
        <v>20</v>
      </c>
      <c r="D4358" t="s">
        <v>106</v>
      </c>
      <c r="E4358" t="s">
        <v>13</v>
      </c>
      <c r="F4358">
        <v>1</v>
      </c>
      <c r="G4358" t="str">
        <f>VLOOKUP(D4358,Товары!A:I,3,0)</f>
        <v>Тумба с раковиной  навес. Кристалл 700 шато азур 2 ящика с умыв. Слим</v>
      </c>
      <c r="H4358">
        <f>VLOOKUP(D4358,Товары!A:I,6,0)</f>
        <v>60</v>
      </c>
      <c r="I4358" t="str">
        <f>VLOOKUP(C4358,Магазины!A:C,3,0)</f>
        <v>Оренбург</v>
      </c>
      <c r="J4358">
        <f>VLOOKUP(D4358,Товары!A:I,4,0)</f>
        <v>24150</v>
      </c>
      <c r="K4358">
        <f t="shared" si="68"/>
        <v>24150</v>
      </c>
    </row>
    <row r="4359" spans="1:11" hidden="1" x14ac:dyDescent="0.25">
      <c r="A4359">
        <v>4358</v>
      </c>
      <c r="B4359" s="1">
        <v>45748</v>
      </c>
      <c r="C4359" t="s">
        <v>58</v>
      </c>
      <c r="D4359" t="s">
        <v>52</v>
      </c>
      <c r="E4359" t="s">
        <v>8</v>
      </c>
      <c r="F4359">
        <v>2</v>
      </c>
      <c r="G4359" t="str">
        <f>VLOOKUP(D4359,Товары!A:I,3,0)</f>
        <v>Тумба с раковиной  напол. Кристалл 600 суфле 2 ящика с умыв. Океан</v>
      </c>
      <c r="H4359">
        <f>VLOOKUP(D4359,Товары!A:I,6,0)</f>
        <v>80</v>
      </c>
      <c r="I4359" t="str">
        <f>VLOOKUP(C4359,Магазины!A:C,3,0)</f>
        <v>Ставрополь</v>
      </c>
      <c r="J4359">
        <f>VLOOKUP(D4359,Товары!A:I,4,0)</f>
        <v>27600</v>
      </c>
      <c r="K4359">
        <f t="shared" si="68"/>
        <v>55200</v>
      </c>
    </row>
    <row r="4360" spans="1:11" hidden="1" x14ac:dyDescent="0.25">
      <c r="A4360">
        <v>4359</v>
      </c>
      <c r="B4360" s="1">
        <v>45749</v>
      </c>
      <c r="C4360" t="s">
        <v>11</v>
      </c>
      <c r="D4360" t="s">
        <v>123</v>
      </c>
      <c r="E4360" t="s">
        <v>13</v>
      </c>
      <c r="F4360">
        <v>1</v>
      </c>
      <c r="G4360" t="str">
        <f>VLOOKUP(D4360,Товары!A:I,3,0)</f>
        <v>Тумба с раковиной  напол. Кристалл 800 суфле 2 ящика с умыв. Слим</v>
      </c>
      <c r="H4360">
        <f>VLOOKUP(D4360,Товары!A:I,6,0)</f>
        <v>80</v>
      </c>
      <c r="I4360" t="str">
        <f>VLOOKUP(C4360,Магазины!A:C,3,0)</f>
        <v>Кемерово</v>
      </c>
      <c r="J4360">
        <f>VLOOKUP(D4360,Товары!A:I,4,0)</f>
        <v>31125</v>
      </c>
      <c r="K4360">
        <f t="shared" si="68"/>
        <v>31125</v>
      </c>
    </row>
    <row r="4361" spans="1:11" hidden="1" x14ac:dyDescent="0.25">
      <c r="A4361">
        <v>4360</v>
      </c>
      <c r="B4361" s="1">
        <v>45751</v>
      </c>
      <c r="C4361" t="s">
        <v>30</v>
      </c>
      <c r="D4361" t="s">
        <v>112</v>
      </c>
      <c r="E4361" t="s">
        <v>13</v>
      </c>
      <c r="F4361">
        <v>2</v>
      </c>
      <c r="G4361" t="str">
        <f>VLOOKUP(D4361,Товары!A:I,3,0)</f>
        <v>Тумба с раковиной  напол. Аква 560 белый 2 двери с умыв. Уют</v>
      </c>
      <c r="H4361">
        <f>VLOOKUP(D4361,Товары!A:I,6,0)</f>
        <v>85</v>
      </c>
      <c r="I4361" t="str">
        <f>VLOOKUP(C4361,Магазины!A:C,3,0)</f>
        <v>Кемерово</v>
      </c>
      <c r="J4361">
        <f>VLOOKUP(D4361,Товары!A:I,4,0)</f>
        <v>9330</v>
      </c>
      <c r="K4361">
        <f t="shared" si="68"/>
        <v>18660</v>
      </c>
    </row>
    <row r="4362" spans="1:11" hidden="1" x14ac:dyDescent="0.25">
      <c r="A4362">
        <v>4361</v>
      </c>
      <c r="B4362" s="1">
        <v>45752</v>
      </c>
      <c r="C4362" t="s">
        <v>18</v>
      </c>
      <c r="D4362" t="s">
        <v>51</v>
      </c>
      <c r="E4362" t="s">
        <v>8</v>
      </c>
      <c r="F4362">
        <v>1</v>
      </c>
      <c r="G4362" t="str">
        <f>VLOOKUP(D4362,Товары!A:I,3,0)</f>
        <v>Зеркальный шкаф Альба 80 со светильником правый цвет суфле</v>
      </c>
      <c r="H4362">
        <f>VLOOKUP(D4362,Товары!A:I,6,0)</f>
        <v>75</v>
      </c>
      <c r="I4362" t="str">
        <f>VLOOKUP(C4362,Магазины!A:C,3,0)</f>
        <v>Набережные Челны</v>
      </c>
      <c r="J4362">
        <f>VLOOKUP(D4362,Товары!A:I,4,0)</f>
        <v>9930</v>
      </c>
      <c r="K4362">
        <f t="shared" si="68"/>
        <v>9930</v>
      </c>
    </row>
    <row r="4363" spans="1:11" hidden="1" x14ac:dyDescent="0.25">
      <c r="A4363">
        <v>4362</v>
      </c>
      <c r="B4363" s="1">
        <v>45751</v>
      </c>
      <c r="C4363" t="s">
        <v>41</v>
      </c>
      <c r="D4363" t="s">
        <v>34</v>
      </c>
      <c r="E4363" t="s">
        <v>8</v>
      </c>
      <c r="F4363">
        <v>2</v>
      </c>
      <c r="G4363" t="str">
        <f>VLOOKUP(D4363,Товары!A:I,3,0)</f>
        <v>Тумба с раковиной  навес. Леон 700 форест 2 ящика с умыв. Слим</v>
      </c>
      <c r="H4363">
        <f>VLOOKUP(D4363,Товары!A:I,6,0)</f>
        <v>60</v>
      </c>
      <c r="I4363" t="str">
        <f>VLOOKUP(C4363,Магазины!A:C,3,0)</f>
        <v>Ставрополь</v>
      </c>
      <c r="J4363">
        <f>VLOOKUP(D4363,Товары!A:I,4,0)</f>
        <v>26220</v>
      </c>
      <c r="K4363">
        <f t="shared" si="68"/>
        <v>52440</v>
      </c>
    </row>
    <row r="4364" spans="1:11" hidden="1" x14ac:dyDescent="0.25">
      <c r="A4364">
        <v>4363</v>
      </c>
      <c r="B4364" s="1">
        <v>45752</v>
      </c>
      <c r="C4364" t="s">
        <v>111</v>
      </c>
      <c r="D4364" t="s">
        <v>97</v>
      </c>
      <c r="E4364" t="s">
        <v>8</v>
      </c>
      <c r="F4364">
        <v>1</v>
      </c>
      <c r="G4364" t="str">
        <f>VLOOKUP(D4364,Товары!A:I,3,0)</f>
        <v>Пенал напол. Кристалл 350 суфле 2 двери</v>
      </c>
      <c r="H4364">
        <f>VLOOKUP(D4364,Товары!A:I,6,0)</f>
        <v>190</v>
      </c>
      <c r="I4364" t="str">
        <f>VLOOKUP(C4364,Магазины!A:C,3,0)</f>
        <v>Набережные Челны</v>
      </c>
      <c r="J4364">
        <f>VLOOKUP(D4364,Товары!A:I,4,0)</f>
        <v>15810</v>
      </c>
      <c r="K4364">
        <f t="shared" si="68"/>
        <v>15810</v>
      </c>
    </row>
    <row r="4365" spans="1:11" hidden="1" x14ac:dyDescent="0.25">
      <c r="A4365">
        <v>4364</v>
      </c>
      <c r="B4365" s="1">
        <v>45751</v>
      </c>
      <c r="C4365" t="s">
        <v>41</v>
      </c>
      <c r="D4365" t="s">
        <v>117</v>
      </c>
      <c r="E4365" t="s">
        <v>8</v>
      </c>
      <c r="F4365">
        <v>3</v>
      </c>
      <c r="G4365" t="str">
        <f>VLOOKUP(D4365,Товары!A:I,3,0)</f>
        <v>Тумба с раковиной  навес. Альба 700 антрацит 2 ящика с умыв. Слим</v>
      </c>
      <c r="H4365">
        <f>VLOOKUP(D4365,Товары!A:I,6,0)</f>
        <v>60</v>
      </c>
      <c r="I4365" t="str">
        <f>VLOOKUP(C4365,Магазины!A:C,3,0)</f>
        <v>Ставрополь</v>
      </c>
      <c r="J4365">
        <f>VLOOKUP(D4365,Товары!A:I,4,0)</f>
        <v>25095</v>
      </c>
      <c r="K4365">
        <f t="shared" si="68"/>
        <v>75285</v>
      </c>
    </row>
    <row r="4366" spans="1:11" hidden="1" x14ac:dyDescent="0.25">
      <c r="A4366">
        <v>4365</v>
      </c>
      <c r="B4366" s="1">
        <v>45754</v>
      </c>
      <c r="C4366" t="s">
        <v>35</v>
      </c>
      <c r="D4366" t="s">
        <v>76</v>
      </c>
      <c r="E4366" t="s">
        <v>8</v>
      </c>
      <c r="F4366">
        <v>2</v>
      </c>
      <c r="G4366" t="str">
        <f>VLOOKUP(D4366,Товары!A:I,3,0)</f>
        <v>Тумба с раковиной  напол. Леон 600 оникс 2 ящика с умыв. Слим</v>
      </c>
      <c r="H4366">
        <f>VLOOKUP(D4366,Товары!A:I,6,0)</f>
        <v>80</v>
      </c>
      <c r="I4366" t="str">
        <f>VLOOKUP(C4366,Магазины!A:C,3,0)</f>
        <v>Набережные Челны</v>
      </c>
      <c r="J4366">
        <f>VLOOKUP(D4366,Товары!A:I,4,0)</f>
        <v>25860</v>
      </c>
      <c r="K4366">
        <f t="shared" si="68"/>
        <v>51720</v>
      </c>
    </row>
    <row r="4367" spans="1:11" hidden="1" x14ac:dyDescent="0.25">
      <c r="A4367">
        <v>4366</v>
      </c>
      <c r="B4367" s="1">
        <v>45756</v>
      </c>
      <c r="C4367" t="s">
        <v>20</v>
      </c>
      <c r="D4367" t="s">
        <v>93</v>
      </c>
      <c r="E4367" t="s">
        <v>13</v>
      </c>
      <c r="F4367">
        <v>1</v>
      </c>
      <c r="G4367" t="str">
        <f>VLOOKUP(D4367,Товары!A:I,3,0)</f>
        <v>Тумба с раковиной  напол. Леон Риф 800 солярис/белый риф 2 ящика с умыв. Слим</v>
      </c>
      <c r="H4367">
        <f>VLOOKUP(D4367,Товары!A:I,6,0)</f>
        <v>80</v>
      </c>
      <c r="I4367" t="str">
        <f>VLOOKUP(C4367,Магазины!A:C,3,0)</f>
        <v>Оренбург</v>
      </c>
      <c r="J4367">
        <f>VLOOKUP(D4367,Товары!A:I,4,0)</f>
        <v>29340</v>
      </c>
      <c r="K4367">
        <f t="shared" si="68"/>
        <v>29340</v>
      </c>
    </row>
    <row r="4368" spans="1:11" hidden="1" x14ac:dyDescent="0.25">
      <c r="A4368">
        <v>4367</v>
      </c>
      <c r="B4368" s="1">
        <v>45751</v>
      </c>
      <c r="C4368" t="s">
        <v>103</v>
      </c>
      <c r="D4368" t="s">
        <v>74</v>
      </c>
      <c r="E4368" t="s">
        <v>8</v>
      </c>
      <c r="F4368">
        <v>1</v>
      </c>
      <c r="G4368" t="str">
        <f>VLOOKUP(D4368,Товары!A:I,3,0)</f>
        <v>Тумба с раковиной  напол. Альба 800 суфле 2 ящика с умыв. Слим</v>
      </c>
      <c r="H4368">
        <f>VLOOKUP(D4368,Товары!A:I,6,0)</f>
        <v>80</v>
      </c>
      <c r="I4368" t="str">
        <f>VLOOKUP(C4368,Магазины!A:C,3,0)</f>
        <v>Ставрополь</v>
      </c>
      <c r="J4368">
        <f>VLOOKUP(D4368,Товары!A:I,4,0)</f>
        <v>29340</v>
      </c>
      <c r="K4368">
        <f t="shared" si="68"/>
        <v>29340</v>
      </c>
    </row>
    <row r="4369" spans="1:11" hidden="1" x14ac:dyDescent="0.25">
      <c r="A4369">
        <v>4368</v>
      </c>
      <c r="B4369" s="1">
        <v>45754</v>
      </c>
      <c r="C4369" t="s">
        <v>22</v>
      </c>
      <c r="D4369" t="s">
        <v>45</v>
      </c>
      <c r="E4369" t="s">
        <v>13</v>
      </c>
      <c r="F4369">
        <v>1</v>
      </c>
      <c r="G4369" t="str">
        <f>VLOOKUP(D4369,Товары!A:I,3,0)</f>
        <v>Зеркальный шкаф Рица 80 со светильником правый цвет cерый/керамика</v>
      </c>
      <c r="H4369">
        <f>VLOOKUP(D4369,Товары!A:I,6,0)</f>
        <v>75</v>
      </c>
      <c r="I4369" t="str">
        <f>VLOOKUP(C4369,Магазины!A:C,3,0)</f>
        <v>Кемерово</v>
      </c>
      <c r="J4369">
        <f>VLOOKUP(D4369,Товары!A:I,4,0)</f>
        <v>9930</v>
      </c>
      <c r="K4369">
        <f t="shared" si="68"/>
        <v>9930</v>
      </c>
    </row>
    <row r="4370" spans="1:11" hidden="1" x14ac:dyDescent="0.25">
      <c r="A4370">
        <v>4369</v>
      </c>
      <c r="B4370" s="1">
        <v>45754</v>
      </c>
      <c r="C4370" t="s">
        <v>9</v>
      </c>
      <c r="D4370" t="s">
        <v>62</v>
      </c>
      <c r="E4370" t="s">
        <v>8</v>
      </c>
      <c r="F4370">
        <v>1</v>
      </c>
      <c r="G4370" t="str">
        <f>VLOOKUP(D4370,Товары!A:I,3,0)</f>
        <v>Тумба с раковиной  напол. Альба 600 мята 2 ящика с умыв. Океан</v>
      </c>
      <c r="H4370">
        <f>VLOOKUP(D4370,Товары!A:I,6,0)</f>
        <v>80</v>
      </c>
      <c r="I4370" t="str">
        <f>VLOOKUP(C4370,Магазины!A:C,3,0)</f>
        <v>Кемерово</v>
      </c>
      <c r="J4370">
        <f>VLOOKUP(D4370,Товары!A:I,4,0)</f>
        <v>26370</v>
      </c>
      <c r="K4370">
        <f t="shared" si="68"/>
        <v>26370</v>
      </c>
    </row>
    <row r="4371" spans="1:11" hidden="1" x14ac:dyDescent="0.25">
      <c r="A4371">
        <v>4370</v>
      </c>
      <c r="B4371" s="1">
        <v>45752</v>
      </c>
      <c r="C4371" t="s">
        <v>28</v>
      </c>
      <c r="D4371" t="s">
        <v>114</v>
      </c>
      <c r="E4371" t="s">
        <v>8</v>
      </c>
      <c r="F4371">
        <v>3</v>
      </c>
      <c r="G4371" t="str">
        <f>VLOOKUP(D4371,Товары!A:I,3,0)</f>
        <v>Тумба с раковиной  навес. Альба 700 мята 2 ящика с умыв. Слим</v>
      </c>
      <c r="H4371">
        <f>VLOOKUP(D4371,Товары!A:I,6,0)</f>
        <v>60</v>
      </c>
      <c r="I4371" t="str">
        <f>VLOOKUP(C4371,Магазины!A:C,3,0)</f>
        <v>Набережные Челны</v>
      </c>
      <c r="J4371">
        <f>VLOOKUP(D4371,Товары!A:I,4,0)</f>
        <v>25095</v>
      </c>
      <c r="K4371">
        <f t="shared" si="68"/>
        <v>75285</v>
      </c>
    </row>
    <row r="4372" spans="1:11" hidden="1" x14ac:dyDescent="0.25">
      <c r="A4372">
        <v>4371</v>
      </c>
      <c r="B4372" s="1">
        <v>45753</v>
      </c>
      <c r="C4372" t="s">
        <v>22</v>
      </c>
      <c r="D4372" t="s">
        <v>36</v>
      </c>
      <c r="E4372" t="s">
        <v>13</v>
      </c>
      <c r="F4372">
        <v>3</v>
      </c>
      <c r="G4372" t="str">
        <f>VLOOKUP(D4372,Товары!A:I,3,0)</f>
        <v>Тумба с раковиной  напол. Альба 800 мята 2 ящика с умыв. Слим</v>
      </c>
      <c r="H4372">
        <f>VLOOKUP(D4372,Товары!A:I,6,0)</f>
        <v>80</v>
      </c>
      <c r="I4372" t="str">
        <f>VLOOKUP(C4372,Магазины!A:C,3,0)</f>
        <v>Кемерово</v>
      </c>
      <c r="J4372">
        <f>VLOOKUP(D4372,Товары!A:I,4,0)</f>
        <v>29340</v>
      </c>
      <c r="K4372">
        <f t="shared" si="68"/>
        <v>88020</v>
      </c>
    </row>
    <row r="4373" spans="1:11" hidden="1" x14ac:dyDescent="0.25">
      <c r="A4373">
        <v>4372</v>
      </c>
      <c r="B4373" s="1">
        <v>45755</v>
      </c>
      <c r="C4373" t="s">
        <v>103</v>
      </c>
      <c r="D4373" t="s">
        <v>45</v>
      </c>
      <c r="E4373" t="s">
        <v>13</v>
      </c>
      <c r="F4373">
        <v>1</v>
      </c>
      <c r="G4373" t="str">
        <f>VLOOKUP(D4373,Товары!A:I,3,0)</f>
        <v>Зеркальный шкаф Рица 80 со светильником правый цвет cерый/керамика</v>
      </c>
      <c r="H4373">
        <f>VLOOKUP(D4373,Товары!A:I,6,0)</f>
        <v>75</v>
      </c>
      <c r="I4373" t="str">
        <f>VLOOKUP(C4373,Магазины!A:C,3,0)</f>
        <v>Ставрополь</v>
      </c>
      <c r="J4373">
        <f>VLOOKUP(D4373,Товары!A:I,4,0)</f>
        <v>9930</v>
      </c>
      <c r="K4373">
        <f t="shared" si="68"/>
        <v>9930</v>
      </c>
    </row>
    <row r="4374" spans="1:11" hidden="1" x14ac:dyDescent="0.25">
      <c r="A4374">
        <v>4373</v>
      </c>
      <c r="B4374" s="1">
        <v>45756</v>
      </c>
      <c r="C4374" t="s">
        <v>33</v>
      </c>
      <c r="D4374" t="s">
        <v>124</v>
      </c>
      <c r="E4374" t="s">
        <v>8</v>
      </c>
      <c r="F4374">
        <v>3</v>
      </c>
      <c r="G4374" t="str">
        <f>VLOOKUP(D4374,Товары!A:I,3,0)</f>
        <v>Тумба с раковиной  напол. Леон 600 оникс 2 ящика с умыв. Океан</v>
      </c>
      <c r="H4374">
        <f>VLOOKUP(D4374,Товары!A:I,6,0)</f>
        <v>80</v>
      </c>
      <c r="I4374" t="str">
        <f>VLOOKUP(C4374,Магазины!A:C,3,0)</f>
        <v>Набережные Челны</v>
      </c>
      <c r="J4374">
        <f>VLOOKUP(D4374,Товары!A:I,4,0)</f>
        <v>25860</v>
      </c>
      <c r="K4374">
        <f t="shared" si="68"/>
        <v>77580</v>
      </c>
    </row>
    <row r="4375" spans="1:11" hidden="1" x14ac:dyDescent="0.25">
      <c r="A4375">
        <v>4374</v>
      </c>
      <c r="B4375" s="1">
        <v>45756</v>
      </c>
      <c r="C4375" t="s">
        <v>11</v>
      </c>
      <c r="D4375" t="s">
        <v>15</v>
      </c>
      <c r="E4375" t="s">
        <v>8</v>
      </c>
      <c r="F4375">
        <v>2</v>
      </c>
      <c r="G4375" t="str">
        <f>VLOOKUP(D4375,Товары!A:I,3,0)</f>
        <v>Зеркальный шкаф Кристалл 60 со светильником правый, ручка кнопка дуб цвет Шато Азур</v>
      </c>
      <c r="H4375">
        <f>VLOOKUP(D4375,Товары!A:I,6,0)</f>
        <v>75</v>
      </c>
      <c r="I4375" t="str">
        <f>VLOOKUP(C4375,Магазины!A:C,3,0)</f>
        <v>Кемерово</v>
      </c>
      <c r="J4375">
        <f>VLOOKUP(D4375,Товары!A:I,4,0)</f>
        <v>9195</v>
      </c>
      <c r="K4375">
        <f t="shared" si="68"/>
        <v>18390</v>
      </c>
    </row>
    <row r="4376" spans="1:11" hidden="1" x14ac:dyDescent="0.25">
      <c r="A4376">
        <v>4375</v>
      </c>
      <c r="B4376" s="1">
        <v>45757</v>
      </c>
      <c r="C4376" t="s">
        <v>57</v>
      </c>
      <c r="D4376" t="s">
        <v>109</v>
      </c>
      <c r="E4376" t="s">
        <v>13</v>
      </c>
      <c r="F4376">
        <v>1</v>
      </c>
      <c r="G4376" t="str">
        <f>VLOOKUP(D4376,Товары!A:I,3,0)</f>
        <v>Тумба с раковиной  навес. Альба 600 антрацит 2 ящика с умыв. Океан</v>
      </c>
      <c r="H4376">
        <f>VLOOKUP(D4376,Товары!A:I,6,0)</f>
        <v>50</v>
      </c>
      <c r="I4376" t="str">
        <f>VLOOKUP(C4376,Магазины!A:C,3,0)</f>
        <v>Оренбург</v>
      </c>
      <c r="J4376">
        <f>VLOOKUP(D4376,Товары!A:I,4,0)</f>
        <v>24810</v>
      </c>
      <c r="K4376">
        <f t="shared" si="68"/>
        <v>24810</v>
      </c>
    </row>
    <row r="4377" spans="1:11" hidden="1" x14ac:dyDescent="0.25">
      <c r="A4377">
        <v>4376</v>
      </c>
      <c r="B4377" s="1">
        <v>45751</v>
      </c>
      <c r="C4377" t="s">
        <v>18</v>
      </c>
      <c r="D4377" t="s">
        <v>55</v>
      </c>
      <c r="E4377" t="s">
        <v>8</v>
      </c>
      <c r="F4377">
        <v>1</v>
      </c>
      <c r="G4377" t="str">
        <f>VLOOKUP(D4377,Товары!A:I,3,0)</f>
        <v>Тумба с раковиной  напол. Рица 600 cерый/керамика 2 ящика с умыв. Океан</v>
      </c>
      <c r="H4377">
        <f>VLOOKUP(D4377,Товары!A:I,6,0)</f>
        <v>80</v>
      </c>
      <c r="I4377" t="str">
        <f>VLOOKUP(C4377,Магазины!A:C,3,0)</f>
        <v>Набережные Челны</v>
      </c>
      <c r="J4377">
        <f>VLOOKUP(D4377,Товары!A:I,4,0)</f>
        <v>25560</v>
      </c>
      <c r="K4377">
        <f t="shared" si="68"/>
        <v>25560</v>
      </c>
    </row>
    <row r="4378" spans="1:11" hidden="1" x14ac:dyDescent="0.25">
      <c r="A4378">
        <v>4377</v>
      </c>
      <c r="B4378" s="1">
        <v>45750</v>
      </c>
      <c r="C4378" t="s">
        <v>92</v>
      </c>
      <c r="D4378" t="s">
        <v>29</v>
      </c>
      <c r="E4378" t="s">
        <v>8</v>
      </c>
      <c r="F4378">
        <v>2</v>
      </c>
      <c r="G4378" t="str">
        <f>VLOOKUP(D4378,Товары!A:I,3,0)</f>
        <v>Тумба с раковиной  напол. Леон Риф 600 солярис/белый риф 2 ящика с умыв. Океан</v>
      </c>
      <c r="H4378">
        <f>VLOOKUP(D4378,Товары!A:I,6,0)</f>
        <v>80</v>
      </c>
      <c r="I4378" t="str">
        <f>VLOOKUP(C4378,Магазины!A:C,3,0)</f>
        <v>Кемерово</v>
      </c>
      <c r="J4378">
        <f>VLOOKUP(D4378,Товары!A:I,4,0)</f>
        <v>24150</v>
      </c>
      <c r="K4378">
        <f t="shared" si="68"/>
        <v>48300</v>
      </c>
    </row>
    <row r="4379" spans="1:11" hidden="1" x14ac:dyDescent="0.25">
      <c r="A4379">
        <v>4378</v>
      </c>
      <c r="B4379" s="1">
        <v>45750</v>
      </c>
      <c r="C4379" t="s">
        <v>57</v>
      </c>
      <c r="D4379" t="s">
        <v>95</v>
      </c>
      <c r="E4379" t="s">
        <v>13</v>
      </c>
      <c r="F4379">
        <v>2</v>
      </c>
      <c r="G4379" t="str">
        <f>VLOOKUP(D4379,Товары!A:I,3,0)</f>
        <v>Тумба с раковиной  напол. Рица 600 антрацит 2 ящика с умыв. Океан</v>
      </c>
      <c r="H4379">
        <f>VLOOKUP(D4379,Товары!A:I,6,0)</f>
        <v>80</v>
      </c>
      <c r="I4379" t="str">
        <f>VLOOKUP(C4379,Магазины!A:C,3,0)</f>
        <v>Оренбург</v>
      </c>
      <c r="J4379">
        <f>VLOOKUP(D4379,Товары!A:I,4,0)</f>
        <v>25560</v>
      </c>
      <c r="K4379">
        <f t="shared" si="68"/>
        <v>51120</v>
      </c>
    </row>
    <row r="4380" spans="1:11" hidden="1" x14ac:dyDescent="0.25">
      <c r="A4380">
        <v>4379</v>
      </c>
      <c r="B4380" s="1">
        <v>45749</v>
      </c>
      <c r="C4380" t="s">
        <v>111</v>
      </c>
      <c r="D4380" t="s">
        <v>106</v>
      </c>
      <c r="E4380" t="s">
        <v>13</v>
      </c>
      <c r="F4380">
        <v>1</v>
      </c>
      <c r="G4380" t="str">
        <f>VLOOKUP(D4380,Товары!A:I,3,0)</f>
        <v>Тумба с раковиной  навес. Кристалл 700 шато азур 2 ящика с умыв. Слим</v>
      </c>
      <c r="H4380">
        <f>VLOOKUP(D4380,Товары!A:I,6,0)</f>
        <v>60</v>
      </c>
      <c r="I4380" t="str">
        <f>VLOOKUP(C4380,Магазины!A:C,3,0)</f>
        <v>Набережные Челны</v>
      </c>
      <c r="J4380">
        <f>VLOOKUP(D4380,Товары!A:I,4,0)</f>
        <v>24150</v>
      </c>
      <c r="K4380">
        <f t="shared" si="68"/>
        <v>24150</v>
      </c>
    </row>
    <row r="4381" spans="1:11" hidden="1" x14ac:dyDescent="0.25">
      <c r="A4381">
        <v>4380</v>
      </c>
      <c r="B4381" s="1">
        <v>45750</v>
      </c>
      <c r="C4381" t="s">
        <v>28</v>
      </c>
      <c r="D4381" t="s">
        <v>107</v>
      </c>
      <c r="E4381" t="s">
        <v>8</v>
      </c>
      <c r="F4381">
        <v>1</v>
      </c>
      <c r="G4381" t="str">
        <f>VLOOKUP(D4381,Товары!A:I,3,0)</f>
        <v>Комод Аква 35 напольный 1 дверь белый правый</v>
      </c>
      <c r="H4381">
        <f>VLOOKUP(D4381,Товары!A:I,6,0)</f>
        <v>90</v>
      </c>
      <c r="I4381" t="str">
        <f>VLOOKUP(C4381,Магазины!A:C,3,0)</f>
        <v>Набережные Челны</v>
      </c>
      <c r="J4381">
        <f>VLOOKUP(D4381,Товары!A:I,4,0)</f>
        <v>6705</v>
      </c>
      <c r="K4381">
        <f t="shared" si="68"/>
        <v>6705</v>
      </c>
    </row>
    <row r="4382" spans="1:11" hidden="1" x14ac:dyDescent="0.25">
      <c r="A4382">
        <v>4381</v>
      </c>
      <c r="B4382" s="1">
        <v>45757</v>
      </c>
      <c r="C4382" t="s">
        <v>48</v>
      </c>
      <c r="D4382" t="s">
        <v>89</v>
      </c>
      <c r="E4382" t="s">
        <v>8</v>
      </c>
      <c r="F4382">
        <v>3</v>
      </c>
      <c r="G4382" t="str">
        <f>VLOOKUP(D4382,Товары!A:I,3,0)</f>
        <v>Тумба с раковиной  напол. Сохо 600 белый 2 двери с умыв. Океан</v>
      </c>
      <c r="H4382">
        <f>VLOOKUP(D4382,Товары!A:I,6,0)</f>
        <v>85</v>
      </c>
      <c r="I4382" t="str">
        <f>VLOOKUP(C4382,Магазины!A:C,3,0)</f>
        <v>Ставрополь</v>
      </c>
      <c r="J4382">
        <f>VLOOKUP(D4382,Товары!A:I,4,0)</f>
        <v>14880</v>
      </c>
      <c r="K4382">
        <f t="shared" si="68"/>
        <v>44640</v>
      </c>
    </row>
    <row r="4383" spans="1:11" hidden="1" x14ac:dyDescent="0.25">
      <c r="A4383">
        <v>4382</v>
      </c>
      <c r="B4383" s="1">
        <v>45757</v>
      </c>
      <c r="C4383" t="s">
        <v>16</v>
      </c>
      <c r="D4383" t="s">
        <v>130</v>
      </c>
      <c r="E4383" t="s">
        <v>13</v>
      </c>
      <c r="F4383">
        <v>3</v>
      </c>
      <c r="G4383" t="str">
        <f>VLOOKUP(D4383,Товары!A:I,3,0)</f>
        <v>Пенал напол. Леон 400 форест 2 двери + 1 ящик</v>
      </c>
      <c r="H4383">
        <f>VLOOKUP(D4383,Товары!A:I,6,0)</f>
        <v>190</v>
      </c>
      <c r="I4383" t="str">
        <f>VLOOKUP(C4383,Магазины!A:C,3,0)</f>
        <v>Оренбург</v>
      </c>
      <c r="J4383">
        <f>VLOOKUP(D4383,Товары!A:I,4,0)</f>
        <v>18450</v>
      </c>
      <c r="K4383">
        <f t="shared" si="68"/>
        <v>55350</v>
      </c>
    </row>
    <row r="4384" spans="1:11" hidden="1" x14ac:dyDescent="0.25">
      <c r="A4384">
        <v>4383</v>
      </c>
      <c r="B4384" s="1">
        <v>45748</v>
      </c>
      <c r="C4384" t="s">
        <v>54</v>
      </c>
      <c r="D4384" t="s">
        <v>85</v>
      </c>
      <c r="E4384" t="s">
        <v>8</v>
      </c>
      <c r="F4384">
        <v>2</v>
      </c>
      <c r="G4384" t="str">
        <f>VLOOKUP(D4384,Товары!A:I,3,0)</f>
        <v>Пенал напол. Аква 450 белый 2 двери + 2 ящика + корзина</v>
      </c>
      <c r="H4384">
        <f>VLOOKUP(D4384,Товары!A:I,6,0)</f>
        <v>190</v>
      </c>
      <c r="I4384" t="str">
        <f>VLOOKUP(C4384,Магазины!A:C,3,0)</f>
        <v>Ставрополь</v>
      </c>
      <c r="J4384">
        <f>VLOOKUP(D4384,Товары!A:I,4,0)</f>
        <v>13335</v>
      </c>
      <c r="K4384">
        <f t="shared" si="68"/>
        <v>26670</v>
      </c>
    </row>
    <row r="4385" spans="1:11" hidden="1" x14ac:dyDescent="0.25">
      <c r="A4385">
        <v>4384</v>
      </c>
      <c r="B4385" s="1">
        <v>45748</v>
      </c>
      <c r="C4385" t="s">
        <v>43</v>
      </c>
      <c r="D4385" t="s">
        <v>52</v>
      </c>
      <c r="E4385" t="s">
        <v>8</v>
      </c>
      <c r="F4385">
        <v>3</v>
      </c>
      <c r="G4385" t="str">
        <f>VLOOKUP(D4385,Товары!A:I,3,0)</f>
        <v>Тумба с раковиной  напол. Кристалл 600 суфле 2 ящика с умыв. Океан</v>
      </c>
      <c r="H4385">
        <f>VLOOKUP(D4385,Товары!A:I,6,0)</f>
        <v>80</v>
      </c>
      <c r="I4385" t="str">
        <f>VLOOKUP(C4385,Магазины!A:C,3,0)</f>
        <v>Набережные Челны</v>
      </c>
      <c r="J4385">
        <f>VLOOKUP(D4385,Товары!A:I,4,0)</f>
        <v>27600</v>
      </c>
      <c r="K4385">
        <f t="shared" si="68"/>
        <v>82800</v>
      </c>
    </row>
    <row r="4386" spans="1:11" hidden="1" x14ac:dyDescent="0.25">
      <c r="A4386">
        <v>4385</v>
      </c>
      <c r="B4386" s="1">
        <v>45750</v>
      </c>
      <c r="C4386" t="s">
        <v>48</v>
      </c>
      <c r="D4386" t="s">
        <v>82</v>
      </c>
      <c r="E4386" t="s">
        <v>8</v>
      </c>
      <c r="F4386">
        <v>2</v>
      </c>
      <c r="G4386" t="str">
        <f>VLOOKUP(D4386,Товары!A:I,3,0)</f>
        <v>Тумба с раковиной  навес. Леон 800 форест 2 ящика с умыв. Слим</v>
      </c>
      <c r="H4386">
        <f>VLOOKUP(D4386,Товары!A:I,6,0)</f>
        <v>60</v>
      </c>
      <c r="I4386" t="str">
        <f>VLOOKUP(C4386,Магазины!A:C,3,0)</f>
        <v>Ставрополь</v>
      </c>
      <c r="J4386">
        <f>VLOOKUP(D4386,Товары!A:I,4,0)</f>
        <v>27930</v>
      </c>
      <c r="K4386">
        <f t="shared" si="68"/>
        <v>55860</v>
      </c>
    </row>
    <row r="4387" spans="1:11" hidden="1" x14ac:dyDescent="0.25">
      <c r="A4387">
        <v>4386</v>
      </c>
      <c r="B4387" s="1">
        <v>45748</v>
      </c>
      <c r="C4387" t="s">
        <v>9</v>
      </c>
      <c r="D4387" t="s">
        <v>94</v>
      </c>
      <c r="E4387" t="s">
        <v>13</v>
      </c>
      <c r="F4387">
        <v>3</v>
      </c>
      <c r="G4387" t="str">
        <f>VLOOKUP(D4387,Товары!A:I,3,0)</f>
        <v>Зеркальный шкаф Альба 80 со светильником правый цвет антрацит</v>
      </c>
      <c r="H4387">
        <f>VLOOKUP(D4387,Товары!A:I,6,0)</f>
        <v>75</v>
      </c>
      <c r="I4387" t="str">
        <f>VLOOKUP(C4387,Магазины!A:C,3,0)</f>
        <v>Кемерово</v>
      </c>
      <c r="J4387">
        <f>VLOOKUP(D4387,Товары!A:I,4,0)</f>
        <v>9930</v>
      </c>
      <c r="K4387">
        <f t="shared" si="68"/>
        <v>29790</v>
      </c>
    </row>
    <row r="4388" spans="1:11" hidden="1" x14ac:dyDescent="0.25">
      <c r="A4388">
        <v>4387</v>
      </c>
      <c r="B4388" s="1">
        <v>45757</v>
      </c>
      <c r="C4388" t="s">
        <v>54</v>
      </c>
      <c r="D4388" t="s">
        <v>60</v>
      </c>
      <c r="E4388" t="s">
        <v>8</v>
      </c>
      <c r="F4388">
        <v>1</v>
      </c>
      <c r="G4388" t="str">
        <f>VLOOKUP(D4388,Товары!A:I,3,0)</f>
        <v>Пенал навес. Куба Риф 350 белый 2 двери</v>
      </c>
      <c r="H4388">
        <f>VLOOKUP(D4388,Товары!A:I,6,0)</f>
        <v>150</v>
      </c>
      <c r="I4388" t="str">
        <f>VLOOKUP(C4388,Магазины!A:C,3,0)</f>
        <v>Ставрополь</v>
      </c>
      <c r="J4388">
        <f>VLOOKUP(D4388,Товары!A:I,4,0)</f>
        <v>9720</v>
      </c>
      <c r="K4388">
        <f t="shared" si="68"/>
        <v>9720</v>
      </c>
    </row>
    <row r="4389" spans="1:11" hidden="1" x14ac:dyDescent="0.25">
      <c r="A4389">
        <v>4388</v>
      </c>
      <c r="B4389" s="1">
        <v>45750</v>
      </c>
      <c r="C4389" t="s">
        <v>103</v>
      </c>
      <c r="D4389" t="s">
        <v>24</v>
      </c>
      <c r="E4389" t="s">
        <v>13</v>
      </c>
      <c r="F4389">
        <v>3</v>
      </c>
      <c r="G4389" t="str">
        <f>VLOOKUP(D4389,Товары!A:I,3,0)</f>
        <v>Тумба с раковиной  напол. Леон 600 форест 2 ящика с умыв. Слим</v>
      </c>
      <c r="H4389">
        <f>VLOOKUP(D4389,Товары!A:I,6,0)</f>
        <v>80</v>
      </c>
      <c r="I4389" t="str">
        <f>VLOOKUP(C4389,Магазины!A:C,3,0)</f>
        <v>Ставрополь</v>
      </c>
      <c r="J4389">
        <f>VLOOKUP(D4389,Товары!A:I,4,0)</f>
        <v>27150</v>
      </c>
      <c r="K4389">
        <f t="shared" si="68"/>
        <v>81450</v>
      </c>
    </row>
    <row r="4390" spans="1:11" hidden="1" x14ac:dyDescent="0.25">
      <c r="A4390">
        <v>4389</v>
      </c>
      <c r="B4390" s="1">
        <v>45755</v>
      </c>
      <c r="C4390" t="s">
        <v>20</v>
      </c>
      <c r="D4390" t="s">
        <v>77</v>
      </c>
      <c r="E4390" t="s">
        <v>13</v>
      </c>
      <c r="F4390">
        <v>3</v>
      </c>
      <c r="G4390" t="str">
        <f>VLOOKUP(D4390,Товары!A:I,3,0)</f>
        <v>Тумба с раковиной  напол. Куба Риф 600 белый 2 ящика с умыв. Como</v>
      </c>
      <c r="H4390">
        <f>VLOOKUP(D4390,Товары!A:I,6,0)</f>
        <v>85</v>
      </c>
      <c r="I4390" t="str">
        <f>VLOOKUP(C4390,Магазины!A:C,3,0)</f>
        <v>Оренбург</v>
      </c>
      <c r="J4390">
        <f>VLOOKUP(D4390,Товары!A:I,4,0)</f>
        <v>15660</v>
      </c>
      <c r="K4390">
        <f t="shared" si="68"/>
        <v>46980</v>
      </c>
    </row>
    <row r="4391" spans="1:11" hidden="1" x14ac:dyDescent="0.25">
      <c r="A4391">
        <v>4390</v>
      </c>
      <c r="B4391" s="1">
        <v>45749</v>
      </c>
      <c r="C4391" t="s">
        <v>35</v>
      </c>
      <c r="D4391" t="s">
        <v>72</v>
      </c>
      <c r="E4391" t="s">
        <v>13</v>
      </c>
      <c r="F4391">
        <v>2</v>
      </c>
      <c r="G4391" t="str">
        <f>VLOOKUP(D4391,Товары!A:I,3,0)</f>
        <v>Тумба с раковиной  напол. Сохо 600 белый 2 ящика с умыв. Океан</v>
      </c>
      <c r="H4391">
        <f>VLOOKUP(D4391,Товары!A:I,6,0)</f>
        <v>85</v>
      </c>
      <c r="I4391" t="str">
        <f>VLOOKUP(C4391,Магазины!A:C,3,0)</f>
        <v>Набережные Челны</v>
      </c>
      <c r="J4391">
        <f>VLOOKUP(D4391,Товары!A:I,4,0)</f>
        <v>16140</v>
      </c>
      <c r="K4391">
        <f t="shared" si="68"/>
        <v>32280</v>
      </c>
    </row>
    <row r="4392" spans="1:11" hidden="1" x14ac:dyDescent="0.25">
      <c r="A4392">
        <v>4391</v>
      </c>
      <c r="B4392" s="1">
        <v>45749</v>
      </c>
      <c r="C4392" t="s">
        <v>111</v>
      </c>
      <c r="D4392" t="s">
        <v>52</v>
      </c>
      <c r="E4392" t="s">
        <v>13</v>
      </c>
      <c r="F4392">
        <v>1</v>
      </c>
      <c r="G4392" t="str">
        <f>VLOOKUP(D4392,Товары!A:I,3,0)</f>
        <v>Тумба с раковиной  напол. Кристалл 600 суфле 2 ящика с умыв. Океан</v>
      </c>
      <c r="H4392">
        <f>VLOOKUP(D4392,Товары!A:I,6,0)</f>
        <v>80</v>
      </c>
      <c r="I4392" t="str">
        <f>VLOOKUP(C4392,Магазины!A:C,3,0)</f>
        <v>Набережные Челны</v>
      </c>
      <c r="J4392">
        <f>VLOOKUP(D4392,Товары!A:I,4,0)</f>
        <v>27600</v>
      </c>
      <c r="K4392">
        <f t="shared" si="68"/>
        <v>27600</v>
      </c>
    </row>
    <row r="4393" spans="1:11" hidden="1" x14ac:dyDescent="0.25">
      <c r="A4393">
        <v>4392</v>
      </c>
      <c r="B4393" s="1">
        <v>45751</v>
      </c>
      <c r="C4393" t="s">
        <v>48</v>
      </c>
      <c r="D4393" t="s">
        <v>38</v>
      </c>
      <c r="E4393" t="s">
        <v>8</v>
      </c>
      <c r="F4393">
        <v>3</v>
      </c>
      <c r="G4393" t="str">
        <f>VLOOKUP(D4393,Товары!A:I,3,0)</f>
        <v>Тумба с раковиной  навес. Куба Риф 600 белый 2 ящика с умыв. Como</v>
      </c>
      <c r="H4393">
        <f>VLOOKUP(D4393,Товары!A:I,6,0)</f>
        <v>55</v>
      </c>
      <c r="I4393" t="str">
        <f>VLOOKUP(C4393,Магазины!A:C,3,0)</f>
        <v>Ставрополь</v>
      </c>
      <c r="J4393">
        <f>VLOOKUP(D4393,Товары!A:I,4,0)</f>
        <v>14265</v>
      </c>
      <c r="K4393">
        <f t="shared" si="68"/>
        <v>42795</v>
      </c>
    </row>
    <row r="4394" spans="1:11" hidden="1" x14ac:dyDescent="0.25">
      <c r="A4394">
        <v>4393</v>
      </c>
      <c r="B4394" s="1">
        <v>45753</v>
      </c>
      <c r="C4394" t="s">
        <v>92</v>
      </c>
      <c r="D4394" t="s">
        <v>70</v>
      </c>
      <c r="E4394" t="s">
        <v>13</v>
      </c>
      <c r="F4394">
        <v>2</v>
      </c>
      <c r="G4394" t="str">
        <f>VLOOKUP(D4394,Товары!A:I,3,0)</f>
        <v>Тумба с раковиной  напол. Кристалл 700 шато азур 2 ящика с умыв. Слим</v>
      </c>
      <c r="H4394">
        <f>VLOOKUP(D4394,Товары!A:I,6,0)</f>
        <v>85</v>
      </c>
      <c r="I4394" t="str">
        <f>VLOOKUP(C4394,Магазины!A:C,3,0)</f>
        <v>Кемерово</v>
      </c>
      <c r="J4394">
        <f>VLOOKUP(D4394,Товары!A:I,4,0)</f>
        <v>29910</v>
      </c>
      <c r="K4394">
        <f t="shared" si="68"/>
        <v>59820</v>
      </c>
    </row>
    <row r="4395" spans="1:11" hidden="1" x14ac:dyDescent="0.25">
      <c r="A4395">
        <v>4394</v>
      </c>
      <c r="B4395" s="1">
        <v>45752</v>
      </c>
      <c r="C4395" t="s">
        <v>18</v>
      </c>
      <c r="D4395" t="s">
        <v>87</v>
      </c>
      <c r="E4395" t="s">
        <v>8</v>
      </c>
      <c r="F4395">
        <v>3</v>
      </c>
      <c r="G4395" t="str">
        <f>VLOOKUP(D4395,Товары!A:I,3,0)</f>
        <v>Тумба с раковиной  напол. Леон 700 форест 2 ящика с умыв. Слим</v>
      </c>
      <c r="H4395">
        <f>VLOOKUP(D4395,Товары!A:I,6,0)</f>
        <v>80</v>
      </c>
      <c r="I4395" t="str">
        <f>VLOOKUP(C4395,Магазины!A:C,3,0)</f>
        <v>Набережные Челны</v>
      </c>
      <c r="J4395">
        <f>VLOOKUP(D4395,Товары!A:I,4,0)</f>
        <v>28380</v>
      </c>
      <c r="K4395">
        <f t="shared" si="68"/>
        <v>85140</v>
      </c>
    </row>
    <row r="4396" spans="1:11" hidden="1" x14ac:dyDescent="0.25">
      <c r="A4396">
        <v>4395</v>
      </c>
      <c r="B4396" s="1">
        <v>45755</v>
      </c>
      <c r="C4396" t="s">
        <v>30</v>
      </c>
      <c r="D4396" t="s">
        <v>81</v>
      </c>
      <c r="E4396" t="s">
        <v>13</v>
      </c>
      <c r="F4396">
        <v>3</v>
      </c>
      <c r="G4396" t="str">
        <f>VLOOKUP(D4396,Товары!A:I,3,0)</f>
        <v>Тумба с раковиной  навес. Рица 600 cерый/керамика 1 ящик + ниша 1 с умыв. Океан</v>
      </c>
      <c r="H4396">
        <f>VLOOKUP(D4396,Товары!A:I,6,0)</f>
        <v>60</v>
      </c>
      <c r="I4396" t="str">
        <f>VLOOKUP(C4396,Магазины!A:C,3,0)</f>
        <v>Кемерово</v>
      </c>
      <c r="J4396">
        <f>VLOOKUP(D4396,Товары!A:I,4,0)</f>
        <v>18900</v>
      </c>
      <c r="K4396">
        <f t="shared" si="68"/>
        <v>56700</v>
      </c>
    </row>
    <row r="4397" spans="1:11" hidden="1" x14ac:dyDescent="0.25">
      <c r="A4397">
        <v>4396</v>
      </c>
      <c r="B4397" s="1">
        <v>45749</v>
      </c>
      <c r="C4397" t="s">
        <v>14</v>
      </c>
      <c r="D4397" t="s">
        <v>25</v>
      </c>
      <c r="E4397" t="s">
        <v>13</v>
      </c>
      <c r="F4397">
        <v>3</v>
      </c>
      <c r="G4397" t="str">
        <f>VLOOKUP(D4397,Товары!A:I,3,0)</f>
        <v>Пенал напол. Леон 400 оникс 2 двери + 1 ящик</v>
      </c>
      <c r="H4397">
        <f>VLOOKUP(D4397,Товары!A:I,6,0)</f>
        <v>190</v>
      </c>
      <c r="I4397" t="str">
        <f>VLOOKUP(C4397,Магазины!A:C,3,0)</f>
        <v>Оренбург</v>
      </c>
      <c r="J4397">
        <f>VLOOKUP(D4397,Товары!A:I,4,0)</f>
        <v>18450</v>
      </c>
      <c r="K4397">
        <f t="shared" si="68"/>
        <v>55350</v>
      </c>
    </row>
    <row r="4398" spans="1:11" hidden="1" x14ac:dyDescent="0.25">
      <c r="A4398">
        <v>4397</v>
      </c>
      <c r="B4398" s="1">
        <v>45748</v>
      </c>
      <c r="C4398" t="s">
        <v>103</v>
      </c>
      <c r="D4398" t="s">
        <v>59</v>
      </c>
      <c r="E4398" t="s">
        <v>8</v>
      </c>
      <c r="F4398">
        <v>1</v>
      </c>
      <c r="G4398" t="str">
        <f>VLOOKUP(D4398,Товары!A:I,3,0)</f>
        <v>Тумба с раковиной  навес. Куба Риф 600 белый 2 ящика с умыв. Океан</v>
      </c>
      <c r="H4398">
        <f>VLOOKUP(D4398,Товары!A:I,6,0)</f>
        <v>55</v>
      </c>
      <c r="I4398" t="str">
        <f>VLOOKUP(C4398,Магазины!A:C,3,0)</f>
        <v>Ставрополь</v>
      </c>
      <c r="J4398">
        <f>VLOOKUP(D4398,Товары!A:I,4,0)</f>
        <v>15765</v>
      </c>
      <c r="K4398">
        <f t="shared" si="68"/>
        <v>15765</v>
      </c>
    </row>
    <row r="4399" spans="1:11" hidden="1" x14ac:dyDescent="0.25">
      <c r="A4399">
        <v>4398</v>
      </c>
      <c r="B4399" s="1">
        <v>45752</v>
      </c>
      <c r="C4399" t="s">
        <v>35</v>
      </c>
      <c r="D4399" t="s">
        <v>46</v>
      </c>
      <c r="E4399" t="s">
        <v>13</v>
      </c>
      <c r="F4399">
        <v>1</v>
      </c>
      <c r="G4399" t="str">
        <f>VLOOKUP(D4399,Товары!A:I,3,0)</f>
        <v>Тумба с раковиной  напол. Сохо 700 белый 2 ящика с умыв. Слим</v>
      </c>
      <c r="H4399">
        <f>VLOOKUP(D4399,Товары!A:I,6,0)</f>
        <v>85</v>
      </c>
      <c r="I4399" t="str">
        <f>VLOOKUP(C4399,Магазины!A:C,3,0)</f>
        <v>Набережные Челны</v>
      </c>
      <c r="J4399">
        <f>VLOOKUP(D4399,Товары!A:I,4,0)</f>
        <v>18405</v>
      </c>
      <c r="K4399">
        <f t="shared" si="68"/>
        <v>18405</v>
      </c>
    </row>
    <row r="4400" spans="1:11" hidden="1" x14ac:dyDescent="0.25">
      <c r="A4400">
        <v>4399</v>
      </c>
      <c r="B4400" s="1">
        <v>45754</v>
      </c>
      <c r="C4400" t="s">
        <v>30</v>
      </c>
      <c r="D4400" t="s">
        <v>37</v>
      </c>
      <c r="E4400" t="s">
        <v>8</v>
      </c>
      <c r="F4400">
        <v>2</v>
      </c>
      <c r="G4400" t="str">
        <f>VLOOKUP(D4400,Товары!A:I,3,0)</f>
        <v>Зеркальный шкаф Сохо 70 белый со светильником правый цвет Белый глянец</v>
      </c>
      <c r="H4400">
        <f>VLOOKUP(D4400,Товары!A:I,6,0)</f>
        <v>75</v>
      </c>
      <c r="I4400" t="str">
        <f>VLOOKUP(C4400,Магазины!A:C,3,0)</f>
        <v>Кемерово</v>
      </c>
      <c r="J4400">
        <f>VLOOKUP(D4400,Товары!A:I,4,0)</f>
        <v>7935</v>
      </c>
      <c r="K4400">
        <f t="shared" si="68"/>
        <v>15870</v>
      </c>
    </row>
    <row r="4401" spans="1:11" hidden="1" x14ac:dyDescent="0.25">
      <c r="A4401">
        <v>4400</v>
      </c>
      <c r="B4401" s="1">
        <v>45754</v>
      </c>
      <c r="C4401" t="s">
        <v>35</v>
      </c>
      <c r="D4401" t="s">
        <v>117</v>
      </c>
      <c r="E4401" t="s">
        <v>8</v>
      </c>
      <c r="F4401">
        <v>1</v>
      </c>
      <c r="G4401" t="str">
        <f>VLOOKUP(D4401,Товары!A:I,3,0)</f>
        <v>Тумба с раковиной  навес. Альба 700 антрацит 2 ящика с умыв. Слим</v>
      </c>
      <c r="H4401">
        <f>VLOOKUP(D4401,Товары!A:I,6,0)</f>
        <v>60</v>
      </c>
      <c r="I4401" t="str">
        <f>VLOOKUP(C4401,Магазины!A:C,3,0)</f>
        <v>Набережные Челны</v>
      </c>
      <c r="J4401">
        <f>VLOOKUP(D4401,Товары!A:I,4,0)</f>
        <v>25095</v>
      </c>
      <c r="K4401">
        <f t="shared" si="68"/>
        <v>25095</v>
      </c>
    </row>
    <row r="4402" spans="1:11" hidden="1" x14ac:dyDescent="0.25">
      <c r="A4402">
        <v>4401</v>
      </c>
      <c r="B4402" s="1">
        <v>45754</v>
      </c>
      <c r="C4402" t="s">
        <v>57</v>
      </c>
      <c r="D4402" t="s">
        <v>53</v>
      </c>
      <c r="E4402" t="s">
        <v>8</v>
      </c>
      <c r="F4402">
        <v>2</v>
      </c>
      <c r="G4402" t="str">
        <f>VLOOKUP(D4402,Товары!A:I,3,0)</f>
        <v>Тумба с раковиной  напол. Кристалл 600 шато азур 2 ящика с умыв. Океан</v>
      </c>
      <c r="H4402">
        <f>VLOOKUP(D4402,Товары!A:I,6,0)</f>
        <v>85</v>
      </c>
      <c r="I4402" t="str">
        <f>VLOOKUP(C4402,Магазины!A:C,3,0)</f>
        <v>Оренбург</v>
      </c>
      <c r="J4402">
        <f>VLOOKUP(D4402,Товары!A:I,4,0)</f>
        <v>27600</v>
      </c>
      <c r="K4402">
        <f t="shared" si="68"/>
        <v>55200</v>
      </c>
    </row>
    <row r="4403" spans="1:11" hidden="1" x14ac:dyDescent="0.25">
      <c r="A4403">
        <v>4402</v>
      </c>
      <c r="B4403" s="1">
        <v>45748</v>
      </c>
      <c r="C4403" t="s">
        <v>111</v>
      </c>
      <c r="D4403" t="s">
        <v>79</v>
      </c>
      <c r="E4403" t="s">
        <v>8</v>
      </c>
      <c r="F4403">
        <v>2</v>
      </c>
      <c r="G4403" t="str">
        <f>VLOOKUP(D4403,Товары!A:I,3,0)</f>
        <v>Зеркальный шкаф Альба 70 со светильником правый цвет мята</v>
      </c>
      <c r="H4403">
        <f>VLOOKUP(D4403,Товары!A:I,6,0)</f>
        <v>75</v>
      </c>
      <c r="I4403" t="str">
        <f>VLOOKUP(C4403,Магазины!A:C,3,0)</f>
        <v>Набережные Челны</v>
      </c>
      <c r="J4403">
        <f>VLOOKUP(D4403,Товары!A:I,4,0)</f>
        <v>9615</v>
      </c>
      <c r="K4403">
        <f t="shared" si="68"/>
        <v>19230</v>
      </c>
    </row>
    <row r="4404" spans="1:11" hidden="1" x14ac:dyDescent="0.25">
      <c r="A4404">
        <v>4403</v>
      </c>
      <c r="B4404" s="1">
        <v>45754</v>
      </c>
      <c r="C4404" t="s">
        <v>33</v>
      </c>
      <c r="D4404" t="s">
        <v>56</v>
      </c>
      <c r="E4404" t="s">
        <v>8</v>
      </c>
      <c r="F4404">
        <v>2</v>
      </c>
      <c r="G4404" t="str">
        <f>VLOOKUP(D4404,Товары!A:I,3,0)</f>
        <v>Зеркальный шкаф Альба 80 со светильником правый цвет мята</v>
      </c>
      <c r="H4404">
        <f>VLOOKUP(D4404,Товары!A:I,6,0)</f>
        <v>75</v>
      </c>
      <c r="I4404" t="str">
        <f>VLOOKUP(C4404,Магазины!A:C,3,0)</f>
        <v>Набережные Челны</v>
      </c>
      <c r="J4404">
        <f>VLOOKUP(D4404,Товары!A:I,4,0)</f>
        <v>9930</v>
      </c>
      <c r="K4404">
        <f t="shared" si="68"/>
        <v>19860</v>
      </c>
    </row>
    <row r="4405" spans="1:11" hidden="1" x14ac:dyDescent="0.25">
      <c r="A4405">
        <v>4404</v>
      </c>
      <c r="B4405" s="1">
        <v>45754</v>
      </c>
      <c r="C4405" t="s">
        <v>111</v>
      </c>
      <c r="D4405" t="s">
        <v>19</v>
      </c>
      <c r="E4405" t="s">
        <v>8</v>
      </c>
      <c r="F4405">
        <v>2</v>
      </c>
      <c r="G4405" t="str">
        <f>VLOOKUP(D4405,Товары!A:I,3,0)</f>
        <v>Тумба с раковиной  навес. Леон 800 оникс 2 ящика с умыв. Слим</v>
      </c>
      <c r="H4405">
        <f>VLOOKUP(D4405,Товары!A:I,6,0)</f>
        <v>60</v>
      </c>
      <c r="I4405" t="str">
        <f>VLOOKUP(C4405,Магазины!A:C,3,0)</f>
        <v>Набережные Челны</v>
      </c>
      <c r="J4405">
        <f>VLOOKUP(D4405,Товары!A:I,4,0)</f>
        <v>27930</v>
      </c>
      <c r="K4405">
        <f t="shared" si="68"/>
        <v>55860</v>
      </c>
    </row>
    <row r="4406" spans="1:11" hidden="1" x14ac:dyDescent="0.25">
      <c r="A4406">
        <v>4405</v>
      </c>
      <c r="B4406" s="1">
        <v>45753</v>
      </c>
      <c r="C4406" t="s">
        <v>48</v>
      </c>
      <c r="D4406" t="s">
        <v>12</v>
      </c>
      <c r="E4406" t="s">
        <v>8</v>
      </c>
      <c r="F4406">
        <v>2</v>
      </c>
      <c r="G4406" t="str">
        <f>VLOOKUP(D4406,Товары!A:I,3,0)</f>
        <v>Тумба с раковиной  напол. Сохо 700 белый 2 двери с умыв. Слим</v>
      </c>
      <c r="H4406">
        <f>VLOOKUP(D4406,Товары!A:I,6,0)</f>
        <v>85</v>
      </c>
      <c r="I4406" t="str">
        <f>VLOOKUP(C4406,Магазины!A:C,3,0)</f>
        <v>Ставрополь</v>
      </c>
      <c r="J4406">
        <f>VLOOKUP(D4406,Товары!A:I,4,0)</f>
        <v>17160</v>
      </c>
      <c r="K4406">
        <f t="shared" si="68"/>
        <v>34320</v>
      </c>
    </row>
    <row r="4407" spans="1:11" hidden="1" x14ac:dyDescent="0.25">
      <c r="A4407">
        <v>4406</v>
      </c>
      <c r="B4407" s="1">
        <v>45748</v>
      </c>
      <c r="C4407" t="s">
        <v>103</v>
      </c>
      <c r="D4407" t="s">
        <v>61</v>
      </c>
      <c r="E4407" t="s">
        <v>8</v>
      </c>
      <c r="F4407">
        <v>2</v>
      </c>
      <c r="G4407" t="str">
        <f>VLOOKUP(D4407,Товары!A:I,3,0)</f>
        <v>Тумба под стиральную машину Леон Риф 57 напольная 2 ящика под ст/маш, без умывальника /под Marshall 120 Солярис/Белый Риф</v>
      </c>
      <c r="H4407">
        <f>VLOOKUP(D4407,Товары!A:I,6,0)</f>
        <v>85</v>
      </c>
      <c r="I4407" t="str">
        <f>VLOOKUP(C4407,Магазины!A:C,3,0)</f>
        <v>Ставрополь</v>
      </c>
      <c r="J4407">
        <f>VLOOKUP(D4407,Товары!A:I,4,0)</f>
        <v>17430</v>
      </c>
      <c r="K4407">
        <f t="shared" si="68"/>
        <v>34860</v>
      </c>
    </row>
    <row r="4408" spans="1:11" hidden="1" x14ac:dyDescent="0.25">
      <c r="A4408">
        <v>4407</v>
      </c>
      <c r="B4408" s="1">
        <v>45754</v>
      </c>
      <c r="C4408" t="s">
        <v>43</v>
      </c>
      <c r="D4408" t="s">
        <v>130</v>
      </c>
      <c r="E4408" t="s">
        <v>13</v>
      </c>
      <c r="F4408">
        <v>2</v>
      </c>
      <c r="G4408" t="str">
        <f>VLOOKUP(D4408,Товары!A:I,3,0)</f>
        <v>Пенал напол. Леон 400 форест 2 двери + 1 ящик</v>
      </c>
      <c r="H4408">
        <f>VLOOKUP(D4408,Товары!A:I,6,0)</f>
        <v>190</v>
      </c>
      <c r="I4408" t="str">
        <f>VLOOKUP(C4408,Магазины!A:C,3,0)</f>
        <v>Набережные Челны</v>
      </c>
      <c r="J4408">
        <f>VLOOKUP(D4408,Товары!A:I,4,0)</f>
        <v>18450</v>
      </c>
      <c r="K4408">
        <f t="shared" si="68"/>
        <v>36900</v>
      </c>
    </row>
    <row r="4409" spans="1:11" hidden="1" x14ac:dyDescent="0.25">
      <c r="A4409">
        <v>4408</v>
      </c>
      <c r="B4409" s="1">
        <v>45753</v>
      </c>
      <c r="C4409" t="s">
        <v>16</v>
      </c>
      <c r="D4409" t="s">
        <v>34</v>
      </c>
      <c r="E4409" t="s">
        <v>13</v>
      </c>
      <c r="F4409">
        <v>2</v>
      </c>
      <c r="G4409" t="str">
        <f>VLOOKUP(D4409,Товары!A:I,3,0)</f>
        <v>Тумба с раковиной  навес. Леон 700 форест 2 ящика с умыв. Слим</v>
      </c>
      <c r="H4409">
        <f>VLOOKUP(D4409,Товары!A:I,6,0)</f>
        <v>60</v>
      </c>
      <c r="I4409" t="str">
        <f>VLOOKUP(C4409,Магазины!A:C,3,0)</f>
        <v>Оренбург</v>
      </c>
      <c r="J4409">
        <f>VLOOKUP(D4409,Товары!A:I,4,0)</f>
        <v>26220</v>
      </c>
      <c r="K4409">
        <f t="shared" si="68"/>
        <v>52440</v>
      </c>
    </row>
    <row r="4410" spans="1:11" hidden="1" x14ac:dyDescent="0.25">
      <c r="A4410">
        <v>4409</v>
      </c>
      <c r="B4410" s="1">
        <v>45757</v>
      </c>
      <c r="C4410" t="s">
        <v>41</v>
      </c>
      <c r="D4410" t="s">
        <v>99</v>
      </c>
      <c r="E4410" t="s">
        <v>13</v>
      </c>
      <c r="F4410">
        <v>1</v>
      </c>
      <c r="G4410" t="str">
        <f>VLOOKUP(D4410,Товары!A:I,3,0)</f>
        <v>Тумба с раковиной  навес. Леон 600 оникс 2 ящика с умыв. Слим</v>
      </c>
      <c r="H4410">
        <f>VLOOKUP(D4410,Товары!A:I,6,0)</f>
        <v>60</v>
      </c>
      <c r="I4410" t="str">
        <f>VLOOKUP(C4410,Магазины!A:C,3,0)</f>
        <v>Ставрополь</v>
      </c>
      <c r="J4410">
        <f>VLOOKUP(D4410,Товары!A:I,4,0)</f>
        <v>25125</v>
      </c>
      <c r="K4410">
        <f t="shared" si="68"/>
        <v>25125</v>
      </c>
    </row>
    <row r="4411" spans="1:11" hidden="1" x14ac:dyDescent="0.25">
      <c r="A4411">
        <v>4410</v>
      </c>
      <c r="B4411" s="1">
        <v>45750</v>
      </c>
      <c r="C4411" t="s">
        <v>9</v>
      </c>
      <c r="D4411" t="s">
        <v>12</v>
      </c>
      <c r="E4411" t="s">
        <v>13</v>
      </c>
      <c r="F4411">
        <v>1</v>
      </c>
      <c r="G4411" t="str">
        <f>VLOOKUP(D4411,Товары!A:I,3,0)</f>
        <v>Тумба с раковиной  напол. Сохо 700 белый 2 двери с умыв. Слим</v>
      </c>
      <c r="H4411">
        <f>VLOOKUP(D4411,Товары!A:I,6,0)</f>
        <v>85</v>
      </c>
      <c r="I4411" t="str">
        <f>VLOOKUP(C4411,Магазины!A:C,3,0)</f>
        <v>Кемерово</v>
      </c>
      <c r="J4411">
        <f>VLOOKUP(D4411,Товары!A:I,4,0)</f>
        <v>17160</v>
      </c>
      <c r="K4411">
        <f t="shared" si="68"/>
        <v>17160</v>
      </c>
    </row>
    <row r="4412" spans="1:11" hidden="1" x14ac:dyDescent="0.25">
      <c r="A4412">
        <v>4411</v>
      </c>
      <c r="B4412" s="1">
        <v>45750</v>
      </c>
      <c r="C4412" t="s">
        <v>26</v>
      </c>
      <c r="D4412" t="s">
        <v>50</v>
      </c>
      <c r="E4412" t="s">
        <v>8</v>
      </c>
      <c r="F4412">
        <v>1</v>
      </c>
      <c r="G4412" t="str">
        <f>VLOOKUP(D4412,Товары!A:I,3,0)</f>
        <v>Тумба с раковиной  напол. Леон 800 оникс 2 ящика с умыв. Слим</v>
      </c>
      <c r="H4412">
        <f>VLOOKUP(D4412,Товары!A:I,6,0)</f>
        <v>80</v>
      </c>
      <c r="I4412" t="str">
        <f>VLOOKUP(C4412,Магазины!A:C,3,0)</f>
        <v>Оренбург</v>
      </c>
      <c r="J4412">
        <f>VLOOKUP(D4412,Товары!A:I,4,0)</f>
        <v>29400</v>
      </c>
      <c r="K4412">
        <f t="shared" si="68"/>
        <v>29400</v>
      </c>
    </row>
    <row r="4413" spans="1:11" hidden="1" x14ac:dyDescent="0.25">
      <c r="A4413">
        <v>4412</v>
      </c>
      <c r="B4413" s="1">
        <v>45751</v>
      </c>
      <c r="C4413" t="s">
        <v>58</v>
      </c>
      <c r="D4413" t="s">
        <v>118</v>
      </c>
      <c r="E4413" t="s">
        <v>8</v>
      </c>
      <c r="F4413">
        <v>1</v>
      </c>
      <c r="G4413" t="str">
        <f>VLOOKUP(D4413,Товары!A:I,3,0)</f>
        <v>Тумба с раковиной  напол. Сохо 800 белый 2 ящика с умыв. Слим</v>
      </c>
      <c r="H4413">
        <f>VLOOKUP(D4413,Товары!A:I,6,0)</f>
        <v>85</v>
      </c>
      <c r="I4413" t="str">
        <f>VLOOKUP(C4413,Магазины!A:C,3,0)</f>
        <v>Ставрополь</v>
      </c>
      <c r="J4413">
        <f>VLOOKUP(D4413,Товары!A:I,4,0)</f>
        <v>19575</v>
      </c>
      <c r="K4413">
        <f t="shared" si="68"/>
        <v>19575</v>
      </c>
    </row>
    <row r="4414" spans="1:11" hidden="1" x14ac:dyDescent="0.25">
      <c r="A4414">
        <v>4413</v>
      </c>
      <c r="B4414" s="1">
        <v>45753</v>
      </c>
      <c r="C4414" t="s">
        <v>20</v>
      </c>
      <c r="D4414" t="s">
        <v>119</v>
      </c>
      <c r="E4414" t="s">
        <v>13</v>
      </c>
      <c r="F4414">
        <v>1</v>
      </c>
      <c r="G4414" t="str">
        <f>VLOOKUP(D4414,Товары!A:I,3,0)</f>
        <v>Пенал навес./напол. Рица 350 cерый/керамика 2 двери</v>
      </c>
      <c r="H4414">
        <f>VLOOKUP(D4414,Товары!A:I,6,0)</f>
        <v>160</v>
      </c>
      <c r="I4414" t="str">
        <f>VLOOKUP(C4414,Магазины!A:C,3,0)</f>
        <v>Оренбург</v>
      </c>
      <c r="J4414">
        <f>VLOOKUP(D4414,Товары!A:I,4,0)</f>
        <v>11250</v>
      </c>
      <c r="K4414">
        <f t="shared" si="68"/>
        <v>11250</v>
      </c>
    </row>
    <row r="4415" spans="1:11" hidden="1" x14ac:dyDescent="0.25">
      <c r="A4415">
        <v>4414</v>
      </c>
      <c r="B4415" s="1">
        <v>45752</v>
      </c>
      <c r="C4415" t="s">
        <v>54</v>
      </c>
      <c r="D4415" t="s">
        <v>96</v>
      </c>
      <c r="E4415" t="s">
        <v>13</v>
      </c>
      <c r="F4415">
        <v>3</v>
      </c>
      <c r="G4415" t="str">
        <f>VLOOKUP(D4415,Товары!A:I,3,0)</f>
        <v>Тумба с раковиной  навес. Альба 600 мята 1 ящик с умыв. Океан</v>
      </c>
      <c r="H4415">
        <f>VLOOKUP(D4415,Товары!A:I,6,0)</f>
        <v>85</v>
      </c>
      <c r="I4415" t="str">
        <f>VLOOKUP(C4415,Магазины!A:C,3,0)</f>
        <v>Ставрополь</v>
      </c>
      <c r="J4415">
        <f>VLOOKUP(D4415,Товары!A:I,4,0)</f>
        <v>17625</v>
      </c>
      <c r="K4415">
        <f t="shared" si="68"/>
        <v>52875</v>
      </c>
    </row>
    <row r="4416" spans="1:11" hidden="1" x14ac:dyDescent="0.25">
      <c r="A4416">
        <v>4415</v>
      </c>
      <c r="B4416" s="1">
        <v>45752</v>
      </c>
      <c r="C4416" t="s">
        <v>57</v>
      </c>
      <c r="D4416" t="s">
        <v>42</v>
      </c>
      <c r="E4416" t="s">
        <v>8</v>
      </c>
      <c r="F4416">
        <v>1</v>
      </c>
      <c r="G4416" t="str">
        <f>VLOOKUP(D4416,Товары!A:I,3,0)</f>
        <v>Тумба под стиральную машину Леон Риф 57 подвесная 2 ящика под ст/маш, без умывальника /под Marshall 120 Солярис/Белый Риф</v>
      </c>
      <c r="H4416">
        <f>VLOOKUP(D4416,Товары!A:I,6,0)</f>
        <v>60</v>
      </c>
      <c r="I4416" t="str">
        <f>VLOOKUP(C4416,Магазины!A:C,3,0)</f>
        <v>Оренбург</v>
      </c>
      <c r="J4416">
        <f>VLOOKUP(D4416,Товары!A:I,4,0)</f>
        <v>15495</v>
      </c>
      <c r="K4416">
        <f t="shared" si="68"/>
        <v>15495</v>
      </c>
    </row>
    <row r="4417" spans="1:11" hidden="1" x14ac:dyDescent="0.25">
      <c r="A4417">
        <v>4416</v>
      </c>
      <c r="B4417" s="1">
        <v>45748</v>
      </c>
      <c r="C4417" t="s">
        <v>30</v>
      </c>
      <c r="D4417" t="s">
        <v>79</v>
      </c>
      <c r="E4417" t="s">
        <v>13</v>
      </c>
      <c r="F4417">
        <v>1</v>
      </c>
      <c r="G4417" t="str">
        <f>VLOOKUP(D4417,Товары!A:I,3,0)</f>
        <v>Зеркальный шкаф Альба 70 со светильником правый цвет мята</v>
      </c>
      <c r="H4417">
        <f>VLOOKUP(D4417,Товары!A:I,6,0)</f>
        <v>75</v>
      </c>
      <c r="I4417" t="str">
        <f>VLOOKUP(C4417,Магазины!A:C,3,0)</f>
        <v>Кемерово</v>
      </c>
      <c r="J4417">
        <f>VLOOKUP(D4417,Товары!A:I,4,0)</f>
        <v>9615</v>
      </c>
      <c r="K4417">
        <f t="shared" si="68"/>
        <v>9615</v>
      </c>
    </row>
    <row r="4418" spans="1:11" hidden="1" x14ac:dyDescent="0.25">
      <c r="A4418">
        <v>4417</v>
      </c>
      <c r="B4418" s="1">
        <v>45750</v>
      </c>
      <c r="C4418" t="s">
        <v>30</v>
      </c>
      <c r="D4418" t="s">
        <v>120</v>
      </c>
      <c r="E4418" t="s">
        <v>8</v>
      </c>
      <c r="F4418">
        <v>1</v>
      </c>
      <c r="G4418" t="str">
        <f>VLOOKUP(D4418,Товары!A:I,3,0)</f>
        <v>Зеркальный шкаф Альба 60 со светильником правый цвет антрацит</v>
      </c>
      <c r="H4418">
        <f>VLOOKUP(D4418,Товары!A:I,6,0)</f>
        <v>75</v>
      </c>
      <c r="I4418" t="str">
        <f>VLOOKUP(C4418,Магазины!A:C,3,0)</f>
        <v>Кемерово</v>
      </c>
      <c r="J4418">
        <f>VLOOKUP(D4418,Товары!A:I,4,0)</f>
        <v>8910</v>
      </c>
      <c r="K4418">
        <f t="shared" si="68"/>
        <v>8910</v>
      </c>
    </row>
    <row r="4419" spans="1:11" hidden="1" x14ac:dyDescent="0.25">
      <c r="A4419">
        <v>4418</v>
      </c>
      <c r="B4419" s="1">
        <v>45749</v>
      </c>
      <c r="C4419" t="s">
        <v>43</v>
      </c>
      <c r="D4419" t="s">
        <v>69</v>
      </c>
      <c r="E4419" t="s">
        <v>8</v>
      </c>
      <c r="F4419">
        <v>2</v>
      </c>
      <c r="G4419" t="str">
        <f>VLOOKUP(D4419,Товары!A:I,3,0)</f>
        <v>Пенал навес./напол. Альба 350 антрацит 2 двери</v>
      </c>
      <c r="H4419">
        <f>VLOOKUP(D4419,Товары!A:I,6,0)</f>
        <v>150</v>
      </c>
      <c r="I4419" t="str">
        <f>VLOOKUP(C4419,Магазины!A:C,3,0)</f>
        <v>Набережные Челны</v>
      </c>
      <c r="J4419">
        <f>VLOOKUP(D4419,Товары!A:I,4,0)</f>
        <v>11655</v>
      </c>
      <c r="K4419">
        <f t="shared" ref="K4419:K4482" si="69">J4419*F4419</f>
        <v>23310</v>
      </c>
    </row>
    <row r="4420" spans="1:11" hidden="1" x14ac:dyDescent="0.25">
      <c r="A4420">
        <v>4419</v>
      </c>
      <c r="B4420" s="1">
        <v>45755</v>
      </c>
      <c r="C4420" t="s">
        <v>103</v>
      </c>
      <c r="D4420" t="s">
        <v>113</v>
      </c>
      <c r="E4420" t="s">
        <v>8</v>
      </c>
      <c r="F4420">
        <v>3</v>
      </c>
      <c r="G4420" t="str">
        <f>VLOOKUP(D4420,Товары!A:I,3,0)</f>
        <v>Зеркальный шкаф Альба 60 со светильником правый цвет мята</v>
      </c>
      <c r="H4420">
        <f>VLOOKUP(D4420,Товары!A:I,6,0)</f>
        <v>75</v>
      </c>
      <c r="I4420" t="str">
        <f>VLOOKUP(C4420,Магазины!A:C,3,0)</f>
        <v>Ставрополь</v>
      </c>
      <c r="J4420">
        <f>VLOOKUP(D4420,Товары!A:I,4,0)</f>
        <v>8910</v>
      </c>
      <c r="K4420">
        <f t="shared" si="69"/>
        <v>26730</v>
      </c>
    </row>
    <row r="4421" spans="1:11" hidden="1" x14ac:dyDescent="0.25">
      <c r="A4421">
        <v>4420</v>
      </c>
      <c r="B4421" s="1">
        <v>45755</v>
      </c>
      <c r="C4421" t="s">
        <v>18</v>
      </c>
      <c r="D4421" t="s">
        <v>60</v>
      </c>
      <c r="E4421" t="s">
        <v>13</v>
      </c>
      <c r="F4421">
        <v>1</v>
      </c>
      <c r="G4421" t="str">
        <f>VLOOKUP(D4421,Товары!A:I,3,0)</f>
        <v>Пенал навес. Куба Риф 350 белый 2 двери</v>
      </c>
      <c r="H4421">
        <f>VLOOKUP(D4421,Товары!A:I,6,0)</f>
        <v>150</v>
      </c>
      <c r="I4421" t="str">
        <f>VLOOKUP(C4421,Магазины!A:C,3,0)</f>
        <v>Набережные Челны</v>
      </c>
      <c r="J4421">
        <f>VLOOKUP(D4421,Товары!A:I,4,0)</f>
        <v>9720</v>
      </c>
      <c r="K4421">
        <f t="shared" si="69"/>
        <v>9720</v>
      </c>
    </row>
    <row r="4422" spans="1:11" hidden="1" x14ac:dyDescent="0.25">
      <c r="A4422">
        <v>4421</v>
      </c>
      <c r="B4422" s="1">
        <v>45755</v>
      </c>
      <c r="C4422" t="s">
        <v>58</v>
      </c>
      <c r="D4422" t="s">
        <v>40</v>
      </c>
      <c r="E4422" t="s">
        <v>8</v>
      </c>
      <c r="F4422">
        <v>1</v>
      </c>
      <c r="G4422" t="str">
        <f>VLOOKUP(D4422,Товары!A:I,3,0)</f>
        <v>Тумба с раковиной  навес. Рица 800 cерый/керамика 1 ящик + ниша 1 с умыв. Слим</v>
      </c>
      <c r="H4422">
        <f>VLOOKUP(D4422,Товары!A:I,6,0)</f>
        <v>60</v>
      </c>
      <c r="I4422" t="str">
        <f>VLOOKUP(C4422,Магазины!A:C,3,0)</f>
        <v>Ставрополь</v>
      </c>
      <c r="J4422">
        <f>VLOOKUP(D4422,Товары!A:I,4,0)</f>
        <v>22425</v>
      </c>
      <c r="K4422">
        <f t="shared" si="69"/>
        <v>22425</v>
      </c>
    </row>
    <row r="4423" spans="1:11" hidden="1" x14ac:dyDescent="0.25">
      <c r="A4423">
        <v>4422</v>
      </c>
      <c r="B4423" s="1">
        <v>45754</v>
      </c>
      <c r="C4423" t="s">
        <v>28</v>
      </c>
      <c r="D4423" t="s">
        <v>53</v>
      </c>
      <c r="E4423" t="s">
        <v>8</v>
      </c>
      <c r="F4423">
        <v>2</v>
      </c>
      <c r="G4423" t="str">
        <f>VLOOKUP(D4423,Товары!A:I,3,0)</f>
        <v>Тумба с раковиной  напол. Кристалл 600 шато азур 2 ящика с умыв. Океан</v>
      </c>
      <c r="H4423">
        <f>VLOOKUP(D4423,Товары!A:I,6,0)</f>
        <v>85</v>
      </c>
      <c r="I4423" t="str">
        <f>VLOOKUP(C4423,Магазины!A:C,3,0)</f>
        <v>Набережные Челны</v>
      </c>
      <c r="J4423">
        <f>VLOOKUP(D4423,Товары!A:I,4,0)</f>
        <v>27600</v>
      </c>
      <c r="K4423">
        <f t="shared" si="69"/>
        <v>55200</v>
      </c>
    </row>
    <row r="4424" spans="1:11" hidden="1" x14ac:dyDescent="0.25">
      <c r="A4424">
        <v>4423</v>
      </c>
      <c r="B4424" s="1">
        <v>45749</v>
      </c>
      <c r="C4424" t="s">
        <v>28</v>
      </c>
      <c r="D4424" t="s">
        <v>37</v>
      </c>
      <c r="E4424" t="s">
        <v>13</v>
      </c>
      <c r="F4424">
        <v>3</v>
      </c>
      <c r="G4424" t="str">
        <f>VLOOKUP(D4424,Товары!A:I,3,0)</f>
        <v>Зеркальный шкаф Сохо 70 белый со светильником правый цвет Белый глянец</v>
      </c>
      <c r="H4424">
        <f>VLOOKUP(D4424,Товары!A:I,6,0)</f>
        <v>75</v>
      </c>
      <c r="I4424" t="str">
        <f>VLOOKUP(C4424,Магазины!A:C,3,0)</f>
        <v>Набережные Челны</v>
      </c>
      <c r="J4424">
        <f>VLOOKUP(D4424,Товары!A:I,4,0)</f>
        <v>7935</v>
      </c>
      <c r="K4424">
        <f t="shared" si="69"/>
        <v>23805</v>
      </c>
    </row>
    <row r="4425" spans="1:11" hidden="1" x14ac:dyDescent="0.25">
      <c r="A4425">
        <v>4424</v>
      </c>
      <c r="B4425" s="1">
        <v>45756</v>
      </c>
      <c r="C4425" t="s">
        <v>14</v>
      </c>
      <c r="D4425" t="s">
        <v>117</v>
      </c>
      <c r="E4425" t="s">
        <v>8</v>
      </c>
      <c r="F4425">
        <v>1</v>
      </c>
      <c r="G4425" t="str">
        <f>VLOOKUP(D4425,Товары!A:I,3,0)</f>
        <v>Тумба с раковиной  навес. Альба 700 антрацит 2 ящика с умыв. Слим</v>
      </c>
      <c r="H4425">
        <f>VLOOKUP(D4425,Товары!A:I,6,0)</f>
        <v>60</v>
      </c>
      <c r="I4425" t="str">
        <f>VLOOKUP(C4425,Магазины!A:C,3,0)</f>
        <v>Оренбург</v>
      </c>
      <c r="J4425">
        <f>VLOOKUP(D4425,Товары!A:I,4,0)</f>
        <v>25095</v>
      </c>
      <c r="K4425">
        <f t="shared" si="69"/>
        <v>25095</v>
      </c>
    </row>
    <row r="4426" spans="1:11" hidden="1" x14ac:dyDescent="0.25">
      <c r="A4426">
        <v>4425</v>
      </c>
      <c r="B4426" s="1">
        <v>45751</v>
      </c>
      <c r="C4426" t="s">
        <v>103</v>
      </c>
      <c r="D4426" t="s">
        <v>75</v>
      </c>
      <c r="E4426" t="s">
        <v>13</v>
      </c>
      <c r="F4426">
        <v>2</v>
      </c>
      <c r="G4426" t="str">
        <f>VLOOKUP(D4426,Товары!A:I,3,0)</f>
        <v>Тумба с раковиной  напол. Альба 600 суфле 2 ящика с умыв. Океан</v>
      </c>
      <c r="H4426">
        <f>VLOOKUP(D4426,Товары!A:I,6,0)</f>
        <v>80</v>
      </c>
      <c r="I4426" t="str">
        <f>VLOOKUP(C4426,Магазины!A:C,3,0)</f>
        <v>Ставрополь</v>
      </c>
      <c r="J4426">
        <f>VLOOKUP(D4426,Товары!A:I,4,0)</f>
        <v>26370</v>
      </c>
      <c r="K4426">
        <f t="shared" si="69"/>
        <v>52740</v>
      </c>
    </row>
    <row r="4427" spans="1:11" hidden="1" x14ac:dyDescent="0.25">
      <c r="A4427">
        <v>4426</v>
      </c>
      <c r="B4427" s="1">
        <v>45754</v>
      </c>
      <c r="C4427" t="s">
        <v>35</v>
      </c>
      <c r="D4427" t="s">
        <v>65</v>
      </c>
      <c r="E4427" t="s">
        <v>13</v>
      </c>
      <c r="F4427">
        <v>2</v>
      </c>
      <c r="G4427" t="str">
        <f>VLOOKUP(D4427,Товары!A:I,3,0)</f>
        <v>Тумба с раковиной  навес. Альба 800 суфле 2 ящика с умыв. Слим</v>
      </c>
      <c r="H4427">
        <f>VLOOKUP(D4427,Товары!A:I,6,0)</f>
        <v>50</v>
      </c>
      <c r="I4427" t="str">
        <f>VLOOKUP(C4427,Магазины!A:C,3,0)</f>
        <v>Набережные Челны</v>
      </c>
      <c r="J4427">
        <f>VLOOKUP(D4427,Товары!A:I,4,0)</f>
        <v>26070</v>
      </c>
      <c r="K4427">
        <f t="shared" si="69"/>
        <v>52140</v>
      </c>
    </row>
    <row r="4428" spans="1:11" hidden="1" x14ac:dyDescent="0.25">
      <c r="A4428">
        <v>4427</v>
      </c>
      <c r="B4428" s="1">
        <v>45748</v>
      </c>
      <c r="C4428" t="s">
        <v>14</v>
      </c>
      <c r="D4428" t="s">
        <v>49</v>
      </c>
      <c r="E4428" t="s">
        <v>8</v>
      </c>
      <c r="F4428">
        <v>1</v>
      </c>
      <c r="G4428" t="str">
        <f>VLOOKUP(D4428,Товары!A:I,3,0)</f>
        <v>Тумба с раковиной  напол. Леон 700 оникс 2 ящика с умыв. Слим</v>
      </c>
      <c r="H4428">
        <f>VLOOKUP(D4428,Товары!A:I,6,0)</f>
        <v>80</v>
      </c>
      <c r="I4428" t="str">
        <f>VLOOKUP(C4428,Магазины!A:C,3,0)</f>
        <v>Оренбург</v>
      </c>
      <c r="J4428">
        <f>VLOOKUP(D4428,Товары!A:I,4,0)</f>
        <v>28380</v>
      </c>
      <c r="K4428">
        <f t="shared" si="69"/>
        <v>28380</v>
      </c>
    </row>
    <row r="4429" spans="1:11" hidden="1" x14ac:dyDescent="0.25">
      <c r="A4429">
        <v>4428</v>
      </c>
      <c r="B4429" s="1">
        <v>45750</v>
      </c>
      <c r="C4429" t="s">
        <v>41</v>
      </c>
      <c r="D4429" t="s">
        <v>67</v>
      </c>
      <c r="E4429" t="s">
        <v>8</v>
      </c>
      <c r="F4429">
        <v>3</v>
      </c>
      <c r="G4429" t="str">
        <f>VLOOKUP(D4429,Товары!A:I,3,0)</f>
        <v>Пенал навес./напол. Альба 350 суфле 2 двери</v>
      </c>
      <c r="H4429">
        <f>VLOOKUP(D4429,Товары!A:I,6,0)</f>
        <v>150</v>
      </c>
      <c r="I4429" t="str">
        <f>VLOOKUP(C4429,Магазины!A:C,3,0)</f>
        <v>Ставрополь</v>
      </c>
      <c r="J4429">
        <f>VLOOKUP(D4429,Товары!A:I,4,0)</f>
        <v>11655</v>
      </c>
      <c r="K4429">
        <f t="shared" si="69"/>
        <v>34965</v>
      </c>
    </row>
    <row r="4430" spans="1:11" hidden="1" x14ac:dyDescent="0.25">
      <c r="A4430">
        <v>4429</v>
      </c>
      <c r="B4430" s="1">
        <v>45749</v>
      </c>
      <c r="C4430" t="s">
        <v>28</v>
      </c>
      <c r="D4430" t="s">
        <v>126</v>
      </c>
      <c r="E4430" t="s">
        <v>8</v>
      </c>
      <c r="F4430">
        <v>2</v>
      </c>
      <c r="G4430" t="str">
        <f>VLOOKUP(D4430,Товары!A:I,3,0)</f>
        <v>Тумба с раковиной  напол. Кристалл 800 шато азур 2 ящика с умыв. Комфорт</v>
      </c>
      <c r="H4430">
        <f>VLOOKUP(D4430,Товары!A:I,6,0)</f>
        <v>85</v>
      </c>
      <c r="I4430" t="str">
        <f>VLOOKUP(C4430,Магазины!A:C,3,0)</f>
        <v>Набережные Челны</v>
      </c>
      <c r="J4430">
        <f>VLOOKUP(D4430,Товары!A:I,4,0)</f>
        <v>31125</v>
      </c>
      <c r="K4430">
        <f t="shared" si="69"/>
        <v>62250</v>
      </c>
    </row>
    <row r="4431" spans="1:11" hidden="1" x14ac:dyDescent="0.25">
      <c r="A4431">
        <v>4430</v>
      </c>
      <c r="B4431" s="1">
        <v>45751</v>
      </c>
      <c r="C4431" t="s">
        <v>30</v>
      </c>
      <c r="D4431" t="s">
        <v>129</v>
      </c>
      <c r="E4431" t="s">
        <v>13</v>
      </c>
      <c r="F4431">
        <v>1</v>
      </c>
      <c r="G4431" t="str">
        <f>VLOOKUP(D4431,Товары!A:I,3,0)</f>
        <v>Тумба с раковиной  напол. Альба 700 антрацит 2 ящика с умыв. Слим</v>
      </c>
      <c r="H4431">
        <f>VLOOKUP(D4431,Товары!A:I,6,0)</f>
        <v>85</v>
      </c>
      <c r="I4431" t="str">
        <f>VLOOKUP(C4431,Магазины!A:C,3,0)</f>
        <v>Кемерово</v>
      </c>
      <c r="J4431">
        <f>VLOOKUP(D4431,Товары!A:I,4,0)</f>
        <v>28695</v>
      </c>
      <c r="K4431">
        <f t="shared" si="69"/>
        <v>28695</v>
      </c>
    </row>
    <row r="4432" spans="1:11" hidden="1" x14ac:dyDescent="0.25">
      <c r="A4432">
        <v>4431</v>
      </c>
      <c r="B4432" s="1">
        <v>45754</v>
      </c>
      <c r="C4432" t="s">
        <v>57</v>
      </c>
      <c r="D4432" t="s">
        <v>47</v>
      </c>
      <c r="E4432" t="s">
        <v>8</v>
      </c>
      <c r="F4432">
        <v>1</v>
      </c>
      <c r="G4432" t="str">
        <f>VLOOKUP(D4432,Товары!A:I,3,0)</f>
        <v>Пенал напол. Кристалл 350 шато азур 2 двери</v>
      </c>
      <c r="H4432">
        <f>VLOOKUP(D4432,Товары!A:I,6,0)</f>
        <v>190</v>
      </c>
      <c r="I4432" t="str">
        <f>VLOOKUP(C4432,Магазины!A:C,3,0)</f>
        <v>Оренбург</v>
      </c>
      <c r="J4432">
        <f>VLOOKUP(D4432,Товары!A:I,4,0)</f>
        <v>15810</v>
      </c>
      <c r="K4432">
        <f t="shared" si="69"/>
        <v>15810</v>
      </c>
    </row>
    <row r="4433" spans="1:11" hidden="1" x14ac:dyDescent="0.25">
      <c r="A4433">
        <v>4432</v>
      </c>
      <c r="B4433" s="1">
        <v>45755</v>
      </c>
      <c r="C4433" t="s">
        <v>11</v>
      </c>
      <c r="D4433" t="s">
        <v>17</v>
      </c>
      <c r="E4433" t="s">
        <v>13</v>
      </c>
      <c r="F4433">
        <v>2</v>
      </c>
      <c r="G4433" t="str">
        <f>VLOOKUP(D4433,Товары!A:I,3,0)</f>
        <v>Тумба с раковиной  навес. Альба 800 антрацит 1 ящик с умыв. Слим</v>
      </c>
      <c r="H4433">
        <f>VLOOKUP(D4433,Товары!A:I,6,0)</f>
        <v>45</v>
      </c>
      <c r="I4433" t="str">
        <f>VLOOKUP(C4433,Магазины!A:C,3,0)</f>
        <v>Кемерово</v>
      </c>
      <c r="J4433">
        <f>VLOOKUP(D4433,Товары!A:I,4,0)</f>
        <v>21630</v>
      </c>
      <c r="K4433">
        <f t="shared" si="69"/>
        <v>43260</v>
      </c>
    </row>
    <row r="4434" spans="1:11" hidden="1" x14ac:dyDescent="0.25">
      <c r="A4434">
        <v>4433</v>
      </c>
      <c r="B4434" s="1">
        <v>45756</v>
      </c>
      <c r="C4434" t="s">
        <v>41</v>
      </c>
      <c r="D4434" t="s">
        <v>31</v>
      </c>
      <c r="E4434" t="s">
        <v>8</v>
      </c>
      <c r="F4434">
        <v>3</v>
      </c>
      <c r="G4434" t="str">
        <f>VLOOKUP(D4434,Товары!A:I,3,0)</f>
        <v>Пенал напол. Виктория 350 белый 2 двери</v>
      </c>
      <c r="H4434">
        <f>VLOOKUP(D4434,Товары!A:I,6,0)</f>
        <v>190</v>
      </c>
      <c r="I4434" t="str">
        <f>VLOOKUP(C4434,Магазины!A:C,3,0)</f>
        <v>Ставрополь</v>
      </c>
      <c r="J4434">
        <f>VLOOKUP(D4434,Товары!A:I,4,0)</f>
        <v>14085</v>
      </c>
      <c r="K4434">
        <f t="shared" si="69"/>
        <v>42255</v>
      </c>
    </row>
    <row r="4435" spans="1:11" hidden="1" x14ac:dyDescent="0.25">
      <c r="A4435">
        <v>4434</v>
      </c>
      <c r="B4435" s="1">
        <v>45755</v>
      </c>
      <c r="C4435" t="s">
        <v>54</v>
      </c>
      <c r="D4435" t="s">
        <v>47</v>
      </c>
      <c r="E4435" t="s">
        <v>8</v>
      </c>
      <c r="F4435">
        <v>1</v>
      </c>
      <c r="G4435" t="str">
        <f>VLOOKUP(D4435,Товары!A:I,3,0)</f>
        <v>Пенал напол. Кристалл 350 шато азур 2 двери</v>
      </c>
      <c r="H4435">
        <f>VLOOKUP(D4435,Товары!A:I,6,0)</f>
        <v>190</v>
      </c>
      <c r="I4435" t="str">
        <f>VLOOKUP(C4435,Магазины!A:C,3,0)</f>
        <v>Ставрополь</v>
      </c>
      <c r="J4435">
        <f>VLOOKUP(D4435,Товары!A:I,4,0)</f>
        <v>15810</v>
      </c>
      <c r="K4435">
        <f t="shared" si="69"/>
        <v>15810</v>
      </c>
    </row>
    <row r="4436" spans="1:11" hidden="1" x14ac:dyDescent="0.25">
      <c r="A4436">
        <v>4435</v>
      </c>
      <c r="B4436" s="1">
        <v>45756</v>
      </c>
      <c r="C4436" t="s">
        <v>30</v>
      </c>
      <c r="D4436" t="s">
        <v>98</v>
      </c>
      <c r="E4436" t="s">
        <v>8</v>
      </c>
      <c r="F4436">
        <v>3</v>
      </c>
      <c r="G4436" t="str">
        <f>VLOOKUP(D4436,Товары!A:I,3,0)</f>
        <v>Тумба с раковиной  напол. Рица 800 cерый/керамика 2 ящика с умыв. Слим</v>
      </c>
      <c r="H4436">
        <f>VLOOKUP(D4436,Товары!A:I,6,0)</f>
        <v>80</v>
      </c>
      <c r="I4436" t="str">
        <f>VLOOKUP(C4436,Магазины!A:C,3,0)</f>
        <v>Кемерово</v>
      </c>
      <c r="J4436">
        <f>VLOOKUP(D4436,Товары!A:I,4,0)</f>
        <v>28980</v>
      </c>
      <c r="K4436">
        <f t="shared" si="69"/>
        <v>86940</v>
      </c>
    </row>
    <row r="4437" spans="1:11" hidden="1" x14ac:dyDescent="0.25">
      <c r="A4437">
        <v>4436</v>
      </c>
      <c r="B4437" s="1">
        <v>45756</v>
      </c>
      <c r="C4437" t="s">
        <v>92</v>
      </c>
      <c r="D4437" t="s">
        <v>112</v>
      </c>
      <c r="E4437" t="s">
        <v>8</v>
      </c>
      <c r="F4437">
        <v>3</v>
      </c>
      <c r="G4437" t="str">
        <f>VLOOKUP(D4437,Товары!A:I,3,0)</f>
        <v>Тумба с раковиной  напол. Аква 560 белый 2 двери с умыв. Уют</v>
      </c>
      <c r="H4437">
        <f>VLOOKUP(D4437,Товары!A:I,6,0)</f>
        <v>85</v>
      </c>
      <c r="I4437" t="str">
        <f>VLOOKUP(C4437,Магазины!A:C,3,0)</f>
        <v>Кемерово</v>
      </c>
      <c r="J4437">
        <f>VLOOKUP(D4437,Товары!A:I,4,0)</f>
        <v>9330</v>
      </c>
      <c r="K4437">
        <f t="shared" si="69"/>
        <v>27990</v>
      </c>
    </row>
    <row r="4438" spans="1:11" hidden="1" x14ac:dyDescent="0.25">
      <c r="A4438">
        <v>4437</v>
      </c>
      <c r="B4438" s="1">
        <v>45755</v>
      </c>
      <c r="C4438" t="s">
        <v>26</v>
      </c>
      <c r="D4438" t="s">
        <v>93</v>
      </c>
      <c r="E4438" t="s">
        <v>13</v>
      </c>
      <c r="F4438">
        <v>2</v>
      </c>
      <c r="G4438" t="str">
        <f>VLOOKUP(D4438,Товары!A:I,3,0)</f>
        <v>Тумба с раковиной  напол. Леон Риф 800 солярис/белый риф 2 ящика с умыв. Слим</v>
      </c>
      <c r="H4438">
        <f>VLOOKUP(D4438,Товары!A:I,6,0)</f>
        <v>80</v>
      </c>
      <c r="I4438" t="str">
        <f>VLOOKUP(C4438,Магазины!A:C,3,0)</f>
        <v>Оренбург</v>
      </c>
      <c r="J4438">
        <f>VLOOKUP(D4438,Товары!A:I,4,0)</f>
        <v>29340</v>
      </c>
      <c r="K4438">
        <f t="shared" si="69"/>
        <v>58680</v>
      </c>
    </row>
    <row r="4439" spans="1:11" hidden="1" x14ac:dyDescent="0.25">
      <c r="A4439">
        <v>4438</v>
      </c>
      <c r="B4439" s="1">
        <v>45757</v>
      </c>
      <c r="C4439" t="s">
        <v>92</v>
      </c>
      <c r="D4439" t="s">
        <v>84</v>
      </c>
      <c r="E4439" t="s">
        <v>8</v>
      </c>
      <c r="F4439">
        <v>3</v>
      </c>
      <c r="G4439" t="str">
        <f>VLOOKUP(D4439,Товары!A:I,3,0)</f>
        <v>Тумба с раковиной  напол. Куба Риф 800 белый 3 двери с умыв. Слим</v>
      </c>
      <c r="H4439">
        <f>VLOOKUP(D4439,Товары!A:I,6,0)</f>
        <v>85</v>
      </c>
      <c r="I4439" t="str">
        <f>VLOOKUP(C4439,Магазины!A:C,3,0)</f>
        <v>Кемерово</v>
      </c>
      <c r="J4439">
        <f>VLOOKUP(D4439,Товары!A:I,4,0)</f>
        <v>19920</v>
      </c>
      <c r="K4439">
        <f t="shared" si="69"/>
        <v>59760</v>
      </c>
    </row>
    <row r="4440" spans="1:11" hidden="1" x14ac:dyDescent="0.25">
      <c r="A4440">
        <v>4439</v>
      </c>
      <c r="B4440" s="1">
        <v>45752</v>
      </c>
      <c r="C4440" t="s">
        <v>111</v>
      </c>
      <c r="D4440" t="s">
        <v>125</v>
      </c>
      <c r="E4440" t="s">
        <v>8</v>
      </c>
      <c r="F4440">
        <v>3</v>
      </c>
      <c r="G4440" t="str">
        <f>VLOOKUP(D4440,Товары!A:I,3,0)</f>
        <v>Зеркальный шкаф Сохо 60 белый со светильником правый цвет Белый глянец</v>
      </c>
      <c r="H4440">
        <f>VLOOKUP(D4440,Товары!A:I,6,0)</f>
        <v>75</v>
      </c>
      <c r="I4440" t="str">
        <f>VLOOKUP(C4440,Магазины!A:C,3,0)</f>
        <v>Набережные Челны</v>
      </c>
      <c r="J4440">
        <f>VLOOKUP(D4440,Товары!A:I,4,0)</f>
        <v>7395</v>
      </c>
      <c r="K4440">
        <f t="shared" si="69"/>
        <v>22185</v>
      </c>
    </row>
    <row r="4441" spans="1:11" hidden="1" x14ac:dyDescent="0.25">
      <c r="A4441">
        <v>4440</v>
      </c>
      <c r="B4441" s="1">
        <v>45748</v>
      </c>
      <c r="C4441" t="s">
        <v>35</v>
      </c>
      <c r="D4441" t="s">
        <v>128</v>
      </c>
      <c r="E4441" t="s">
        <v>13</v>
      </c>
      <c r="F4441">
        <v>1</v>
      </c>
      <c r="G4441" t="str">
        <f>VLOOKUP(D4441,Товары!A:I,3,0)</f>
        <v>Тумба с раковиной  напол. Куба Риф 1000 белый 2 ящика с умыв. Слим</v>
      </c>
      <c r="H4441">
        <f>VLOOKUP(D4441,Товары!A:I,6,0)</f>
        <v>85</v>
      </c>
      <c r="I4441" t="str">
        <f>VLOOKUP(C4441,Магазины!A:C,3,0)</f>
        <v>Набережные Челны</v>
      </c>
      <c r="J4441">
        <f>VLOOKUP(D4441,Товары!A:I,4,0)</f>
        <v>22905</v>
      </c>
      <c r="K4441">
        <f t="shared" si="69"/>
        <v>22905</v>
      </c>
    </row>
    <row r="4442" spans="1:11" hidden="1" x14ac:dyDescent="0.25">
      <c r="A4442">
        <v>4441</v>
      </c>
      <c r="B4442" s="1">
        <v>45750</v>
      </c>
      <c r="C4442" t="s">
        <v>48</v>
      </c>
      <c r="D4442" t="s">
        <v>21</v>
      </c>
      <c r="E4442" t="s">
        <v>8</v>
      </c>
      <c r="F4442">
        <v>1</v>
      </c>
      <c r="G4442" t="str">
        <f>VLOOKUP(D4442,Товары!A:I,3,0)</f>
        <v>Зеркальный шкаф Рица 60 со светильником правый цвет cерый/керамика</v>
      </c>
      <c r="H4442">
        <f>VLOOKUP(D4442,Товары!A:I,6,0)</f>
        <v>75</v>
      </c>
      <c r="I4442" t="str">
        <f>VLOOKUP(C4442,Магазины!A:C,3,0)</f>
        <v>Ставрополь</v>
      </c>
      <c r="J4442">
        <f>VLOOKUP(D4442,Товары!A:I,4,0)</f>
        <v>8910</v>
      </c>
      <c r="K4442">
        <f t="shared" si="69"/>
        <v>8910</v>
      </c>
    </row>
    <row r="4443" spans="1:11" hidden="1" x14ac:dyDescent="0.25">
      <c r="A4443">
        <v>4442</v>
      </c>
      <c r="B4443" s="1">
        <v>45751</v>
      </c>
      <c r="C4443" t="s">
        <v>18</v>
      </c>
      <c r="D4443" t="s">
        <v>37</v>
      </c>
      <c r="E4443" t="s">
        <v>8</v>
      </c>
      <c r="F4443">
        <v>2</v>
      </c>
      <c r="G4443" t="str">
        <f>VLOOKUP(D4443,Товары!A:I,3,0)</f>
        <v>Зеркальный шкаф Сохо 70 белый со светильником правый цвет Белый глянец</v>
      </c>
      <c r="H4443">
        <f>VLOOKUP(D4443,Товары!A:I,6,0)</f>
        <v>75</v>
      </c>
      <c r="I4443" t="str">
        <f>VLOOKUP(C4443,Магазины!A:C,3,0)</f>
        <v>Набережные Челны</v>
      </c>
      <c r="J4443">
        <f>VLOOKUP(D4443,Товары!A:I,4,0)</f>
        <v>7935</v>
      </c>
      <c r="K4443">
        <f t="shared" si="69"/>
        <v>15870</v>
      </c>
    </row>
    <row r="4444" spans="1:11" hidden="1" x14ac:dyDescent="0.25">
      <c r="A4444">
        <v>4443</v>
      </c>
      <c r="B4444" s="1">
        <v>45749</v>
      </c>
      <c r="C4444" t="s">
        <v>18</v>
      </c>
      <c r="D4444" t="s">
        <v>59</v>
      </c>
      <c r="E4444" t="s">
        <v>8</v>
      </c>
      <c r="F4444">
        <v>2</v>
      </c>
      <c r="G4444" t="str">
        <f>VLOOKUP(D4444,Товары!A:I,3,0)</f>
        <v>Тумба с раковиной  навес. Куба Риф 600 белый 2 ящика с умыв. Океан</v>
      </c>
      <c r="H4444">
        <f>VLOOKUP(D4444,Товары!A:I,6,0)</f>
        <v>55</v>
      </c>
      <c r="I4444" t="str">
        <f>VLOOKUP(C4444,Магазины!A:C,3,0)</f>
        <v>Набережные Челны</v>
      </c>
      <c r="J4444">
        <f>VLOOKUP(D4444,Товары!A:I,4,0)</f>
        <v>15765</v>
      </c>
      <c r="K4444">
        <f t="shared" si="69"/>
        <v>31530</v>
      </c>
    </row>
    <row r="4445" spans="1:11" hidden="1" x14ac:dyDescent="0.25">
      <c r="A4445">
        <v>4444</v>
      </c>
      <c r="B4445" s="1">
        <v>45754</v>
      </c>
      <c r="C4445" t="s">
        <v>6</v>
      </c>
      <c r="D4445" t="s">
        <v>83</v>
      </c>
      <c r="E4445" t="s">
        <v>8</v>
      </c>
      <c r="F4445">
        <v>2</v>
      </c>
      <c r="G4445" t="str">
        <f>VLOOKUP(D4445,Товары!A:I,3,0)</f>
        <v>Зеркальный шкаф Альба 60 со светильником правый цвет суфле</v>
      </c>
      <c r="H4445">
        <f>VLOOKUP(D4445,Товары!A:I,6,0)</f>
        <v>75</v>
      </c>
      <c r="I4445" t="str">
        <f>VLOOKUP(C4445,Магазины!A:C,3,0)</f>
        <v>Оренбург</v>
      </c>
      <c r="J4445">
        <f>VLOOKUP(D4445,Товары!A:I,4,0)</f>
        <v>8910</v>
      </c>
      <c r="K4445">
        <f t="shared" si="69"/>
        <v>17820</v>
      </c>
    </row>
    <row r="4446" spans="1:11" hidden="1" x14ac:dyDescent="0.25">
      <c r="A4446">
        <v>4445</v>
      </c>
      <c r="B4446" s="1">
        <v>45756</v>
      </c>
      <c r="C4446" t="s">
        <v>30</v>
      </c>
      <c r="D4446" t="s">
        <v>102</v>
      </c>
      <c r="E4446" t="s">
        <v>8</v>
      </c>
      <c r="F4446">
        <v>1</v>
      </c>
      <c r="G4446" t="str">
        <f>VLOOKUP(D4446,Товары!A:I,3,0)</f>
        <v>Тумба с раковиной  напол. Леон Риф 1000 солярис/белый риф 2 ящика с умыв. Слим</v>
      </c>
      <c r="H4446">
        <f>VLOOKUP(D4446,Товары!A:I,6,0)</f>
        <v>85</v>
      </c>
      <c r="I4446" t="str">
        <f>VLOOKUP(C4446,Магазины!A:C,3,0)</f>
        <v>Кемерово</v>
      </c>
      <c r="J4446">
        <f>VLOOKUP(D4446,Товары!A:I,4,0)</f>
        <v>32085</v>
      </c>
      <c r="K4446">
        <f t="shared" si="69"/>
        <v>32085</v>
      </c>
    </row>
    <row r="4447" spans="1:11" hidden="1" x14ac:dyDescent="0.25">
      <c r="A4447">
        <v>4446</v>
      </c>
      <c r="B4447" s="1">
        <v>45751</v>
      </c>
      <c r="C4447" t="s">
        <v>16</v>
      </c>
      <c r="D4447" t="s">
        <v>109</v>
      </c>
      <c r="E4447" t="s">
        <v>8</v>
      </c>
      <c r="F4447">
        <v>2</v>
      </c>
      <c r="G4447" t="str">
        <f>VLOOKUP(D4447,Товары!A:I,3,0)</f>
        <v>Тумба с раковиной  навес. Альба 600 антрацит 2 ящика с умыв. Океан</v>
      </c>
      <c r="H4447">
        <f>VLOOKUP(D4447,Товары!A:I,6,0)</f>
        <v>50</v>
      </c>
      <c r="I4447" t="str">
        <f>VLOOKUP(C4447,Магазины!A:C,3,0)</f>
        <v>Оренбург</v>
      </c>
      <c r="J4447">
        <f>VLOOKUP(D4447,Товары!A:I,4,0)</f>
        <v>24810</v>
      </c>
      <c r="K4447">
        <f t="shared" si="69"/>
        <v>49620</v>
      </c>
    </row>
    <row r="4448" spans="1:11" hidden="1" x14ac:dyDescent="0.25">
      <c r="A4448">
        <v>4447</v>
      </c>
      <c r="B4448" s="1">
        <v>45751</v>
      </c>
      <c r="C4448" t="s">
        <v>58</v>
      </c>
      <c r="D4448" t="s">
        <v>74</v>
      </c>
      <c r="E4448" t="s">
        <v>13</v>
      </c>
      <c r="F4448">
        <v>2</v>
      </c>
      <c r="G4448" t="str">
        <f>VLOOKUP(D4448,Товары!A:I,3,0)</f>
        <v>Тумба с раковиной  напол. Альба 800 суфле 2 ящика с умыв. Слим</v>
      </c>
      <c r="H4448">
        <f>VLOOKUP(D4448,Товары!A:I,6,0)</f>
        <v>80</v>
      </c>
      <c r="I4448" t="str">
        <f>VLOOKUP(C4448,Магазины!A:C,3,0)</f>
        <v>Ставрополь</v>
      </c>
      <c r="J4448">
        <f>VLOOKUP(D4448,Товары!A:I,4,0)</f>
        <v>29340</v>
      </c>
      <c r="K4448">
        <f t="shared" si="69"/>
        <v>58680</v>
      </c>
    </row>
    <row r="4449" spans="1:11" hidden="1" x14ac:dyDescent="0.25">
      <c r="A4449">
        <v>4448</v>
      </c>
      <c r="B4449" s="1">
        <v>45755</v>
      </c>
      <c r="C4449" t="s">
        <v>54</v>
      </c>
      <c r="D4449" t="s">
        <v>71</v>
      </c>
      <c r="E4449" t="s">
        <v>13</v>
      </c>
      <c r="F4449">
        <v>1</v>
      </c>
      <c r="G4449" t="str">
        <f>VLOOKUP(D4449,Товары!A:I,3,0)</f>
        <v>Тумба с раковиной  навес. Альба 600 мята 2 ящика с умыв. Океан</v>
      </c>
      <c r="H4449">
        <f>VLOOKUP(D4449,Товары!A:I,6,0)</f>
        <v>50</v>
      </c>
      <c r="I4449" t="str">
        <f>VLOOKUP(C4449,Магазины!A:C,3,0)</f>
        <v>Ставрополь</v>
      </c>
      <c r="J4449">
        <f>VLOOKUP(D4449,Товары!A:I,4,0)</f>
        <v>24810</v>
      </c>
      <c r="K4449">
        <f t="shared" si="69"/>
        <v>24810</v>
      </c>
    </row>
    <row r="4450" spans="1:11" hidden="1" x14ac:dyDescent="0.25">
      <c r="A4450">
        <v>4449</v>
      </c>
      <c r="B4450" s="1">
        <v>45752</v>
      </c>
      <c r="C4450" t="s">
        <v>111</v>
      </c>
      <c r="D4450" t="s">
        <v>25</v>
      </c>
      <c r="E4450" t="s">
        <v>13</v>
      </c>
      <c r="F4450">
        <v>3</v>
      </c>
      <c r="G4450" t="str">
        <f>VLOOKUP(D4450,Товары!A:I,3,0)</f>
        <v>Пенал напол. Леон 400 оникс 2 двери + 1 ящик</v>
      </c>
      <c r="H4450">
        <f>VLOOKUP(D4450,Товары!A:I,6,0)</f>
        <v>190</v>
      </c>
      <c r="I4450" t="str">
        <f>VLOOKUP(C4450,Магазины!A:C,3,0)</f>
        <v>Набережные Челны</v>
      </c>
      <c r="J4450">
        <f>VLOOKUP(D4450,Товары!A:I,4,0)</f>
        <v>18450</v>
      </c>
      <c r="K4450">
        <f t="shared" si="69"/>
        <v>55350</v>
      </c>
    </row>
    <row r="4451" spans="1:11" hidden="1" x14ac:dyDescent="0.25">
      <c r="A4451">
        <v>4450</v>
      </c>
      <c r="B4451" s="1">
        <v>45749</v>
      </c>
      <c r="C4451" t="s">
        <v>43</v>
      </c>
      <c r="D4451" t="s">
        <v>73</v>
      </c>
      <c r="E4451" t="s">
        <v>8</v>
      </c>
      <c r="F4451">
        <v>3</v>
      </c>
      <c r="G4451" t="str">
        <f>VLOOKUP(D4451,Товары!A:I,3,0)</f>
        <v>Зеркальный шкаф Альба 70 со светильником правый цвет антрацит</v>
      </c>
      <c r="H4451">
        <f>VLOOKUP(D4451,Товары!A:I,6,0)</f>
        <v>75</v>
      </c>
      <c r="I4451" t="str">
        <f>VLOOKUP(C4451,Магазины!A:C,3,0)</f>
        <v>Набережные Челны</v>
      </c>
      <c r="J4451">
        <f>VLOOKUP(D4451,Товары!A:I,4,0)</f>
        <v>9615</v>
      </c>
      <c r="K4451">
        <f t="shared" si="69"/>
        <v>28845</v>
      </c>
    </row>
    <row r="4452" spans="1:11" hidden="1" x14ac:dyDescent="0.25">
      <c r="A4452">
        <v>4451</v>
      </c>
      <c r="B4452" s="1">
        <v>45755</v>
      </c>
      <c r="C4452" t="s">
        <v>33</v>
      </c>
      <c r="D4452" t="s">
        <v>25</v>
      </c>
      <c r="E4452" t="s">
        <v>8</v>
      </c>
      <c r="F4452">
        <v>2</v>
      </c>
      <c r="G4452" t="str">
        <f>VLOOKUP(D4452,Товары!A:I,3,0)</f>
        <v>Пенал напол. Леон 400 оникс 2 двери + 1 ящик</v>
      </c>
      <c r="H4452">
        <f>VLOOKUP(D4452,Товары!A:I,6,0)</f>
        <v>190</v>
      </c>
      <c r="I4452" t="str">
        <f>VLOOKUP(C4452,Магазины!A:C,3,0)</f>
        <v>Набережные Челны</v>
      </c>
      <c r="J4452">
        <f>VLOOKUP(D4452,Товары!A:I,4,0)</f>
        <v>18450</v>
      </c>
      <c r="K4452">
        <f t="shared" si="69"/>
        <v>36900</v>
      </c>
    </row>
    <row r="4453" spans="1:11" hidden="1" x14ac:dyDescent="0.25">
      <c r="A4453">
        <v>4452</v>
      </c>
      <c r="B4453" s="1">
        <v>45755</v>
      </c>
      <c r="C4453" t="s">
        <v>35</v>
      </c>
      <c r="D4453" t="s">
        <v>121</v>
      </c>
      <c r="E4453" t="s">
        <v>13</v>
      </c>
      <c r="F4453">
        <v>3</v>
      </c>
      <c r="G4453" t="str">
        <f>VLOOKUP(D4453,Товары!A:I,3,0)</f>
        <v>Тумба с раковиной  напол. Куба Риф 600 белый 2 двери с умыв. Como</v>
      </c>
      <c r="H4453">
        <f>VLOOKUP(D4453,Товары!A:I,6,0)</f>
        <v>85</v>
      </c>
      <c r="I4453" t="str">
        <f>VLOOKUP(C4453,Магазины!A:C,3,0)</f>
        <v>Набережные Челны</v>
      </c>
      <c r="J4453">
        <f>VLOOKUP(D4453,Товары!A:I,4,0)</f>
        <v>13695</v>
      </c>
      <c r="K4453">
        <f t="shared" si="69"/>
        <v>41085</v>
      </c>
    </row>
    <row r="4454" spans="1:11" hidden="1" x14ac:dyDescent="0.25">
      <c r="A4454">
        <v>4453</v>
      </c>
      <c r="B4454" s="1">
        <v>45751</v>
      </c>
      <c r="C4454" t="s">
        <v>54</v>
      </c>
      <c r="D4454" t="s">
        <v>125</v>
      </c>
      <c r="E4454" t="s">
        <v>13</v>
      </c>
      <c r="F4454">
        <v>1</v>
      </c>
      <c r="G4454" t="str">
        <f>VLOOKUP(D4454,Товары!A:I,3,0)</f>
        <v>Зеркальный шкаф Сохо 60 белый со светильником правый цвет Белый глянец</v>
      </c>
      <c r="H4454">
        <f>VLOOKUP(D4454,Товары!A:I,6,0)</f>
        <v>75</v>
      </c>
      <c r="I4454" t="str">
        <f>VLOOKUP(C4454,Магазины!A:C,3,0)</f>
        <v>Ставрополь</v>
      </c>
      <c r="J4454">
        <f>VLOOKUP(D4454,Товары!A:I,4,0)</f>
        <v>7395</v>
      </c>
      <c r="K4454">
        <f t="shared" si="69"/>
        <v>7395</v>
      </c>
    </row>
    <row r="4455" spans="1:11" hidden="1" x14ac:dyDescent="0.25">
      <c r="A4455">
        <v>4454</v>
      </c>
      <c r="B4455" s="1">
        <v>45749</v>
      </c>
      <c r="C4455" t="s">
        <v>30</v>
      </c>
      <c r="D4455" t="s">
        <v>37</v>
      </c>
      <c r="E4455" t="s">
        <v>13</v>
      </c>
      <c r="F4455">
        <v>2</v>
      </c>
      <c r="G4455" t="str">
        <f>VLOOKUP(D4455,Товары!A:I,3,0)</f>
        <v>Зеркальный шкаф Сохо 70 белый со светильником правый цвет Белый глянец</v>
      </c>
      <c r="H4455">
        <f>VLOOKUP(D4455,Товары!A:I,6,0)</f>
        <v>75</v>
      </c>
      <c r="I4455" t="str">
        <f>VLOOKUP(C4455,Магазины!A:C,3,0)</f>
        <v>Кемерово</v>
      </c>
      <c r="J4455">
        <f>VLOOKUP(D4455,Товары!A:I,4,0)</f>
        <v>7935</v>
      </c>
      <c r="K4455">
        <f t="shared" si="69"/>
        <v>15870</v>
      </c>
    </row>
    <row r="4456" spans="1:11" hidden="1" x14ac:dyDescent="0.25">
      <c r="A4456">
        <v>4455</v>
      </c>
      <c r="B4456" s="1">
        <v>45750</v>
      </c>
      <c r="C4456" t="s">
        <v>58</v>
      </c>
      <c r="D4456" t="s">
        <v>21</v>
      </c>
      <c r="E4456" t="s">
        <v>8</v>
      </c>
      <c r="F4456">
        <v>2</v>
      </c>
      <c r="G4456" t="str">
        <f>VLOOKUP(D4456,Товары!A:I,3,0)</f>
        <v>Зеркальный шкаф Рица 60 со светильником правый цвет cерый/керамика</v>
      </c>
      <c r="H4456">
        <f>VLOOKUP(D4456,Товары!A:I,6,0)</f>
        <v>75</v>
      </c>
      <c r="I4456" t="str">
        <f>VLOOKUP(C4456,Магазины!A:C,3,0)</f>
        <v>Ставрополь</v>
      </c>
      <c r="J4456">
        <f>VLOOKUP(D4456,Товары!A:I,4,0)</f>
        <v>8910</v>
      </c>
      <c r="K4456">
        <f t="shared" si="69"/>
        <v>17820</v>
      </c>
    </row>
    <row r="4457" spans="1:11" hidden="1" x14ac:dyDescent="0.25">
      <c r="A4457">
        <v>4456</v>
      </c>
      <c r="B4457" s="1">
        <v>45750</v>
      </c>
      <c r="C4457" t="s">
        <v>54</v>
      </c>
      <c r="D4457" t="s">
        <v>67</v>
      </c>
      <c r="E4457" t="s">
        <v>13</v>
      </c>
      <c r="F4457">
        <v>1</v>
      </c>
      <c r="G4457" t="str">
        <f>VLOOKUP(D4457,Товары!A:I,3,0)</f>
        <v>Пенал навес./напол. Альба 350 суфле 2 двери</v>
      </c>
      <c r="H4457">
        <f>VLOOKUP(D4457,Товары!A:I,6,0)</f>
        <v>150</v>
      </c>
      <c r="I4457" t="str">
        <f>VLOOKUP(C4457,Магазины!A:C,3,0)</f>
        <v>Ставрополь</v>
      </c>
      <c r="J4457">
        <f>VLOOKUP(D4457,Товары!A:I,4,0)</f>
        <v>11655</v>
      </c>
      <c r="K4457">
        <f t="shared" si="69"/>
        <v>11655</v>
      </c>
    </row>
    <row r="4458" spans="1:11" hidden="1" x14ac:dyDescent="0.25">
      <c r="A4458">
        <v>4457</v>
      </c>
      <c r="B4458" s="1">
        <v>45753</v>
      </c>
      <c r="C4458" t="s">
        <v>20</v>
      </c>
      <c r="D4458" t="s">
        <v>52</v>
      </c>
      <c r="E4458" t="s">
        <v>13</v>
      </c>
      <c r="F4458">
        <v>3</v>
      </c>
      <c r="G4458" t="str">
        <f>VLOOKUP(D4458,Товары!A:I,3,0)</f>
        <v>Тумба с раковиной  напол. Кристалл 600 суфле 2 ящика с умыв. Океан</v>
      </c>
      <c r="H4458">
        <f>VLOOKUP(D4458,Товары!A:I,6,0)</f>
        <v>80</v>
      </c>
      <c r="I4458" t="str">
        <f>VLOOKUP(C4458,Магазины!A:C,3,0)</f>
        <v>Оренбург</v>
      </c>
      <c r="J4458">
        <f>VLOOKUP(D4458,Товары!A:I,4,0)</f>
        <v>27600</v>
      </c>
      <c r="K4458">
        <f t="shared" si="69"/>
        <v>82800</v>
      </c>
    </row>
    <row r="4459" spans="1:11" hidden="1" x14ac:dyDescent="0.25">
      <c r="A4459">
        <v>4458</v>
      </c>
      <c r="B4459" s="1">
        <v>45756</v>
      </c>
      <c r="C4459" t="s">
        <v>26</v>
      </c>
      <c r="D4459" t="s">
        <v>89</v>
      </c>
      <c r="E4459" t="s">
        <v>13</v>
      </c>
      <c r="F4459">
        <v>2</v>
      </c>
      <c r="G4459" t="str">
        <f>VLOOKUP(D4459,Товары!A:I,3,0)</f>
        <v>Тумба с раковиной  напол. Сохо 600 белый 2 двери с умыв. Океан</v>
      </c>
      <c r="H4459">
        <f>VLOOKUP(D4459,Товары!A:I,6,0)</f>
        <v>85</v>
      </c>
      <c r="I4459" t="str">
        <f>VLOOKUP(C4459,Магазины!A:C,3,0)</f>
        <v>Оренбург</v>
      </c>
      <c r="J4459">
        <f>VLOOKUP(D4459,Товары!A:I,4,0)</f>
        <v>14880</v>
      </c>
      <c r="K4459">
        <f t="shared" si="69"/>
        <v>29760</v>
      </c>
    </row>
    <row r="4460" spans="1:11" hidden="1" x14ac:dyDescent="0.25">
      <c r="A4460">
        <v>4459</v>
      </c>
      <c r="B4460" s="1">
        <v>45749</v>
      </c>
      <c r="C4460" t="s">
        <v>22</v>
      </c>
      <c r="D4460" t="s">
        <v>65</v>
      </c>
      <c r="E4460" t="s">
        <v>8</v>
      </c>
      <c r="F4460">
        <v>2</v>
      </c>
      <c r="G4460" t="str">
        <f>VLOOKUP(D4460,Товары!A:I,3,0)</f>
        <v>Тумба с раковиной  навес. Альба 800 суфле 2 ящика с умыв. Слим</v>
      </c>
      <c r="H4460">
        <f>VLOOKUP(D4460,Товары!A:I,6,0)</f>
        <v>50</v>
      </c>
      <c r="I4460" t="str">
        <f>VLOOKUP(C4460,Магазины!A:C,3,0)</f>
        <v>Кемерово</v>
      </c>
      <c r="J4460">
        <f>VLOOKUP(D4460,Товары!A:I,4,0)</f>
        <v>26070</v>
      </c>
      <c r="K4460">
        <f t="shared" si="69"/>
        <v>52140</v>
      </c>
    </row>
    <row r="4461" spans="1:11" hidden="1" x14ac:dyDescent="0.25">
      <c r="A4461">
        <v>4460</v>
      </c>
      <c r="B4461" s="1">
        <v>45751</v>
      </c>
      <c r="C4461" t="s">
        <v>57</v>
      </c>
      <c r="D4461" t="s">
        <v>129</v>
      </c>
      <c r="E4461" t="s">
        <v>13</v>
      </c>
      <c r="F4461">
        <v>3</v>
      </c>
      <c r="G4461" t="str">
        <f>VLOOKUP(D4461,Товары!A:I,3,0)</f>
        <v>Тумба с раковиной  напол. Альба 700 антрацит 2 ящика с умыв. Слим</v>
      </c>
      <c r="H4461">
        <f>VLOOKUP(D4461,Товары!A:I,6,0)</f>
        <v>85</v>
      </c>
      <c r="I4461" t="str">
        <f>VLOOKUP(C4461,Магазины!A:C,3,0)</f>
        <v>Оренбург</v>
      </c>
      <c r="J4461">
        <f>VLOOKUP(D4461,Товары!A:I,4,0)</f>
        <v>28695</v>
      </c>
      <c r="K4461">
        <f t="shared" si="69"/>
        <v>86085</v>
      </c>
    </row>
    <row r="4462" spans="1:11" hidden="1" x14ac:dyDescent="0.25">
      <c r="A4462">
        <v>4461</v>
      </c>
      <c r="B4462" s="1">
        <v>45755</v>
      </c>
      <c r="C4462" t="s">
        <v>92</v>
      </c>
      <c r="D4462" t="s">
        <v>125</v>
      </c>
      <c r="E4462" t="s">
        <v>8</v>
      </c>
      <c r="F4462">
        <v>1</v>
      </c>
      <c r="G4462" t="str">
        <f>VLOOKUP(D4462,Товары!A:I,3,0)</f>
        <v>Зеркальный шкаф Сохо 60 белый со светильником правый цвет Белый глянец</v>
      </c>
      <c r="H4462">
        <f>VLOOKUP(D4462,Товары!A:I,6,0)</f>
        <v>75</v>
      </c>
      <c r="I4462" t="str">
        <f>VLOOKUP(C4462,Магазины!A:C,3,0)</f>
        <v>Кемерово</v>
      </c>
      <c r="J4462">
        <f>VLOOKUP(D4462,Товары!A:I,4,0)</f>
        <v>7395</v>
      </c>
      <c r="K4462">
        <f t="shared" si="69"/>
        <v>7395</v>
      </c>
    </row>
    <row r="4463" spans="1:11" hidden="1" x14ac:dyDescent="0.25">
      <c r="A4463">
        <v>4462</v>
      </c>
      <c r="B4463" s="1">
        <v>45750</v>
      </c>
      <c r="C4463" t="s">
        <v>63</v>
      </c>
      <c r="D4463" t="s">
        <v>37</v>
      </c>
      <c r="E4463" t="s">
        <v>13</v>
      </c>
      <c r="F4463">
        <v>1</v>
      </c>
      <c r="G4463" t="str">
        <f>VLOOKUP(D4463,Товары!A:I,3,0)</f>
        <v>Зеркальный шкаф Сохо 70 белый со светильником правый цвет Белый глянец</v>
      </c>
      <c r="H4463">
        <f>VLOOKUP(D4463,Товары!A:I,6,0)</f>
        <v>75</v>
      </c>
      <c r="I4463" t="str">
        <f>VLOOKUP(C4463,Магазины!A:C,3,0)</f>
        <v>Ставрополь</v>
      </c>
      <c r="J4463">
        <f>VLOOKUP(D4463,Товары!A:I,4,0)</f>
        <v>7935</v>
      </c>
      <c r="K4463">
        <f t="shared" si="69"/>
        <v>7935</v>
      </c>
    </row>
    <row r="4464" spans="1:11" hidden="1" x14ac:dyDescent="0.25">
      <c r="A4464">
        <v>4463</v>
      </c>
      <c r="B4464" s="1">
        <v>45749</v>
      </c>
      <c r="C4464" t="s">
        <v>11</v>
      </c>
      <c r="D4464" t="s">
        <v>44</v>
      </c>
      <c r="E4464" t="s">
        <v>13</v>
      </c>
      <c r="F4464">
        <v>3</v>
      </c>
      <c r="G4464" t="str">
        <f>VLOOKUP(D4464,Товары!A:I,3,0)</f>
        <v>Тумба с раковиной  навес. Кристалл 800 шато азур 2 ящика с умыв. Комфорт</v>
      </c>
      <c r="H4464">
        <f>VLOOKUP(D4464,Товары!A:I,6,0)</f>
        <v>55</v>
      </c>
      <c r="I4464" t="str">
        <f>VLOOKUP(C4464,Магазины!A:C,3,0)</f>
        <v>Кемерово</v>
      </c>
      <c r="J4464">
        <f>VLOOKUP(D4464,Товары!A:I,4,0)</f>
        <v>25080</v>
      </c>
      <c r="K4464">
        <f t="shared" si="69"/>
        <v>75240</v>
      </c>
    </row>
    <row r="4465" spans="1:11" hidden="1" x14ac:dyDescent="0.25">
      <c r="A4465">
        <v>4464</v>
      </c>
      <c r="B4465" s="1">
        <v>45753</v>
      </c>
      <c r="C4465" t="s">
        <v>28</v>
      </c>
      <c r="D4465" t="s">
        <v>61</v>
      </c>
      <c r="E4465" t="s">
        <v>13</v>
      </c>
      <c r="F4465">
        <v>2</v>
      </c>
      <c r="G4465" t="str">
        <f>VLOOKUP(D4465,Товары!A:I,3,0)</f>
        <v>Тумба под стиральную машину Леон Риф 57 напольная 2 ящика под ст/маш, без умывальника /под Marshall 120 Солярис/Белый Риф</v>
      </c>
      <c r="H4465">
        <f>VLOOKUP(D4465,Товары!A:I,6,0)</f>
        <v>85</v>
      </c>
      <c r="I4465" t="str">
        <f>VLOOKUP(C4465,Магазины!A:C,3,0)</f>
        <v>Набережные Челны</v>
      </c>
      <c r="J4465">
        <f>VLOOKUP(D4465,Товары!A:I,4,0)</f>
        <v>17430</v>
      </c>
      <c r="K4465">
        <f t="shared" si="69"/>
        <v>34860</v>
      </c>
    </row>
    <row r="4466" spans="1:11" hidden="1" x14ac:dyDescent="0.25">
      <c r="A4466">
        <v>4465</v>
      </c>
      <c r="B4466" s="1">
        <v>45756</v>
      </c>
      <c r="C4466" t="s">
        <v>28</v>
      </c>
      <c r="D4466" t="s">
        <v>42</v>
      </c>
      <c r="E4466" t="s">
        <v>8</v>
      </c>
      <c r="F4466">
        <v>2</v>
      </c>
      <c r="G4466" t="str">
        <f>VLOOKUP(D4466,Товары!A:I,3,0)</f>
        <v>Тумба под стиральную машину Леон Риф 57 подвесная 2 ящика под ст/маш, без умывальника /под Marshall 120 Солярис/Белый Риф</v>
      </c>
      <c r="H4466">
        <f>VLOOKUP(D4466,Товары!A:I,6,0)</f>
        <v>60</v>
      </c>
      <c r="I4466" t="str">
        <f>VLOOKUP(C4466,Магазины!A:C,3,0)</f>
        <v>Набережные Челны</v>
      </c>
      <c r="J4466">
        <f>VLOOKUP(D4466,Товары!A:I,4,0)</f>
        <v>15495</v>
      </c>
      <c r="K4466">
        <f t="shared" si="69"/>
        <v>30990</v>
      </c>
    </row>
    <row r="4467" spans="1:11" hidden="1" x14ac:dyDescent="0.25">
      <c r="A4467">
        <v>4466</v>
      </c>
      <c r="B4467" s="1">
        <v>45751</v>
      </c>
      <c r="C4467" t="s">
        <v>111</v>
      </c>
      <c r="D4467" t="s">
        <v>50</v>
      </c>
      <c r="E4467" t="s">
        <v>13</v>
      </c>
      <c r="F4467">
        <v>2</v>
      </c>
      <c r="G4467" t="str">
        <f>VLOOKUP(D4467,Товары!A:I,3,0)</f>
        <v>Тумба с раковиной  напол. Леон 800 оникс 2 ящика с умыв. Слим</v>
      </c>
      <c r="H4467">
        <f>VLOOKUP(D4467,Товары!A:I,6,0)</f>
        <v>80</v>
      </c>
      <c r="I4467" t="str">
        <f>VLOOKUP(C4467,Магазины!A:C,3,0)</f>
        <v>Набережные Челны</v>
      </c>
      <c r="J4467">
        <f>VLOOKUP(D4467,Товары!A:I,4,0)</f>
        <v>29400</v>
      </c>
      <c r="K4467">
        <f t="shared" si="69"/>
        <v>58800</v>
      </c>
    </row>
    <row r="4468" spans="1:11" hidden="1" x14ac:dyDescent="0.25">
      <c r="A4468">
        <v>4467</v>
      </c>
      <c r="B4468" s="1">
        <v>45752</v>
      </c>
      <c r="C4468" t="s">
        <v>6</v>
      </c>
      <c r="D4468" t="s">
        <v>40</v>
      </c>
      <c r="E4468" t="s">
        <v>8</v>
      </c>
      <c r="F4468">
        <v>1</v>
      </c>
      <c r="G4468" t="str">
        <f>VLOOKUP(D4468,Товары!A:I,3,0)</f>
        <v>Тумба с раковиной  навес. Рица 800 cерый/керамика 1 ящик + ниша 1 с умыв. Слим</v>
      </c>
      <c r="H4468">
        <f>VLOOKUP(D4468,Товары!A:I,6,0)</f>
        <v>60</v>
      </c>
      <c r="I4468" t="str">
        <f>VLOOKUP(C4468,Магазины!A:C,3,0)</f>
        <v>Оренбург</v>
      </c>
      <c r="J4468">
        <f>VLOOKUP(D4468,Товары!A:I,4,0)</f>
        <v>22425</v>
      </c>
      <c r="K4468">
        <f t="shared" si="69"/>
        <v>22425</v>
      </c>
    </row>
    <row r="4469" spans="1:11" hidden="1" x14ac:dyDescent="0.25">
      <c r="A4469">
        <v>4468</v>
      </c>
      <c r="B4469" s="1">
        <v>45754</v>
      </c>
      <c r="C4469" t="s">
        <v>111</v>
      </c>
      <c r="D4469" t="s">
        <v>38</v>
      </c>
      <c r="E4469" t="s">
        <v>13</v>
      </c>
      <c r="F4469">
        <v>3</v>
      </c>
      <c r="G4469" t="str">
        <f>VLOOKUP(D4469,Товары!A:I,3,0)</f>
        <v>Тумба с раковиной  навес. Куба Риф 600 белый 2 ящика с умыв. Como</v>
      </c>
      <c r="H4469">
        <f>VLOOKUP(D4469,Товары!A:I,6,0)</f>
        <v>55</v>
      </c>
      <c r="I4469" t="str">
        <f>VLOOKUP(C4469,Магазины!A:C,3,0)</f>
        <v>Набережные Челны</v>
      </c>
      <c r="J4469">
        <f>VLOOKUP(D4469,Товары!A:I,4,0)</f>
        <v>14265</v>
      </c>
      <c r="K4469">
        <f t="shared" si="69"/>
        <v>42795</v>
      </c>
    </row>
    <row r="4470" spans="1:11" hidden="1" x14ac:dyDescent="0.25">
      <c r="A4470">
        <v>4469</v>
      </c>
      <c r="B4470" s="1">
        <v>45750</v>
      </c>
      <c r="C4470" t="s">
        <v>57</v>
      </c>
      <c r="D4470" t="s">
        <v>102</v>
      </c>
      <c r="E4470" t="s">
        <v>13</v>
      </c>
      <c r="F4470">
        <v>2</v>
      </c>
      <c r="G4470" t="str">
        <f>VLOOKUP(D4470,Товары!A:I,3,0)</f>
        <v>Тумба с раковиной  напол. Леон Риф 1000 солярис/белый риф 2 ящика с умыв. Слим</v>
      </c>
      <c r="H4470">
        <f>VLOOKUP(D4470,Товары!A:I,6,0)</f>
        <v>85</v>
      </c>
      <c r="I4470" t="str">
        <f>VLOOKUP(C4470,Магазины!A:C,3,0)</f>
        <v>Оренбург</v>
      </c>
      <c r="J4470">
        <f>VLOOKUP(D4470,Товары!A:I,4,0)</f>
        <v>32085</v>
      </c>
      <c r="K4470">
        <f t="shared" si="69"/>
        <v>64170</v>
      </c>
    </row>
    <row r="4471" spans="1:11" hidden="1" x14ac:dyDescent="0.25">
      <c r="A4471">
        <v>4470</v>
      </c>
      <c r="B4471" s="1">
        <v>45751</v>
      </c>
      <c r="C4471" t="s">
        <v>54</v>
      </c>
      <c r="D4471" t="s">
        <v>15</v>
      </c>
      <c r="E4471" t="s">
        <v>8</v>
      </c>
      <c r="F4471">
        <v>1</v>
      </c>
      <c r="G4471" t="str">
        <f>VLOOKUP(D4471,Товары!A:I,3,0)</f>
        <v>Зеркальный шкаф Кристалл 60 со светильником правый, ручка кнопка дуб цвет Шато Азур</v>
      </c>
      <c r="H4471">
        <f>VLOOKUP(D4471,Товары!A:I,6,0)</f>
        <v>75</v>
      </c>
      <c r="I4471" t="str">
        <f>VLOOKUP(C4471,Магазины!A:C,3,0)</f>
        <v>Ставрополь</v>
      </c>
      <c r="J4471">
        <f>VLOOKUP(D4471,Товары!A:I,4,0)</f>
        <v>9195</v>
      </c>
      <c r="K4471">
        <f t="shared" si="69"/>
        <v>9195</v>
      </c>
    </row>
    <row r="4472" spans="1:11" hidden="1" x14ac:dyDescent="0.25">
      <c r="A4472">
        <v>4471</v>
      </c>
      <c r="B4472" s="1">
        <v>45754</v>
      </c>
      <c r="C4472" t="s">
        <v>16</v>
      </c>
      <c r="D4472" t="s">
        <v>46</v>
      </c>
      <c r="E4472" t="s">
        <v>13</v>
      </c>
      <c r="F4472">
        <v>2</v>
      </c>
      <c r="G4472" t="str">
        <f>VLOOKUP(D4472,Товары!A:I,3,0)</f>
        <v>Тумба с раковиной  напол. Сохо 700 белый 2 ящика с умыв. Слим</v>
      </c>
      <c r="H4472">
        <f>VLOOKUP(D4472,Товары!A:I,6,0)</f>
        <v>85</v>
      </c>
      <c r="I4472" t="str">
        <f>VLOOKUP(C4472,Магазины!A:C,3,0)</f>
        <v>Оренбург</v>
      </c>
      <c r="J4472">
        <f>VLOOKUP(D4472,Товары!A:I,4,0)</f>
        <v>18405</v>
      </c>
      <c r="K4472">
        <f t="shared" si="69"/>
        <v>36810</v>
      </c>
    </row>
    <row r="4473" spans="1:11" hidden="1" x14ac:dyDescent="0.25">
      <c r="A4473">
        <v>4472</v>
      </c>
      <c r="B4473" s="1">
        <v>45751</v>
      </c>
      <c r="C4473" t="s">
        <v>48</v>
      </c>
      <c r="D4473" t="s">
        <v>55</v>
      </c>
      <c r="E4473" t="s">
        <v>13</v>
      </c>
      <c r="F4473">
        <v>1</v>
      </c>
      <c r="G4473" t="str">
        <f>VLOOKUP(D4473,Товары!A:I,3,0)</f>
        <v>Тумба с раковиной  напол. Рица 600 cерый/керамика 2 ящика с умыв. Океан</v>
      </c>
      <c r="H4473">
        <f>VLOOKUP(D4473,Товары!A:I,6,0)</f>
        <v>80</v>
      </c>
      <c r="I4473" t="str">
        <f>VLOOKUP(C4473,Магазины!A:C,3,0)</f>
        <v>Ставрополь</v>
      </c>
      <c r="J4473">
        <f>VLOOKUP(D4473,Товары!A:I,4,0)</f>
        <v>25560</v>
      </c>
      <c r="K4473">
        <f t="shared" si="69"/>
        <v>25560</v>
      </c>
    </row>
    <row r="4474" spans="1:11" hidden="1" x14ac:dyDescent="0.25">
      <c r="A4474">
        <v>4473</v>
      </c>
      <c r="B4474" s="1">
        <v>45757</v>
      </c>
      <c r="C4474" t="s">
        <v>48</v>
      </c>
      <c r="D4474" t="s">
        <v>104</v>
      </c>
      <c r="E4474" t="s">
        <v>13</v>
      </c>
      <c r="F4474">
        <v>2</v>
      </c>
      <c r="G4474" t="str">
        <f>VLOOKUP(D4474,Товары!A:I,3,0)</f>
        <v>Тумба под стиральную машину Куба Риф 57 подвесная 2 ящика под ст/маш, без умывальника /под Marshall 120 Белый</v>
      </c>
      <c r="H4474">
        <f>VLOOKUP(D4474,Товары!A:I,6,0)</f>
        <v>50</v>
      </c>
      <c r="I4474" t="str">
        <f>VLOOKUP(C4474,Магазины!A:C,3,0)</f>
        <v>Ставрополь</v>
      </c>
      <c r="J4474">
        <f>VLOOKUP(D4474,Товары!A:I,4,0)</f>
        <v>8505</v>
      </c>
      <c r="K4474">
        <f t="shared" si="69"/>
        <v>17010</v>
      </c>
    </row>
    <row r="4475" spans="1:11" hidden="1" x14ac:dyDescent="0.25">
      <c r="A4475">
        <v>4474</v>
      </c>
      <c r="B4475" s="1">
        <v>45749</v>
      </c>
      <c r="C4475" t="s">
        <v>6</v>
      </c>
      <c r="D4475" t="s">
        <v>88</v>
      </c>
      <c r="E4475" t="s">
        <v>13</v>
      </c>
      <c r="F4475">
        <v>1</v>
      </c>
      <c r="G4475" t="str">
        <f>VLOOKUP(D4475,Товары!A:I,3,0)</f>
        <v>Тумба с раковиной  навес. Альба 800 антрацит 2 ящика с умыв. Слим</v>
      </c>
      <c r="H4475">
        <f>VLOOKUP(D4475,Товары!A:I,6,0)</f>
        <v>50</v>
      </c>
      <c r="I4475" t="str">
        <f>VLOOKUP(C4475,Магазины!A:C,3,0)</f>
        <v>Оренбург</v>
      </c>
      <c r="J4475">
        <f>VLOOKUP(D4475,Товары!A:I,4,0)</f>
        <v>26070</v>
      </c>
      <c r="K4475">
        <f t="shared" si="69"/>
        <v>26070</v>
      </c>
    </row>
    <row r="4476" spans="1:11" hidden="1" x14ac:dyDescent="0.25">
      <c r="A4476">
        <v>4475</v>
      </c>
      <c r="B4476" s="1">
        <v>45756</v>
      </c>
      <c r="C4476" t="s">
        <v>18</v>
      </c>
      <c r="D4476" t="s">
        <v>82</v>
      </c>
      <c r="E4476" t="s">
        <v>13</v>
      </c>
      <c r="F4476">
        <v>1</v>
      </c>
      <c r="G4476" t="str">
        <f>VLOOKUP(D4476,Товары!A:I,3,0)</f>
        <v>Тумба с раковиной  навес. Леон 800 форест 2 ящика с умыв. Слим</v>
      </c>
      <c r="H4476">
        <f>VLOOKUP(D4476,Товары!A:I,6,0)</f>
        <v>60</v>
      </c>
      <c r="I4476" t="str">
        <f>VLOOKUP(C4476,Магазины!A:C,3,0)</f>
        <v>Набережные Челны</v>
      </c>
      <c r="J4476">
        <f>VLOOKUP(D4476,Товары!A:I,4,0)</f>
        <v>27930</v>
      </c>
      <c r="K4476">
        <f t="shared" si="69"/>
        <v>27930</v>
      </c>
    </row>
    <row r="4477" spans="1:11" hidden="1" x14ac:dyDescent="0.25">
      <c r="A4477">
        <v>4476</v>
      </c>
      <c r="B4477" s="1">
        <v>45748</v>
      </c>
      <c r="C4477" t="s">
        <v>43</v>
      </c>
      <c r="D4477" t="s">
        <v>84</v>
      </c>
      <c r="E4477" t="s">
        <v>13</v>
      </c>
      <c r="F4477">
        <v>2</v>
      </c>
      <c r="G4477" t="str">
        <f>VLOOKUP(D4477,Товары!A:I,3,0)</f>
        <v>Тумба с раковиной  напол. Куба Риф 800 белый 3 двери с умыв. Слим</v>
      </c>
      <c r="H4477">
        <f>VLOOKUP(D4477,Товары!A:I,6,0)</f>
        <v>85</v>
      </c>
      <c r="I4477" t="str">
        <f>VLOOKUP(C4477,Магазины!A:C,3,0)</f>
        <v>Набережные Челны</v>
      </c>
      <c r="J4477">
        <f>VLOOKUP(D4477,Товары!A:I,4,0)</f>
        <v>19920</v>
      </c>
      <c r="K4477">
        <f t="shared" si="69"/>
        <v>39840</v>
      </c>
    </row>
    <row r="4478" spans="1:11" hidden="1" x14ac:dyDescent="0.25">
      <c r="A4478">
        <v>4477</v>
      </c>
      <c r="B4478" s="1">
        <v>45753</v>
      </c>
      <c r="C4478" t="s">
        <v>30</v>
      </c>
      <c r="D4478" t="s">
        <v>110</v>
      </c>
      <c r="E4478" t="s">
        <v>8</v>
      </c>
      <c r="F4478">
        <v>1</v>
      </c>
      <c r="G4478" t="str">
        <f>VLOOKUP(D4478,Товары!A:I,3,0)</f>
        <v>Тумба с раковиной  напол. Альба 600 антрацит 2 ящика с умыв. Океан</v>
      </c>
      <c r="H4478">
        <f>VLOOKUP(D4478,Товары!A:I,6,0)</f>
        <v>80</v>
      </c>
      <c r="I4478" t="str">
        <f>VLOOKUP(C4478,Магазины!A:C,3,0)</f>
        <v>Кемерово</v>
      </c>
      <c r="J4478">
        <f>VLOOKUP(D4478,Товары!A:I,4,0)</f>
        <v>26370</v>
      </c>
      <c r="K4478">
        <f t="shared" si="69"/>
        <v>26370</v>
      </c>
    </row>
    <row r="4479" spans="1:11" hidden="1" x14ac:dyDescent="0.25">
      <c r="A4479">
        <v>4478</v>
      </c>
      <c r="B4479" s="1">
        <v>45752</v>
      </c>
      <c r="C4479" t="s">
        <v>22</v>
      </c>
      <c r="D4479" t="s">
        <v>45</v>
      </c>
      <c r="E4479" t="s">
        <v>8</v>
      </c>
      <c r="F4479">
        <v>3</v>
      </c>
      <c r="G4479" t="str">
        <f>VLOOKUP(D4479,Товары!A:I,3,0)</f>
        <v>Зеркальный шкаф Рица 80 со светильником правый цвет cерый/керамика</v>
      </c>
      <c r="H4479">
        <f>VLOOKUP(D4479,Товары!A:I,6,0)</f>
        <v>75</v>
      </c>
      <c r="I4479" t="str">
        <f>VLOOKUP(C4479,Магазины!A:C,3,0)</f>
        <v>Кемерово</v>
      </c>
      <c r="J4479">
        <f>VLOOKUP(D4479,Товары!A:I,4,0)</f>
        <v>9930</v>
      </c>
      <c r="K4479">
        <f t="shared" si="69"/>
        <v>29790</v>
      </c>
    </row>
    <row r="4480" spans="1:11" hidden="1" x14ac:dyDescent="0.25">
      <c r="A4480">
        <v>4479</v>
      </c>
      <c r="B4480" s="1">
        <v>45754</v>
      </c>
      <c r="C4480" t="s">
        <v>14</v>
      </c>
      <c r="D4480" t="s">
        <v>129</v>
      </c>
      <c r="E4480" t="s">
        <v>13</v>
      </c>
      <c r="F4480">
        <v>2</v>
      </c>
      <c r="G4480" t="str">
        <f>VLOOKUP(D4480,Товары!A:I,3,0)</f>
        <v>Тумба с раковиной  напол. Альба 700 антрацит 2 ящика с умыв. Слим</v>
      </c>
      <c r="H4480">
        <f>VLOOKUP(D4480,Товары!A:I,6,0)</f>
        <v>85</v>
      </c>
      <c r="I4480" t="str">
        <f>VLOOKUP(C4480,Магазины!A:C,3,0)</f>
        <v>Оренбург</v>
      </c>
      <c r="J4480">
        <f>VLOOKUP(D4480,Товары!A:I,4,0)</f>
        <v>28695</v>
      </c>
      <c r="K4480">
        <f t="shared" si="69"/>
        <v>57390</v>
      </c>
    </row>
    <row r="4481" spans="1:11" hidden="1" x14ac:dyDescent="0.25">
      <c r="A4481">
        <v>4480</v>
      </c>
      <c r="B4481" s="1">
        <v>45753</v>
      </c>
      <c r="C4481" t="s">
        <v>103</v>
      </c>
      <c r="D4481" t="s">
        <v>55</v>
      </c>
      <c r="E4481" t="s">
        <v>13</v>
      </c>
      <c r="F4481">
        <v>2</v>
      </c>
      <c r="G4481" t="str">
        <f>VLOOKUP(D4481,Товары!A:I,3,0)</f>
        <v>Тумба с раковиной  напол. Рица 600 cерый/керамика 2 ящика с умыв. Океан</v>
      </c>
      <c r="H4481">
        <f>VLOOKUP(D4481,Товары!A:I,6,0)</f>
        <v>80</v>
      </c>
      <c r="I4481" t="str">
        <f>VLOOKUP(C4481,Магазины!A:C,3,0)</f>
        <v>Ставрополь</v>
      </c>
      <c r="J4481">
        <f>VLOOKUP(D4481,Товары!A:I,4,0)</f>
        <v>25560</v>
      </c>
      <c r="K4481">
        <f t="shared" si="69"/>
        <v>51120</v>
      </c>
    </row>
    <row r="4482" spans="1:11" hidden="1" x14ac:dyDescent="0.25">
      <c r="A4482">
        <v>4481</v>
      </c>
      <c r="B4482" s="1">
        <v>45749</v>
      </c>
      <c r="C4482" t="s">
        <v>41</v>
      </c>
      <c r="D4482" t="s">
        <v>100</v>
      </c>
      <c r="E4482" t="s">
        <v>8</v>
      </c>
      <c r="F4482">
        <v>3</v>
      </c>
      <c r="G4482" t="str">
        <f>VLOOKUP(D4482,Товары!A:I,3,0)</f>
        <v>Тумба с раковиной  навес. Альба 800 мята 1 ящик с умыв. Слим</v>
      </c>
      <c r="H4482">
        <f>VLOOKUP(D4482,Товары!A:I,6,0)</f>
        <v>45</v>
      </c>
      <c r="I4482" t="str">
        <f>VLOOKUP(C4482,Магазины!A:C,3,0)</f>
        <v>Ставрополь</v>
      </c>
      <c r="J4482">
        <f>VLOOKUP(D4482,Товары!A:I,4,0)</f>
        <v>21630</v>
      </c>
      <c r="K4482">
        <f t="shared" si="69"/>
        <v>64890</v>
      </c>
    </row>
    <row r="4483" spans="1:11" hidden="1" x14ac:dyDescent="0.25">
      <c r="A4483">
        <v>4482</v>
      </c>
      <c r="B4483" s="1">
        <v>45754</v>
      </c>
      <c r="C4483" t="s">
        <v>111</v>
      </c>
      <c r="D4483" t="s">
        <v>127</v>
      </c>
      <c r="E4483" t="s">
        <v>8</v>
      </c>
      <c r="F4483">
        <v>3</v>
      </c>
      <c r="G4483" t="str">
        <f>VLOOKUP(D4483,Товары!A:I,3,0)</f>
        <v>Тумба с раковиной  навес. Альба 700 мята 1 ящик с умыв. Слим</v>
      </c>
      <c r="H4483">
        <f>VLOOKUP(D4483,Товары!A:I,6,0)</f>
        <v>45</v>
      </c>
      <c r="I4483" t="str">
        <f>VLOOKUP(C4483,Магазины!A:C,3,0)</f>
        <v>Набережные Челны</v>
      </c>
      <c r="J4483">
        <f>VLOOKUP(D4483,Товары!A:I,4,0)</f>
        <v>20130</v>
      </c>
      <c r="K4483">
        <f t="shared" ref="K4483:K4546" si="70">J4483*F4483</f>
        <v>60390</v>
      </c>
    </row>
    <row r="4484" spans="1:11" hidden="1" x14ac:dyDescent="0.25">
      <c r="A4484">
        <v>4483</v>
      </c>
      <c r="B4484" s="1">
        <v>45748</v>
      </c>
      <c r="C4484" t="s">
        <v>18</v>
      </c>
      <c r="D4484" t="s">
        <v>77</v>
      </c>
      <c r="E4484" t="s">
        <v>13</v>
      </c>
      <c r="F4484">
        <v>3</v>
      </c>
      <c r="G4484" t="str">
        <f>VLOOKUP(D4484,Товары!A:I,3,0)</f>
        <v>Тумба с раковиной  напол. Куба Риф 600 белый 2 ящика с умыв. Como</v>
      </c>
      <c r="H4484">
        <f>VLOOKUP(D4484,Товары!A:I,6,0)</f>
        <v>85</v>
      </c>
      <c r="I4484" t="str">
        <f>VLOOKUP(C4484,Магазины!A:C,3,0)</f>
        <v>Набережные Челны</v>
      </c>
      <c r="J4484">
        <f>VLOOKUP(D4484,Товары!A:I,4,0)</f>
        <v>15660</v>
      </c>
      <c r="K4484">
        <f t="shared" si="70"/>
        <v>46980</v>
      </c>
    </row>
    <row r="4485" spans="1:11" hidden="1" x14ac:dyDescent="0.25">
      <c r="A4485">
        <v>4484</v>
      </c>
      <c r="B4485" s="1">
        <v>45754</v>
      </c>
      <c r="C4485" t="s">
        <v>58</v>
      </c>
      <c r="D4485" t="s">
        <v>85</v>
      </c>
      <c r="E4485" t="s">
        <v>8</v>
      </c>
      <c r="F4485">
        <v>3</v>
      </c>
      <c r="G4485" t="str">
        <f>VLOOKUP(D4485,Товары!A:I,3,0)</f>
        <v>Пенал напол. Аква 450 белый 2 двери + 2 ящика + корзина</v>
      </c>
      <c r="H4485">
        <f>VLOOKUP(D4485,Товары!A:I,6,0)</f>
        <v>190</v>
      </c>
      <c r="I4485" t="str">
        <f>VLOOKUP(C4485,Магазины!A:C,3,0)</f>
        <v>Ставрополь</v>
      </c>
      <c r="J4485">
        <f>VLOOKUP(D4485,Товары!A:I,4,0)</f>
        <v>13335</v>
      </c>
      <c r="K4485">
        <f t="shared" si="70"/>
        <v>40005</v>
      </c>
    </row>
    <row r="4486" spans="1:11" hidden="1" x14ac:dyDescent="0.25">
      <c r="A4486">
        <v>4485</v>
      </c>
      <c r="B4486" s="1">
        <v>45755</v>
      </c>
      <c r="C4486" t="s">
        <v>43</v>
      </c>
      <c r="D4486" t="s">
        <v>49</v>
      </c>
      <c r="E4486" t="s">
        <v>8</v>
      </c>
      <c r="F4486">
        <v>3</v>
      </c>
      <c r="G4486" t="str">
        <f>VLOOKUP(D4486,Товары!A:I,3,0)</f>
        <v>Тумба с раковиной  напол. Леон 700 оникс 2 ящика с умыв. Слим</v>
      </c>
      <c r="H4486">
        <f>VLOOKUP(D4486,Товары!A:I,6,0)</f>
        <v>80</v>
      </c>
      <c r="I4486" t="str">
        <f>VLOOKUP(C4486,Магазины!A:C,3,0)</f>
        <v>Набережные Челны</v>
      </c>
      <c r="J4486">
        <f>VLOOKUP(D4486,Товары!A:I,4,0)</f>
        <v>28380</v>
      </c>
      <c r="K4486">
        <f t="shared" si="70"/>
        <v>85140</v>
      </c>
    </row>
    <row r="4487" spans="1:11" hidden="1" x14ac:dyDescent="0.25">
      <c r="A4487">
        <v>4486</v>
      </c>
      <c r="B4487" s="1">
        <v>45756</v>
      </c>
      <c r="C4487" t="s">
        <v>48</v>
      </c>
      <c r="D4487" t="s">
        <v>52</v>
      </c>
      <c r="E4487" t="s">
        <v>8</v>
      </c>
      <c r="F4487">
        <v>3</v>
      </c>
      <c r="G4487" t="str">
        <f>VLOOKUP(D4487,Товары!A:I,3,0)</f>
        <v>Тумба с раковиной  напол. Кристалл 600 суфле 2 ящика с умыв. Океан</v>
      </c>
      <c r="H4487">
        <f>VLOOKUP(D4487,Товары!A:I,6,0)</f>
        <v>80</v>
      </c>
      <c r="I4487" t="str">
        <f>VLOOKUP(C4487,Магазины!A:C,3,0)</f>
        <v>Ставрополь</v>
      </c>
      <c r="J4487">
        <f>VLOOKUP(D4487,Товары!A:I,4,0)</f>
        <v>27600</v>
      </c>
      <c r="K4487">
        <f t="shared" si="70"/>
        <v>82800</v>
      </c>
    </row>
    <row r="4488" spans="1:11" hidden="1" x14ac:dyDescent="0.25">
      <c r="A4488">
        <v>4487</v>
      </c>
      <c r="B4488" s="1">
        <v>45756</v>
      </c>
      <c r="C4488" t="s">
        <v>9</v>
      </c>
      <c r="D4488" t="s">
        <v>36</v>
      </c>
      <c r="E4488" t="s">
        <v>13</v>
      </c>
      <c r="F4488">
        <v>2</v>
      </c>
      <c r="G4488" t="str">
        <f>VLOOKUP(D4488,Товары!A:I,3,0)</f>
        <v>Тумба с раковиной  напол. Альба 800 мята 2 ящика с умыв. Слим</v>
      </c>
      <c r="H4488">
        <f>VLOOKUP(D4488,Товары!A:I,6,0)</f>
        <v>80</v>
      </c>
      <c r="I4488" t="str">
        <f>VLOOKUP(C4488,Магазины!A:C,3,0)</f>
        <v>Кемерово</v>
      </c>
      <c r="J4488">
        <f>VLOOKUP(D4488,Товары!A:I,4,0)</f>
        <v>29340</v>
      </c>
      <c r="K4488">
        <f t="shared" si="70"/>
        <v>58680</v>
      </c>
    </row>
    <row r="4489" spans="1:11" hidden="1" x14ac:dyDescent="0.25">
      <c r="A4489">
        <v>4488</v>
      </c>
      <c r="B4489" s="1">
        <v>45750</v>
      </c>
      <c r="C4489" t="s">
        <v>20</v>
      </c>
      <c r="D4489" t="s">
        <v>51</v>
      </c>
      <c r="E4489" t="s">
        <v>13</v>
      </c>
      <c r="F4489">
        <v>1</v>
      </c>
      <c r="G4489" t="str">
        <f>VLOOKUP(D4489,Товары!A:I,3,0)</f>
        <v>Зеркальный шкаф Альба 80 со светильником правый цвет суфле</v>
      </c>
      <c r="H4489">
        <f>VLOOKUP(D4489,Товары!A:I,6,0)</f>
        <v>75</v>
      </c>
      <c r="I4489" t="str">
        <f>VLOOKUP(C4489,Магазины!A:C,3,0)</f>
        <v>Оренбург</v>
      </c>
      <c r="J4489">
        <f>VLOOKUP(D4489,Товары!A:I,4,0)</f>
        <v>9930</v>
      </c>
      <c r="K4489">
        <f t="shared" si="70"/>
        <v>9930</v>
      </c>
    </row>
    <row r="4490" spans="1:11" hidden="1" x14ac:dyDescent="0.25">
      <c r="A4490">
        <v>4489</v>
      </c>
      <c r="B4490" s="1">
        <v>45756</v>
      </c>
      <c r="C4490" t="s">
        <v>9</v>
      </c>
      <c r="D4490" t="s">
        <v>46</v>
      </c>
      <c r="E4490" t="s">
        <v>13</v>
      </c>
      <c r="F4490">
        <v>1</v>
      </c>
      <c r="G4490" t="str">
        <f>VLOOKUP(D4490,Товары!A:I,3,0)</f>
        <v>Тумба с раковиной  напол. Сохо 700 белый 2 ящика с умыв. Слим</v>
      </c>
      <c r="H4490">
        <f>VLOOKUP(D4490,Товары!A:I,6,0)</f>
        <v>85</v>
      </c>
      <c r="I4490" t="str">
        <f>VLOOKUP(C4490,Магазины!A:C,3,0)</f>
        <v>Кемерово</v>
      </c>
      <c r="J4490">
        <f>VLOOKUP(D4490,Товары!A:I,4,0)</f>
        <v>18405</v>
      </c>
      <c r="K4490">
        <f t="shared" si="70"/>
        <v>18405</v>
      </c>
    </row>
    <row r="4491" spans="1:11" hidden="1" x14ac:dyDescent="0.25">
      <c r="A4491">
        <v>4490</v>
      </c>
      <c r="B4491" s="1">
        <v>45751</v>
      </c>
      <c r="C4491" t="s">
        <v>41</v>
      </c>
      <c r="D4491" t="s">
        <v>21</v>
      </c>
      <c r="E4491" t="s">
        <v>13</v>
      </c>
      <c r="F4491">
        <v>3</v>
      </c>
      <c r="G4491" t="str">
        <f>VLOOKUP(D4491,Товары!A:I,3,0)</f>
        <v>Зеркальный шкаф Рица 60 со светильником правый цвет cерый/керамика</v>
      </c>
      <c r="H4491">
        <f>VLOOKUP(D4491,Товары!A:I,6,0)</f>
        <v>75</v>
      </c>
      <c r="I4491" t="str">
        <f>VLOOKUP(C4491,Магазины!A:C,3,0)</f>
        <v>Ставрополь</v>
      </c>
      <c r="J4491">
        <f>VLOOKUP(D4491,Товары!A:I,4,0)</f>
        <v>8910</v>
      </c>
      <c r="K4491">
        <f t="shared" si="70"/>
        <v>26730</v>
      </c>
    </row>
    <row r="4492" spans="1:11" hidden="1" x14ac:dyDescent="0.25">
      <c r="A4492">
        <v>4491</v>
      </c>
      <c r="B4492" s="1">
        <v>45754</v>
      </c>
      <c r="C4492" t="s">
        <v>57</v>
      </c>
      <c r="D4492" t="s">
        <v>34</v>
      </c>
      <c r="E4492" t="s">
        <v>8</v>
      </c>
      <c r="F4492">
        <v>2</v>
      </c>
      <c r="G4492" t="str">
        <f>VLOOKUP(D4492,Товары!A:I,3,0)</f>
        <v>Тумба с раковиной  навес. Леон 700 форест 2 ящика с умыв. Слим</v>
      </c>
      <c r="H4492">
        <f>VLOOKUP(D4492,Товары!A:I,6,0)</f>
        <v>60</v>
      </c>
      <c r="I4492" t="str">
        <f>VLOOKUP(C4492,Магазины!A:C,3,0)</f>
        <v>Оренбург</v>
      </c>
      <c r="J4492">
        <f>VLOOKUP(D4492,Товары!A:I,4,0)</f>
        <v>26220</v>
      </c>
      <c r="K4492">
        <f t="shared" si="70"/>
        <v>52440</v>
      </c>
    </row>
    <row r="4493" spans="1:11" hidden="1" x14ac:dyDescent="0.25">
      <c r="A4493">
        <v>4492</v>
      </c>
      <c r="B4493" s="1">
        <v>45751</v>
      </c>
      <c r="C4493" t="s">
        <v>54</v>
      </c>
      <c r="D4493" t="s">
        <v>93</v>
      </c>
      <c r="E4493" t="s">
        <v>13</v>
      </c>
      <c r="F4493">
        <v>1</v>
      </c>
      <c r="G4493" t="str">
        <f>VLOOKUP(D4493,Товары!A:I,3,0)</f>
        <v>Тумба с раковиной  напол. Леон Риф 800 солярис/белый риф 2 ящика с умыв. Слим</v>
      </c>
      <c r="H4493">
        <f>VLOOKUP(D4493,Товары!A:I,6,0)</f>
        <v>80</v>
      </c>
      <c r="I4493" t="str">
        <f>VLOOKUP(C4493,Магазины!A:C,3,0)</f>
        <v>Ставрополь</v>
      </c>
      <c r="J4493">
        <f>VLOOKUP(D4493,Товары!A:I,4,0)</f>
        <v>29340</v>
      </c>
      <c r="K4493">
        <f t="shared" si="70"/>
        <v>29340</v>
      </c>
    </row>
    <row r="4494" spans="1:11" hidden="1" x14ac:dyDescent="0.25">
      <c r="A4494">
        <v>4493</v>
      </c>
      <c r="B4494" s="1">
        <v>45754</v>
      </c>
      <c r="C4494" t="s">
        <v>11</v>
      </c>
      <c r="D4494" t="s">
        <v>117</v>
      </c>
      <c r="E4494" t="s">
        <v>8</v>
      </c>
      <c r="F4494">
        <v>3</v>
      </c>
      <c r="G4494" t="str">
        <f>VLOOKUP(D4494,Товары!A:I,3,0)</f>
        <v>Тумба с раковиной  навес. Альба 700 антрацит 2 ящика с умыв. Слим</v>
      </c>
      <c r="H4494">
        <f>VLOOKUP(D4494,Товары!A:I,6,0)</f>
        <v>60</v>
      </c>
      <c r="I4494" t="str">
        <f>VLOOKUP(C4494,Магазины!A:C,3,0)</f>
        <v>Кемерово</v>
      </c>
      <c r="J4494">
        <f>VLOOKUP(D4494,Товары!A:I,4,0)</f>
        <v>25095</v>
      </c>
      <c r="K4494">
        <f t="shared" si="70"/>
        <v>75285</v>
      </c>
    </row>
    <row r="4495" spans="1:11" hidden="1" x14ac:dyDescent="0.25">
      <c r="A4495">
        <v>4494</v>
      </c>
      <c r="B4495" s="1">
        <v>45754</v>
      </c>
      <c r="C4495" t="s">
        <v>30</v>
      </c>
      <c r="D4495" t="s">
        <v>88</v>
      </c>
      <c r="E4495" t="s">
        <v>8</v>
      </c>
      <c r="F4495">
        <v>2</v>
      </c>
      <c r="G4495" t="str">
        <f>VLOOKUP(D4495,Товары!A:I,3,0)</f>
        <v>Тумба с раковиной  навес. Альба 800 антрацит 2 ящика с умыв. Слим</v>
      </c>
      <c r="H4495">
        <f>VLOOKUP(D4495,Товары!A:I,6,0)</f>
        <v>50</v>
      </c>
      <c r="I4495" t="str">
        <f>VLOOKUP(C4495,Магазины!A:C,3,0)</f>
        <v>Кемерово</v>
      </c>
      <c r="J4495">
        <f>VLOOKUP(D4495,Товары!A:I,4,0)</f>
        <v>26070</v>
      </c>
      <c r="K4495">
        <f t="shared" si="70"/>
        <v>52140</v>
      </c>
    </row>
    <row r="4496" spans="1:11" hidden="1" x14ac:dyDescent="0.25">
      <c r="A4496">
        <v>4495</v>
      </c>
      <c r="B4496" s="1">
        <v>45752</v>
      </c>
      <c r="C4496" t="s">
        <v>30</v>
      </c>
      <c r="D4496" t="s">
        <v>59</v>
      </c>
      <c r="E4496" t="s">
        <v>8</v>
      </c>
      <c r="F4496">
        <v>1</v>
      </c>
      <c r="G4496" t="str">
        <f>VLOOKUP(D4496,Товары!A:I,3,0)</f>
        <v>Тумба с раковиной  навес. Куба Риф 600 белый 2 ящика с умыв. Океан</v>
      </c>
      <c r="H4496">
        <f>VLOOKUP(D4496,Товары!A:I,6,0)</f>
        <v>55</v>
      </c>
      <c r="I4496" t="str">
        <f>VLOOKUP(C4496,Магазины!A:C,3,0)</f>
        <v>Кемерово</v>
      </c>
      <c r="J4496">
        <f>VLOOKUP(D4496,Товары!A:I,4,0)</f>
        <v>15765</v>
      </c>
      <c r="K4496">
        <f t="shared" si="70"/>
        <v>15765</v>
      </c>
    </row>
    <row r="4497" spans="1:11" hidden="1" x14ac:dyDescent="0.25">
      <c r="A4497">
        <v>4496</v>
      </c>
      <c r="B4497" s="1">
        <v>45749</v>
      </c>
      <c r="C4497" t="s">
        <v>43</v>
      </c>
      <c r="D4497" t="s">
        <v>7</v>
      </c>
      <c r="E4497" t="s">
        <v>8</v>
      </c>
      <c r="F4497">
        <v>1</v>
      </c>
      <c r="G4497" t="str">
        <f>VLOOKUP(D4497,Товары!A:I,3,0)</f>
        <v>Пенал напол. Леон Риф 400 солярис/белый риф 2 двери + 1 ящик</v>
      </c>
      <c r="H4497">
        <f>VLOOKUP(D4497,Товары!A:I,6,0)</f>
        <v>190</v>
      </c>
      <c r="I4497" t="str">
        <f>VLOOKUP(C4497,Магазины!A:C,3,0)</f>
        <v>Набережные Челны</v>
      </c>
      <c r="J4497">
        <f>VLOOKUP(D4497,Товары!A:I,4,0)</f>
        <v>14490</v>
      </c>
      <c r="K4497">
        <f t="shared" si="70"/>
        <v>14490</v>
      </c>
    </row>
    <row r="4498" spans="1:11" hidden="1" x14ac:dyDescent="0.25">
      <c r="A4498">
        <v>4497</v>
      </c>
      <c r="B4498" s="1">
        <v>45752</v>
      </c>
      <c r="C4498" t="s">
        <v>58</v>
      </c>
      <c r="D4498" t="s">
        <v>7</v>
      </c>
      <c r="E4498" t="s">
        <v>8</v>
      </c>
      <c r="F4498">
        <v>1</v>
      </c>
      <c r="G4498" t="str">
        <f>VLOOKUP(D4498,Товары!A:I,3,0)</f>
        <v>Пенал напол. Леон Риф 400 солярис/белый риф 2 двери + 1 ящик</v>
      </c>
      <c r="H4498">
        <f>VLOOKUP(D4498,Товары!A:I,6,0)</f>
        <v>190</v>
      </c>
      <c r="I4498" t="str">
        <f>VLOOKUP(C4498,Магазины!A:C,3,0)</f>
        <v>Ставрополь</v>
      </c>
      <c r="J4498">
        <f>VLOOKUP(D4498,Товары!A:I,4,0)</f>
        <v>14490</v>
      </c>
      <c r="K4498">
        <f t="shared" si="70"/>
        <v>14490</v>
      </c>
    </row>
    <row r="4499" spans="1:11" hidden="1" x14ac:dyDescent="0.25">
      <c r="A4499">
        <v>4498</v>
      </c>
      <c r="B4499" s="1">
        <v>45754</v>
      </c>
      <c r="C4499" t="s">
        <v>41</v>
      </c>
      <c r="D4499" t="s">
        <v>32</v>
      </c>
      <c r="E4499" t="s">
        <v>13</v>
      </c>
      <c r="F4499">
        <v>1</v>
      </c>
      <c r="G4499" t="str">
        <f>VLOOKUP(D4499,Товары!A:I,3,0)</f>
        <v>Тумба с раковиной  напол. Леон Риф 700 солярис/белый риф 2 ящика с умыв. Слим</v>
      </c>
      <c r="H4499">
        <f>VLOOKUP(D4499,Товары!A:I,6,0)</f>
        <v>85</v>
      </c>
      <c r="I4499" t="str">
        <f>VLOOKUP(C4499,Магазины!A:C,3,0)</f>
        <v>Ставрополь</v>
      </c>
      <c r="J4499">
        <f>VLOOKUP(D4499,Товары!A:I,4,0)</f>
        <v>26460</v>
      </c>
      <c r="K4499">
        <f t="shared" si="70"/>
        <v>26460</v>
      </c>
    </row>
    <row r="4500" spans="1:11" hidden="1" x14ac:dyDescent="0.25">
      <c r="A4500">
        <v>4499</v>
      </c>
      <c r="B4500" s="1">
        <v>45753</v>
      </c>
      <c r="C4500" t="s">
        <v>41</v>
      </c>
      <c r="D4500" t="s">
        <v>27</v>
      </c>
      <c r="E4500" t="s">
        <v>13</v>
      </c>
      <c r="F4500">
        <v>2</v>
      </c>
      <c r="G4500" t="str">
        <f>VLOOKUP(D4500,Товары!A:I,3,0)</f>
        <v>Тумба с раковиной  навес. Виктория 800 белый 2 ящика с умыв. Слим</v>
      </c>
      <c r="H4500">
        <f>VLOOKUP(D4500,Товары!A:I,6,0)</f>
        <v>60</v>
      </c>
      <c r="I4500" t="str">
        <f>VLOOKUP(C4500,Магазины!A:C,3,0)</f>
        <v>Ставрополь</v>
      </c>
      <c r="J4500">
        <f>VLOOKUP(D4500,Товары!A:I,4,0)</f>
        <v>25290</v>
      </c>
      <c r="K4500">
        <f t="shared" si="70"/>
        <v>50580</v>
      </c>
    </row>
    <row r="4501" spans="1:11" hidden="1" x14ac:dyDescent="0.25">
      <c r="A4501">
        <v>4500</v>
      </c>
      <c r="B4501" s="1">
        <v>45753</v>
      </c>
      <c r="C4501" t="s">
        <v>14</v>
      </c>
      <c r="D4501" t="s">
        <v>56</v>
      </c>
      <c r="E4501" t="s">
        <v>13</v>
      </c>
      <c r="F4501">
        <v>1</v>
      </c>
      <c r="G4501" t="str">
        <f>VLOOKUP(D4501,Товары!A:I,3,0)</f>
        <v>Зеркальный шкаф Альба 80 со светильником правый цвет мята</v>
      </c>
      <c r="H4501">
        <f>VLOOKUP(D4501,Товары!A:I,6,0)</f>
        <v>75</v>
      </c>
      <c r="I4501" t="str">
        <f>VLOOKUP(C4501,Магазины!A:C,3,0)</f>
        <v>Оренбург</v>
      </c>
      <c r="J4501">
        <f>VLOOKUP(D4501,Товары!A:I,4,0)</f>
        <v>9930</v>
      </c>
      <c r="K4501">
        <f t="shared" si="70"/>
        <v>9930</v>
      </c>
    </row>
    <row r="4502" spans="1:11" hidden="1" x14ac:dyDescent="0.25">
      <c r="A4502">
        <v>4501</v>
      </c>
      <c r="B4502" s="1">
        <v>45754</v>
      </c>
      <c r="C4502" t="s">
        <v>14</v>
      </c>
      <c r="D4502" t="s">
        <v>81</v>
      </c>
      <c r="E4502" t="s">
        <v>8</v>
      </c>
      <c r="F4502">
        <v>1</v>
      </c>
      <c r="G4502" t="str">
        <f>VLOOKUP(D4502,Товары!A:I,3,0)</f>
        <v>Тумба с раковиной  навес. Рица 600 cерый/керамика 1 ящик + ниша 1 с умыв. Океан</v>
      </c>
      <c r="H4502">
        <f>VLOOKUP(D4502,Товары!A:I,6,0)</f>
        <v>60</v>
      </c>
      <c r="I4502" t="str">
        <f>VLOOKUP(C4502,Магазины!A:C,3,0)</f>
        <v>Оренбург</v>
      </c>
      <c r="J4502">
        <f>VLOOKUP(D4502,Товары!A:I,4,0)</f>
        <v>18900</v>
      </c>
      <c r="K4502">
        <f t="shared" si="70"/>
        <v>18900</v>
      </c>
    </row>
    <row r="4503" spans="1:11" hidden="1" x14ac:dyDescent="0.25">
      <c r="A4503">
        <v>4502</v>
      </c>
      <c r="B4503" s="1">
        <v>45752</v>
      </c>
      <c r="C4503" t="s">
        <v>16</v>
      </c>
      <c r="D4503" t="s">
        <v>21</v>
      </c>
      <c r="E4503" t="s">
        <v>8</v>
      </c>
      <c r="F4503">
        <v>1</v>
      </c>
      <c r="G4503" t="str">
        <f>VLOOKUP(D4503,Товары!A:I,3,0)</f>
        <v>Зеркальный шкаф Рица 60 со светильником правый цвет cерый/керамика</v>
      </c>
      <c r="H4503">
        <f>VLOOKUP(D4503,Товары!A:I,6,0)</f>
        <v>75</v>
      </c>
      <c r="I4503" t="str">
        <f>VLOOKUP(C4503,Магазины!A:C,3,0)</f>
        <v>Оренбург</v>
      </c>
      <c r="J4503">
        <f>VLOOKUP(D4503,Товары!A:I,4,0)</f>
        <v>8910</v>
      </c>
      <c r="K4503">
        <f t="shared" si="70"/>
        <v>8910</v>
      </c>
    </row>
    <row r="4504" spans="1:11" hidden="1" x14ac:dyDescent="0.25">
      <c r="A4504">
        <v>4503</v>
      </c>
      <c r="B4504" s="1">
        <v>45757</v>
      </c>
      <c r="C4504" t="s">
        <v>30</v>
      </c>
      <c r="D4504" t="s">
        <v>87</v>
      </c>
      <c r="E4504" t="s">
        <v>13</v>
      </c>
      <c r="F4504">
        <v>3</v>
      </c>
      <c r="G4504" t="str">
        <f>VLOOKUP(D4504,Товары!A:I,3,0)</f>
        <v>Тумба с раковиной  напол. Леон 700 форест 2 ящика с умыв. Слим</v>
      </c>
      <c r="H4504">
        <f>VLOOKUP(D4504,Товары!A:I,6,0)</f>
        <v>80</v>
      </c>
      <c r="I4504" t="str">
        <f>VLOOKUP(C4504,Магазины!A:C,3,0)</f>
        <v>Кемерово</v>
      </c>
      <c r="J4504">
        <f>VLOOKUP(D4504,Товары!A:I,4,0)</f>
        <v>28380</v>
      </c>
      <c r="K4504">
        <f t="shared" si="70"/>
        <v>85140</v>
      </c>
    </row>
    <row r="4505" spans="1:11" hidden="1" x14ac:dyDescent="0.25">
      <c r="A4505">
        <v>4504</v>
      </c>
      <c r="B4505" s="1">
        <v>45752</v>
      </c>
      <c r="C4505" t="s">
        <v>30</v>
      </c>
      <c r="D4505" t="s">
        <v>73</v>
      </c>
      <c r="E4505" t="s">
        <v>13</v>
      </c>
      <c r="F4505">
        <v>2</v>
      </c>
      <c r="G4505" t="str">
        <f>VLOOKUP(D4505,Товары!A:I,3,0)</f>
        <v>Зеркальный шкаф Альба 70 со светильником правый цвет антрацит</v>
      </c>
      <c r="H4505">
        <f>VLOOKUP(D4505,Товары!A:I,6,0)</f>
        <v>75</v>
      </c>
      <c r="I4505" t="str">
        <f>VLOOKUP(C4505,Магазины!A:C,3,0)</f>
        <v>Кемерово</v>
      </c>
      <c r="J4505">
        <f>VLOOKUP(D4505,Товары!A:I,4,0)</f>
        <v>9615</v>
      </c>
      <c r="K4505">
        <f t="shared" si="70"/>
        <v>19230</v>
      </c>
    </row>
    <row r="4506" spans="1:11" hidden="1" x14ac:dyDescent="0.25">
      <c r="A4506">
        <v>4505</v>
      </c>
      <c r="B4506" s="1">
        <v>45751</v>
      </c>
      <c r="C4506" t="s">
        <v>14</v>
      </c>
      <c r="D4506" t="s">
        <v>25</v>
      </c>
      <c r="E4506" t="s">
        <v>13</v>
      </c>
      <c r="F4506">
        <v>2</v>
      </c>
      <c r="G4506" t="str">
        <f>VLOOKUP(D4506,Товары!A:I,3,0)</f>
        <v>Пенал напол. Леон 400 оникс 2 двери + 1 ящик</v>
      </c>
      <c r="H4506">
        <f>VLOOKUP(D4506,Товары!A:I,6,0)</f>
        <v>190</v>
      </c>
      <c r="I4506" t="str">
        <f>VLOOKUP(C4506,Магазины!A:C,3,0)</f>
        <v>Оренбург</v>
      </c>
      <c r="J4506">
        <f>VLOOKUP(D4506,Товары!A:I,4,0)</f>
        <v>18450</v>
      </c>
      <c r="K4506">
        <f t="shared" si="70"/>
        <v>36900</v>
      </c>
    </row>
    <row r="4507" spans="1:11" hidden="1" x14ac:dyDescent="0.25">
      <c r="A4507">
        <v>4506</v>
      </c>
      <c r="B4507" s="1">
        <v>45753</v>
      </c>
      <c r="C4507" t="s">
        <v>41</v>
      </c>
      <c r="D4507" t="s">
        <v>105</v>
      </c>
      <c r="E4507" t="s">
        <v>13</v>
      </c>
      <c r="F4507">
        <v>2</v>
      </c>
      <c r="G4507" t="str">
        <f>VLOOKUP(D4507,Товары!A:I,3,0)</f>
        <v>Тумба с раковиной  напол. Нева 600 белый 2 двери + 1 ящик с умыв. Como</v>
      </c>
      <c r="H4507">
        <f>VLOOKUP(D4507,Товары!A:I,6,0)</f>
        <v>80</v>
      </c>
      <c r="I4507" t="str">
        <f>VLOOKUP(C4507,Магазины!A:C,3,0)</f>
        <v>Ставрополь</v>
      </c>
      <c r="J4507">
        <f>VLOOKUP(D4507,Товары!A:I,4,0)</f>
        <v>13470</v>
      </c>
      <c r="K4507">
        <f t="shared" si="70"/>
        <v>26940</v>
      </c>
    </row>
    <row r="4508" spans="1:11" hidden="1" x14ac:dyDescent="0.25">
      <c r="A4508">
        <v>4507</v>
      </c>
      <c r="B4508" s="1">
        <v>45751</v>
      </c>
      <c r="C4508" t="s">
        <v>16</v>
      </c>
      <c r="D4508" t="s">
        <v>82</v>
      </c>
      <c r="E4508" t="s">
        <v>8</v>
      </c>
      <c r="F4508">
        <v>3</v>
      </c>
      <c r="G4508" t="str">
        <f>VLOOKUP(D4508,Товары!A:I,3,0)</f>
        <v>Тумба с раковиной  навес. Леон 800 форест 2 ящика с умыв. Слим</v>
      </c>
      <c r="H4508">
        <f>VLOOKUP(D4508,Товары!A:I,6,0)</f>
        <v>60</v>
      </c>
      <c r="I4508" t="str">
        <f>VLOOKUP(C4508,Магазины!A:C,3,0)</f>
        <v>Оренбург</v>
      </c>
      <c r="J4508">
        <f>VLOOKUP(D4508,Товары!A:I,4,0)</f>
        <v>27930</v>
      </c>
      <c r="K4508">
        <f t="shared" si="70"/>
        <v>83790</v>
      </c>
    </row>
    <row r="4509" spans="1:11" hidden="1" x14ac:dyDescent="0.25">
      <c r="A4509">
        <v>4508</v>
      </c>
      <c r="B4509" s="1">
        <v>45749</v>
      </c>
      <c r="C4509" t="s">
        <v>54</v>
      </c>
      <c r="D4509" t="s">
        <v>21</v>
      </c>
      <c r="E4509" t="s">
        <v>8</v>
      </c>
      <c r="F4509">
        <v>3</v>
      </c>
      <c r="G4509" t="str">
        <f>VLOOKUP(D4509,Товары!A:I,3,0)</f>
        <v>Зеркальный шкаф Рица 60 со светильником правый цвет cерый/керамика</v>
      </c>
      <c r="H4509">
        <f>VLOOKUP(D4509,Товары!A:I,6,0)</f>
        <v>75</v>
      </c>
      <c r="I4509" t="str">
        <f>VLOOKUP(C4509,Магазины!A:C,3,0)</f>
        <v>Ставрополь</v>
      </c>
      <c r="J4509">
        <f>VLOOKUP(D4509,Товары!A:I,4,0)</f>
        <v>8910</v>
      </c>
      <c r="K4509">
        <f t="shared" si="70"/>
        <v>26730</v>
      </c>
    </row>
    <row r="4510" spans="1:11" hidden="1" x14ac:dyDescent="0.25">
      <c r="A4510">
        <v>4509</v>
      </c>
      <c r="B4510" s="1">
        <v>45751</v>
      </c>
      <c r="C4510" t="s">
        <v>63</v>
      </c>
      <c r="D4510" t="s">
        <v>114</v>
      </c>
      <c r="E4510" t="s">
        <v>13</v>
      </c>
      <c r="F4510">
        <v>2</v>
      </c>
      <c r="G4510" t="str">
        <f>VLOOKUP(D4510,Товары!A:I,3,0)</f>
        <v>Тумба с раковиной  навес. Альба 700 мята 2 ящика с умыв. Слим</v>
      </c>
      <c r="H4510">
        <f>VLOOKUP(D4510,Товары!A:I,6,0)</f>
        <v>60</v>
      </c>
      <c r="I4510" t="str">
        <f>VLOOKUP(C4510,Магазины!A:C,3,0)</f>
        <v>Ставрополь</v>
      </c>
      <c r="J4510">
        <f>VLOOKUP(D4510,Товары!A:I,4,0)</f>
        <v>25095</v>
      </c>
      <c r="K4510">
        <f t="shared" si="70"/>
        <v>50190</v>
      </c>
    </row>
    <row r="4511" spans="1:11" hidden="1" x14ac:dyDescent="0.25">
      <c r="A4511">
        <v>4510</v>
      </c>
      <c r="B4511" s="1">
        <v>45748</v>
      </c>
      <c r="C4511" t="s">
        <v>22</v>
      </c>
      <c r="D4511" t="s">
        <v>98</v>
      </c>
      <c r="E4511" t="s">
        <v>13</v>
      </c>
      <c r="F4511">
        <v>1</v>
      </c>
      <c r="G4511" t="str">
        <f>VLOOKUP(D4511,Товары!A:I,3,0)</f>
        <v>Тумба с раковиной  напол. Рица 800 cерый/керамика 2 ящика с умыв. Слим</v>
      </c>
      <c r="H4511">
        <f>VLOOKUP(D4511,Товары!A:I,6,0)</f>
        <v>80</v>
      </c>
      <c r="I4511" t="str">
        <f>VLOOKUP(C4511,Магазины!A:C,3,0)</f>
        <v>Кемерово</v>
      </c>
      <c r="J4511">
        <f>VLOOKUP(D4511,Товары!A:I,4,0)</f>
        <v>28980</v>
      </c>
      <c r="K4511">
        <f t="shared" si="70"/>
        <v>28980</v>
      </c>
    </row>
    <row r="4512" spans="1:11" hidden="1" x14ac:dyDescent="0.25">
      <c r="A4512">
        <v>4511</v>
      </c>
      <c r="B4512" s="1">
        <v>45751</v>
      </c>
      <c r="C4512" t="s">
        <v>18</v>
      </c>
      <c r="D4512" t="s">
        <v>124</v>
      </c>
      <c r="E4512" t="s">
        <v>13</v>
      </c>
      <c r="F4512">
        <v>2</v>
      </c>
      <c r="G4512" t="str">
        <f>VLOOKUP(D4512,Товары!A:I,3,0)</f>
        <v>Тумба с раковиной  напол. Леон 600 оникс 2 ящика с умыв. Океан</v>
      </c>
      <c r="H4512">
        <f>VLOOKUP(D4512,Товары!A:I,6,0)</f>
        <v>80</v>
      </c>
      <c r="I4512" t="str">
        <f>VLOOKUP(C4512,Магазины!A:C,3,0)</f>
        <v>Набережные Челны</v>
      </c>
      <c r="J4512">
        <f>VLOOKUP(D4512,Товары!A:I,4,0)</f>
        <v>25860</v>
      </c>
      <c r="K4512">
        <f t="shared" si="70"/>
        <v>51720</v>
      </c>
    </row>
    <row r="4513" spans="1:11" hidden="1" x14ac:dyDescent="0.25">
      <c r="A4513">
        <v>4512</v>
      </c>
      <c r="B4513" s="1">
        <v>45750</v>
      </c>
      <c r="C4513" t="s">
        <v>14</v>
      </c>
      <c r="D4513" t="s">
        <v>94</v>
      </c>
      <c r="E4513" t="s">
        <v>13</v>
      </c>
      <c r="F4513">
        <v>2</v>
      </c>
      <c r="G4513" t="str">
        <f>VLOOKUP(D4513,Товары!A:I,3,0)</f>
        <v>Зеркальный шкаф Альба 80 со светильником правый цвет антрацит</v>
      </c>
      <c r="H4513">
        <f>VLOOKUP(D4513,Товары!A:I,6,0)</f>
        <v>75</v>
      </c>
      <c r="I4513" t="str">
        <f>VLOOKUP(C4513,Магазины!A:C,3,0)</f>
        <v>Оренбург</v>
      </c>
      <c r="J4513">
        <f>VLOOKUP(D4513,Товары!A:I,4,0)</f>
        <v>9930</v>
      </c>
      <c r="K4513">
        <f t="shared" si="70"/>
        <v>19860</v>
      </c>
    </row>
    <row r="4514" spans="1:11" hidden="1" x14ac:dyDescent="0.25">
      <c r="A4514">
        <v>4513</v>
      </c>
      <c r="B4514" s="1">
        <v>45750</v>
      </c>
      <c r="C4514" t="s">
        <v>63</v>
      </c>
      <c r="D4514" t="s">
        <v>53</v>
      </c>
      <c r="E4514" t="s">
        <v>13</v>
      </c>
      <c r="F4514">
        <v>3</v>
      </c>
      <c r="G4514" t="str">
        <f>VLOOKUP(D4514,Товары!A:I,3,0)</f>
        <v>Тумба с раковиной  напол. Кристалл 600 шато азур 2 ящика с умыв. Океан</v>
      </c>
      <c r="H4514">
        <f>VLOOKUP(D4514,Товары!A:I,6,0)</f>
        <v>85</v>
      </c>
      <c r="I4514" t="str">
        <f>VLOOKUP(C4514,Магазины!A:C,3,0)</f>
        <v>Ставрополь</v>
      </c>
      <c r="J4514">
        <f>VLOOKUP(D4514,Товары!A:I,4,0)</f>
        <v>27600</v>
      </c>
      <c r="K4514">
        <f t="shared" si="70"/>
        <v>82800</v>
      </c>
    </row>
    <row r="4515" spans="1:11" hidden="1" x14ac:dyDescent="0.25">
      <c r="A4515">
        <v>4514</v>
      </c>
      <c r="B4515" s="1">
        <v>45757</v>
      </c>
      <c r="C4515" t="s">
        <v>57</v>
      </c>
      <c r="D4515" t="s">
        <v>122</v>
      </c>
      <c r="E4515" t="s">
        <v>13</v>
      </c>
      <c r="F4515">
        <v>2</v>
      </c>
      <c r="G4515" t="str">
        <f>VLOOKUP(D4515,Товары!A:I,3,0)</f>
        <v>Тумба с раковиной  навес. Кристалл 600 шато азур 2 ящика с умыв. Океан</v>
      </c>
      <c r="H4515">
        <f>VLOOKUP(D4515,Товары!A:I,6,0)</f>
        <v>55</v>
      </c>
      <c r="I4515" t="str">
        <f>VLOOKUP(C4515,Магазины!A:C,3,0)</f>
        <v>Оренбург</v>
      </c>
      <c r="J4515">
        <f>VLOOKUP(D4515,Товары!A:I,4,0)</f>
        <v>21960</v>
      </c>
      <c r="K4515">
        <f t="shared" si="70"/>
        <v>43920</v>
      </c>
    </row>
    <row r="4516" spans="1:11" hidden="1" x14ac:dyDescent="0.25">
      <c r="A4516">
        <v>4515</v>
      </c>
      <c r="B4516" s="1">
        <v>45757</v>
      </c>
      <c r="C4516" t="s">
        <v>57</v>
      </c>
      <c r="D4516" t="s">
        <v>107</v>
      </c>
      <c r="E4516" t="s">
        <v>8</v>
      </c>
      <c r="F4516">
        <v>2</v>
      </c>
      <c r="G4516" t="str">
        <f>VLOOKUP(D4516,Товары!A:I,3,0)</f>
        <v>Комод Аква 35 напольный 1 дверь белый правый</v>
      </c>
      <c r="H4516">
        <f>VLOOKUP(D4516,Товары!A:I,6,0)</f>
        <v>90</v>
      </c>
      <c r="I4516" t="str">
        <f>VLOOKUP(C4516,Магазины!A:C,3,0)</f>
        <v>Оренбург</v>
      </c>
      <c r="J4516">
        <f>VLOOKUP(D4516,Товары!A:I,4,0)</f>
        <v>6705</v>
      </c>
      <c r="K4516">
        <f t="shared" si="70"/>
        <v>13410</v>
      </c>
    </row>
    <row r="4517" spans="1:11" hidden="1" x14ac:dyDescent="0.25">
      <c r="A4517">
        <v>4516</v>
      </c>
      <c r="B4517" s="1">
        <v>45749</v>
      </c>
      <c r="C4517" t="s">
        <v>111</v>
      </c>
      <c r="D4517" t="s">
        <v>10</v>
      </c>
      <c r="E4517" t="s">
        <v>13</v>
      </c>
      <c r="F4517">
        <v>2</v>
      </c>
      <c r="G4517" t="str">
        <f>VLOOKUP(D4517,Товары!A:I,3,0)</f>
        <v>Тумба с раковиной  навес. Альба 700 антрацит 1 ящик с умыв. Слим</v>
      </c>
      <c r="H4517">
        <f>VLOOKUP(D4517,Товары!A:I,6,0)</f>
        <v>45</v>
      </c>
      <c r="I4517" t="str">
        <f>VLOOKUP(C4517,Магазины!A:C,3,0)</f>
        <v>Набережные Челны</v>
      </c>
      <c r="J4517">
        <f>VLOOKUP(D4517,Товары!A:I,4,0)</f>
        <v>20130</v>
      </c>
      <c r="K4517">
        <f t="shared" si="70"/>
        <v>40260</v>
      </c>
    </row>
    <row r="4518" spans="1:11" hidden="1" x14ac:dyDescent="0.25">
      <c r="A4518">
        <v>4517</v>
      </c>
      <c r="B4518" s="1">
        <v>45752</v>
      </c>
      <c r="C4518" t="s">
        <v>57</v>
      </c>
      <c r="D4518" t="s">
        <v>96</v>
      </c>
      <c r="E4518" t="s">
        <v>8</v>
      </c>
      <c r="F4518">
        <v>3</v>
      </c>
      <c r="G4518" t="str">
        <f>VLOOKUP(D4518,Товары!A:I,3,0)</f>
        <v>Тумба с раковиной  навес. Альба 600 мята 1 ящик с умыв. Океан</v>
      </c>
      <c r="H4518">
        <f>VLOOKUP(D4518,Товары!A:I,6,0)</f>
        <v>85</v>
      </c>
      <c r="I4518" t="str">
        <f>VLOOKUP(C4518,Магазины!A:C,3,0)</f>
        <v>Оренбург</v>
      </c>
      <c r="J4518">
        <f>VLOOKUP(D4518,Товары!A:I,4,0)</f>
        <v>17625</v>
      </c>
      <c r="K4518">
        <f t="shared" si="70"/>
        <v>52875</v>
      </c>
    </row>
    <row r="4519" spans="1:11" hidden="1" x14ac:dyDescent="0.25">
      <c r="A4519">
        <v>4518</v>
      </c>
      <c r="B4519" s="1">
        <v>45750</v>
      </c>
      <c r="C4519" t="s">
        <v>30</v>
      </c>
      <c r="D4519" t="s">
        <v>119</v>
      </c>
      <c r="E4519" t="s">
        <v>13</v>
      </c>
      <c r="F4519">
        <v>1</v>
      </c>
      <c r="G4519" t="str">
        <f>VLOOKUP(D4519,Товары!A:I,3,0)</f>
        <v>Пенал навес./напол. Рица 350 cерый/керамика 2 двери</v>
      </c>
      <c r="H4519">
        <f>VLOOKUP(D4519,Товары!A:I,6,0)</f>
        <v>160</v>
      </c>
      <c r="I4519" t="str">
        <f>VLOOKUP(C4519,Магазины!A:C,3,0)</f>
        <v>Кемерово</v>
      </c>
      <c r="J4519">
        <f>VLOOKUP(D4519,Товары!A:I,4,0)</f>
        <v>11250</v>
      </c>
      <c r="K4519">
        <f t="shared" si="70"/>
        <v>11250</v>
      </c>
    </row>
    <row r="4520" spans="1:11" hidden="1" x14ac:dyDescent="0.25">
      <c r="A4520">
        <v>4519</v>
      </c>
      <c r="B4520" s="1">
        <v>45751</v>
      </c>
      <c r="C4520" t="s">
        <v>92</v>
      </c>
      <c r="D4520" t="s">
        <v>120</v>
      </c>
      <c r="E4520" t="s">
        <v>13</v>
      </c>
      <c r="F4520">
        <v>3</v>
      </c>
      <c r="G4520" t="str">
        <f>VLOOKUP(D4520,Товары!A:I,3,0)</f>
        <v>Зеркальный шкаф Альба 60 со светильником правый цвет антрацит</v>
      </c>
      <c r="H4520">
        <f>VLOOKUP(D4520,Товары!A:I,6,0)</f>
        <v>75</v>
      </c>
      <c r="I4520" t="str">
        <f>VLOOKUP(C4520,Магазины!A:C,3,0)</f>
        <v>Кемерово</v>
      </c>
      <c r="J4520">
        <f>VLOOKUP(D4520,Товары!A:I,4,0)</f>
        <v>8910</v>
      </c>
      <c r="K4520">
        <f t="shared" si="70"/>
        <v>26730</v>
      </c>
    </row>
    <row r="4521" spans="1:11" hidden="1" x14ac:dyDescent="0.25">
      <c r="A4521">
        <v>4520</v>
      </c>
      <c r="B4521" s="1">
        <v>45748</v>
      </c>
      <c r="C4521" t="s">
        <v>103</v>
      </c>
      <c r="D4521" t="s">
        <v>73</v>
      </c>
      <c r="E4521" t="s">
        <v>13</v>
      </c>
      <c r="F4521">
        <v>2</v>
      </c>
      <c r="G4521" t="str">
        <f>VLOOKUP(D4521,Товары!A:I,3,0)</f>
        <v>Зеркальный шкаф Альба 70 со светильником правый цвет антрацит</v>
      </c>
      <c r="H4521">
        <f>VLOOKUP(D4521,Товары!A:I,6,0)</f>
        <v>75</v>
      </c>
      <c r="I4521" t="str">
        <f>VLOOKUP(C4521,Магазины!A:C,3,0)</f>
        <v>Ставрополь</v>
      </c>
      <c r="J4521">
        <f>VLOOKUP(D4521,Товары!A:I,4,0)</f>
        <v>9615</v>
      </c>
      <c r="K4521">
        <f t="shared" si="70"/>
        <v>19230</v>
      </c>
    </row>
    <row r="4522" spans="1:11" hidden="1" x14ac:dyDescent="0.25">
      <c r="A4522">
        <v>4521</v>
      </c>
      <c r="B4522" s="1">
        <v>45754</v>
      </c>
      <c r="C4522" t="s">
        <v>16</v>
      </c>
      <c r="D4522" t="s">
        <v>125</v>
      </c>
      <c r="E4522" t="s">
        <v>13</v>
      </c>
      <c r="F4522">
        <v>1</v>
      </c>
      <c r="G4522" t="str">
        <f>VLOOKUP(D4522,Товары!A:I,3,0)</f>
        <v>Зеркальный шкаф Сохо 60 белый со светильником правый цвет Белый глянец</v>
      </c>
      <c r="H4522">
        <f>VLOOKUP(D4522,Товары!A:I,6,0)</f>
        <v>75</v>
      </c>
      <c r="I4522" t="str">
        <f>VLOOKUP(C4522,Магазины!A:C,3,0)</f>
        <v>Оренбург</v>
      </c>
      <c r="J4522">
        <f>VLOOKUP(D4522,Товары!A:I,4,0)</f>
        <v>7395</v>
      </c>
      <c r="K4522">
        <f t="shared" si="70"/>
        <v>7395</v>
      </c>
    </row>
    <row r="4523" spans="1:11" hidden="1" x14ac:dyDescent="0.25">
      <c r="A4523">
        <v>4522</v>
      </c>
      <c r="B4523" s="1">
        <v>45749</v>
      </c>
      <c r="C4523" t="s">
        <v>111</v>
      </c>
      <c r="D4523" t="s">
        <v>127</v>
      </c>
      <c r="E4523" t="s">
        <v>8</v>
      </c>
      <c r="F4523">
        <v>3</v>
      </c>
      <c r="G4523" t="str">
        <f>VLOOKUP(D4523,Товары!A:I,3,0)</f>
        <v>Тумба с раковиной  навес. Альба 700 мята 1 ящик с умыв. Слим</v>
      </c>
      <c r="H4523">
        <f>VLOOKUP(D4523,Товары!A:I,6,0)</f>
        <v>45</v>
      </c>
      <c r="I4523" t="str">
        <f>VLOOKUP(C4523,Магазины!A:C,3,0)</f>
        <v>Набережные Челны</v>
      </c>
      <c r="J4523">
        <f>VLOOKUP(D4523,Товары!A:I,4,0)</f>
        <v>20130</v>
      </c>
      <c r="K4523">
        <f t="shared" si="70"/>
        <v>60390</v>
      </c>
    </row>
    <row r="4524" spans="1:11" hidden="1" x14ac:dyDescent="0.25">
      <c r="A4524">
        <v>4523</v>
      </c>
      <c r="B4524" s="1">
        <v>45749</v>
      </c>
      <c r="C4524" t="s">
        <v>28</v>
      </c>
      <c r="D4524" t="s">
        <v>66</v>
      </c>
      <c r="E4524" t="s">
        <v>13</v>
      </c>
      <c r="F4524">
        <v>2</v>
      </c>
      <c r="G4524" t="str">
        <f>VLOOKUP(D4524,Товары!A:I,3,0)</f>
        <v>Тумба с раковиной  навес. Альба 800 мята 2 ящика с умыв. Слим</v>
      </c>
      <c r="H4524">
        <f>VLOOKUP(D4524,Товары!A:I,6,0)</f>
        <v>50</v>
      </c>
      <c r="I4524" t="str">
        <f>VLOOKUP(C4524,Магазины!A:C,3,0)</f>
        <v>Набережные Челны</v>
      </c>
      <c r="J4524">
        <f>VLOOKUP(D4524,Товары!A:I,4,0)</f>
        <v>26070</v>
      </c>
      <c r="K4524">
        <f t="shared" si="70"/>
        <v>52140</v>
      </c>
    </row>
    <row r="4525" spans="1:11" hidden="1" x14ac:dyDescent="0.25">
      <c r="A4525">
        <v>4524</v>
      </c>
      <c r="B4525" s="1">
        <v>45751</v>
      </c>
      <c r="C4525" t="s">
        <v>26</v>
      </c>
      <c r="D4525" t="s">
        <v>70</v>
      </c>
      <c r="E4525" t="s">
        <v>8</v>
      </c>
      <c r="F4525">
        <v>3</v>
      </c>
      <c r="G4525" t="str">
        <f>VLOOKUP(D4525,Товары!A:I,3,0)</f>
        <v>Тумба с раковиной  напол. Кристалл 700 шато азур 2 ящика с умыв. Слим</v>
      </c>
      <c r="H4525">
        <f>VLOOKUP(D4525,Товары!A:I,6,0)</f>
        <v>85</v>
      </c>
      <c r="I4525" t="str">
        <f>VLOOKUP(C4525,Магазины!A:C,3,0)</f>
        <v>Оренбург</v>
      </c>
      <c r="J4525">
        <f>VLOOKUP(D4525,Товары!A:I,4,0)</f>
        <v>29910</v>
      </c>
      <c r="K4525">
        <f t="shared" si="70"/>
        <v>89730</v>
      </c>
    </row>
    <row r="4526" spans="1:11" hidden="1" x14ac:dyDescent="0.25">
      <c r="A4526">
        <v>4525</v>
      </c>
      <c r="B4526" s="1">
        <v>45754</v>
      </c>
      <c r="C4526" t="s">
        <v>28</v>
      </c>
      <c r="D4526" t="s">
        <v>74</v>
      </c>
      <c r="E4526" t="s">
        <v>8</v>
      </c>
      <c r="F4526">
        <v>1</v>
      </c>
      <c r="G4526" t="str">
        <f>VLOOKUP(D4526,Товары!A:I,3,0)</f>
        <v>Тумба с раковиной  напол. Альба 800 суфле 2 ящика с умыв. Слим</v>
      </c>
      <c r="H4526">
        <f>VLOOKUP(D4526,Товары!A:I,6,0)</f>
        <v>80</v>
      </c>
      <c r="I4526" t="str">
        <f>VLOOKUP(C4526,Магазины!A:C,3,0)</f>
        <v>Набережные Челны</v>
      </c>
      <c r="J4526">
        <f>VLOOKUP(D4526,Товары!A:I,4,0)</f>
        <v>29340</v>
      </c>
      <c r="K4526">
        <f t="shared" si="70"/>
        <v>29340</v>
      </c>
    </row>
    <row r="4527" spans="1:11" hidden="1" x14ac:dyDescent="0.25">
      <c r="A4527">
        <v>4526</v>
      </c>
      <c r="B4527" s="1">
        <v>45757</v>
      </c>
      <c r="C4527" t="s">
        <v>22</v>
      </c>
      <c r="D4527" t="s">
        <v>74</v>
      </c>
      <c r="E4527" t="s">
        <v>13</v>
      </c>
      <c r="F4527">
        <v>1</v>
      </c>
      <c r="G4527" t="str">
        <f>VLOOKUP(D4527,Товары!A:I,3,0)</f>
        <v>Тумба с раковиной  напол. Альба 800 суфле 2 ящика с умыв. Слим</v>
      </c>
      <c r="H4527">
        <f>VLOOKUP(D4527,Товары!A:I,6,0)</f>
        <v>80</v>
      </c>
      <c r="I4527" t="str">
        <f>VLOOKUP(C4527,Магазины!A:C,3,0)</f>
        <v>Кемерово</v>
      </c>
      <c r="J4527">
        <f>VLOOKUP(D4527,Товары!A:I,4,0)</f>
        <v>29340</v>
      </c>
      <c r="K4527">
        <f t="shared" si="70"/>
        <v>29340</v>
      </c>
    </row>
    <row r="4528" spans="1:11" hidden="1" x14ac:dyDescent="0.25">
      <c r="A4528">
        <v>4527</v>
      </c>
      <c r="B4528" s="1">
        <v>45752</v>
      </c>
      <c r="C4528" t="s">
        <v>48</v>
      </c>
      <c r="D4528" t="s">
        <v>119</v>
      </c>
      <c r="E4528" t="s">
        <v>13</v>
      </c>
      <c r="F4528">
        <v>3</v>
      </c>
      <c r="G4528" t="str">
        <f>VLOOKUP(D4528,Товары!A:I,3,0)</f>
        <v>Пенал навес./напол. Рица 350 cерый/керамика 2 двери</v>
      </c>
      <c r="H4528">
        <f>VLOOKUP(D4528,Товары!A:I,6,0)</f>
        <v>160</v>
      </c>
      <c r="I4528" t="str">
        <f>VLOOKUP(C4528,Магазины!A:C,3,0)</f>
        <v>Ставрополь</v>
      </c>
      <c r="J4528">
        <f>VLOOKUP(D4528,Товары!A:I,4,0)</f>
        <v>11250</v>
      </c>
      <c r="K4528">
        <f t="shared" si="70"/>
        <v>33750</v>
      </c>
    </row>
    <row r="4529" spans="1:11" hidden="1" x14ac:dyDescent="0.25">
      <c r="A4529">
        <v>4528</v>
      </c>
      <c r="B4529" s="1">
        <v>45749</v>
      </c>
      <c r="C4529" t="s">
        <v>28</v>
      </c>
      <c r="D4529" t="s">
        <v>50</v>
      </c>
      <c r="E4529" t="s">
        <v>8</v>
      </c>
      <c r="F4529">
        <v>2</v>
      </c>
      <c r="G4529" t="str">
        <f>VLOOKUP(D4529,Товары!A:I,3,0)</f>
        <v>Тумба с раковиной  напол. Леон 800 оникс 2 ящика с умыв. Слим</v>
      </c>
      <c r="H4529">
        <f>VLOOKUP(D4529,Товары!A:I,6,0)</f>
        <v>80</v>
      </c>
      <c r="I4529" t="str">
        <f>VLOOKUP(C4529,Магазины!A:C,3,0)</f>
        <v>Набережные Челны</v>
      </c>
      <c r="J4529">
        <f>VLOOKUP(D4529,Товары!A:I,4,0)</f>
        <v>29400</v>
      </c>
      <c r="K4529">
        <f t="shared" si="70"/>
        <v>58800</v>
      </c>
    </row>
    <row r="4530" spans="1:11" hidden="1" x14ac:dyDescent="0.25">
      <c r="A4530">
        <v>4529</v>
      </c>
      <c r="B4530" s="1">
        <v>45752</v>
      </c>
      <c r="C4530" t="s">
        <v>18</v>
      </c>
      <c r="D4530" t="s">
        <v>128</v>
      </c>
      <c r="E4530" t="s">
        <v>13</v>
      </c>
      <c r="F4530">
        <v>2</v>
      </c>
      <c r="G4530" t="str">
        <f>VLOOKUP(D4530,Товары!A:I,3,0)</f>
        <v>Тумба с раковиной  напол. Куба Риф 1000 белый 2 ящика с умыв. Слим</v>
      </c>
      <c r="H4530">
        <f>VLOOKUP(D4530,Товары!A:I,6,0)</f>
        <v>85</v>
      </c>
      <c r="I4530" t="str">
        <f>VLOOKUP(C4530,Магазины!A:C,3,0)</f>
        <v>Набережные Челны</v>
      </c>
      <c r="J4530">
        <f>VLOOKUP(D4530,Товары!A:I,4,0)</f>
        <v>22905</v>
      </c>
      <c r="K4530">
        <f t="shared" si="70"/>
        <v>45810</v>
      </c>
    </row>
    <row r="4531" spans="1:11" hidden="1" x14ac:dyDescent="0.25">
      <c r="A4531">
        <v>4530</v>
      </c>
      <c r="B4531" s="1">
        <v>45748</v>
      </c>
      <c r="C4531" t="s">
        <v>58</v>
      </c>
      <c r="D4531" t="s">
        <v>36</v>
      </c>
      <c r="E4531" t="s">
        <v>13</v>
      </c>
      <c r="F4531">
        <v>1</v>
      </c>
      <c r="G4531" t="str">
        <f>VLOOKUP(D4531,Товары!A:I,3,0)</f>
        <v>Тумба с раковиной  напол. Альба 800 мята 2 ящика с умыв. Слим</v>
      </c>
      <c r="H4531">
        <f>VLOOKUP(D4531,Товары!A:I,6,0)</f>
        <v>80</v>
      </c>
      <c r="I4531" t="str">
        <f>VLOOKUP(C4531,Магазины!A:C,3,0)</f>
        <v>Ставрополь</v>
      </c>
      <c r="J4531">
        <f>VLOOKUP(D4531,Товары!A:I,4,0)</f>
        <v>29340</v>
      </c>
      <c r="K4531">
        <f t="shared" si="70"/>
        <v>29340</v>
      </c>
    </row>
    <row r="4532" spans="1:11" hidden="1" x14ac:dyDescent="0.25">
      <c r="A4532">
        <v>4531</v>
      </c>
      <c r="B4532" s="1">
        <v>45750</v>
      </c>
      <c r="C4532" t="s">
        <v>43</v>
      </c>
      <c r="D4532" t="s">
        <v>101</v>
      </c>
      <c r="E4532" t="s">
        <v>13</v>
      </c>
      <c r="F4532">
        <v>1</v>
      </c>
      <c r="G4532" t="str">
        <f>VLOOKUP(D4532,Товары!A:I,3,0)</f>
        <v>Пенал напол. Сохо 400 белый 2 двери + 1 ящик</v>
      </c>
      <c r="H4532">
        <f>VLOOKUP(D4532,Товары!A:I,6,0)</f>
        <v>190</v>
      </c>
      <c r="I4532" t="str">
        <f>VLOOKUP(C4532,Магазины!A:C,3,0)</f>
        <v>Набережные Челны</v>
      </c>
      <c r="J4532">
        <f>VLOOKUP(D4532,Товары!A:I,4,0)</f>
        <v>11040</v>
      </c>
      <c r="K4532">
        <f t="shared" si="70"/>
        <v>11040</v>
      </c>
    </row>
    <row r="4533" spans="1:11" hidden="1" x14ac:dyDescent="0.25">
      <c r="A4533">
        <v>4532</v>
      </c>
      <c r="B4533" s="1">
        <v>45749</v>
      </c>
      <c r="C4533" t="s">
        <v>16</v>
      </c>
      <c r="D4533" t="s">
        <v>124</v>
      </c>
      <c r="E4533" t="s">
        <v>13</v>
      </c>
      <c r="F4533">
        <v>1</v>
      </c>
      <c r="G4533" t="str">
        <f>VLOOKUP(D4533,Товары!A:I,3,0)</f>
        <v>Тумба с раковиной  напол. Леон 600 оникс 2 ящика с умыв. Океан</v>
      </c>
      <c r="H4533">
        <f>VLOOKUP(D4533,Товары!A:I,6,0)</f>
        <v>80</v>
      </c>
      <c r="I4533" t="str">
        <f>VLOOKUP(C4533,Магазины!A:C,3,0)</f>
        <v>Оренбург</v>
      </c>
      <c r="J4533">
        <f>VLOOKUP(D4533,Товары!A:I,4,0)</f>
        <v>25860</v>
      </c>
      <c r="K4533">
        <f t="shared" si="70"/>
        <v>25860</v>
      </c>
    </row>
    <row r="4534" spans="1:11" hidden="1" x14ac:dyDescent="0.25">
      <c r="A4534">
        <v>4533</v>
      </c>
      <c r="B4534" s="1">
        <v>45754</v>
      </c>
      <c r="C4534" t="s">
        <v>58</v>
      </c>
      <c r="D4534" t="s">
        <v>120</v>
      </c>
      <c r="E4534" t="s">
        <v>13</v>
      </c>
      <c r="F4534">
        <v>1</v>
      </c>
      <c r="G4534" t="str">
        <f>VLOOKUP(D4534,Товары!A:I,3,0)</f>
        <v>Зеркальный шкаф Альба 60 со светильником правый цвет антрацит</v>
      </c>
      <c r="H4534">
        <f>VLOOKUP(D4534,Товары!A:I,6,0)</f>
        <v>75</v>
      </c>
      <c r="I4534" t="str">
        <f>VLOOKUP(C4534,Магазины!A:C,3,0)</f>
        <v>Ставрополь</v>
      </c>
      <c r="J4534">
        <f>VLOOKUP(D4534,Товары!A:I,4,0)</f>
        <v>8910</v>
      </c>
      <c r="K4534">
        <f t="shared" si="70"/>
        <v>8910</v>
      </c>
    </row>
    <row r="4535" spans="1:11" hidden="1" x14ac:dyDescent="0.25">
      <c r="A4535">
        <v>4534</v>
      </c>
      <c r="B4535" s="1">
        <v>45755</v>
      </c>
      <c r="C4535" t="s">
        <v>14</v>
      </c>
      <c r="D4535" t="s">
        <v>89</v>
      </c>
      <c r="E4535" t="s">
        <v>13</v>
      </c>
      <c r="F4535">
        <v>1</v>
      </c>
      <c r="G4535" t="str">
        <f>VLOOKUP(D4535,Товары!A:I,3,0)</f>
        <v>Тумба с раковиной  напол. Сохо 600 белый 2 двери с умыв. Океан</v>
      </c>
      <c r="H4535">
        <f>VLOOKUP(D4535,Товары!A:I,6,0)</f>
        <v>85</v>
      </c>
      <c r="I4535" t="str">
        <f>VLOOKUP(C4535,Магазины!A:C,3,0)</f>
        <v>Оренбург</v>
      </c>
      <c r="J4535">
        <f>VLOOKUP(D4535,Товары!A:I,4,0)</f>
        <v>14880</v>
      </c>
      <c r="K4535">
        <f t="shared" si="70"/>
        <v>14880</v>
      </c>
    </row>
    <row r="4536" spans="1:11" hidden="1" x14ac:dyDescent="0.25">
      <c r="A4536">
        <v>4535</v>
      </c>
      <c r="B4536" s="1">
        <v>45755</v>
      </c>
      <c r="C4536" t="s">
        <v>103</v>
      </c>
      <c r="D4536" t="s">
        <v>24</v>
      </c>
      <c r="E4536" t="s">
        <v>13</v>
      </c>
      <c r="F4536">
        <v>1</v>
      </c>
      <c r="G4536" t="str">
        <f>VLOOKUP(D4536,Товары!A:I,3,0)</f>
        <v>Тумба с раковиной  напол. Леон 600 форест 2 ящика с умыв. Слим</v>
      </c>
      <c r="H4536">
        <f>VLOOKUP(D4536,Товары!A:I,6,0)</f>
        <v>80</v>
      </c>
      <c r="I4536" t="str">
        <f>VLOOKUP(C4536,Магазины!A:C,3,0)</f>
        <v>Ставрополь</v>
      </c>
      <c r="J4536">
        <f>VLOOKUP(D4536,Товары!A:I,4,0)</f>
        <v>27150</v>
      </c>
      <c r="K4536">
        <f t="shared" si="70"/>
        <v>27150</v>
      </c>
    </row>
    <row r="4537" spans="1:11" hidden="1" x14ac:dyDescent="0.25">
      <c r="A4537">
        <v>4536</v>
      </c>
      <c r="B4537" s="1">
        <v>45757</v>
      </c>
      <c r="C4537" t="s">
        <v>18</v>
      </c>
      <c r="D4537" t="s">
        <v>89</v>
      </c>
      <c r="E4537" t="s">
        <v>8</v>
      </c>
      <c r="F4537">
        <v>1</v>
      </c>
      <c r="G4537" t="str">
        <f>VLOOKUP(D4537,Товары!A:I,3,0)</f>
        <v>Тумба с раковиной  напол. Сохо 600 белый 2 двери с умыв. Океан</v>
      </c>
      <c r="H4537">
        <f>VLOOKUP(D4537,Товары!A:I,6,0)</f>
        <v>85</v>
      </c>
      <c r="I4537" t="str">
        <f>VLOOKUP(C4537,Магазины!A:C,3,0)</f>
        <v>Набережные Челны</v>
      </c>
      <c r="J4537">
        <f>VLOOKUP(D4537,Товары!A:I,4,0)</f>
        <v>14880</v>
      </c>
      <c r="K4537">
        <f t="shared" si="70"/>
        <v>14880</v>
      </c>
    </row>
    <row r="4538" spans="1:11" hidden="1" x14ac:dyDescent="0.25">
      <c r="A4538">
        <v>4537</v>
      </c>
      <c r="B4538" s="1">
        <v>45752</v>
      </c>
      <c r="C4538" t="s">
        <v>20</v>
      </c>
      <c r="D4538" t="s">
        <v>21</v>
      </c>
      <c r="E4538" t="s">
        <v>8</v>
      </c>
      <c r="F4538">
        <v>3</v>
      </c>
      <c r="G4538" t="str">
        <f>VLOOKUP(D4538,Товары!A:I,3,0)</f>
        <v>Зеркальный шкаф Рица 60 со светильником правый цвет cерый/керамика</v>
      </c>
      <c r="H4538">
        <f>VLOOKUP(D4538,Товары!A:I,6,0)</f>
        <v>75</v>
      </c>
      <c r="I4538" t="str">
        <f>VLOOKUP(C4538,Магазины!A:C,3,0)</f>
        <v>Оренбург</v>
      </c>
      <c r="J4538">
        <f>VLOOKUP(D4538,Товары!A:I,4,0)</f>
        <v>8910</v>
      </c>
      <c r="K4538">
        <f t="shared" si="70"/>
        <v>26730</v>
      </c>
    </row>
    <row r="4539" spans="1:11" hidden="1" x14ac:dyDescent="0.25">
      <c r="A4539">
        <v>4538</v>
      </c>
      <c r="B4539" s="1">
        <v>45748</v>
      </c>
      <c r="C4539" t="s">
        <v>57</v>
      </c>
      <c r="D4539" t="s">
        <v>71</v>
      </c>
      <c r="E4539" t="s">
        <v>13</v>
      </c>
      <c r="F4539">
        <v>1</v>
      </c>
      <c r="G4539" t="str">
        <f>VLOOKUP(D4539,Товары!A:I,3,0)</f>
        <v>Тумба с раковиной  навес. Альба 600 мята 2 ящика с умыв. Океан</v>
      </c>
      <c r="H4539">
        <f>VLOOKUP(D4539,Товары!A:I,6,0)</f>
        <v>50</v>
      </c>
      <c r="I4539" t="str">
        <f>VLOOKUP(C4539,Магазины!A:C,3,0)</f>
        <v>Оренбург</v>
      </c>
      <c r="J4539">
        <f>VLOOKUP(D4539,Товары!A:I,4,0)</f>
        <v>24810</v>
      </c>
      <c r="K4539">
        <f t="shared" si="70"/>
        <v>24810</v>
      </c>
    </row>
    <row r="4540" spans="1:11" hidden="1" x14ac:dyDescent="0.25">
      <c r="A4540">
        <v>4539</v>
      </c>
      <c r="B4540" s="1">
        <v>45749</v>
      </c>
      <c r="C4540" t="s">
        <v>103</v>
      </c>
      <c r="D4540" t="s">
        <v>98</v>
      </c>
      <c r="E4540" t="s">
        <v>8</v>
      </c>
      <c r="F4540">
        <v>1</v>
      </c>
      <c r="G4540" t="str">
        <f>VLOOKUP(D4540,Товары!A:I,3,0)</f>
        <v>Тумба с раковиной  напол. Рица 800 cерый/керамика 2 ящика с умыв. Слим</v>
      </c>
      <c r="H4540">
        <f>VLOOKUP(D4540,Товары!A:I,6,0)</f>
        <v>80</v>
      </c>
      <c r="I4540" t="str">
        <f>VLOOKUP(C4540,Магазины!A:C,3,0)</f>
        <v>Ставрополь</v>
      </c>
      <c r="J4540">
        <f>VLOOKUP(D4540,Товары!A:I,4,0)</f>
        <v>28980</v>
      </c>
      <c r="K4540">
        <f t="shared" si="70"/>
        <v>28980</v>
      </c>
    </row>
    <row r="4541" spans="1:11" hidden="1" x14ac:dyDescent="0.25">
      <c r="A4541">
        <v>4540</v>
      </c>
      <c r="B4541" s="1">
        <v>45756</v>
      </c>
      <c r="C4541" t="s">
        <v>26</v>
      </c>
      <c r="D4541" t="s">
        <v>129</v>
      </c>
      <c r="E4541" t="s">
        <v>8</v>
      </c>
      <c r="F4541">
        <v>2</v>
      </c>
      <c r="G4541" t="str">
        <f>VLOOKUP(D4541,Товары!A:I,3,0)</f>
        <v>Тумба с раковиной  напол. Альба 700 антрацит 2 ящика с умыв. Слим</v>
      </c>
      <c r="H4541">
        <f>VLOOKUP(D4541,Товары!A:I,6,0)</f>
        <v>85</v>
      </c>
      <c r="I4541" t="str">
        <f>VLOOKUP(C4541,Магазины!A:C,3,0)</f>
        <v>Оренбург</v>
      </c>
      <c r="J4541">
        <f>VLOOKUP(D4541,Товары!A:I,4,0)</f>
        <v>28695</v>
      </c>
      <c r="K4541">
        <f t="shared" si="70"/>
        <v>57390</v>
      </c>
    </row>
    <row r="4542" spans="1:11" hidden="1" x14ac:dyDescent="0.25">
      <c r="A4542">
        <v>4541</v>
      </c>
      <c r="B4542" s="1">
        <v>45750</v>
      </c>
      <c r="C4542" t="s">
        <v>48</v>
      </c>
      <c r="D4542" t="s">
        <v>42</v>
      </c>
      <c r="E4542" t="s">
        <v>8</v>
      </c>
      <c r="F4542">
        <v>2</v>
      </c>
      <c r="G4542" t="str">
        <f>VLOOKUP(D4542,Товары!A:I,3,0)</f>
        <v>Тумба под стиральную машину Леон Риф 57 подвесная 2 ящика под ст/маш, без умывальника /под Marshall 120 Солярис/Белый Риф</v>
      </c>
      <c r="H4542">
        <f>VLOOKUP(D4542,Товары!A:I,6,0)</f>
        <v>60</v>
      </c>
      <c r="I4542" t="str">
        <f>VLOOKUP(C4542,Магазины!A:C,3,0)</f>
        <v>Ставрополь</v>
      </c>
      <c r="J4542">
        <f>VLOOKUP(D4542,Товары!A:I,4,0)</f>
        <v>15495</v>
      </c>
      <c r="K4542">
        <f t="shared" si="70"/>
        <v>30990</v>
      </c>
    </row>
    <row r="4543" spans="1:11" hidden="1" x14ac:dyDescent="0.25">
      <c r="A4543">
        <v>4542</v>
      </c>
      <c r="B4543" s="1">
        <v>45756</v>
      </c>
      <c r="C4543" t="s">
        <v>30</v>
      </c>
      <c r="D4543" t="s">
        <v>87</v>
      </c>
      <c r="E4543" t="s">
        <v>8</v>
      </c>
      <c r="F4543">
        <v>1</v>
      </c>
      <c r="G4543" t="str">
        <f>VLOOKUP(D4543,Товары!A:I,3,0)</f>
        <v>Тумба с раковиной  напол. Леон 700 форест 2 ящика с умыв. Слим</v>
      </c>
      <c r="H4543">
        <f>VLOOKUP(D4543,Товары!A:I,6,0)</f>
        <v>80</v>
      </c>
      <c r="I4543" t="str">
        <f>VLOOKUP(C4543,Магазины!A:C,3,0)</f>
        <v>Кемерово</v>
      </c>
      <c r="J4543">
        <f>VLOOKUP(D4543,Товары!A:I,4,0)</f>
        <v>28380</v>
      </c>
      <c r="K4543">
        <f t="shared" si="70"/>
        <v>28380</v>
      </c>
    </row>
    <row r="4544" spans="1:11" hidden="1" x14ac:dyDescent="0.25">
      <c r="A4544">
        <v>4543</v>
      </c>
      <c r="B4544" s="1">
        <v>45750</v>
      </c>
      <c r="C4544" t="s">
        <v>28</v>
      </c>
      <c r="D4544" t="s">
        <v>47</v>
      </c>
      <c r="E4544" t="s">
        <v>8</v>
      </c>
      <c r="F4544">
        <v>2</v>
      </c>
      <c r="G4544" t="str">
        <f>VLOOKUP(D4544,Товары!A:I,3,0)</f>
        <v>Пенал напол. Кристалл 350 шато азур 2 двери</v>
      </c>
      <c r="H4544">
        <f>VLOOKUP(D4544,Товары!A:I,6,0)</f>
        <v>190</v>
      </c>
      <c r="I4544" t="str">
        <f>VLOOKUP(C4544,Магазины!A:C,3,0)</f>
        <v>Набережные Челны</v>
      </c>
      <c r="J4544">
        <f>VLOOKUP(D4544,Товары!A:I,4,0)</f>
        <v>15810</v>
      </c>
      <c r="K4544">
        <f t="shared" si="70"/>
        <v>31620</v>
      </c>
    </row>
    <row r="4545" spans="1:11" hidden="1" x14ac:dyDescent="0.25">
      <c r="A4545">
        <v>4544</v>
      </c>
      <c r="B4545" s="1">
        <v>45752</v>
      </c>
      <c r="C4545" t="s">
        <v>54</v>
      </c>
      <c r="D4545" t="s">
        <v>50</v>
      </c>
      <c r="E4545" t="s">
        <v>13</v>
      </c>
      <c r="F4545">
        <v>1</v>
      </c>
      <c r="G4545" t="str">
        <f>VLOOKUP(D4545,Товары!A:I,3,0)</f>
        <v>Тумба с раковиной  напол. Леон 800 оникс 2 ящика с умыв. Слим</v>
      </c>
      <c r="H4545">
        <f>VLOOKUP(D4545,Товары!A:I,6,0)</f>
        <v>80</v>
      </c>
      <c r="I4545" t="str">
        <f>VLOOKUP(C4545,Магазины!A:C,3,0)</f>
        <v>Ставрополь</v>
      </c>
      <c r="J4545">
        <f>VLOOKUP(D4545,Товары!A:I,4,0)</f>
        <v>29400</v>
      </c>
      <c r="K4545">
        <f t="shared" si="70"/>
        <v>29400</v>
      </c>
    </row>
    <row r="4546" spans="1:11" hidden="1" x14ac:dyDescent="0.25">
      <c r="A4546">
        <v>4545</v>
      </c>
      <c r="B4546" s="1">
        <v>45756</v>
      </c>
      <c r="C4546" t="s">
        <v>35</v>
      </c>
      <c r="D4546" t="s">
        <v>120</v>
      </c>
      <c r="E4546" t="s">
        <v>13</v>
      </c>
      <c r="F4546">
        <v>1</v>
      </c>
      <c r="G4546" t="str">
        <f>VLOOKUP(D4546,Товары!A:I,3,0)</f>
        <v>Зеркальный шкаф Альба 60 со светильником правый цвет антрацит</v>
      </c>
      <c r="H4546">
        <f>VLOOKUP(D4546,Товары!A:I,6,0)</f>
        <v>75</v>
      </c>
      <c r="I4546" t="str">
        <f>VLOOKUP(C4546,Магазины!A:C,3,0)</f>
        <v>Набережные Челны</v>
      </c>
      <c r="J4546">
        <f>VLOOKUP(D4546,Товары!A:I,4,0)</f>
        <v>8910</v>
      </c>
      <c r="K4546">
        <f t="shared" si="70"/>
        <v>8910</v>
      </c>
    </row>
    <row r="4547" spans="1:11" hidden="1" x14ac:dyDescent="0.25">
      <c r="A4547">
        <v>4546</v>
      </c>
      <c r="B4547" s="1">
        <v>45757</v>
      </c>
      <c r="C4547" t="s">
        <v>20</v>
      </c>
      <c r="D4547" t="s">
        <v>116</v>
      </c>
      <c r="E4547" t="s">
        <v>13</v>
      </c>
      <c r="F4547">
        <v>3</v>
      </c>
      <c r="G4547" t="str">
        <f>VLOOKUP(D4547,Товары!A:I,3,0)</f>
        <v>Зеркало Нева 60 дуб/белый со светильником</v>
      </c>
      <c r="H4547">
        <f>VLOOKUP(D4547,Товары!A:I,6,0)</f>
        <v>80</v>
      </c>
      <c r="I4547" t="str">
        <f>VLOOKUP(C4547,Магазины!A:C,3,0)</f>
        <v>Оренбург</v>
      </c>
      <c r="J4547">
        <f>VLOOKUP(D4547,Товары!A:I,4,0)</f>
        <v>5100</v>
      </c>
      <c r="K4547">
        <f t="shared" ref="K4547:K4610" si="71">J4547*F4547</f>
        <v>15300</v>
      </c>
    </row>
    <row r="4548" spans="1:11" hidden="1" x14ac:dyDescent="0.25">
      <c r="A4548">
        <v>4547</v>
      </c>
      <c r="B4548" s="1">
        <v>45757</v>
      </c>
      <c r="C4548" t="s">
        <v>26</v>
      </c>
      <c r="D4548" t="s">
        <v>66</v>
      </c>
      <c r="E4548" t="s">
        <v>8</v>
      </c>
      <c r="F4548">
        <v>1</v>
      </c>
      <c r="G4548" t="str">
        <f>VLOOKUP(D4548,Товары!A:I,3,0)</f>
        <v>Тумба с раковиной  навес. Альба 800 мята 2 ящика с умыв. Слим</v>
      </c>
      <c r="H4548">
        <f>VLOOKUP(D4548,Товары!A:I,6,0)</f>
        <v>50</v>
      </c>
      <c r="I4548" t="str">
        <f>VLOOKUP(C4548,Магазины!A:C,3,0)</f>
        <v>Оренбург</v>
      </c>
      <c r="J4548">
        <f>VLOOKUP(D4548,Товары!A:I,4,0)</f>
        <v>26070</v>
      </c>
      <c r="K4548">
        <f t="shared" si="71"/>
        <v>26070</v>
      </c>
    </row>
    <row r="4549" spans="1:11" hidden="1" x14ac:dyDescent="0.25">
      <c r="A4549">
        <v>4548</v>
      </c>
      <c r="B4549" s="1">
        <v>45750</v>
      </c>
      <c r="C4549" t="s">
        <v>22</v>
      </c>
      <c r="D4549" t="s">
        <v>67</v>
      </c>
      <c r="E4549" t="s">
        <v>8</v>
      </c>
      <c r="F4549">
        <v>1</v>
      </c>
      <c r="G4549" t="str">
        <f>VLOOKUP(D4549,Товары!A:I,3,0)</f>
        <v>Пенал навес./напол. Альба 350 суфле 2 двери</v>
      </c>
      <c r="H4549">
        <f>VLOOKUP(D4549,Товары!A:I,6,0)</f>
        <v>150</v>
      </c>
      <c r="I4549" t="str">
        <f>VLOOKUP(C4549,Магазины!A:C,3,0)</f>
        <v>Кемерово</v>
      </c>
      <c r="J4549">
        <f>VLOOKUP(D4549,Товары!A:I,4,0)</f>
        <v>11655</v>
      </c>
      <c r="K4549">
        <f t="shared" si="71"/>
        <v>11655</v>
      </c>
    </row>
    <row r="4550" spans="1:11" hidden="1" x14ac:dyDescent="0.25">
      <c r="A4550">
        <v>4549</v>
      </c>
      <c r="B4550" s="1">
        <v>45750</v>
      </c>
      <c r="C4550" t="s">
        <v>9</v>
      </c>
      <c r="D4550" t="s">
        <v>29</v>
      </c>
      <c r="E4550" t="s">
        <v>13</v>
      </c>
      <c r="F4550">
        <v>3</v>
      </c>
      <c r="G4550" t="str">
        <f>VLOOKUP(D4550,Товары!A:I,3,0)</f>
        <v>Тумба с раковиной  напол. Леон Риф 600 солярис/белый риф 2 ящика с умыв. Океан</v>
      </c>
      <c r="H4550">
        <f>VLOOKUP(D4550,Товары!A:I,6,0)</f>
        <v>80</v>
      </c>
      <c r="I4550" t="str">
        <f>VLOOKUP(C4550,Магазины!A:C,3,0)</f>
        <v>Кемерово</v>
      </c>
      <c r="J4550">
        <f>VLOOKUP(D4550,Товары!A:I,4,0)</f>
        <v>24150</v>
      </c>
      <c r="K4550">
        <f t="shared" si="71"/>
        <v>72450</v>
      </c>
    </row>
    <row r="4551" spans="1:11" hidden="1" x14ac:dyDescent="0.25">
      <c r="A4551">
        <v>4550</v>
      </c>
      <c r="B4551" s="1">
        <v>45754</v>
      </c>
      <c r="C4551" t="s">
        <v>103</v>
      </c>
      <c r="D4551" t="s">
        <v>27</v>
      </c>
      <c r="E4551" t="s">
        <v>8</v>
      </c>
      <c r="F4551">
        <v>3</v>
      </c>
      <c r="G4551" t="str">
        <f>VLOOKUP(D4551,Товары!A:I,3,0)</f>
        <v>Тумба с раковиной  навес. Виктория 800 белый 2 ящика с умыв. Слим</v>
      </c>
      <c r="H4551">
        <f>VLOOKUP(D4551,Товары!A:I,6,0)</f>
        <v>60</v>
      </c>
      <c r="I4551" t="str">
        <f>VLOOKUP(C4551,Магазины!A:C,3,0)</f>
        <v>Ставрополь</v>
      </c>
      <c r="J4551">
        <f>VLOOKUP(D4551,Товары!A:I,4,0)</f>
        <v>25290</v>
      </c>
      <c r="K4551">
        <f t="shared" si="71"/>
        <v>75870</v>
      </c>
    </row>
    <row r="4552" spans="1:11" hidden="1" x14ac:dyDescent="0.25">
      <c r="A4552">
        <v>4551</v>
      </c>
      <c r="B4552" s="1">
        <v>45751</v>
      </c>
      <c r="C4552" t="s">
        <v>92</v>
      </c>
      <c r="D4552" t="s">
        <v>78</v>
      </c>
      <c r="E4552" t="s">
        <v>13</v>
      </c>
      <c r="F4552">
        <v>1</v>
      </c>
      <c r="G4552" t="str">
        <f>VLOOKUP(D4552,Товары!A:I,3,0)</f>
        <v>Зеркальный шкаф Кристалл 70 со светильником правый, ручка кнопка дуб цвет Шато Азур</v>
      </c>
      <c r="H4552">
        <f>VLOOKUP(D4552,Товары!A:I,6,0)</f>
        <v>75</v>
      </c>
      <c r="I4552" t="str">
        <f>VLOOKUP(C4552,Магазины!A:C,3,0)</f>
        <v>Кемерово</v>
      </c>
      <c r="J4552">
        <f>VLOOKUP(D4552,Товары!A:I,4,0)</f>
        <v>9615</v>
      </c>
      <c r="K4552">
        <f t="shared" si="71"/>
        <v>9615</v>
      </c>
    </row>
    <row r="4553" spans="1:11" hidden="1" x14ac:dyDescent="0.25">
      <c r="A4553">
        <v>4552</v>
      </c>
      <c r="B4553" s="1">
        <v>45749</v>
      </c>
      <c r="C4553" t="s">
        <v>103</v>
      </c>
      <c r="D4553" t="s">
        <v>45</v>
      </c>
      <c r="E4553" t="s">
        <v>13</v>
      </c>
      <c r="F4553">
        <v>1</v>
      </c>
      <c r="G4553" t="str">
        <f>VLOOKUP(D4553,Товары!A:I,3,0)</f>
        <v>Зеркальный шкаф Рица 80 со светильником правый цвет cерый/керамика</v>
      </c>
      <c r="H4553">
        <f>VLOOKUP(D4553,Товары!A:I,6,0)</f>
        <v>75</v>
      </c>
      <c r="I4553" t="str">
        <f>VLOOKUP(C4553,Магазины!A:C,3,0)</f>
        <v>Ставрополь</v>
      </c>
      <c r="J4553">
        <f>VLOOKUP(D4553,Товары!A:I,4,0)</f>
        <v>9930</v>
      </c>
      <c r="K4553">
        <f t="shared" si="71"/>
        <v>9930</v>
      </c>
    </row>
    <row r="4554" spans="1:11" hidden="1" x14ac:dyDescent="0.25">
      <c r="A4554">
        <v>4553</v>
      </c>
      <c r="B4554" s="1">
        <v>45752</v>
      </c>
      <c r="C4554" t="s">
        <v>30</v>
      </c>
      <c r="D4554" t="s">
        <v>15</v>
      </c>
      <c r="E4554" t="s">
        <v>8</v>
      </c>
      <c r="F4554">
        <v>3</v>
      </c>
      <c r="G4554" t="str">
        <f>VLOOKUP(D4554,Товары!A:I,3,0)</f>
        <v>Зеркальный шкаф Кристалл 60 со светильником правый, ручка кнопка дуб цвет Шато Азур</v>
      </c>
      <c r="H4554">
        <f>VLOOKUP(D4554,Товары!A:I,6,0)</f>
        <v>75</v>
      </c>
      <c r="I4554" t="str">
        <f>VLOOKUP(C4554,Магазины!A:C,3,0)</f>
        <v>Кемерово</v>
      </c>
      <c r="J4554">
        <f>VLOOKUP(D4554,Товары!A:I,4,0)</f>
        <v>9195</v>
      </c>
      <c r="K4554">
        <f t="shared" si="71"/>
        <v>27585</v>
      </c>
    </row>
    <row r="4555" spans="1:11" hidden="1" x14ac:dyDescent="0.25">
      <c r="A4555">
        <v>4554</v>
      </c>
      <c r="B4555" s="1">
        <v>45750</v>
      </c>
      <c r="C4555" t="s">
        <v>111</v>
      </c>
      <c r="D4555" t="s">
        <v>29</v>
      </c>
      <c r="E4555" t="s">
        <v>13</v>
      </c>
      <c r="F4555">
        <v>3</v>
      </c>
      <c r="G4555" t="str">
        <f>VLOOKUP(D4555,Товары!A:I,3,0)</f>
        <v>Тумба с раковиной  напол. Леон Риф 600 солярис/белый риф 2 ящика с умыв. Океан</v>
      </c>
      <c r="H4555">
        <f>VLOOKUP(D4555,Товары!A:I,6,0)</f>
        <v>80</v>
      </c>
      <c r="I4555" t="str">
        <f>VLOOKUP(C4555,Магазины!A:C,3,0)</f>
        <v>Набережные Челны</v>
      </c>
      <c r="J4555">
        <f>VLOOKUP(D4555,Товары!A:I,4,0)</f>
        <v>24150</v>
      </c>
      <c r="K4555">
        <f t="shared" si="71"/>
        <v>72450</v>
      </c>
    </row>
    <row r="4556" spans="1:11" hidden="1" x14ac:dyDescent="0.25">
      <c r="A4556">
        <v>4555</v>
      </c>
      <c r="B4556" s="1">
        <v>45750</v>
      </c>
      <c r="C4556" t="s">
        <v>20</v>
      </c>
      <c r="D4556" t="s">
        <v>107</v>
      </c>
      <c r="E4556" t="s">
        <v>8</v>
      </c>
      <c r="F4556">
        <v>1</v>
      </c>
      <c r="G4556" t="str">
        <f>VLOOKUP(D4556,Товары!A:I,3,0)</f>
        <v>Комод Аква 35 напольный 1 дверь белый правый</v>
      </c>
      <c r="H4556">
        <f>VLOOKUP(D4556,Товары!A:I,6,0)</f>
        <v>90</v>
      </c>
      <c r="I4556" t="str">
        <f>VLOOKUP(C4556,Магазины!A:C,3,0)</f>
        <v>Оренбург</v>
      </c>
      <c r="J4556">
        <f>VLOOKUP(D4556,Товары!A:I,4,0)</f>
        <v>6705</v>
      </c>
      <c r="K4556">
        <f t="shared" si="71"/>
        <v>6705</v>
      </c>
    </row>
    <row r="4557" spans="1:11" hidden="1" x14ac:dyDescent="0.25">
      <c r="A4557">
        <v>4556</v>
      </c>
      <c r="B4557" s="1">
        <v>45756</v>
      </c>
      <c r="C4557" t="s">
        <v>63</v>
      </c>
      <c r="D4557" t="s">
        <v>85</v>
      </c>
      <c r="E4557" t="s">
        <v>8</v>
      </c>
      <c r="F4557">
        <v>1</v>
      </c>
      <c r="G4557" t="str">
        <f>VLOOKUP(D4557,Товары!A:I,3,0)</f>
        <v>Пенал напол. Аква 450 белый 2 двери + 2 ящика + корзина</v>
      </c>
      <c r="H4557">
        <f>VLOOKUP(D4557,Товары!A:I,6,0)</f>
        <v>190</v>
      </c>
      <c r="I4557" t="str">
        <f>VLOOKUP(C4557,Магазины!A:C,3,0)</f>
        <v>Ставрополь</v>
      </c>
      <c r="J4557">
        <f>VLOOKUP(D4557,Товары!A:I,4,0)</f>
        <v>13335</v>
      </c>
      <c r="K4557">
        <f t="shared" si="71"/>
        <v>13335</v>
      </c>
    </row>
    <row r="4558" spans="1:11" hidden="1" x14ac:dyDescent="0.25">
      <c r="A4558">
        <v>4557</v>
      </c>
      <c r="B4558" s="1">
        <v>45756</v>
      </c>
      <c r="C4558" t="s">
        <v>43</v>
      </c>
      <c r="D4558" t="s">
        <v>34</v>
      </c>
      <c r="E4558" t="s">
        <v>13</v>
      </c>
      <c r="F4558">
        <v>3</v>
      </c>
      <c r="G4558" t="str">
        <f>VLOOKUP(D4558,Товары!A:I,3,0)</f>
        <v>Тумба с раковиной  навес. Леон 700 форест 2 ящика с умыв. Слим</v>
      </c>
      <c r="H4558">
        <f>VLOOKUP(D4558,Товары!A:I,6,0)</f>
        <v>60</v>
      </c>
      <c r="I4558" t="str">
        <f>VLOOKUP(C4558,Магазины!A:C,3,0)</f>
        <v>Набережные Челны</v>
      </c>
      <c r="J4558">
        <f>VLOOKUP(D4558,Товары!A:I,4,0)</f>
        <v>26220</v>
      </c>
      <c r="K4558">
        <f t="shared" si="71"/>
        <v>78660</v>
      </c>
    </row>
    <row r="4559" spans="1:11" hidden="1" x14ac:dyDescent="0.25">
      <c r="A4559">
        <v>4558</v>
      </c>
      <c r="B4559" s="1">
        <v>45756</v>
      </c>
      <c r="C4559" t="s">
        <v>54</v>
      </c>
      <c r="D4559" t="s">
        <v>66</v>
      </c>
      <c r="E4559" t="s">
        <v>13</v>
      </c>
      <c r="F4559">
        <v>1</v>
      </c>
      <c r="G4559" t="str">
        <f>VLOOKUP(D4559,Товары!A:I,3,0)</f>
        <v>Тумба с раковиной  навес. Альба 800 мята 2 ящика с умыв. Слим</v>
      </c>
      <c r="H4559">
        <f>VLOOKUP(D4559,Товары!A:I,6,0)</f>
        <v>50</v>
      </c>
      <c r="I4559" t="str">
        <f>VLOOKUP(C4559,Магазины!A:C,3,0)</f>
        <v>Ставрополь</v>
      </c>
      <c r="J4559">
        <f>VLOOKUP(D4559,Товары!A:I,4,0)</f>
        <v>26070</v>
      </c>
      <c r="K4559">
        <f t="shared" si="71"/>
        <v>26070</v>
      </c>
    </row>
    <row r="4560" spans="1:11" hidden="1" x14ac:dyDescent="0.25">
      <c r="A4560">
        <v>4559</v>
      </c>
      <c r="B4560" s="1">
        <v>45750</v>
      </c>
      <c r="C4560" t="s">
        <v>11</v>
      </c>
      <c r="D4560" t="s">
        <v>49</v>
      </c>
      <c r="E4560" t="s">
        <v>8</v>
      </c>
      <c r="F4560">
        <v>3</v>
      </c>
      <c r="G4560" t="str">
        <f>VLOOKUP(D4560,Товары!A:I,3,0)</f>
        <v>Тумба с раковиной  напол. Леон 700 оникс 2 ящика с умыв. Слим</v>
      </c>
      <c r="H4560">
        <f>VLOOKUP(D4560,Товары!A:I,6,0)</f>
        <v>80</v>
      </c>
      <c r="I4560" t="str">
        <f>VLOOKUP(C4560,Магазины!A:C,3,0)</f>
        <v>Кемерово</v>
      </c>
      <c r="J4560">
        <f>VLOOKUP(D4560,Товары!A:I,4,0)</f>
        <v>28380</v>
      </c>
      <c r="K4560">
        <f t="shared" si="71"/>
        <v>85140</v>
      </c>
    </row>
    <row r="4561" spans="1:11" hidden="1" x14ac:dyDescent="0.25">
      <c r="A4561">
        <v>4560</v>
      </c>
      <c r="B4561" s="1">
        <v>45752</v>
      </c>
      <c r="C4561" t="s">
        <v>14</v>
      </c>
      <c r="D4561" t="s">
        <v>39</v>
      </c>
      <c r="E4561" t="s">
        <v>8</v>
      </c>
      <c r="F4561">
        <v>3</v>
      </c>
      <c r="G4561" t="str">
        <f>VLOOKUP(D4561,Товары!A:I,3,0)</f>
        <v>Тумба с раковиной  напол. Альба 700 мята 2 ящика с умыв. Слим</v>
      </c>
      <c r="H4561">
        <f>VLOOKUP(D4561,Товары!A:I,6,0)</f>
        <v>85</v>
      </c>
      <c r="I4561" t="str">
        <f>VLOOKUP(C4561,Магазины!A:C,3,0)</f>
        <v>Оренбург</v>
      </c>
      <c r="J4561">
        <f>VLOOKUP(D4561,Товары!A:I,4,0)</f>
        <v>28695</v>
      </c>
      <c r="K4561">
        <f t="shared" si="71"/>
        <v>86085</v>
      </c>
    </row>
    <row r="4562" spans="1:11" hidden="1" x14ac:dyDescent="0.25">
      <c r="A4562">
        <v>4561</v>
      </c>
      <c r="B4562" s="1">
        <v>45749</v>
      </c>
      <c r="C4562" t="s">
        <v>16</v>
      </c>
      <c r="D4562" t="s">
        <v>80</v>
      </c>
      <c r="E4562" t="s">
        <v>8</v>
      </c>
      <c r="F4562">
        <v>2</v>
      </c>
      <c r="G4562" t="str">
        <f>VLOOKUP(D4562,Товары!A:I,3,0)</f>
        <v>Тумба с раковиной  навес. Сохо 600 белый 2 ящика с умыв. Океан</v>
      </c>
      <c r="H4562">
        <f>VLOOKUP(D4562,Товары!A:I,6,0)</f>
        <v>55</v>
      </c>
      <c r="I4562" t="str">
        <f>VLOOKUP(C4562,Магазины!A:C,3,0)</f>
        <v>Оренбург</v>
      </c>
      <c r="J4562">
        <f>VLOOKUP(D4562,Товары!A:I,4,0)</f>
        <v>13950</v>
      </c>
      <c r="K4562">
        <f t="shared" si="71"/>
        <v>27900</v>
      </c>
    </row>
    <row r="4563" spans="1:11" hidden="1" x14ac:dyDescent="0.25">
      <c r="A4563">
        <v>4562</v>
      </c>
      <c r="B4563" s="1">
        <v>45749</v>
      </c>
      <c r="C4563" t="s">
        <v>54</v>
      </c>
      <c r="D4563" t="s">
        <v>106</v>
      </c>
      <c r="E4563" t="s">
        <v>13</v>
      </c>
      <c r="F4563">
        <v>1</v>
      </c>
      <c r="G4563" t="str">
        <f>VLOOKUP(D4563,Товары!A:I,3,0)</f>
        <v>Тумба с раковиной  навес. Кристалл 700 шато азур 2 ящика с умыв. Слим</v>
      </c>
      <c r="H4563">
        <f>VLOOKUP(D4563,Товары!A:I,6,0)</f>
        <v>60</v>
      </c>
      <c r="I4563" t="str">
        <f>VLOOKUP(C4563,Магазины!A:C,3,0)</f>
        <v>Ставрополь</v>
      </c>
      <c r="J4563">
        <f>VLOOKUP(D4563,Товары!A:I,4,0)</f>
        <v>24150</v>
      </c>
      <c r="K4563">
        <f t="shared" si="71"/>
        <v>24150</v>
      </c>
    </row>
    <row r="4564" spans="1:11" hidden="1" x14ac:dyDescent="0.25">
      <c r="A4564">
        <v>4563</v>
      </c>
      <c r="B4564" s="1">
        <v>45757</v>
      </c>
      <c r="C4564" t="s">
        <v>16</v>
      </c>
      <c r="D4564" t="s">
        <v>80</v>
      </c>
      <c r="E4564" t="s">
        <v>8</v>
      </c>
      <c r="F4564">
        <v>1</v>
      </c>
      <c r="G4564" t="str">
        <f>VLOOKUP(D4564,Товары!A:I,3,0)</f>
        <v>Тумба с раковиной  навес. Сохо 600 белый 2 ящика с умыв. Океан</v>
      </c>
      <c r="H4564">
        <f>VLOOKUP(D4564,Товары!A:I,6,0)</f>
        <v>55</v>
      </c>
      <c r="I4564" t="str">
        <f>VLOOKUP(C4564,Магазины!A:C,3,0)</f>
        <v>Оренбург</v>
      </c>
      <c r="J4564">
        <f>VLOOKUP(D4564,Товары!A:I,4,0)</f>
        <v>13950</v>
      </c>
      <c r="K4564">
        <f t="shared" si="71"/>
        <v>13950</v>
      </c>
    </row>
    <row r="4565" spans="1:11" hidden="1" x14ac:dyDescent="0.25">
      <c r="A4565">
        <v>4564</v>
      </c>
      <c r="B4565" s="1">
        <v>45749</v>
      </c>
      <c r="C4565" t="s">
        <v>35</v>
      </c>
      <c r="D4565" t="s">
        <v>59</v>
      </c>
      <c r="E4565" t="s">
        <v>13</v>
      </c>
      <c r="F4565">
        <v>3</v>
      </c>
      <c r="G4565" t="str">
        <f>VLOOKUP(D4565,Товары!A:I,3,0)</f>
        <v>Тумба с раковиной  навес. Куба Риф 600 белый 2 ящика с умыв. Океан</v>
      </c>
      <c r="H4565">
        <f>VLOOKUP(D4565,Товары!A:I,6,0)</f>
        <v>55</v>
      </c>
      <c r="I4565" t="str">
        <f>VLOOKUP(C4565,Магазины!A:C,3,0)</f>
        <v>Набережные Челны</v>
      </c>
      <c r="J4565">
        <f>VLOOKUP(D4565,Товары!A:I,4,0)</f>
        <v>15765</v>
      </c>
      <c r="K4565">
        <f t="shared" si="71"/>
        <v>47295</v>
      </c>
    </row>
    <row r="4566" spans="1:11" hidden="1" x14ac:dyDescent="0.25">
      <c r="A4566">
        <v>4565</v>
      </c>
      <c r="B4566" s="1">
        <v>45750</v>
      </c>
      <c r="C4566" t="s">
        <v>18</v>
      </c>
      <c r="D4566" t="s">
        <v>36</v>
      </c>
      <c r="E4566" t="s">
        <v>8</v>
      </c>
      <c r="F4566">
        <v>2</v>
      </c>
      <c r="G4566" t="str">
        <f>VLOOKUP(D4566,Товары!A:I,3,0)</f>
        <v>Тумба с раковиной  напол. Альба 800 мята 2 ящика с умыв. Слим</v>
      </c>
      <c r="H4566">
        <f>VLOOKUP(D4566,Товары!A:I,6,0)</f>
        <v>80</v>
      </c>
      <c r="I4566" t="str">
        <f>VLOOKUP(C4566,Магазины!A:C,3,0)</f>
        <v>Набережные Челны</v>
      </c>
      <c r="J4566">
        <f>VLOOKUP(D4566,Товары!A:I,4,0)</f>
        <v>29340</v>
      </c>
      <c r="K4566">
        <f t="shared" si="71"/>
        <v>58680</v>
      </c>
    </row>
    <row r="4567" spans="1:11" hidden="1" x14ac:dyDescent="0.25">
      <c r="A4567">
        <v>4566</v>
      </c>
      <c r="B4567" s="1">
        <v>45754</v>
      </c>
      <c r="C4567" t="s">
        <v>41</v>
      </c>
      <c r="D4567" t="s">
        <v>55</v>
      </c>
      <c r="E4567" t="s">
        <v>13</v>
      </c>
      <c r="F4567">
        <v>2</v>
      </c>
      <c r="G4567" t="str">
        <f>VLOOKUP(D4567,Товары!A:I,3,0)</f>
        <v>Тумба с раковиной  напол. Рица 600 cерый/керамика 2 ящика с умыв. Океан</v>
      </c>
      <c r="H4567">
        <f>VLOOKUP(D4567,Товары!A:I,6,0)</f>
        <v>80</v>
      </c>
      <c r="I4567" t="str">
        <f>VLOOKUP(C4567,Магазины!A:C,3,0)</f>
        <v>Ставрополь</v>
      </c>
      <c r="J4567">
        <f>VLOOKUP(D4567,Товары!A:I,4,0)</f>
        <v>25560</v>
      </c>
      <c r="K4567">
        <f t="shared" si="71"/>
        <v>51120</v>
      </c>
    </row>
    <row r="4568" spans="1:11" hidden="1" x14ac:dyDescent="0.25">
      <c r="A4568">
        <v>4567</v>
      </c>
      <c r="B4568" s="1">
        <v>45749</v>
      </c>
      <c r="C4568" t="s">
        <v>58</v>
      </c>
      <c r="D4568" t="s">
        <v>68</v>
      </c>
      <c r="E4568" t="s">
        <v>8</v>
      </c>
      <c r="F4568">
        <v>1</v>
      </c>
      <c r="G4568" t="str">
        <f>VLOOKUP(D4568,Товары!A:I,3,0)</f>
        <v>Тумба с раковиной  навес. Альба 600 антрацит 1 ящик с умыв. Океан</v>
      </c>
      <c r="H4568">
        <f>VLOOKUP(D4568,Товары!A:I,6,0)</f>
        <v>85</v>
      </c>
      <c r="I4568" t="str">
        <f>VLOOKUP(C4568,Магазины!A:C,3,0)</f>
        <v>Ставрополь</v>
      </c>
      <c r="J4568">
        <f>VLOOKUP(D4568,Товары!A:I,4,0)</f>
        <v>17625</v>
      </c>
      <c r="K4568">
        <f t="shared" si="71"/>
        <v>17625</v>
      </c>
    </row>
    <row r="4569" spans="1:11" hidden="1" x14ac:dyDescent="0.25">
      <c r="A4569">
        <v>4568</v>
      </c>
      <c r="B4569" s="1">
        <v>45754</v>
      </c>
      <c r="C4569" t="s">
        <v>11</v>
      </c>
      <c r="D4569" t="s">
        <v>34</v>
      </c>
      <c r="E4569" t="s">
        <v>13</v>
      </c>
      <c r="F4569">
        <v>3</v>
      </c>
      <c r="G4569" t="str">
        <f>VLOOKUP(D4569,Товары!A:I,3,0)</f>
        <v>Тумба с раковиной  навес. Леон 700 форест 2 ящика с умыв. Слим</v>
      </c>
      <c r="H4569">
        <f>VLOOKUP(D4569,Товары!A:I,6,0)</f>
        <v>60</v>
      </c>
      <c r="I4569" t="str">
        <f>VLOOKUP(C4569,Магазины!A:C,3,0)</f>
        <v>Кемерово</v>
      </c>
      <c r="J4569">
        <f>VLOOKUP(D4569,Товары!A:I,4,0)</f>
        <v>26220</v>
      </c>
      <c r="K4569">
        <f t="shared" si="71"/>
        <v>78660</v>
      </c>
    </row>
    <row r="4570" spans="1:11" hidden="1" x14ac:dyDescent="0.25">
      <c r="A4570">
        <v>4569</v>
      </c>
      <c r="B4570" s="1">
        <v>45754</v>
      </c>
      <c r="C4570" t="s">
        <v>35</v>
      </c>
      <c r="D4570" t="s">
        <v>85</v>
      </c>
      <c r="E4570" t="s">
        <v>13</v>
      </c>
      <c r="F4570">
        <v>3</v>
      </c>
      <c r="G4570" t="str">
        <f>VLOOKUP(D4570,Товары!A:I,3,0)</f>
        <v>Пенал напол. Аква 450 белый 2 двери + 2 ящика + корзина</v>
      </c>
      <c r="H4570">
        <f>VLOOKUP(D4570,Товары!A:I,6,0)</f>
        <v>190</v>
      </c>
      <c r="I4570" t="str">
        <f>VLOOKUP(C4570,Магазины!A:C,3,0)</f>
        <v>Набережные Челны</v>
      </c>
      <c r="J4570">
        <f>VLOOKUP(D4570,Товары!A:I,4,0)</f>
        <v>13335</v>
      </c>
      <c r="K4570">
        <f t="shared" si="71"/>
        <v>40005</v>
      </c>
    </row>
    <row r="4571" spans="1:11" hidden="1" x14ac:dyDescent="0.25">
      <c r="A4571">
        <v>4570</v>
      </c>
      <c r="B4571" s="1">
        <v>45756</v>
      </c>
      <c r="C4571" t="s">
        <v>16</v>
      </c>
      <c r="D4571" t="s">
        <v>86</v>
      </c>
      <c r="E4571" t="s">
        <v>8</v>
      </c>
      <c r="F4571">
        <v>1</v>
      </c>
      <c r="G4571" t="str">
        <f>VLOOKUP(D4571,Товары!A:I,3,0)</f>
        <v>Комод Аква 50 напольный 1 ящик 2 двери белый</v>
      </c>
      <c r="H4571">
        <f>VLOOKUP(D4571,Товары!A:I,6,0)</f>
        <v>90</v>
      </c>
      <c r="I4571" t="str">
        <f>VLOOKUP(C4571,Магазины!A:C,3,0)</f>
        <v>Оренбург</v>
      </c>
      <c r="J4571">
        <f>VLOOKUP(D4571,Товары!A:I,4,0)</f>
        <v>7260</v>
      </c>
      <c r="K4571">
        <f t="shared" si="71"/>
        <v>7260</v>
      </c>
    </row>
    <row r="4572" spans="1:11" hidden="1" x14ac:dyDescent="0.25">
      <c r="A4572">
        <v>4571</v>
      </c>
      <c r="B4572" s="1">
        <v>45751</v>
      </c>
      <c r="C4572" t="s">
        <v>33</v>
      </c>
      <c r="D4572" t="s">
        <v>130</v>
      </c>
      <c r="E4572" t="s">
        <v>13</v>
      </c>
      <c r="F4572">
        <v>2</v>
      </c>
      <c r="G4572" t="str">
        <f>VLOOKUP(D4572,Товары!A:I,3,0)</f>
        <v>Пенал напол. Леон 400 форест 2 двери + 1 ящик</v>
      </c>
      <c r="H4572">
        <f>VLOOKUP(D4572,Товары!A:I,6,0)</f>
        <v>190</v>
      </c>
      <c r="I4572" t="str">
        <f>VLOOKUP(C4572,Магазины!A:C,3,0)</f>
        <v>Набережные Челны</v>
      </c>
      <c r="J4572">
        <f>VLOOKUP(D4572,Товары!A:I,4,0)</f>
        <v>18450</v>
      </c>
      <c r="K4572">
        <f t="shared" si="71"/>
        <v>36900</v>
      </c>
    </row>
    <row r="4573" spans="1:11" hidden="1" x14ac:dyDescent="0.25">
      <c r="A4573">
        <v>4572</v>
      </c>
      <c r="B4573" s="1">
        <v>45755</v>
      </c>
      <c r="C4573" t="s">
        <v>63</v>
      </c>
      <c r="D4573" t="s">
        <v>50</v>
      </c>
      <c r="E4573" t="s">
        <v>13</v>
      </c>
      <c r="F4573">
        <v>1</v>
      </c>
      <c r="G4573" t="str">
        <f>VLOOKUP(D4573,Товары!A:I,3,0)</f>
        <v>Тумба с раковиной  напол. Леон 800 оникс 2 ящика с умыв. Слим</v>
      </c>
      <c r="H4573">
        <f>VLOOKUP(D4573,Товары!A:I,6,0)</f>
        <v>80</v>
      </c>
      <c r="I4573" t="str">
        <f>VLOOKUP(C4573,Магазины!A:C,3,0)</f>
        <v>Ставрополь</v>
      </c>
      <c r="J4573">
        <f>VLOOKUP(D4573,Товары!A:I,4,0)</f>
        <v>29400</v>
      </c>
      <c r="K4573">
        <f t="shared" si="71"/>
        <v>29400</v>
      </c>
    </row>
    <row r="4574" spans="1:11" hidden="1" x14ac:dyDescent="0.25">
      <c r="A4574">
        <v>4573</v>
      </c>
      <c r="B4574" s="1">
        <v>45757</v>
      </c>
      <c r="C4574" t="s">
        <v>9</v>
      </c>
      <c r="D4574" t="s">
        <v>116</v>
      </c>
      <c r="E4574" t="s">
        <v>13</v>
      </c>
      <c r="F4574">
        <v>3</v>
      </c>
      <c r="G4574" t="str">
        <f>VLOOKUP(D4574,Товары!A:I,3,0)</f>
        <v>Зеркало Нева 60 дуб/белый со светильником</v>
      </c>
      <c r="H4574">
        <f>VLOOKUP(D4574,Товары!A:I,6,0)</f>
        <v>80</v>
      </c>
      <c r="I4574" t="str">
        <f>VLOOKUP(C4574,Магазины!A:C,3,0)</f>
        <v>Кемерово</v>
      </c>
      <c r="J4574">
        <f>VLOOKUP(D4574,Товары!A:I,4,0)</f>
        <v>5100</v>
      </c>
      <c r="K4574">
        <f t="shared" si="71"/>
        <v>15300</v>
      </c>
    </row>
    <row r="4575" spans="1:11" hidden="1" x14ac:dyDescent="0.25">
      <c r="A4575">
        <v>4574</v>
      </c>
      <c r="B4575" s="1">
        <v>45748</v>
      </c>
      <c r="C4575" t="s">
        <v>28</v>
      </c>
      <c r="D4575" t="s">
        <v>107</v>
      </c>
      <c r="E4575" t="s">
        <v>13</v>
      </c>
      <c r="F4575">
        <v>1</v>
      </c>
      <c r="G4575" t="str">
        <f>VLOOKUP(D4575,Товары!A:I,3,0)</f>
        <v>Комод Аква 35 напольный 1 дверь белый правый</v>
      </c>
      <c r="H4575">
        <f>VLOOKUP(D4575,Товары!A:I,6,0)</f>
        <v>90</v>
      </c>
      <c r="I4575" t="str">
        <f>VLOOKUP(C4575,Магазины!A:C,3,0)</f>
        <v>Набережные Челны</v>
      </c>
      <c r="J4575">
        <f>VLOOKUP(D4575,Товары!A:I,4,0)</f>
        <v>6705</v>
      </c>
      <c r="K4575">
        <f t="shared" si="71"/>
        <v>6705</v>
      </c>
    </row>
    <row r="4576" spans="1:11" hidden="1" x14ac:dyDescent="0.25">
      <c r="A4576">
        <v>4575</v>
      </c>
      <c r="B4576" s="1">
        <v>45748</v>
      </c>
      <c r="C4576" t="s">
        <v>11</v>
      </c>
      <c r="D4576" t="s">
        <v>7</v>
      </c>
      <c r="E4576" t="s">
        <v>13</v>
      </c>
      <c r="F4576">
        <v>1</v>
      </c>
      <c r="G4576" t="str">
        <f>VLOOKUP(D4576,Товары!A:I,3,0)</f>
        <v>Пенал напол. Леон Риф 400 солярис/белый риф 2 двери + 1 ящик</v>
      </c>
      <c r="H4576">
        <f>VLOOKUP(D4576,Товары!A:I,6,0)</f>
        <v>190</v>
      </c>
      <c r="I4576" t="str">
        <f>VLOOKUP(C4576,Магазины!A:C,3,0)</f>
        <v>Кемерово</v>
      </c>
      <c r="J4576">
        <f>VLOOKUP(D4576,Товары!A:I,4,0)</f>
        <v>14490</v>
      </c>
      <c r="K4576">
        <f t="shared" si="71"/>
        <v>14490</v>
      </c>
    </row>
    <row r="4577" spans="1:11" hidden="1" x14ac:dyDescent="0.25">
      <c r="A4577">
        <v>4576</v>
      </c>
      <c r="B4577" s="1">
        <v>45750</v>
      </c>
      <c r="C4577" t="s">
        <v>11</v>
      </c>
      <c r="D4577" t="s">
        <v>86</v>
      </c>
      <c r="E4577" t="s">
        <v>13</v>
      </c>
      <c r="F4577">
        <v>2</v>
      </c>
      <c r="G4577" t="str">
        <f>VLOOKUP(D4577,Товары!A:I,3,0)</f>
        <v>Комод Аква 50 напольный 1 ящик 2 двери белый</v>
      </c>
      <c r="H4577">
        <f>VLOOKUP(D4577,Товары!A:I,6,0)</f>
        <v>90</v>
      </c>
      <c r="I4577" t="str">
        <f>VLOOKUP(C4577,Магазины!A:C,3,0)</f>
        <v>Кемерово</v>
      </c>
      <c r="J4577">
        <f>VLOOKUP(D4577,Товары!A:I,4,0)</f>
        <v>7260</v>
      </c>
      <c r="K4577">
        <f t="shared" si="71"/>
        <v>14520</v>
      </c>
    </row>
    <row r="4578" spans="1:11" hidden="1" x14ac:dyDescent="0.25">
      <c r="A4578">
        <v>4577</v>
      </c>
      <c r="B4578" s="1">
        <v>45757</v>
      </c>
      <c r="C4578" t="s">
        <v>63</v>
      </c>
      <c r="D4578" t="s">
        <v>37</v>
      </c>
      <c r="E4578" t="s">
        <v>8</v>
      </c>
      <c r="F4578">
        <v>3</v>
      </c>
      <c r="G4578" t="str">
        <f>VLOOKUP(D4578,Товары!A:I,3,0)</f>
        <v>Зеркальный шкаф Сохо 70 белый со светильником правый цвет Белый глянец</v>
      </c>
      <c r="H4578">
        <f>VLOOKUP(D4578,Товары!A:I,6,0)</f>
        <v>75</v>
      </c>
      <c r="I4578" t="str">
        <f>VLOOKUP(C4578,Магазины!A:C,3,0)</f>
        <v>Ставрополь</v>
      </c>
      <c r="J4578">
        <f>VLOOKUP(D4578,Товары!A:I,4,0)</f>
        <v>7935</v>
      </c>
      <c r="K4578">
        <f t="shared" si="71"/>
        <v>23805</v>
      </c>
    </row>
    <row r="4579" spans="1:11" hidden="1" x14ac:dyDescent="0.25">
      <c r="A4579">
        <v>4578</v>
      </c>
      <c r="B4579" s="1">
        <v>45755</v>
      </c>
      <c r="C4579" t="s">
        <v>92</v>
      </c>
      <c r="D4579" t="s">
        <v>72</v>
      </c>
      <c r="E4579" t="s">
        <v>13</v>
      </c>
      <c r="F4579">
        <v>3</v>
      </c>
      <c r="G4579" t="str">
        <f>VLOOKUP(D4579,Товары!A:I,3,0)</f>
        <v>Тумба с раковиной  напол. Сохо 600 белый 2 ящика с умыв. Океан</v>
      </c>
      <c r="H4579">
        <f>VLOOKUP(D4579,Товары!A:I,6,0)</f>
        <v>85</v>
      </c>
      <c r="I4579" t="str">
        <f>VLOOKUP(C4579,Магазины!A:C,3,0)</f>
        <v>Кемерово</v>
      </c>
      <c r="J4579">
        <f>VLOOKUP(D4579,Товары!A:I,4,0)</f>
        <v>16140</v>
      </c>
      <c r="K4579">
        <f t="shared" si="71"/>
        <v>48420</v>
      </c>
    </row>
    <row r="4580" spans="1:11" hidden="1" x14ac:dyDescent="0.25">
      <c r="A4580">
        <v>4579</v>
      </c>
      <c r="B4580" s="1">
        <v>45753</v>
      </c>
      <c r="C4580" t="s">
        <v>41</v>
      </c>
      <c r="D4580" t="s">
        <v>86</v>
      </c>
      <c r="E4580" t="s">
        <v>13</v>
      </c>
      <c r="F4580">
        <v>3</v>
      </c>
      <c r="G4580" t="str">
        <f>VLOOKUP(D4580,Товары!A:I,3,0)</f>
        <v>Комод Аква 50 напольный 1 ящик 2 двери белый</v>
      </c>
      <c r="H4580">
        <f>VLOOKUP(D4580,Товары!A:I,6,0)</f>
        <v>90</v>
      </c>
      <c r="I4580" t="str">
        <f>VLOOKUP(C4580,Магазины!A:C,3,0)</f>
        <v>Ставрополь</v>
      </c>
      <c r="J4580">
        <f>VLOOKUP(D4580,Товары!A:I,4,0)</f>
        <v>7260</v>
      </c>
      <c r="K4580">
        <f t="shared" si="71"/>
        <v>21780</v>
      </c>
    </row>
    <row r="4581" spans="1:11" hidden="1" x14ac:dyDescent="0.25">
      <c r="A4581">
        <v>4580</v>
      </c>
      <c r="B4581" s="1">
        <v>45755</v>
      </c>
      <c r="C4581" t="s">
        <v>63</v>
      </c>
      <c r="D4581" t="s">
        <v>55</v>
      </c>
      <c r="E4581" t="s">
        <v>13</v>
      </c>
      <c r="F4581">
        <v>1</v>
      </c>
      <c r="G4581" t="str">
        <f>VLOOKUP(D4581,Товары!A:I,3,0)</f>
        <v>Тумба с раковиной  напол. Рица 600 cерый/керамика 2 ящика с умыв. Океан</v>
      </c>
      <c r="H4581">
        <f>VLOOKUP(D4581,Товары!A:I,6,0)</f>
        <v>80</v>
      </c>
      <c r="I4581" t="str">
        <f>VLOOKUP(C4581,Магазины!A:C,3,0)</f>
        <v>Ставрополь</v>
      </c>
      <c r="J4581">
        <f>VLOOKUP(D4581,Товары!A:I,4,0)</f>
        <v>25560</v>
      </c>
      <c r="K4581">
        <f t="shared" si="71"/>
        <v>25560</v>
      </c>
    </row>
    <row r="4582" spans="1:11" hidden="1" x14ac:dyDescent="0.25">
      <c r="A4582">
        <v>4581</v>
      </c>
      <c r="B4582" s="1">
        <v>45752</v>
      </c>
      <c r="C4582" t="s">
        <v>26</v>
      </c>
      <c r="D4582" t="s">
        <v>97</v>
      </c>
      <c r="E4582" t="s">
        <v>13</v>
      </c>
      <c r="F4582">
        <v>3</v>
      </c>
      <c r="G4582" t="str">
        <f>VLOOKUP(D4582,Товары!A:I,3,0)</f>
        <v>Пенал напол. Кристалл 350 суфле 2 двери</v>
      </c>
      <c r="H4582">
        <f>VLOOKUP(D4582,Товары!A:I,6,0)</f>
        <v>190</v>
      </c>
      <c r="I4582" t="str">
        <f>VLOOKUP(C4582,Магазины!A:C,3,0)</f>
        <v>Оренбург</v>
      </c>
      <c r="J4582">
        <f>VLOOKUP(D4582,Товары!A:I,4,0)</f>
        <v>15810</v>
      </c>
      <c r="K4582">
        <f t="shared" si="71"/>
        <v>47430</v>
      </c>
    </row>
    <row r="4583" spans="1:11" hidden="1" x14ac:dyDescent="0.25">
      <c r="A4583">
        <v>4582</v>
      </c>
      <c r="B4583" s="1">
        <v>45748</v>
      </c>
      <c r="C4583" t="s">
        <v>103</v>
      </c>
      <c r="D4583" t="s">
        <v>117</v>
      </c>
      <c r="E4583" t="s">
        <v>8</v>
      </c>
      <c r="F4583">
        <v>1</v>
      </c>
      <c r="G4583" t="str">
        <f>VLOOKUP(D4583,Товары!A:I,3,0)</f>
        <v>Тумба с раковиной  навес. Альба 700 антрацит 2 ящика с умыв. Слим</v>
      </c>
      <c r="H4583">
        <f>VLOOKUP(D4583,Товары!A:I,6,0)</f>
        <v>60</v>
      </c>
      <c r="I4583" t="str">
        <f>VLOOKUP(C4583,Магазины!A:C,3,0)</f>
        <v>Ставрополь</v>
      </c>
      <c r="J4583">
        <f>VLOOKUP(D4583,Товары!A:I,4,0)</f>
        <v>25095</v>
      </c>
      <c r="K4583">
        <f t="shared" si="71"/>
        <v>25095</v>
      </c>
    </row>
    <row r="4584" spans="1:11" hidden="1" x14ac:dyDescent="0.25">
      <c r="A4584">
        <v>4583</v>
      </c>
      <c r="B4584" s="1">
        <v>45750</v>
      </c>
      <c r="C4584" t="s">
        <v>111</v>
      </c>
      <c r="D4584" t="s">
        <v>70</v>
      </c>
      <c r="E4584" t="s">
        <v>13</v>
      </c>
      <c r="F4584">
        <v>1</v>
      </c>
      <c r="G4584" t="str">
        <f>VLOOKUP(D4584,Товары!A:I,3,0)</f>
        <v>Тумба с раковиной  напол. Кристалл 700 шато азур 2 ящика с умыв. Слим</v>
      </c>
      <c r="H4584">
        <f>VLOOKUP(D4584,Товары!A:I,6,0)</f>
        <v>85</v>
      </c>
      <c r="I4584" t="str">
        <f>VLOOKUP(C4584,Магазины!A:C,3,0)</f>
        <v>Набережные Челны</v>
      </c>
      <c r="J4584">
        <f>VLOOKUP(D4584,Товары!A:I,4,0)</f>
        <v>29910</v>
      </c>
      <c r="K4584">
        <f t="shared" si="71"/>
        <v>29910</v>
      </c>
    </row>
    <row r="4585" spans="1:11" hidden="1" x14ac:dyDescent="0.25">
      <c r="A4585">
        <v>4584</v>
      </c>
      <c r="B4585" s="1">
        <v>45757</v>
      </c>
      <c r="C4585" t="s">
        <v>22</v>
      </c>
      <c r="D4585" t="s">
        <v>71</v>
      </c>
      <c r="E4585" t="s">
        <v>8</v>
      </c>
      <c r="F4585">
        <v>2</v>
      </c>
      <c r="G4585" t="str">
        <f>VLOOKUP(D4585,Товары!A:I,3,0)</f>
        <v>Тумба с раковиной  навес. Альба 600 мята 2 ящика с умыв. Океан</v>
      </c>
      <c r="H4585">
        <f>VLOOKUP(D4585,Товары!A:I,6,0)</f>
        <v>50</v>
      </c>
      <c r="I4585" t="str">
        <f>VLOOKUP(C4585,Магазины!A:C,3,0)</f>
        <v>Кемерово</v>
      </c>
      <c r="J4585">
        <f>VLOOKUP(D4585,Товары!A:I,4,0)</f>
        <v>24810</v>
      </c>
      <c r="K4585">
        <f t="shared" si="71"/>
        <v>49620</v>
      </c>
    </row>
    <row r="4586" spans="1:11" hidden="1" x14ac:dyDescent="0.25">
      <c r="A4586">
        <v>4585</v>
      </c>
      <c r="B4586" s="1">
        <v>45749</v>
      </c>
      <c r="C4586" t="s">
        <v>28</v>
      </c>
      <c r="D4586" t="s">
        <v>121</v>
      </c>
      <c r="E4586" t="s">
        <v>13</v>
      </c>
      <c r="F4586">
        <v>1</v>
      </c>
      <c r="G4586" t="str">
        <f>VLOOKUP(D4586,Товары!A:I,3,0)</f>
        <v>Тумба с раковиной  напол. Куба Риф 600 белый 2 двери с умыв. Como</v>
      </c>
      <c r="H4586">
        <f>VLOOKUP(D4586,Товары!A:I,6,0)</f>
        <v>85</v>
      </c>
      <c r="I4586" t="str">
        <f>VLOOKUP(C4586,Магазины!A:C,3,0)</f>
        <v>Набережные Челны</v>
      </c>
      <c r="J4586">
        <f>VLOOKUP(D4586,Товары!A:I,4,0)</f>
        <v>13695</v>
      </c>
      <c r="K4586">
        <f t="shared" si="71"/>
        <v>13695</v>
      </c>
    </row>
    <row r="4587" spans="1:11" hidden="1" x14ac:dyDescent="0.25">
      <c r="A4587">
        <v>4586</v>
      </c>
      <c r="B4587" s="1">
        <v>45750</v>
      </c>
      <c r="C4587" t="s">
        <v>26</v>
      </c>
      <c r="D4587" t="s">
        <v>55</v>
      </c>
      <c r="E4587" t="s">
        <v>8</v>
      </c>
      <c r="F4587">
        <v>2</v>
      </c>
      <c r="G4587" t="str">
        <f>VLOOKUP(D4587,Товары!A:I,3,0)</f>
        <v>Тумба с раковиной  напол. Рица 600 cерый/керамика 2 ящика с умыв. Океан</v>
      </c>
      <c r="H4587">
        <f>VLOOKUP(D4587,Товары!A:I,6,0)</f>
        <v>80</v>
      </c>
      <c r="I4587" t="str">
        <f>VLOOKUP(C4587,Магазины!A:C,3,0)</f>
        <v>Оренбург</v>
      </c>
      <c r="J4587">
        <f>VLOOKUP(D4587,Товары!A:I,4,0)</f>
        <v>25560</v>
      </c>
      <c r="K4587">
        <f t="shared" si="71"/>
        <v>51120</v>
      </c>
    </row>
    <row r="4588" spans="1:11" hidden="1" x14ac:dyDescent="0.25">
      <c r="A4588">
        <v>4587</v>
      </c>
      <c r="B4588" s="1">
        <v>45752</v>
      </c>
      <c r="C4588" t="s">
        <v>41</v>
      </c>
      <c r="D4588" t="s">
        <v>122</v>
      </c>
      <c r="E4588" t="s">
        <v>13</v>
      </c>
      <c r="F4588">
        <v>3</v>
      </c>
      <c r="G4588" t="str">
        <f>VLOOKUP(D4588,Товары!A:I,3,0)</f>
        <v>Тумба с раковиной  навес. Кристалл 600 шато азур 2 ящика с умыв. Океан</v>
      </c>
      <c r="H4588">
        <f>VLOOKUP(D4588,Товары!A:I,6,0)</f>
        <v>55</v>
      </c>
      <c r="I4588" t="str">
        <f>VLOOKUP(C4588,Магазины!A:C,3,0)</f>
        <v>Ставрополь</v>
      </c>
      <c r="J4588">
        <f>VLOOKUP(D4588,Товары!A:I,4,0)</f>
        <v>21960</v>
      </c>
      <c r="K4588">
        <f t="shared" si="71"/>
        <v>65880</v>
      </c>
    </row>
    <row r="4589" spans="1:11" hidden="1" x14ac:dyDescent="0.25">
      <c r="A4589">
        <v>4588</v>
      </c>
      <c r="B4589" s="1">
        <v>45754</v>
      </c>
      <c r="C4589" t="s">
        <v>18</v>
      </c>
      <c r="D4589" t="s">
        <v>31</v>
      </c>
      <c r="E4589" t="s">
        <v>13</v>
      </c>
      <c r="F4589">
        <v>3</v>
      </c>
      <c r="G4589" t="str">
        <f>VLOOKUP(D4589,Товары!A:I,3,0)</f>
        <v>Пенал напол. Виктория 350 белый 2 двери</v>
      </c>
      <c r="H4589">
        <f>VLOOKUP(D4589,Товары!A:I,6,0)</f>
        <v>190</v>
      </c>
      <c r="I4589" t="str">
        <f>VLOOKUP(C4589,Магазины!A:C,3,0)</f>
        <v>Набережные Челны</v>
      </c>
      <c r="J4589">
        <f>VLOOKUP(D4589,Товары!A:I,4,0)</f>
        <v>14085</v>
      </c>
      <c r="K4589">
        <f t="shared" si="71"/>
        <v>42255</v>
      </c>
    </row>
    <row r="4590" spans="1:11" hidden="1" x14ac:dyDescent="0.25">
      <c r="A4590">
        <v>4589</v>
      </c>
      <c r="B4590" s="1">
        <v>45749</v>
      </c>
      <c r="C4590" t="s">
        <v>28</v>
      </c>
      <c r="D4590" t="s">
        <v>74</v>
      </c>
      <c r="E4590" t="s">
        <v>13</v>
      </c>
      <c r="F4590">
        <v>1</v>
      </c>
      <c r="G4590" t="str">
        <f>VLOOKUP(D4590,Товары!A:I,3,0)</f>
        <v>Тумба с раковиной  напол. Альба 800 суфле 2 ящика с умыв. Слим</v>
      </c>
      <c r="H4590">
        <f>VLOOKUP(D4590,Товары!A:I,6,0)</f>
        <v>80</v>
      </c>
      <c r="I4590" t="str">
        <f>VLOOKUP(C4590,Магазины!A:C,3,0)</f>
        <v>Набережные Челны</v>
      </c>
      <c r="J4590">
        <f>VLOOKUP(D4590,Товары!A:I,4,0)</f>
        <v>29340</v>
      </c>
      <c r="K4590">
        <f t="shared" si="71"/>
        <v>29340</v>
      </c>
    </row>
    <row r="4591" spans="1:11" hidden="1" x14ac:dyDescent="0.25">
      <c r="A4591">
        <v>4590</v>
      </c>
      <c r="B4591" s="1">
        <v>45757</v>
      </c>
      <c r="C4591" t="s">
        <v>111</v>
      </c>
      <c r="D4591" t="s">
        <v>15</v>
      </c>
      <c r="E4591" t="s">
        <v>13</v>
      </c>
      <c r="F4591">
        <v>2</v>
      </c>
      <c r="G4591" t="str">
        <f>VLOOKUP(D4591,Товары!A:I,3,0)</f>
        <v>Зеркальный шкаф Кристалл 60 со светильником правый, ручка кнопка дуб цвет Шато Азур</v>
      </c>
      <c r="H4591">
        <f>VLOOKUP(D4591,Товары!A:I,6,0)</f>
        <v>75</v>
      </c>
      <c r="I4591" t="str">
        <f>VLOOKUP(C4591,Магазины!A:C,3,0)</f>
        <v>Набережные Челны</v>
      </c>
      <c r="J4591">
        <f>VLOOKUP(D4591,Товары!A:I,4,0)</f>
        <v>9195</v>
      </c>
      <c r="K4591">
        <f t="shared" si="71"/>
        <v>18390</v>
      </c>
    </row>
    <row r="4592" spans="1:11" hidden="1" x14ac:dyDescent="0.25">
      <c r="A4592">
        <v>4591</v>
      </c>
      <c r="B4592" s="1">
        <v>45757</v>
      </c>
      <c r="C4592" t="s">
        <v>26</v>
      </c>
      <c r="D4592" t="s">
        <v>10</v>
      </c>
      <c r="E4592" t="s">
        <v>8</v>
      </c>
      <c r="F4592">
        <v>1</v>
      </c>
      <c r="G4592" t="str">
        <f>VLOOKUP(D4592,Товары!A:I,3,0)</f>
        <v>Тумба с раковиной  навес. Альба 700 антрацит 1 ящик с умыв. Слим</v>
      </c>
      <c r="H4592">
        <f>VLOOKUP(D4592,Товары!A:I,6,0)</f>
        <v>45</v>
      </c>
      <c r="I4592" t="str">
        <f>VLOOKUP(C4592,Магазины!A:C,3,0)</f>
        <v>Оренбург</v>
      </c>
      <c r="J4592">
        <f>VLOOKUP(D4592,Товары!A:I,4,0)</f>
        <v>20130</v>
      </c>
      <c r="K4592">
        <f t="shared" si="71"/>
        <v>20130</v>
      </c>
    </row>
    <row r="4593" spans="1:11" hidden="1" x14ac:dyDescent="0.25">
      <c r="A4593">
        <v>4592</v>
      </c>
      <c r="B4593" s="1">
        <v>45754</v>
      </c>
      <c r="C4593" t="s">
        <v>11</v>
      </c>
      <c r="D4593" t="s">
        <v>56</v>
      </c>
      <c r="E4593" t="s">
        <v>13</v>
      </c>
      <c r="F4593">
        <v>1</v>
      </c>
      <c r="G4593" t="str">
        <f>VLOOKUP(D4593,Товары!A:I,3,0)</f>
        <v>Зеркальный шкаф Альба 80 со светильником правый цвет мята</v>
      </c>
      <c r="H4593">
        <f>VLOOKUP(D4593,Товары!A:I,6,0)</f>
        <v>75</v>
      </c>
      <c r="I4593" t="str">
        <f>VLOOKUP(C4593,Магазины!A:C,3,0)</f>
        <v>Кемерово</v>
      </c>
      <c r="J4593">
        <f>VLOOKUP(D4593,Товары!A:I,4,0)</f>
        <v>9930</v>
      </c>
      <c r="K4593">
        <f t="shared" si="71"/>
        <v>9930</v>
      </c>
    </row>
    <row r="4594" spans="1:11" hidden="1" x14ac:dyDescent="0.25">
      <c r="A4594">
        <v>4593</v>
      </c>
      <c r="B4594" s="1">
        <v>45748</v>
      </c>
      <c r="C4594" t="s">
        <v>28</v>
      </c>
      <c r="D4594" t="s">
        <v>67</v>
      </c>
      <c r="E4594" t="s">
        <v>8</v>
      </c>
      <c r="F4594">
        <v>2</v>
      </c>
      <c r="G4594" t="str">
        <f>VLOOKUP(D4594,Товары!A:I,3,0)</f>
        <v>Пенал навес./напол. Альба 350 суфле 2 двери</v>
      </c>
      <c r="H4594">
        <f>VLOOKUP(D4594,Товары!A:I,6,0)</f>
        <v>150</v>
      </c>
      <c r="I4594" t="str">
        <f>VLOOKUP(C4594,Магазины!A:C,3,0)</f>
        <v>Набережные Челны</v>
      </c>
      <c r="J4594">
        <f>VLOOKUP(D4594,Товары!A:I,4,0)</f>
        <v>11655</v>
      </c>
      <c r="K4594">
        <f t="shared" si="71"/>
        <v>23310</v>
      </c>
    </row>
    <row r="4595" spans="1:11" hidden="1" x14ac:dyDescent="0.25">
      <c r="A4595">
        <v>4594</v>
      </c>
      <c r="B4595" s="1">
        <v>45748</v>
      </c>
      <c r="C4595" t="s">
        <v>43</v>
      </c>
      <c r="D4595" t="s">
        <v>89</v>
      </c>
      <c r="E4595" t="s">
        <v>8</v>
      </c>
      <c r="F4595">
        <v>3</v>
      </c>
      <c r="G4595" t="str">
        <f>VLOOKUP(D4595,Товары!A:I,3,0)</f>
        <v>Тумба с раковиной  напол. Сохо 600 белый 2 двери с умыв. Океан</v>
      </c>
      <c r="H4595">
        <f>VLOOKUP(D4595,Товары!A:I,6,0)</f>
        <v>85</v>
      </c>
      <c r="I4595" t="str">
        <f>VLOOKUP(C4595,Магазины!A:C,3,0)</f>
        <v>Набережные Челны</v>
      </c>
      <c r="J4595">
        <f>VLOOKUP(D4595,Товары!A:I,4,0)</f>
        <v>14880</v>
      </c>
      <c r="K4595">
        <f t="shared" si="71"/>
        <v>44640</v>
      </c>
    </row>
    <row r="4596" spans="1:11" hidden="1" x14ac:dyDescent="0.25">
      <c r="A4596">
        <v>4595</v>
      </c>
      <c r="B4596" s="1">
        <v>45754</v>
      </c>
      <c r="C4596" t="s">
        <v>103</v>
      </c>
      <c r="D4596" t="s">
        <v>52</v>
      </c>
      <c r="E4596" t="s">
        <v>8</v>
      </c>
      <c r="F4596">
        <v>2</v>
      </c>
      <c r="G4596" t="str">
        <f>VLOOKUP(D4596,Товары!A:I,3,0)</f>
        <v>Тумба с раковиной  напол. Кристалл 600 суфле 2 ящика с умыв. Океан</v>
      </c>
      <c r="H4596">
        <f>VLOOKUP(D4596,Товары!A:I,6,0)</f>
        <v>80</v>
      </c>
      <c r="I4596" t="str">
        <f>VLOOKUP(C4596,Магазины!A:C,3,0)</f>
        <v>Ставрополь</v>
      </c>
      <c r="J4596">
        <f>VLOOKUP(D4596,Товары!A:I,4,0)</f>
        <v>27600</v>
      </c>
      <c r="K4596">
        <f t="shared" si="71"/>
        <v>55200</v>
      </c>
    </row>
    <row r="4597" spans="1:11" hidden="1" x14ac:dyDescent="0.25">
      <c r="A4597">
        <v>4596</v>
      </c>
      <c r="B4597" s="1">
        <v>45757</v>
      </c>
      <c r="C4597" t="s">
        <v>54</v>
      </c>
      <c r="D4597" t="s">
        <v>17</v>
      </c>
      <c r="E4597" t="s">
        <v>13</v>
      </c>
      <c r="F4597">
        <v>3</v>
      </c>
      <c r="G4597" t="str">
        <f>VLOOKUP(D4597,Товары!A:I,3,0)</f>
        <v>Тумба с раковиной  навес. Альба 800 антрацит 1 ящик с умыв. Слим</v>
      </c>
      <c r="H4597">
        <f>VLOOKUP(D4597,Товары!A:I,6,0)</f>
        <v>45</v>
      </c>
      <c r="I4597" t="str">
        <f>VLOOKUP(C4597,Магазины!A:C,3,0)</f>
        <v>Ставрополь</v>
      </c>
      <c r="J4597">
        <f>VLOOKUP(D4597,Товары!A:I,4,0)</f>
        <v>21630</v>
      </c>
      <c r="K4597">
        <f t="shared" si="71"/>
        <v>64890</v>
      </c>
    </row>
    <row r="4598" spans="1:11" hidden="1" x14ac:dyDescent="0.25">
      <c r="A4598">
        <v>4597</v>
      </c>
      <c r="B4598" s="1">
        <v>45749</v>
      </c>
      <c r="C4598" t="s">
        <v>41</v>
      </c>
      <c r="D4598" t="s">
        <v>7</v>
      </c>
      <c r="E4598" t="s">
        <v>8</v>
      </c>
      <c r="F4598">
        <v>3</v>
      </c>
      <c r="G4598" t="str">
        <f>VLOOKUP(D4598,Товары!A:I,3,0)</f>
        <v>Пенал напол. Леон Риф 400 солярис/белый риф 2 двери + 1 ящик</v>
      </c>
      <c r="H4598">
        <f>VLOOKUP(D4598,Товары!A:I,6,0)</f>
        <v>190</v>
      </c>
      <c r="I4598" t="str">
        <f>VLOOKUP(C4598,Магазины!A:C,3,0)</f>
        <v>Ставрополь</v>
      </c>
      <c r="J4598">
        <f>VLOOKUP(D4598,Товары!A:I,4,0)</f>
        <v>14490</v>
      </c>
      <c r="K4598">
        <f t="shared" si="71"/>
        <v>43470</v>
      </c>
    </row>
    <row r="4599" spans="1:11" hidden="1" x14ac:dyDescent="0.25">
      <c r="A4599">
        <v>4598</v>
      </c>
      <c r="B4599" s="1">
        <v>45752</v>
      </c>
      <c r="C4599" t="s">
        <v>28</v>
      </c>
      <c r="D4599" t="s">
        <v>125</v>
      </c>
      <c r="E4599" t="s">
        <v>13</v>
      </c>
      <c r="F4599">
        <v>1</v>
      </c>
      <c r="G4599" t="str">
        <f>VLOOKUP(D4599,Товары!A:I,3,0)</f>
        <v>Зеркальный шкаф Сохо 60 белый со светильником правый цвет Белый глянец</v>
      </c>
      <c r="H4599">
        <f>VLOOKUP(D4599,Товары!A:I,6,0)</f>
        <v>75</v>
      </c>
      <c r="I4599" t="str">
        <f>VLOOKUP(C4599,Магазины!A:C,3,0)</f>
        <v>Набережные Челны</v>
      </c>
      <c r="J4599">
        <f>VLOOKUP(D4599,Товары!A:I,4,0)</f>
        <v>7395</v>
      </c>
      <c r="K4599">
        <f t="shared" si="71"/>
        <v>7395</v>
      </c>
    </row>
    <row r="4600" spans="1:11" hidden="1" x14ac:dyDescent="0.25">
      <c r="A4600">
        <v>4599</v>
      </c>
      <c r="B4600" s="1">
        <v>45754</v>
      </c>
      <c r="C4600" t="s">
        <v>92</v>
      </c>
      <c r="D4600" t="s">
        <v>117</v>
      </c>
      <c r="E4600" t="s">
        <v>13</v>
      </c>
      <c r="F4600">
        <v>3</v>
      </c>
      <c r="G4600" t="str">
        <f>VLOOKUP(D4600,Товары!A:I,3,0)</f>
        <v>Тумба с раковиной  навес. Альба 700 антрацит 2 ящика с умыв. Слим</v>
      </c>
      <c r="H4600">
        <f>VLOOKUP(D4600,Товары!A:I,6,0)</f>
        <v>60</v>
      </c>
      <c r="I4600" t="str">
        <f>VLOOKUP(C4600,Магазины!A:C,3,0)</f>
        <v>Кемерово</v>
      </c>
      <c r="J4600">
        <f>VLOOKUP(D4600,Товары!A:I,4,0)</f>
        <v>25095</v>
      </c>
      <c r="K4600">
        <f t="shared" si="71"/>
        <v>75285</v>
      </c>
    </row>
    <row r="4601" spans="1:11" hidden="1" x14ac:dyDescent="0.25">
      <c r="A4601">
        <v>4600</v>
      </c>
      <c r="B4601" s="1">
        <v>45757</v>
      </c>
      <c r="C4601" t="s">
        <v>54</v>
      </c>
      <c r="D4601" t="s">
        <v>47</v>
      </c>
      <c r="E4601" t="s">
        <v>13</v>
      </c>
      <c r="F4601">
        <v>1</v>
      </c>
      <c r="G4601" t="str">
        <f>VLOOKUP(D4601,Товары!A:I,3,0)</f>
        <v>Пенал напол. Кристалл 350 шато азур 2 двери</v>
      </c>
      <c r="H4601">
        <f>VLOOKUP(D4601,Товары!A:I,6,0)</f>
        <v>190</v>
      </c>
      <c r="I4601" t="str">
        <f>VLOOKUP(C4601,Магазины!A:C,3,0)</f>
        <v>Ставрополь</v>
      </c>
      <c r="J4601">
        <f>VLOOKUP(D4601,Товары!A:I,4,0)</f>
        <v>15810</v>
      </c>
      <c r="K4601">
        <f t="shared" si="71"/>
        <v>15810</v>
      </c>
    </row>
    <row r="4602" spans="1:11" hidden="1" x14ac:dyDescent="0.25">
      <c r="A4602">
        <v>4601</v>
      </c>
      <c r="B4602" s="1">
        <v>45750</v>
      </c>
      <c r="C4602" t="s">
        <v>22</v>
      </c>
      <c r="D4602" t="s">
        <v>95</v>
      </c>
      <c r="E4602" t="s">
        <v>8</v>
      </c>
      <c r="F4602">
        <v>3</v>
      </c>
      <c r="G4602" t="str">
        <f>VLOOKUP(D4602,Товары!A:I,3,0)</f>
        <v>Тумба с раковиной  напол. Рица 600 антрацит 2 ящика с умыв. Океан</v>
      </c>
      <c r="H4602">
        <f>VLOOKUP(D4602,Товары!A:I,6,0)</f>
        <v>80</v>
      </c>
      <c r="I4602" t="str">
        <f>VLOOKUP(C4602,Магазины!A:C,3,0)</f>
        <v>Кемерово</v>
      </c>
      <c r="J4602">
        <f>VLOOKUP(D4602,Товары!A:I,4,0)</f>
        <v>25560</v>
      </c>
      <c r="K4602">
        <f t="shared" si="71"/>
        <v>76680</v>
      </c>
    </row>
    <row r="4603" spans="1:11" hidden="1" x14ac:dyDescent="0.25">
      <c r="A4603">
        <v>4602</v>
      </c>
      <c r="B4603" s="1">
        <v>45749</v>
      </c>
      <c r="C4603" t="s">
        <v>30</v>
      </c>
      <c r="D4603" t="s">
        <v>107</v>
      </c>
      <c r="E4603" t="s">
        <v>13</v>
      </c>
      <c r="F4603">
        <v>2</v>
      </c>
      <c r="G4603" t="str">
        <f>VLOOKUP(D4603,Товары!A:I,3,0)</f>
        <v>Комод Аква 35 напольный 1 дверь белый правый</v>
      </c>
      <c r="H4603">
        <f>VLOOKUP(D4603,Товары!A:I,6,0)</f>
        <v>90</v>
      </c>
      <c r="I4603" t="str">
        <f>VLOOKUP(C4603,Магазины!A:C,3,0)</f>
        <v>Кемерово</v>
      </c>
      <c r="J4603">
        <f>VLOOKUP(D4603,Товары!A:I,4,0)</f>
        <v>6705</v>
      </c>
      <c r="K4603">
        <f t="shared" si="71"/>
        <v>13410</v>
      </c>
    </row>
    <row r="4604" spans="1:11" hidden="1" x14ac:dyDescent="0.25">
      <c r="A4604">
        <v>4603</v>
      </c>
      <c r="B4604" s="1">
        <v>45749</v>
      </c>
      <c r="C4604" t="s">
        <v>54</v>
      </c>
      <c r="D4604" t="s">
        <v>125</v>
      </c>
      <c r="E4604" t="s">
        <v>13</v>
      </c>
      <c r="F4604">
        <v>3</v>
      </c>
      <c r="G4604" t="str">
        <f>VLOOKUP(D4604,Товары!A:I,3,0)</f>
        <v>Зеркальный шкаф Сохо 60 белый со светильником правый цвет Белый глянец</v>
      </c>
      <c r="H4604">
        <f>VLOOKUP(D4604,Товары!A:I,6,0)</f>
        <v>75</v>
      </c>
      <c r="I4604" t="str">
        <f>VLOOKUP(C4604,Магазины!A:C,3,0)</f>
        <v>Ставрополь</v>
      </c>
      <c r="J4604">
        <f>VLOOKUP(D4604,Товары!A:I,4,0)</f>
        <v>7395</v>
      </c>
      <c r="K4604">
        <f t="shared" si="71"/>
        <v>22185</v>
      </c>
    </row>
    <row r="4605" spans="1:11" hidden="1" x14ac:dyDescent="0.25">
      <c r="A4605">
        <v>4604</v>
      </c>
      <c r="B4605" s="1">
        <v>45757</v>
      </c>
      <c r="C4605" t="s">
        <v>41</v>
      </c>
      <c r="D4605" t="s">
        <v>40</v>
      </c>
      <c r="E4605" t="s">
        <v>13</v>
      </c>
      <c r="F4605">
        <v>1</v>
      </c>
      <c r="G4605" t="str">
        <f>VLOOKUP(D4605,Товары!A:I,3,0)</f>
        <v>Тумба с раковиной  навес. Рица 800 cерый/керамика 1 ящик + ниша 1 с умыв. Слим</v>
      </c>
      <c r="H4605">
        <f>VLOOKUP(D4605,Товары!A:I,6,0)</f>
        <v>60</v>
      </c>
      <c r="I4605" t="str">
        <f>VLOOKUP(C4605,Магазины!A:C,3,0)</f>
        <v>Ставрополь</v>
      </c>
      <c r="J4605">
        <f>VLOOKUP(D4605,Товары!A:I,4,0)</f>
        <v>22425</v>
      </c>
      <c r="K4605">
        <f t="shared" si="71"/>
        <v>22425</v>
      </c>
    </row>
    <row r="4606" spans="1:11" hidden="1" x14ac:dyDescent="0.25">
      <c r="A4606">
        <v>4605</v>
      </c>
      <c r="B4606" s="1">
        <v>45748</v>
      </c>
      <c r="C4606" t="s">
        <v>20</v>
      </c>
      <c r="D4606" t="s">
        <v>116</v>
      </c>
      <c r="E4606" t="s">
        <v>13</v>
      </c>
      <c r="F4606">
        <v>1</v>
      </c>
      <c r="G4606" t="str">
        <f>VLOOKUP(D4606,Товары!A:I,3,0)</f>
        <v>Зеркало Нева 60 дуб/белый со светильником</v>
      </c>
      <c r="H4606">
        <f>VLOOKUP(D4606,Товары!A:I,6,0)</f>
        <v>80</v>
      </c>
      <c r="I4606" t="str">
        <f>VLOOKUP(C4606,Магазины!A:C,3,0)</f>
        <v>Оренбург</v>
      </c>
      <c r="J4606">
        <f>VLOOKUP(D4606,Товары!A:I,4,0)</f>
        <v>5100</v>
      </c>
      <c r="K4606">
        <f t="shared" si="71"/>
        <v>5100</v>
      </c>
    </row>
    <row r="4607" spans="1:11" hidden="1" x14ac:dyDescent="0.25">
      <c r="A4607">
        <v>4606</v>
      </c>
      <c r="B4607" s="1">
        <v>45748</v>
      </c>
      <c r="C4607" t="s">
        <v>57</v>
      </c>
      <c r="D4607" t="s">
        <v>62</v>
      </c>
      <c r="E4607" t="s">
        <v>8</v>
      </c>
      <c r="F4607">
        <v>1</v>
      </c>
      <c r="G4607" t="str">
        <f>VLOOKUP(D4607,Товары!A:I,3,0)</f>
        <v>Тумба с раковиной  напол. Альба 600 мята 2 ящика с умыв. Океан</v>
      </c>
      <c r="H4607">
        <f>VLOOKUP(D4607,Товары!A:I,6,0)</f>
        <v>80</v>
      </c>
      <c r="I4607" t="str">
        <f>VLOOKUP(C4607,Магазины!A:C,3,0)</f>
        <v>Оренбург</v>
      </c>
      <c r="J4607">
        <f>VLOOKUP(D4607,Товары!A:I,4,0)</f>
        <v>26370</v>
      </c>
      <c r="K4607">
        <f t="shared" si="71"/>
        <v>26370</v>
      </c>
    </row>
    <row r="4608" spans="1:11" hidden="1" x14ac:dyDescent="0.25">
      <c r="A4608">
        <v>4607</v>
      </c>
      <c r="B4608" s="1">
        <v>45752</v>
      </c>
      <c r="C4608" t="s">
        <v>54</v>
      </c>
      <c r="D4608" t="s">
        <v>86</v>
      </c>
      <c r="E4608" t="s">
        <v>8</v>
      </c>
      <c r="F4608">
        <v>2</v>
      </c>
      <c r="G4608" t="str">
        <f>VLOOKUP(D4608,Товары!A:I,3,0)</f>
        <v>Комод Аква 50 напольный 1 ящик 2 двери белый</v>
      </c>
      <c r="H4608">
        <f>VLOOKUP(D4608,Товары!A:I,6,0)</f>
        <v>90</v>
      </c>
      <c r="I4608" t="str">
        <f>VLOOKUP(C4608,Магазины!A:C,3,0)</f>
        <v>Ставрополь</v>
      </c>
      <c r="J4608">
        <f>VLOOKUP(D4608,Товары!A:I,4,0)</f>
        <v>7260</v>
      </c>
      <c r="K4608">
        <f t="shared" si="71"/>
        <v>14520</v>
      </c>
    </row>
    <row r="4609" spans="1:11" hidden="1" x14ac:dyDescent="0.25">
      <c r="A4609">
        <v>4608</v>
      </c>
      <c r="B4609" s="1">
        <v>45754</v>
      </c>
      <c r="C4609" t="s">
        <v>28</v>
      </c>
      <c r="D4609" t="s">
        <v>55</v>
      </c>
      <c r="E4609" t="s">
        <v>8</v>
      </c>
      <c r="F4609">
        <v>3</v>
      </c>
      <c r="G4609" t="str">
        <f>VLOOKUP(D4609,Товары!A:I,3,0)</f>
        <v>Тумба с раковиной  напол. Рица 600 cерый/керамика 2 ящика с умыв. Океан</v>
      </c>
      <c r="H4609">
        <f>VLOOKUP(D4609,Товары!A:I,6,0)</f>
        <v>80</v>
      </c>
      <c r="I4609" t="str">
        <f>VLOOKUP(C4609,Магазины!A:C,3,0)</f>
        <v>Набережные Челны</v>
      </c>
      <c r="J4609">
        <f>VLOOKUP(D4609,Товары!A:I,4,0)</f>
        <v>25560</v>
      </c>
      <c r="K4609">
        <f t="shared" si="71"/>
        <v>76680</v>
      </c>
    </row>
    <row r="4610" spans="1:11" hidden="1" x14ac:dyDescent="0.25">
      <c r="A4610">
        <v>4609</v>
      </c>
      <c r="B4610" s="1">
        <v>45757</v>
      </c>
      <c r="C4610" t="s">
        <v>58</v>
      </c>
      <c r="D4610" t="s">
        <v>84</v>
      </c>
      <c r="E4610" t="s">
        <v>8</v>
      </c>
      <c r="F4610">
        <v>2</v>
      </c>
      <c r="G4610" t="str">
        <f>VLOOKUP(D4610,Товары!A:I,3,0)</f>
        <v>Тумба с раковиной  напол. Куба Риф 800 белый 3 двери с умыв. Слим</v>
      </c>
      <c r="H4610">
        <f>VLOOKUP(D4610,Товары!A:I,6,0)</f>
        <v>85</v>
      </c>
      <c r="I4610" t="str">
        <f>VLOOKUP(C4610,Магазины!A:C,3,0)</f>
        <v>Ставрополь</v>
      </c>
      <c r="J4610">
        <f>VLOOKUP(D4610,Товары!A:I,4,0)</f>
        <v>19920</v>
      </c>
      <c r="K4610">
        <f t="shared" si="71"/>
        <v>39840</v>
      </c>
    </row>
    <row r="4611" spans="1:11" hidden="1" x14ac:dyDescent="0.25">
      <c r="A4611">
        <v>4610</v>
      </c>
      <c r="B4611" s="1">
        <v>45749</v>
      </c>
      <c r="C4611" t="s">
        <v>30</v>
      </c>
      <c r="D4611" t="s">
        <v>121</v>
      </c>
      <c r="E4611" t="s">
        <v>8</v>
      </c>
      <c r="F4611">
        <v>1</v>
      </c>
      <c r="G4611" t="str">
        <f>VLOOKUP(D4611,Товары!A:I,3,0)</f>
        <v>Тумба с раковиной  напол. Куба Риф 600 белый 2 двери с умыв. Como</v>
      </c>
      <c r="H4611">
        <f>VLOOKUP(D4611,Товары!A:I,6,0)</f>
        <v>85</v>
      </c>
      <c r="I4611" t="str">
        <f>VLOOKUP(C4611,Магазины!A:C,3,0)</f>
        <v>Кемерово</v>
      </c>
      <c r="J4611">
        <f>VLOOKUP(D4611,Товары!A:I,4,0)</f>
        <v>13695</v>
      </c>
      <c r="K4611">
        <f t="shared" ref="K4611:K4674" si="72">J4611*F4611</f>
        <v>13695</v>
      </c>
    </row>
    <row r="4612" spans="1:11" hidden="1" x14ac:dyDescent="0.25">
      <c r="A4612">
        <v>4611</v>
      </c>
      <c r="B4612" s="1">
        <v>45753</v>
      </c>
      <c r="C4612" t="s">
        <v>26</v>
      </c>
      <c r="D4612" t="s">
        <v>72</v>
      </c>
      <c r="E4612" t="s">
        <v>13</v>
      </c>
      <c r="F4612">
        <v>2</v>
      </c>
      <c r="G4612" t="str">
        <f>VLOOKUP(D4612,Товары!A:I,3,0)</f>
        <v>Тумба с раковиной  напол. Сохо 600 белый 2 ящика с умыв. Океан</v>
      </c>
      <c r="H4612">
        <f>VLOOKUP(D4612,Товары!A:I,6,0)</f>
        <v>85</v>
      </c>
      <c r="I4612" t="str">
        <f>VLOOKUP(C4612,Магазины!A:C,3,0)</f>
        <v>Оренбург</v>
      </c>
      <c r="J4612">
        <f>VLOOKUP(D4612,Товары!A:I,4,0)</f>
        <v>16140</v>
      </c>
      <c r="K4612">
        <f t="shared" si="72"/>
        <v>32280</v>
      </c>
    </row>
    <row r="4613" spans="1:11" hidden="1" x14ac:dyDescent="0.25">
      <c r="A4613">
        <v>4612</v>
      </c>
      <c r="B4613" s="1">
        <v>45749</v>
      </c>
      <c r="C4613" t="s">
        <v>103</v>
      </c>
      <c r="D4613" t="s">
        <v>100</v>
      </c>
      <c r="E4613" t="s">
        <v>13</v>
      </c>
      <c r="F4613">
        <v>3</v>
      </c>
      <c r="G4613" t="str">
        <f>VLOOKUP(D4613,Товары!A:I,3,0)</f>
        <v>Тумба с раковиной  навес. Альба 800 мята 1 ящик с умыв. Слим</v>
      </c>
      <c r="H4613">
        <f>VLOOKUP(D4613,Товары!A:I,6,0)</f>
        <v>45</v>
      </c>
      <c r="I4613" t="str">
        <f>VLOOKUP(C4613,Магазины!A:C,3,0)</f>
        <v>Ставрополь</v>
      </c>
      <c r="J4613">
        <f>VLOOKUP(D4613,Товары!A:I,4,0)</f>
        <v>21630</v>
      </c>
      <c r="K4613">
        <f t="shared" si="72"/>
        <v>64890</v>
      </c>
    </row>
    <row r="4614" spans="1:11" hidden="1" x14ac:dyDescent="0.25">
      <c r="A4614">
        <v>4613</v>
      </c>
      <c r="B4614" s="1">
        <v>45750</v>
      </c>
      <c r="C4614" t="s">
        <v>22</v>
      </c>
      <c r="D4614" t="s">
        <v>86</v>
      </c>
      <c r="E4614" t="s">
        <v>8</v>
      </c>
      <c r="F4614">
        <v>2</v>
      </c>
      <c r="G4614" t="str">
        <f>VLOOKUP(D4614,Товары!A:I,3,0)</f>
        <v>Комод Аква 50 напольный 1 ящик 2 двери белый</v>
      </c>
      <c r="H4614">
        <f>VLOOKUP(D4614,Товары!A:I,6,0)</f>
        <v>90</v>
      </c>
      <c r="I4614" t="str">
        <f>VLOOKUP(C4614,Магазины!A:C,3,0)</f>
        <v>Кемерово</v>
      </c>
      <c r="J4614">
        <f>VLOOKUP(D4614,Товары!A:I,4,0)</f>
        <v>7260</v>
      </c>
      <c r="K4614">
        <f t="shared" si="72"/>
        <v>14520</v>
      </c>
    </row>
    <row r="4615" spans="1:11" hidden="1" x14ac:dyDescent="0.25">
      <c r="A4615">
        <v>4614</v>
      </c>
      <c r="B4615" s="1">
        <v>45753</v>
      </c>
      <c r="C4615" t="s">
        <v>54</v>
      </c>
      <c r="D4615" t="s">
        <v>37</v>
      </c>
      <c r="E4615" t="s">
        <v>13</v>
      </c>
      <c r="F4615">
        <v>1</v>
      </c>
      <c r="G4615" t="str">
        <f>VLOOKUP(D4615,Товары!A:I,3,0)</f>
        <v>Зеркальный шкаф Сохо 70 белый со светильником правый цвет Белый глянец</v>
      </c>
      <c r="H4615">
        <f>VLOOKUP(D4615,Товары!A:I,6,0)</f>
        <v>75</v>
      </c>
      <c r="I4615" t="str">
        <f>VLOOKUP(C4615,Магазины!A:C,3,0)</f>
        <v>Ставрополь</v>
      </c>
      <c r="J4615">
        <f>VLOOKUP(D4615,Товары!A:I,4,0)</f>
        <v>7935</v>
      </c>
      <c r="K4615">
        <f t="shared" si="72"/>
        <v>7935</v>
      </c>
    </row>
    <row r="4616" spans="1:11" hidden="1" x14ac:dyDescent="0.25">
      <c r="A4616">
        <v>4615</v>
      </c>
      <c r="B4616" s="1">
        <v>45752</v>
      </c>
      <c r="C4616" t="s">
        <v>43</v>
      </c>
      <c r="D4616" t="s">
        <v>129</v>
      </c>
      <c r="E4616" t="s">
        <v>8</v>
      </c>
      <c r="F4616">
        <v>3</v>
      </c>
      <c r="G4616" t="str">
        <f>VLOOKUP(D4616,Товары!A:I,3,0)</f>
        <v>Тумба с раковиной  напол. Альба 700 антрацит 2 ящика с умыв. Слим</v>
      </c>
      <c r="H4616">
        <f>VLOOKUP(D4616,Товары!A:I,6,0)</f>
        <v>85</v>
      </c>
      <c r="I4616" t="str">
        <f>VLOOKUP(C4616,Магазины!A:C,3,0)</f>
        <v>Набережные Челны</v>
      </c>
      <c r="J4616">
        <f>VLOOKUP(D4616,Товары!A:I,4,0)</f>
        <v>28695</v>
      </c>
      <c r="K4616">
        <f t="shared" si="72"/>
        <v>86085</v>
      </c>
    </row>
    <row r="4617" spans="1:11" hidden="1" x14ac:dyDescent="0.25">
      <c r="A4617">
        <v>4616</v>
      </c>
      <c r="B4617" s="1">
        <v>45748</v>
      </c>
      <c r="C4617" t="s">
        <v>103</v>
      </c>
      <c r="D4617" t="s">
        <v>73</v>
      </c>
      <c r="E4617" t="s">
        <v>13</v>
      </c>
      <c r="F4617">
        <v>3</v>
      </c>
      <c r="G4617" t="str">
        <f>VLOOKUP(D4617,Товары!A:I,3,0)</f>
        <v>Зеркальный шкаф Альба 70 со светильником правый цвет антрацит</v>
      </c>
      <c r="H4617">
        <f>VLOOKUP(D4617,Товары!A:I,6,0)</f>
        <v>75</v>
      </c>
      <c r="I4617" t="str">
        <f>VLOOKUP(C4617,Магазины!A:C,3,0)</f>
        <v>Ставрополь</v>
      </c>
      <c r="J4617">
        <f>VLOOKUP(D4617,Товары!A:I,4,0)</f>
        <v>9615</v>
      </c>
      <c r="K4617">
        <f t="shared" si="72"/>
        <v>28845</v>
      </c>
    </row>
    <row r="4618" spans="1:11" hidden="1" x14ac:dyDescent="0.25">
      <c r="A4618">
        <v>4617</v>
      </c>
      <c r="B4618" s="1">
        <v>45754</v>
      </c>
      <c r="C4618" t="s">
        <v>26</v>
      </c>
      <c r="D4618" t="s">
        <v>123</v>
      </c>
      <c r="E4618" t="s">
        <v>8</v>
      </c>
      <c r="F4618">
        <v>3</v>
      </c>
      <c r="G4618" t="str">
        <f>VLOOKUP(D4618,Товары!A:I,3,0)</f>
        <v>Тумба с раковиной  напол. Кристалл 800 суфле 2 ящика с умыв. Слим</v>
      </c>
      <c r="H4618">
        <f>VLOOKUP(D4618,Товары!A:I,6,0)</f>
        <v>80</v>
      </c>
      <c r="I4618" t="str">
        <f>VLOOKUP(C4618,Магазины!A:C,3,0)</f>
        <v>Оренбург</v>
      </c>
      <c r="J4618">
        <f>VLOOKUP(D4618,Товары!A:I,4,0)</f>
        <v>31125</v>
      </c>
      <c r="K4618">
        <f t="shared" si="72"/>
        <v>93375</v>
      </c>
    </row>
    <row r="4619" spans="1:11" hidden="1" x14ac:dyDescent="0.25">
      <c r="A4619">
        <v>4618</v>
      </c>
      <c r="B4619" s="1">
        <v>45752</v>
      </c>
      <c r="C4619" t="s">
        <v>54</v>
      </c>
      <c r="D4619" t="s">
        <v>106</v>
      </c>
      <c r="E4619" t="s">
        <v>8</v>
      </c>
      <c r="F4619">
        <v>3</v>
      </c>
      <c r="G4619" t="str">
        <f>VLOOKUP(D4619,Товары!A:I,3,0)</f>
        <v>Тумба с раковиной  навес. Кристалл 700 шато азур 2 ящика с умыв. Слим</v>
      </c>
      <c r="H4619">
        <f>VLOOKUP(D4619,Товары!A:I,6,0)</f>
        <v>60</v>
      </c>
      <c r="I4619" t="str">
        <f>VLOOKUP(C4619,Магазины!A:C,3,0)</f>
        <v>Ставрополь</v>
      </c>
      <c r="J4619">
        <f>VLOOKUP(D4619,Товары!A:I,4,0)</f>
        <v>24150</v>
      </c>
      <c r="K4619">
        <f t="shared" si="72"/>
        <v>72450</v>
      </c>
    </row>
    <row r="4620" spans="1:11" hidden="1" x14ac:dyDescent="0.25">
      <c r="A4620">
        <v>4619</v>
      </c>
      <c r="B4620" s="1">
        <v>45750</v>
      </c>
      <c r="C4620" t="s">
        <v>6</v>
      </c>
      <c r="D4620" t="s">
        <v>108</v>
      </c>
      <c r="E4620" t="s">
        <v>13</v>
      </c>
      <c r="F4620">
        <v>1</v>
      </c>
      <c r="G4620" t="str">
        <f>VLOOKUP(D4620,Товары!A:I,3,0)</f>
        <v>Тумба с раковиной  навес. Виктория 1000 белый 2 ящика с умыв. Слим</v>
      </c>
      <c r="H4620">
        <f>VLOOKUP(D4620,Товары!A:I,6,0)</f>
        <v>60</v>
      </c>
      <c r="I4620" t="str">
        <f>VLOOKUP(C4620,Магазины!A:C,3,0)</f>
        <v>Оренбург</v>
      </c>
      <c r="J4620">
        <f>VLOOKUP(D4620,Товары!A:I,4,0)</f>
        <v>29205</v>
      </c>
      <c r="K4620">
        <f t="shared" si="72"/>
        <v>29205</v>
      </c>
    </row>
    <row r="4621" spans="1:11" hidden="1" x14ac:dyDescent="0.25">
      <c r="A4621">
        <v>4620</v>
      </c>
      <c r="B4621" s="1">
        <v>45751</v>
      </c>
      <c r="C4621" t="s">
        <v>11</v>
      </c>
      <c r="D4621" t="s">
        <v>106</v>
      </c>
      <c r="E4621" t="s">
        <v>13</v>
      </c>
      <c r="F4621">
        <v>1</v>
      </c>
      <c r="G4621" t="str">
        <f>VLOOKUP(D4621,Товары!A:I,3,0)</f>
        <v>Тумба с раковиной  навес. Кристалл 700 шато азур 2 ящика с умыв. Слим</v>
      </c>
      <c r="H4621">
        <f>VLOOKUP(D4621,Товары!A:I,6,0)</f>
        <v>60</v>
      </c>
      <c r="I4621" t="str">
        <f>VLOOKUP(C4621,Магазины!A:C,3,0)</f>
        <v>Кемерово</v>
      </c>
      <c r="J4621">
        <f>VLOOKUP(D4621,Товары!A:I,4,0)</f>
        <v>24150</v>
      </c>
      <c r="K4621">
        <f t="shared" si="72"/>
        <v>24150</v>
      </c>
    </row>
    <row r="4622" spans="1:11" hidden="1" x14ac:dyDescent="0.25">
      <c r="A4622">
        <v>4621</v>
      </c>
      <c r="B4622" s="1">
        <v>45748</v>
      </c>
      <c r="C4622" t="s">
        <v>57</v>
      </c>
      <c r="D4622" t="s">
        <v>65</v>
      </c>
      <c r="E4622" t="s">
        <v>13</v>
      </c>
      <c r="F4622">
        <v>1</v>
      </c>
      <c r="G4622" t="str">
        <f>VLOOKUP(D4622,Товары!A:I,3,0)</f>
        <v>Тумба с раковиной  навес. Альба 800 суфле 2 ящика с умыв. Слим</v>
      </c>
      <c r="H4622">
        <f>VLOOKUP(D4622,Товары!A:I,6,0)</f>
        <v>50</v>
      </c>
      <c r="I4622" t="str">
        <f>VLOOKUP(C4622,Магазины!A:C,3,0)</f>
        <v>Оренбург</v>
      </c>
      <c r="J4622">
        <f>VLOOKUP(D4622,Товары!A:I,4,0)</f>
        <v>26070</v>
      </c>
      <c r="K4622">
        <f t="shared" si="72"/>
        <v>26070</v>
      </c>
    </row>
    <row r="4623" spans="1:11" hidden="1" x14ac:dyDescent="0.25">
      <c r="A4623">
        <v>4622</v>
      </c>
      <c r="B4623" s="1">
        <v>45755</v>
      </c>
      <c r="C4623" t="s">
        <v>28</v>
      </c>
      <c r="D4623" t="s">
        <v>60</v>
      </c>
      <c r="E4623" t="s">
        <v>13</v>
      </c>
      <c r="F4623">
        <v>3</v>
      </c>
      <c r="G4623" t="str">
        <f>VLOOKUP(D4623,Товары!A:I,3,0)</f>
        <v>Пенал навес. Куба Риф 350 белый 2 двери</v>
      </c>
      <c r="H4623">
        <f>VLOOKUP(D4623,Товары!A:I,6,0)</f>
        <v>150</v>
      </c>
      <c r="I4623" t="str">
        <f>VLOOKUP(C4623,Магазины!A:C,3,0)</f>
        <v>Набережные Челны</v>
      </c>
      <c r="J4623">
        <f>VLOOKUP(D4623,Товары!A:I,4,0)</f>
        <v>9720</v>
      </c>
      <c r="K4623">
        <f t="shared" si="72"/>
        <v>29160</v>
      </c>
    </row>
    <row r="4624" spans="1:11" hidden="1" x14ac:dyDescent="0.25">
      <c r="A4624">
        <v>4623</v>
      </c>
      <c r="B4624" s="1">
        <v>45749</v>
      </c>
      <c r="C4624" t="s">
        <v>103</v>
      </c>
      <c r="D4624" t="s">
        <v>122</v>
      </c>
      <c r="E4624" t="s">
        <v>8</v>
      </c>
      <c r="F4624">
        <v>3</v>
      </c>
      <c r="G4624" t="str">
        <f>VLOOKUP(D4624,Товары!A:I,3,0)</f>
        <v>Тумба с раковиной  навес. Кристалл 600 шато азур 2 ящика с умыв. Океан</v>
      </c>
      <c r="H4624">
        <f>VLOOKUP(D4624,Товары!A:I,6,0)</f>
        <v>55</v>
      </c>
      <c r="I4624" t="str">
        <f>VLOOKUP(C4624,Магазины!A:C,3,0)</f>
        <v>Ставрополь</v>
      </c>
      <c r="J4624">
        <f>VLOOKUP(D4624,Товары!A:I,4,0)</f>
        <v>21960</v>
      </c>
      <c r="K4624">
        <f t="shared" si="72"/>
        <v>65880</v>
      </c>
    </row>
    <row r="4625" spans="1:11" hidden="1" x14ac:dyDescent="0.25">
      <c r="A4625">
        <v>4624</v>
      </c>
      <c r="B4625" s="1">
        <v>45749</v>
      </c>
      <c r="C4625" t="s">
        <v>30</v>
      </c>
      <c r="D4625" t="s">
        <v>70</v>
      </c>
      <c r="E4625" t="s">
        <v>13</v>
      </c>
      <c r="F4625">
        <v>3</v>
      </c>
      <c r="G4625" t="str">
        <f>VLOOKUP(D4625,Товары!A:I,3,0)</f>
        <v>Тумба с раковиной  напол. Кристалл 700 шато азур 2 ящика с умыв. Слим</v>
      </c>
      <c r="H4625">
        <f>VLOOKUP(D4625,Товары!A:I,6,0)</f>
        <v>85</v>
      </c>
      <c r="I4625" t="str">
        <f>VLOOKUP(C4625,Магазины!A:C,3,0)</f>
        <v>Кемерово</v>
      </c>
      <c r="J4625">
        <f>VLOOKUP(D4625,Товары!A:I,4,0)</f>
        <v>29910</v>
      </c>
      <c r="K4625">
        <f t="shared" si="72"/>
        <v>89730</v>
      </c>
    </row>
    <row r="4626" spans="1:11" hidden="1" x14ac:dyDescent="0.25">
      <c r="A4626">
        <v>4625</v>
      </c>
      <c r="B4626" s="1">
        <v>45749</v>
      </c>
      <c r="C4626" t="s">
        <v>30</v>
      </c>
      <c r="D4626" t="s">
        <v>114</v>
      </c>
      <c r="E4626" t="s">
        <v>8</v>
      </c>
      <c r="F4626">
        <v>1</v>
      </c>
      <c r="G4626" t="str">
        <f>VLOOKUP(D4626,Товары!A:I,3,0)</f>
        <v>Тумба с раковиной  навес. Альба 700 мята 2 ящика с умыв. Слим</v>
      </c>
      <c r="H4626">
        <f>VLOOKUP(D4626,Товары!A:I,6,0)</f>
        <v>60</v>
      </c>
      <c r="I4626" t="str">
        <f>VLOOKUP(C4626,Магазины!A:C,3,0)</f>
        <v>Кемерово</v>
      </c>
      <c r="J4626">
        <f>VLOOKUP(D4626,Товары!A:I,4,0)</f>
        <v>25095</v>
      </c>
      <c r="K4626">
        <f t="shared" si="72"/>
        <v>25095</v>
      </c>
    </row>
    <row r="4627" spans="1:11" hidden="1" x14ac:dyDescent="0.25">
      <c r="A4627">
        <v>4626</v>
      </c>
      <c r="B4627" s="1">
        <v>45753</v>
      </c>
      <c r="C4627" t="s">
        <v>9</v>
      </c>
      <c r="D4627" t="s">
        <v>60</v>
      </c>
      <c r="E4627" t="s">
        <v>8</v>
      </c>
      <c r="F4627">
        <v>3</v>
      </c>
      <c r="G4627" t="str">
        <f>VLOOKUP(D4627,Товары!A:I,3,0)</f>
        <v>Пенал навес. Куба Риф 350 белый 2 двери</v>
      </c>
      <c r="H4627">
        <f>VLOOKUP(D4627,Товары!A:I,6,0)</f>
        <v>150</v>
      </c>
      <c r="I4627" t="str">
        <f>VLOOKUP(C4627,Магазины!A:C,3,0)</f>
        <v>Кемерово</v>
      </c>
      <c r="J4627">
        <f>VLOOKUP(D4627,Товары!A:I,4,0)</f>
        <v>9720</v>
      </c>
      <c r="K4627">
        <f t="shared" si="72"/>
        <v>29160</v>
      </c>
    </row>
    <row r="4628" spans="1:11" hidden="1" x14ac:dyDescent="0.25">
      <c r="A4628">
        <v>4627</v>
      </c>
      <c r="B4628" s="1">
        <v>45752</v>
      </c>
      <c r="C4628" t="s">
        <v>58</v>
      </c>
      <c r="D4628" t="s">
        <v>130</v>
      </c>
      <c r="E4628" t="s">
        <v>13</v>
      </c>
      <c r="F4628">
        <v>2</v>
      </c>
      <c r="G4628" t="str">
        <f>VLOOKUP(D4628,Товары!A:I,3,0)</f>
        <v>Пенал напол. Леон 400 форест 2 двери + 1 ящик</v>
      </c>
      <c r="H4628">
        <f>VLOOKUP(D4628,Товары!A:I,6,0)</f>
        <v>190</v>
      </c>
      <c r="I4628" t="str">
        <f>VLOOKUP(C4628,Магазины!A:C,3,0)</f>
        <v>Ставрополь</v>
      </c>
      <c r="J4628">
        <f>VLOOKUP(D4628,Товары!A:I,4,0)</f>
        <v>18450</v>
      </c>
      <c r="K4628">
        <f t="shared" si="72"/>
        <v>36900</v>
      </c>
    </row>
    <row r="4629" spans="1:11" hidden="1" x14ac:dyDescent="0.25">
      <c r="A4629">
        <v>4628</v>
      </c>
      <c r="B4629" s="1">
        <v>45755</v>
      </c>
      <c r="C4629" t="s">
        <v>43</v>
      </c>
      <c r="D4629" t="s">
        <v>131</v>
      </c>
      <c r="E4629" t="s">
        <v>8</v>
      </c>
      <c r="F4629">
        <v>2</v>
      </c>
      <c r="G4629" t="str">
        <f>VLOOKUP(D4629,Товары!A:I,3,0)</f>
        <v>Тумба с раковиной  напол. Леон 800 форест 2 ящика с умыв. Слим</v>
      </c>
      <c r="H4629">
        <f>VLOOKUP(D4629,Товары!A:I,6,0)</f>
        <v>80</v>
      </c>
      <c r="I4629" t="str">
        <f>VLOOKUP(C4629,Магазины!A:C,3,0)</f>
        <v>Набережные Челны</v>
      </c>
      <c r="J4629">
        <f>VLOOKUP(D4629,Товары!A:I,4,0)</f>
        <v>29400</v>
      </c>
      <c r="K4629">
        <f t="shared" si="72"/>
        <v>58800</v>
      </c>
    </row>
    <row r="4630" spans="1:11" hidden="1" x14ac:dyDescent="0.25">
      <c r="A4630">
        <v>4629</v>
      </c>
      <c r="B4630" s="1">
        <v>45749</v>
      </c>
      <c r="C4630" t="s">
        <v>48</v>
      </c>
      <c r="D4630" t="s">
        <v>128</v>
      </c>
      <c r="E4630" t="s">
        <v>13</v>
      </c>
      <c r="F4630">
        <v>3</v>
      </c>
      <c r="G4630" t="str">
        <f>VLOOKUP(D4630,Товары!A:I,3,0)</f>
        <v>Тумба с раковиной  напол. Куба Риф 1000 белый 2 ящика с умыв. Слим</v>
      </c>
      <c r="H4630">
        <f>VLOOKUP(D4630,Товары!A:I,6,0)</f>
        <v>85</v>
      </c>
      <c r="I4630" t="str">
        <f>VLOOKUP(C4630,Магазины!A:C,3,0)</f>
        <v>Ставрополь</v>
      </c>
      <c r="J4630">
        <f>VLOOKUP(D4630,Товары!A:I,4,0)</f>
        <v>22905</v>
      </c>
      <c r="K4630">
        <f t="shared" si="72"/>
        <v>68715</v>
      </c>
    </row>
    <row r="4631" spans="1:11" hidden="1" x14ac:dyDescent="0.25">
      <c r="A4631">
        <v>4630</v>
      </c>
      <c r="B4631" s="1">
        <v>45757</v>
      </c>
      <c r="C4631" t="s">
        <v>48</v>
      </c>
      <c r="D4631" t="s">
        <v>128</v>
      </c>
      <c r="E4631" t="s">
        <v>13</v>
      </c>
      <c r="F4631">
        <v>1</v>
      </c>
      <c r="G4631" t="str">
        <f>VLOOKUP(D4631,Товары!A:I,3,0)</f>
        <v>Тумба с раковиной  напол. Куба Риф 1000 белый 2 ящика с умыв. Слим</v>
      </c>
      <c r="H4631">
        <f>VLOOKUP(D4631,Товары!A:I,6,0)</f>
        <v>85</v>
      </c>
      <c r="I4631" t="str">
        <f>VLOOKUP(C4631,Магазины!A:C,3,0)</f>
        <v>Ставрополь</v>
      </c>
      <c r="J4631">
        <f>VLOOKUP(D4631,Товары!A:I,4,0)</f>
        <v>22905</v>
      </c>
      <c r="K4631">
        <f t="shared" si="72"/>
        <v>22905</v>
      </c>
    </row>
    <row r="4632" spans="1:11" hidden="1" x14ac:dyDescent="0.25">
      <c r="A4632">
        <v>4631</v>
      </c>
      <c r="B4632" s="1">
        <v>45748</v>
      </c>
      <c r="C4632" t="s">
        <v>20</v>
      </c>
      <c r="D4632" t="s">
        <v>21</v>
      </c>
      <c r="E4632" t="s">
        <v>13</v>
      </c>
      <c r="F4632">
        <v>3</v>
      </c>
      <c r="G4632" t="str">
        <f>VLOOKUP(D4632,Товары!A:I,3,0)</f>
        <v>Зеркальный шкаф Рица 60 со светильником правый цвет cерый/керамика</v>
      </c>
      <c r="H4632">
        <f>VLOOKUP(D4632,Товары!A:I,6,0)</f>
        <v>75</v>
      </c>
      <c r="I4632" t="str">
        <f>VLOOKUP(C4632,Магазины!A:C,3,0)</f>
        <v>Оренбург</v>
      </c>
      <c r="J4632">
        <f>VLOOKUP(D4632,Товары!A:I,4,0)</f>
        <v>8910</v>
      </c>
      <c r="K4632">
        <f t="shared" si="72"/>
        <v>26730</v>
      </c>
    </row>
    <row r="4633" spans="1:11" hidden="1" x14ac:dyDescent="0.25">
      <c r="A4633">
        <v>4632</v>
      </c>
      <c r="B4633" s="1">
        <v>45753</v>
      </c>
      <c r="C4633" t="s">
        <v>63</v>
      </c>
      <c r="D4633" t="s">
        <v>24</v>
      </c>
      <c r="E4633" t="s">
        <v>8</v>
      </c>
      <c r="F4633">
        <v>2</v>
      </c>
      <c r="G4633" t="str">
        <f>VLOOKUP(D4633,Товары!A:I,3,0)</f>
        <v>Тумба с раковиной  напол. Леон 600 форест 2 ящика с умыв. Слим</v>
      </c>
      <c r="H4633">
        <f>VLOOKUP(D4633,Товары!A:I,6,0)</f>
        <v>80</v>
      </c>
      <c r="I4633" t="str">
        <f>VLOOKUP(C4633,Магазины!A:C,3,0)</f>
        <v>Ставрополь</v>
      </c>
      <c r="J4633">
        <f>VLOOKUP(D4633,Товары!A:I,4,0)</f>
        <v>27150</v>
      </c>
      <c r="K4633">
        <f t="shared" si="72"/>
        <v>54300</v>
      </c>
    </row>
    <row r="4634" spans="1:11" hidden="1" x14ac:dyDescent="0.25">
      <c r="A4634">
        <v>4633</v>
      </c>
      <c r="B4634" s="1">
        <v>45750</v>
      </c>
      <c r="C4634" t="s">
        <v>58</v>
      </c>
      <c r="D4634" t="s">
        <v>115</v>
      </c>
      <c r="E4634" t="s">
        <v>13</v>
      </c>
      <c r="F4634">
        <v>2</v>
      </c>
      <c r="G4634" t="str">
        <f>VLOOKUP(D4634,Товары!A:I,3,0)</f>
        <v>Тумба под стиральную машину Куба Риф 57 напольная 2 ящика под ст/маш, без умывальника /под Marshall 120 Белый</v>
      </c>
      <c r="H4634">
        <f>VLOOKUP(D4634,Товары!A:I,6,0)</f>
        <v>85</v>
      </c>
      <c r="I4634" t="str">
        <f>VLOOKUP(C4634,Магазины!A:C,3,0)</f>
        <v>Ставрополь</v>
      </c>
      <c r="J4634">
        <f>VLOOKUP(D4634,Товары!A:I,4,0)</f>
        <v>10530</v>
      </c>
      <c r="K4634">
        <f t="shared" si="72"/>
        <v>21060</v>
      </c>
    </row>
    <row r="4635" spans="1:11" hidden="1" x14ac:dyDescent="0.25">
      <c r="A4635">
        <v>4634</v>
      </c>
      <c r="B4635" s="1">
        <v>45756</v>
      </c>
      <c r="C4635" t="s">
        <v>63</v>
      </c>
      <c r="D4635" t="s">
        <v>74</v>
      </c>
      <c r="E4635" t="s">
        <v>8</v>
      </c>
      <c r="F4635">
        <v>3</v>
      </c>
      <c r="G4635" t="str">
        <f>VLOOKUP(D4635,Товары!A:I,3,0)</f>
        <v>Тумба с раковиной  напол. Альба 800 суфле 2 ящика с умыв. Слим</v>
      </c>
      <c r="H4635">
        <f>VLOOKUP(D4635,Товары!A:I,6,0)</f>
        <v>80</v>
      </c>
      <c r="I4635" t="str">
        <f>VLOOKUP(C4635,Магазины!A:C,3,0)</f>
        <v>Ставрополь</v>
      </c>
      <c r="J4635">
        <f>VLOOKUP(D4635,Товары!A:I,4,0)</f>
        <v>29340</v>
      </c>
      <c r="K4635">
        <f t="shared" si="72"/>
        <v>88020</v>
      </c>
    </row>
    <row r="4636" spans="1:11" hidden="1" x14ac:dyDescent="0.25">
      <c r="A4636">
        <v>4635</v>
      </c>
      <c r="B4636" s="1">
        <v>45753</v>
      </c>
      <c r="C4636" t="s">
        <v>58</v>
      </c>
      <c r="D4636" t="s">
        <v>36</v>
      </c>
      <c r="E4636" t="s">
        <v>8</v>
      </c>
      <c r="F4636">
        <v>1</v>
      </c>
      <c r="G4636" t="str">
        <f>VLOOKUP(D4636,Товары!A:I,3,0)</f>
        <v>Тумба с раковиной  напол. Альба 800 мята 2 ящика с умыв. Слим</v>
      </c>
      <c r="H4636">
        <f>VLOOKUP(D4636,Товары!A:I,6,0)</f>
        <v>80</v>
      </c>
      <c r="I4636" t="str">
        <f>VLOOKUP(C4636,Магазины!A:C,3,0)</f>
        <v>Ставрополь</v>
      </c>
      <c r="J4636">
        <f>VLOOKUP(D4636,Товары!A:I,4,0)</f>
        <v>29340</v>
      </c>
      <c r="K4636">
        <f t="shared" si="72"/>
        <v>29340</v>
      </c>
    </row>
    <row r="4637" spans="1:11" hidden="1" x14ac:dyDescent="0.25">
      <c r="A4637">
        <v>4636</v>
      </c>
      <c r="B4637" s="1">
        <v>45757</v>
      </c>
      <c r="C4637" t="s">
        <v>11</v>
      </c>
      <c r="D4637" t="s">
        <v>71</v>
      </c>
      <c r="E4637" t="s">
        <v>13</v>
      </c>
      <c r="F4637">
        <v>2</v>
      </c>
      <c r="G4637" t="str">
        <f>VLOOKUP(D4637,Товары!A:I,3,0)</f>
        <v>Тумба с раковиной  навес. Альба 600 мята 2 ящика с умыв. Океан</v>
      </c>
      <c r="H4637">
        <f>VLOOKUP(D4637,Товары!A:I,6,0)</f>
        <v>50</v>
      </c>
      <c r="I4637" t="str">
        <f>VLOOKUP(C4637,Магазины!A:C,3,0)</f>
        <v>Кемерово</v>
      </c>
      <c r="J4637">
        <f>VLOOKUP(D4637,Товары!A:I,4,0)</f>
        <v>24810</v>
      </c>
      <c r="K4637">
        <f t="shared" si="72"/>
        <v>49620</v>
      </c>
    </row>
    <row r="4638" spans="1:11" hidden="1" x14ac:dyDescent="0.25">
      <c r="A4638">
        <v>4637</v>
      </c>
      <c r="B4638" s="1">
        <v>45757</v>
      </c>
      <c r="C4638" t="s">
        <v>14</v>
      </c>
      <c r="D4638" t="s">
        <v>64</v>
      </c>
      <c r="E4638" t="s">
        <v>8</v>
      </c>
      <c r="F4638">
        <v>1</v>
      </c>
      <c r="G4638" t="str">
        <f>VLOOKUP(D4638,Товары!A:I,3,0)</f>
        <v>Тумба с раковиной  напол. Рица 800 антрацит 2 ящика с умыв. Слим</v>
      </c>
      <c r="H4638">
        <f>VLOOKUP(D4638,Товары!A:I,6,0)</f>
        <v>80</v>
      </c>
      <c r="I4638" t="str">
        <f>VLOOKUP(C4638,Магазины!A:C,3,0)</f>
        <v>Оренбург</v>
      </c>
      <c r="J4638">
        <f>VLOOKUP(D4638,Товары!A:I,4,0)</f>
        <v>28980</v>
      </c>
      <c r="K4638">
        <f t="shared" si="72"/>
        <v>28980</v>
      </c>
    </row>
    <row r="4639" spans="1:11" hidden="1" x14ac:dyDescent="0.25">
      <c r="A4639">
        <v>4638</v>
      </c>
      <c r="B4639" s="1">
        <v>45749</v>
      </c>
      <c r="C4639" t="s">
        <v>41</v>
      </c>
      <c r="D4639" t="s">
        <v>99</v>
      </c>
      <c r="E4639" t="s">
        <v>8</v>
      </c>
      <c r="F4639">
        <v>1</v>
      </c>
      <c r="G4639" t="str">
        <f>VLOOKUP(D4639,Товары!A:I,3,0)</f>
        <v>Тумба с раковиной  навес. Леон 600 оникс 2 ящика с умыв. Слим</v>
      </c>
      <c r="H4639">
        <f>VLOOKUP(D4639,Товары!A:I,6,0)</f>
        <v>60</v>
      </c>
      <c r="I4639" t="str">
        <f>VLOOKUP(C4639,Магазины!A:C,3,0)</f>
        <v>Ставрополь</v>
      </c>
      <c r="J4639">
        <f>VLOOKUP(D4639,Товары!A:I,4,0)</f>
        <v>25125</v>
      </c>
      <c r="K4639">
        <f t="shared" si="72"/>
        <v>25125</v>
      </c>
    </row>
    <row r="4640" spans="1:11" hidden="1" x14ac:dyDescent="0.25">
      <c r="A4640">
        <v>4639</v>
      </c>
      <c r="B4640" s="1">
        <v>45756</v>
      </c>
      <c r="C4640" t="s">
        <v>20</v>
      </c>
      <c r="D4640" t="s">
        <v>88</v>
      </c>
      <c r="E4640" t="s">
        <v>13</v>
      </c>
      <c r="F4640">
        <v>2</v>
      </c>
      <c r="G4640" t="str">
        <f>VLOOKUP(D4640,Товары!A:I,3,0)</f>
        <v>Тумба с раковиной  навес. Альба 800 антрацит 2 ящика с умыв. Слим</v>
      </c>
      <c r="H4640">
        <f>VLOOKUP(D4640,Товары!A:I,6,0)</f>
        <v>50</v>
      </c>
      <c r="I4640" t="str">
        <f>VLOOKUP(C4640,Магазины!A:C,3,0)</f>
        <v>Оренбург</v>
      </c>
      <c r="J4640">
        <f>VLOOKUP(D4640,Товары!A:I,4,0)</f>
        <v>26070</v>
      </c>
      <c r="K4640">
        <f t="shared" si="72"/>
        <v>52140</v>
      </c>
    </row>
    <row r="4641" spans="1:11" hidden="1" x14ac:dyDescent="0.25">
      <c r="A4641">
        <v>4640</v>
      </c>
      <c r="B4641" s="1">
        <v>45750</v>
      </c>
      <c r="C4641" t="s">
        <v>58</v>
      </c>
      <c r="D4641" t="s">
        <v>108</v>
      </c>
      <c r="E4641" t="s">
        <v>8</v>
      </c>
      <c r="F4641">
        <v>1</v>
      </c>
      <c r="G4641" t="str">
        <f>VLOOKUP(D4641,Товары!A:I,3,0)</f>
        <v>Тумба с раковиной  навес. Виктория 1000 белый 2 ящика с умыв. Слим</v>
      </c>
      <c r="H4641">
        <f>VLOOKUP(D4641,Товары!A:I,6,0)</f>
        <v>60</v>
      </c>
      <c r="I4641" t="str">
        <f>VLOOKUP(C4641,Магазины!A:C,3,0)</f>
        <v>Ставрополь</v>
      </c>
      <c r="J4641">
        <f>VLOOKUP(D4641,Товары!A:I,4,0)</f>
        <v>29205</v>
      </c>
      <c r="K4641">
        <f t="shared" si="72"/>
        <v>29205</v>
      </c>
    </row>
    <row r="4642" spans="1:11" hidden="1" x14ac:dyDescent="0.25">
      <c r="A4642">
        <v>4641</v>
      </c>
      <c r="B4642" s="1">
        <v>45749</v>
      </c>
      <c r="C4642" t="s">
        <v>26</v>
      </c>
      <c r="D4642" t="s">
        <v>105</v>
      </c>
      <c r="E4642" t="s">
        <v>13</v>
      </c>
      <c r="F4642">
        <v>1</v>
      </c>
      <c r="G4642" t="str">
        <f>VLOOKUP(D4642,Товары!A:I,3,0)</f>
        <v>Тумба с раковиной  напол. Нева 600 белый 2 двери + 1 ящик с умыв. Como</v>
      </c>
      <c r="H4642">
        <f>VLOOKUP(D4642,Товары!A:I,6,0)</f>
        <v>80</v>
      </c>
      <c r="I4642" t="str">
        <f>VLOOKUP(C4642,Магазины!A:C,3,0)</f>
        <v>Оренбург</v>
      </c>
      <c r="J4642">
        <f>VLOOKUP(D4642,Товары!A:I,4,0)</f>
        <v>13470</v>
      </c>
      <c r="K4642">
        <f t="shared" si="72"/>
        <v>13470</v>
      </c>
    </row>
    <row r="4643" spans="1:11" hidden="1" x14ac:dyDescent="0.25">
      <c r="A4643">
        <v>4642</v>
      </c>
      <c r="B4643" s="1">
        <v>45749</v>
      </c>
      <c r="C4643" t="s">
        <v>57</v>
      </c>
      <c r="D4643" t="s">
        <v>88</v>
      </c>
      <c r="E4643" t="s">
        <v>8</v>
      </c>
      <c r="F4643">
        <v>2</v>
      </c>
      <c r="G4643" t="str">
        <f>VLOOKUP(D4643,Товары!A:I,3,0)</f>
        <v>Тумба с раковиной  навес. Альба 800 антрацит 2 ящика с умыв. Слим</v>
      </c>
      <c r="H4643">
        <f>VLOOKUP(D4643,Товары!A:I,6,0)</f>
        <v>50</v>
      </c>
      <c r="I4643" t="str">
        <f>VLOOKUP(C4643,Магазины!A:C,3,0)</f>
        <v>Оренбург</v>
      </c>
      <c r="J4643">
        <f>VLOOKUP(D4643,Товары!A:I,4,0)</f>
        <v>26070</v>
      </c>
      <c r="K4643">
        <f t="shared" si="72"/>
        <v>52140</v>
      </c>
    </row>
    <row r="4644" spans="1:11" hidden="1" x14ac:dyDescent="0.25">
      <c r="A4644">
        <v>4643</v>
      </c>
      <c r="B4644" s="1">
        <v>45749</v>
      </c>
      <c r="C4644" t="s">
        <v>14</v>
      </c>
      <c r="D4644" t="s">
        <v>130</v>
      </c>
      <c r="E4644" t="s">
        <v>8</v>
      </c>
      <c r="F4644">
        <v>2</v>
      </c>
      <c r="G4644" t="str">
        <f>VLOOKUP(D4644,Товары!A:I,3,0)</f>
        <v>Пенал напол. Леон 400 форест 2 двери + 1 ящик</v>
      </c>
      <c r="H4644">
        <f>VLOOKUP(D4644,Товары!A:I,6,0)</f>
        <v>190</v>
      </c>
      <c r="I4644" t="str">
        <f>VLOOKUP(C4644,Магазины!A:C,3,0)</f>
        <v>Оренбург</v>
      </c>
      <c r="J4644">
        <f>VLOOKUP(D4644,Товары!A:I,4,0)</f>
        <v>18450</v>
      </c>
      <c r="K4644">
        <f t="shared" si="72"/>
        <v>36900</v>
      </c>
    </row>
    <row r="4645" spans="1:11" hidden="1" x14ac:dyDescent="0.25">
      <c r="A4645">
        <v>4644</v>
      </c>
      <c r="B4645" s="1">
        <v>45751</v>
      </c>
      <c r="C4645" t="s">
        <v>35</v>
      </c>
      <c r="D4645" t="s">
        <v>23</v>
      </c>
      <c r="E4645" t="s">
        <v>8</v>
      </c>
      <c r="F4645">
        <v>3</v>
      </c>
      <c r="G4645" t="str">
        <f>VLOOKUP(D4645,Товары!A:I,3,0)</f>
        <v>Тумба с раковиной  напол. Альба 800 антрацит 2 ящика с умыв. Слим</v>
      </c>
      <c r="H4645">
        <f>VLOOKUP(D4645,Товары!A:I,6,0)</f>
        <v>80</v>
      </c>
      <c r="I4645" t="str">
        <f>VLOOKUP(C4645,Магазины!A:C,3,0)</f>
        <v>Набережные Челны</v>
      </c>
      <c r="J4645">
        <f>VLOOKUP(D4645,Товары!A:I,4,0)</f>
        <v>29340</v>
      </c>
      <c r="K4645">
        <f t="shared" si="72"/>
        <v>88020</v>
      </c>
    </row>
    <row r="4646" spans="1:11" hidden="1" x14ac:dyDescent="0.25">
      <c r="A4646">
        <v>4645</v>
      </c>
      <c r="B4646" s="1">
        <v>45752</v>
      </c>
      <c r="C4646" t="s">
        <v>57</v>
      </c>
      <c r="D4646" t="s">
        <v>82</v>
      </c>
      <c r="E4646" t="s">
        <v>13</v>
      </c>
      <c r="F4646">
        <v>1</v>
      </c>
      <c r="G4646" t="str">
        <f>VLOOKUP(D4646,Товары!A:I,3,0)</f>
        <v>Тумба с раковиной  навес. Леон 800 форест 2 ящика с умыв. Слим</v>
      </c>
      <c r="H4646">
        <f>VLOOKUP(D4646,Товары!A:I,6,0)</f>
        <v>60</v>
      </c>
      <c r="I4646" t="str">
        <f>VLOOKUP(C4646,Магазины!A:C,3,0)</f>
        <v>Оренбург</v>
      </c>
      <c r="J4646">
        <f>VLOOKUP(D4646,Товары!A:I,4,0)</f>
        <v>27930</v>
      </c>
      <c r="K4646">
        <f t="shared" si="72"/>
        <v>27930</v>
      </c>
    </row>
    <row r="4647" spans="1:11" hidden="1" x14ac:dyDescent="0.25">
      <c r="A4647">
        <v>4646</v>
      </c>
      <c r="B4647" s="1">
        <v>45748</v>
      </c>
      <c r="C4647" t="s">
        <v>57</v>
      </c>
      <c r="D4647" t="s">
        <v>15</v>
      </c>
      <c r="E4647" t="s">
        <v>8</v>
      </c>
      <c r="F4647">
        <v>3</v>
      </c>
      <c r="G4647" t="str">
        <f>VLOOKUP(D4647,Товары!A:I,3,0)</f>
        <v>Зеркальный шкаф Кристалл 60 со светильником правый, ручка кнопка дуб цвет Шато Азур</v>
      </c>
      <c r="H4647">
        <f>VLOOKUP(D4647,Товары!A:I,6,0)</f>
        <v>75</v>
      </c>
      <c r="I4647" t="str">
        <f>VLOOKUP(C4647,Магазины!A:C,3,0)</f>
        <v>Оренбург</v>
      </c>
      <c r="J4647">
        <f>VLOOKUP(D4647,Товары!A:I,4,0)</f>
        <v>9195</v>
      </c>
      <c r="K4647">
        <f t="shared" si="72"/>
        <v>27585</v>
      </c>
    </row>
    <row r="4648" spans="1:11" hidden="1" x14ac:dyDescent="0.25">
      <c r="A4648">
        <v>4647</v>
      </c>
      <c r="B4648" s="1">
        <v>45751</v>
      </c>
      <c r="C4648" t="s">
        <v>54</v>
      </c>
      <c r="D4648" t="s">
        <v>73</v>
      </c>
      <c r="E4648" t="s">
        <v>8</v>
      </c>
      <c r="F4648">
        <v>3</v>
      </c>
      <c r="G4648" t="str">
        <f>VLOOKUP(D4648,Товары!A:I,3,0)</f>
        <v>Зеркальный шкаф Альба 70 со светильником правый цвет антрацит</v>
      </c>
      <c r="H4648">
        <f>VLOOKUP(D4648,Товары!A:I,6,0)</f>
        <v>75</v>
      </c>
      <c r="I4648" t="str">
        <f>VLOOKUP(C4648,Магазины!A:C,3,0)</f>
        <v>Ставрополь</v>
      </c>
      <c r="J4648">
        <f>VLOOKUP(D4648,Товары!A:I,4,0)</f>
        <v>9615</v>
      </c>
      <c r="K4648">
        <f t="shared" si="72"/>
        <v>28845</v>
      </c>
    </row>
    <row r="4649" spans="1:11" hidden="1" x14ac:dyDescent="0.25">
      <c r="A4649">
        <v>4648</v>
      </c>
      <c r="B4649" s="1">
        <v>45755</v>
      </c>
      <c r="C4649" t="s">
        <v>63</v>
      </c>
      <c r="D4649" t="s">
        <v>65</v>
      </c>
      <c r="E4649" t="s">
        <v>13</v>
      </c>
      <c r="F4649">
        <v>1</v>
      </c>
      <c r="G4649" t="str">
        <f>VLOOKUP(D4649,Товары!A:I,3,0)</f>
        <v>Тумба с раковиной  навес. Альба 800 суфле 2 ящика с умыв. Слим</v>
      </c>
      <c r="H4649">
        <f>VLOOKUP(D4649,Товары!A:I,6,0)</f>
        <v>50</v>
      </c>
      <c r="I4649" t="str">
        <f>VLOOKUP(C4649,Магазины!A:C,3,0)</f>
        <v>Ставрополь</v>
      </c>
      <c r="J4649">
        <f>VLOOKUP(D4649,Товары!A:I,4,0)</f>
        <v>26070</v>
      </c>
      <c r="K4649">
        <f t="shared" si="72"/>
        <v>26070</v>
      </c>
    </row>
    <row r="4650" spans="1:11" hidden="1" x14ac:dyDescent="0.25">
      <c r="A4650">
        <v>4649</v>
      </c>
      <c r="B4650" s="1">
        <v>45749</v>
      </c>
      <c r="C4650" t="s">
        <v>14</v>
      </c>
      <c r="D4650" t="s">
        <v>84</v>
      </c>
      <c r="E4650" t="s">
        <v>8</v>
      </c>
      <c r="F4650">
        <v>1</v>
      </c>
      <c r="G4650" t="str">
        <f>VLOOKUP(D4650,Товары!A:I,3,0)</f>
        <v>Тумба с раковиной  напол. Куба Риф 800 белый 3 двери с умыв. Слим</v>
      </c>
      <c r="H4650">
        <f>VLOOKUP(D4650,Товары!A:I,6,0)</f>
        <v>85</v>
      </c>
      <c r="I4650" t="str">
        <f>VLOOKUP(C4650,Магазины!A:C,3,0)</f>
        <v>Оренбург</v>
      </c>
      <c r="J4650">
        <f>VLOOKUP(D4650,Товары!A:I,4,0)</f>
        <v>19920</v>
      </c>
      <c r="K4650">
        <f t="shared" si="72"/>
        <v>19920</v>
      </c>
    </row>
    <row r="4651" spans="1:11" hidden="1" x14ac:dyDescent="0.25">
      <c r="A4651">
        <v>4650</v>
      </c>
      <c r="B4651" s="1">
        <v>45756</v>
      </c>
      <c r="C4651" t="s">
        <v>43</v>
      </c>
      <c r="D4651" t="s">
        <v>76</v>
      </c>
      <c r="E4651" t="s">
        <v>13</v>
      </c>
      <c r="F4651">
        <v>3</v>
      </c>
      <c r="G4651" t="str">
        <f>VLOOKUP(D4651,Товары!A:I,3,0)</f>
        <v>Тумба с раковиной  напол. Леон 600 оникс 2 ящика с умыв. Слим</v>
      </c>
      <c r="H4651">
        <f>VLOOKUP(D4651,Товары!A:I,6,0)</f>
        <v>80</v>
      </c>
      <c r="I4651" t="str">
        <f>VLOOKUP(C4651,Магазины!A:C,3,0)</f>
        <v>Набережные Челны</v>
      </c>
      <c r="J4651">
        <f>VLOOKUP(D4651,Товары!A:I,4,0)</f>
        <v>25860</v>
      </c>
      <c r="K4651">
        <f t="shared" si="72"/>
        <v>77580</v>
      </c>
    </row>
    <row r="4652" spans="1:11" hidden="1" x14ac:dyDescent="0.25">
      <c r="A4652">
        <v>4651</v>
      </c>
      <c r="B4652" s="1">
        <v>45756</v>
      </c>
      <c r="C4652" t="s">
        <v>41</v>
      </c>
      <c r="D4652" t="s">
        <v>75</v>
      </c>
      <c r="E4652" t="s">
        <v>13</v>
      </c>
      <c r="F4652">
        <v>2</v>
      </c>
      <c r="G4652" t="str">
        <f>VLOOKUP(D4652,Товары!A:I,3,0)</f>
        <v>Тумба с раковиной  напол. Альба 600 суфле 2 ящика с умыв. Океан</v>
      </c>
      <c r="H4652">
        <f>VLOOKUP(D4652,Товары!A:I,6,0)</f>
        <v>80</v>
      </c>
      <c r="I4652" t="str">
        <f>VLOOKUP(C4652,Магазины!A:C,3,0)</f>
        <v>Ставрополь</v>
      </c>
      <c r="J4652">
        <f>VLOOKUP(D4652,Товары!A:I,4,0)</f>
        <v>26370</v>
      </c>
      <c r="K4652">
        <f t="shared" si="72"/>
        <v>52740</v>
      </c>
    </row>
    <row r="4653" spans="1:11" hidden="1" x14ac:dyDescent="0.25">
      <c r="A4653">
        <v>4652</v>
      </c>
      <c r="B4653" s="1">
        <v>45750</v>
      </c>
      <c r="C4653" t="s">
        <v>33</v>
      </c>
      <c r="D4653" t="s">
        <v>85</v>
      </c>
      <c r="E4653" t="s">
        <v>13</v>
      </c>
      <c r="F4653">
        <v>1</v>
      </c>
      <c r="G4653" t="str">
        <f>VLOOKUP(D4653,Товары!A:I,3,0)</f>
        <v>Пенал напол. Аква 450 белый 2 двери + 2 ящика + корзина</v>
      </c>
      <c r="H4653">
        <f>VLOOKUP(D4653,Товары!A:I,6,0)</f>
        <v>190</v>
      </c>
      <c r="I4653" t="str">
        <f>VLOOKUP(C4653,Магазины!A:C,3,0)</f>
        <v>Набережные Челны</v>
      </c>
      <c r="J4653">
        <f>VLOOKUP(D4653,Товары!A:I,4,0)</f>
        <v>13335</v>
      </c>
      <c r="K4653">
        <f t="shared" si="72"/>
        <v>13335</v>
      </c>
    </row>
    <row r="4654" spans="1:11" hidden="1" x14ac:dyDescent="0.25">
      <c r="A4654">
        <v>4653</v>
      </c>
      <c r="B4654" s="1">
        <v>45756</v>
      </c>
      <c r="C4654" t="s">
        <v>9</v>
      </c>
      <c r="D4654" t="s">
        <v>38</v>
      </c>
      <c r="E4654" t="s">
        <v>8</v>
      </c>
      <c r="F4654">
        <v>1</v>
      </c>
      <c r="G4654" t="str">
        <f>VLOOKUP(D4654,Товары!A:I,3,0)</f>
        <v>Тумба с раковиной  навес. Куба Риф 600 белый 2 ящика с умыв. Como</v>
      </c>
      <c r="H4654">
        <f>VLOOKUP(D4654,Товары!A:I,6,0)</f>
        <v>55</v>
      </c>
      <c r="I4654" t="str">
        <f>VLOOKUP(C4654,Магазины!A:C,3,0)</f>
        <v>Кемерово</v>
      </c>
      <c r="J4654">
        <f>VLOOKUP(D4654,Товары!A:I,4,0)</f>
        <v>14265</v>
      </c>
      <c r="K4654">
        <f t="shared" si="72"/>
        <v>14265</v>
      </c>
    </row>
    <row r="4655" spans="1:11" hidden="1" x14ac:dyDescent="0.25">
      <c r="A4655">
        <v>4654</v>
      </c>
      <c r="B4655" s="1">
        <v>45752</v>
      </c>
      <c r="C4655" t="s">
        <v>35</v>
      </c>
      <c r="D4655" t="s">
        <v>94</v>
      </c>
      <c r="E4655" t="s">
        <v>8</v>
      </c>
      <c r="F4655">
        <v>2</v>
      </c>
      <c r="G4655" t="str">
        <f>VLOOKUP(D4655,Товары!A:I,3,0)</f>
        <v>Зеркальный шкаф Альба 80 со светильником правый цвет антрацит</v>
      </c>
      <c r="H4655">
        <f>VLOOKUP(D4655,Товары!A:I,6,0)</f>
        <v>75</v>
      </c>
      <c r="I4655" t="str">
        <f>VLOOKUP(C4655,Магазины!A:C,3,0)</f>
        <v>Набережные Челны</v>
      </c>
      <c r="J4655">
        <f>VLOOKUP(D4655,Товары!A:I,4,0)</f>
        <v>9930</v>
      </c>
      <c r="K4655">
        <f t="shared" si="72"/>
        <v>19860</v>
      </c>
    </row>
    <row r="4656" spans="1:11" hidden="1" x14ac:dyDescent="0.25">
      <c r="A4656">
        <v>4655</v>
      </c>
      <c r="B4656" s="1">
        <v>45748</v>
      </c>
      <c r="C4656" t="s">
        <v>6</v>
      </c>
      <c r="D4656" t="s">
        <v>47</v>
      </c>
      <c r="E4656" t="s">
        <v>13</v>
      </c>
      <c r="F4656">
        <v>1</v>
      </c>
      <c r="G4656" t="str">
        <f>VLOOKUP(D4656,Товары!A:I,3,0)</f>
        <v>Пенал напол. Кристалл 350 шато азур 2 двери</v>
      </c>
      <c r="H4656">
        <f>VLOOKUP(D4656,Товары!A:I,6,0)</f>
        <v>190</v>
      </c>
      <c r="I4656" t="str">
        <f>VLOOKUP(C4656,Магазины!A:C,3,0)</f>
        <v>Оренбург</v>
      </c>
      <c r="J4656">
        <f>VLOOKUP(D4656,Товары!A:I,4,0)</f>
        <v>15810</v>
      </c>
      <c r="K4656">
        <f t="shared" si="72"/>
        <v>15810</v>
      </c>
    </row>
    <row r="4657" spans="1:11" hidden="1" x14ac:dyDescent="0.25">
      <c r="A4657">
        <v>4656</v>
      </c>
      <c r="B4657" s="1">
        <v>45750</v>
      </c>
      <c r="C4657" t="s">
        <v>54</v>
      </c>
      <c r="D4657" t="s">
        <v>117</v>
      </c>
      <c r="E4657" t="s">
        <v>13</v>
      </c>
      <c r="F4657">
        <v>1</v>
      </c>
      <c r="G4657" t="str">
        <f>VLOOKUP(D4657,Товары!A:I,3,0)</f>
        <v>Тумба с раковиной  навес. Альба 700 антрацит 2 ящика с умыв. Слим</v>
      </c>
      <c r="H4657">
        <f>VLOOKUP(D4657,Товары!A:I,6,0)</f>
        <v>60</v>
      </c>
      <c r="I4657" t="str">
        <f>VLOOKUP(C4657,Магазины!A:C,3,0)</f>
        <v>Ставрополь</v>
      </c>
      <c r="J4657">
        <f>VLOOKUP(D4657,Товары!A:I,4,0)</f>
        <v>25095</v>
      </c>
      <c r="K4657">
        <f t="shared" si="72"/>
        <v>25095</v>
      </c>
    </row>
    <row r="4658" spans="1:11" hidden="1" x14ac:dyDescent="0.25">
      <c r="A4658">
        <v>4657</v>
      </c>
      <c r="B4658" s="1">
        <v>45756</v>
      </c>
      <c r="C4658" t="s">
        <v>57</v>
      </c>
      <c r="D4658" t="s">
        <v>65</v>
      </c>
      <c r="E4658" t="s">
        <v>8</v>
      </c>
      <c r="F4658">
        <v>1</v>
      </c>
      <c r="G4658" t="str">
        <f>VLOOKUP(D4658,Товары!A:I,3,0)</f>
        <v>Тумба с раковиной  навес. Альба 800 суфле 2 ящика с умыв. Слим</v>
      </c>
      <c r="H4658">
        <f>VLOOKUP(D4658,Товары!A:I,6,0)</f>
        <v>50</v>
      </c>
      <c r="I4658" t="str">
        <f>VLOOKUP(C4658,Магазины!A:C,3,0)</f>
        <v>Оренбург</v>
      </c>
      <c r="J4658">
        <f>VLOOKUP(D4658,Товары!A:I,4,0)</f>
        <v>26070</v>
      </c>
      <c r="K4658">
        <f t="shared" si="72"/>
        <v>26070</v>
      </c>
    </row>
    <row r="4659" spans="1:11" hidden="1" x14ac:dyDescent="0.25">
      <c r="A4659">
        <v>4658</v>
      </c>
      <c r="B4659" s="1">
        <v>45756</v>
      </c>
      <c r="C4659" t="s">
        <v>54</v>
      </c>
      <c r="D4659" t="s">
        <v>102</v>
      </c>
      <c r="E4659" t="s">
        <v>8</v>
      </c>
      <c r="F4659">
        <v>3</v>
      </c>
      <c r="G4659" t="str">
        <f>VLOOKUP(D4659,Товары!A:I,3,0)</f>
        <v>Тумба с раковиной  напол. Леон Риф 1000 солярис/белый риф 2 ящика с умыв. Слим</v>
      </c>
      <c r="H4659">
        <f>VLOOKUP(D4659,Товары!A:I,6,0)</f>
        <v>85</v>
      </c>
      <c r="I4659" t="str">
        <f>VLOOKUP(C4659,Магазины!A:C,3,0)</f>
        <v>Ставрополь</v>
      </c>
      <c r="J4659">
        <f>VLOOKUP(D4659,Товары!A:I,4,0)</f>
        <v>32085</v>
      </c>
      <c r="K4659">
        <f t="shared" si="72"/>
        <v>96255</v>
      </c>
    </row>
    <row r="4660" spans="1:11" hidden="1" x14ac:dyDescent="0.25">
      <c r="A4660">
        <v>4659</v>
      </c>
      <c r="B4660" s="1">
        <v>45754</v>
      </c>
      <c r="C4660" t="s">
        <v>30</v>
      </c>
      <c r="D4660" t="s">
        <v>118</v>
      </c>
      <c r="E4660" t="s">
        <v>13</v>
      </c>
      <c r="F4660">
        <v>3</v>
      </c>
      <c r="G4660" t="str">
        <f>VLOOKUP(D4660,Товары!A:I,3,0)</f>
        <v>Тумба с раковиной  напол. Сохо 800 белый 2 ящика с умыв. Слим</v>
      </c>
      <c r="H4660">
        <f>VLOOKUP(D4660,Товары!A:I,6,0)</f>
        <v>85</v>
      </c>
      <c r="I4660" t="str">
        <f>VLOOKUP(C4660,Магазины!A:C,3,0)</f>
        <v>Кемерово</v>
      </c>
      <c r="J4660">
        <f>VLOOKUP(D4660,Товары!A:I,4,0)</f>
        <v>19575</v>
      </c>
      <c r="K4660">
        <f t="shared" si="72"/>
        <v>58725</v>
      </c>
    </row>
    <row r="4661" spans="1:11" hidden="1" x14ac:dyDescent="0.25">
      <c r="A4661">
        <v>4660</v>
      </c>
      <c r="B4661" s="1">
        <v>45749</v>
      </c>
      <c r="C4661" t="s">
        <v>58</v>
      </c>
      <c r="D4661" t="s">
        <v>105</v>
      </c>
      <c r="E4661" t="s">
        <v>8</v>
      </c>
      <c r="F4661">
        <v>1</v>
      </c>
      <c r="G4661" t="str">
        <f>VLOOKUP(D4661,Товары!A:I,3,0)</f>
        <v>Тумба с раковиной  напол. Нева 600 белый 2 двери + 1 ящик с умыв. Como</v>
      </c>
      <c r="H4661">
        <f>VLOOKUP(D4661,Товары!A:I,6,0)</f>
        <v>80</v>
      </c>
      <c r="I4661" t="str">
        <f>VLOOKUP(C4661,Магазины!A:C,3,0)</f>
        <v>Ставрополь</v>
      </c>
      <c r="J4661">
        <f>VLOOKUP(D4661,Товары!A:I,4,0)</f>
        <v>13470</v>
      </c>
      <c r="K4661">
        <f t="shared" si="72"/>
        <v>13470</v>
      </c>
    </row>
    <row r="4662" spans="1:11" hidden="1" x14ac:dyDescent="0.25">
      <c r="A4662">
        <v>4661</v>
      </c>
      <c r="B4662" s="1">
        <v>45752</v>
      </c>
      <c r="C4662" t="s">
        <v>22</v>
      </c>
      <c r="D4662" t="s">
        <v>70</v>
      </c>
      <c r="E4662" t="s">
        <v>8</v>
      </c>
      <c r="F4662">
        <v>1</v>
      </c>
      <c r="G4662" t="str">
        <f>VLOOKUP(D4662,Товары!A:I,3,0)</f>
        <v>Тумба с раковиной  напол. Кристалл 700 шато азур 2 ящика с умыв. Слим</v>
      </c>
      <c r="H4662">
        <f>VLOOKUP(D4662,Товары!A:I,6,0)</f>
        <v>85</v>
      </c>
      <c r="I4662" t="str">
        <f>VLOOKUP(C4662,Магазины!A:C,3,0)</f>
        <v>Кемерово</v>
      </c>
      <c r="J4662">
        <f>VLOOKUP(D4662,Товары!A:I,4,0)</f>
        <v>29910</v>
      </c>
      <c r="K4662">
        <f t="shared" si="72"/>
        <v>29910</v>
      </c>
    </row>
    <row r="4663" spans="1:11" hidden="1" x14ac:dyDescent="0.25">
      <c r="A4663">
        <v>4662</v>
      </c>
      <c r="B4663" s="1">
        <v>45753</v>
      </c>
      <c r="C4663" t="s">
        <v>48</v>
      </c>
      <c r="D4663" t="s">
        <v>55</v>
      </c>
      <c r="E4663" t="s">
        <v>13</v>
      </c>
      <c r="F4663">
        <v>2</v>
      </c>
      <c r="G4663" t="str">
        <f>VLOOKUP(D4663,Товары!A:I,3,0)</f>
        <v>Тумба с раковиной  напол. Рица 600 cерый/керамика 2 ящика с умыв. Океан</v>
      </c>
      <c r="H4663">
        <f>VLOOKUP(D4663,Товары!A:I,6,0)</f>
        <v>80</v>
      </c>
      <c r="I4663" t="str">
        <f>VLOOKUP(C4663,Магазины!A:C,3,0)</f>
        <v>Ставрополь</v>
      </c>
      <c r="J4663">
        <f>VLOOKUP(D4663,Товары!A:I,4,0)</f>
        <v>25560</v>
      </c>
      <c r="K4663">
        <f t="shared" si="72"/>
        <v>51120</v>
      </c>
    </row>
    <row r="4664" spans="1:11" hidden="1" x14ac:dyDescent="0.25">
      <c r="A4664">
        <v>4663</v>
      </c>
      <c r="B4664" s="1">
        <v>45750</v>
      </c>
      <c r="C4664" t="s">
        <v>58</v>
      </c>
      <c r="D4664" t="s">
        <v>86</v>
      </c>
      <c r="E4664" t="s">
        <v>13</v>
      </c>
      <c r="F4664">
        <v>3</v>
      </c>
      <c r="G4664" t="str">
        <f>VLOOKUP(D4664,Товары!A:I,3,0)</f>
        <v>Комод Аква 50 напольный 1 ящик 2 двери белый</v>
      </c>
      <c r="H4664">
        <f>VLOOKUP(D4664,Товары!A:I,6,0)</f>
        <v>90</v>
      </c>
      <c r="I4664" t="str">
        <f>VLOOKUP(C4664,Магазины!A:C,3,0)</f>
        <v>Ставрополь</v>
      </c>
      <c r="J4664">
        <f>VLOOKUP(D4664,Товары!A:I,4,0)</f>
        <v>7260</v>
      </c>
      <c r="K4664">
        <f t="shared" si="72"/>
        <v>21780</v>
      </c>
    </row>
    <row r="4665" spans="1:11" hidden="1" x14ac:dyDescent="0.25">
      <c r="A4665">
        <v>4664</v>
      </c>
      <c r="B4665" s="1">
        <v>45752</v>
      </c>
      <c r="C4665" t="s">
        <v>63</v>
      </c>
      <c r="D4665" t="s">
        <v>65</v>
      </c>
      <c r="E4665" t="s">
        <v>8</v>
      </c>
      <c r="F4665">
        <v>1</v>
      </c>
      <c r="G4665" t="str">
        <f>VLOOKUP(D4665,Товары!A:I,3,0)</f>
        <v>Тумба с раковиной  навес. Альба 800 суфле 2 ящика с умыв. Слим</v>
      </c>
      <c r="H4665">
        <f>VLOOKUP(D4665,Товары!A:I,6,0)</f>
        <v>50</v>
      </c>
      <c r="I4665" t="str">
        <f>VLOOKUP(C4665,Магазины!A:C,3,0)</f>
        <v>Ставрополь</v>
      </c>
      <c r="J4665">
        <f>VLOOKUP(D4665,Товары!A:I,4,0)</f>
        <v>26070</v>
      </c>
      <c r="K4665">
        <f t="shared" si="72"/>
        <v>26070</v>
      </c>
    </row>
    <row r="4666" spans="1:11" hidden="1" x14ac:dyDescent="0.25">
      <c r="A4666">
        <v>4665</v>
      </c>
      <c r="B4666" s="1">
        <v>45754</v>
      </c>
      <c r="C4666" t="s">
        <v>20</v>
      </c>
      <c r="D4666" t="s">
        <v>101</v>
      </c>
      <c r="E4666" t="s">
        <v>8</v>
      </c>
      <c r="F4666">
        <v>1</v>
      </c>
      <c r="G4666" t="str">
        <f>VLOOKUP(D4666,Товары!A:I,3,0)</f>
        <v>Пенал напол. Сохо 400 белый 2 двери + 1 ящик</v>
      </c>
      <c r="H4666">
        <f>VLOOKUP(D4666,Товары!A:I,6,0)</f>
        <v>190</v>
      </c>
      <c r="I4666" t="str">
        <f>VLOOKUP(C4666,Магазины!A:C,3,0)</f>
        <v>Оренбург</v>
      </c>
      <c r="J4666">
        <f>VLOOKUP(D4666,Товары!A:I,4,0)</f>
        <v>11040</v>
      </c>
      <c r="K4666">
        <f t="shared" si="72"/>
        <v>11040</v>
      </c>
    </row>
    <row r="4667" spans="1:11" hidden="1" x14ac:dyDescent="0.25">
      <c r="A4667">
        <v>4666</v>
      </c>
      <c r="B4667" s="1">
        <v>45753</v>
      </c>
      <c r="C4667" t="s">
        <v>26</v>
      </c>
      <c r="D4667" t="s">
        <v>68</v>
      </c>
      <c r="E4667" t="s">
        <v>13</v>
      </c>
      <c r="F4667">
        <v>1</v>
      </c>
      <c r="G4667" t="str">
        <f>VLOOKUP(D4667,Товары!A:I,3,0)</f>
        <v>Тумба с раковиной  навес. Альба 600 антрацит 1 ящик с умыв. Океан</v>
      </c>
      <c r="H4667">
        <f>VLOOKUP(D4667,Товары!A:I,6,0)</f>
        <v>85</v>
      </c>
      <c r="I4667" t="str">
        <f>VLOOKUP(C4667,Магазины!A:C,3,0)</f>
        <v>Оренбург</v>
      </c>
      <c r="J4667">
        <f>VLOOKUP(D4667,Товары!A:I,4,0)</f>
        <v>17625</v>
      </c>
      <c r="K4667">
        <f t="shared" si="72"/>
        <v>17625</v>
      </c>
    </row>
    <row r="4668" spans="1:11" hidden="1" x14ac:dyDescent="0.25">
      <c r="A4668">
        <v>4667</v>
      </c>
      <c r="B4668" s="1">
        <v>45754</v>
      </c>
      <c r="C4668" t="s">
        <v>33</v>
      </c>
      <c r="D4668" t="s">
        <v>24</v>
      </c>
      <c r="E4668" t="s">
        <v>13</v>
      </c>
      <c r="F4668">
        <v>2</v>
      </c>
      <c r="G4668" t="str">
        <f>VLOOKUP(D4668,Товары!A:I,3,0)</f>
        <v>Тумба с раковиной  напол. Леон 600 форест 2 ящика с умыв. Слим</v>
      </c>
      <c r="H4668">
        <f>VLOOKUP(D4668,Товары!A:I,6,0)</f>
        <v>80</v>
      </c>
      <c r="I4668" t="str">
        <f>VLOOKUP(C4668,Магазины!A:C,3,0)</f>
        <v>Набережные Челны</v>
      </c>
      <c r="J4668">
        <f>VLOOKUP(D4668,Товары!A:I,4,0)</f>
        <v>27150</v>
      </c>
      <c r="K4668">
        <f t="shared" si="72"/>
        <v>54300</v>
      </c>
    </row>
    <row r="4669" spans="1:11" hidden="1" x14ac:dyDescent="0.25">
      <c r="A4669">
        <v>4668</v>
      </c>
      <c r="B4669" s="1">
        <v>45750</v>
      </c>
      <c r="C4669" t="s">
        <v>16</v>
      </c>
      <c r="D4669" t="s">
        <v>110</v>
      </c>
      <c r="E4669" t="s">
        <v>13</v>
      </c>
      <c r="F4669">
        <v>1</v>
      </c>
      <c r="G4669" t="str">
        <f>VLOOKUP(D4669,Товары!A:I,3,0)</f>
        <v>Тумба с раковиной  напол. Альба 600 антрацит 2 ящика с умыв. Океан</v>
      </c>
      <c r="H4669">
        <f>VLOOKUP(D4669,Товары!A:I,6,0)</f>
        <v>80</v>
      </c>
      <c r="I4669" t="str">
        <f>VLOOKUP(C4669,Магазины!A:C,3,0)</f>
        <v>Оренбург</v>
      </c>
      <c r="J4669">
        <f>VLOOKUP(D4669,Товары!A:I,4,0)</f>
        <v>26370</v>
      </c>
      <c r="K4669">
        <f t="shared" si="72"/>
        <v>26370</v>
      </c>
    </row>
    <row r="4670" spans="1:11" hidden="1" x14ac:dyDescent="0.25">
      <c r="A4670">
        <v>4669</v>
      </c>
      <c r="B4670" s="1">
        <v>45756</v>
      </c>
      <c r="C4670" t="s">
        <v>6</v>
      </c>
      <c r="D4670" t="s">
        <v>91</v>
      </c>
      <c r="E4670" t="s">
        <v>13</v>
      </c>
      <c r="F4670">
        <v>1</v>
      </c>
      <c r="G4670" t="str">
        <f>VLOOKUP(D4670,Товары!A:I,3,0)</f>
        <v>Пенал навес./напол. Альба 350 мята 2 двери</v>
      </c>
      <c r="H4670">
        <f>VLOOKUP(D4670,Товары!A:I,6,0)</f>
        <v>150</v>
      </c>
      <c r="I4670" t="str">
        <f>VLOOKUP(C4670,Магазины!A:C,3,0)</f>
        <v>Оренбург</v>
      </c>
      <c r="J4670">
        <f>VLOOKUP(D4670,Товары!A:I,4,0)</f>
        <v>11655</v>
      </c>
      <c r="K4670">
        <f t="shared" si="72"/>
        <v>11655</v>
      </c>
    </row>
    <row r="4671" spans="1:11" hidden="1" x14ac:dyDescent="0.25">
      <c r="A4671">
        <v>4670</v>
      </c>
      <c r="B4671" s="1">
        <v>45752</v>
      </c>
      <c r="C4671" t="s">
        <v>57</v>
      </c>
      <c r="D4671" t="s">
        <v>74</v>
      </c>
      <c r="E4671" t="s">
        <v>8</v>
      </c>
      <c r="F4671">
        <v>1</v>
      </c>
      <c r="G4671" t="str">
        <f>VLOOKUP(D4671,Товары!A:I,3,0)</f>
        <v>Тумба с раковиной  напол. Альба 800 суфле 2 ящика с умыв. Слим</v>
      </c>
      <c r="H4671">
        <f>VLOOKUP(D4671,Товары!A:I,6,0)</f>
        <v>80</v>
      </c>
      <c r="I4671" t="str">
        <f>VLOOKUP(C4671,Магазины!A:C,3,0)</f>
        <v>Оренбург</v>
      </c>
      <c r="J4671">
        <f>VLOOKUP(D4671,Товары!A:I,4,0)</f>
        <v>29340</v>
      </c>
      <c r="K4671">
        <f t="shared" si="72"/>
        <v>29340</v>
      </c>
    </row>
    <row r="4672" spans="1:11" hidden="1" x14ac:dyDescent="0.25">
      <c r="A4672">
        <v>4671</v>
      </c>
      <c r="B4672" s="1">
        <v>45756</v>
      </c>
      <c r="C4672" t="s">
        <v>54</v>
      </c>
      <c r="D4672" t="s">
        <v>126</v>
      </c>
      <c r="E4672" t="s">
        <v>13</v>
      </c>
      <c r="F4672">
        <v>3</v>
      </c>
      <c r="G4672" t="str">
        <f>VLOOKUP(D4672,Товары!A:I,3,0)</f>
        <v>Тумба с раковиной  напол. Кристалл 800 шато азур 2 ящика с умыв. Комфорт</v>
      </c>
      <c r="H4672">
        <f>VLOOKUP(D4672,Товары!A:I,6,0)</f>
        <v>85</v>
      </c>
      <c r="I4672" t="str">
        <f>VLOOKUP(C4672,Магазины!A:C,3,0)</f>
        <v>Ставрополь</v>
      </c>
      <c r="J4672">
        <f>VLOOKUP(D4672,Товары!A:I,4,0)</f>
        <v>31125</v>
      </c>
      <c r="K4672">
        <f t="shared" si="72"/>
        <v>93375</v>
      </c>
    </row>
    <row r="4673" spans="1:11" hidden="1" x14ac:dyDescent="0.25">
      <c r="A4673">
        <v>4672</v>
      </c>
      <c r="B4673" s="1">
        <v>45755</v>
      </c>
      <c r="C4673" t="s">
        <v>20</v>
      </c>
      <c r="D4673" t="s">
        <v>109</v>
      </c>
      <c r="E4673" t="s">
        <v>13</v>
      </c>
      <c r="F4673">
        <v>2</v>
      </c>
      <c r="G4673" t="str">
        <f>VLOOKUP(D4673,Товары!A:I,3,0)</f>
        <v>Тумба с раковиной  навес. Альба 600 антрацит 2 ящика с умыв. Океан</v>
      </c>
      <c r="H4673">
        <f>VLOOKUP(D4673,Товары!A:I,6,0)</f>
        <v>50</v>
      </c>
      <c r="I4673" t="str">
        <f>VLOOKUP(C4673,Магазины!A:C,3,0)</f>
        <v>Оренбург</v>
      </c>
      <c r="J4673">
        <f>VLOOKUP(D4673,Товары!A:I,4,0)</f>
        <v>24810</v>
      </c>
      <c r="K4673">
        <f t="shared" si="72"/>
        <v>49620</v>
      </c>
    </row>
    <row r="4674" spans="1:11" hidden="1" x14ac:dyDescent="0.25">
      <c r="A4674">
        <v>4673</v>
      </c>
      <c r="B4674" s="1">
        <v>45750</v>
      </c>
      <c r="C4674" t="s">
        <v>11</v>
      </c>
      <c r="D4674" t="s">
        <v>24</v>
      </c>
      <c r="E4674" t="s">
        <v>13</v>
      </c>
      <c r="F4674">
        <v>2</v>
      </c>
      <c r="G4674" t="str">
        <f>VLOOKUP(D4674,Товары!A:I,3,0)</f>
        <v>Тумба с раковиной  напол. Леон 600 форест 2 ящика с умыв. Слим</v>
      </c>
      <c r="H4674">
        <f>VLOOKUP(D4674,Товары!A:I,6,0)</f>
        <v>80</v>
      </c>
      <c r="I4674" t="str">
        <f>VLOOKUP(C4674,Магазины!A:C,3,0)</f>
        <v>Кемерово</v>
      </c>
      <c r="J4674">
        <f>VLOOKUP(D4674,Товары!A:I,4,0)</f>
        <v>27150</v>
      </c>
      <c r="K4674">
        <f t="shared" si="72"/>
        <v>54300</v>
      </c>
    </row>
    <row r="4675" spans="1:11" hidden="1" x14ac:dyDescent="0.25">
      <c r="A4675">
        <v>4674</v>
      </c>
      <c r="B4675" s="1">
        <v>45748</v>
      </c>
      <c r="C4675" t="s">
        <v>92</v>
      </c>
      <c r="D4675" t="s">
        <v>15</v>
      </c>
      <c r="E4675" t="s">
        <v>8</v>
      </c>
      <c r="F4675">
        <v>1</v>
      </c>
      <c r="G4675" t="str">
        <f>VLOOKUP(D4675,Товары!A:I,3,0)</f>
        <v>Зеркальный шкаф Кристалл 60 со светильником правый, ручка кнопка дуб цвет Шато Азур</v>
      </c>
      <c r="H4675">
        <f>VLOOKUP(D4675,Товары!A:I,6,0)</f>
        <v>75</v>
      </c>
      <c r="I4675" t="str">
        <f>VLOOKUP(C4675,Магазины!A:C,3,0)</f>
        <v>Кемерово</v>
      </c>
      <c r="J4675">
        <f>VLOOKUP(D4675,Товары!A:I,4,0)</f>
        <v>9195</v>
      </c>
      <c r="K4675">
        <f t="shared" ref="K4675:K4738" si="73">J4675*F4675</f>
        <v>9195</v>
      </c>
    </row>
    <row r="4676" spans="1:11" hidden="1" x14ac:dyDescent="0.25">
      <c r="A4676">
        <v>4675</v>
      </c>
      <c r="B4676" s="1">
        <v>45753</v>
      </c>
      <c r="C4676" t="s">
        <v>6</v>
      </c>
      <c r="D4676" t="s">
        <v>10</v>
      </c>
      <c r="E4676" t="s">
        <v>8</v>
      </c>
      <c r="F4676">
        <v>3</v>
      </c>
      <c r="G4676" t="str">
        <f>VLOOKUP(D4676,Товары!A:I,3,0)</f>
        <v>Тумба с раковиной  навес. Альба 700 антрацит 1 ящик с умыв. Слим</v>
      </c>
      <c r="H4676">
        <f>VLOOKUP(D4676,Товары!A:I,6,0)</f>
        <v>45</v>
      </c>
      <c r="I4676" t="str">
        <f>VLOOKUP(C4676,Магазины!A:C,3,0)</f>
        <v>Оренбург</v>
      </c>
      <c r="J4676">
        <f>VLOOKUP(D4676,Товары!A:I,4,0)</f>
        <v>20130</v>
      </c>
      <c r="K4676">
        <f t="shared" si="73"/>
        <v>60390</v>
      </c>
    </row>
    <row r="4677" spans="1:11" hidden="1" x14ac:dyDescent="0.25">
      <c r="A4677">
        <v>4676</v>
      </c>
      <c r="B4677" s="1">
        <v>45748</v>
      </c>
      <c r="C4677" t="s">
        <v>92</v>
      </c>
      <c r="D4677" t="s">
        <v>51</v>
      </c>
      <c r="E4677" t="s">
        <v>8</v>
      </c>
      <c r="F4677">
        <v>3</v>
      </c>
      <c r="G4677" t="str">
        <f>VLOOKUP(D4677,Товары!A:I,3,0)</f>
        <v>Зеркальный шкаф Альба 80 со светильником правый цвет суфле</v>
      </c>
      <c r="H4677">
        <f>VLOOKUP(D4677,Товары!A:I,6,0)</f>
        <v>75</v>
      </c>
      <c r="I4677" t="str">
        <f>VLOOKUP(C4677,Магазины!A:C,3,0)</f>
        <v>Кемерово</v>
      </c>
      <c r="J4677">
        <f>VLOOKUP(D4677,Товары!A:I,4,0)</f>
        <v>9930</v>
      </c>
      <c r="K4677">
        <f t="shared" si="73"/>
        <v>29790</v>
      </c>
    </row>
    <row r="4678" spans="1:11" hidden="1" x14ac:dyDescent="0.25">
      <c r="A4678">
        <v>4677</v>
      </c>
      <c r="B4678" s="1">
        <v>45755</v>
      </c>
      <c r="C4678" t="s">
        <v>35</v>
      </c>
      <c r="D4678" t="s">
        <v>76</v>
      </c>
      <c r="E4678" t="s">
        <v>13</v>
      </c>
      <c r="F4678">
        <v>2</v>
      </c>
      <c r="G4678" t="str">
        <f>VLOOKUP(D4678,Товары!A:I,3,0)</f>
        <v>Тумба с раковиной  напол. Леон 600 оникс 2 ящика с умыв. Слим</v>
      </c>
      <c r="H4678">
        <f>VLOOKUP(D4678,Товары!A:I,6,0)</f>
        <v>80</v>
      </c>
      <c r="I4678" t="str">
        <f>VLOOKUP(C4678,Магазины!A:C,3,0)</f>
        <v>Набережные Челны</v>
      </c>
      <c r="J4678">
        <f>VLOOKUP(D4678,Товары!A:I,4,0)</f>
        <v>25860</v>
      </c>
      <c r="K4678">
        <f t="shared" si="73"/>
        <v>51720</v>
      </c>
    </row>
    <row r="4679" spans="1:11" hidden="1" x14ac:dyDescent="0.25">
      <c r="A4679">
        <v>4678</v>
      </c>
      <c r="B4679" s="1">
        <v>45748</v>
      </c>
      <c r="C4679" t="s">
        <v>58</v>
      </c>
      <c r="D4679" t="s">
        <v>37</v>
      </c>
      <c r="E4679" t="s">
        <v>13</v>
      </c>
      <c r="F4679">
        <v>3</v>
      </c>
      <c r="G4679" t="str">
        <f>VLOOKUP(D4679,Товары!A:I,3,0)</f>
        <v>Зеркальный шкаф Сохо 70 белый со светильником правый цвет Белый глянец</v>
      </c>
      <c r="H4679">
        <f>VLOOKUP(D4679,Товары!A:I,6,0)</f>
        <v>75</v>
      </c>
      <c r="I4679" t="str">
        <f>VLOOKUP(C4679,Магазины!A:C,3,0)</f>
        <v>Ставрополь</v>
      </c>
      <c r="J4679">
        <f>VLOOKUP(D4679,Товары!A:I,4,0)</f>
        <v>7935</v>
      </c>
      <c r="K4679">
        <f t="shared" si="73"/>
        <v>23805</v>
      </c>
    </row>
    <row r="4680" spans="1:11" hidden="1" x14ac:dyDescent="0.25">
      <c r="A4680">
        <v>4679</v>
      </c>
      <c r="B4680" s="1">
        <v>45749</v>
      </c>
      <c r="C4680" t="s">
        <v>92</v>
      </c>
      <c r="D4680" t="s">
        <v>130</v>
      </c>
      <c r="E4680" t="s">
        <v>13</v>
      </c>
      <c r="F4680">
        <v>1</v>
      </c>
      <c r="G4680" t="str">
        <f>VLOOKUP(D4680,Товары!A:I,3,0)</f>
        <v>Пенал напол. Леон 400 форест 2 двери + 1 ящик</v>
      </c>
      <c r="H4680">
        <f>VLOOKUP(D4680,Товары!A:I,6,0)</f>
        <v>190</v>
      </c>
      <c r="I4680" t="str">
        <f>VLOOKUP(C4680,Магазины!A:C,3,0)</f>
        <v>Кемерово</v>
      </c>
      <c r="J4680">
        <f>VLOOKUP(D4680,Товары!A:I,4,0)</f>
        <v>18450</v>
      </c>
      <c r="K4680">
        <f t="shared" si="73"/>
        <v>18450</v>
      </c>
    </row>
    <row r="4681" spans="1:11" hidden="1" x14ac:dyDescent="0.25">
      <c r="A4681">
        <v>4680</v>
      </c>
      <c r="B4681" s="1">
        <v>45751</v>
      </c>
      <c r="C4681" t="s">
        <v>22</v>
      </c>
      <c r="D4681" t="s">
        <v>130</v>
      </c>
      <c r="E4681" t="s">
        <v>8</v>
      </c>
      <c r="F4681">
        <v>1</v>
      </c>
      <c r="G4681" t="str">
        <f>VLOOKUP(D4681,Товары!A:I,3,0)</f>
        <v>Пенал напол. Леон 400 форест 2 двери + 1 ящик</v>
      </c>
      <c r="H4681">
        <f>VLOOKUP(D4681,Товары!A:I,6,0)</f>
        <v>190</v>
      </c>
      <c r="I4681" t="str">
        <f>VLOOKUP(C4681,Магазины!A:C,3,0)</f>
        <v>Кемерово</v>
      </c>
      <c r="J4681">
        <f>VLOOKUP(D4681,Товары!A:I,4,0)</f>
        <v>18450</v>
      </c>
      <c r="K4681">
        <f t="shared" si="73"/>
        <v>18450</v>
      </c>
    </row>
    <row r="4682" spans="1:11" hidden="1" x14ac:dyDescent="0.25">
      <c r="A4682">
        <v>4681</v>
      </c>
      <c r="B4682" s="1">
        <v>45754</v>
      </c>
      <c r="C4682" t="s">
        <v>41</v>
      </c>
      <c r="D4682" t="s">
        <v>131</v>
      </c>
      <c r="E4682" t="s">
        <v>13</v>
      </c>
      <c r="F4682">
        <v>2</v>
      </c>
      <c r="G4682" t="str">
        <f>VLOOKUP(D4682,Товары!A:I,3,0)</f>
        <v>Тумба с раковиной  напол. Леон 800 форест 2 ящика с умыв. Слим</v>
      </c>
      <c r="H4682">
        <f>VLOOKUP(D4682,Товары!A:I,6,0)</f>
        <v>80</v>
      </c>
      <c r="I4682" t="str">
        <f>VLOOKUP(C4682,Магазины!A:C,3,0)</f>
        <v>Ставрополь</v>
      </c>
      <c r="J4682">
        <f>VLOOKUP(D4682,Товары!A:I,4,0)</f>
        <v>29400</v>
      </c>
      <c r="K4682">
        <f t="shared" si="73"/>
        <v>58800</v>
      </c>
    </row>
    <row r="4683" spans="1:11" hidden="1" x14ac:dyDescent="0.25">
      <c r="A4683">
        <v>4682</v>
      </c>
      <c r="B4683" s="1">
        <v>45755</v>
      </c>
      <c r="C4683" t="s">
        <v>33</v>
      </c>
      <c r="D4683" t="s">
        <v>82</v>
      </c>
      <c r="E4683" t="s">
        <v>8</v>
      </c>
      <c r="F4683">
        <v>1</v>
      </c>
      <c r="G4683" t="str">
        <f>VLOOKUP(D4683,Товары!A:I,3,0)</f>
        <v>Тумба с раковиной  навес. Леон 800 форест 2 ящика с умыв. Слим</v>
      </c>
      <c r="H4683">
        <f>VLOOKUP(D4683,Товары!A:I,6,0)</f>
        <v>60</v>
      </c>
      <c r="I4683" t="str">
        <f>VLOOKUP(C4683,Магазины!A:C,3,0)</f>
        <v>Набережные Челны</v>
      </c>
      <c r="J4683">
        <f>VLOOKUP(D4683,Товары!A:I,4,0)</f>
        <v>27930</v>
      </c>
      <c r="K4683">
        <f t="shared" si="73"/>
        <v>27930</v>
      </c>
    </row>
    <row r="4684" spans="1:11" hidden="1" x14ac:dyDescent="0.25">
      <c r="A4684">
        <v>4683</v>
      </c>
      <c r="B4684" s="1">
        <v>45753</v>
      </c>
      <c r="C4684" t="s">
        <v>43</v>
      </c>
      <c r="D4684" t="s">
        <v>91</v>
      </c>
      <c r="E4684" t="s">
        <v>8</v>
      </c>
      <c r="F4684">
        <v>2</v>
      </c>
      <c r="G4684" t="str">
        <f>VLOOKUP(D4684,Товары!A:I,3,0)</f>
        <v>Пенал навес./напол. Альба 350 мята 2 двери</v>
      </c>
      <c r="H4684">
        <f>VLOOKUP(D4684,Товары!A:I,6,0)</f>
        <v>150</v>
      </c>
      <c r="I4684" t="str">
        <f>VLOOKUP(C4684,Магазины!A:C,3,0)</f>
        <v>Набережные Челны</v>
      </c>
      <c r="J4684">
        <f>VLOOKUP(D4684,Товары!A:I,4,0)</f>
        <v>11655</v>
      </c>
      <c r="K4684">
        <f t="shared" si="73"/>
        <v>23310</v>
      </c>
    </row>
    <row r="4685" spans="1:11" hidden="1" x14ac:dyDescent="0.25">
      <c r="A4685">
        <v>4684</v>
      </c>
      <c r="B4685" s="1">
        <v>45756</v>
      </c>
      <c r="C4685" t="s">
        <v>41</v>
      </c>
      <c r="D4685" t="s">
        <v>116</v>
      </c>
      <c r="E4685" t="s">
        <v>8</v>
      </c>
      <c r="F4685">
        <v>2</v>
      </c>
      <c r="G4685" t="str">
        <f>VLOOKUP(D4685,Товары!A:I,3,0)</f>
        <v>Зеркало Нева 60 дуб/белый со светильником</v>
      </c>
      <c r="H4685">
        <f>VLOOKUP(D4685,Товары!A:I,6,0)</f>
        <v>80</v>
      </c>
      <c r="I4685" t="str">
        <f>VLOOKUP(C4685,Магазины!A:C,3,0)</f>
        <v>Ставрополь</v>
      </c>
      <c r="J4685">
        <f>VLOOKUP(D4685,Товары!A:I,4,0)</f>
        <v>5100</v>
      </c>
      <c r="K4685">
        <f t="shared" si="73"/>
        <v>10200</v>
      </c>
    </row>
    <row r="4686" spans="1:11" hidden="1" x14ac:dyDescent="0.25">
      <c r="A4686">
        <v>4685</v>
      </c>
      <c r="B4686" s="1">
        <v>45756</v>
      </c>
      <c r="C4686" t="s">
        <v>43</v>
      </c>
      <c r="D4686" t="s">
        <v>113</v>
      </c>
      <c r="E4686" t="s">
        <v>8</v>
      </c>
      <c r="F4686">
        <v>1</v>
      </c>
      <c r="G4686" t="str">
        <f>VLOOKUP(D4686,Товары!A:I,3,0)</f>
        <v>Зеркальный шкаф Альба 60 со светильником правый цвет мята</v>
      </c>
      <c r="H4686">
        <f>VLOOKUP(D4686,Товары!A:I,6,0)</f>
        <v>75</v>
      </c>
      <c r="I4686" t="str">
        <f>VLOOKUP(C4686,Магазины!A:C,3,0)</f>
        <v>Набережные Челны</v>
      </c>
      <c r="J4686">
        <f>VLOOKUP(D4686,Товары!A:I,4,0)</f>
        <v>8910</v>
      </c>
      <c r="K4686">
        <f t="shared" si="73"/>
        <v>8910</v>
      </c>
    </row>
    <row r="4687" spans="1:11" hidden="1" x14ac:dyDescent="0.25">
      <c r="A4687">
        <v>4686</v>
      </c>
      <c r="B4687" s="1">
        <v>45751</v>
      </c>
      <c r="C4687" t="s">
        <v>63</v>
      </c>
      <c r="D4687" t="s">
        <v>66</v>
      </c>
      <c r="E4687" t="s">
        <v>8</v>
      </c>
      <c r="F4687">
        <v>2</v>
      </c>
      <c r="G4687" t="str">
        <f>VLOOKUP(D4687,Товары!A:I,3,0)</f>
        <v>Тумба с раковиной  навес. Альба 800 мята 2 ящика с умыв. Слим</v>
      </c>
      <c r="H4687">
        <f>VLOOKUP(D4687,Товары!A:I,6,0)</f>
        <v>50</v>
      </c>
      <c r="I4687" t="str">
        <f>VLOOKUP(C4687,Магазины!A:C,3,0)</f>
        <v>Ставрополь</v>
      </c>
      <c r="J4687">
        <f>VLOOKUP(D4687,Товары!A:I,4,0)</f>
        <v>26070</v>
      </c>
      <c r="K4687">
        <f t="shared" si="73"/>
        <v>52140</v>
      </c>
    </row>
    <row r="4688" spans="1:11" hidden="1" x14ac:dyDescent="0.25">
      <c r="A4688">
        <v>4687</v>
      </c>
      <c r="B4688" s="1">
        <v>45751</v>
      </c>
      <c r="C4688" t="s">
        <v>20</v>
      </c>
      <c r="D4688" t="s">
        <v>21</v>
      </c>
      <c r="E4688" t="s">
        <v>13</v>
      </c>
      <c r="F4688">
        <v>2</v>
      </c>
      <c r="G4688" t="str">
        <f>VLOOKUP(D4688,Товары!A:I,3,0)</f>
        <v>Зеркальный шкаф Рица 60 со светильником правый цвет cерый/керамика</v>
      </c>
      <c r="H4688">
        <f>VLOOKUP(D4688,Товары!A:I,6,0)</f>
        <v>75</v>
      </c>
      <c r="I4688" t="str">
        <f>VLOOKUP(C4688,Магазины!A:C,3,0)</f>
        <v>Оренбург</v>
      </c>
      <c r="J4688">
        <f>VLOOKUP(D4688,Товары!A:I,4,0)</f>
        <v>8910</v>
      </c>
      <c r="K4688">
        <f t="shared" si="73"/>
        <v>17820</v>
      </c>
    </row>
    <row r="4689" spans="1:11" hidden="1" x14ac:dyDescent="0.25">
      <c r="A4689">
        <v>4688</v>
      </c>
      <c r="B4689" s="1">
        <v>45754</v>
      </c>
      <c r="C4689" t="s">
        <v>57</v>
      </c>
      <c r="D4689" t="s">
        <v>52</v>
      </c>
      <c r="E4689" t="s">
        <v>13</v>
      </c>
      <c r="F4689">
        <v>3</v>
      </c>
      <c r="G4689" t="str">
        <f>VLOOKUP(D4689,Товары!A:I,3,0)</f>
        <v>Тумба с раковиной  напол. Кристалл 600 суфле 2 ящика с умыв. Океан</v>
      </c>
      <c r="H4689">
        <f>VLOOKUP(D4689,Товары!A:I,6,0)</f>
        <v>80</v>
      </c>
      <c r="I4689" t="str">
        <f>VLOOKUP(C4689,Магазины!A:C,3,0)</f>
        <v>Оренбург</v>
      </c>
      <c r="J4689">
        <f>VLOOKUP(D4689,Товары!A:I,4,0)</f>
        <v>27600</v>
      </c>
      <c r="K4689">
        <f t="shared" si="73"/>
        <v>82800</v>
      </c>
    </row>
    <row r="4690" spans="1:11" hidden="1" x14ac:dyDescent="0.25">
      <c r="A4690">
        <v>4689</v>
      </c>
      <c r="B4690" s="1">
        <v>45749</v>
      </c>
      <c r="C4690" t="s">
        <v>6</v>
      </c>
      <c r="D4690" t="s">
        <v>15</v>
      </c>
      <c r="E4690" t="s">
        <v>13</v>
      </c>
      <c r="F4690">
        <v>3</v>
      </c>
      <c r="G4690" t="str">
        <f>VLOOKUP(D4690,Товары!A:I,3,0)</f>
        <v>Зеркальный шкаф Кристалл 60 со светильником правый, ручка кнопка дуб цвет Шато Азур</v>
      </c>
      <c r="H4690">
        <f>VLOOKUP(D4690,Товары!A:I,6,0)</f>
        <v>75</v>
      </c>
      <c r="I4690" t="str">
        <f>VLOOKUP(C4690,Магазины!A:C,3,0)</f>
        <v>Оренбург</v>
      </c>
      <c r="J4690">
        <f>VLOOKUP(D4690,Товары!A:I,4,0)</f>
        <v>9195</v>
      </c>
      <c r="K4690">
        <f t="shared" si="73"/>
        <v>27585</v>
      </c>
    </row>
    <row r="4691" spans="1:11" hidden="1" x14ac:dyDescent="0.25">
      <c r="A4691">
        <v>4690</v>
      </c>
      <c r="B4691" s="1">
        <v>45751</v>
      </c>
      <c r="C4691" t="s">
        <v>43</v>
      </c>
      <c r="D4691" t="s">
        <v>25</v>
      </c>
      <c r="E4691" t="s">
        <v>8</v>
      </c>
      <c r="F4691">
        <v>2</v>
      </c>
      <c r="G4691" t="str">
        <f>VLOOKUP(D4691,Товары!A:I,3,0)</f>
        <v>Пенал напол. Леон 400 оникс 2 двери + 1 ящик</v>
      </c>
      <c r="H4691">
        <f>VLOOKUP(D4691,Товары!A:I,6,0)</f>
        <v>190</v>
      </c>
      <c r="I4691" t="str">
        <f>VLOOKUP(C4691,Магазины!A:C,3,0)</f>
        <v>Набережные Челны</v>
      </c>
      <c r="J4691">
        <f>VLOOKUP(D4691,Товары!A:I,4,0)</f>
        <v>18450</v>
      </c>
      <c r="K4691">
        <f t="shared" si="73"/>
        <v>36900</v>
      </c>
    </row>
    <row r="4692" spans="1:11" hidden="1" x14ac:dyDescent="0.25">
      <c r="A4692">
        <v>4691</v>
      </c>
      <c r="B4692" s="1">
        <v>45752</v>
      </c>
      <c r="C4692" t="s">
        <v>11</v>
      </c>
      <c r="D4692" t="s">
        <v>94</v>
      </c>
      <c r="E4692" t="s">
        <v>13</v>
      </c>
      <c r="F4692">
        <v>3</v>
      </c>
      <c r="G4692" t="str">
        <f>VLOOKUP(D4692,Товары!A:I,3,0)</f>
        <v>Зеркальный шкаф Альба 80 со светильником правый цвет антрацит</v>
      </c>
      <c r="H4692">
        <f>VLOOKUP(D4692,Товары!A:I,6,0)</f>
        <v>75</v>
      </c>
      <c r="I4692" t="str">
        <f>VLOOKUP(C4692,Магазины!A:C,3,0)</f>
        <v>Кемерово</v>
      </c>
      <c r="J4692">
        <f>VLOOKUP(D4692,Товары!A:I,4,0)</f>
        <v>9930</v>
      </c>
      <c r="K4692">
        <f t="shared" si="73"/>
        <v>29790</v>
      </c>
    </row>
    <row r="4693" spans="1:11" hidden="1" x14ac:dyDescent="0.25">
      <c r="A4693">
        <v>4692</v>
      </c>
      <c r="B4693" s="1">
        <v>45754</v>
      </c>
      <c r="C4693" t="s">
        <v>103</v>
      </c>
      <c r="D4693" t="s">
        <v>37</v>
      </c>
      <c r="E4693" t="s">
        <v>13</v>
      </c>
      <c r="F4693">
        <v>2</v>
      </c>
      <c r="G4693" t="str">
        <f>VLOOKUP(D4693,Товары!A:I,3,0)</f>
        <v>Зеркальный шкаф Сохо 70 белый со светильником правый цвет Белый глянец</v>
      </c>
      <c r="H4693">
        <f>VLOOKUP(D4693,Товары!A:I,6,0)</f>
        <v>75</v>
      </c>
      <c r="I4693" t="str">
        <f>VLOOKUP(C4693,Магазины!A:C,3,0)</f>
        <v>Ставрополь</v>
      </c>
      <c r="J4693">
        <f>VLOOKUP(D4693,Товары!A:I,4,0)</f>
        <v>7935</v>
      </c>
      <c r="K4693">
        <f t="shared" si="73"/>
        <v>15870</v>
      </c>
    </row>
    <row r="4694" spans="1:11" hidden="1" x14ac:dyDescent="0.25">
      <c r="A4694">
        <v>4693</v>
      </c>
      <c r="B4694" s="1">
        <v>45753</v>
      </c>
      <c r="C4694" t="s">
        <v>30</v>
      </c>
      <c r="D4694" t="s">
        <v>118</v>
      </c>
      <c r="E4694" t="s">
        <v>13</v>
      </c>
      <c r="F4694">
        <v>1</v>
      </c>
      <c r="G4694" t="str">
        <f>VLOOKUP(D4694,Товары!A:I,3,0)</f>
        <v>Тумба с раковиной  напол. Сохо 800 белый 2 ящика с умыв. Слим</v>
      </c>
      <c r="H4694">
        <f>VLOOKUP(D4694,Товары!A:I,6,0)</f>
        <v>85</v>
      </c>
      <c r="I4694" t="str">
        <f>VLOOKUP(C4694,Магазины!A:C,3,0)</f>
        <v>Кемерово</v>
      </c>
      <c r="J4694">
        <f>VLOOKUP(D4694,Товары!A:I,4,0)</f>
        <v>19575</v>
      </c>
      <c r="K4694">
        <f t="shared" si="73"/>
        <v>19575</v>
      </c>
    </row>
    <row r="4695" spans="1:11" hidden="1" x14ac:dyDescent="0.25">
      <c r="A4695">
        <v>4694</v>
      </c>
      <c r="B4695" s="1">
        <v>45756</v>
      </c>
      <c r="C4695" t="s">
        <v>28</v>
      </c>
      <c r="D4695" t="s">
        <v>119</v>
      </c>
      <c r="E4695" t="s">
        <v>8</v>
      </c>
      <c r="F4695">
        <v>1</v>
      </c>
      <c r="G4695" t="str">
        <f>VLOOKUP(D4695,Товары!A:I,3,0)</f>
        <v>Пенал навес./напол. Рица 350 cерый/керамика 2 двери</v>
      </c>
      <c r="H4695">
        <f>VLOOKUP(D4695,Товары!A:I,6,0)</f>
        <v>160</v>
      </c>
      <c r="I4695" t="str">
        <f>VLOOKUP(C4695,Магазины!A:C,3,0)</f>
        <v>Набережные Челны</v>
      </c>
      <c r="J4695">
        <f>VLOOKUP(D4695,Товары!A:I,4,0)</f>
        <v>11250</v>
      </c>
      <c r="K4695">
        <f t="shared" si="73"/>
        <v>11250</v>
      </c>
    </row>
    <row r="4696" spans="1:11" hidden="1" x14ac:dyDescent="0.25">
      <c r="A4696">
        <v>4695</v>
      </c>
      <c r="B4696" s="1">
        <v>45750</v>
      </c>
      <c r="C4696" t="s">
        <v>9</v>
      </c>
      <c r="D4696" t="s">
        <v>94</v>
      </c>
      <c r="E4696" t="s">
        <v>13</v>
      </c>
      <c r="F4696">
        <v>1</v>
      </c>
      <c r="G4696" t="str">
        <f>VLOOKUP(D4696,Товары!A:I,3,0)</f>
        <v>Зеркальный шкаф Альба 80 со светильником правый цвет антрацит</v>
      </c>
      <c r="H4696">
        <f>VLOOKUP(D4696,Товары!A:I,6,0)</f>
        <v>75</v>
      </c>
      <c r="I4696" t="str">
        <f>VLOOKUP(C4696,Магазины!A:C,3,0)</f>
        <v>Кемерово</v>
      </c>
      <c r="J4696">
        <f>VLOOKUP(D4696,Товары!A:I,4,0)</f>
        <v>9930</v>
      </c>
      <c r="K4696">
        <f t="shared" si="73"/>
        <v>9930</v>
      </c>
    </row>
    <row r="4697" spans="1:11" hidden="1" x14ac:dyDescent="0.25">
      <c r="A4697">
        <v>4696</v>
      </c>
      <c r="B4697" s="1">
        <v>45749</v>
      </c>
      <c r="C4697" t="s">
        <v>57</v>
      </c>
      <c r="D4697" t="s">
        <v>86</v>
      </c>
      <c r="E4697" t="s">
        <v>8</v>
      </c>
      <c r="F4697">
        <v>2</v>
      </c>
      <c r="G4697" t="str">
        <f>VLOOKUP(D4697,Товары!A:I,3,0)</f>
        <v>Комод Аква 50 напольный 1 ящик 2 двери белый</v>
      </c>
      <c r="H4697">
        <f>VLOOKUP(D4697,Товары!A:I,6,0)</f>
        <v>90</v>
      </c>
      <c r="I4697" t="str">
        <f>VLOOKUP(C4697,Магазины!A:C,3,0)</f>
        <v>Оренбург</v>
      </c>
      <c r="J4697">
        <f>VLOOKUP(D4697,Товары!A:I,4,0)</f>
        <v>7260</v>
      </c>
      <c r="K4697">
        <f t="shared" si="73"/>
        <v>14520</v>
      </c>
    </row>
    <row r="4698" spans="1:11" hidden="1" x14ac:dyDescent="0.25">
      <c r="A4698">
        <v>4697</v>
      </c>
      <c r="B4698" s="1">
        <v>45755</v>
      </c>
      <c r="C4698" t="s">
        <v>18</v>
      </c>
      <c r="D4698" t="s">
        <v>60</v>
      </c>
      <c r="E4698" t="s">
        <v>8</v>
      </c>
      <c r="F4698">
        <v>1</v>
      </c>
      <c r="G4698" t="str">
        <f>VLOOKUP(D4698,Товары!A:I,3,0)</f>
        <v>Пенал навес. Куба Риф 350 белый 2 двери</v>
      </c>
      <c r="H4698">
        <f>VLOOKUP(D4698,Товары!A:I,6,0)</f>
        <v>150</v>
      </c>
      <c r="I4698" t="str">
        <f>VLOOKUP(C4698,Магазины!A:C,3,0)</f>
        <v>Набережные Челны</v>
      </c>
      <c r="J4698">
        <f>VLOOKUP(D4698,Товары!A:I,4,0)</f>
        <v>9720</v>
      </c>
      <c r="K4698">
        <f t="shared" si="73"/>
        <v>9720</v>
      </c>
    </row>
    <row r="4699" spans="1:11" hidden="1" x14ac:dyDescent="0.25">
      <c r="A4699">
        <v>4698</v>
      </c>
      <c r="B4699" s="1">
        <v>45753</v>
      </c>
      <c r="C4699" t="s">
        <v>58</v>
      </c>
      <c r="D4699" t="s">
        <v>27</v>
      </c>
      <c r="E4699" t="s">
        <v>8</v>
      </c>
      <c r="F4699">
        <v>2</v>
      </c>
      <c r="G4699" t="str">
        <f>VLOOKUP(D4699,Товары!A:I,3,0)</f>
        <v>Тумба с раковиной  навес. Виктория 800 белый 2 ящика с умыв. Слим</v>
      </c>
      <c r="H4699">
        <f>VLOOKUP(D4699,Товары!A:I,6,0)</f>
        <v>60</v>
      </c>
      <c r="I4699" t="str">
        <f>VLOOKUP(C4699,Магазины!A:C,3,0)</f>
        <v>Ставрополь</v>
      </c>
      <c r="J4699">
        <f>VLOOKUP(D4699,Товары!A:I,4,0)</f>
        <v>25290</v>
      </c>
      <c r="K4699">
        <f t="shared" si="73"/>
        <v>50580</v>
      </c>
    </row>
    <row r="4700" spans="1:11" hidden="1" x14ac:dyDescent="0.25">
      <c r="A4700">
        <v>4699</v>
      </c>
      <c r="B4700" s="1">
        <v>45757</v>
      </c>
      <c r="C4700" t="s">
        <v>28</v>
      </c>
      <c r="D4700" t="s">
        <v>19</v>
      </c>
      <c r="E4700" t="s">
        <v>8</v>
      </c>
      <c r="F4700">
        <v>3</v>
      </c>
      <c r="G4700" t="str">
        <f>VLOOKUP(D4700,Товары!A:I,3,0)</f>
        <v>Тумба с раковиной  навес. Леон 800 оникс 2 ящика с умыв. Слим</v>
      </c>
      <c r="H4700">
        <f>VLOOKUP(D4700,Товары!A:I,6,0)</f>
        <v>60</v>
      </c>
      <c r="I4700" t="str">
        <f>VLOOKUP(C4700,Магазины!A:C,3,0)</f>
        <v>Набережные Челны</v>
      </c>
      <c r="J4700">
        <f>VLOOKUP(D4700,Товары!A:I,4,0)</f>
        <v>27930</v>
      </c>
      <c r="K4700">
        <f t="shared" si="73"/>
        <v>83790</v>
      </c>
    </row>
    <row r="4701" spans="1:11" hidden="1" x14ac:dyDescent="0.25">
      <c r="A4701">
        <v>4700</v>
      </c>
      <c r="B4701" s="1">
        <v>45751</v>
      </c>
      <c r="C4701" t="s">
        <v>22</v>
      </c>
      <c r="D4701" t="s">
        <v>25</v>
      </c>
      <c r="E4701" t="s">
        <v>13</v>
      </c>
      <c r="F4701">
        <v>1</v>
      </c>
      <c r="G4701" t="str">
        <f>VLOOKUP(D4701,Товары!A:I,3,0)</f>
        <v>Пенал напол. Леон 400 оникс 2 двери + 1 ящик</v>
      </c>
      <c r="H4701">
        <f>VLOOKUP(D4701,Товары!A:I,6,0)</f>
        <v>190</v>
      </c>
      <c r="I4701" t="str">
        <f>VLOOKUP(C4701,Магазины!A:C,3,0)</f>
        <v>Кемерово</v>
      </c>
      <c r="J4701">
        <f>VLOOKUP(D4701,Товары!A:I,4,0)</f>
        <v>18450</v>
      </c>
      <c r="K4701">
        <f t="shared" si="73"/>
        <v>18450</v>
      </c>
    </row>
    <row r="4702" spans="1:11" hidden="1" x14ac:dyDescent="0.25">
      <c r="A4702">
        <v>4701</v>
      </c>
      <c r="B4702" s="1">
        <v>45756</v>
      </c>
      <c r="C4702" t="s">
        <v>57</v>
      </c>
      <c r="D4702" t="s">
        <v>113</v>
      </c>
      <c r="E4702" t="s">
        <v>13</v>
      </c>
      <c r="F4702">
        <v>3</v>
      </c>
      <c r="G4702" t="str">
        <f>VLOOKUP(D4702,Товары!A:I,3,0)</f>
        <v>Зеркальный шкаф Альба 60 со светильником правый цвет мята</v>
      </c>
      <c r="H4702">
        <f>VLOOKUP(D4702,Товары!A:I,6,0)</f>
        <v>75</v>
      </c>
      <c r="I4702" t="str">
        <f>VLOOKUP(C4702,Магазины!A:C,3,0)</f>
        <v>Оренбург</v>
      </c>
      <c r="J4702">
        <f>VLOOKUP(D4702,Товары!A:I,4,0)</f>
        <v>8910</v>
      </c>
      <c r="K4702">
        <f t="shared" si="73"/>
        <v>26730</v>
      </c>
    </row>
    <row r="4703" spans="1:11" hidden="1" x14ac:dyDescent="0.25">
      <c r="A4703">
        <v>4702</v>
      </c>
      <c r="B4703" s="1">
        <v>45752</v>
      </c>
      <c r="C4703" t="s">
        <v>14</v>
      </c>
      <c r="D4703" t="s">
        <v>46</v>
      </c>
      <c r="E4703" t="s">
        <v>13</v>
      </c>
      <c r="F4703">
        <v>3</v>
      </c>
      <c r="G4703" t="str">
        <f>VLOOKUP(D4703,Товары!A:I,3,0)</f>
        <v>Тумба с раковиной  напол. Сохо 700 белый 2 ящика с умыв. Слим</v>
      </c>
      <c r="H4703">
        <f>VLOOKUP(D4703,Товары!A:I,6,0)</f>
        <v>85</v>
      </c>
      <c r="I4703" t="str">
        <f>VLOOKUP(C4703,Магазины!A:C,3,0)</f>
        <v>Оренбург</v>
      </c>
      <c r="J4703">
        <f>VLOOKUP(D4703,Товары!A:I,4,0)</f>
        <v>18405</v>
      </c>
      <c r="K4703">
        <f t="shared" si="73"/>
        <v>55215</v>
      </c>
    </row>
    <row r="4704" spans="1:11" hidden="1" x14ac:dyDescent="0.25">
      <c r="A4704">
        <v>4703</v>
      </c>
      <c r="B4704" s="1">
        <v>45749</v>
      </c>
      <c r="C4704" t="s">
        <v>41</v>
      </c>
      <c r="D4704" t="s">
        <v>125</v>
      </c>
      <c r="E4704" t="s">
        <v>8</v>
      </c>
      <c r="F4704">
        <v>3</v>
      </c>
      <c r="G4704" t="str">
        <f>VLOOKUP(D4704,Товары!A:I,3,0)</f>
        <v>Зеркальный шкаф Сохо 60 белый со светильником правый цвет Белый глянец</v>
      </c>
      <c r="H4704">
        <f>VLOOKUP(D4704,Товары!A:I,6,0)</f>
        <v>75</v>
      </c>
      <c r="I4704" t="str">
        <f>VLOOKUP(C4704,Магазины!A:C,3,0)</f>
        <v>Ставрополь</v>
      </c>
      <c r="J4704">
        <f>VLOOKUP(D4704,Товары!A:I,4,0)</f>
        <v>7395</v>
      </c>
      <c r="K4704">
        <f t="shared" si="73"/>
        <v>22185</v>
      </c>
    </row>
    <row r="4705" spans="1:11" hidden="1" x14ac:dyDescent="0.25">
      <c r="A4705">
        <v>4704</v>
      </c>
      <c r="B4705" s="1">
        <v>45756</v>
      </c>
      <c r="C4705" t="s">
        <v>33</v>
      </c>
      <c r="D4705" t="s">
        <v>121</v>
      </c>
      <c r="E4705" t="s">
        <v>13</v>
      </c>
      <c r="F4705">
        <v>3</v>
      </c>
      <c r="G4705" t="str">
        <f>VLOOKUP(D4705,Товары!A:I,3,0)</f>
        <v>Тумба с раковиной  напол. Куба Риф 600 белый 2 двери с умыв. Como</v>
      </c>
      <c r="H4705">
        <f>VLOOKUP(D4705,Товары!A:I,6,0)</f>
        <v>85</v>
      </c>
      <c r="I4705" t="str">
        <f>VLOOKUP(C4705,Магазины!A:C,3,0)</f>
        <v>Набережные Челны</v>
      </c>
      <c r="J4705">
        <f>VLOOKUP(D4705,Товары!A:I,4,0)</f>
        <v>13695</v>
      </c>
      <c r="K4705">
        <f t="shared" si="73"/>
        <v>41085</v>
      </c>
    </row>
    <row r="4706" spans="1:11" hidden="1" x14ac:dyDescent="0.25">
      <c r="A4706">
        <v>4705</v>
      </c>
      <c r="B4706" s="1">
        <v>45755</v>
      </c>
      <c r="C4706" t="s">
        <v>11</v>
      </c>
      <c r="D4706" t="s">
        <v>112</v>
      </c>
      <c r="E4706" t="s">
        <v>8</v>
      </c>
      <c r="F4706">
        <v>3</v>
      </c>
      <c r="G4706" t="str">
        <f>VLOOKUP(D4706,Товары!A:I,3,0)</f>
        <v>Тумба с раковиной  напол. Аква 560 белый 2 двери с умыв. Уют</v>
      </c>
      <c r="H4706">
        <f>VLOOKUP(D4706,Товары!A:I,6,0)</f>
        <v>85</v>
      </c>
      <c r="I4706" t="str">
        <f>VLOOKUP(C4706,Магазины!A:C,3,0)</f>
        <v>Кемерово</v>
      </c>
      <c r="J4706">
        <f>VLOOKUP(D4706,Товары!A:I,4,0)</f>
        <v>9330</v>
      </c>
      <c r="K4706">
        <f t="shared" si="73"/>
        <v>27990</v>
      </c>
    </row>
    <row r="4707" spans="1:11" hidden="1" x14ac:dyDescent="0.25">
      <c r="A4707">
        <v>4706</v>
      </c>
      <c r="B4707" s="1">
        <v>45752</v>
      </c>
      <c r="C4707" t="s">
        <v>16</v>
      </c>
      <c r="D4707" t="s">
        <v>90</v>
      </c>
      <c r="E4707" t="s">
        <v>8</v>
      </c>
      <c r="F4707">
        <v>3</v>
      </c>
      <c r="G4707" t="str">
        <f>VLOOKUP(D4707,Товары!A:I,3,0)</f>
        <v>Пенал напол. Аква 350 белый 2 двери + 2 ящика</v>
      </c>
      <c r="H4707">
        <f>VLOOKUP(D4707,Товары!A:I,6,0)</f>
        <v>190</v>
      </c>
      <c r="I4707" t="str">
        <f>VLOOKUP(C4707,Магазины!A:C,3,0)</f>
        <v>Оренбург</v>
      </c>
      <c r="J4707">
        <f>VLOOKUP(D4707,Товары!A:I,4,0)</f>
        <v>10650</v>
      </c>
      <c r="K4707">
        <f t="shared" si="73"/>
        <v>31950</v>
      </c>
    </row>
    <row r="4708" spans="1:11" hidden="1" x14ac:dyDescent="0.25">
      <c r="A4708">
        <v>4707</v>
      </c>
      <c r="B4708" s="1">
        <v>45751</v>
      </c>
      <c r="C4708" t="s">
        <v>11</v>
      </c>
      <c r="D4708" t="s">
        <v>17</v>
      </c>
      <c r="E4708" t="s">
        <v>8</v>
      </c>
      <c r="F4708">
        <v>2</v>
      </c>
      <c r="G4708" t="str">
        <f>VLOOKUP(D4708,Товары!A:I,3,0)</f>
        <v>Тумба с раковиной  навес. Альба 800 антрацит 1 ящик с умыв. Слим</v>
      </c>
      <c r="H4708">
        <f>VLOOKUP(D4708,Товары!A:I,6,0)</f>
        <v>45</v>
      </c>
      <c r="I4708" t="str">
        <f>VLOOKUP(C4708,Магазины!A:C,3,0)</f>
        <v>Кемерово</v>
      </c>
      <c r="J4708">
        <f>VLOOKUP(D4708,Товары!A:I,4,0)</f>
        <v>21630</v>
      </c>
      <c r="K4708">
        <f t="shared" si="73"/>
        <v>43260</v>
      </c>
    </row>
    <row r="4709" spans="1:11" hidden="1" x14ac:dyDescent="0.25">
      <c r="A4709">
        <v>4708</v>
      </c>
      <c r="B4709" s="1">
        <v>45750</v>
      </c>
      <c r="C4709" t="s">
        <v>33</v>
      </c>
      <c r="D4709" t="s">
        <v>60</v>
      </c>
      <c r="E4709" t="s">
        <v>13</v>
      </c>
      <c r="F4709">
        <v>1</v>
      </c>
      <c r="G4709" t="str">
        <f>VLOOKUP(D4709,Товары!A:I,3,0)</f>
        <v>Пенал навес. Куба Риф 350 белый 2 двери</v>
      </c>
      <c r="H4709">
        <f>VLOOKUP(D4709,Товары!A:I,6,0)</f>
        <v>150</v>
      </c>
      <c r="I4709" t="str">
        <f>VLOOKUP(C4709,Магазины!A:C,3,0)</f>
        <v>Набережные Челны</v>
      </c>
      <c r="J4709">
        <f>VLOOKUP(D4709,Товары!A:I,4,0)</f>
        <v>9720</v>
      </c>
      <c r="K4709">
        <f t="shared" si="73"/>
        <v>9720</v>
      </c>
    </row>
    <row r="4710" spans="1:11" hidden="1" x14ac:dyDescent="0.25">
      <c r="A4710">
        <v>4709</v>
      </c>
      <c r="B4710" s="1">
        <v>45757</v>
      </c>
      <c r="C4710" t="s">
        <v>30</v>
      </c>
      <c r="D4710" t="s">
        <v>73</v>
      </c>
      <c r="E4710" t="s">
        <v>8</v>
      </c>
      <c r="F4710">
        <v>2</v>
      </c>
      <c r="G4710" t="str">
        <f>VLOOKUP(D4710,Товары!A:I,3,0)</f>
        <v>Зеркальный шкаф Альба 70 со светильником правый цвет антрацит</v>
      </c>
      <c r="H4710">
        <f>VLOOKUP(D4710,Товары!A:I,6,0)</f>
        <v>75</v>
      </c>
      <c r="I4710" t="str">
        <f>VLOOKUP(C4710,Магазины!A:C,3,0)</f>
        <v>Кемерово</v>
      </c>
      <c r="J4710">
        <f>VLOOKUP(D4710,Товары!A:I,4,0)</f>
        <v>9615</v>
      </c>
      <c r="K4710">
        <f t="shared" si="73"/>
        <v>19230</v>
      </c>
    </row>
    <row r="4711" spans="1:11" hidden="1" x14ac:dyDescent="0.25">
      <c r="A4711">
        <v>4710</v>
      </c>
      <c r="B4711" s="1">
        <v>45757</v>
      </c>
      <c r="C4711" t="s">
        <v>92</v>
      </c>
      <c r="D4711" t="s">
        <v>53</v>
      </c>
      <c r="E4711" t="s">
        <v>13</v>
      </c>
      <c r="F4711">
        <v>1</v>
      </c>
      <c r="G4711" t="str">
        <f>VLOOKUP(D4711,Товары!A:I,3,0)</f>
        <v>Тумба с раковиной  напол. Кристалл 600 шато азур 2 ящика с умыв. Океан</v>
      </c>
      <c r="H4711">
        <f>VLOOKUP(D4711,Товары!A:I,6,0)</f>
        <v>85</v>
      </c>
      <c r="I4711" t="str">
        <f>VLOOKUP(C4711,Магазины!A:C,3,0)</f>
        <v>Кемерово</v>
      </c>
      <c r="J4711">
        <f>VLOOKUP(D4711,Товары!A:I,4,0)</f>
        <v>27600</v>
      </c>
      <c r="K4711">
        <f t="shared" si="73"/>
        <v>27600</v>
      </c>
    </row>
    <row r="4712" spans="1:11" hidden="1" x14ac:dyDescent="0.25">
      <c r="A4712">
        <v>4711</v>
      </c>
      <c r="B4712" s="1">
        <v>45756</v>
      </c>
      <c r="C4712" t="s">
        <v>43</v>
      </c>
      <c r="D4712" t="s">
        <v>64</v>
      </c>
      <c r="E4712" t="s">
        <v>8</v>
      </c>
      <c r="F4712">
        <v>1</v>
      </c>
      <c r="G4712" t="str">
        <f>VLOOKUP(D4712,Товары!A:I,3,0)</f>
        <v>Тумба с раковиной  напол. Рица 800 антрацит 2 ящика с умыв. Слим</v>
      </c>
      <c r="H4712">
        <f>VLOOKUP(D4712,Товары!A:I,6,0)</f>
        <v>80</v>
      </c>
      <c r="I4712" t="str">
        <f>VLOOKUP(C4712,Магазины!A:C,3,0)</f>
        <v>Набережные Челны</v>
      </c>
      <c r="J4712">
        <f>VLOOKUP(D4712,Товары!A:I,4,0)</f>
        <v>28980</v>
      </c>
      <c r="K4712">
        <f t="shared" si="73"/>
        <v>28980</v>
      </c>
    </row>
    <row r="4713" spans="1:11" hidden="1" x14ac:dyDescent="0.25">
      <c r="A4713">
        <v>4712</v>
      </c>
      <c r="B4713" s="1">
        <v>45749</v>
      </c>
      <c r="C4713" t="s">
        <v>63</v>
      </c>
      <c r="D4713" t="s">
        <v>98</v>
      </c>
      <c r="E4713" t="s">
        <v>8</v>
      </c>
      <c r="F4713">
        <v>2</v>
      </c>
      <c r="G4713" t="str">
        <f>VLOOKUP(D4713,Товары!A:I,3,0)</f>
        <v>Тумба с раковиной  напол. Рица 800 cерый/керамика 2 ящика с умыв. Слим</v>
      </c>
      <c r="H4713">
        <f>VLOOKUP(D4713,Товары!A:I,6,0)</f>
        <v>80</v>
      </c>
      <c r="I4713" t="str">
        <f>VLOOKUP(C4713,Магазины!A:C,3,0)</f>
        <v>Ставрополь</v>
      </c>
      <c r="J4713">
        <f>VLOOKUP(D4713,Товары!A:I,4,0)</f>
        <v>28980</v>
      </c>
      <c r="K4713">
        <f t="shared" si="73"/>
        <v>57960</v>
      </c>
    </row>
    <row r="4714" spans="1:11" hidden="1" x14ac:dyDescent="0.25">
      <c r="A4714">
        <v>4713</v>
      </c>
      <c r="B4714" s="1">
        <v>45756</v>
      </c>
      <c r="C4714" t="s">
        <v>11</v>
      </c>
      <c r="D4714" t="s">
        <v>108</v>
      </c>
      <c r="E4714" t="s">
        <v>13</v>
      </c>
      <c r="F4714">
        <v>2</v>
      </c>
      <c r="G4714" t="str">
        <f>VLOOKUP(D4714,Товары!A:I,3,0)</f>
        <v>Тумба с раковиной  навес. Виктория 1000 белый 2 ящика с умыв. Слим</v>
      </c>
      <c r="H4714">
        <f>VLOOKUP(D4714,Товары!A:I,6,0)</f>
        <v>60</v>
      </c>
      <c r="I4714" t="str">
        <f>VLOOKUP(C4714,Магазины!A:C,3,0)</f>
        <v>Кемерово</v>
      </c>
      <c r="J4714">
        <f>VLOOKUP(D4714,Товары!A:I,4,0)</f>
        <v>29205</v>
      </c>
      <c r="K4714">
        <f t="shared" si="73"/>
        <v>58410</v>
      </c>
    </row>
    <row r="4715" spans="1:11" hidden="1" x14ac:dyDescent="0.25">
      <c r="A4715">
        <v>4714</v>
      </c>
      <c r="B4715" s="1">
        <v>45751</v>
      </c>
      <c r="C4715" t="s">
        <v>41</v>
      </c>
      <c r="D4715" t="s">
        <v>113</v>
      </c>
      <c r="E4715" t="s">
        <v>13</v>
      </c>
      <c r="F4715">
        <v>1</v>
      </c>
      <c r="G4715" t="str">
        <f>VLOOKUP(D4715,Товары!A:I,3,0)</f>
        <v>Зеркальный шкаф Альба 60 со светильником правый цвет мята</v>
      </c>
      <c r="H4715">
        <f>VLOOKUP(D4715,Товары!A:I,6,0)</f>
        <v>75</v>
      </c>
      <c r="I4715" t="str">
        <f>VLOOKUP(C4715,Магазины!A:C,3,0)</f>
        <v>Ставрополь</v>
      </c>
      <c r="J4715">
        <f>VLOOKUP(D4715,Товары!A:I,4,0)</f>
        <v>8910</v>
      </c>
      <c r="K4715">
        <f t="shared" si="73"/>
        <v>8910</v>
      </c>
    </row>
    <row r="4716" spans="1:11" hidden="1" x14ac:dyDescent="0.25">
      <c r="A4716">
        <v>4715</v>
      </c>
      <c r="B4716" s="1">
        <v>45753</v>
      </c>
      <c r="C4716" t="s">
        <v>111</v>
      </c>
      <c r="D4716" t="s">
        <v>131</v>
      </c>
      <c r="E4716" t="s">
        <v>13</v>
      </c>
      <c r="F4716">
        <v>2</v>
      </c>
      <c r="G4716" t="str">
        <f>VLOOKUP(D4716,Товары!A:I,3,0)</f>
        <v>Тумба с раковиной  напол. Леон 800 форест 2 ящика с умыв. Слим</v>
      </c>
      <c r="H4716">
        <f>VLOOKUP(D4716,Товары!A:I,6,0)</f>
        <v>80</v>
      </c>
      <c r="I4716" t="str">
        <f>VLOOKUP(C4716,Магазины!A:C,3,0)</f>
        <v>Набережные Челны</v>
      </c>
      <c r="J4716">
        <f>VLOOKUP(D4716,Товары!A:I,4,0)</f>
        <v>29400</v>
      </c>
      <c r="K4716">
        <f t="shared" si="73"/>
        <v>58800</v>
      </c>
    </row>
    <row r="4717" spans="1:11" hidden="1" x14ac:dyDescent="0.25">
      <c r="A4717">
        <v>4716</v>
      </c>
      <c r="B4717" s="1">
        <v>45753</v>
      </c>
      <c r="C4717" t="s">
        <v>16</v>
      </c>
      <c r="D4717" t="s">
        <v>118</v>
      </c>
      <c r="E4717" t="s">
        <v>8</v>
      </c>
      <c r="F4717">
        <v>2</v>
      </c>
      <c r="G4717" t="str">
        <f>VLOOKUP(D4717,Товары!A:I,3,0)</f>
        <v>Тумба с раковиной  напол. Сохо 800 белый 2 ящика с умыв. Слим</v>
      </c>
      <c r="H4717">
        <f>VLOOKUP(D4717,Товары!A:I,6,0)</f>
        <v>85</v>
      </c>
      <c r="I4717" t="str">
        <f>VLOOKUP(C4717,Магазины!A:C,3,0)</f>
        <v>Оренбург</v>
      </c>
      <c r="J4717">
        <f>VLOOKUP(D4717,Товары!A:I,4,0)</f>
        <v>19575</v>
      </c>
      <c r="K4717">
        <f t="shared" si="73"/>
        <v>39150</v>
      </c>
    </row>
    <row r="4718" spans="1:11" hidden="1" x14ac:dyDescent="0.25">
      <c r="A4718">
        <v>4717</v>
      </c>
      <c r="B4718" s="1">
        <v>45749</v>
      </c>
      <c r="C4718" t="s">
        <v>26</v>
      </c>
      <c r="D4718" t="s">
        <v>105</v>
      </c>
      <c r="E4718" t="s">
        <v>8</v>
      </c>
      <c r="F4718">
        <v>3</v>
      </c>
      <c r="G4718" t="str">
        <f>VLOOKUP(D4718,Товары!A:I,3,0)</f>
        <v>Тумба с раковиной  напол. Нева 600 белый 2 двери + 1 ящик с умыв. Como</v>
      </c>
      <c r="H4718">
        <f>VLOOKUP(D4718,Товары!A:I,6,0)</f>
        <v>80</v>
      </c>
      <c r="I4718" t="str">
        <f>VLOOKUP(C4718,Магазины!A:C,3,0)</f>
        <v>Оренбург</v>
      </c>
      <c r="J4718">
        <f>VLOOKUP(D4718,Товары!A:I,4,0)</f>
        <v>13470</v>
      </c>
      <c r="K4718">
        <f t="shared" si="73"/>
        <v>40410</v>
      </c>
    </row>
    <row r="4719" spans="1:11" hidden="1" x14ac:dyDescent="0.25">
      <c r="A4719">
        <v>4718</v>
      </c>
      <c r="B4719" s="1">
        <v>45752</v>
      </c>
      <c r="C4719" t="s">
        <v>22</v>
      </c>
      <c r="D4719" t="s">
        <v>107</v>
      </c>
      <c r="E4719" t="s">
        <v>13</v>
      </c>
      <c r="F4719">
        <v>3</v>
      </c>
      <c r="G4719" t="str">
        <f>VLOOKUP(D4719,Товары!A:I,3,0)</f>
        <v>Комод Аква 35 напольный 1 дверь белый правый</v>
      </c>
      <c r="H4719">
        <f>VLOOKUP(D4719,Товары!A:I,6,0)</f>
        <v>90</v>
      </c>
      <c r="I4719" t="str">
        <f>VLOOKUP(C4719,Магазины!A:C,3,0)</f>
        <v>Кемерово</v>
      </c>
      <c r="J4719">
        <f>VLOOKUP(D4719,Товары!A:I,4,0)</f>
        <v>6705</v>
      </c>
      <c r="K4719">
        <f t="shared" si="73"/>
        <v>20115</v>
      </c>
    </row>
    <row r="4720" spans="1:11" hidden="1" x14ac:dyDescent="0.25">
      <c r="A4720">
        <v>4719</v>
      </c>
      <c r="B4720" s="1">
        <v>45753</v>
      </c>
      <c r="C4720" t="s">
        <v>48</v>
      </c>
      <c r="D4720" t="s">
        <v>78</v>
      </c>
      <c r="E4720" t="s">
        <v>8</v>
      </c>
      <c r="F4720">
        <v>2</v>
      </c>
      <c r="G4720" t="str">
        <f>VLOOKUP(D4720,Товары!A:I,3,0)</f>
        <v>Зеркальный шкаф Кристалл 70 со светильником правый, ручка кнопка дуб цвет Шато Азур</v>
      </c>
      <c r="H4720">
        <f>VLOOKUP(D4720,Товары!A:I,6,0)</f>
        <v>75</v>
      </c>
      <c r="I4720" t="str">
        <f>VLOOKUP(C4720,Магазины!A:C,3,0)</f>
        <v>Ставрополь</v>
      </c>
      <c r="J4720">
        <f>VLOOKUP(D4720,Товары!A:I,4,0)</f>
        <v>9615</v>
      </c>
      <c r="K4720">
        <f t="shared" si="73"/>
        <v>19230</v>
      </c>
    </row>
    <row r="4721" spans="1:11" hidden="1" x14ac:dyDescent="0.25">
      <c r="A4721">
        <v>4720</v>
      </c>
      <c r="B4721" s="1">
        <v>45753</v>
      </c>
      <c r="C4721" t="s">
        <v>92</v>
      </c>
      <c r="D4721" t="s">
        <v>83</v>
      </c>
      <c r="E4721" t="s">
        <v>8</v>
      </c>
      <c r="F4721">
        <v>1</v>
      </c>
      <c r="G4721" t="str">
        <f>VLOOKUP(D4721,Товары!A:I,3,0)</f>
        <v>Зеркальный шкаф Альба 60 со светильником правый цвет суфле</v>
      </c>
      <c r="H4721">
        <f>VLOOKUP(D4721,Товары!A:I,6,0)</f>
        <v>75</v>
      </c>
      <c r="I4721" t="str">
        <f>VLOOKUP(C4721,Магазины!A:C,3,0)</f>
        <v>Кемерово</v>
      </c>
      <c r="J4721">
        <f>VLOOKUP(D4721,Товары!A:I,4,0)</f>
        <v>8910</v>
      </c>
      <c r="K4721">
        <f t="shared" si="73"/>
        <v>8910</v>
      </c>
    </row>
    <row r="4722" spans="1:11" hidden="1" x14ac:dyDescent="0.25">
      <c r="A4722">
        <v>4721</v>
      </c>
      <c r="B4722" s="1">
        <v>45756</v>
      </c>
      <c r="C4722" t="s">
        <v>28</v>
      </c>
      <c r="D4722" t="s">
        <v>42</v>
      </c>
      <c r="E4722" t="s">
        <v>13</v>
      </c>
      <c r="F4722">
        <v>2</v>
      </c>
      <c r="G4722" t="str">
        <f>VLOOKUP(D4722,Товары!A:I,3,0)</f>
        <v>Тумба под стиральную машину Леон Риф 57 подвесная 2 ящика под ст/маш, без умывальника /под Marshall 120 Солярис/Белый Риф</v>
      </c>
      <c r="H4722">
        <f>VLOOKUP(D4722,Товары!A:I,6,0)</f>
        <v>60</v>
      </c>
      <c r="I4722" t="str">
        <f>VLOOKUP(C4722,Магазины!A:C,3,0)</f>
        <v>Набережные Челны</v>
      </c>
      <c r="J4722">
        <f>VLOOKUP(D4722,Товары!A:I,4,0)</f>
        <v>15495</v>
      </c>
      <c r="K4722">
        <f t="shared" si="73"/>
        <v>30990</v>
      </c>
    </row>
    <row r="4723" spans="1:11" hidden="1" x14ac:dyDescent="0.25">
      <c r="A4723">
        <v>4722</v>
      </c>
      <c r="B4723" s="1">
        <v>45748</v>
      </c>
      <c r="C4723" t="s">
        <v>63</v>
      </c>
      <c r="D4723" t="s">
        <v>69</v>
      </c>
      <c r="E4723" t="s">
        <v>13</v>
      </c>
      <c r="F4723">
        <v>3</v>
      </c>
      <c r="G4723" t="str">
        <f>VLOOKUP(D4723,Товары!A:I,3,0)</f>
        <v>Пенал навес./напол. Альба 350 антрацит 2 двери</v>
      </c>
      <c r="H4723">
        <f>VLOOKUP(D4723,Товары!A:I,6,0)</f>
        <v>150</v>
      </c>
      <c r="I4723" t="str">
        <f>VLOOKUP(C4723,Магазины!A:C,3,0)</f>
        <v>Ставрополь</v>
      </c>
      <c r="J4723">
        <f>VLOOKUP(D4723,Товары!A:I,4,0)</f>
        <v>11655</v>
      </c>
      <c r="K4723">
        <f t="shared" si="73"/>
        <v>34965</v>
      </c>
    </row>
    <row r="4724" spans="1:11" hidden="1" x14ac:dyDescent="0.25">
      <c r="A4724">
        <v>4723</v>
      </c>
      <c r="B4724" s="1">
        <v>45749</v>
      </c>
      <c r="C4724" t="s">
        <v>11</v>
      </c>
      <c r="D4724" t="s">
        <v>100</v>
      </c>
      <c r="E4724" t="s">
        <v>8</v>
      </c>
      <c r="F4724">
        <v>1</v>
      </c>
      <c r="G4724" t="str">
        <f>VLOOKUP(D4724,Товары!A:I,3,0)</f>
        <v>Тумба с раковиной  навес. Альба 800 мята 1 ящик с умыв. Слим</v>
      </c>
      <c r="H4724">
        <f>VLOOKUP(D4724,Товары!A:I,6,0)</f>
        <v>45</v>
      </c>
      <c r="I4724" t="str">
        <f>VLOOKUP(C4724,Магазины!A:C,3,0)</f>
        <v>Кемерово</v>
      </c>
      <c r="J4724">
        <f>VLOOKUP(D4724,Товары!A:I,4,0)</f>
        <v>21630</v>
      </c>
      <c r="K4724">
        <f t="shared" si="73"/>
        <v>21630</v>
      </c>
    </row>
    <row r="4725" spans="1:11" hidden="1" x14ac:dyDescent="0.25">
      <c r="A4725">
        <v>4724</v>
      </c>
      <c r="B4725" s="1">
        <v>45754</v>
      </c>
      <c r="C4725" t="s">
        <v>30</v>
      </c>
      <c r="D4725" t="s">
        <v>77</v>
      </c>
      <c r="E4725" t="s">
        <v>13</v>
      </c>
      <c r="F4725">
        <v>2</v>
      </c>
      <c r="G4725" t="str">
        <f>VLOOKUP(D4725,Товары!A:I,3,0)</f>
        <v>Тумба с раковиной  напол. Куба Риф 600 белый 2 ящика с умыв. Como</v>
      </c>
      <c r="H4725">
        <f>VLOOKUP(D4725,Товары!A:I,6,0)</f>
        <v>85</v>
      </c>
      <c r="I4725" t="str">
        <f>VLOOKUP(C4725,Магазины!A:C,3,0)</f>
        <v>Кемерово</v>
      </c>
      <c r="J4725">
        <f>VLOOKUP(D4725,Товары!A:I,4,0)</f>
        <v>15660</v>
      </c>
      <c r="K4725">
        <f t="shared" si="73"/>
        <v>31320</v>
      </c>
    </row>
    <row r="4726" spans="1:11" hidden="1" x14ac:dyDescent="0.25">
      <c r="A4726">
        <v>4725</v>
      </c>
      <c r="B4726" s="1">
        <v>45752</v>
      </c>
      <c r="C4726" t="s">
        <v>14</v>
      </c>
      <c r="D4726" t="s">
        <v>77</v>
      </c>
      <c r="E4726" t="s">
        <v>8</v>
      </c>
      <c r="F4726">
        <v>3</v>
      </c>
      <c r="G4726" t="str">
        <f>VLOOKUP(D4726,Товары!A:I,3,0)</f>
        <v>Тумба с раковиной  напол. Куба Риф 600 белый 2 ящика с умыв. Como</v>
      </c>
      <c r="H4726">
        <f>VLOOKUP(D4726,Товары!A:I,6,0)</f>
        <v>85</v>
      </c>
      <c r="I4726" t="str">
        <f>VLOOKUP(C4726,Магазины!A:C,3,0)</f>
        <v>Оренбург</v>
      </c>
      <c r="J4726">
        <f>VLOOKUP(D4726,Товары!A:I,4,0)</f>
        <v>15660</v>
      </c>
      <c r="K4726">
        <f t="shared" si="73"/>
        <v>46980</v>
      </c>
    </row>
    <row r="4727" spans="1:11" hidden="1" x14ac:dyDescent="0.25">
      <c r="A4727">
        <v>4726</v>
      </c>
      <c r="B4727" s="1">
        <v>45749</v>
      </c>
      <c r="C4727" t="s">
        <v>103</v>
      </c>
      <c r="D4727" t="s">
        <v>87</v>
      </c>
      <c r="E4727" t="s">
        <v>13</v>
      </c>
      <c r="F4727">
        <v>3</v>
      </c>
      <c r="G4727" t="str">
        <f>VLOOKUP(D4727,Товары!A:I,3,0)</f>
        <v>Тумба с раковиной  напол. Леон 700 форест 2 ящика с умыв. Слим</v>
      </c>
      <c r="H4727">
        <f>VLOOKUP(D4727,Товары!A:I,6,0)</f>
        <v>80</v>
      </c>
      <c r="I4727" t="str">
        <f>VLOOKUP(C4727,Магазины!A:C,3,0)</f>
        <v>Ставрополь</v>
      </c>
      <c r="J4727">
        <f>VLOOKUP(D4727,Товары!A:I,4,0)</f>
        <v>28380</v>
      </c>
      <c r="K4727">
        <f t="shared" si="73"/>
        <v>85140</v>
      </c>
    </row>
    <row r="4728" spans="1:11" hidden="1" x14ac:dyDescent="0.25">
      <c r="A4728">
        <v>4727</v>
      </c>
      <c r="B4728" s="1">
        <v>45753</v>
      </c>
      <c r="C4728" t="s">
        <v>111</v>
      </c>
      <c r="D4728" t="s">
        <v>40</v>
      </c>
      <c r="E4728" t="s">
        <v>8</v>
      </c>
      <c r="F4728">
        <v>2</v>
      </c>
      <c r="G4728" t="str">
        <f>VLOOKUP(D4728,Товары!A:I,3,0)</f>
        <v>Тумба с раковиной  навес. Рица 800 cерый/керамика 1 ящик + ниша 1 с умыв. Слим</v>
      </c>
      <c r="H4728">
        <f>VLOOKUP(D4728,Товары!A:I,6,0)</f>
        <v>60</v>
      </c>
      <c r="I4728" t="str">
        <f>VLOOKUP(C4728,Магазины!A:C,3,0)</f>
        <v>Набережные Челны</v>
      </c>
      <c r="J4728">
        <f>VLOOKUP(D4728,Товары!A:I,4,0)</f>
        <v>22425</v>
      </c>
      <c r="K4728">
        <f t="shared" si="73"/>
        <v>44850</v>
      </c>
    </row>
    <row r="4729" spans="1:11" hidden="1" x14ac:dyDescent="0.25">
      <c r="A4729">
        <v>4728</v>
      </c>
      <c r="B4729" s="1">
        <v>45753</v>
      </c>
      <c r="C4729" t="s">
        <v>48</v>
      </c>
      <c r="D4729" t="s">
        <v>12</v>
      </c>
      <c r="E4729" t="s">
        <v>13</v>
      </c>
      <c r="F4729">
        <v>1</v>
      </c>
      <c r="G4729" t="str">
        <f>VLOOKUP(D4729,Товары!A:I,3,0)</f>
        <v>Тумба с раковиной  напол. Сохо 700 белый 2 двери с умыв. Слим</v>
      </c>
      <c r="H4729">
        <f>VLOOKUP(D4729,Товары!A:I,6,0)</f>
        <v>85</v>
      </c>
      <c r="I4729" t="str">
        <f>VLOOKUP(C4729,Магазины!A:C,3,0)</f>
        <v>Ставрополь</v>
      </c>
      <c r="J4729">
        <f>VLOOKUP(D4729,Товары!A:I,4,0)</f>
        <v>17160</v>
      </c>
      <c r="K4729">
        <f t="shared" si="73"/>
        <v>17160</v>
      </c>
    </row>
    <row r="4730" spans="1:11" hidden="1" x14ac:dyDescent="0.25">
      <c r="A4730">
        <v>4729</v>
      </c>
      <c r="B4730" s="1">
        <v>45750</v>
      </c>
      <c r="C4730" t="s">
        <v>33</v>
      </c>
      <c r="D4730" t="s">
        <v>121</v>
      </c>
      <c r="E4730" t="s">
        <v>8</v>
      </c>
      <c r="F4730">
        <v>3</v>
      </c>
      <c r="G4730" t="str">
        <f>VLOOKUP(D4730,Товары!A:I,3,0)</f>
        <v>Тумба с раковиной  напол. Куба Риф 600 белый 2 двери с умыв. Como</v>
      </c>
      <c r="H4730">
        <f>VLOOKUP(D4730,Товары!A:I,6,0)</f>
        <v>85</v>
      </c>
      <c r="I4730" t="str">
        <f>VLOOKUP(C4730,Магазины!A:C,3,0)</f>
        <v>Набережные Челны</v>
      </c>
      <c r="J4730">
        <f>VLOOKUP(D4730,Товары!A:I,4,0)</f>
        <v>13695</v>
      </c>
      <c r="K4730">
        <f t="shared" si="73"/>
        <v>41085</v>
      </c>
    </row>
    <row r="4731" spans="1:11" hidden="1" x14ac:dyDescent="0.25">
      <c r="A4731">
        <v>4730</v>
      </c>
      <c r="B4731" s="1">
        <v>45751</v>
      </c>
      <c r="C4731" t="s">
        <v>16</v>
      </c>
      <c r="D4731" t="s">
        <v>112</v>
      </c>
      <c r="E4731" t="s">
        <v>13</v>
      </c>
      <c r="F4731">
        <v>3</v>
      </c>
      <c r="G4731" t="str">
        <f>VLOOKUP(D4731,Товары!A:I,3,0)</f>
        <v>Тумба с раковиной  напол. Аква 560 белый 2 двери с умыв. Уют</v>
      </c>
      <c r="H4731">
        <f>VLOOKUP(D4731,Товары!A:I,6,0)</f>
        <v>85</v>
      </c>
      <c r="I4731" t="str">
        <f>VLOOKUP(C4731,Магазины!A:C,3,0)</f>
        <v>Оренбург</v>
      </c>
      <c r="J4731">
        <f>VLOOKUP(D4731,Товары!A:I,4,0)</f>
        <v>9330</v>
      </c>
      <c r="K4731">
        <f t="shared" si="73"/>
        <v>27990</v>
      </c>
    </row>
    <row r="4732" spans="1:11" hidden="1" x14ac:dyDescent="0.25">
      <c r="A4732">
        <v>4731</v>
      </c>
      <c r="B4732" s="1">
        <v>45757</v>
      </c>
      <c r="C4732" t="s">
        <v>48</v>
      </c>
      <c r="D4732" t="s">
        <v>44</v>
      </c>
      <c r="E4732" t="s">
        <v>13</v>
      </c>
      <c r="F4732">
        <v>3</v>
      </c>
      <c r="G4732" t="str">
        <f>VLOOKUP(D4732,Товары!A:I,3,0)</f>
        <v>Тумба с раковиной  навес. Кристалл 800 шато азур 2 ящика с умыв. Комфорт</v>
      </c>
      <c r="H4732">
        <f>VLOOKUP(D4732,Товары!A:I,6,0)</f>
        <v>55</v>
      </c>
      <c r="I4732" t="str">
        <f>VLOOKUP(C4732,Магазины!A:C,3,0)</f>
        <v>Ставрополь</v>
      </c>
      <c r="J4732">
        <f>VLOOKUP(D4732,Товары!A:I,4,0)</f>
        <v>25080</v>
      </c>
      <c r="K4732">
        <f t="shared" si="73"/>
        <v>75240</v>
      </c>
    </row>
    <row r="4733" spans="1:11" hidden="1" x14ac:dyDescent="0.25">
      <c r="A4733">
        <v>4732</v>
      </c>
      <c r="B4733" s="1">
        <v>45751</v>
      </c>
      <c r="C4733" t="s">
        <v>28</v>
      </c>
      <c r="D4733" t="s">
        <v>34</v>
      </c>
      <c r="E4733" t="s">
        <v>13</v>
      </c>
      <c r="F4733">
        <v>3</v>
      </c>
      <c r="G4733" t="str">
        <f>VLOOKUP(D4733,Товары!A:I,3,0)</f>
        <v>Тумба с раковиной  навес. Леон 700 форест 2 ящика с умыв. Слим</v>
      </c>
      <c r="H4733">
        <f>VLOOKUP(D4733,Товары!A:I,6,0)</f>
        <v>60</v>
      </c>
      <c r="I4733" t="str">
        <f>VLOOKUP(C4733,Магазины!A:C,3,0)</f>
        <v>Набережные Челны</v>
      </c>
      <c r="J4733">
        <f>VLOOKUP(D4733,Товары!A:I,4,0)</f>
        <v>26220</v>
      </c>
      <c r="K4733">
        <f t="shared" si="73"/>
        <v>78660</v>
      </c>
    </row>
    <row r="4734" spans="1:11" hidden="1" x14ac:dyDescent="0.25">
      <c r="A4734">
        <v>4733</v>
      </c>
      <c r="B4734" s="1">
        <v>45753</v>
      </c>
      <c r="C4734" t="s">
        <v>92</v>
      </c>
      <c r="D4734" t="s">
        <v>119</v>
      </c>
      <c r="E4734" t="s">
        <v>8</v>
      </c>
      <c r="F4734">
        <v>2</v>
      </c>
      <c r="G4734" t="str">
        <f>VLOOKUP(D4734,Товары!A:I,3,0)</f>
        <v>Пенал навес./напол. Рица 350 cерый/керамика 2 двери</v>
      </c>
      <c r="H4734">
        <f>VLOOKUP(D4734,Товары!A:I,6,0)</f>
        <v>160</v>
      </c>
      <c r="I4734" t="str">
        <f>VLOOKUP(C4734,Магазины!A:C,3,0)</f>
        <v>Кемерово</v>
      </c>
      <c r="J4734">
        <f>VLOOKUP(D4734,Товары!A:I,4,0)</f>
        <v>11250</v>
      </c>
      <c r="K4734">
        <f t="shared" si="73"/>
        <v>22500</v>
      </c>
    </row>
    <row r="4735" spans="1:11" hidden="1" x14ac:dyDescent="0.25">
      <c r="A4735">
        <v>4734</v>
      </c>
      <c r="B4735" s="1">
        <v>45751</v>
      </c>
      <c r="C4735" t="s">
        <v>43</v>
      </c>
      <c r="D4735" t="s">
        <v>98</v>
      </c>
      <c r="E4735" t="s">
        <v>8</v>
      </c>
      <c r="F4735">
        <v>3</v>
      </c>
      <c r="G4735" t="str">
        <f>VLOOKUP(D4735,Товары!A:I,3,0)</f>
        <v>Тумба с раковиной  напол. Рица 800 cерый/керамика 2 ящика с умыв. Слим</v>
      </c>
      <c r="H4735">
        <f>VLOOKUP(D4735,Товары!A:I,6,0)</f>
        <v>80</v>
      </c>
      <c r="I4735" t="str">
        <f>VLOOKUP(C4735,Магазины!A:C,3,0)</f>
        <v>Набережные Челны</v>
      </c>
      <c r="J4735">
        <f>VLOOKUP(D4735,Товары!A:I,4,0)</f>
        <v>28980</v>
      </c>
      <c r="K4735">
        <f t="shared" si="73"/>
        <v>86940</v>
      </c>
    </row>
    <row r="4736" spans="1:11" hidden="1" x14ac:dyDescent="0.25">
      <c r="A4736">
        <v>4735</v>
      </c>
      <c r="B4736" s="1">
        <v>45755</v>
      </c>
      <c r="C4736" t="s">
        <v>41</v>
      </c>
      <c r="D4736" t="s">
        <v>61</v>
      </c>
      <c r="E4736" t="s">
        <v>8</v>
      </c>
      <c r="F4736">
        <v>1</v>
      </c>
      <c r="G4736" t="str">
        <f>VLOOKUP(D4736,Товары!A:I,3,0)</f>
        <v>Тумба под стиральную машину Леон Риф 57 напольная 2 ящика под ст/маш, без умывальника /под Marshall 120 Солярис/Белый Риф</v>
      </c>
      <c r="H4736">
        <f>VLOOKUP(D4736,Товары!A:I,6,0)</f>
        <v>85</v>
      </c>
      <c r="I4736" t="str">
        <f>VLOOKUP(C4736,Магазины!A:C,3,0)</f>
        <v>Ставрополь</v>
      </c>
      <c r="J4736">
        <f>VLOOKUP(D4736,Товары!A:I,4,0)</f>
        <v>17430</v>
      </c>
      <c r="K4736">
        <f t="shared" si="73"/>
        <v>17430</v>
      </c>
    </row>
    <row r="4737" spans="1:11" hidden="1" x14ac:dyDescent="0.25">
      <c r="A4737">
        <v>4736</v>
      </c>
      <c r="B4737" s="1">
        <v>45757</v>
      </c>
      <c r="C4737" t="s">
        <v>30</v>
      </c>
      <c r="D4737" t="s">
        <v>87</v>
      </c>
      <c r="E4737" t="s">
        <v>8</v>
      </c>
      <c r="F4737">
        <v>1</v>
      </c>
      <c r="G4737" t="str">
        <f>VLOOKUP(D4737,Товары!A:I,3,0)</f>
        <v>Тумба с раковиной  напол. Леон 700 форест 2 ящика с умыв. Слим</v>
      </c>
      <c r="H4737">
        <f>VLOOKUP(D4737,Товары!A:I,6,0)</f>
        <v>80</v>
      </c>
      <c r="I4737" t="str">
        <f>VLOOKUP(C4737,Магазины!A:C,3,0)</f>
        <v>Кемерово</v>
      </c>
      <c r="J4737">
        <f>VLOOKUP(D4737,Товары!A:I,4,0)</f>
        <v>28380</v>
      </c>
      <c r="K4737">
        <f t="shared" si="73"/>
        <v>28380</v>
      </c>
    </row>
    <row r="4738" spans="1:11" hidden="1" x14ac:dyDescent="0.25">
      <c r="A4738">
        <v>4737</v>
      </c>
      <c r="B4738" s="1">
        <v>45751</v>
      </c>
      <c r="C4738" t="s">
        <v>18</v>
      </c>
      <c r="D4738" t="s">
        <v>40</v>
      </c>
      <c r="E4738" t="s">
        <v>8</v>
      </c>
      <c r="F4738">
        <v>1</v>
      </c>
      <c r="G4738" t="str">
        <f>VLOOKUP(D4738,Товары!A:I,3,0)</f>
        <v>Тумба с раковиной  навес. Рица 800 cерый/керамика 1 ящик + ниша 1 с умыв. Слим</v>
      </c>
      <c r="H4738">
        <f>VLOOKUP(D4738,Товары!A:I,6,0)</f>
        <v>60</v>
      </c>
      <c r="I4738" t="str">
        <f>VLOOKUP(C4738,Магазины!A:C,3,0)</f>
        <v>Набережные Челны</v>
      </c>
      <c r="J4738">
        <f>VLOOKUP(D4738,Товары!A:I,4,0)</f>
        <v>22425</v>
      </c>
      <c r="K4738">
        <f t="shared" si="73"/>
        <v>22425</v>
      </c>
    </row>
    <row r="4739" spans="1:11" hidden="1" x14ac:dyDescent="0.25">
      <c r="A4739">
        <v>4738</v>
      </c>
      <c r="B4739" s="1">
        <v>45752</v>
      </c>
      <c r="C4739" t="s">
        <v>18</v>
      </c>
      <c r="D4739" t="s">
        <v>96</v>
      </c>
      <c r="E4739" t="s">
        <v>13</v>
      </c>
      <c r="F4739">
        <v>1</v>
      </c>
      <c r="G4739" t="str">
        <f>VLOOKUP(D4739,Товары!A:I,3,0)</f>
        <v>Тумба с раковиной  навес. Альба 600 мята 1 ящик с умыв. Океан</v>
      </c>
      <c r="H4739">
        <f>VLOOKUP(D4739,Товары!A:I,6,0)</f>
        <v>85</v>
      </c>
      <c r="I4739" t="str">
        <f>VLOOKUP(C4739,Магазины!A:C,3,0)</f>
        <v>Набережные Челны</v>
      </c>
      <c r="J4739">
        <f>VLOOKUP(D4739,Товары!A:I,4,0)</f>
        <v>17625</v>
      </c>
      <c r="K4739">
        <f t="shared" ref="K4739:K4802" si="74">J4739*F4739</f>
        <v>17625</v>
      </c>
    </row>
    <row r="4740" spans="1:11" hidden="1" x14ac:dyDescent="0.25">
      <c r="A4740">
        <v>4739</v>
      </c>
      <c r="B4740" s="1">
        <v>45750</v>
      </c>
      <c r="C4740" t="s">
        <v>22</v>
      </c>
      <c r="D4740" t="s">
        <v>131</v>
      </c>
      <c r="E4740" t="s">
        <v>8</v>
      </c>
      <c r="F4740">
        <v>3</v>
      </c>
      <c r="G4740" t="str">
        <f>VLOOKUP(D4740,Товары!A:I,3,0)</f>
        <v>Тумба с раковиной  напол. Леон 800 форест 2 ящика с умыв. Слим</v>
      </c>
      <c r="H4740">
        <f>VLOOKUP(D4740,Товары!A:I,6,0)</f>
        <v>80</v>
      </c>
      <c r="I4740" t="str">
        <f>VLOOKUP(C4740,Магазины!A:C,3,0)</f>
        <v>Кемерово</v>
      </c>
      <c r="J4740">
        <f>VLOOKUP(D4740,Товары!A:I,4,0)</f>
        <v>29400</v>
      </c>
      <c r="K4740">
        <f t="shared" si="74"/>
        <v>88200</v>
      </c>
    </row>
    <row r="4741" spans="1:11" hidden="1" x14ac:dyDescent="0.25">
      <c r="A4741">
        <v>4740</v>
      </c>
      <c r="B4741" s="1">
        <v>45756</v>
      </c>
      <c r="C4741" t="s">
        <v>30</v>
      </c>
      <c r="D4741" t="s">
        <v>31</v>
      </c>
      <c r="E4741" t="s">
        <v>13</v>
      </c>
      <c r="F4741">
        <v>3</v>
      </c>
      <c r="G4741" t="str">
        <f>VLOOKUP(D4741,Товары!A:I,3,0)</f>
        <v>Пенал напол. Виктория 350 белый 2 двери</v>
      </c>
      <c r="H4741">
        <f>VLOOKUP(D4741,Товары!A:I,6,0)</f>
        <v>190</v>
      </c>
      <c r="I4741" t="str">
        <f>VLOOKUP(C4741,Магазины!A:C,3,0)</f>
        <v>Кемерово</v>
      </c>
      <c r="J4741">
        <f>VLOOKUP(D4741,Товары!A:I,4,0)</f>
        <v>14085</v>
      </c>
      <c r="K4741">
        <f t="shared" si="74"/>
        <v>42255</v>
      </c>
    </row>
    <row r="4742" spans="1:11" hidden="1" x14ac:dyDescent="0.25">
      <c r="A4742">
        <v>4741</v>
      </c>
      <c r="B4742" s="1">
        <v>45750</v>
      </c>
      <c r="C4742" t="s">
        <v>57</v>
      </c>
      <c r="D4742" t="s">
        <v>21</v>
      </c>
      <c r="E4742" t="s">
        <v>8</v>
      </c>
      <c r="F4742">
        <v>2</v>
      </c>
      <c r="G4742" t="str">
        <f>VLOOKUP(D4742,Товары!A:I,3,0)</f>
        <v>Зеркальный шкаф Рица 60 со светильником правый цвет cерый/керамика</v>
      </c>
      <c r="H4742">
        <f>VLOOKUP(D4742,Товары!A:I,6,0)</f>
        <v>75</v>
      </c>
      <c r="I4742" t="str">
        <f>VLOOKUP(C4742,Магазины!A:C,3,0)</f>
        <v>Оренбург</v>
      </c>
      <c r="J4742">
        <f>VLOOKUP(D4742,Товары!A:I,4,0)</f>
        <v>8910</v>
      </c>
      <c r="K4742">
        <f t="shared" si="74"/>
        <v>17820</v>
      </c>
    </row>
    <row r="4743" spans="1:11" hidden="1" x14ac:dyDescent="0.25">
      <c r="A4743">
        <v>4742</v>
      </c>
      <c r="B4743" s="1">
        <v>45749</v>
      </c>
      <c r="C4743" t="s">
        <v>43</v>
      </c>
      <c r="D4743" t="s">
        <v>107</v>
      </c>
      <c r="E4743" t="s">
        <v>13</v>
      </c>
      <c r="F4743">
        <v>1</v>
      </c>
      <c r="G4743" t="str">
        <f>VLOOKUP(D4743,Товары!A:I,3,0)</f>
        <v>Комод Аква 35 напольный 1 дверь белый правый</v>
      </c>
      <c r="H4743">
        <f>VLOOKUP(D4743,Товары!A:I,6,0)</f>
        <v>90</v>
      </c>
      <c r="I4743" t="str">
        <f>VLOOKUP(C4743,Магазины!A:C,3,0)</f>
        <v>Набережные Челны</v>
      </c>
      <c r="J4743">
        <f>VLOOKUP(D4743,Товары!A:I,4,0)</f>
        <v>6705</v>
      </c>
      <c r="K4743">
        <f t="shared" si="74"/>
        <v>6705</v>
      </c>
    </row>
    <row r="4744" spans="1:11" hidden="1" x14ac:dyDescent="0.25">
      <c r="A4744">
        <v>4743</v>
      </c>
      <c r="B4744" s="1">
        <v>45749</v>
      </c>
      <c r="C4744" t="s">
        <v>9</v>
      </c>
      <c r="D4744" t="s">
        <v>45</v>
      </c>
      <c r="E4744" t="s">
        <v>8</v>
      </c>
      <c r="F4744">
        <v>1</v>
      </c>
      <c r="G4744" t="str">
        <f>VLOOKUP(D4744,Товары!A:I,3,0)</f>
        <v>Зеркальный шкаф Рица 80 со светильником правый цвет cерый/керамика</v>
      </c>
      <c r="H4744">
        <f>VLOOKUP(D4744,Товары!A:I,6,0)</f>
        <v>75</v>
      </c>
      <c r="I4744" t="str">
        <f>VLOOKUP(C4744,Магазины!A:C,3,0)</f>
        <v>Кемерово</v>
      </c>
      <c r="J4744">
        <f>VLOOKUP(D4744,Товары!A:I,4,0)</f>
        <v>9930</v>
      </c>
      <c r="K4744">
        <f t="shared" si="74"/>
        <v>9930</v>
      </c>
    </row>
    <row r="4745" spans="1:11" hidden="1" x14ac:dyDescent="0.25">
      <c r="A4745">
        <v>4744</v>
      </c>
      <c r="B4745" s="1">
        <v>45757</v>
      </c>
      <c r="C4745" t="s">
        <v>18</v>
      </c>
      <c r="D4745" t="s">
        <v>29</v>
      </c>
      <c r="E4745" t="s">
        <v>8</v>
      </c>
      <c r="F4745">
        <v>1</v>
      </c>
      <c r="G4745" t="str">
        <f>VLOOKUP(D4745,Товары!A:I,3,0)</f>
        <v>Тумба с раковиной  напол. Леон Риф 600 солярис/белый риф 2 ящика с умыв. Океан</v>
      </c>
      <c r="H4745">
        <f>VLOOKUP(D4745,Товары!A:I,6,0)</f>
        <v>80</v>
      </c>
      <c r="I4745" t="str">
        <f>VLOOKUP(C4745,Магазины!A:C,3,0)</f>
        <v>Набережные Челны</v>
      </c>
      <c r="J4745">
        <f>VLOOKUP(D4745,Товары!A:I,4,0)</f>
        <v>24150</v>
      </c>
      <c r="K4745">
        <f t="shared" si="74"/>
        <v>24150</v>
      </c>
    </row>
    <row r="4746" spans="1:11" hidden="1" x14ac:dyDescent="0.25">
      <c r="A4746">
        <v>4745</v>
      </c>
      <c r="B4746" s="1">
        <v>45753</v>
      </c>
      <c r="C4746" t="s">
        <v>28</v>
      </c>
      <c r="D4746" t="s">
        <v>46</v>
      </c>
      <c r="E4746" t="s">
        <v>13</v>
      </c>
      <c r="F4746">
        <v>3</v>
      </c>
      <c r="G4746" t="str">
        <f>VLOOKUP(D4746,Товары!A:I,3,0)</f>
        <v>Тумба с раковиной  напол. Сохо 700 белый 2 ящика с умыв. Слим</v>
      </c>
      <c r="H4746">
        <f>VLOOKUP(D4746,Товары!A:I,6,0)</f>
        <v>85</v>
      </c>
      <c r="I4746" t="str">
        <f>VLOOKUP(C4746,Магазины!A:C,3,0)</f>
        <v>Набережные Челны</v>
      </c>
      <c r="J4746">
        <f>VLOOKUP(D4746,Товары!A:I,4,0)</f>
        <v>18405</v>
      </c>
      <c r="K4746">
        <f t="shared" si="74"/>
        <v>55215</v>
      </c>
    </row>
    <row r="4747" spans="1:11" hidden="1" x14ac:dyDescent="0.25">
      <c r="A4747">
        <v>4746</v>
      </c>
      <c r="B4747" s="1">
        <v>45752</v>
      </c>
      <c r="C4747" t="s">
        <v>26</v>
      </c>
      <c r="D4747" t="s">
        <v>87</v>
      </c>
      <c r="E4747" t="s">
        <v>8</v>
      </c>
      <c r="F4747">
        <v>1</v>
      </c>
      <c r="G4747" t="str">
        <f>VLOOKUP(D4747,Товары!A:I,3,0)</f>
        <v>Тумба с раковиной  напол. Леон 700 форест 2 ящика с умыв. Слим</v>
      </c>
      <c r="H4747">
        <f>VLOOKUP(D4747,Товары!A:I,6,0)</f>
        <v>80</v>
      </c>
      <c r="I4747" t="str">
        <f>VLOOKUP(C4747,Магазины!A:C,3,0)</f>
        <v>Оренбург</v>
      </c>
      <c r="J4747">
        <f>VLOOKUP(D4747,Товары!A:I,4,0)</f>
        <v>28380</v>
      </c>
      <c r="K4747">
        <f t="shared" si="74"/>
        <v>28380</v>
      </c>
    </row>
    <row r="4748" spans="1:11" hidden="1" x14ac:dyDescent="0.25">
      <c r="A4748">
        <v>4747</v>
      </c>
      <c r="B4748" s="1">
        <v>45755</v>
      </c>
      <c r="C4748" t="s">
        <v>11</v>
      </c>
      <c r="D4748" t="s">
        <v>119</v>
      </c>
      <c r="E4748" t="s">
        <v>8</v>
      </c>
      <c r="F4748">
        <v>2</v>
      </c>
      <c r="G4748" t="str">
        <f>VLOOKUP(D4748,Товары!A:I,3,0)</f>
        <v>Пенал навес./напол. Рица 350 cерый/керамика 2 двери</v>
      </c>
      <c r="H4748">
        <f>VLOOKUP(D4748,Товары!A:I,6,0)</f>
        <v>160</v>
      </c>
      <c r="I4748" t="str">
        <f>VLOOKUP(C4748,Магазины!A:C,3,0)</f>
        <v>Кемерово</v>
      </c>
      <c r="J4748">
        <f>VLOOKUP(D4748,Товары!A:I,4,0)</f>
        <v>11250</v>
      </c>
      <c r="K4748">
        <f t="shared" si="74"/>
        <v>22500</v>
      </c>
    </row>
    <row r="4749" spans="1:11" hidden="1" x14ac:dyDescent="0.25">
      <c r="A4749">
        <v>4748</v>
      </c>
      <c r="B4749" s="1">
        <v>45756</v>
      </c>
      <c r="C4749" t="s">
        <v>58</v>
      </c>
      <c r="D4749" t="s">
        <v>116</v>
      </c>
      <c r="E4749" t="s">
        <v>8</v>
      </c>
      <c r="F4749">
        <v>2</v>
      </c>
      <c r="G4749" t="str">
        <f>VLOOKUP(D4749,Товары!A:I,3,0)</f>
        <v>Зеркало Нева 60 дуб/белый со светильником</v>
      </c>
      <c r="H4749">
        <f>VLOOKUP(D4749,Товары!A:I,6,0)</f>
        <v>80</v>
      </c>
      <c r="I4749" t="str">
        <f>VLOOKUP(C4749,Магазины!A:C,3,0)</f>
        <v>Ставрополь</v>
      </c>
      <c r="J4749">
        <f>VLOOKUP(D4749,Товары!A:I,4,0)</f>
        <v>5100</v>
      </c>
      <c r="K4749">
        <f t="shared" si="74"/>
        <v>10200</v>
      </c>
    </row>
    <row r="4750" spans="1:11" hidden="1" x14ac:dyDescent="0.25">
      <c r="A4750">
        <v>4749</v>
      </c>
      <c r="B4750" s="1">
        <v>45753</v>
      </c>
      <c r="C4750" t="s">
        <v>43</v>
      </c>
      <c r="D4750" t="s">
        <v>93</v>
      </c>
      <c r="E4750" t="s">
        <v>8</v>
      </c>
      <c r="F4750">
        <v>3</v>
      </c>
      <c r="G4750" t="str">
        <f>VLOOKUP(D4750,Товары!A:I,3,0)</f>
        <v>Тумба с раковиной  напол. Леон Риф 800 солярис/белый риф 2 ящика с умыв. Слим</v>
      </c>
      <c r="H4750">
        <f>VLOOKUP(D4750,Товары!A:I,6,0)</f>
        <v>80</v>
      </c>
      <c r="I4750" t="str">
        <f>VLOOKUP(C4750,Магазины!A:C,3,0)</f>
        <v>Набережные Челны</v>
      </c>
      <c r="J4750">
        <f>VLOOKUP(D4750,Товары!A:I,4,0)</f>
        <v>29340</v>
      </c>
      <c r="K4750">
        <f t="shared" si="74"/>
        <v>88020</v>
      </c>
    </row>
    <row r="4751" spans="1:11" hidden="1" x14ac:dyDescent="0.25">
      <c r="A4751">
        <v>4750</v>
      </c>
      <c r="B4751" s="1">
        <v>45749</v>
      </c>
      <c r="C4751" t="s">
        <v>28</v>
      </c>
      <c r="D4751" t="s">
        <v>77</v>
      </c>
      <c r="E4751" t="s">
        <v>8</v>
      </c>
      <c r="F4751">
        <v>3</v>
      </c>
      <c r="G4751" t="str">
        <f>VLOOKUP(D4751,Товары!A:I,3,0)</f>
        <v>Тумба с раковиной  напол. Куба Риф 600 белый 2 ящика с умыв. Como</v>
      </c>
      <c r="H4751">
        <f>VLOOKUP(D4751,Товары!A:I,6,0)</f>
        <v>85</v>
      </c>
      <c r="I4751" t="str">
        <f>VLOOKUP(C4751,Магазины!A:C,3,0)</f>
        <v>Набережные Челны</v>
      </c>
      <c r="J4751">
        <f>VLOOKUP(D4751,Товары!A:I,4,0)</f>
        <v>15660</v>
      </c>
      <c r="K4751">
        <f t="shared" si="74"/>
        <v>46980</v>
      </c>
    </row>
    <row r="4752" spans="1:11" hidden="1" x14ac:dyDescent="0.25">
      <c r="A4752">
        <v>4751</v>
      </c>
      <c r="B4752" s="1">
        <v>45754</v>
      </c>
      <c r="C4752" t="s">
        <v>14</v>
      </c>
      <c r="D4752" t="s">
        <v>73</v>
      </c>
      <c r="E4752" t="s">
        <v>13</v>
      </c>
      <c r="F4752">
        <v>3</v>
      </c>
      <c r="G4752" t="str">
        <f>VLOOKUP(D4752,Товары!A:I,3,0)</f>
        <v>Зеркальный шкаф Альба 70 со светильником правый цвет антрацит</v>
      </c>
      <c r="H4752">
        <f>VLOOKUP(D4752,Товары!A:I,6,0)</f>
        <v>75</v>
      </c>
      <c r="I4752" t="str">
        <f>VLOOKUP(C4752,Магазины!A:C,3,0)</f>
        <v>Оренбург</v>
      </c>
      <c r="J4752">
        <f>VLOOKUP(D4752,Товары!A:I,4,0)</f>
        <v>9615</v>
      </c>
      <c r="K4752">
        <f t="shared" si="74"/>
        <v>28845</v>
      </c>
    </row>
    <row r="4753" spans="1:11" hidden="1" x14ac:dyDescent="0.25">
      <c r="A4753">
        <v>4752</v>
      </c>
      <c r="B4753" s="1">
        <v>45751</v>
      </c>
      <c r="C4753" t="s">
        <v>35</v>
      </c>
      <c r="D4753" t="s">
        <v>82</v>
      </c>
      <c r="E4753" t="s">
        <v>13</v>
      </c>
      <c r="F4753">
        <v>2</v>
      </c>
      <c r="G4753" t="str">
        <f>VLOOKUP(D4753,Товары!A:I,3,0)</f>
        <v>Тумба с раковиной  навес. Леон 800 форест 2 ящика с умыв. Слим</v>
      </c>
      <c r="H4753">
        <f>VLOOKUP(D4753,Товары!A:I,6,0)</f>
        <v>60</v>
      </c>
      <c r="I4753" t="str">
        <f>VLOOKUP(C4753,Магазины!A:C,3,0)</f>
        <v>Набережные Челны</v>
      </c>
      <c r="J4753">
        <f>VLOOKUP(D4753,Товары!A:I,4,0)</f>
        <v>27930</v>
      </c>
      <c r="K4753">
        <f t="shared" si="74"/>
        <v>55860</v>
      </c>
    </row>
    <row r="4754" spans="1:11" hidden="1" x14ac:dyDescent="0.25">
      <c r="A4754">
        <v>4753</v>
      </c>
      <c r="B4754" s="1">
        <v>45752</v>
      </c>
      <c r="C4754" t="s">
        <v>33</v>
      </c>
      <c r="D4754" t="s">
        <v>106</v>
      </c>
      <c r="E4754" t="s">
        <v>13</v>
      </c>
      <c r="F4754">
        <v>2</v>
      </c>
      <c r="G4754" t="str">
        <f>VLOOKUP(D4754,Товары!A:I,3,0)</f>
        <v>Тумба с раковиной  навес. Кристалл 700 шато азур 2 ящика с умыв. Слим</v>
      </c>
      <c r="H4754">
        <f>VLOOKUP(D4754,Товары!A:I,6,0)</f>
        <v>60</v>
      </c>
      <c r="I4754" t="str">
        <f>VLOOKUP(C4754,Магазины!A:C,3,0)</f>
        <v>Набережные Челны</v>
      </c>
      <c r="J4754">
        <f>VLOOKUP(D4754,Товары!A:I,4,0)</f>
        <v>24150</v>
      </c>
      <c r="K4754">
        <f t="shared" si="74"/>
        <v>48300</v>
      </c>
    </row>
    <row r="4755" spans="1:11" hidden="1" x14ac:dyDescent="0.25">
      <c r="A4755">
        <v>4754</v>
      </c>
      <c r="B4755" s="1">
        <v>45757</v>
      </c>
      <c r="C4755" t="s">
        <v>33</v>
      </c>
      <c r="D4755" t="s">
        <v>100</v>
      </c>
      <c r="E4755" t="s">
        <v>13</v>
      </c>
      <c r="F4755">
        <v>2</v>
      </c>
      <c r="G4755" t="str">
        <f>VLOOKUP(D4755,Товары!A:I,3,0)</f>
        <v>Тумба с раковиной  навес. Альба 800 мята 1 ящик с умыв. Слим</v>
      </c>
      <c r="H4755">
        <f>VLOOKUP(D4755,Товары!A:I,6,0)</f>
        <v>45</v>
      </c>
      <c r="I4755" t="str">
        <f>VLOOKUP(C4755,Магазины!A:C,3,0)</f>
        <v>Набережные Челны</v>
      </c>
      <c r="J4755">
        <f>VLOOKUP(D4755,Товары!A:I,4,0)</f>
        <v>21630</v>
      </c>
      <c r="K4755">
        <f t="shared" si="74"/>
        <v>43260</v>
      </c>
    </row>
    <row r="4756" spans="1:11" hidden="1" x14ac:dyDescent="0.25">
      <c r="A4756">
        <v>4755</v>
      </c>
      <c r="B4756" s="1">
        <v>45752</v>
      </c>
      <c r="C4756" t="s">
        <v>11</v>
      </c>
      <c r="D4756" t="s">
        <v>42</v>
      </c>
      <c r="E4756" t="s">
        <v>13</v>
      </c>
      <c r="F4756">
        <v>1</v>
      </c>
      <c r="G4756" t="str">
        <f>VLOOKUP(D4756,Товары!A:I,3,0)</f>
        <v>Тумба под стиральную машину Леон Риф 57 подвесная 2 ящика под ст/маш, без умывальника /под Marshall 120 Солярис/Белый Риф</v>
      </c>
      <c r="H4756">
        <f>VLOOKUP(D4756,Товары!A:I,6,0)</f>
        <v>60</v>
      </c>
      <c r="I4756" t="str">
        <f>VLOOKUP(C4756,Магазины!A:C,3,0)</f>
        <v>Кемерово</v>
      </c>
      <c r="J4756">
        <f>VLOOKUP(D4756,Товары!A:I,4,0)</f>
        <v>15495</v>
      </c>
      <c r="K4756">
        <f t="shared" si="74"/>
        <v>15495</v>
      </c>
    </row>
    <row r="4757" spans="1:11" hidden="1" x14ac:dyDescent="0.25">
      <c r="A4757">
        <v>4756</v>
      </c>
      <c r="B4757" s="1">
        <v>45752</v>
      </c>
      <c r="C4757" t="s">
        <v>20</v>
      </c>
      <c r="D4757" t="s">
        <v>55</v>
      </c>
      <c r="E4757" t="s">
        <v>8</v>
      </c>
      <c r="F4757">
        <v>3</v>
      </c>
      <c r="G4757" t="str">
        <f>VLOOKUP(D4757,Товары!A:I,3,0)</f>
        <v>Тумба с раковиной  напол. Рица 600 cерый/керамика 2 ящика с умыв. Океан</v>
      </c>
      <c r="H4757">
        <f>VLOOKUP(D4757,Товары!A:I,6,0)</f>
        <v>80</v>
      </c>
      <c r="I4757" t="str">
        <f>VLOOKUP(C4757,Магазины!A:C,3,0)</f>
        <v>Оренбург</v>
      </c>
      <c r="J4757">
        <f>VLOOKUP(D4757,Товары!A:I,4,0)</f>
        <v>25560</v>
      </c>
      <c r="K4757">
        <f t="shared" si="74"/>
        <v>76680</v>
      </c>
    </row>
    <row r="4758" spans="1:11" hidden="1" x14ac:dyDescent="0.25">
      <c r="A4758">
        <v>4757</v>
      </c>
      <c r="B4758" s="1">
        <v>45753</v>
      </c>
      <c r="C4758" t="s">
        <v>58</v>
      </c>
      <c r="D4758" t="s">
        <v>129</v>
      </c>
      <c r="E4758" t="s">
        <v>8</v>
      </c>
      <c r="F4758">
        <v>1</v>
      </c>
      <c r="G4758" t="str">
        <f>VLOOKUP(D4758,Товары!A:I,3,0)</f>
        <v>Тумба с раковиной  напол. Альба 700 антрацит 2 ящика с умыв. Слим</v>
      </c>
      <c r="H4758">
        <f>VLOOKUP(D4758,Товары!A:I,6,0)</f>
        <v>85</v>
      </c>
      <c r="I4758" t="str">
        <f>VLOOKUP(C4758,Магазины!A:C,3,0)</f>
        <v>Ставрополь</v>
      </c>
      <c r="J4758">
        <f>VLOOKUP(D4758,Товары!A:I,4,0)</f>
        <v>28695</v>
      </c>
      <c r="K4758">
        <f t="shared" si="74"/>
        <v>28695</v>
      </c>
    </row>
    <row r="4759" spans="1:11" hidden="1" x14ac:dyDescent="0.25">
      <c r="A4759">
        <v>4758</v>
      </c>
      <c r="B4759" s="1">
        <v>45757</v>
      </c>
      <c r="C4759" t="s">
        <v>58</v>
      </c>
      <c r="D4759" t="s">
        <v>124</v>
      </c>
      <c r="E4759" t="s">
        <v>8</v>
      </c>
      <c r="F4759">
        <v>2</v>
      </c>
      <c r="G4759" t="str">
        <f>VLOOKUP(D4759,Товары!A:I,3,0)</f>
        <v>Тумба с раковиной  напол. Леон 600 оникс 2 ящика с умыв. Океан</v>
      </c>
      <c r="H4759">
        <f>VLOOKUP(D4759,Товары!A:I,6,0)</f>
        <v>80</v>
      </c>
      <c r="I4759" t="str">
        <f>VLOOKUP(C4759,Магазины!A:C,3,0)</f>
        <v>Ставрополь</v>
      </c>
      <c r="J4759">
        <f>VLOOKUP(D4759,Товары!A:I,4,0)</f>
        <v>25860</v>
      </c>
      <c r="K4759">
        <f t="shared" si="74"/>
        <v>51720</v>
      </c>
    </row>
    <row r="4760" spans="1:11" hidden="1" x14ac:dyDescent="0.25">
      <c r="A4760">
        <v>4759</v>
      </c>
      <c r="B4760" s="1">
        <v>45749</v>
      </c>
      <c r="C4760" t="s">
        <v>63</v>
      </c>
      <c r="D4760" t="s">
        <v>87</v>
      </c>
      <c r="E4760" t="s">
        <v>13</v>
      </c>
      <c r="F4760">
        <v>3</v>
      </c>
      <c r="G4760" t="str">
        <f>VLOOKUP(D4760,Товары!A:I,3,0)</f>
        <v>Тумба с раковиной  напол. Леон 700 форест 2 ящика с умыв. Слим</v>
      </c>
      <c r="H4760">
        <f>VLOOKUP(D4760,Товары!A:I,6,0)</f>
        <v>80</v>
      </c>
      <c r="I4760" t="str">
        <f>VLOOKUP(C4760,Магазины!A:C,3,0)</f>
        <v>Ставрополь</v>
      </c>
      <c r="J4760">
        <f>VLOOKUP(D4760,Товары!A:I,4,0)</f>
        <v>28380</v>
      </c>
      <c r="K4760">
        <f t="shared" si="74"/>
        <v>85140</v>
      </c>
    </row>
    <row r="4761" spans="1:11" hidden="1" x14ac:dyDescent="0.25">
      <c r="A4761">
        <v>4760</v>
      </c>
      <c r="B4761" s="1">
        <v>45755</v>
      </c>
      <c r="C4761" t="s">
        <v>28</v>
      </c>
      <c r="D4761" t="s">
        <v>99</v>
      </c>
      <c r="E4761" t="s">
        <v>8</v>
      </c>
      <c r="F4761">
        <v>2</v>
      </c>
      <c r="G4761" t="str">
        <f>VLOOKUP(D4761,Товары!A:I,3,0)</f>
        <v>Тумба с раковиной  навес. Леон 600 оникс 2 ящика с умыв. Слим</v>
      </c>
      <c r="H4761">
        <f>VLOOKUP(D4761,Товары!A:I,6,0)</f>
        <v>60</v>
      </c>
      <c r="I4761" t="str">
        <f>VLOOKUP(C4761,Магазины!A:C,3,0)</f>
        <v>Набережные Челны</v>
      </c>
      <c r="J4761">
        <f>VLOOKUP(D4761,Товары!A:I,4,0)</f>
        <v>25125</v>
      </c>
      <c r="K4761">
        <f t="shared" si="74"/>
        <v>50250</v>
      </c>
    </row>
    <row r="4762" spans="1:11" hidden="1" x14ac:dyDescent="0.25">
      <c r="A4762">
        <v>4761</v>
      </c>
      <c r="B4762" s="1">
        <v>45752</v>
      </c>
      <c r="C4762" t="s">
        <v>18</v>
      </c>
      <c r="D4762" t="s">
        <v>15</v>
      </c>
      <c r="E4762" t="s">
        <v>8</v>
      </c>
      <c r="F4762">
        <v>3</v>
      </c>
      <c r="G4762" t="str">
        <f>VLOOKUP(D4762,Товары!A:I,3,0)</f>
        <v>Зеркальный шкаф Кристалл 60 со светильником правый, ручка кнопка дуб цвет Шато Азур</v>
      </c>
      <c r="H4762">
        <f>VLOOKUP(D4762,Товары!A:I,6,0)</f>
        <v>75</v>
      </c>
      <c r="I4762" t="str">
        <f>VLOOKUP(C4762,Магазины!A:C,3,0)</f>
        <v>Набережные Челны</v>
      </c>
      <c r="J4762">
        <f>VLOOKUP(D4762,Товары!A:I,4,0)</f>
        <v>9195</v>
      </c>
      <c r="K4762">
        <f t="shared" si="74"/>
        <v>27585</v>
      </c>
    </row>
    <row r="4763" spans="1:11" hidden="1" x14ac:dyDescent="0.25">
      <c r="A4763">
        <v>4762</v>
      </c>
      <c r="B4763" s="1">
        <v>45750</v>
      </c>
      <c r="C4763" t="s">
        <v>28</v>
      </c>
      <c r="D4763" t="s">
        <v>86</v>
      </c>
      <c r="E4763" t="s">
        <v>8</v>
      </c>
      <c r="F4763">
        <v>2</v>
      </c>
      <c r="G4763" t="str">
        <f>VLOOKUP(D4763,Товары!A:I,3,0)</f>
        <v>Комод Аква 50 напольный 1 ящик 2 двери белый</v>
      </c>
      <c r="H4763">
        <f>VLOOKUP(D4763,Товары!A:I,6,0)</f>
        <v>90</v>
      </c>
      <c r="I4763" t="str">
        <f>VLOOKUP(C4763,Магазины!A:C,3,0)</f>
        <v>Набережные Челны</v>
      </c>
      <c r="J4763">
        <f>VLOOKUP(D4763,Товары!A:I,4,0)</f>
        <v>7260</v>
      </c>
      <c r="K4763">
        <f t="shared" si="74"/>
        <v>14520</v>
      </c>
    </row>
    <row r="4764" spans="1:11" hidden="1" x14ac:dyDescent="0.25">
      <c r="A4764">
        <v>4763</v>
      </c>
      <c r="B4764" s="1">
        <v>45753</v>
      </c>
      <c r="C4764" t="s">
        <v>41</v>
      </c>
      <c r="D4764" t="s">
        <v>119</v>
      </c>
      <c r="E4764" t="s">
        <v>13</v>
      </c>
      <c r="F4764">
        <v>3</v>
      </c>
      <c r="G4764" t="str">
        <f>VLOOKUP(D4764,Товары!A:I,3,0)</f>
        <v>Пенал навес./напол. Рица 350 cерый/керамика 2 двери</v>
      </c>
      <c r="H4764">
        <f>VLOOKUP(D4764,Товары!A:I,6,0)</f>
        <v>160</v>
      </c>
      <c r="I4764" t="str">
        <f>VLOOKUP(C4764,Магазины!A:C,3,0)</f>
        <v>Ставрополь</v>
      </c>
      <c r="J4764">
        <f>VLOOKUP(D4764,Товары!A:I,4,0)</f>
        <v>11250</v>
      </c>
      <c r="K4764">
        <f t="shared" si="74"/>
        <v>33750</v>
      </c>
    </row>
    <row r="4765" spans="1:11" hidden="1" x14ac:dyDescent="0.25">
      <c r="A4765">
        <v>4764</v>
      </c>
      <c r="B4765" s="1">
        <v>45757</v>
      </c>
      <c r="C4765" t="s">
        <v>54</v>
      </c>
      <c r="D4765" t="s">
        <v>45</v>
      </c>
      <c r="E4765" t="s">
        <v>13</v>
      </c>
      <c r="F4765">
        <v>3</v>
      </c>
      <c r="G4765" t="str">
        <f>VLOOKUP(D4765,Товары!A:I,3,0)</f>
        <v>Зеркальный шкаф Рица 80 со светильником правый цвет cерый/керамика</v>
      </c>
      <c r="H4765">
        <f>VLOOKUP(D4765,Товары!A:I,6,0)</f>
        <v>75</v>
      </c>
      <c r="I4765" t="str">
        <f>VLOOKUP(C4765,Магазины!A:C,3,0)</f>
        <v>Ставрополь</v>
      </c>
      <c r="J4765">
        <f>VLOOKUP(D4765,Товары!A:I,4,0)</f>
        <v>9930</v>
      </c>
      <c r="K4765">
        <f t="shared" si="74"/>
        <v>29790</v>
      </c>
    </row>
    <row r="4766" spans="1:11" hidden="1" x14ac:dyDescent="0.25">
      <c r="A4766">
        <v>4765</v>
      </c>
      <c r="B4766" s="1">
        <v>45751</v>
      </c>
      <c r="C4766" t="s">
        <v>18</v>
      </c>
      <c r="D4766" t="s">
        <v>23</v>
      </c>
      <c r="E4766" t="s">
        <v>13</v>
      </c>
      <c r="F4766">
        <v>2</v>
      </c>
      <c r="G4766" t="str">
        <f>VLOOKUP(D4766,Товары!A:I,3,0)</f>
        <v>Тумба с раковиной  напол. Альба 800 антрацит 2 ящика с умыв. Слим</v>
      </c>
      <c r="H4766">
        <f>VLOOKUP(D4766,Товары!A:I,6,0)</f>
        <v>80</v>
      </c>
      <c r="I4766" t="str">
        <f>VLOOKUP(C4766,Магазины!A:C,3,0)</f>
        <v>Набережные Челны</v>
      </c>
      <c r="J4766">
        <f>VLOOKUP(D4766,Товары!A:I,4,0)</f>
        <v>29340</v>
      </c>
      <c r="K4766">
        <f t="shared" si="74"/>
        <v>58680</v>
      </c>
    </row>
    <row r="4767" spans="1:11" hidden="1" x14ac:dyDescent="0.25">
      <c r="A4767">
        <v>4766</v>
      </c>
      <c r="B4767" s="1">
        <v>45753</v>
      </c>
      <c r="C4767" t="s">
        <v>26</v>
      </c>
      <c r="D4767" t="s">
        <v>88</v>
      </c>
      <c r="E4767" t="s">
        <v>13</v>
      </c>
      <c r="F4767">
        <v>1</v>
      </c>
      <c r="G4767" t="str">
        <f>VLOOKUP(D4767,Товары!A:I,3,0)</f>
        <v>Тумба с раковиной  навес. Альба 800 антрацит 2 ящика с умыв. Слим</v>
      </c>
      <c r="H4767">
        <f>VLOOKUP(D4767,Товары!A:I,6,0)</f>
        <v>50</v>
      </c>
      <c r="I4767" t="str">
        <f>VLOOKUP(C4767,Магазины!A:C,3,0)</f>
        <v>Оренбург</v>
      </c>
      <c r="J4767">
        <f>VLOOKUP(D4767,Товары!A:I,4,0)</f>
        <v>26070</v>
      </c>
      <c r="K4767">
        <f t="shared" si="74"/>
        <v>26070</v>
      </c>
    </row>
    <row r="4768" spans="1:11" hidden="1" x14ac:dyDescent="0.25">
      <c r="A4768">
        <v>4767</v>
      </c>
      <c r="B4768" s="1">
        <v>45751</v>
      </c>
      <c r="C4768" t="s">
        <v>58</v>
      </c>
      <c r="D4768" t="s">
        <v>87</v>
      </c>
      <c r="E4768" t="s">
        <v>8</v>
      </c>
      <c r="F4768">
        <v>3</v>
      </c>
      <c r="G4768" t="str">
        <f>VLOOKUP(D4768,Товары!A:I,3,0)</f>
        <v>Тумба с раковиной  напол. Леон 700 форест 2 ящика с умыв. Слим</v>
      </c>
      <c r="H4768">
        <f>VLOOKUP(D4768,Товары!A:I,6,0)</f>
        <v>80</v>
      </c>
      <c r="I4768" t="str">
        <f>VLOOKUP(C4768,Магазины!A:C,3,0)</f>
        <v>Ставрополь</v>
      </c>
      <c r="J4768">
        <f>VLOOKUP(D4768,Товары!A:I,4,0)</f>
        <v>28380</v>
      </c>
      <c r="K4768">
        <f t="shared" si="74"/>
        <v>85140</v>
      </c>
    </row>
    <row r="4769" spans="1:11" hidden="1" x14ac:dyDescent="0.25">
      <c r="A4769">
        <v>4768</v>
      </c>
      <c r="B4769" s="1">
        <v>45755</v>
      </c>
      <c r="C4769" t="s">
        <v>111</v>
      </c>
      <c r="D4769" t="s">
        <v>131</v>
      </c>
      <c r="E4769" t="s">
        <v>13</v>
      </c>
      <c r="F4769">
        <v>3</v>
      </c>
      <c r="G4769" t="str">
        <f>VLOOKUP(D4769,Товары!A:I,3,0)</f>
        <v>Тумба с раковиной  напол. Леон 800 форест 2 ящика с умыв. Слим</v>
      </c>
      <c r="H4769">
        <f>VLOOKUP(D4769,Товары!A:I,6,0)</f>
        <v>80</v>
      </c>
      <c r="I4769" t="str">
        <f>VLOOKUP(C4769,Магазины!A:C,3,0)</f>
        <v>Набережные Челны</v>
      </c>
      <c r="J4769">
        <f>VLOOKUP(D4769,Товары!A:I,4,0)</f>
        <v>29400</v>
      </c>
      <c r="K4769">
        <f t="shared" si="74"/>
        <v>88200</v>
      </c>
    </row>
    <row r="4770" spans="1:11" hidden="1" x14ac:dyDescent="0.25">
      <c r="A4770">
        <v>4769</v>
      </c>
      <c r="B4770" s="1">
        <v>45753</v>
      </c>
      <c r="C4770" t="s">
        <v>54</v>
      </c>
      <c r="D4770" t="s">
        <v>115</v>
      </c>
      <c r="E4770" t="s">
        <v>8</v>
      </c>
      <c r="F4770">
        <v>3</v>
      </c>
      <c r="G4770" t="str">
        <f>VLOOKUP(D4770,Товары!A:I,3,0)</f>
        <v>Тумба под стиральную машину Куба Риф 57 напольная 2 ящика под ст/маш, без умывальника /под Marshall 120 Белый</v>
      </c>
      <c r="H4770">
        <f>VLOOKUP(D4770,Товары!A:I,6,0)</f>
        <v>85</v>
      </c>
      <c r="I4770" t="str">
        <f>VLOOKUP(C4770,Магазины!A:C,3,0)</f>
        <v>Ставрополь</v>
      </c>
      <c r="J4770">
        <f>VLOOKUP(D4770,Товары!A:I,4,0)</f>
        <v>10530</v>
      </c>
      <c r="K4770">
        <f t="shared" si="74"/>
        <v>31590</v>
      </c>
    </row>
    <row r="4771" spans="1:11" hidden="1" x14ac:dyDescent="0.25">
      <c r="A4771">
        <v>4770</v>
      </c>
      <c r="B4771" s="1">
        <v>45756</v>
      </c>
      <c r="C4771" t="s">
        <v>54</v>
      </c>
      <c r="D4771" t="s">
        <v>126</v>
      </c>
      <c r="E4771" t="s">
        <v>8</v>
      </c>
      <c r="F4771">
        <v>3</v>
      </c>
      <c r="G4771" t="str">
        <f>VLOOKUP(D4771,Товары!A:I,3,0)</f>
        <v>Тумба с раковиной  напол. Кристалл 800 шато азур 2 ящика с умыв. Комфорт</v>
      </c>
      <c r="H4771">
        <f>VLOOKUP(D4771,Товары!A:I,6,0)</f>
        <v>85</v>
      </c>
      <c r="I4771" t="str">
        <f>VLOOKUP(C4771,Магазины!A:C,3,0)</f>
        <v>Ставрополь</v>
      </c>
      <c r="J4771">
        <f>VLOOKUP(D4771,Товары!A:I,4,0)</f>
        <v>31125</v>
      </c>
      <c r="K4771">
        <f t="shared" si="74"/>
        <v>93375</v>
      </c>
    </row>
    <row r="4772" spans="1:11" hidden="1" x14ac:dyDescent="0.25">
      <c r="A4772">
        <v>4771</v>
      </c>
      <c r="B4772" s="1">
        <v>45756</v>
      </c>
      <c r="C4772" t="s">
        <v>48</v>
      </c>
      <c r="D4772" t="s">
        <v>49</v>
      </c>
      <c r="E4772" t="s">
        <v>8</v>
      </c>
      <c r="F4772">
        <v>2</v>
      </c>
      <c r="G4772" t="str">
        <f>VLOOKUP(D4772,Товары!A:I,3,0)</f>
        <v>Тумба с раковиной  напол. Леон 700 оникс 2 ящика с умыв. Слим</v>
      </c>
      <c r="H4772">
        <f>VLOOKUP(D4772,Товары!A:I,6,0)</f>
        <v>80</v>
      </c>
      <c r="I4772" t="str">
        <f>VLOOKUP(C4772,Магазины!A:C,3,0)</f>
        <v>Ставрополь</v>
      </c>
      <c r="J4772">
        <f>VLOOKUP(D4772,Товары!A:I,4,0)</f>
        <v>28380</v>
      </c>
      <c r="K4772">
        <f t="shared" si="74"/>
        <v>56760</v>
      </c>
    </row>
    <row r="4773" spans="1:11" hidden="1" x14ac:dyDescent="0.25">
      <c r="A4773">
        <v>4772</v>
      </c>
      <c r="B4773" s="1">
        <v>45755</v>
      </c>
      <c r="C4773" t="s">
        <v>14</v>
      </c>
      <c r="D4773" t="s">
        <v>17</v>
      </c>
      <c r="E4773" t="s">
        <v>8</v>
      </c>
      <c r="F4773">
        <v>1</v>
      </c>
      <c r="G4773" t="str">
        <f>VLOOKUP(D4773,Товары!A:I,3,0)</f>
        <v>Тумба с раковиной  навес. Альба 800 антрацит 1 ящик с умыв. Слим</v>
      </c>
      <c r="H4773">
        <f>VLOOKUP(D4773,Товары!A:I,6,0)</f>
        <v>45</v>
      </c>
      <c r="I4773" t="str">
        <f>VLOOKUP(C4773,Магазины!A:C,3,0)</f>
        <v>Оренбург</v>
      </c>
      <c r="J4773">
        <f>VLOOKUP(D4773,Товары!A:I,4,0)</f>
        <v>21630</v>
      </c>
      <c r="K4773">
        <f t="shared" si="74"/>
        <v>21630</v>
      </c>
    </row>
    <row r="4774" spans="1:11" hidden="1" x14ac:dyDescent="0.25">
      <c r="A4774">
        <v>4773</v>
      </c>
      <c r="B4774" s="1">
        <v>45755</v>
      </c>
      <c r="C4774" t="s">
        <v>16</v>
      </c>
      <c r="D4774" t="s">
        <v>31</v>
      </c>
      <c r="E4774" t="s">
        <v>13</v>
      </c>
      <c r="F4774">
        <v>2</v>
      </c>
      <c r="G4774" t="str">
        <f>VLOOKUP(D4774,Товары!A:I,3,0)</f>
        <v>Пенал напол. Виктория 350 белый 2 двери</v>
      </c>
      <c r="H4774">
        <f>VLOOKUP(D4774,Товары!A:I,6,0)</f>
        <v>190</v>
      </c>
      <c r="I4774" t="str">
        <f>VLOOKUP(C4774,Магазины!A:C,3,0)</f>
        <v>Оренбург</v>
      </c>
      <c r="J4774">
        <f>VLOOKUP(D4774,Товары!A:I,4,0)</f>
        <v>14085</v>
      </c>
      <c r="K4774">
        <f t="shared" si="74"/>
        <v>28170</v>
      </c>
    </row>
    <row r="4775" spans="1:11" hidden="1" x14ac:dyDescent="0.25">
      <c r="A4775">
        <v>4774</v>
      </c>
      <c r="B4775" s="1">
        <v>45752</v>
      </c>
      <c r="C4775" t="s">
        <v>111</v>
      </c>
      <c r="D4775" t="s">
        <v>118</v>
      </c>
      <c r="E4775" t="s">
        <v>8</v>
      </c>
      <c r="F4775">
        <v>3</v>
      </c>
      <c r="G4775" t="str">
        <f>VLOOKUP(D4775,Товары!A:I,3,0)</f>
        <v>Тумба с раковиной  напол. Сохо 800 белый 2 ящика с умыв. Слим</v>
      </c>
      <c r="H4775">
        <f>VLOOKUP(D4775,Товары!A:I,6,0)</f>
        <v>85</v>
      </c>
      <c r="I4775" t="str">
        <f>VLOOKUP(C4775,Магазины!A:C,3,0)</f>
        <v>Набережные Челны</v>
      </c>
      <c r="J4775">
        <f>VLOOKUP(D4775,Товары!A:I,4,0)</f>
        <v>19575</v>
      </c>
      <c r="K4775">
        <f t="shared" si="74"/>
        <v>58725</v>
      </c>
    </row>
    <row r="4776" spans="1:11" hidden="1" x14ac:dyDescent="0.25">
      <c r="A4776">
        <v>4775</v>
      </c>
      <c r="B4776" s="1">
        <v>45750</v>
      </c>
      <c r="C4776" t="s">
        <v>6</v>
      </c>
      <c r="D4776" t="s">
        <v>85</v>
      </c>
      <c r="E4776" t="s">
        <v>13</v>
      </c>
      <c r="F4776">
        <v>2</v>
      </c>
      <c r="G4776" t="str">
        <f>VLOOKUP(D4776,Товары!A:I,3,0)</f>
        <v>Пенал напол. Аква 450 белый 2 двери + 2 ящика + корзина</v>
      </c>
      <c r="H4776">
        <f>VLOOKUP(D4776,Товары!A:I,6,0)</f>
        <v>190</v>
      </c>
      <c r="I4776" t="str">
        <f>VLOOKUP(C4776,Магазины!A:C,3,0)</f>
        <v>Оренбург</v>
      </c>
      <c r="J4776">
        <f>VLOOKUP(D4776,Товары!A:I,4,0)</f>
        <v>13335</v>
      </c>
      <c r="K4776">
        <f t="shared" si="74"/>
        <v>26670</v>
      </c>
    </row>
    <row r="4777" spans="1:11" hidden="1" x14ac:dyDescent="0.25">
      <c r="A4777">
        <v>4776</v>
      </c>
      <c r="B4777" s="1">
        <v>45754</v>
      </c>
      <c r="C4777" t="s">
        <v>35</v>
      </c>
      <c r="D4777" t="s">
        <v>79</v>
      </c>
      <c r="E4777" t="s">
        <v>13</v>
      </c>
      <c r="F4777">
        <v>2</v>
      </c>
      <c r="G4777" t="str">
        <f>VLOOKUP(D4777,Товары!A:I,3,0)</f>
        <v>Зеркальный шкаф Альба 70 со светильником правый цвет мята</v>
      </c>
      <c r="H4777">
        <f>VLOOKUP(D4777,Товары!A:I,6,0)</f>
        <v>75</v>
      </c>
      <c r="I4777" t="str">
        <f>VLOOKUP(C4777,Магазины!A:C,3,0)</f>
        <v>Набережные Челны</v>
      </c>
      <c r="J4777">
        <f>VLOOKUP(D4777,Товары!A:I,4,0)</f>
        <v>9615</v>
      </c>
      <c r="K4777">
        <f t="shared" si="74"/>
        <v>19230</v>
      </c>
    </row>
    <row r="4778" spans="1:11" hidden="1" x14ac:dyDescent="0.25">
      <c r="A4778">
        <v>4777</v>
      </c>
      <c r="B4778" s="1">
        <v>45755</v>
      </c>
      <c r="C4778" t="s">
        <v>9</v>
      </c>
      <c r="D4778" t="s">
        <v>17</v>
      </c>
      <c r="E4778" t="s">
        <v>13</v>
      </c>
      <c r="F4778">
        <v>2</v>
      </c>
      <c r="G4778" t="str">
        <f>VLOOKUP(D4778,Товары!A:I,3,0)</f>
        <v>Тумба с раковиной  навес. Альба 800 антрацит 1 ящик с умыв. Слим</v>
      </c>
      <c r="H4778">
        <f>VLOOKUP(D4778,Товары!A:I,6,0)</f>
        <v>45</v>
      </c>
      <c r="I4778" t="str">
        <f>VLOOKUP(C4778,Магазины!A:C,3,0)</f>
        <v>Кемерово</v>
      </c>
      <c r="J4778">
        <f>VLOOKUP(D4778,Товары!A:I,4,0)</f>
        <v>21630</v>
      </c>
      <c r="K4778">
        <f t="shared" si="74"/>
        <v>43260</v>
      </c>
    </row>
    <row r="4779" spans="1:11" hidden="1" x14ac:dyDescent="0.25">
      <c r="A4779">
        <v>4778</v>
      </c>
      <c r="B4779" s="1">
        <v>45748</v>
      </c>
      <c r="C4779" t="s">
        <v>11</v>
      </c>
      <c r="D4779" t="s">
        <v>37</v>
      </c>
      <c r="E4779" t="s">
        <v>8</v>
      </c>
      <c r="F4779">
        <v>3</v>
      </c>
      <c r="G4779" t="str">
        <f>VLOOKUP(D4779,Товары!A:I,3,0)</f>
        <v>Зеркальный шкаф Сохо 70 белый со светильником правый цвет Белый глянец</v>
      </c>
      <c r="H4779">
        <f>VLOOKUP(D4779,Товары!A:I,6,0)</f>
        <v>75</v>
      </c>
      <c r="I4779" t="str">
        <f>VLOOKUP(C4779,Магазины!A:C,3,0)</f>
        <v>Кемерово</v>
      </c>
      <c r="J4779">
        <f>VLOOKUP(D4779,Товары!A:I,4,0)</f>
        <v>7935</v>
      </c>
      <c r="K4779">
        <f t="shared" si="74"/>
        <v>23805</v>
      </c>
    </row>
    <row r="4780" spans="1:11" hidden="1" x14ac:dyDescent="0.25">
      <c r="A4780">
        <v>4779</v>
      </c>
      <c r="B4780" s="1">
        <v>45749</v>
      </c>
      <c r="C4780" t="s">
        <v>35</v>
      </c>
      <c r="D4780" t="s">
        <v>51</v>
      </c>
      <c r="E4780" t="s">
        <v>8</v>
      </c>
      <c r="F4780">
        <v>1</v>
      </c>
      <c r="G4780" t="str">
        <f>VLOOKUP(D4780,Товары!A:I,3,0)</f>
        <v>Зеркальный шкаф Альба 80 со светильником правый цвет суфле</v>
      </c>
      <c r="H4780">
        <f>VLOOKUP(D4780,Товары!A:I,6,0)</f>
        <v>75</v>
      </c>
      <c r="I4780" t="str">
        <f>VLOOKUP(C4780,Магазины!A:C,3,0)</f>
        <v>Набережные Челны</v>
      </c>
      <c r="J4780">
        <f>VLOOKUP(D4780,Товары!A:I,4,0)</f>
        <v>9930</v>
      </c>
      <c r="K4780">
        <f t="shared" si="74"/>
        <v>9930</v>
      </c>
    </row>
    <row r="4781" spans="1:11" hidden="1" x14ac:dyDescent="0.25">
      <c r="A4781">
        <v>4780</v>
      </c>
      <c r="B4781" s="1">
        <v>45750</v>
      </c>
      <c r="C4781" t="s">
        <v>57</v>
      </c>
      <c r="D4781" t="s">
        <v>37</v>
      </c>
      <c r="E4781" t="s">
        <v>13</v>
      </c>
      <c r="F4781">
        <v>2</v>
      </c>
      <c r="G4781" t="str">
        <f>VLOOKUP(D4781,Товары!A:I,3,0)</f>
        <v>Зеркальный шкаф Сохо 70 белый со светильником правый цвет Белый глянец</v>
      </c>
      <c r="H4781">
        <f>VLOOKUP(D4781,Товары!A:I,6,0)</f>
        <v>75</v>
      </c>
      <c r="I4781" t="str">
        <f>VLOOKUP(C4781,Магазины!A:C,3,0)</f>
        <v>Оренбург</v>
      </c>
      <c r="J4781">
        <f>VLOOKUP(D4781,Товары!A:I,4,0)</f>
        <v>7935</v>
      </c>
      <c r="K4781">
        <f t="shared" si="74"/>
        <v>15870</v>
      </c>
    </row>
    <row r="4782" spans="1:11" hidden="1" x14ac:dyDescent="0.25">
      <c r="A4782">
        <v>4781</v>
      </c>
      <c r="B4782" s="1">
        <v>45757</v>
      </c>
      <c r="C4782" t="s">
        <v>20</v>
      </c>
      <c r="D4782" t="s">
        <v>79</v>
      </c>
      <c r="E4782" t="s">
        <v>8</v>
      </c>
      <c r="F4782">
        <v>3</v>
      </c>
      <c r="G4782" t="str">
        <f>VLOOKUP(D4782,Товары!A:I,3,0)</f>
        <v>Зеркальный шкаф Альба 70 со светильником правый цвет мята</v>
      </c>
      <c r="H4782">
        <f>VLOOKUP(D4782,Товары!A:I,6,0)</f>
        <v>75</v>
      </c>
      <c r="I4782" t="str">
        <f>VLOOKUP(C4782,Магазины!A:C,3,0)</f>
        <v>Оренбург</v>
      </c>
      <c r="J4782">
        <f>VLOOKUP(D4782,Товары!A:I,4,0)</f>
        <v>9615</v>
      </c>
      <c r="K4782">
        <f t="shared" si="74"/>
        <v>28845</v>
      </c>
    </row>
    <row r="4783" spans="1:11" hidden="1" x14ac:dyDescent="0.25">
      <c r="A4783">
        <v>4782</v>
      </c>
      <c r="B4783" s="1">
        <v>45750</v>
      </c>
      <c r="C4783" t="s">
        <v>33</v>
      </c>
      <c r="D4783" t="s">
        <v>117</v>
      </c>
      <c r="E4783" t="s">
        <v>8</v>
      </c>
      <c r="F4783">
        <v>3</v>
      </c>
      <c r="G4783" t="str">
        <f>VLOOKUP(D4783,Товары!A:I,3,0)</f>
        <v>Тумба с раковиной  навес. Альба 700 антрацит 2 ящика с умыв. Слим</v>
      </c>
      <c r="H4783">
        <f>VLOOKUP(D4783,Товары!A:I,6,0)</f>
        <v>60</v>
      </c>
      <c r="I4783" t="str">
        <f>VLOOKUP(C4783,Магазины!A:C,3,0)</f>
        <v>Набережные Челны</v>
      </c>
      <c r="J4783">
        <f>VLOOKUP(D4783,Товары!A:I,4,0)</f>
        <v>25095</v>
      </c>
      <c r="K4783">
        <f t="shared" si="74"/>
        <v>75285</v>
      </c>
    </row>
    <row r="4784" spans="1:11" hidden="1" x14ac:dyDescent="0.25">
      <c r="A4784">
        <v>4783</v>
      </c>
      <c r="B4784" s="1">
        <v>45750</v>
      </c>
      <c r="C4784" t="s">
        <v>22</v>
      </c>
      <c r="D4784" t="s">
        <v>109</v>
      </c>
      <c r="E4784" t="s">
        <v>13</v>
      </c>
      <c r="F4784">
        <v>1</v>
      </c>
      <c r="G4784" t="str">
        <f>VLOOKUP(D4784,Товары!A:I,3,0)</f>
        <v>Тумба с раковиной  навес. Альба 600 антрацит 2 ящика с умыв. Океан</v>
      </c>
      <c r="H4784">
        <f>VLOOKUP(D4784,Товары!A:I,6,0)</f>
        <v>50</v>
      </c>
      <c r="I4784" t="str">
        <f>VLOOKUP(C4784,Магазины!A:C,3,0)</f>
        <v>Кемерово</v>
      </c>
      <c r="J4784">
        <f>VLOOKUP(D4784,Товары!A:I,4,0)</f>
        <v>24810</v>
      </c>
      <c r="K4784">
        <f t="shared" si="74"/>
        <v>24810</v>
      </c>
    </row>
    <row r="4785" spans="1:11" hidden="1" x14ac:dyDescent="0.25">
      <c r="A4785">
        <v>4784</v>
      </c>
      <c r="B4785" s="1">
        <v>45748</v>
      </c>
      <c r="C4785" t="s">
        <v>54</v>
      </c>
      <c r="D4785" t="s">
        <v>36</v>
      </c>
      <c r="E4785" t="s">
        <v>13</v>
      </c>
      <c r="F4785">
        <v>3</v>
      </c>
      <c r="G4785" t="str">
        <f>VLOOKUP(D4785,Товары!A:I,3,0)</f>
        <v>Тумба с раковиной  напол. Альба 800 мята 2 ящика с умыв. Слим</v>
      </c>
      <c r="H4785">
        <f>VLOOKUP(D4785,Товары!A:I,6,0)</f>
        <v>80</v>
      </c>
      <c r="I4785" t="str">
        <f>VLOOKUP(C4785,Магазины!A:C,3,0)</f>
        <v>Ставрополь</v>
      </c>
      <c r="J4785">
        <f>VLOOKUP(D4785,Товары!A:I,4,0)</f>
        <v>29340</v>
      </c>
      <c r="K4785">
        <f t="shared" si="74"/>
        <v>88020</v>
      </c>
    </row>
    <row r="4786" spans="1:11" hidden="1" x14ac:dyDescent="0.25">
      <c r="A4786">
        <v>4785</v>
      </c>
      <c r="B4786" s="1">
        <v>45757</v>
      </c>
      <c r="C4786" t="s">
        <v>63</v>
      </c>
      <c r="D4786" t="s">
        <v>94</v>
      </c>
      <c r="E4786" t="s">
        <v>8</v>
      </c>
      <c r="F4786">
        <v>1</v>
      </c>
      <c r="G4786" t="str">
        <f>VLOOKUP(D4786,Товары!A:I,3,0)</f>
        <v>Зеркальный шкаф Альба 80 со светильником правый цвет антрацит</v>
      </c>
      <c r="H4786">
        <f>VLOOKUP(D4786,Товары!A:I,6,0)</f>
        <v>75</v>
      </c>
      <c r="I4786" t="str">
        <f>VLOOKUP(C4786,Магазины!A:C,3,0)</f>
        <v>Ставрополь</v>
      </c>
      <c r="J4786">
        <f>VLOOKUP(D4786,Товары!A:I,4,0)</f>
        <v>9930</v>
      </c>
      <c r="K4786">
        <f t="shared" si="74"/>
        <v>9930</v>
      </c>
    </row>
    <row r="4787" spans="1:11" hidden="1" x14ac:dyDescent="0.25">
      <c r="A4787">
        <v>4786</v>
      </c>
      <c r="B4787" s="1">
        <v>45752</v>
      </c>
      <c r="C4787" t="s">
        <v>41</v>
      </c>
      <c r="D4787" t="s">
        <v>105</v>
      </c>
      <c r="E4787" t="s">
        <v>8</v>
      </c>
      <c r="F4787">
        <v>1</v>
      </c>
      <c r="G4787" t="str">
        <f>VLOOKUP(D4787,Товары!A:I,3,0)</f>
        <v>Тумба с раковиной  напол. Нева 600 белый 2 двери + 1 ящик с умыв. Como</v>
      </c>
      <c r="H4787">
        <f>VLOOKUP(D4787,Товары!A:I,6,0)</f>
        <v>80</v>
      </c>
      <c r="I4787" t="str">
        <f>VLOOKUP(C4787,Магазины!A:C,3,0)</f>
        <v>Ставрополь</v>
      </c>
      <c r="J4787">
        <f>VLOOKUP(D4787,Товары!A:I,4,0)</f>
        <v>13470</v>
      </c>
      <c r="K4787">
        <f t="shared" si="74"/>
        <v>13470</v>
      </c>
    </row>
    <row r="4788" spans="1:11" hidden="1" x14ac:dyDescent="0.25">
      <c r="A4788">
        <v>4787</v>
      </c>
      <c r="B4788" s="1">
        <v>45753</v>
      </c>
      <c r="C4788" t="s">
        <v>18</v>
      </c>
      <c r="D4788" t="s">
        <v>116</v>
      </c>
      <c r="E4788" t="s">
        <v>13</v>
      </c>
      <c r="F4788">
        <v>1</v>
      </c>
      <c r="G4788" t="str">
        <f>VLOOKUP(D4788,Товары!A:I,3,0)</f>
        <v>Зеркало Нева 60 дуб/белый со светильником</v>
      </c>
      <c r="H4788">
        <f>VLOOKUP(D4788,Товары!A:I,6,0)</f>
        <v>80</v>
      </c>
      <c r="I4788" t="str">
        <f>VLOOKUP(C4788,Магазины!A:C,3,0)</f>
        <v>Набережные Челны</v>
      </c>
      <c r="J4788">
        <f>VLOOKUP(D4788,Товары!A:I,4,0)</f>
        <v>5100</v>
      </c>
      <c r="K4788">
        <f t="shared" si="74"/>
        <v>5100</v>
      </c>
    </row>
    <row r="4789" spans="1:11" hidden="1" x14ac:dyDescent="0.25">
      <c r="A4789">
        <v>4788</v>
      </c>
      <c r="B4789" s="1">
        <v>45752</v>
      </c>
      <c r="C4789" t="s">
        <v>14</v>
      </c>
      <c r="D4789" t="s">
        <v>107</v>
      </c>
      <c r="E4789" t="s">
        <v>13</v>
      </c>
      <c r="F4789">
        <v>3</v>
      </c>
      <c r="G4789" t="str">
        <f>VLOOKUP(D4789,Товары!A:I,3,0)</f>
        <v>Комод Аква 35 напольный 1 дверь белый правый</v>
      </c>
      <c r="H4789">
        <f>VLOOKUP(D4789,Товары!A:I,6,0)</f>
        <v>90</v>
      </c>
      <c r="I4789" t="str">
        <f>VLOOKUP(C4789,Магазины!A:C,3,0)</f>
        <v>Оренбург</v>
      </c>
      <c r="J4789">
        <f>VLOOKUP(D4789,Товары!A:I,4,0)</f>
        <v>6705</v>
      </c>
      <c r="K4789">
        <f t="shared" si="74"/>
        <v>20115</v>
      </c>
    </row>
    <row r="4790" spans="1:11" hidden="1" x14ac:dyDescent="0.25">
      <c r="A4790">
        <v>4789</v>
      </c>
      <c r="B4790" s="1">
        <v>45751</v>
      </c>
      <c r="C4790" t="s">
        <v>111</v>
      </c>
      <c r="D4790" t="s">
        <v>95</v>
      </c>
      <c r="E4790" t="s">
        <v>13</v>
      </c>
      <c r="F4790">
        <v>2</v>
      </c>
      <c r="G4790" t="str">
        <f>VLOOKUP(D4790,Товары!A:I,3,0)</f>
        <v>Тумба с раковиной  напол. Рица 600 антрацит 2 ящика с умыв. Океан</v>
      </c>
      <c r="H4790">
        <f>VLOOKUP(D4790,Товары!A:I,6,0)</f>
        <v>80</v>
      </c>
      <c r="I4790" t="str">
        <f>VLOOKUP(C4790,Магазины!A:C,3,0)</f>
        <v>Набережные Челны</v>
      </c>
      <c r="J4790">
        <f>VLOOKUP(D4790,Товары!A:I,4,0)</f>
        <v>25560</v>
      </c>
      <c r="K4790">
        <f t="shared" si="74"/>
        <v>51120</v>
      </c>
    </row>
    <row r="4791" spans="1:11" hidden="1" x14ac:dyDescent="0.25">
      <c r="A4791">
        <v>4790</v>
      </c>
      <c r="B4791" s="1">
        <v>45753</v>
      </c>
      <c r="C4791" t="s">
        <v>41</v>
      </c>
      <c r="D4791" t="s">
        <v>91</v>
      </c>
      <c r="E4791" t="s">
        <v>8</v>
      </c>
      <c r="F4791">
        <v>1</v>
      </c>
      <c r="G4791" t="str">
        <f>VLOOKUP(D4791,Товары!A:I,3,0)</f>
        <v>Пенал навес./напол. Альба 350 мята 2 двери</v>
      </c>
      <c r="H4791">
        <f>VLOOKUP(D4791,Товары!A:I,6,0)</f>
        <v>150</v>
      </c>
      <c r="I4791" t="str">
        <f>VLOOKUP(C4791,Магазины!A:C,3,0)</f>
        <v>Ставрополь</v>
      </c>
      <c r="J4791">
        <f>VLOOKUP(D4791,Товары!A:I,4,0)</f>
        <v>11655</v>
      </c>
      <c r="K4791">
        <f t="shared" si="74"/>
        <v>11655</v>
      </c>
    </row>
    <row r="4792" spans="1:11" hidden="1" x14ac:dyDescent="0.25">
      <c r="A4792">
        <v>4791</v>
      </c>
      <c r="B4792" s="1">
        <v>45751</v>
      </c>
      <c r="C4792" t="s">
        <v>111</v>
      </c>
      <c r="D4792" t="s">
        <v>85</v>
      </c>
      <c r="E4792" t="s">
        <v>8</v>
      </c>
      <c r="F4792">
        <v>1</v>
      </c>
      <c r="G4792" t="str">
        <f>VLOOKUP(D4792,Товары!A:I,3,0)</f>
        <v>Пенал напол. Аква 450 белый 2 двери + 2 ящика + корзина</v>
      </c>
      <c r="H4792">
        <f>VLOOKUP(D4792,Товары!A:I,6,0)</f>
        <v>190</v>
      </c>
      <c r="I4792" t="str">
        <f>VLOOKUP(C4792,Магазины!A:C,3,0)</f>
        <v>Набережные Челны</v>
      </c>
      <c r="J4792">
        <f>VLOOKUP(D4792,Товары!A:I,4,0)</f>
        <v>13335</v>
      </c>
      <c r="K4792">
        <f t="shared" si="74"/>
        <v>13335</v>
      </c>
    </row>
    <row r="4793" spans="1:11" hidden="1" x14ac:dyDescent="0.25">
      <c r="A4793">
        <v>4792</v>
      </c>
      <c r="B4793" s="1">
        <v>45752</v>
      </c>
      <c r="C4793" t="s">
        <v>22</v>
      </c>
      <c r="D4793" t="s">
        <v>7</v>
      </c>
      <c r="E4793" t="s">
        <v>13</v>
      </c>
      <c r="F4793">
        <v>3</v>
      </c>
      <c r="G4793" t="str">
        <f>VLOOKUP(D4793,Товары!A:I,3,0)</f>
        <v>Пенал напол. Леон Риф 400 солярис/белый риф 2 двери + 1 ящик</v>
      </c>
      <c r="H4793">
        <f>VLOOKUP(D4793,Товары!A:I,6,0)</f>
        <v>190</v>
      </c>
      <c r="I4793" t="str">
        <f>VLOOKUP(C4793,Магазины!A:C,3,0)</f>
        <v>Кемерово</v>
      </c>
      <c r="J4793">
        <f>VLOOKUP(D4793,Товары!A:I,4,0)</f>
        <v>14490</v>
      </c>
      <c r="K4793">
        <f t="shared" si="74"/>
        <v>43470</v>
      </c>
    </row>
    <row r="4794" spans="1:11" hidden="1" x14ac:dyDescent="0.25">
      <c r="A4794">
        <v>4793</v>
      </c>
      <c r="B4794" s="1">
        <v>45748</v>
      </c>
      <c r="C4794" t="s">
        <v>111</v>
      </c>
      <c r="D4794" t="s">
        <v>105</v>
      </c>
      <c r="E4794" t="s">
        <v>8</v>
      </c>
      <c r="F4794">
        <v>2</v>
      </c>
      <c r="G4794" t="str">
        <f>VLOOKUP(D4794,Товары!A:I,3,0)</f>
        <v>Тумба с раковиной  напол. Нева 600 белый 2 двери + 1 ящик с умыв. Como</v>
      </c>
      <c r="H4794">
        <f>VLOOKUP(D4794,Товары!A:I,6,0)</f>
        <v>80</v>
      </c>
      <c r="I4794" t="str">
        <f>VLOOKUP(C4794,Магазины!A:C,3,0)</f>
        <v>Набережные Челны</v>
      </c>
      <c r="J4794">
        <f>VLOOKUP(D4794,Товары!A:I,4,0)</f>
        <v>13470</v>
      </c>
      <c r="K4794">
        <f t="shared" si="74"/>
        <v>26940</v>
      </c>
    </row>
    <row r="4795" spans="1:11" hidden="1" x14ac:dyDescent="0.25">
      <c r="A4795">
        <v>4794</v>
      </c>
      <c r="B4795" s="1">
        <v>45749</v>
      </c>
      <c r="C4795" t="s">
        <v>11</v>
      </c>
      <c r="D4795" t="s">
        <v>124</v>
      </c>
      <c r="E4795" t="s">
        <v>8</v>
      </c>
      <c r="F4795">
        <v>3</v>
      </c>
      <c r="G4795" t="str">
        <f>VLOOKUP(D4795,Товары!A:I,3,0)</f>
        <v>Тумба с раковиной  напол. Леон 600 оникс 2 ящика с умыв. Океан</v>
      </c>
      <c r="H4795">
        <f>VLOOKUP(D4795,Товары!A:I,6,0)</f>
        <v>80</v>
      </c>
      <c r="I4795" t="str">
        <f>VLOOKUP(C4795,Магазины!A:C,3,0)</f>
        <v>Кемерово</v>
      </c>
      <c r="J4795">
        <f>VLOOKUP(D4795,Товары!A:I,4,0)</f>
        <v>25860</v>
      </c>
      <c r="K4795">
        <f t="shared" si="74"/>
        <v>77580</v>
      </c>
    </row>
    <row r="4796" spans="1:11" hidden="1" x14ac:dyDescent="0.25">
      <c r="A4796">
        <v>4795</v>
      </c>
      <c r="B4796" s="1">
        <v>45753</v>
      </c>
      <c r="C4796" t="s">
        <v>18</v>
      </c>
      <c r="D4796" t="s">
        <v>17</v>
      </c>
      <c r="E4796" t="s">
        <v>8</v>
      </c>
      <c r="F4796">
        <v>2</v>
      </c>
      <c r="G4796" t="str">
        <f>VLOOKUP(D4796,Товары!A:I,3,0)</f>
        <v>Тумба с раковиной  навес. Альба 800 антрацит 1 ящик с умыв. Слим</v>
      </c>
      <c r="H4796">
        <f>VLOOKUP(D4796,Товары!A:I,6,0)</f>
        <v>45</v>
      </c>
      <c r="I4796" t="str">
        <f>VLOOKUP(C4796,Магазины!A:C,3,0)</f>
        <v>Набережные Челны</v>
      </c>
      <c r="J4796">
        <f>VLOOKUP(D4796,Товары!A:I,4,0)</f>
        <v>21630</v>
      </c>
      <c r="K4796">
        <f t="shared" si="74"/>
        <v>43260</v>
      </c>
    </row>
    <row r="4797" spans="1:11" hidden="1" x14ac:dyDescent="0.25">
      <c r="A4797">
        <v>4796</v>
      </c>
      <c r="B4797" s="1">
        <v>45755</v>
      </c>
      <c r="C4797" t="s">
        <v>9</v>
      </c>
      <c r="D4797" t="s">
        <v>70</v>
      </c>
      <c r="E4797" t="s">
        <v>13</v>
      </c>
      <c r="F4797">
        <v>3</v>
      </c>
      <c r="G4797" t="str">
        <f>VLOOKUP(D4797,Товары!A:I,3,0)</f>
        <v>Тумба с раковиной  напол. Кристалл 700 шато азур 2 ящика с умыв. Слим</v>
      </c>
      <c r="H4797">
        <f>VLOOKUP(D4797,Товары!A:I,6,0)</f>
        <v>85</v>
      </c>
      <c r="I4797" t="str">
        <f>VLOOKUP(C4797,Магазины!A:C,3,0)</f>
        <v>Кемерово</v>
      </c>
      <c r="J4797">
        <f>VLOOKUP(D4797,Товары!A:I,4,0)</f>
        <v>29910</v>
      </c>
      <c r="K4797">
        <f t="shared" si="74"/>
        <v>89730</v>
      </c>
    </row>
    <row r="4798" spans="1:11" hidden="1" x14ac:dyDescent="0.25">
      <c r="A4798">
        <v>4797</v>
      </c>
      <c r="B4798" s="1">
        <v>45748</v>
      </c>
      <c r="C4798" t="s">
        <v>22</v>
      </c>
      <c r="D4798" t="s">
        <v>104</v>
      </c>
      <c r="E4798" t="s">
        <v>13</v>
      </c>
      <c r="F4798">
        <v>3</v>
      </c>
      <c r="G4798" t="str">
        <f>VLOOKUP(D4798,Товары!A:I,3,0)</f>
        <v>Тумба под стиральную машину Куба Риф 57 подвесная 2 ящика под ст/маш, без умывальника /под Marshall 120 Белый</v>
      </c>
      <c r="H4798">
        <f>VLOOKUP(D4798,Товары!A:I,6,0)</f>
        <v>50</v>
      </c>
      <c r="I4798" t="str">
        <f>VLOOKUP(C4798,Магазины!A:C,3,0)</f>
        <v>Кемерово</v>
      </c>
      <c r="J4798">
        <f>VLOOKUP(D4798,Товары!A:I,4,0)</f>
        <v>8505</v>
      </c>
      <c r="K4798">
        <f t="shared" si="74"/>
        <v>25515</v>
      </c>
    </row>
    <row r="4799" spans="1:11" hidden="1" x14ac:dyDescent="0.25">
      <c r="A4799">
        <v>4798</v>
      </c>
      <c r="B4799" s="1">
        <v>45755</v>
      </c>
      <c r="C4799" t="s">
        <v>57</v>
      </c>
      <c r="D4799" t="s">
        <v>52</v>
      </c>
      <c r="E4799" t="s">
        <v>8</v>
      </c>
      <c r="F4799">
        <v>3</v>
      </c>
      <c r="G4799" t="str">
        <f>VLOOKUP(D4799,Товары!A:I,3,0)</f>
        <v>Тумба с раковиной  напол. Кристалл 600 суфле 2 ящика с умыв. Океан</v>
      </c>
      <c r="H4799">
        <f>VLOOKUP(D4799,Товары!A:I,6,0)</f>
        <v>80</v>
      </c>
      <c r="I4799" t="str">
        <f>VLOOKUP(C4799,Магазины!A:C,3,0)</f>
        <v>Оренбург</v>
      </c>
      <c r="J4799">
        <f>VLOOKUP(D4799,Товары!A:I,4,0)</f>
        <v>27600</v>
      </c>
      <c r="K4799">
        <f t="shared" si="74"/>
        <v>82800</v>
      </c>
    </row>
    <row r="4800" spans="1:11" hidden="1" x14ac:dyDescent="0.25">
      <c r="A4800">
        <v>4799</v>
      </c>
      <c r="B4800" s="1">
        <v>45748</v>
      </c>
      <c r="C4800" t="s">
        <v>43</v>
      </c>
      <c r="D4800" t="s">
        <v>27</v>
      </c>
      <c r="E4800" t="s">
        <v>8</v>
      </c>
      <c r="F4800">
        <v>3</v>
      </c>
      <c r="G4800" t="str">
        <f>VLOOKUP(D4800,Товары!A:I,3,0)</f>
        <v>Тумба с раковиной  навес. Виктория 800 белый 2 ящика с умыв. Слим</v>
      </c>
      <c r="H4800">
        <f>VLOOKUP(D4800,Товары!A:I,6,0)</f>
        <v>60</v>
      </c>
      <c r="I4800" t="str">
        <f>VLOOKUP(C4800,Магазины!A:C,3,0)</f>
        <v>Набережные Челны</v>
      </c>
      <c r="J4800">
        <f>VLOOKUP(D4800,Товары!A:I,4,0)</f>
        <v>25290</v>
      </c>
      <c r="K4800">
        <f t="shared" si="74"/>
        <v>75870</v>
      </c>
    </row>
    <row r="4801" spans="1:11" hidden="1" x14ac:dyDescent="0.25">
      <c r="A4801">
        <v>4800</v>
      </c>
      <c r="B4801" s="1">
        <v>45754</v>
      </c>
      <c r="C4801" t="s">
        <v>63</v>
      </c>
      <c r="D4801" t="s">
        <v>15</v>
      </c>
      <c r="E4801" t="s">
        <v>8</v>
      </c>
      <c r="F4801">
        <v>1</v>
      </c>
      <c r="G4801" t="str">
        <f>VLOOKUP(D4801,Товары!A:I,3,0)</f>
        <v>Зеркальный шкаф Кристалл 60 со светильником правый, ручка кнопка дуб цвет Шато Азур</v>
      </c>
      <c r="H4801">
        <f>VLOOKUP(D4801,Товары!A:I,6,0)</f>
        <v>75</v>
      </c>
      <c r="I4801" t="str">
        <f>VLOOKUP(C4801,Магазины!A:C,3,0)</f>
        <v>Ставрополь</v>
      </c>
      <c r="J4801">
        <f>VLOOKUP(D4801,Товары!A:I,4,0)</f>
        <v>9195</v>
      </c>
      <c r="K4801">
        <f t="shared" si="74"/>
        <v>9195</v>
      </c>
    </row>
    <row r="4802" spans="1:11" hidden="1" x14ac:dyDescent="0.25">
      <c r="A4802">
        <v>4801</v>
      </c>
      <c r="B4802" s="1">
        <v>45757</v>
      </c>
      <c r="C4802" t="s">
        <v>43</v>
      </c>
      <c r="D4802" t="s">
        <v>31</v>
      </c>
      <c r="E4802" t="s">
        <v>8</v>
      </c>
      <c r="F4802">
        <v>1</v>
      </c>
      <c r="G4802" t="str">
        <f>VLOOKUP(D4802,Товары!A:I,3,0)</f>
        <v>Пенал напол. Виктория 350 белый 2 двери</v>
      </c>
      <c r="H4802">
        <f>VLOOKUP(D4802,Товары!A:I,6,0)</f>
        <v>190</v>
      </c>
      <c r="I4802" t="str">
        <f>VLOOKUP(C4802,Магазины!A:C,3,0)</f>
        <v>Набережные Челны</v>
      </c>
      <c r="J4802">
        <f>VLOOKUP(D4802,Товары!A:I,4,0)</f>
        <v>14085</v>
      </c>
      <c r="K4802">
        <f t="shared" si="74"/>
        <v>14085</v>
      </c>
    </row>
    <row r="4803" spans="1:11" hidden="1" x14ac:dyDescent="0.25">
      <c r="A4803">
        <v>4802</v>
      </c>
      <c r="B4803" s="1">
        <v>45753</v>
      </c>
      <c r="C4803" t="s">
        <v>22</v>
      </c>
      <c r="D4803" t="s">
        <v>109</v>
      </c>
      <c r="E4803" t="s">
        <v>8</v>
      </c>
      <c r="F4803">
        <v>2</v>
      </c>
      <c r="G4803" t="str">
        <f>VLOOKUP(D4803,Товары!A:I,3,0)</f>
        <v>Тумба с раковиной  навес. Альба 600 антрацит 2 ящика с умыв. Океан</v>
      </c>
      <c r="H4803">
        <f>VLOOKUP(D4803,Товары!A:I,6,0)</f>
        <v>50</v>
      </c>
      <c r="I4803" t="str">
        <f>VLOOKUP(C4803,Магазины!A:C,3,0)</f>
        <v>Кемерово</v>
      </c>
      <c r="J4803">
        <f>VLOOKUP(D4803,Товары!A:I,4,0)</f>
        <v>24810</v>
      </c>
      <c r="K4803">
        <f t="shared" ref="K4803:K4866" si="75">J4803*F4803</f>
        <v>49620</v>
      </c>
    </row>
    <row r="4804" spans="1:11" hidden="1" x14ac:dyDescent="0.25">
      <c r="A4804">
        <v>4803</v>
      </c>
      <c r="B4804" s="1">
        <v>45751</v>
      </c>
      <c r="C4804" t="s">
        <v>11</v>
      </c>
      <c r="D4804" t="s">
        <v>104</v>
      </c>
      <c r="E4804" t="s">
        <v>8</v>
      </c>
      <c r="F4804">
        <v>1</v>
      </c>
      <c r="G4804" t="str">
        <f>VLOOKUP(D4804,Товары!A:I,3,0)</f>
        <v>Тумба под стиральную машину Куба Риф 57 подвесная 2 ящика под ст/маш, без умывальника /под Marshall 120 Белый</v>
      </c>
      <c r="H4804">
        <f>VLOOKUP(D4804,Товары!A:I,6,0)</f>
        <v>50</v>
      </c>
      <c r="I4804" t="str">
        <f>VLOOKUP(C4804,Магазины!A:C,3,0)</f>
        <v>Кемерово</v>
      </c>
      <c r="J4804">
        <f>VLOOKUP(D4804,Товары!A:I,4,0)</f>
        <v>8505</v>
      </c>
      <c r="K4804">
        <f t="shared" si="75"/>
        <v>8505</v>
      </c>
    </row>
    <row r="4805" spans="1:11" hidden="1" x14ac:dyDescent="0.25">
      <c r="A4805">
        <v>4804</v>
      </c>
      <c r="B4805" s="1">
        <v>45751</v>
      </c>
      <c r="C4805" t="s">
        <v>30</v>
      </c>
      <c r="D4805" t="s">
        <v>95</v>
      </c>
      <c r="E4805" t="s">
        <v>13</v>
      </c>
      <c r="F4805">
        <v>1</v>
      </c>
      <c r="G4805" t="str">
        <f>VLOOKUP(D4805,Товары!A:I,3,0)</f>
        <v>Тумба с раковиной  напол. Рица 600 антрацит 2 ящика с умыв. Океан</v>
      </c>
      <c r="H4805">
        <f>VLOOKUP(D4805,Товары!A:I,6,0)</f>
        <v>80</v>
      </c>
      <c r="I4805" t="str">
        <f>VLOOKUP(C4805,Магазины!A:C,3,0)</f>
        <v>Кемерово</v>
      </c>
      <c r="J4805">
        <f>VLOOKUP(D4805,Товары!A:I,4,0)</f>
        <v>25560</v>
      </c>
      <c r="K4805">
        <f t="shared" si="75"/>
        <v>25560</v>
      </c>
    </row>
    <row r="4806" spans="1:11" hidden="1" x14ac:dyDescent="0.25">
      <c r="A4806">
        <v>4805</v>
      </c>
      <c r="B4806" s="1">
        <v>45750</v>
      </c>
      <c r="C4806" t="s">
        <v>28</v>
      </c>
      <c r="D4806" t="s">
        <v>107</v>
      </c>
      <c r="E4806" t="s">
        <v>8</v>
      </c>
      <c r="F4806">
        <v>1</v>
      </c>
      <c r="G4806" t="str">
        <f>VLOOKUP(D4806,Товары!A:I,3,0)</f>
        <v>Комод Аква 35 напольный 1 дверь белый правый</v>
      </c>
      <c r="H4806">
        <f>VLOOKUP(D4806,Товары!A:I,6,0)</f>
        <v>90</v>
      </c>
      <c r="I4806" t="str">
        <f>VLOOKUP(C4806,Магазины!A:C,3,0)</f>
        <v>Набережные Челны</v>
      </c>
      <c r="J4806">
        <f>VLOOKUP(D4806,Товары!A:I,4,0)</f>
        <v>6705</v>
      </c>
      <c r="K4806">
        <f t="shared" si="75"/>
        <v>6705</v>
      </c>
    </row>
    <row r="4807" spans="1:11" hidden="1" x14ac:dyDescent="0.25">
      <c r="A4807">
        <v>4806</v>
      </c>
      <c r="B4807" s="1">
        <v>45751</v>
      </c>
      <c r="C4807" t="s">
        <v>92</v>
      </c>
      <c r="D4807" t="s">
        <v>120</v>
      </c>
      <c r="E4807" t="s">
        <v>13</v>
      </c>
      <c r="F4807">
        <v>2</v>
      </c>
      <c r="G4807" t="str">
        <f>VLOOKUP(D4807,Товары!A:I,3,0)</f>
        <v>Зеркальный шкаф Альба 60 со светильником правый цвет антрацит</v>
      </c>
      <c r="H4807">
        <f>VLOOKUP(D4807,Товары!A:I,6,0)</f>
        <v>75</v>
      </c>
      <c r="I4807" t="str">
        <f>VLOOKUP(C4807,Магазины!A:C,3,0)</f>
        <v>Кемерово</v>
      </c>
      <c r="J4807">
        <f>VLOOKUP(D4807,Товары!A:I,4,0)</f>
        <v>8910</v>
      </c>
      <c r="K4807">
        <f t="shared" si="75"/>
        <v>17820</v>
      </c>
    </row>
    <row r="4808" spans="1:11" hidden="1" x14ac:dyDescent="0.25">
      <c r="A4808">
        <v>4807</v>
      </c>
      <c r="B4808" s="1">
        <v>45751</v>
      </c>
      <c r="C4808" t="s">
        <v>57</v>
      </c>
      <c r="D4808" t="s">
        <v>86</v>
      </c>
      <c r="E4808" t="s">
        <v>8</v>
      </c>
      <c r="F4808">
        <v>1</v>
      </c>
      <c r="G4808" t="str">
        <f>VLOOKUP(D4808,Товары!A:I,3,0)</f>
        <v>Комод Аква 50 напольный 1 ящик 2 двери белый</v>
      </c>
      <c r="H4808">
        <f>VLOOKUP(D4808,Товары!A:I,6,0)</f>
        <v>90</v>
      </c>
      <c r="I4808" t="str">
        <f>VLOOKUP(C4808,Магазины!A:C,3,0)</f>
        <v>Оренбург</v>
      </c>
      <c r="J4808">
        <f>VLOOKUP(D4808,Товары!A:I,4,0)</f>
        <v>7260</v>
      </c>
      <c r="K4808">
        <f t="shared" si="75"/>
        <v>7260</v>
      </c>
    </row>
    <row r="4809" spans="1:11" hidden="1" x14ac:dyDescent="0.25">
      <c r="A4809">
        <v>4808</v>
      </c>
      <c r="B4809" s="1">
        <v>45754</v>
      </c>
      <c r="C4809" t="s">
        <v>33</v>
      </c>
      <c r="D4809" t="s">
        <v>66</v>
      </c>
      <c r="E4809" t="s">
        <v>13</v>
      </c>
      <c r="F4809">
        <v>2</v>
      </c>
      <c r="G4809" t="str">
        <f>VLOOKUP(D4809,Товары!A:I,3,0)</f>
        <v>Тумба с раковиной  навес. Альба 800 мята 2 ящика с умыв. Слим</v>
      </c>
      <c r="H4809">
        <f>VLOOKUP(D4809,Товары!A:I,6,0)</f>
        <v>50</v>
      </c>
      <c r="I4809" t="str">
        <f>VLOOKUP(C4809,Магазины!A:C,3,0)</f>
        <v>Набережные Челны</v>
      </c>
      <c r="J4809">
        <f>VLOOKUP(D4809,Товары!A:I,4,0)</f>
        <v>26070</v>
      </c>
      <c r="K4809">
        <f t="shared" si="75"/>
        <v>52140</v>
      </c>
    </row>
    <row r="4810" spans="1:11" hidden="1" x14ac:dyDescent="0.25">
      <c r="A4810">
        <v>4809</v>
      </c>
      <c r="B4810" s="1">
        <v>45748</v>
      </c>
      <c r="C4810" t="s">
        <v>20</v>
      </c>
      <c r="D4810" t="s">
        <v>119</v>
      </c>
      <c r="E4810" t="s">
        <v>8</v>
      </c>
      <c r="F4810">
        <v>1</v>
      </c>
      <c r="G4810" t="str">
        <f>VLOOKUP(D4810,Товары!A:I,3,0)</f>
        <v>Пенал навес./напол. Рица 350 cерый/керамика 2 двери</v>
      </c>
      <c r="H4810">
        <f>VLOOKUP(D4810,Товары!A:I,6,0)</f>
        <v>160</v>
      </c>
      <c r="I4810" t="str">
        <f>VLOOKUP(C4810,Магазины!A:C,3,0)</f>
        <v>Оренбург</v>
      </c>
      <c r="J4810">
        <f>VLOOKUP(D4810,Товары!A:I,4,0)</f>
        <v>11250</v>
      </c>
      <c r="K4810">
        <f t="shared" si="75"/>
        <v>11250</v>
      </c>
    </row>
    <row r="4811" spans="1:11" hidden="1" x14ac:dyDescent="0.25">
      <c r="A4811">
        <v>4810</v>
      </c>
      <c r="B4811" s="1">
        <v>45748</v>
      </c>
      <c r="C4811" t="s">
        <v>58</v>
      </c>
      <c r="D4811" t="s">
        <v>129</v>
      </c>
      <c r="E4811" t="s">
        <v>13</v>
      </c>
      <c r="F4811">
        <v>1</v>
      </c>
      <c r="G4811" t="str">
        <f>VLOOKUP(D4811,Товары!A:I,3,0)</f>
        <v>Тумба с раковиной  напол. Альба 700 антрацит 2 ящика с умыв. Слим</v>
      </c>
      <c r="H4811">
        <f>VLOOKUP(D4811,Товары!A:I,6,0)</f>
        <v>85</v>
      </c>
      <c r="I4811" t="str">
        <f>VLOOKUP(C4811,Магазины!A:C,3,0)</f>
        <v>Ставрополь</v>
      </c>
      <c r="J4811">
        <f>VLOOKUP(D4811,Товары!A:I,4,0)</f>
        <v>28695</v>
      </c>
      <c r="K4811">
        <f t="shared" si="75"/>
        <v>28695</v>
      </c>
    </row>
    <row r="4812" spans="1:11" hidden="1" x14ac:dyDescent="0.25">
      <c r="A4812">
        <v>4811</v>
      </c>
      <c r="B4812" s="1">
        <v>45757</v>
      </c>
      <c r="C4812" t="s">
        <v>11</v>
      </c>
      <c r="D4812" t="s">
        <v>17</v>
      </c>
      <c r="E4812" t="s">
        <v>13</v>
      </c>
      <c r="F4812">
        <v>2</v>
      </c>
      <c r="G4812" t="str">
        <f>VLOOKUP(D4812,Товары!A:I,3,0)</f>
        <v>Тумба с раковиной  навес. Альба 800 антрацит 1 ящик с умыв. Слим</v>
      </c>
      <c r="H4812">
        <f>VLOOKUP(D4812,Товары!A:I,6,0)</f>
        <v>45</v>
      </c>
      <c r="I4812" t="str">
        <f>VLOOKUP(C4812,Магазины!A:C,3,0)</f>
        <v>Кемерово</v>
      </c>
      <c r="J4812">
        <f>VLOOKUP(D4812,Товары!A:I,4,0)</f>
        <v>21630</v>
      </c>
      <c r="K4812">
        <f t="shared" si="75"/>
        <v>43260</v>
      </c>
    </row>
    <row r="4813" spans="1:11" hidden="1" x14ac:dyDescent="0.25">
      <c r="A4813">
        <v>4812</v>
      </c>
      <c r="B4813" s="1">
        <v>45755</v>
      </c>
      <c r="C4813" t="s">
        <v>14</v>
      </c>
      <c r="D4813" t="s">
        <v>112</v>
      </c>
      <c r="E4813" t="s">
        <v>13</v>
      </c>
      <c r="F4813">
        <v>2</v>
      </c>
      <c r="G4813" t="str">
        <f>VLOOKUP(D4813,Товары!A:I,3,0)</f>
        <v>Тумба с раковиной  напол. Аква 560 белый 2 двери с умыв. Уют</v>
      </c>
      <c r="H4813">
        <f>VLOOKUP(D4813,Товары!A:I,6,0)</f>
        <v>85</v>
      </c>
      <c r="I4813" t="str">
        <f>VLOOKUP(C4813,Магазины!A:C,3,0)</f>
        <v>Оренбург</v>
      </c>
      <c r="J4813">
        <f>VLOOKUP(D4813,Товары!A:I,4,0)</f>
        <v>9330</v>
      </c>
      <c r="K4813">
        <f t="shared" si="75"/>
        <v>18660</v>
      </c>
    </row>
    <row r="4814" spans="1:11" hidden="1" x14ac:dyDescent="0.25">
      <c r="A4814">
        <v>4813</v>
      </c>
      <c r="B4814" s="1">
        <v>45748</v>
      </c>
      <c r="C4814" t="s">
        <v>58</v>
      </c>
      <c r="D4814" t="s">
        <v>7</v>
      </c>
      <c r="E4814" t="s">
        <v>8</v>
      </c>
      <c r="F4814">
        <v>1</v>
      </c>
      <c r="G4814" t="str">
        <f>VLOOKUP(D4814,Товары!A:I,3,0)</f>
        <v>Пенал напол. Леон Риф 400 солярис/белый риф 2 двери + 1 ящик</v>
      </c>
      <c r="H4814">
        <f>VLOOKUP(D4814,Товары!A:I,6,0)</f>
        <v>190</v>
      </c>
      <c r="I4814" t="str">
        <f>VLOOKUP(C4814,Магазины!A:C,3,0)</f>
        <v>Ставрополь</v>
      </c>
      <c r="J4814">
        <f>VLOOKUP(D4814,Товары!A:I,4,0)</f>
        <v>14490</v>
      </c>
      <c r="K4814">
        <f t="shared" si="75"/>
        <v>14490</v>
      </c>
    </row>
    <row r="4815" spans="1:11" hidden="1" x14ac:dyDescent="0.25">
      <c r="A4815">
        <v>4814</v>
      </c>
      <c r="B4815" s="1">
        <v>45750</v>
      </c>
      <c r="C4815" t="s">
        <v>57</v>
      </c>
      <c r="D4815" t="s">
        <v>119</v>
      </c>
      <c r="E4815" t="s">
        <v>13</v>
      </c>
      <c r="F4815">
        <v>1</v>
      </c>
      <c r="G4815" t="str">
        <f>VLOOKUP(D4815,Товары!A:I,3,0)</f>
        <v>Пенал навес./напол. Рица 350 cерый/керамика 2 двери</v>
      </c>
      <c r="H4815">
        <f>VLOOKUP(D4815,Товары!A:I,6,0)</f>
        <v>160</v>
      </c>
      <c r="I4815" t="str">
        <f>VLOOKUP(C4815,Магазины!A:C,3,0)</f>
        <v>Оренбург</v>
      </c>
      <c r="J4815">
        <f>VLOOKUP(D4815,Товары!A:I,4,0)</f>
        <v>11250</v>
      </c>
      <c r="K4815">
        <f t="shared" si="75"/>
        <v>11250</v>
      </c>
    </row>
    <row r="4816" spans="1:11" hidden="1" x14ac:dyDescent="0.25">
      <c r="A4816">
        <v>4815</v>
      </c>
      <c r="B4816" s="1">
        <v>45757</v>
      </c>
      <c r="C4816" t="s">
        <v>6</v>
      </c>
      <c r="D4816" t="s">
        <v>44</v>
      </c>
      <c r="E4816" t="s">
        <v>8</v>
      </c>
      <c r="F4816">
        <v>1</v>
      </c>
      <c r="G4816" t="str">
        <f>VLOOKUP(D4816,Товары!A:I,3,0)</f>
        <v>Тумба с раковиной  навес. Кристалл 800 шато азур 2 ящика с умыв. Комфорт</v>
      </c>
      <c r="H4816">
        <f>VLOOKUP(D4816,Товары!A:I,6,0)</f>
        <v>55</v>
      </c>
      <c r="I4816" t="str">
        <f>VLOOKUP(C4816,Магазины!A:C,3,0)</f>
        <v>Оренбург</v>
      </c>
      <c r="J4816">
        <f>VLOOKUP(D4816,Товары!A:I,4,0)</f>
        <v>25080</v>
      </c>
      <c r="K4816">
        <f t="shared" si="75"/>
        <v>25080</v>
      </c>
    </row>
    <row r="4817" spans="1:11" hidden="1" x14ac:dyDescent="0.25">
      <c r="A4817">
        <v>4816</v>
      </c>
      <c r="B4817" s="1">
        <v>45751</v>
      </c>
      <c r="C4817" t="s">
        <v>22</v>
      </c>
      <c r="D4817" t="s">
        <v>116</v>
      </c>
      <c r="E4817" t="s">
        <v>13</v>
      </c>
      <c r="F4817">
        <v>1</v>
      </c>
      <c r="G4817" t="str">
        <f>VLOOKUP(D4817,Товары!A:I,3,0)</f>
        <v>Зеркало Нева 60 дуб/белый со светильником</v>
      </c>
      <c r="H4817">
        <f>VLOOKUP(D4817,Товары!A:I,6,0)</f>
        <v>80</v>
      </c>
      <c r="I4817" t="str">
        <f>VLOOKUP(C4817,Магазины!A:C,3,0)</f>
        <v>Кемерово</v>
      </c>
      <c r="J4817">
        <f>VLOOKUP(D4817,Товары!A:I,4,0)</f>
        <v>5100</v>
      </c>
      <c r="K4817">
        <f t="shared" si="75"/>
        <v>5100</v>
      </c>
    </row>
    <row r="4818" spans="1:11" hidden="1" x14ac:dyDescent="0.25">
      <c r="A4818">
        <v>4817</v>
      </c>
      <c r="B4818" s="1">
        <v>45748</v>
      </c>
      <c r="C4818" t="s">
        <v>30</v>
      </c>
      <c r="D4818" t="s">
        <v>127</v>
      </c>
      <c r="E4818" t="s">
        <v>8</v>
      </c>
      <c r="F4818">
        <v>3</v>
      </c>
      <c r="G4818" t="str">
        <f>VLOOKUP(D4818,Товары!A:I,3,0)</f>
        <v>Тумба с раковиной  навес. Альба 700 мята 1 ящик с умыв. Слим</v>
      </c>
      <c r="H4818">
        <f>VLOOKUP(D4818,Товары!A:I,6,0)</f>
        <v>45</v>
      </c>
      <c r="I4818" t="str">
        <f>VLOOKUP(C4818,Магазины!A:C,3,0)</f>
        <v>Кемерово</v>
      </c>
      <c r="J4818">
        <f>VLOOKUP(D4818,Товары!A:I,4,0)</f>
        <v>20130</v>
      </c>
      <c r="K4818">
        <f t="shared" si="75"/>
        <v>60390</v>
      </c>
    </row>
    <row r="4819" spans="1:11" hidden="1" x14ac:dyDescent="0.25">
      <c r="A4819">
        <v>4818</v>
      </c>
      <c r="B4819" s="1">
        <v>45755</v>
      </c>
      <c r="C4819" t="s">
        <v>26</v>
      </c>
      <c r="D4819" t="s">
        <v>80</v>
      </c>
      <c r="E4819" t="s">
        <v>13</v>
      </c>
      <c r="F4819">
        <v>1</v>
      </c>
      <c r="G4819" t="str">
        <f>VLOOKUP(D4819,Товары!A:I,3,0)</f>
        <v>Тумба с раковиной  навес. Сохо 600 белый 2 ящика с умыв. Океан</v>
      </c>
      <c r="H4819">
        <f>VLOOKUP(D4819,Товары!A:I,6,0)</f>
        <v>55</v>
      </c>
      <c r="I4819" t="str">
        <f>VLOOKUP(C4819,Магазины!A:C,3,0)</f>
        <v>Оренбург</v>
      </c>
      <c r="J4819">
        <f>VLOOKUP(D4819,Товары!A:I,4,0)</f>
        <v>13950</v>
      </c>
      <c r="K4819">
        <f t="shared" si="75"/>
        <v>13950</v>
      </c>
    </row>
    <row r="4820" spans="1:11" hidden="1" x14ac:dyDescent="0.25">
      <c r="A4820">
        <v>4819</v>
      </c>
      <c r="B4820" s="1">
        <v>45755</v>
      </c>
      <c r="C4820" t="s">
        <v>57</v>
      </c>
      <c r="D4820" t="s">
        <v>36</v>
      </c>
      <c r="E4820" t="s">
        <v>13</v>
      </c>
      <c r="F4820">
        <v>3</v>
      </c>
      <c r="G4820" t="str">
        <f>VLOOKUP(D4820,Товары!A:I,3,0)</f>
        <v>Тумба с раковиной  напол. Альба 800 мята 2 ящика с умыв. Слим</v>
      </c>
      <c r="H4820">
        <f>VLOOKUP(D4820,Товары!A:I,6,0)</f>
        <v>80</v>
      </c>
      <c r="I4820" t="str">
        <f>VLOOKUP(C4820,Магазины!A:C,3,0)</f>
        <v>Оренбург</v>
      </c>
      <c r="J4820">
        <f>VLOOKUP(D4820,Товары!A:I,4,0)</f>
        <v>29340</v>
      </c>
      <c r="K4820">
        <f t="shared" si="75"/>
        <v>88020</v>
      </c>
    </row>
    <row r="4821" spans="1:11" hidden="1" x14ac:dyDescent="0.25">
      <c r="A4821">
        <v>4820</v>
      </c>
      <c r="B4821" s="1">
        <v>45755</v>
      </c>
      <c r="C4821" t="s">
        <v>92</v>
      </c>
      <c r="D4821" t="s">
        <v>108</v>
      </c>
      <c r="E4821" t="s">
        <v>8</v>
      </c>
      <c r="F4821">
        <v>2</v>
      </c>
      <c r="G4821" t="str">
        <f>VLOOKUP(D4821,Товары!A:I,3,0)</f>
        <v>Тумба с раковиной  навес. Виктория 1000 белый 2 ящика с умыв. Слим</v>
      </c>
      <c r="H4821">
        <f>VLOOKUP(D4821,Товары!A:I,6,0)</f>
        <v>60</v>
      </c>
      <c r="I4821" t="str">
        <f>VLOOKUP(C4821,Магазины!A:C,3,0)</f>
        <v>Кемерово</v>
      </c>
      <c r="J4821">
        <f>VLOOKUP(D4821,Товары!A:I,4,0)</f>
        <v>29205</v>
      </c>
      <c r="K4821">
        <f t="shared" si="75"/>
        <v>58410</v>
      </c>
    </row>
    <row r="4822" spans="1:11" hidden="1" x14ac:dyDescent="0.25">
      <c r="A4822">
        <v>4821</v>
      </c>
      <c r="B4822" s="1">
        <v>45750</v>
      </c>
      <c r="C4822" t="s">
        <v>30</v>
      </c>
      <c r="D4822" t="s">
        <v>123</v>
      </c>
      <c r="E4822" t="s">
        <v>8</v>
      </c>
      <c r="F4822">
        <v>3</v>
      </c>
      <c r="G4822" t="str">
        <f>VLOOKUP(D4822,Товары!A:I,3,0)</f>
        <v>Тумба с раковиной  напол. Кристалл 800 суфле 2 ящика с умыв. Слим</v>
      </c>
      <c r="H4822">
        <f>VLOOKUP(D4822,Товары!A:I,6,0)</f>
        <v>80</v>
      </c>
      <c r="I4822" t="str">
        <f>VLOOKUP(C4822,Магазины!A:C,3,0)</f>
        <v>Кемерово</v>
      </c>
      <c r="J4822">
        <f>VLOOKUP(D4822,Товары!A:I,4,0)</f>
        <v>31125</v>
      </c>
      <c r="K4822">
        <f t="shared" si="75"/>
        <v>93375</v>
      </c>
    </row>
    <row r="4823" spans="1:11" hidden="1" x14ac:dyDescent="0.25">
      <c r="A4823">
        <v>4822</v>
      </c>
      <c r="B4823" s="1">
        <v>45749</v>
      </c>
      <c r="C4823" t="s">
        <v>111</v>
      </c>
      <c r="D4823" t="s">
        <v>98</v>
      </c>
      <c r="E4823" t="s">
        <v>8</v>
      </c>
      <c r="F4823">
        <v>2</v>
      </c>
      <c r="G4823" t="str">
        <f>VLOOKUP(D4823,Товары!A:I,3,0)</f>
        <v>Тумба с раковиной  напол. Рица 800 cерый/керамика 2 ящика с умыв. Слим</v>
      </c>
      <c r="H4823">
        <f>VLOOKUP(D4823,Товары!A:I,6,0)</f>
        <v>80</v>
      </c>
      <c r="I4823" t="str">
        <f>VLOOKUP(C4823,Магазины!A:C,3,0)</f>
        <v>Набережные Челны</v>
      </c>
      <c r="J4823">
        <f>VLOOKUP(D4823,Товары!A:I,4,0)</f>
        <v>28980</v>
      </c>
      <c r="K4823">
        <f t="shared" si="75"/>
        <v>57960</v>
      </c>
    </row>
    <row r="4824" spans="1:11" hidden="1" x14ac:dyDescent="0.25">
      <c r="A4824">
        <v>4823</v>
      </c>
      <c r="B4824" s="1">
        <v>45748</v>
      </c>
      <c r="C4824" t="s">
        <v>14</v>
      </c>
      <c r="D4824" t="s">
        <v>70</v>
      </c>
      <c r="E4824" t="s">
        <v>8</v>
      </c>
      <c r="F4824">
        <v>3</v>
      </c>
      <c r="G4824" t="str">
        <f>VLOOKUP(D4824,Товары!A:I,3,0)</f>
        <v>Тумба с раковиной  напол. Кристалл 700 шато азур 2 ящика с умыв. Слим</v>
      </c>
      <c r="H4824">
        <f>VLOOKUP(D4824,Товары!A:I,6,0)</f>
        <v>85</v>
      </c>
      <c r="I4824" t="str">
        <f>VLOOKUP(C4824,Магазины!A:C,3,0)</f>
        <v>Оренбург</v>
      </c>
      <c r="J4824">
        <f>VLOOKUP(D4824,Товары!A:I,4,0)</f>
        <v>29910</v>
      </c>
      <c r="K4824">
        <f t="shared" si="75"/>
        <v>89730</v>
      </c>
    </row>
    <row r="4825" spans="1:11" hidden="1" x14ac:dyDescent="0.25">
      <c r="A4825">
        <v>4824</v>
      </c>
      <c r="B4825" s="1">
        <v>45755</v>
      </c>
      <c r="C4825" t="s">
        <v>35</v>
      </c>
      <c r="D4825" t="s">
        <v>10</v>
      </c>
      <c r="E4825" t="s">
        <v>8</v>
      </c>
      <c r="F4825">
        <v>3</v>
      </c>
      <c r="G4825" t="str">
        <f>VLOOKUP(D4825,Товары!A:I,3,0)</f>
        <v>Тумба с раковиной  навес. Альба 700 антрацит 1 ящик с умыв. Слим</v>
      </c>
      <c r="H4825">
        <f>VLOOKUP(D4825,Товары!A:I,6,0)</f>
        <v>45</v>
      </c>
      <c r="I4825" t="str">
        <f>VLOOKUP(C4825,Магазины!A:C,3,0)</f>
        <v>Набережные Челны</v>
      </c>
      <c r="J4825">
        <f>VLOOKUP(D4825,Товары!A:I,4,0)</f>
        <v>20130</v>
      </c>
      <c r="K4825">
        <f t="shared" si="75"/>
        <v>60390</v>
      </c>
    </row>
    <row r="4826" spans="1:11" hidden="1" x14ac:dyDescent="0.25">
      <c r="A4826">
        <v>4825</v>
      </c>
      <c r="B4826" s="1">
        <v>45755</v>
      </c>
      <c r="C4826" t="s">
        <v>111</v>
      </c>
      <c r="D4826" t="s">
        <v>130</v>
      </c>
      <c r="E4826" t="s">
        <v>13</v>
      </c>
      <c r="F4826">
        <v>1</v>
      </c>
      <c r="G4826" t="str">
        <f>VLOOKUP(D4826,Товары!A:I,3,0)</f>
        <v>Пенал напол. Леон 400 форест 2 двери + 1 ящик</v>
      </c>
      <c r="H4826">
        <f>VLOOKUP(D4826,Товары!A:I,6,0)</f>
        <v>190</v>
      </c>
      <c r="I4826" t="str">
        <f>VLOOKUP(C4826,Магазины!A:C,3,0)</f>
        <v>Набережные Челны</v>
      </c>
      <c r="J4826">
        <f>VLOOKUP(D4826,Товары!A:I,4,0)</f>
        <v>18450</v>
      </c>
      <c r="K4826">
        <f t="shared" si="75"/>
        <v>18450</v>
      </c>
    </row>
    <row r="4827" spans="1:11" hidden="1" x14ac:dyDescent="0.25">
      <c r="A4827">
        <v>4826</v>
      </c>
      <c r="B4827" s="1">
        <v>45751</v>
      </c>
      <c r="C4827" t="s">
        <v>63</v>
      </c>
      <c r="D4827" t="s">
        <v>72</v>
      </c>
      <c r="E4827" t="s">
        <v>13</v>
      </c>
      <c r="F4827">
        <v>1</v>
      </c>
      <c r="G4827" t="str">
        <f>VLOOKUP(D4827,Товары!A:I,3,0)</f>
        <v>Тумба с раковиной  напол. Сохо 600 белый 2 ящика с умыв. Океан</v>
      </c>
      <c r="H4827">
        <f>VLOOKUP(D4827,Товары!A:I,6,0)</f>
        <v>85</v>
      </c>
      <c r="I4827" t="str">
        <f>VLOOKUP(C4827,Магазины!A:C,3,0)</f>
        <v>Ставрополь</v>
      </c>
      <c r="J4827">
        <f>VLOOKUP(D4827,Товары!A:I,4,0)</f>
        <v>16140</v>
      </c>
      <c r="K4827">
        <f t="shared" si="75"/>
        <v>16140</v>
      </c>
    </row>
    <row r="4828" spans="1:11" hidden="1" x14ac:dyDescent="0.25">
      <c r="A4828">
        <v>4827</v>
      </c>
      <c r="B4828" s="1">
        <v>45755</v>
      </c>
      <c r="C4828" t="s">
        <v>35</v>
      </c>
      <c r="D4828" t="s">
        <v>90</v>
      </c>
      <c r="E4828" t="s">
        <v>8</v>
      </c>
      <c r="F4828">
        <v>3</v>
      </c>
      <c r="G4828" t="str">
        <f>VLOOKUP(D4828,Товары!A:I,3,0)</f>
        <v>Пенал напол. Аква 350 белый 2 двери + 2 ящика</v>
      </c>
      <c r="H4828">
        <f>VLOOKUP(D4828,Товары!A:I,6,0)</f>
        <v>190</v>
      </c>
      <c r="I4828" t="str">
        <f>VLOOKUP(C4828,Магазины!A:C,3,0)</f>
        <v>Набережные Челны</v>
      </c>
      <c r="J4828">
        <f>VLOOKUP(D4828,Товары!A:I,4,0)</f>
        <v>10650</v>
      </c>
      <c r="K4828">
        <f t="shared" si="75"/>
        <v>31950</v>
      </c>
    </row>
    <row r="4829" spans="1:11" hidden="1" x14ac:dyDescent="0.25">
      <c r="A4829">
        <v>4828</v>
      </c>
      <c r="B4829" s="1">
        <v>45748</v>
      </c>
      <c r="C4829" t="s">
        <v>63</v>
      </c>
      <c r="D4829" t="s">
        <v>15</v>
      </c>
      <c r="E4829" t="s">
        <v>8</v>
      </c>
      <c r="F4829">
        <v>1</v>
      </c>
      <c r="G4829" t="str">
        <f>VLOOKUP(D4829,Товары!A:I,3,0)</f>
        <v>Зеркальный шкаф Кристалл 60 со светильником правый, ручка кнопка дуб цвет Шато Азур</v>
      </c>
      <c r="H4829">
        <f>VLOOKUP(D4829,Товары!A:I,6,0)</f>
        <v>75</v>
      </c>
      <c r="I4829" t="str">
        <f>VLOOKUP(C4829,Магазины!A:C,3,0)</f>
        <v>Ставрополь</v>
      </c>
      <c r="J4829">
        <f>VLOOKUP(D4829,Товары!A:I,4,0)</f>
        <v>9195</v>
      </c>
      <c r="K4829">
        <f t="shared" si="75"/>
        <v>9195</v>
      </c>
    </row>
    <row r="4830" spans="1:11" hidden="1" x14ac:dyDescent="0.25">
      <c r="A4830">
        <v>4829</v>
      </c>
      <c r="B4830" s="1">
        <v>45751</v>
      </c>
      <c r="C4830" t="s">
        <v>18</v>
      </c>
      <c r="D4830" t="s">
        <v>130</v>
      </c>
      <c r="E4830" t="s">
        <v>13</v>
      </c>
      <c r="F4830">
        <v>1</v>
      </c>
      <c r="G4830" t="str">
        <f>VLOOKUP(D4830,Товары!A:I,3,0)</f>
        <v>Пенал напол. Леон 400 форест 2 двери + 1 ящик</v>
      </c>
      <c r="H4830">
        <f>VLOOKUP(D4830,Товары!A:I,6,0)</f>
        <v>190</v>
      </c>
      <c r="I4830" t="str">
        <f>VLOOKUP(C4830,Магазины!A:C,3,0)</f>
        <v>Набережные Челны</v>
      </c>
      <c r="J4830">
        <f>VLOOKUP(D4830,Товары!A:I,4,0)</f>
        <v>18450</v>
      </c>
      <c r="K4830">
        <f t="shared" si="75"/>
        <v>18450</v>
      </c>
    </row>
    <row r="4831" spans="1:11" hidden="1" x14ac:dyDescent="0.25">
      <c r="A4831">
        <v>4830</v>
      </c>
      <c r="B4831" s="1">
        <v>45751</v>
      </c>
      <c r="C4831" t="s">
        <v>6</v>
      </c>
      <c r="D4831" t="s">
        <v>49</v>
      </c>
      <c r="E4831" t="s">
        <v>13</v>
      </c>
      <c r="F4831">
        <v>2</v>
      </c>
      <c r="G4831" t="str">
        <f>VLOOKUP(D4831,Товары!A:I,3,0)</f>
        <v>Тумба с раковиной  напол. Леон 700 оникс 2 ящика с умыв. Слим</v>
      </c>
      <c r="H4831">
        <f>VLOOKUP(D4831,Товары!A:I,6,0)</f>
        <v>80</v>
      </c>
      <c r="I4831" t="str">
        <f>VLOOKUP(C4831,Магазины!A:C,3,0)</f>
        <v>Оренбург</v>
      </c>
      <c r="J4831">
        <f>VLOOKUP(D4831,Товары!A:I,4,0)</f>
        <v>28380</v>
      </c>
      <c r="K4831">
        <f t="shared" si="75"/>
        <v>56760</v>
      </c>
    </row>
    <row r="4832" spans="1:11" hidden="1" x14ac:dyDescent="0.25">
      <c r="A4832">
        <v>4831</v>
      </c>
      <c r="B4832" s="1">
        <v>45756</v>
      </c>
      <c r="C4832" t="s">
        <v>54</v>
      </c>
      <c r="D4832" t="s">
        <v>109</v>
      </c>
      <c r="E4832" t="s">
        <v>13</v>
      </c>
      <c r="F4832">
        <v>3</v>
      </c>
      <c r="G4832" t="str">
        <f>VLOOKUP(D4832,Товары!A:I,3,0)</f>
        <v>Тумба с раковиной  навес. Альба 600 антрацит 2 ящика с умыв. Океан</v>
      </c>
      <c r="H4832">
        <f>VLOOKUP(D4832,Товары!A:I,6,0)</f>
        <v>50</v>
      </c>
      <c r="I4832" t="str">
        <f>VLOOKUP(C4832,Магазины!A:C,3,0)</f>
        <v>Ставрополь</v>
      </c>
      <c r="J4832">
        <f>VLOOKUP(D4832,Товары!A:I,4,0)</f>
        <v>24810</v>
      </c>
      <c r="K4832">
        <f t="shared" si="75"/>
        <v>74430</v>
      </c>
    </row>
    <row r="4833" spans="1:11" hidden="1" x14ac:dyDescent="0.25">
      <c r="A4833">
        <v>4832</v>
      </c>
      <c r="B4833" s="1">
        <v>45749</v>
      </c>
      <c r="C4833" t="s">
        <v>30</v>
      </c>
      <c r="D4833" t="s">
        <v>70</v>
      </c>
      <c r="E4833" t="s">
        <v>13</v>
      </c>
      <c r="F4833">
        <v>1</v>
      </c>
      <c r="G4833" t="str">
        <f>VLOOKUP(D4833,Товары!A:I,3,0)</f>
        <v>Тумба с раковиной  напол. Кристалл 700 шато азур 2 ящика с умыв. Слим</v>
      </c>
      <c r="H4833">
        <f>VLOOKUP(D4833,Товары!A:I,6,0)</f>
        <v>85</v>
      </c>
      <c r="I4833" t="str">
        <f>VLOOKUP(C4833,Магазины!A:C,3,0)</f>
        <v>Кемерово</v>
      </c>
      <c r="J4833">
        <f>VLOOKUP(D4833,Товары!A:I,4,0)</f>
        <v>29910</v>
      </c>
      <c r="K4833">
        <f t="shared" si="75"/>
        <v>29910</v>
      </c>
    </row>
    <row r="4834" spans="1:11" hidden="1" x14ac:dyDescent="0.25">
      <c r="A4834">
        <v>4833</v>
      </c>
      <c r="B4834" s="1">
        <v>45757</v>
      </c>
      <c r="C4834" t="s">
        <v>35</v>
      </c>
      <c r="D4834" t="s">
        <v>110</v>
      </c>
      <c r="E4834" t="s">
        <v>8</v>
      </c>
      <c r="F4834">
        <v>3</v>
      </c>
      <c r="G4834" t="str">
        <f>VLOOKUP(D4834,Товары!A:I,3,0)</f>
        <v>Тумба с раковиной  напол. Альба 600 антрацит 2 ящика с умыв. Океан</v>
      </c>
      <c r="H4834">
        <f>VLOOKUP(D4834,Товары!A:I,6,0)</f>
        <v>80</v>
      </c>
      <c r="I4834" t="str">
        <f>VLOOKUP(C4834,Магазины!A:C,3,0)</f>
        <v>Набережные Челны</v>
      </c>
      <c r="J4834">
        <f>VLOOKUP(D4834,Товары!A:I,4,0)</f>
        <v>26370</v>
      </c>
      <c r="K4834">
        <f t="shared" si="75"/>
        <v>79110</v>
      </c>
    </row>
    <row r="4835" spans="1:11" hidden="1" x14ac:dyDescent="0.25">
      <c r="A4835">
        <v>4834</v>
      </c>
      <c r="B4835" s="1">
        <v>45750</v>
      </c>
      <c r="C4835" t="s">
        <v>43</v>
      </c>
      <c r="D4835" t="s">
        <v>100</v>
      </c>
      <c r="E4835" t="s">
        <v>8</v>
      </c>
      <c r="F4835">
        <v>3</v>
      </c>
      <c r="G4835" t="str">
        <f>VLOOKUP(D4835,Товары!A:I,3,0)</f>
        <v>Тумба с раковиной  навес. Альба 800 мята 1 ящик с умыв. Слим</v>
      </c>
      <c r="H4835">
        <f>VLOOKUP(D4835,Товары!A:I,6,0)</f>
        <v>45</v>
      </c>
      <c r="I4835" t="str">
        <f>VLOOKUP(C4835,Магазины!A:C,3,0)</f>
        <v>Набережные Челны</v>
      </c>
      <c r="J4835">
        <f>VLOOKUP(D4835,Товары!A:I,4,0)</f>
        <v>21630</v>
      </c>
      <c r="K4835">
        <f t="shared" si="75"/>
        <v>64890</v>
      </c>
    </row>
    <row r="4836" spans="1:11" hidden="1" x14ac:dyDescent="0.25">
      <c r="A4836">
        <v>4835</v>
      </c>
      <c r="B4836" s="1">
        <v>45755</v>
      </c>
      <c r="C4836" t="s">
        <v>14</v>
      </c>
      <c r="D4836" t="s">
        <v>102</v>
      </c>
      <c r="E4836" t="s">
        <v>13</v>
      </c>
      <c r="F4836">
        <v>3</v>
      </c>
      <c r="G4836" t="str">
        <f>VLOOKUP(D4836,Товары!A:I,3,0)</f>
        <v>Тумба с раковиной  напол. Леон Риф 1000 солярис/белый риф 2 ящика с умыв. Слим</v>
      </c>
      <c r="H4836">
        <f>VLOOKUP(D4836,Товары!A:I,6,0)</f>
        <v>85</v>
      </c>
      <c r="I4836" t="str">
        <f>VLOOKUP(C4836,Магазины!A:C,3,0)</f>
        <v>Оренбург</v>
      </c>
      <c r="J4836">
        <f>VLOOKUP(D4836,Товары!A:I,4,0)</f>
        <v>32085</v>
      </c>
      <c r="K4836">
        <f t="shared" si="75"/>
        <v>96255</v>
      </c>
    </row>
    <row r="4837" spans="1:11" hidden="1" x14ac:dyDescent="0.25">
      <c r="A4837">
        <v>4836</v>
      </c>
      <c r="B4837" s="1">
        <v>45749</v>
      </c>
      <c r="C4837" t="s">
        <v>6</v>
      </c>
      <c r="D4837" t="s">
        <v>51</v>
      </c>
      <c r="E4837" t="s">
        <v>8</v>
      </c>
      <c r="F4837">
        <v>2</v>
      </c>
      <c r="G4837" t="str">
        <f>VLOOKUP(D4837,Товары!A:I,3,0)</f>
        <v>Зеркальный шкаф Альба 80 со светильником правый цвет суфле</v>
      </c>
      <c r="H4837">
        <f>VLOOKUP(D4837,Товары!A:I,6,0)</f>
        <v>75</v>
      </c>
      <c r="I4837" t="str">
        <f>VLOOKUP(C4837,Магазины!A:C,3,0)</f>
        <v>Оренбург</v>
      </c>
      <c r="J4837">
        <f>VLOOKUP(D4837,Товары!A:I,4,0)</f>
        <v>9930</v>
      </c>
      <c r="K4837">
        <f t="shared" si="75"/>
        <v>19860</v>
      </c>
    </row>
    <row r="4838" spans="1:11" hidden="1" x14ac:dyDescent="0.25">
      <c r="A4838">
        <v>4837</v>
      </c>
      <c r="B4838" s="1">
        <v>45752</v>
      </c>
      <c r="C4838" t="s">
        <v>111</v>
      </c>
      <c r="D4838" t="s">
        <v>94</v>
      </c>
      <c r="E4838" t="s">
        <v>13</v>
      </c>
      <c r="F4838">
        <v>2</v>
      </c>
      <c r="G4838" t="str">
        <f>VLOOKUP(D4838,Товары!A:I,3,0)</f>
        <v>Зеркальный шкаф Альба 80 со светильником правый цвет антрацит</v>
      </c>
      <c r="H4838">
        <f>VLOOKUP(D4838,Товары!A:I,6,0)</f>
        <v>75</v>
      </c>
      <c r="I4838" t="str">
        <f>VLOOKUP(C4838,Магазины!A:C,3,0)</f>
        <v>Набережные Челны</v>
      </c>
      <c r="J4838">
        <f>VLOOKUP(D4838,Товары!A:I,4,0)</f>
        <v>9930</v>
      </c>
      <c r="K4838">
        <f t="shared" si="75"/>
        <v>19860</v>
      </c>
    </row>
    <row r="4839" spans="1:11" hidden="1" x14ac:dyDescent="0.25">
      <c r="A4839">
        <v>4838</v>
      </c>
      <c r="B4839" s="1">
        <v>45756</v>
      </c>
      <c r="C4839" t="s">
        <v>41</v>
      </c>
      <c r="D4839" t="s">
        <v>62</v>
      </c>
      <c r="E4839" t="s">
        <v>13</v>
      </c>
      <c r="F4839">
        <v>3</v>
      </c>
      <c r="G4839" t="str">
        <f>VLOOKUP(D4839,Товары!A:I,3,0)</f>
        <v>Тумба с раковиной  напол. Альба 600 мята 2 ящика с умыв. Океан</v>
      </c>
      <c r="H4839">
        <f>VLOOKUP(D4839,Товары!A:I,6,0)</f>
        <v>80</v>
      </c>
      <c r="I4839" t="str">
        <f>VLOOKUP(C4839,Магазины!A:C,3,0)</f>
        <v>Ставрополь</v>
      </c>
      <c r="J4839">
        <f>VLOOKUP(D4839,Товары!A:I,4,0)</f>
        <v>26370</v>
      </c>
      <c r="K4839">
        <f t="shared" si="75"/>
        <v>79110</v>
      </c>
    </row>
    <row r="4840" spans="1:11" hidden="1" x14ac:dyDescent="0.25">
      <c r="A4840">
        <v>4839</v>
      </c>
      <c r="B4840" s="1">
        <v>45751</v>
      </c>
      <c r="C4840" t="s">
        <v>26</v>
      </c>
      <c r="D4840" t="s">
        <v>95</v>
      </c>
      <c r="E4840" t="s">
        <v>13</v>
      </c>
      <c r="F4840">
        <v>2</v>
      </c>
      <c r="G4840" t="str">
        <f>VLOOKUP(D4840,Товары!A:I,3,0)</f>
        <v>Тумба с раковиной  напол. Рица 600 антрацит 2 ящика с умыв. Океан</v>
      </c>
      <c r="H4840">
        <f>VLOOKUP(D4840,Товары!A:I,6,0)</f>
        <v>80</v>
      </c>
      <c r="I4840" t="str">
        <f>VLOOKUP(C4840,Магазины!A:C,3,0)</f>
        <v>Оренбург</v>
      </c>
      <c r="J4840">
        <f>VLOOKUP(D4840,Товары!A:I,4,0)</f>
        <v>25560</v>
      </c>
      <c r="K4840">
        <f t="shared" si="75"/>
        <v>51120</v>
      </c>
    </row>
    <row r="4841" spans="1:11" hidden="1" x14ac:dyDescent="0.25">
      <c r="A4841">
        <v>4840</v>
      </c>
      <c r="B4841" s="1">
        <v>45748</v>
      </c>
      <c r="C4841" t="s">
        <v>20</v>
      </c>
      <c r="D4841" t="s">
        <v>114</v>
      </c>
      <c r="E4841" t="s">
        <v>8</v>
      </c>
      <c r="F4841">
        <v>1</v>
      </c>
      <c r="G4841" t="str">
        <f>VLOOKUP(D4841,Товары!A:I,3,0)</f>
        <v>Тумба с раковиной  навес. Альба 700 мята 2 ящика с умыв. Слим</v>
      </c>
      <c r="H4841">
        <f>VLOOKUP(D4841,Товары!A:I,6,0)</f>
        <v>60</v>
      </c>
      <c r="I4841" t="str">
        <f>VLOOKUP(C4841,Магазины!A:C,3,0)</f>
        <v>Оренбург</v>
      </c>
      <c r="J4841">
        <f>VLOOKUP(D4841,Товары!A:I,4,0)</f>
        <v>25095</v>
      </c>
      <c r="K4841">
        <f t="shared" si="75"/>
        <v>25095</v>
      </c>
    </row>
    <row r="4842" spans="1:11" hidden="1" x14ac:dyDescent="0.25">
      <c r="A4842">
        <v>4841</v>
      </c>
      <c r="B4842" s="1">
        <v>45748</v>
      </c>
      <c r="C4842" t="s">
        <v>22</v>
      </c>
      <c r="D4842" t="s">
        <v>61</v>
      </c>
      <c r="E4842" t="s">
        <v>8</v>
      </c>
      <c r="F4842">
        <v>3</v>
      </c>
      <c r="G4842" t="str">
        <f>VLOOKUP(D4842,Товары!A:I,3,0)</f>
        <v>Тумба под стиральную машину Леон Риф 57 напольная 2 ящика под ст/маш, без умывальника /под Marshall 120 Солярис/Белый Риф</v>
      </c>
      <c r="H4842">
        <f>VLOOKUP(D4842,Товары!A:I,6,0)</f>
        <v>85</v>
      </c>
      <c r="I4842" t="str">
        <f>VLOOKUP(C4842,Магазины!A:C,3,0)</f>
        <v>Кемерово</v>
      </c>
      <c r="J4842">
        <f>VLOOKUP(D4842,Товары!A:I,4,0)</f>
        <v>17430</v>
      </c>
      <c r="K4842">
        <f t="shared" si="75"/>
        <v>52290</v>
      </c>
    </row>
    <row r="4843" spans="1:11" hidden="1" x14ac:dyDescent="0.25">
      <c r="A4843">
        <v>4842</v>
      </c>
      <c r="B4843" s="1">
        <v>45752</v>
      </c>
      <c r="C4843" t="s">
        <v>28</v>
      </c>
      <c r="D4843" t="s">
        <v>86</v>
      </c>
      <c r="E4843" t="s">
        <v>8</v>
      </c>
      <c r="F4843">
        <v>1</v>
      </c>
      <c r="G4843" t="str">
        <f>VLOOKUP(D4843,Товары!A:I,3,0)</f>
        <v>Комод Аква 50 напольный 1 ящик 2 двери белый</v>
      </c>
      <c r="H4843">
        <f>VLOOKUP(D4843,Товары!A:I,6,0)</f>
        <v>90</v>
      </c>
      <c r="I4843" t="str">
        <f>VLOOKUP(C4843,Магазины!A:C,3,0)</f>
        <v>Набережные Челны</v>
      </c>
      <c r="J4843">
        <f>VLOOKUP(D4843,Товары!A:I,4,0)</f>
        <v>7260</v>
      </c>
      <c r="K4843">
        <f t="shared" si="75"/>
        <v>7260</v>
      </c>
    </row>
    <row r="4844" spans="1:11" hidden="1" x14ac:dyDescent="0.25">
      <c r="A4844">
        <v>4843</v>
      </c>
      <c r="B4844" s="1">
        <v>45750</v>
      </c>
      <c r="C4844" t="s">
        <v>103</v>
      </c>
      <c r="D4844" t="s">
        <v>105</v>
      </c>
      <c r="E4844" t="s">
        <v>13</v>
      </c>
      <c r="F4844">
        <v>1</v>
      </c>
      <c r="G4844" t="str">
        <f>VLOOKUP(D4844,Товары!A:I,3,0)</f>
        <v>Тумба с раковиной  напол. Нева 600 белый 2 двери + 1 ящик с умыв. Como</v>
      </c>
      <c r="H4844">
        <f>VLOOKUP(D4844,Товары!A:I,6,0)</f>
        <v>80</v>
      </c>
      <c r="I4844" t="str">
        <f>VLOOKUP(C4844,Магазины!A:C,3,0)</f>
        <v>Ставрополь</v>
      </c>
      <c r="J4844">
        <f>VLOOKUP(D4844,Товары!A:I,4,0)</f>
        <v>13470</v>
      </c>
      <c r="K4844">
        <f t="shared" si="75"/>
        <v>13470</v>
      </c>
    </row>
    <row r="4845" spans="1:11" hidden="1" x14ac:dyDescent="0.25">
      <c r="A4845">
        <v>4844</v>
      </c>
      <c r="B4845" s="1">
        <v>45756</v>
      </c>
      <c r="C4845" t="s">
        <v>103</v>
      </c>
      <c r="D4845" t="s">
        <v>121</v>
      </c>
      <c r="E4845" t="s">
        <v>8</v>
      </c>
      <c r="F4845">
        <v>1</v>
      </c>
      <c r="G4845" t="str">
        <f>VLOOKUP(D4845,Товары!A:I,3,0)</f>
        <v>Тумба с раковиной  напол. Куба Риф 600 белый 2 двери с умыв. Como</v>
      </c>
      <c r="H4845">
        <f>VLOOKUP(D4845,Товары!A:I,6,0)</f>
        <v>85</v>
      </c>
      <c r="I4845" t="str">
        <f>VLOOKUP(C4845,Магазины!A:C,3,0)</f>
        <v>Ставрополь</v>
      </c>
      <c r="J4845">
        <f>VLOOKUP(D4845,Товары!A:I,4,0)</f>
        <v>13695</v>
      </c>
      <c r="K4845">
        <f t="shared" si="75"/>
        <v>13695</v>
      </c>
    </row>
    <row r="4846" spans="1:11" hidden="1" x14ac:dyDescent="0.25">
      <c r="A4846">
        <v>4845</v>
      </c>
      <c r="B4846" s="1">
        <v>45757</v>
      </c>
      <c r="C4846" t="s">
        <v>103</v>
      </c>
      <c r="D4846" t="s">
        <v>38</v>
      </c>
      <c r="E4846" t="s">
        <v>8</v>
      </c>
      <c r="F4846">
        <v>1</v>
      </c>
      <c r="G4846" t="str">
        <f>VLOOKUP(D4846,Товары!A:I,3,0)</f>
        <v>Тумба с раковиной  навес. Куба Риф 600 белый 2 ящика с умыв. Como</v>
      </c>
      <c r="H4846">
        <f>VLOOKUP(D4846,Товары!A:I,6,0)</f>
        <v>55</v>
      </c>
      <c r="I4846" t="str">
        <f>VLOOKUP(C4846,Магазины!A:C,3,0)</f>
        <v>Ставрополь</v>
      </c>
      <c r="J4846">
        <f>VLOOKUP(D4846,Товары!A:I,4,0)</f>
        <v>14265</v>
      </c>
      <c r="K4846">
        <f t="shared" si="75"/>
        <v>14265</v>
      </c>
    </row>
    <row r="4847" spans="1:11" hidden="1" x14ac:dyDescent="0.25">
      <c r="A4847">
        <v>4846</v>
      </c>
      <c r="B4847" s="1">
        <v>45750</v>
      </c>
      <c r="C4847" t="s">
        <v>14</v>
      </c>
      <c r="D4847" t="s">
        <v>126</v>
      </c>
      <c r="E4847" t="s">
        <v>13</v>
      </c>
      <c r="F4847">
        <v>3</v>
      </c>
      <c r="G4847" t="str">
        <f>VLOOKUP(D4847,Товары!A:I,3,0)</f>
        <v>Тумба с раковиной  напол. Кристалл 800 шато азур 2 ящика с умыв. Комфорт</v>
      </c>
      <c r="H4847">
        <f>VLOOKUP(D4847,Товары!A:I,6,0)</f>
        <v>85</v>
      </c>
      <c r="I4847" t="str">
        <f>VLOOKUP(C4847,Магазины!A:C,3,0)</f>
        <v>Оренбург</v>
      </c>
      <c r="J4847">
        <f>VLOOKUP(D4847,Товары!A:I,4,0)</f>
        <v>31125</v>
      </c>
      <c r="K4847">
        <f t="shared" si="75"/>
        <v>93375</v>
      </c>
    </row>
    <row r="4848" spans="1:11" hidden="1" x14ac:dyDescent="0.25">
      <c r="A4848">
        <v>4847</v>
      </c>
      <c r="B4848" s="1">
        <v>45748</v>
      </c>
      <c r="C4848" t="s">
        <v>9</v>
      </c>
      <c r="D4848" t="s">
        <v>102</v>
      </c>
      <c r="E4848" t="s">
        <v>13</v>
      </c>
      <c r="F4848">
        <v>1</v>
      </c>
      <c r="G4848" t="str">
        <f>VLOOKUP(D4848,Товары!A:I,3,0)</f>
        <v>Тумба с раковиной  напол. Леон Риф 1000 солярис/белый риф 2 ящика с умыв. Слим</v>
      </c>
      <c r="H4848">
        <f>VLOOKUP(D4848,Товары!A:I,6,0)</f>
        <v>85</v>
      </c>
      <c r="I4848" t="str">
        <f>VLOOKUP(C4848,Магазины!A:C,3,0)</f>
        <v>Кемерово</v>
      </c>
      <c r="J4848">
        <f>VLOOKUP(D4848,Товары!A:I,4,0)</f>
        <v>32085</v>
      </c>
      <c r="K4848">
        <f t="shared" si="75"/>
        <v>32085</v>
      </c>
    </row>
    <row r="4849" spans="1:11" hidden="1" x14ac:dyDescent="0.25">
      <c r="A4849">
        <v>4848</v>
      </c>
      <c r="B4849" s="1">
        <v>45757</v>
      </c>
      <c r="C4849" t="s">
        <v>11</v>
      </c>
      <c r="D4849" t="s">
        <v>21</v>
      </c>
      <c r="E4849" t="s">
        <v>13</v>
      </c>
      <c r="F4849">
        <v>3</v>
      </c>
      <c r="G4849" t="str">
        <f>VLOOKUP(D4849,Товары!A:I,3,0)</f>
        <v>Зеркальный шкаф Рица 60 со светильником правый цвет cерый/керамика</v>
      </c>
      <c r="H4849">
        <f>VLOOKUP(D4849,Товары!A:I,6,0)</f>
        <v>75</v>
      </c>
      <c r="I4849" t="str">
        <f>VLOOKUP(C4849,Магазины!A:C,3,0)</f>
        <v>Кемерово</v>
      </c>
      <c r="J4849">
        <f>VLOOKUP(D4849,Товары!A:I,4,0)</f>
        <v>8910</v>
      </c>
      <c r="K4849">
        <f t="shared" si="75"/>
        <v>26730</v>
      </c>
    </row>
    <row r="4850" spans="1:11" hidden="1" x14ac:dyDescent="0.25">
      <c r="A4850">
        <v>4849</v>
      </c>
      <c r="B4850" s="1">
        <v>45752</v>
      </c>
      <c r="C4850" t="s">
        <v>22</v>
      </c>
      <c r="D4850" t="s">
        <v>102</v>
      </c>
      <c r="E4850" t="s">
        <v>13</v>
      </c>
      <c r="F4850">
        <v>1</v>
      </c>
      <c r="G4850" t="str">
        <f>VLOOKUP(D4850,Товары!A:I,3,0)</f>
        <v>Тумба с раковиной  напол. Леон Риф 1000 солярис/белый риф 2 ящика с умыв. Слим</v>
      </c>
      <c r="H4850">
        <f>VLOOKUP(D4850,Товары!A:I,6,0)</f>
        <v>85</v>
      </c>
      <c r="I4850" t="str">
        <f>VLOOKUP(C4850,Магазины!A:C,3,0)</f>
        <v>Кемерово</v>
      </c>
      <c r="J4850">
        <f>VLOOKUP(D4850,Товары!A:I,4,0)</f>
        <v>32085</v>
      </c>
      <c r="K4850">
        <f t="shared" si="75"/>
        <v>32085</v>
      </c>
    </row>
    <row r="4851" spans="1:11" hidden="1" x14ac:dyDescent="0.25">
      <c r="A4851">
        <v>4850</v>
      </c>
      <c r="B4851" s="1">
        <v>45757</v>
      </c>
      <c r="C4851" t="s">
        <v>41</v>
      </c>
      <c r="D4851" t="s">
        <v>89</v>
      </c>
      <c r="E4851" t="s">
        <v>8</v>
      </c>
      <c r="F4851">
        <v>3</v>
      </c>
      <c r="G4851" t="str">
        <f>VLOOKUP(D4851,Товары!A:I,3,0)</f>
        <v>Тумба с раковиной  напол. Сохо 600 белый 2 двери с умыв. Океан</v>
      </c>
      <c r="H4851">
        <f>VLOOKUP(D4851,Товары!A:I,6,0)</f>
        <v>85</v>
      </c>
      <c r="I4851" t="str">
        <f>VLOOKUP(C4851,Магазины!A:C,3,0)</f>
        <v>Ставрополь</v>
      </c>
      <c r="J4851">
        <f>VLOOKUP(D4851,Товары!A:I,4,0)</f>
        <v>14880</v>
      </c>
      <c r="K4851">
        <f t="shared" si="75"/>
        <v>44640</v>
      </c>
    </row>
    <row r="4852" spans="1:11" hidden="1" x14ac:dyDescent="0.25">
      <c r="A4852">
        <v>4851</v>
      </c>
      <c r="B4852" s="1">
        <v>45749</v>
      </c>
      <c r="C4852" t="s">
        <v>41</v>
      </c>
      <c r="D4852" t="s">
        <v>45</v>
      </c>
      <c r="E4852" t="s">
        <v>8</v>
      </c>
      <c r="F4852">
        <v>3</v>
      </c>
      <c r="G4852" t="str">
        <f>VLOOKUP(D4852,Товары!A:I,3,0)</f>
        <v>Зеркальный шкаф Рица 80 со светильником правый цвет cерый/керамика</v>
      </c>
      <c r="H4852">
        <f>VLOOKUP(D4852,Товары!A:I,6,0)</f>
        <v>75</v>
      </c>
      <c r="I4852" t="str">
        <f>VLOOKUP(C4852,Магазины!A:C,3,0)</f>
        <v>Ставрополь</v>
      </c>
      <c r="J4852">
        <f>VLOOKUP(D4852,Товары!A:I,4,0)</f>
        <v>9930</v>
      </c>
      <c r="K4852">
        <f t="shared" si="75"/>
        <v>29790</v>
      </c>
    </row>
    <row r="4853" spans="1:11" hidden="1" x14ac:dyDescent="0.25">
      <c r="A4853">
        <v>4852</v>
      </c>
      <c r="B4853" s="1">
        <v>45748</v>
      </c>
      <c r="C4853" t="s">
        <v>16</v>
      </c>
      <c r="D4853" t="s">
        <v>67</v>
      </c>
      <c r="E4853" t="s">
        <v>8</v>
      </c>
      <c r="F4853">
        <v>1</v>
      </c>
      <c r="G4853" t="str">
        <f>VLOOKUP(D4853,Товары!A:I,3,0)</f>
        <v>Пенал навес./напол. Альба 350 суфле 2 двери</v>
      </c>
      <c r="H4853">
        <f>VLOOKUP(D4853,Товары!A:I,6,0)</f>
        <v>150</v>
      </c>
      <c r="I4853" t="str">
        <f>VLOOKUP(C4853,Магазины!A:C,3,0)</f>
        <v>Оренбург</v>
      </c>
      <c r="J4853">
        <f>VLOOKUP(D4853,Товары!A:I,4,0)</f>
        <v>11655</v>
      </c>
      <c r="K4853">
        <f t="shared" si="75"/>
        <v>11655</v>
      </c>
    </row>
    <row r="4854" spans="1:11" hidden="1" x14ac:dyDescent="0.25">
      <c r="A4854">
        <v>4853</v>
      </c>
      <c r="B4854" s="1">
        <v>45749</v>
      </c>
      <c r="C4854" t="s">
        <v>111</v>
      </c>
      <c r="D4854" t="s">
        <v>109</v>
      </c>
      <c r="E4854" t="s">
        <v>8</v>
      </c>
      <c r="F4854">
        <v>1</v>
      </c>
      <c r="G4854" t="str">
        <f>VLOOKUP(D4854,Товары!A:I,3,0)</f>
        <v>Тумба с раковиной  навес. Альба 600 антрацит 2 ящика с умыв. Океан</v>
      </c>
      <c r="H4854">
        <f>VLOOKUP(D4854,Товары!A:I,6,0)</f>
        <v>50</v>
      </c>
      <c r="I4854" t="str">
        <f>VLOOKUP(C4854,Магазины!A:C,3,0)</f>
        <v>Набережные Челны</v>
      </c>
      <c r="J4854">
        <f>VLOOKUP(D4854,Товары!A:I,4,0)</f>
        <v>24810</v>
      </c>
      <c r="K4854">
        <f t="shared" si="75"/>
        <v>24810</v>
      </c>
    </row>
    <row r="4855" spans="1:11" hidden="1" x14ac:dyDescent="0.25">
      <c r="A4855">
        <v>4854</v>
      </c>
      <c r="B4855" s="1">
        <v>45755</v>
      </c>
      <c r="C4855" t="s">
        <v>20</v>
      </c>
      <c r="D4855" t="s">
        <v>83</v>
      </c>
      <c r="E4855" t="s">
        <v>13</v>
      </c>
      <c r="F4855">
        <v>3</v>
      </c>
      <c r="G4855" t="str">
        <f>VLOOKUP(D4855,Товары!A:I,3,0)</f>
        <v>Зеркальный шкаф Альба 60 со светильником правый цвет суфле</v>
      </c>
      <c r="H4855">
        <f>VLOOKUP(D4855,Товары!A:I,6,0)</f>
        <v>75</v>
      </c>
      <c r="I4855" t="str">
        <f>VLOOKUP(C4855,Магазины!A:C,3,0)</f>
        <v>Оренбург</v>
      </c>
      <c r="J4855">
        <f>VLOOKUP(D4855,Товары!A:I,4,0)</f>
        <v>8910</v>
      </c>
      <c r="K4855">
        <f t="shared" si="75"/>
        <v>26730</v>
      </c>
    </row>
    <row r="4856" spans="1:11" hidden="1" x14ac:dyDescent="0.25">
      <c r="A4856">
        <v>4855</v>
      </c>
      <c r="B4856" s="1">
        <v>45749</v>
      </c>
      <c r="C4856" t="s">
        <v>22</v>
      </c>
      <c r="D4856" t="s">
        <v>15</v>
      </c>
      <c r="E4856" t="s">
        <v>8</v>
      </c>
      <c r="F4856">
        <v>1</v>
      </c>
      <c r="G4856" t="str">
        <f>VLOOKUP(D4856,Товары!A:I,3,0)</f>
        <v>Зеркальный шкаф Кристалл 60 со светильником правый, ручка кнопка дуб цвет Шато Азур</v>
      </c>
      <c r="H4856">
        <f>VLOOKUP(D4856,Товары!A:I,6,0)</f>
        <v>75</v>
      </c>
      <c r="I4856" t="str">
        <f>VLOOKUP(C4856,Магазины!A:C,3,0)</f>
        <v>Кемерово</v>
      </c>
      <c r="J4856">
        <f>VLOOKUP(D4856,Товары!A:I,4,0)</f>
        <v>9195</v>
      </c>
      <c r="K4856">
        <f t="shared" si="75"/>
        <v>9195</v>
      </c>
    </row>
    <row r="4857" spans="1:11" hidden="1" x14ac:dyDescent="0.25">
      <c r="A4857">
        <v>4856</v>
      </c>
      <c r="B4857" s="1">
        <v>45752</v>
      </c>
      <c r="C4857" t="s">
        <v>63</v>
      </c>
      <c r="D4857" t="s">
        <v>109</v>
      </c>
      <c r="E4857" t="s">
        <v>8</v>
      </c>
      <c r="F4857">
        <v>3</v>
      </c>
      <c r="G4857" t="str">
        <f>VLOOKUP(D4857,Товары!A:I,3,0)</f>
        <v>Тумба с раковиной  навес. Альба 600 антрацит 2 ящика с умыв. Океан</v>
      </c>
      <c r="H4857">
        <f>VLOOKUP(D4857,Товары!A:I,6,0)</f>
        <v>50</v>
      </c>
      <c r="I4857" t="str">
        <f>VLOOKUP(C4857,Магазины!A:C,3,0)</f>
        <v>Ставрополь</v>
      </c>
      <c r="J4857">
        <f>VLOOKUP(D4857,Товары!A:I,4,0)</f>
        <v>24810</v>
      </c>
      <c r="K4857">
        <f t="shared" si="75"/>
        <v>74430</v>
      </c>
    </row>
    <row r="4858" spans="1:11" hidden="1" x14ac:dyDescent="0.25">
      <c r="A4858">
        <v>4857</v>
      </c>
      <c r="B4858" s="1">
        <v>45754</v>
      </c>
      <c r="C4858" t="s">
        <v>43</v>
      </c>
      <c r="D4858" t="s">
        <v>29</v>
      </c>
      <c r="E4858" t="s">
        <v>8</v>
      </c>
      <c r="F4858">
        <v>1</v>
      </c>
      <c r="G4858" t="str">
        <f>VLOOKUP(D4858,Товары!A:I,3,0)</f>
        <v>Тумба с раковиной  напол. Леон Риф 600 солярис/белый риф 2 ящика с умыв. Океан</v>
      </c>
      <c r="H4858">
        <f>VLOOKUP(D4858,Товары!A:I,6,0)</f>
        <v>80</v>
      </c>
      <c r="I4858" t="str">
        <f>VLOOKUP(C4858,Магазины!A:C,3,0)</f>
        <v>Набережные Челны</v>
      </c>
      <c r="J4858">
        <f>VLOOKUP(D4858,Товары!A:I,4,0)</f>
        <v>24150</v>
      </c>
      <c r="K4858">
        <f t="shared" si="75"/>
        <v>24150</v>
      </c>
    </row>
    <row r="4859" spans="1:11" hidden="1" x14ac:dyDescent="0.25">
      <c r="A4859">
        <v>4858</v>
      </c>
      <c r="B4859" s="1">
        <v>45755</v>
      </c>
      <c r="C4859" t="s">
        <v>30</v>
      </c>
      <c r="D4859" t="s">
        <v>53</v>
      </c>
      <c r="E4859" t="s">
        <v>8</v>
      </c>
      <c r="F4859">
        <v>2</v>
      </c>
      <c r="G4859" t="str">
        <f>VLOOKUP(D4859,Товары!A:I,3,0)</f>
        <v>Тумба с раковиной  напол. Кристалл 600 шато азур 2 ящика с умыв. Океан</v>
      </c>
      <c r="H4859">
        <f>VLOOKUP(D4859,Товары!A:I,6,0)</f>
        <v>85</v>
      </c>
      <c r="I4859" t="str">
        <f>VLOOKUP(C4859,Магазины!A:C,3,0)</f>
        <v>Кемерово</v>
      </c>
      <c r="J4859">
        <f>VLOOKUP(D4859,Товары!A:I,4,0)</f>
        <v>27600</v>
      </c>
      <c r="K4859">
        <f t="shared" si="75"/>
        <v>55200</v>
      </c>
    </row>
    <row r="4860" spans="1:11" hidden="1" x14ac:dyDescent="0.25">
      <c r="A4860">
        <v>4859</v>
      </c>
      <c r="B4860" s="1">
        <v>45750</v>
      </c>
      <c r="C4860" t="s">
        <v>54</v>
      </c>
      <c r="D4860" t="s">
        <v>46</v>
      </c>
      <c r="E4860" t="s">
        <v>13</v>
      </c>
      <c r="F4860">
        <v>1</v>
      </c>
      <c r="G4860" t="str">
        <f>VLOOKUP(D4860,Товары!A:I,3,0)</f>
        <v>Тумба с раковиной  напол. Сохо 700 белый 2 ящика с умыв. Слим</v>
      </c>
      <c r="H4860">
        <f>VLOOKUP(D4860,Товары!A:I,6,0)</f>
        <v>85</v>
      </c>
      <c r="I4860" t="str">
        <f>VLOOKUP(C4860,Магазины!A:C,3,0)</f>
        <v>Ставрополь</v>
      </c>
      <c r="J4860">
        <f>VLOOKUP(D4860,Товары!A:I,4,0)</f>
        <v>18405</v>
      </c>
      <c r="K4860">
        <f t="shared" si="75"/>
        <v>18405</v>
      </c>
    </row>
    <row r="4861" spans="1:11" hidden="1" x14ac:dyDescent="0.25">
      <c r="A4861">
        <v>4860</v>
      </c>
      <c r="B4861" s="1">
        <v>45749</v>
      </c>
      <c r="C4861" t="s">
        <v>63</v>
      </c>
      <c r="D4861" t="s">
        <v>49</v>
      </c>
      <c r="E4861" t="s">
        <v>13</v>
      </c>
      <c r="F4861">
        <v>2</v>
      </c>
      <c r="G4861" t="str">
        <f>VLOOKUP(D4861,Товары!A:I,3,0)</f>
        <v>Тумба с раковиной  напол. Леон 700 оникс 2 ящика с умыв. Слим</v>
      </c>
      <c r="H4861">
        <f>VLOOKUP(D4861,Товары!A:I,6,0)</f>
        <v>80</v>
      </c>
      <c r="I4861" t="str">
        <f>VLOOKUP(C4861,Магазины!A:C,3,0)</f>
        <v>Ставрополь</v>
      </c>
      <c r="J4861">
        <f>VLOOKUP(D4861,Товары!A:I,4,0)</f>
        <v>28380</v>
      </c>
      <c r="K4861">
        <f t="shared" si="75"/>
        <v>56760</v>
      </c>
    </row>
    <row r="4862" spans="1:11" hidden="1" x14ac:dyDescent="0.25">
      <c r="A4862">
        <v>4861</v>
      </c>
      <c r="B4862" s="1">
        <v>45753</v>
      </c>
      <c r="C4862" t="s">
        <v>22</v>
      </c>
      <c r="D4862" t="s">
        <v>130</v>
      </c>
      <c r="E4862" t="s">
        <v>13</v>
      </c>
      <c r="F4862">
        <v>1</v>
      </c>
      <c r="G4862" t="str">
        <f>VLOOKUP(D4862,Товары!A:I,3,0)</f>
        <v>Пенал напол. Леон 400 форест 2 двери + 1 ящик</v>
      </c>
      <c r="H4862">
        <f>VLOOKUP(D4862,Товары!A:I,6,0)</f>
        <v>190</v>
      </c>
      <c r="I4862" t="str">
        <f>VLOOKUP(C4862,Магазины!A:C,3,0)</f>
        <v>Кемерово</v>
      </c>
      <c r="J4862">
        <f>VLOOKUP(D4862,Товары!A:I,4,0)</f>
        <v>18450</v>
      </c>
      <c r="K4862">
        <f t="shared" si="75"/>
        <v>18450</v>
      </c>
    </row>
    <row r="4863" spans="1:11" hidden="1" x14ac:dyDescent="0.25">
      <c r="A4863">
        <v>4862</v>
      </c>
      <c r="B4863" s="1">
        <v>45756</v>
      </c>
      <c r="C4863" t="s">
        <v>33</v>
      </c>
      <c r="D4863" t="s">
        <v>31</v>
      </c>
      <c r="E4863" t="s">
        <v>13</v>
      </c>
      <c r="F4863">
        <v>3</v>
      </c>
      <c r="G4863" t="str">
        <f>VLOOKUP(D4863,Товары!A:I,3,0)</f>
        <v>Пенал напол. Виктория 350 белый 2 двери</v>
      </c>
      <c r="H4863">
        <f>VLOOKUP(D4863,Товары!A:I,6,0)</f>
        <v>190</v>
      </c>
      <c r="I4863" t="str">
        <f>VLOOKUP(C4863,Магазины!A:C,3,0)</f>
        <v>Набережные Челны</v>
      </c>
      <c r="J4863">
        <f>VLOOKUP(D4863,Товары!A:I,4,0)</f>
        <v>14085</v>
      </c>
      <c r="K4863">
        <f t="shared" si="75"/>
        <v>42255</v>
      </c>
    </row>
    <row r="4864" spans="1:11" hidden="1" x14ac:dyDescent="0.25">
      <c r="A4864">
        <v>4863</v>
      </c>
      <c r="B4864" s="1">
        <v>45752</v>
      </c>
      <c r="C4864" t="s">
        <v>6</v>
      </c>
      <c r="D4864" t="s">
        <v>109</v>
      </c>
      <c r="E4864" t="s">
        <v>13</v>
      </c>
      <c r="F4864">
        <v>1</v>
      </c>
      <c r="G4864" t="str">
        <f>VLOOKUP(D4864,Товары!A:I,3,0)</f>
        <v>Тумба с раковиной  навес. Альба 600 антрацит 2 ящика с умыв. Океан</v>
      </c>
      <c r="H4864">
        <f>VLOOKUP(D4864,Товары!A:I,6,0)</f>
        <v>50</v>
      </c>
      <c r="I4864" t="str">
        <f>VLOOKUP(C4864,Магазины!A:C,3,0)</f>
        <v>Оренбург</v>
      </c>
      <c r="J4864">
        <f>VLOOKUP(D4864,Товары!A:I,4,0)</f>
        <v>24810</v>
      </c>
      <c r="K4864">
        <f t="shared" si="75"/>
        <v>24810</v>
      </c>
    </row>
    <row r="4865" spans="1:11" hidden="1" x14ac:dyDescent="0.25">
      <c r="A4865">
        <v>4864</v>
      </c>
      <c r="B4865" s="1">
        <v>45755</v>
      </c>
      <c r="C4865" t="s">
        <v>48</v>
      </c>
      <c r="D4865" t="s">
        <v>24</v>
      </c>
      <c r="E4865" t="s">
        <v>13</v>
      </c>
      <c r="F4865">
        <v>3</v>
      </c>
      <c r="G4865" t="str">
        <f>VLOOKUP(D4865,Товары!A:I,3,0)</f>
        <v>Тумба с раковиной  напол. Леон 600 форест 2 ящика с умыв. Слим</v>
      </c>
      <c r="H4865">
        <f>VLOOKUP(D4865,Товары!A:I,6,0)</f>
        <v>80</v>
      </c>
      <c r="I4865" t="str">
        <f>VLOOKUP(C4865,Магазины!A:C,3,0)</f>
        <v>Ставрополь</v>
      </c>
      <c r="J4865">
        <f>VLOOKUP(D4865,Товары!A:I,4,0)</f>
        <v>27150</v>
      </c>
      <c r="K4865">
        <f t="shared" si="75"/>
        <v>81450</v>
      </c>
    </row>
    <row r="4866" spans="1:11" hidden="1" x14ac:dyDescent="0.25">
      <c r="A4866">
        <v>4865</v>
      </c>
      <c r="B4866" s="1">
        <v>45753</v>
      </c>
      <c r="C4866" t="s">
        <v>18</v>
      </c>
      <c r="D4866" t="s">
        <v>96</v>
      </c>
      <c r="E4866" t="s">
        <v>13</v>
      </c>
      <c r="F4866">
        <v>2</v>
      </c>
      <c r="G4866" t="str">
        <f>VLOOKUP(D4866,Товары!A:I,3,0)</f>
        <v>Тумба с раковиной  навес. Альба 600 мята 1 ящик с умыв. Океан</v>
      </c>
      <c r="H4866">
        <f>VLOOKUP(D4866,Товары!A:I,6,0)</f>
        <v>85</v>
      </c>
      <c r="I4866" t="str">
        <f>VLOOKUP(C4866,Магазины!A:C,3,0)</f>
        <v>Набережные Челны</v>
      </c>
      <c r="J4866">
        <f>VLOOKUP(D4866,Товары!A:I,4,0)</f>
        <v>17625</v>
      </c>
      <c r="K4866">
        <f t="shared" si="75"/>
        <v>35250</v>
      </c>
    </row>
    <row r="4867" spans="1:11" hidden="1" x14ac:dyDescent="0.25">
      <c r="A4867">
        <v>4866</v>
      </c>
      <c r="B4867" s="1">
        <v>45756</v>
      </c>
      <c r="C4867" t="s">
        <v>30</v>
      </c>
      <c r="D4867" t="s">
        <v>109</v>
      </c>
      <c r="E4867" t="s">
        <v>8</v>
      </c>
      <c r="F4867">
        <v>2</v>
      </c>
      <c r="G4867" t="str">
        <f>VLOOKUP(D4867,Товары!A:I,3,0)</f>
        <v>Тумба с раковиной  навес. Альба 600 антрацит 2 ящика с умыв. Океан</v>
      </c>
      <c r="H4867">
        <f>VLOOKUP(D4867,Товары!A:I,6,0)</f>
        <v>50</v>
      </c>
      <c r="I4867" t="str">
        <f>VLOOKUP(C4867,Магазины!A:C,3,0)</f>
        <v>Кемерово</v>
      </c>
      <c r="J4867">
        <f>VLOOKUP(D4867,Товары!A:I,4,0)</f>
        <v>24810</v>
      </c>
      <c r="K4867">
        <f t="shared" ref="K4867:K4930" si="76">J4867*F4867</f>
        <v>49620</v>
      </c>
    </row>
    <row r="4868" spans="1:11" hidden="1" x14ac:dyDescent="0.25">
      <c r="A4868">
        <v>4867</v>
      </c>
      <c r="B4868" s="1">
        <v>45757</v>
      </c>
      <c r="C4868" t="s">
        <v>22</v>
      </c>
      <c r="D4868" t="s">
        <v>107</v>
      </c>
      <c r="E4868" t="s">
        <v>8</v>
      </c>
      <c r="F4868">
        <v>2</v>
      </c>
      <c r="G4868" t="str">
        <f>VLOOKUP(D4868,Товары!A:I,3,0)</f>
        <v>Комод Аква 35 напольный 1 дверь белый правый</v>
      </c>
      <c r="H4868">
        <f>VLOOKUP(D4868,Товары!A:I,6,0)</f>
        <v>90</v>
      </c>
      <c r="I4868" t="str">
        <f>VLOOKUP(C4868,Магазины!A:C,3,0)</f>
        <v>Кемерово</v>
      </c>
      <c r="J4868">
        <f>VLOOKUP(D4868,Товары!A:I,4,0)</f>
        <v>6705</v>
      </c>
      <c r="K4868">
        <f t="shared" si="76"/>
        <v>13410</v>
      </c>
    </row>
    <row r="4869" spans="1:11" hidden="1" x14ac:dyDescent="0.25">
      <c r="A4869">
        <v>4868</v>
      </c>
      <c r="B4869" s="1">
        <v>45751</v>
      </c>
      <c r="C4869" t="s">
        <v>16</v>
      </c>
      <c r="D4869" t="s">
        <v>7</v>
      </c>
      <c r="E4869" t="s">
        <v>8</v>
      </c>
      <c r="F4869">
        <v>1</v>
      </c>
      <c r="G4869" t="str">
        <f>VLOOKUP(D4869,Товары!A:I,3,0)</f>
        <v>Пенал напол. Леон Риф 400 солярис/белый риф 2 двери + 1 ящик</v>
      </c>
      <c r="H4869">
        <f>VLOOKUP(D4869,Товары!A:I,6,0)</f>
        <v>190</v>
      </c>
      <c r="I4869" t="str">
        <f>VLOOKUP(C4869,Магазины!A:C,3,0)</f>
        <v>Оренбург</v>
      </c>
      <c r="J4869">
        <f>VLOOKUP(D4869,Товары!A:I,4,0)</f>
        <v>14490</v>
      </c>
      <c r="K4869">
        <f t="shared" si="76"/>
        <v>14490</v>
      </c>
    </row>
    <row r="4870" spans="1:11" hidden="1" x14ac:dyDescent="0.25">
      <c r="A4870">
        <v>4869</v>
      </c>
      <c r="B4870" s="1">
        <v>45748</v>
      </c>
      <c r="C4870" t="s">
        <v>41</v>
      </c>
      <c r="D4870" t="s">
        <v>17</v>
      </c>
      <c r="E4870" t="s">
        <v>8</v>
      </c>
      <c r="F4870">
        <v>2</v>
      </c>
      <c r="G4870" t="str">
        <f>VLOOKUP(D4870,Товары!A:I,3,0)</f>
        <v>Тумба с раковиной  навес. Альба 800 антрацит 1 ящик с умыв. Слим</v>
      </c>
      <c r="H4870">
        <f>VLOOKUP(D4870,Товары!A:I,6,0)</f>
        <v>45</v>
      </c>
      <c r="I4870" t="str">
        <f>VLOOKUP(C4870,Магазины!A:C,3,0)</f>
        <v>Ставрополь</v>
      </c>
      <c r="J4870">
        <f>VLOOKUP(D4870,Товары!A:I,4,0)</f>
        <v>21630</v>
      </c>
      <c r="K4870">
        <f t="shared" si="76"/>
        <v>43260</v>
      </c>
    </row>
    <row r="4871" spans="1:11" hidden="1" x14ac:dyDescent="0.25">
      <c r="A4871">
        <v>4870</v>
      </c>
      <c r="B4871" s="1">
        <v>45748</v>
      </c>
      <c r="C4871" t="s">
        <v>14</v>
      </c>
      <c r="D4871" t="s">
        <v>89</v>
      </c>
      <c r="E4871" t="s">
        <v>13</v>
      </c>
      <c r="F4871">
        <v>2</v>
      </c>
      <c r="G4871" t="str">
        <f>VLOOKUP(D4871,Товары!A:I,3,0)</f>
        <v>Тумба с раковиной  напол. Сохо 600 белый 2 двери с умыв. Океан</v>
      </c>
      <c r="H4871">
        <f>VLOOKUP(D4871,Товары!A:I,6,0)</f>
        <v>85</v>
      </c>
      <c r="I4871" t="str">
        <f>VLOOKUP(C4871,Магазины!A:C,3,0)</f>
        <v>Оренбург</v>
      </c>
      <c r="J4871">
        <f>VLOOKUP(D4871,Товары!A:I,4,0)</f>
        <v>14880</v>
      </c>
      <c r="K4871">
        <f t="shared" si="76"/>
        <v>29760</v>
      </c>
    </row>
    <row r="4872" spans="1:11" hidden="1" x14ac:dyDescent="0.25">
      <c r="A4872">
        <v>4871</v>
      </c>
      <c r="B4872" s="1">
        <v>45751</v>
      </c>
      <c r="C4872" t="s">
        <v>18</v>
      </c>
      <c r="D4872" t="s">
        <v>45</v>
      </c>
      <c r="E4872" t="s">
        <v>13</v>
      </c>
      <c r="F4872">
        <v>3</v>
      </c>
      <c r="G4872" t="str">
        <f>VLOOKUP(D4872,Товары!A:I,3,0)</f>
        <v>Зеркальный шкаф Рица 80 со светильником правый цвет cерый/керамика</v>
      </c>
      <c r="H4872">
        <f>VLOOKUP(D4872,Товары!A:I,6,0)</f>
        <v>75</v>
      </c>
      <c r="I4872" t="str">
        <f>VLOOKUP(C4872,Магазины!A:C,3,0)</f>
        <v>Набережные Челны</v>
      </c>
      <c r="J4872">
        <f>VLOOKUP(D4872,Товары!A:I,4,0)</f>
        <v>9930</v>
      </c>
      <c r="K4872">
        <f t="shared" si="76"/>
        <v>29790</v>
      </c>
    </row>
    <row r="4873" spans="1:11" hidden="1" x14ac:dyDescent="0.25">
      <c r="A4873">
        <v>4872</v>
      </c>
      <c r="B4873" s="1">
        <v>45755</v>
      </c>
      <c r="C4873" t="s">
        <v>92</v>
      </c>
      <c r="D4873" t="s">
        <v>118</v>
      </c>
      <c r="E4873" t="s">
        <v>13</v>
      </c>
      <c r="F4873">
        <v>2</v>
      </c>
      <c r="G4873" t="str">
        <f>VLOOKUP(D4873,Товары!A:I,3,0)</f>
        <v>Тумба с раковиной  напол. Сохо 800 белый 2 ящика с умыв. Слим</v>
      </c>
      <c r="H4873">
        <f>VLOOKUP(D4873,Товары!A:I,6,0)</f>
        <v>85</v>
      </c>
      <c r="I4873" t="str">
        <f>VLOOKUP(C4873,Магазины!A:C,3,0)</f>
        <v>Кемерово</v>
      </c>
      <c r="J4873">
        <f>VLOOKUP(D4873,Товары!A:I,4,0)</f>
        <v>19575</v>
      </c>
      <c r="K4873">
        <f t="shared" si="76"/>
        <v>39150</v>
      </c>
    </row>
    <row r="4874" spans="1:11" hidden="1" x14ac:dyDescent="0.25">
      <c r="A4874">
        <v>4873</v>
      </c>
      <c r="B4874" s="1">
        <v>45748</v>
      </c>
      <c r="C4874" t="s">
        <v>30</v>
      </c>
      <c r="D4874" t="s">
        <v>47</v>
      </c>
      <c r="E4874" t="s">
        <v>8</v>
      </c>
      <c r="F4874">
        <v>1</v>
      </c>
      <c r="G4874" t="str">
        <f>VLOOKUP(D4874,Товары!A:I,3,0)</f>
        <v>Пенал напол. Кристалл 350 шато азур 2 двери</v>
      </c>
      <c r="H4874">
        <f>VLOOKUP(D4874,Товары!A:I,6,0)</f>
        <v>190</v>
      </c>
      <c r="I4874" t="str">
        <f>VLOOKUP(C4874,Магазины!A:C,3,0)</f>
        <v>Кемерово</v>
      </c>
      <c r="J4874">
        <f>VLOOKUP(D4874,Товары!A:I,4,0)</f>
        <v>15810</v>
      </c>
      <c r="K4874">
        <f t="shared" si="76"/>
        <v>15810</v>
      </c>
    </row>
    <row r="4875" spans="1:11" hidden="1" x14ac:dyDescent="0.25">
      <c r="A4875">
        <v>4874</v>
      </c>
      <c r="B4875" s="1">
        <v>45749</v>
      </c>
      <c r="C4875" t="s">
        <v>111</v>
      </c>
      <c r="D4875" t="s">
        <v>130</v>
      </c>
      <c r="E4875" t="s">
        <v>8</v>
      </c>
      <c r="F4875">
        <v>1</v>
      </c>
      <c r="G4875" t="str">
        <f>VLOOKUP(D4875,Товары!A:I,3,0)</f>
        <v>Пенал напол. Леон 400 форест 2 двери + 1 ящик</v>
      </c>
      <c r="H4875">
        <f>VLOOKUP(D4875,Товары!A:I,6,0)</f>
        <v>190</v>
      </c>
      <c r="I4875" t="str">
        <f>VLOOKUP(C4875,Магазины!A:C,3,0)</f>
        <v>Набережные Челны</v>
      </c>
      <c r="J4875">
        <f>VLOOKUP(D4875,Товары!A:I,4,0)</f>
        <v>18450</v>
      </c>
      <c r="K4875">
        <f t="shared" si="76"/>
        <v>18450</v>
      </c>
    </row>
    <row r="4876" spans="1:11" hidden="1" x14ac:dyDescent="0.25">
      <c r="A4876">
        <v>4875</v>
      </c>
      <c r="B4876" s="1">
        <v>45757</v>
      </c>
      <c r="C4876" t="s">
        <v>63</v>
      </c>
      <c r="D4876" t="s">
        <v>71</v>
      </c>
      <c r="E4876" t="s">
        <v>8</v>
      </c>
      <c r="F4876">
        <v>3</v>
      </c>
      <c r="G4876" t="str">
        <f>VLOOKUP(D4876,Товары!A:I,3,0)</f>
        <v>Тумба с раковиной  навес. Альба 600 мята 2 ящика с умыв. Океан</v>
      </c>
      <c r="H4876">
        <f>VLOOKUP(D4876,Товары!A:I,6,0)</f>
        <v>50</v>
      </c>
      <c r="I4876" t="str">
        <f>VLOOKUP(C4876,Магазины!A:C,3,0)</f>
        <v>Ставрополь</v>
      </c>
      <c r="J4876">
        <f>VLOOKUP(D4876,Товары!A:I,4,0)</f>
        <v>24810</v>
      </c>
      <c r="K4876">
        <f t="shared" si="76"/>
        <v>74430</v>
      </c>
    </row>
    <row r="4877" spans="1:11" hidden="1" x14ac:dyDescent="0.25">
      <c r="A4877">
        <v>4876</v>
      </c>
      <c r="B4877" s="1">
        <v>45757</v>
      </c>
      <c r="C4877" t="s">
        <v>48</v>
      </c>
      <c r="D4877" t="s">
        <v>101</v>
      </c>
      <c r="E4877" t="s">
        <v>13</v>
      </c>
      <c r="F4877">
        <v>1</v>
      </c>
      <c r="G4877" t="str">
        <f>VLOOKUP(D4877,Товары!A:I,3,0)</f>
        <v>Пенал напол. Сохо 400 белый 2 двери + 1 ящик</v>
      </c>
      <c r="H4877">
        <f>VLOOKUP(D4877,Товары!A:I,6,0)</f>
        <v>190</v>
      </c>
      <c r="I4877" t="str">
        <f>VLOOKUP(C4877,Магазины!A:C,3,0)</f>
        <v>Ставрополь</v>
      </c>
      <c r="J4877">
        <f>VLOOKUP(D4877,Товары!A:I,4,0)</f>
        <v>11040</v>
      </c>
      <c r="K4877">
        <f t="shared" si="76"/>
        <v>11040</v>
      </c>
    </row>
    <row r="4878" spans="1:11" hidden="1" x14ac:dyDescent="0.25">
      <c r="A4878">
        <v>4877</v>
      </c>
      <c r="B4878" s="1">
        <v>45752</v>
      </c>
      <c r="C4878" t="s">
        <v>54</v>
      </c>
      <c r="D4878" t="s">
        <v>56</v>
      </c>
      <c r="E4878" t="s">
        <v>8</v>
      </c>
      <c r="F4878">
        <v>3</v>
      </c>
      <c r="G4878" t="str">
        <f>VLOOKUP(D4878,Товары!A:I,3,0)</f>
        <v>Зеркальный шкаф Альба 80 со светильником правый цвет мята</v>
      </c>
      <c r="H4878">
        <f>VLOOKUP(D4878,Товары!A:I,6,0)</f>
        <v>75</v>
      </c>
      <c r="I4878" t="str">
        <f>VLOOKUP(C4878,Магазины!A:C,3,0)</f>
        <v>Ставрополь</v>
      </c>
      <c r="J4878">
        <f>VLOOKUP(D4878,Товары!A:I,4,0)</f>
        <v>9930</v>
      </c>
      <c r="K4878">
        <f t="shared" si="76"/>
        <v>29790</v>
      </c>
    </row>
    <row r="4879" spans="1:11" hidden="1" x14ac:dyDescent="0.25">
      <c r="A4879">
        <v>4878</v>
      </c>
      <c r="B4879" s="1">
        <v>45754</v>
      </c>
      <c r="C4879" t="s">
        <v>16</v>
      </c>
      <c r="D4879" t="s">
        <v>90</v>
      </c>
      <c r="E4879" t="s">
        <v>8</v>
      </c>
      <c r="F4879">
        <v>2</v>
      </c>
      <c r="G4879" t="str">
        <f>VLOOKUP(D4879,Товары!A:I,3,0)</f>
        <v>Пенал напол. Аква 350 белый 2 двери + 2 ящика</v>
      </c>
      <c r="H4879">
        <f>VLOOKUP(D4879,Товары!A:I,6,0)</f>
        <v>190</v>
      </c>
      <c r="I4879" t="str">
        <f>VLOOKUP(C4879,Магазины!A:C,3,0)</f>
        <v>Оренбург</v>
      </c>
      <c r="J4879">
        <f>VLOOKUP(D4879,Товары!A:I,4,0)</f>
        <v>10650</v>
      </c>
      <c r="K4879">
        <f t="shared" si="76"/>
        <v>21300</v>
      </c>
    </row>
    <row r="4880" spans="1:11" hidden="1" x14ac:dyDescent="0.25">
      <c r="A4880">
        <v>4879</v>
      </c>
      <c r="B4880" s="1">
        <v>45756</v>
      </c>
      <c r="C4880" t="s">
        <v>48</v>
      </c>
      <c r="D4880" t="s">
        <v>55</v>
      </c>
      <c r="E4880" t="s">
        <v>8</v>
      </c>
      <c r="F4880">
        <v>1</v>
      </c>
      <c r="G4880" t="str">
        <f>VLOOKUP(D4880,Товары!A:I,3,0)</f>
        <v>Тумба с раковиной  напол. Рица 600 cерый/керамика 2 ящика с умыв. Океан</v>
      </c>
      <c r="H4880">
        <f>VLOOKUP(D4880,Товары!A:I,6,0)</f>
        <v>80</v>
      </c>
      <c r="I4880" t="str">
        <f>VLOOKUP(C4880,Магазины!A:C,3,0)</f>
        <v>Ставрополь</v>
      </c>
      <c r="J4880">
        <f>VLOOKUP(D4880,Товары!A:I,4,0)</f>
        <v>25560</v>
      </c>
      <c r="K4880">
        <f t="shared" si="76"/>
        <v>25560</v>
      </c>
    </row>
    <row r="4881" spans="1:11" hidden="1" x14ac:dyDescent="0.25">
      <c r="A4881">
        <v>4880</v>
      </c>
      <c r="B4881" s="1">
        <v>45757</v>
      </c>
      <c r="C4881" t="s">
        <v>16</v>
      </c>
      <c r="D4881" t="s">
        <v>7</v>
      </c>
      <c r="E4881" t="s">
        <v>8</v>
      </c>
      <c r="F4881">
        <v>3</v>
      </c>
      <c r="G4881" t="str">
        <f>VLOOKUP(D4881,Товары!A:I,3,0)</f>
        <v>Пенал напол. Леон Риф 400 солярис/белый риф 2 двери + 1 ящик</v>
      </c>
      <c r="H4881">
        <f>VLOOKUP(D4881,Товары!A:I,6,0)</f>
        <v>190</v>
      </c>
      <c r="I4881" t="str">
        <f>VLOOKUP(C4881,Магазины!A:C,3,0)</f>
        <v>Оренбург</v>
      </c>
      <c r="J4881">
        <f>VLOOKUP(D4881,Товары!A:I,4,0)</f>
        <v>14490</v>
      </c>
      <c r="K4881">
        <f t="shared" si="76"/>
        <v>43470</v>
      </c>
    </row>
    <row r="4882" spans="1:11" hidden="1" x14ac:dyDescent="0.25">
      <c r="A4882">
        <v>4881</v>
      </c>
      <c r="B4882" s="1">
        <v>45752</v>
      </c>
      <c r="C4882" t="s">
        <v>18</v>
      </c>
      <c r="D4882" t="s">
        <v>25</v>
      </c>
      <c r="E4882" t="s">
        <v>13</v>
      </c>
      <c r="F4882">
        <v>2</v>
      </c>
      <c r="G4882" t="str">
        <f>VLOOKUP(D4882,Товары!A:I,3,0)</f>
        <v>Пенал напол. Леон 400 оникс 2 двери + 1 ящик</v>
      </c>
      <c r="H4882">
        <f>VLOOKUP(D4882,Товары!A:I,6,0)</f>
        <v>190</v>
      </c>
      <c r="I4882" t="str">
        <f>VLOOKUP(C4882,Магазины!A:C,3,0)</f>
        <v>Набережные Челны</v>
      </c>
      <c r="J4882">
        <f>VLOOKUP(D4882,Товары!A:I,4,0)</f>
        <v>18450</v>
      </c>
      <c r="K4882">
        <f t="shared" si="76"/>
        <v>36900</v>
      </c>
    </row>
    <row r="4883" spans="1:11" hidden="1" x14ac:dyDescent="0.25">
      <c r="A4883">
        <v>4882</v>
      </c>
      <c r="B4883" s="1">
        <v>45752</v>
      </c>
      <c r="C4883" t="s">
        <v>48</v>
      </c>
      <c r="D4883" t="s">
        <v>31</v>
      </c>
      <c r="E4883" t="s">
        <v>13</v>
      </c>
      <c r="F4883">
        <v>1</v>
      </c>
      <c r="G4883" t="str">
        <f>VLOOKUP(D4883,Товары!A:I,3,0)</f>
        <v>Пенал напол. Виктория 350 белый 2 двери</v>
      </c>
      <c r="H4883">
        <f>VLOOKUP(D4883,Товары!A:I,6,0)</f>
        <v>190</v>
      </c>
      <c r="I4883" t="str">
        <f>VLOOKUP(C4883,Магазины!A:C,3,0)</f>
        <v>Ставрополь</v>
      </c>
      <c r="J4883">
        <f>VLOOKUP(D4883,Товары!A:I,4,0)</f>
        <v>14085</v>
      </c>
      <c r="K4883">
        <f t="shared" si="76"/>
        <v>14085</v>
      </c>
    </row>
    <row r="4884" spans="1:11" hidden="1" x14ac:dyDescent="0.25">
      <c r="A4884">
        <v>4883</v>
      </c>
      <c r="B4884" s="1">
        <v>45749</v>
      </c>
      <c r="C4884" t="s">
        <v>14</v>
      </c>
      <c r="D4884" t="s">
        <v>74</v>
      </c>
      <c r="E4884" t="s">
        <v>8</v>
      </c>
      <c r="F4884">
        <v>2</v>
      </c>
      <c r="G4884" t="str">
        <f>VLOOKUP(D4884,Товары!A:I,3,0)</f>
        <v>Тумба с раковиной  напол. Альба 800 суфле 2 ящика с умыв. Слим</v>
      </c>
      <c r="H4884">
        <f>VLOOKUP(D4884,Товары!A:I,6,0)</f>
        <v>80</v>
      </c>
      <c r="I4884" t="str">
        <f>VLOOKUP(C4884,Магазины!A:C,3,0)</f>
        <v>Оренбург</v>
      </c>
      <c r="J4884">
        <f>VLOOKUP(D4884,Товары!A:I,4,0)</f>
        <v>29340</v>
      </c>
      <c r="K4884">
        <f t="shared" si="76"/>
        <v>58680</v>
      </c>
    </row>
    <row r="4885" spans="1:11" hidden="1" x14ac:dyDescent="0.25">
      <c r="A4885">
        <v>4884</v>
      </c>
      <c r="B4885" s="1">
        <v>45754</v>
      </c>
      <c r="C4885" t="s">
        <v>28</v>
      </c>
      <c r="D4885" t="s">
        <v>109</v>
      </c>
      <c r="E4885" t="s">
        <v>8</v>
      </c>
      <c r="F4885">
        <v>2</v>
      </c>
      <c r="G4885" t="str">
        <f>VLOOKUP(D4885,Товары!A:I,3,0)</f>
        <v>Тумба с раковиной  навес. Альба 600 антрацит 2 ящика с умыв. Океан</v>
      </c>
      <c r="H4885">
        <f>VLOOKUP(D4885,Товары!A:I,6,0)</f>
        <v>50</v>
      </c>
      <c r="I4885" t="str">
        <f>VLOOKUP(C4885,Магазины!A:C,3,0)</f>
        <v>Набережные Челны</v>
      </c>
      <c r="J4885">
        <f>VLOOKUP(D4885,Товары!A:I,4,0)</f>
        <v>24810</v>
      </c>
      <c r="K4885">
        <f t="shared" si="76"/>
        <v>49620</v>
      </c>
    </row>
    <row r="4886" spans="1:11" hidden="1" x14ac:dyDescent="0.25">
      <c r="A4886">
        <v>4885</v>
      </c>
      <c r="B4886" s="1">
        <v>45750</v>
      </c>
      <c r="C4886" t="s">
        <v>11</v>
      </c>
      <c r="D4886" t="s">
        <v>107</v>
      </c>
      <c r="E4886" t="s">
        <v>8</v>
      </c>
      <c r="F4886">
        <v>3</v>
      </c>
      <c r="G4886" t="str">
        <f>VLOOKUP(D4886,Товары!A:I,3,0)</f>
        <v>Комод Аква 35 напольный 1 дверь белый правый</v>
      </c>
      <c r="H4886">
        <f>VLOOKUP(D4886,Товары!A:I,6,0)</f>
        <v>90</v>
      </c>
      <c r="I4886" t="str">
        <f>VLOOKUP(C4886,Магазины!A:C,3,0)</f>
        <v>Кемерово</v>
      </c>
      <c r="J4886">
        <f>VLOOKUP(D4886,Товары!A:I,4,0)</f>
        <v>6705</v>
      </c>
      <c r="K4886">
        <f t="shared" si="76"/>
        <v>20115</v>
      </c>
    </row>
    <row r="4887" spans="1:11" hidden="1" x14ac:dyDescent="0.25">
      <c r="A4887">
        <v>4886</v>
      </c>
      <c r="B4887" s="1">
        <v>45754</v>
      </c>
      <c r="C4887" t="s">
        <v>48</v>
      </c>
      <c r="D4887" t="s">
        <v>122</v>
      </c>
      <c r="E4887" t="s">
        <v>8</v>
      </c>
      <c r="F4887">
        <v>3</v>
      </c>
      <c r="G4887" t="str">
        <f>VLOOKUP(D4887,Товары!A:I,3,0)</f>
        <v>Тумба с раковиной  навес. Кристалл 600 шато азур 2 ящика с умыв. Океан</v>
      </c>
      <c r="H4887">
        <f>VLOOKUP(D4887,Товары!A:I,6,0)</f>
        <v>55</v>
      </c>
      <c r="I4887" t="str">
        <f>VLOOKUP(C4887,Магазины!A:C,3,0)</f>
        <v>Ставрополь</v>
      </c>
      <c r="J4887">
        <f>VLOOKUP(D4887,Товары!A:I,4,0)</f>
        <v>21960</v>
      </c>
      <c r="K4887">
        <f t="shared" si="76"/>
        <v>65880</v>
      </c>
    </row>
    <row r="4888" spans="1:11" hidden="1" x14ac:dyDescent="0.25">
      <c r="A4888">
        <v>4887</v>
      </c>
      <c r="B4888" s="1">
        <v>45754</v>
      </c>
      <c r="C4888" t="s">
        <v>58</v>
      </c>
      <c r="D4888" t="s">
        <v>51</v>
      </c>
      <c r="E4888" t="s">
        <v>13</v>
      </c>
      <c r="F4888">
        <v>1</v>
      </c>
      <c r="G4888" t="str">
        <f>VLOOKUP(D4888,Товары!A:I,3,0)</f>
        <v>Зеркальный шкаф Альба 80 со светильником правый цвет суфле</v>
      </c>
      <c r="H4888">
        <f>VLOOKUP(D4888,Товары!A:I,6,0)</f>
        <v>75</v>
      </c>
      <c r="I4888" t="str">
        <f>VLOOKUP(C4888,Магазины!A:C,3,0)</f>
        <v>Ставрополь</v>
      </c>
      <c r="J4888">
        <f>VLOOKUP(D4888,Товары!A:I,4,0)</f>
        <v>9930</v>
      </c>
      <c r="K4888">
        <f t="shared" si="76"/>
        <v>9930</v>
      </c>
    </row>
    <row r="4889" spans="1:11" hidden="1" x14ac:dyDescent="0.25">
      <c r="A4889">
        <v>4888</v>
      </c>
      <c r="B4889" s="1">
        <v>45749</v>
      </c>
      <c r="C4889" t="s">
        <v>58</v>
      </c>
      <c r="D4889" t="s">
        <v>76</v>
      </c>
      <c r="E4889" t="s">
        <v>13</v>
      </c>
      <c r="F4889">
        <v>2</v>
      </c>
      <c r="G4889" t="str">
        <f>VLOOKUP(D4889,Товары!A:I,3,0)</f>
        <v>Тумба с раковиной  напол. Леон 600 оникс 2 ящика с умыв. Слим</v>
      </c>
      <c r="H4889">
        <f>VLOOKUP(D4889,Товары!A:I,6,0)</f>
        <v>80</v>
      </c>
      <c r="I4889" t="str">
        <f>VLOOKUP(C4889,Магазины!A:C,3,0)</f>
        <v>Ставрополь</v>
      </c>
      <c r="J4889">
        <f>VLOOKUP(D4889,Товары!A:I,4,0)</f>
        <v>25860</v>
      </c>
      <c r="K4889">
        <f t="shared" si="76"/>
        <v>51720</v>
      </c>
    </row>
    <row r="4890" spans="1:11" hidden="1" x14ac:dyDescent="0.25">
      <c r="A4890">
        <v>4889</v>
      </c>
      <c r="B4890" s="1">
        <v>45753</v>
      </c>
      <c r="C4890" t="s">
        <v>11</v>
      </c>
      <c r="D4890" t="s">
        <v>121</v>
      </c>
      <c r="E4890" t="s">
        <v>13</v>
      </c>
      <c r="F4890">
        <v>1</v>
      </c>
      <c r="G4890" t="str">
        <f>VLOOKUP(D4890,Товары!A:I,3,0)</f>
        <v>Тумба с раковиной  напол. Куба Риф 600 белый 2 двери с умыв. Como</v>
      </c>
      <c r="H4890">
        <f>VLOOKUP(D4890,Товары!A:I,6,0)</f>
        <v>85</v>
      </c>
      <c r="I4890" t="str">
        <f>VLOOKUP(C4890,Магазины!A:C,3,0)</f>
        <v>Кемерово</v>
      </c>
      <c r="J4890">
        <f>VLOOKUP(D4890,Товары!A:I,4,0)</f>
        <v>13695</v>
      </c>
      <c r="K4890">
        <f t="shared" si="76"/>
        <v>13695</v>
      </c>
    </row>
    <row r="4891" spans="1:11" hidden="1" x14ac:dyDescent="0.25">
      <c r="A4891">
        <v>4890</v>
      </c>
      <c r="B4891" s="1">
        <v>45757</v>
      </c>
      <c r="C4891" t="s">
        <v>111</v>
      </c>
      <c r="D4891" t="s">
        <v>32</v>
      </c>
      <c r="E4891" t="s">
        <v>8</v>
      </c>
      <c r="F4891">
        <v>3</v>
      </c>
      <c r="G4891" t="str">
        <f>VLOOKUP(D4891,Товары!A:I,3,0)</f>
        <v>Тумба с раковиной  напол. Леон Риф 700 солярис/белый риф 2 ящика с умыв. Слим</v>
      </c>
      <c r="H4891">
        <f>VLOOKUP(D4891,Товары!A:I,6,0)</f>
        <v>85</v>
      </c>
      <c r="I4891" t="str">
        <f>VLOOKUP(C4891,Магазины!A:C,3,0)</f>
        <v>Набережные Челны</v>
      </c>
      <c r="J4891">
        <f>VLOOKUP(D4891,Товары!A:I,4,0)</f>
        <v>26460</v>
      </c>
      <c r="K4891">
        <f t="shared" si="76"/>
        <v>79380</v>
      </c>
    </row>
    <row r="4892" spans="1:11" hidden="1" x14ac:dyDescent="0.25">
      <c r="A4892">
        <v>4891</v>
      </c>
      <c r="B4892" s="1">
        <v>45752</v>
      </c>
      <c r="C4892" t="s">
        <v>54</v>
      </c>
      <c r="D4892" t="s">
        <v>25</v>
      </c>
      <c r="E4892" t="s">
        <v>8</v>
      </c>
      <c r="F4892">
        <v>3</v>
      </c>
      <c r="G4892" t="str">
        <f>VLOOKUP(D4892,Товары!A:I,3,0)</f>
        <v>Пенал напол. Леон 400 оникс 2 двери + 1 ящик</v>
      </c>
      <c r="H4892">
        <f>VLOOKUP(D4892,Товары!A:I,6,0)</f>
        <v>190</v>
      </c>
      <c r="I4892" t="str">
        <f>VLOOKUP(C4892,Магазины!A:C,3,0)</f>
        <v>Ставрополь</v>
      </c>
      <c r="J4892">
        <f>VLOOKUP(D4892,Товары!A:I,4,0)</f>
        <v>18450</v>
      </c>
      <c r="K4892">
        <f t="shared" si="76"/>
        <v>55350</v>
      </c>
    </row>
    <row r="4893" spans="1:11" hidden="1" x14ac:dyDescent="0.25">
      <c r="A4893">
        <v>4892</v>
      </c>
      <c r="B4893" s="1">
        <v>45756</v>
      </c>
      <c r="C4893" t="s">
        <v>43</v>
      </c>
      <c r="D4893" t="s">
        <v>116</v>
      </c>
      <c r="E4893" t="s">
        <v>8</v>
      </c>
      <c r="F4893">
        <v>3</v>
      </c>
      <c r="G4893" t="str">
        <f>VLOOKUP(D4893,Товары!A:I,3,0)</f>
        <v>Зеркало Нева 60 дуб/белый со светильником</v>
      </c>
      <c r="H4893">
        <f>VLOOKUP(D4893,Товары!A:I,6,0)</f>
        <v>80</v>
      </c>
      <c r="I4893" t="str">
        <f>VLOOKUP(C4893,Магазины!A:C,3,0)</f>
        <v>Набережные Челны</v>
      </c>
      <c r="J4893">
        <f>VLOOKUP(D4893,Товары!A:I,4,0)</f>
        <v>5100</v>
      </c>
      <c r="K4893">
        <f t="shared" si="76"/>
        <v>15300</v>
      </c>
    </row>
    <row r="4894" spans="1:11" hidden="1" x14ac:dyDescent="0.25">
      <c r="A4894">
        <v>4893</v>
      </c>
      <c r="B4894" s="1">
        <v>45754</v>
      </c>
      <c r="C4894" t="s">
        <v>58</v>
      </c>
      <c r="D4894" t="s">
        <v>7</v>
      </c>
      <c r="E4894" t="s">
        <v>8</v>
      </c>
      <c r="F4894">
        <v>3</v>
      </c>
      <c r="G4894" t="str">
        <f>VLOOKUP(D4894,Товары!A:I,3,0)</f>
        <v>Пенал напол. Леон Риф 400 солярис/белый риф 2 двери + 1 ящик</v>
      </c>
      <c r="H4894">
        <f>VLOOKUP(D4894,Товары!A:I,6,0)</f>
        <v>190</v>
      </c>
      <c r="I4894" t="str">
        <f>VLOOKUP(C4894,Магазины!A:C,3,0)</f>
        <v>Ставрополь</v>
      </c>
      <c r="J4894">
        <f>VLOOKUP(D4894,Товары!A:I,4,0)</f>
        <v>14490</v>
      </c>
      <c r="K4894">
        <f t="shared" si="76"/>
        <v>43470</v>
      </c>
    </row>
    <row r="4895" spans="1:11" hidden="1" x14ac:dyDescent="0.25">
      <c r="A4895">
        <v>4894</v>
      </c>
      <c r="B4895" s="1">
        <v>45752</v>
      </c>
      <c r="C4895" t="s">
        <v>103</v>
      </c>
      <c r="D4895" t="s">
        <v>115</v>
      </c>
      <c r="E4895" t="s">
        <v>8</v>
      </c>
      <c r="F4895">
        <v>3</v>
      </c>
      <c r="G4895" t="str">
        <f>VLOOKUP(D4895,Товары!A:I,3,0)</f>
        <v>Тумба под стиральную машину Куба Риф 57 напольная 2 ящика под ст/маш, без умывальника /под Marshall 120 Белый</v>
      </c>
      <c r="H4895">
        <f>VLOOKUP(D4895,Товары!A:I,6,0)</f>
        <v>85</v>
      </c>
      <c r="I4895" t="str">
        <f>VLOOKUP(C4895,Магазины!A:C,3,0)</f>
        <v>Ставрополь</v>
      </c>
      <c r="J4895">
        <f>VLOOKUP(D4895,Товары!A:I,4,0)</f>
        <v>10530</v>
      </c>
      <c r="K4895">
        <f t="shared" si="76"/>
        <v>31590</v>
      </c>
    </row>
    <row r="4896" spans="1:11" hidden="1" x14ac:dyDescent="0.25">
      <c r="A4896">
        <v>4895</v>
      </c>
      <c r="B4896" s="1">
        <v>45754</v>
      </c>
      <c r="C4896" t="s">
        <v>6</v>
      </c>
      <c r="D4896" t="s">
        <v>93</v>
      </c>
      <c r="E4896" t="s">
        <v>8</v>
      </c>
      <c r="F4896">
        <v>1</v>
      </c>
      <c r="G4896" t="str">
        <f>VLOOKUP(D4896,Товары!A:I,3,0)</f>
        <v>Тумба с раковиной  напол. Леон Риф 800 солярис/белый риф 2 ящика с умыв. Слим</v>
      </c>
      <c r="H4896">
        <f>VLOOKUP(D4896,Товары!A:I,6,0)</f>
        <v>80</v>
      </c>
      <c r="I4896" t="str">
        <f>VLOOKUP(C4896,Магазины!A:C,3,0)</f>
        <v>Оренбург</v>
      </c>
      <c r="J4896">
        <f>VLOOKUP(D4896,Товары!A:I,4,0)</f>
        <v>29340</v>
      </c>
      <c r="K4896">
        <f t="shared" si="76"/>
        <v>29340</v>
      </c>
    </row>
    <row r="4897" spans="1:11" hidden="1" x14ac:dyDescent="0.25">
      <c r="A4897">
        <v>4896</v>
      </c>
      <c r="B4897" s="1">
        <v>45757</v>
      </c>
      <c r="C4897" t="s">
        <v>58</v>
      </c>
      <c r="D4897" t="s">
        <v>98</v>
      </c>
      <c r="E4897" t="s">
        <v>8</v>
      </c>
      <c r="F4897">
        <v>2</v>
      </c>
      <c r="G4897" t="str">
        <f>VLOOKUP(D4897,Товары!A:I,3,0)</f>
        <v>Тумба с раковиной  напол. Рица 800 cерый/керамика 2 ящика с умыв. Слим</v>
      </c>
      <c r="H4897">
        <f>VLOOKUP(D4897,Товары!A:I,6,0)</f>
        <v>80</v>
      </c>
      <c r="I4897" t="str">
        <f>VLOOKUP(C4897,Магазины!A:C,3,0)</f>
        <v>Ставрополь</v>
      </c>
      <c r="J4897">
        <f>VLOOKUP(D4897,Товары!A:I,4,0)</f>
        <v>28980</v>
      </c>
      <c r="K4897">
        <f t="shared" si="76"/>
        <v>57960</v>
      </c>
    </row>
    <row r="4898" spans="1:11" hidden="1" x14ac:dyDescent="0.25">
      <c r="A4898">
        <v>4897</v>
      </c>
      <c r="B4898" s="1">
        <v>45754</v>
      </c>
      <c r="C4898" t="s">
        <v>54</v>
      </c>
      <c r="D4898" t="s">
        <v>15</v>
      </c>
      <c r="E4898" t="s">
        <v>8</v>
      </c>
      <c r="F4898">
        <v>1</v>
      </c>
      <c r="G4898" t="str">
        <f>VLOOKUP(D4898,Товары!A:I,3,0)</f>
        <v>Зеркальный шкаф Кристалл 60 со светильником правый, ручка кнопка дуб цвет Шато Азур</v>
      </c>
      <c r="H4898">
        <f>VLOOKUP(D4898,Товары!A:I,6,0)</f>
        <v>75</v>
      </c>
      <c r="I4898" t="str">
        <f>VLOOKUP(C4898,Магазины!A:C,3,0)</f>
        <v>Ставрополь</v>
      </c>
      <c r="J4898">
        <f>VLOOKUP(D4898,Товары!A:I,4,0)</f>
        <v>9195</v>
      </c>
      <c r="K4898">
        <f t="shared" si="76"/>
        <v>9195</v>
      </c>
    </row>
    <row r="4899" spans="1:11" hidden="1" x14ac:dyDescent="0.25">
      <c r="A4899">
        <v>4898</v>
      </c>
      <c r="B4899" s="1">
        <v>45757</v>
      </c>
      <c r="C4899" t="s">
        <v>14</v>
      </c>
      <c r="D4899" t="s">
        <v>100</v>
      </c>
      <c r="E4899" t="s">
        <v>8</v>
      </c>
      <c r="F4899">
        <v>3</v>
      </c>
      <c r="G4899" t="str">
        <f>VLOOKUP(D4899,Товары!A:I,3,0)</f>
        <v>Тумба с раковиной  навес. Альба 800 мята 1 ящик с умыв. Слим</v>
      </c>
      <c r="H4899">
        <f>VLOOKUP(D4899,Товары!A:I,6,0)</f>
        <v>45</v>
      </c>
      <c r="I4899" t="str">
        <f>VLOOKUP(C4899,Магазины!A:C,3,0)</f>
        <v>Оренбург</v>
      </c>
      <c r="J4899">
        <f>VLOOKUP(D4899,Товары!A:I,4,0)</f>
        <v>21630</v>
      </c>
      <c r="K4899">
        <f t="shared" si="76"/>
        <v>64890</v>
      </c>
    </row>
    <row r="4900" spans="1:11" hidden="1" x14ac:dyDescent="0.25">
      <c r="A4900">
        <v>4899</v>
      </c>
      <c r="B4900" s="1">
        <v>45753</v>
      </c>
      <c r="C4900" t="s">
        <v>22</v>
      </c>
      <c r="D4900" t="s">
        <v>95</v>
      </c>
      <c r="E4900" t="s">
        <v>13</v>
      </c>
      <c r="F4900">
        <v>3</v>
      </c>
      <c r="G4900" t="str">
        <f>VLOOKUP(D4900,Товары!A:I,3,0)</f>
        <v>Тумба с раковиной  напол. Рица 600 антрацит 2 ящика с умыв. Океан</v>
      </c>
      <c r="H4900">
        <f>VLOOKUP(D4900,Товары!A:I,6,0)</f>
        <v>80</v>
      </c>
      <c r="I4900" t="str">
        <f>VLOOKUP(C4900,Магазины!A:C,3,0)</f>
        <v>Кемерово</v>
      </c>
      <c r="J4900">
        <f>VLOOKUP(D4900,Товары!A:I,4,0)</f>
        <v>25560</v>
      </c>
      <c r="K4900">
        <f t="shared" si="76"/>
        <v>76680</v>
      </c>
    </row>
    <row r="4901" spans="1:11" hidden="1" x14ac:dyDescent="0.25">
      <c r="A4901">
        <v>4900</v>
      </c>
      <c r="B4901" s="1">
        <v>45756</v>
      </c>
      <c r="C4901" t="s">
        <v>20</v>
      </c>
      <c r="D4901" t="s">
        <v>122</v>
      </c>
      <c r="E4901" t="s">
        <v>8</v>
      </c>
      <c r="F4901">
        <v>2</v>
      </c>
      <c r="G4901" t="str">
        <f>VLOOKUP(D4901,Товары!A:I,3,0)</f>
        <v>Тумба с раковиной  навес. Кристалл 600 шато азур 2 ящика с умыв. Океан</v>
      </c>
      <c r="H4901">
        <f>VLOOKUP(D4901,Товары!A:I,6,0)</f>
        <v>55</v>
      </c>
      <c r="I4901" t="str">
        <f>VLOOKUP(C4901,Магазины!A:C,3,0)</f>
        <v>Оренбург</v>
      </c>
      <c r="J4901">
        <f>VLOOKUP(D4901,Товары!A:I,4,0)</f>
        <v>21960</v>
      </c>
      <c r="K4901">
        <f t="shared" si="76"/>
        <v>43920</v>
      </c>
    </row>
    <row r="4902" spans="1:11" hidden="1" x14ac:dyDescent="0.25">
      <c r="A4902">
        <v>4901</v>
      </c>
      <c r="B4902" s="1">
        <v>45750</v>
      </c>
      <c r="C4902" t="s">
        <v>26</v>
      </c>
      <c r="D4902" t="s">
        <v>81</v>
      </c>
      <c r="E4902" t="s">
        <v>8</v>
      </c>
      <c r="F4902">
        <v>2</v>
      </c>
      <c r="G4902" t="str">
        <f>VLOOKUP(D4902,Товары!A:I,3,0)</f>
        <v>Тумба с раковиной  навес. Рица 600 cерый/керамика 1 ящик + ниша 1 с умыв. Океан</v>
      </c>
      <c r="H4902">
        <f>VLOOKUP(D4902,Товары!A:I,6,0)</f>
        <v>60</v>
      </c>
      <c r="I4902" t="str">
        <f>VLOOKUP(C4902,Магазины!A:C,3,0)</f>
        <v>Оренбург</v>
      </c>
      <c r="J4902">
        <f>VLOOKUP(D4902,Товары!A:I,4,0)</f>
        <v>18900</v>
      </c>
      <c r="K4902">
        <f t="shared" si="76"/>
        <v>37800</v>
      </c>
    </row>
    <row r="4903" spans="1:11" hidden="1" x14ac:dyDescent="0.25">
      <c r="A4903">
        <v>4902</v>
      </c>
      <c r="B4903" s="1">
        <v>45751</v>
      </c>
      <c r="C4903" t="s">
        <v>11</v>
      </c>
      <c r="D4903" t="s">
        <v>102</v>
      </c>
      <c r="E4903" t="s">
        <v>8</v>
      </c>
      <c r="F4903">
        <v>2</v>
      </c>
      <c r="G4903" t="str">
        <f>VLOOKUP(D4903,Товары!A:I,3,0)</f>
        <v>Тумба с раковиной  напол. Леон Риф 1000 солярис/белый риф 2 ящика с умыв. Слим</v>
      </c>
      <c r="H4903">
        <f>VLOOKUP(D4903,Товары!A:I,6,0)</f>
        <v>85</v>
      </c>
      <c r="I4903" t="str">
        <f>VLOOKUP(C4903,Магазины!A:C,3,0)</f>
        <v>Кемерово</v>
      </c>
      <c r="J4903">
        <f>VLOOKUP(D4903,Товары!A:I,4,0)</f>
        <v>32085</v>
      </c>
      <c r="K4903">
        <f t="shared" si="76"/>
        <v>64170</v>
      </c>
    </row>
    <row r="4904" spans="1:11" hidden="1" x14ac:dyDescent="0.25">
      <c r="A4904">
        <v>4903</v>
      </c>
      <c r="B4904" s="1">
        <v>45754</v>
      </c>
      <c r="C4904" t="s">
        <v>92</v>
      </c>
      <c r="D4904" t="s">
        <v>116</v>
      </c>
      <c r="E4904" t="s">
        <v>13</v>
      </c>
      <c r="F4904">
        <v>2</v>
      </c>
      <c r="G4904" t="str">
        <f>VLOOKUP(D4904,Товары!A:I,3,0)</f>
        <v>Зеркало Нева 60 дуб/белый со светильником</v>
      </c>
      <c r="H4904">
        <f>VLOOKUP(D4904,Товары!A:I,6,0)</f>
        <v>80</v>
      </c>
      <c r="I4904" t="str">
        <f>VLOOKUP(C4904,Магазины!A:C,3,0)</f>
        <v>Кемерово</v>
      </c>
      <c r="J4904">
        <f>VLOOKUP(D4904,Товары!A:I,4,0)</f>
        <v>5100</v>
      </c>
      <c r="K4904">
        <f t="shared" si="76"/>
        <v>10200</v>
      </c>
    </row>
    <row r="4905" spans="1:11" hidden="1" x14ac:dyDescent="0.25">
      <c r="A4905">
        <v>4904</v>
      </c>
      <c r="B4905" s="1">
        <v>45755</v>
      </c>
      <c r="C4905" t="s">
        <v>28</v>
      </c>
      <c r="D4905" t="s">
        <v>124</v>
      </c>
      <c r="E4905" t="s">
        <v>13</v>
      </c>
      <c r="F4905">
        <v>3</v>
      </c>
      <c r="G4905" t="str">
        <f>VLOOKUP(D4905,Товары!A:I,3,0)</f>
        <v>Тумба с раковиной  напол. Леон 600 оникс 2 ящика с умыв. Океан</v>
      </c>
      <c r="H4905">
        <f>VLOOKUP(D4905,Товары!A:I,6,0)</f>
        <v>80</v>
      </c>
      <c r="I4905" t="str">
        <f>VLOOKUP(C4905,Магазины!A:C,3,0)</f>
        <v>Набережные Челны</v>
      </c>
      <c r="J4905">
        <f>VLOOKUP(D4905,Товары!A:I,4,0)</f>
        <v>25860</v>
      </c>
      <c r="K4905">
        <f t="shared" si="76"/>
        <v>77580</v>
      </c>
    </row>
    <row r="4906" spans="1:11" hidden="1" x14ac:dyDescent="0.25">
      <c r="A4906">
        <v>4905</v>
      </c>
      <c r="B4906" s="1">
        <v>45756</v>
      </c>
      <c r="C4906" t="s">
        <v>28</v>
      </c>
      <c r="D4906" t="s">
        <v>116</v>
      </c>
      <c r="E4906" t="s">
        <v>13</v>
      </c>
      <c r="F4906">
        <v>2</v>
      </c>
      <c r="G4906" t="str">
        <f>VLOOKUP(D4906,Товары!A:I,3,0)</f>
        <v>Зеркало Нева 60 дуб/белый со светильником</v>
      </c>
      <c r="H4906">
        <f>VLOOKUP(D4906,Товары!A:I,6,0)</f>
        <v>80</v>
      </c>
      <c r="I4906" t="str">
        <f>VLOOKUP(C4906,Магазины!A:C,3,0)</f>
        <v>Набережные Челны</v>
      </c>
      <c r="J4906">
        <f>VLOOKUP(D4906,Товары!A:I,4,0)</f>
        <v>5100</v>
      </c>
      <c r="K4906">
        <f t="shared" si="76"/>
        <v>10200</v>
      </c>
    </row>
    <row r="4907" spans="1:11" hidden="1" x14ac:dyDescent="0.25">
      <c r="A4907">
        <v>4906</v>
      </c>
      <c r="B4907" s="1">
        <v>45749</v>
      </c>
      <c r="C4907" t="s">
        <v>28</v>
      </c>
      <c r="D4907" t="s">
        <v>120</v>
      </c>
      <c r="E4907" t="s">
        <v>13</v>
      </c>
      <c r="F4907">
        <v>1</v>
      </c>
      <c r="G4907" t="str">
        <f>VLOOKUP(D4907,Товары!A:I,3,0)</f>
        <v>Зеркальный шкаф Альба 60 со светильником правый цвет антрацит</v>
      </c>
      <c r="H4907">
        <f>VLOOKUP(D4907,Товары!A:I,6,0)</f>
        <v>75</v>
      </c>
      <c r="I4907" t="str">
        <f>VLOOKUP(C4907,Магазины!A:C,3,0)</f>
        <v>Набережные Челны</v>
      </c>
      <c r="J4907">
        <f>VLOOKUP(D4907,Товары!A:I,4,0)</f>
        <v>8910</v>
      </c>
      <c r="K4907">
        <f t="shared" si="76"/>
        <v>8910</v>
      </c>
    </row>
    <row r="4908" spans="1:11" hidden="1" x14ac:dyDescent="0.25">
      <c r="A4908">
        <v>4907</v>
      </c>
      <c r="B4908" s="1">
        <v>45755</v>
      </c>
      <c r="C4908" t="s">
        <v>48</v>
      </c>
      <c r="D4908" t="s">
        <v>27</v>
      </c>
      <c r="E4908" t="s">
        <v>8</v>
      </c>
      <c r="F4908">
        <v>1</v>
      </c>
      <c r="G4908" t="str">
        <f>VLOOKUP(D4908,Товары!A:I,3,0)</f>
        <v>Тумба с раковиной  навес. Виктория 800 белый 2 ящика с умыв. Слим</v>
      </c>
      <c r="H4908">
        <f>VLOOKUP(D4908,Товары!A:I,6,0)</f>
        <v>60</v>
      </c>
      <c r="I4908" t="str">
        <f>VLOOKUP(C4908,Магазины!A:C,3,0)</f>
        <v>Ставрополь</v>
      </c>
      <c r="J4908">
        <f>VLOOKUP(D4908,Товары!A:I,4,0)</f>
        <v>25290</v>
      </c>
      <c r="K4908">
        <f t="shared" si="76"/>
        <v>25290</v>
      </c>
    </row>
    <row r="4909" spans="1:11" hidden="1" x14ac:dyDescent="0.25">
      <c r="A4909">
        <v>4908</v>
      </c>
      <c r="B4909" s="1">
        <v>45748</v>
      </c>
      <c r="C4909" t="s">
        <v>11</v>
      </c>
      <c r="D4909" t="s">
        <v>46</v>
      </c>
      <c r="E4909" t="s">
        <v>8</v>
      </c>
      <c r="F4909">
        <v>3</v>
      </c>
      <c r="G4909" t="str">
        <f>VLOOKUP(D4909,Товары!A:I,3,0)</f>
        <v>Тумба с раковиной  напол. Сохо 700 белый 2 ящика с умыв. Слим</v>
      </c>
      <c r="H4909">
        <f>VLOOKUP(D4909,Товары!A:I,6,0)</f>
        <v>85</v>
      </c>
      <c r="I4909" t="str">
        <f>VLOOKUP(C4909,Магазины!A:C,3,0)</f>
        <v>Кемерово</v>
      </c>
      <c r="J4909">
        <f>VLOOKUP(D4909,Товары!A:I,4,0)</f>
        <v>18405</v>
      </c>
      <c r="K4909">
        <f t="shared" si="76"/>
        <v>55215</v>
      </c>
    </row>
    <row r="4910" spans="1:11" hidden="1" x14ac:dyDescent="0.25">
      <c r="A4910">
        <v>4909</v>
      </c>
      <c r="B4910" s="1">
        <v>45756</v>
      </c>
      <c r="C4910" t="s">
        <v>16</v>
      </c>
      <c r="D4910" t="s">
        <v>121</v>
      </c>
      <c r="E4910" t="s">
        <v>13</v>
      </c>
      <c r="F4910">
        <v>1</v>
      </c>
      <c r="G4910" t="str">
        <f>VLOOKUP(D4910,Товары!A:I,3,0)</f>
        <v>Тумба с раковиной  напол. Куба Риф 600 белый 2 двери с умыв. Como</v>
      </c>
      <c r="H4910">
        <f>VLOOKUP(D4910,Товары!A:I,6,0)</f>
        <v>85</v>
      </c>
      <c r="I4910" t="str">
        <f>VLOOKUP(C4910,Магазины!A:C,3,0)</f>
        <v>Оренбург</v>
      </c>
      <c r="J4910">
        <f>VLOOKUP(D4910,Товары!A:I,4,0)</f>
        <v>13695</v>
      </c>
      <c r="K4910">
        <f t="shared" si="76"/>
        <v>13695</v>
      </c>
    </row>
    <row r="4911" spans="1:11" hidden="1" x14ac:dyDescent="0.25">
      <c r="A4911">
        <v>4910</v>
      </c>
      <c r="B4911" s="1">
        <v>45752</v>
      </c>
      <c r="C4911" t="s">
        <v>57</v>
      </c>
      <c r="D4911" t="s">
        <v>85</v>
      </c>
      <c r="E4911" t="s">
        <v>13</v>
      </c>
      <c r="F4911">
        <v>1</v>
      </c>
      <c r="G4911" t="str">
        <f>VLOOKUP(D4911,Товары!A:I,3,0)</f>
        <v>Пенал напол. Аква 450 белый 2 двери + 2 ящика + корзина</v>
      </c>
      <c r="H4911">
        <f>VLOOKUP(D4911,Товары!A:I,6,0)</f>
        <v>190</v>
      </c>
      <c r="I4911" t="str">
        <f>VLOOKUP(C4911,Магазины!A:C,3,0)</f>
        <v>Оренбург</v>
      </c>
      <c r="J4911">
        <f>VLOOKUP(D4911,Товары!A:I,4,0)</f>
        <v>13335</v>
      </c>
      <c r="K4911">
        <f t="shared" si="76"/>
        <v>13335</v>
      </c>
    </row>
    <row r="4912" spans="1:11" hidden="1" x14ac:dyDescent="0.25">
      <c r="A4912">
        <v>4911</v>
      </c>
      <c r="B4912" s="1">
        <v>45753</v>
      </c>
      <c r="C4912" t="s">
        <v>22</v>
      </c>
      <c r="D4912" t="s">
        <v>102</v>
      </c>
      <c r="E4912" t="s">
        <v>8</v>
      </c>
      <c r="F4912">
        <v>1</v>
      </c>
      <c r="G4912" t="str">
        <f>VLOOKUP(D4912,Товары!A:I,3,0)</f>
        <v>Тумба с раковиной  напол. Леон Риф 1000 солярис/белый риф 2 ящика с умыв. Слим</v>
      </c>
      <c r="H4912">
        <f>VLOOKUP(D4912,Товары!A:I,6,0)</f>
        <v>85</v>
      </c>
      <c r="I4912" t="str">
        <f>VLOOKUP(C4912,Магазины!A:C,3,0)</f>
        <v>Кемерово</v>
      </c>
      <c r="J4912">
        <f>VLOOKUP(D4912,Товары!A:I,4,0)</f>
        <v>32085</v>
      </c>
      <c r="K4912">
        <f t="shared" si="76"/>
        <v>32085</v>
      </c>
    </row>
    <row r="4913" spans="1:11" hidden="1" x14ac:dyDescent="0.25">
      <c r="A4913">
        <v>4912</v>
      </c>
      <c r="B4913" s="1">
        <v>45750</v>
      </c>
      <c r="C4913" t="s">
        <v>103</v>
      </c>
      <c r="D4913" t="s">
        <v>88</v>
      </c>
      <c r="E4913" t="s">
        <v>8</v>
      </c>
      <c r="F4913">
        <v>1</v>
      </c>
      <c r="G4913" t="str">
        <f>VLOOKUP(D4913,Товары!A:I,3,0)</f>
        <v>Тумба с раковиной  навес. Альба 800 антрацит 2 ящика с умыв. Слим</v>
      </c>
      <c r="H4913">
        <f>VLOOKUP(D4913,Товары!A:I,6,0)</f>
        <v>50</v>
      </c>
      <c r="I4913" t="str">
        <f>VLOOKUP(C4913,Магазины!A:C,3,0)</f>
        <v>Ставрополь</v>
      </c>
      <c r="J4913">
        <f>VLOOKUP(D4913,Товары!A:I,4,0)</f>
        <v>26070</v>
      </c>
      <c r="K4913">
        <f t="shared" si="76"/>
        <v>26070</v>
      </c>
    </row>
    <row r="4914" spans="1:11" hidden="1" x14ac:dyDescent="0.25">
      <c r="A4914">
        <v>4913</v>
      </c>
      <c r="B4914" s="1">
        <v>45750</v>
      </c>
      <c r="C4914" t="s">
        <v>103</v>
      </c>
      <c r="D4914" t="s">
        <v>67</v>
      </c>
      <c r="E4914" t="s">
        <v>8</v>
      </c>
      <c r="F4914">
        <v>2</v>
      </c>
      <c r="G4914" t="str">
        <f>VLOOKUP(D4914,Товары!A:I,3,0)</f>
        <v>Пенал навес./напол. Альба 350 суфле 2 двери</v>
      </c>
      <c r="H4914">
        <f>VLOOKUP(D4914,Товары!A:I,6,0)</f>
        <v>150</v>
      </c>
      <c r="I4914" t="str">
        <f>VLOOKUP(C4914,Магазины!A:C,3,0)</f>
        <v>Ставрополь</v>
      </c>
      <c r="J4914">
        <f>VLOOKUP(D4914,Товары!A:I,4,0)</f>
        <v>11655</v>
      </c>
      <c r="K4914">
        <f t="shared" si="76"/>
        <v>23310</v>
      </c>
    </row>
    <row r="4915" spans="1:11" hidden="1" x14ac:dyDescent="0.25">
      <c r="A4915">
        <v>4914</v>
      </c>
      <c r="B4915" s="1">
        <v>45757</v>
      </c>
      <c r="C4915" t="s">
        <v>111</v>
      </c>
      <c r="D4915" t="s">
        <v>56</v>
      </c>
      <c r="E4915" t="s">
        <v>13</v>
      </c>
      <c r="F4915">
        <v>1</v>
      </c>
      <c r="G4915" t="str">
        <f>VLOOKUP(D4915,Товары!A:I,3,0)</f>
        <v>Зеркальный шкаф Альба 80 со светильником правый цвет мята</v>
      </c>
      <c r="H4915">
        <f>VLOOKUP(D4915,Товары!A:I,6,0)</f>
        <v>75</v>
      </c>
      <c r="I4915" t="str">
        <f>VLOOKUP(C4915,Магазины!A:C,3,0)</f>
        <v>Набережные Челны</v>
      </c>
      <c r="J4915">
        <f>VLOOKUP(D4915,Товары!A:I,4,0)</f>
        <v>9930</v>
      </c>
      <c r="K4915">
        <f t="shared" si="76"/>
        <v>9930</v>
      </c>
    </row>
    <row r="4916" spans="1:11" hidden="1" x14ac:dyDescent="0.25">
      <c r="A4916">
        <v>4915</v>
      </c>
      <c r="B4916" s="1">
        <v>45756</v>
      </c>
      <c r="C4916" t="s">
        <v>48</v>
      </c>
      <c r="D4916" t="s">
        <v>121</v>
      </c>
      <c r="E4916" t="s">
        <v>8</v>
      </c>
      <c r="F4916">
        <v>2</v>
      </c>
      <c r="G4916" t="str">
        <f>VLOOKUP(D4916,Товары!A:I,3,0)</f>
        <v>Тумба с раковиной  напол. Куба Риф 600 белый 2 двери с умыв. Como</v>
      </c>
      <c r="H4916">
        <f>VLOOKUP(D4916,Товары!A:I,6,0)</f>
        <v>85</v>
      </c>
      <c r="I4916" t="str">
        <f>VLOOKUP(C4916,Магазины!A:C,3,0)</f>
        <v>Ставрополь</v>
      </c>
      <c r="J4916">
        <f>VLOOKUP(D4916,Товары!A:I,4,0)</f>
        <v>13695</v>
      </c>
      <c r="K4916">
        <f t="shared" si="76"/>
        <v>27390</v>
      </c>
    </row>
    <row r="4917" spans="1:11" hidden="1" x14ac:dyDescent="0.25">
      <c r="A4917">
        <v>4916</v>
      </c>
      <c r="B4917" s="1">
        <v>45750</v>
      </c>
      <c r="C4917" t="s">
        <v>103</v>
      </c>
      <c r="D4917" t="s">
        <v>25</v>
      </c>
      <c r="E4917" t="s">
        <v>13</v>
      </c>
      <c r="F4917">
        <v>3</v>
      </c>
      <c r="G4917" t="str">
        <f>VLOOKUP(D4917,Товары!A:I,3,0)</f>
        <v>Пенал напол. Леон 400 оникс 2 двери + 1 ящик</v>
      </c>
      <c r="H4917">
        <f>VLOOKUP(D4917,Товары!A:I,6,0)</f>
        <v>190</v>
      </c>
      <c r="I4917" t="str">
        <f>VLOOKUP(C4917,Магазины!A:C,3,0)</f>
        <v>Ставрополь</v>
      </c>
      <c r="J4917">
        <f>VLOOKUP(D4917,Товары!A:I,4,0)</f>
        <v>18450</v>
      </c>
      <c r="K4917">
        <f t="shared" si="76"/>
        <v>55350</v>
      </c>
    </row>
    <row r="4918" spans="1:11" hidden="1" x14ac:dyDescent="0.25">
      <c r="A4918">
        <v>4917</v>
      </c>
      <c r="B4918" s="1">
        <v>45754</v>
      </c>
      <c r="C4918" t="s">
        <v>111</v>
      </c>
      <c r="D4918" t="s">
        <v>78</v>
      </c>
      <c r="E4918" t="s">
        <v>13</v>
      </c>
      <c r="F4918">
        <v>2</v>
      </c>
      <c r="G4918" t="str">
        <f>VLOOKUP(D4918,Товары!A:I,3,0)</f>
        <v>Зеркальный шкаф Кристалл 70 со светильником правый, ручка кнопка дуб цвет Шато Азур</v>
      </c>
      <c r="H4918">
        <f>VLOOKUP(D4918,Товары!A:I,6,0)</f>
        <v>75</v>
      </c>
      <c r="I4918" t="str">
        <f>VLOOKUP(C4918,Магазины!A:C,3,0)</f>
        <v>Набережные Челны</v>
      </c>
      <c r="J4918">
        <f>VLOOKUP(D4918,Товары!A:I,4,0)</f>
        <v>9615</v>
      </c>
      <c r="K4918">
        <f t="shared" si="76"/>
        <v>19230</v>
      </c>
    </row>
    <row r="4919" spans="1:11" hidden="1" x14ac:dyDescent="0.25">
      <c r="A4919">
        <v>4918</v>
      </c>
      <c r="B4919" s="1">
        <v>45754</v>
      </c>
      <c r="C4919" t="s">
        <v>20</v>
      </c>
      <c r="D4919" t="s">
        <v>86</v>
      </c>
      <c r="E4919" t="s">
        <v>8</v>
      </c>
      <c r="F4919">
        <v>3</v>
      </c>
      <c r="G4919" t="str">
        <f>VLOOKUP(D4919,Товары!A:I,3,0)</f>
        <v>Комод Аква 50 напольный 1 ящик 2 двери белый</v>
      </c>
      <c r="H4919">
        <f>VLOOKUP(D4919,Товары!A:I,6,0)</f>
        <v>90</v>
      </c>
      <c r="I4919" t="str">
        <f>VLOOKUP(C4919,Магазины!A:C,3,0)</f>
        <v>Оренбург</v>
      </c>
      <c r="J4919">
        <f>VLOOKUP(D4919,Товары!A:I,4,0)</f>
        <v>7260</v>
      </c>
      <c r="K4919">
        <f t="shared" si="76"/>
        <v>21780</v>
      </c>
    </row>
    <row r="4920" spans="1:11" hidden="1" x14ac:dyDescent="0.25">
      <c r="A4920">
        <v>4919</v>
      </c>
      <c r="B4920" s="1">
        <v>45755</v>
      </c>
      <c r="C4920" t="s">
        <v>6</v>
      </c>
      <c r="D4920" t="s">
        <v>23</v>
      </c>
      <c r="E4920" t="s">
        <v>8</v>
      </c>
      <c r="F4920">
        <v>2</v>
      </c>
      <c r="G4920" t="str">
        <f>VLOOKUP(D4920,Товары!A:I,3,0)</f>
        <v>Тумба с раковиной  напол. Альба 800 антрацит 2 ящика с умыв. Слим</v>
      </c>
      <c r="H4920">
        <f>VLOOKUP(D4920,Товары!A:I,6,0)</f>
        <v>80</v>
      </c>
      <c r="I4920" t="str">
        <f>VLOOKUP(C4920,Магазины!A:C,3,0)</f>
        <v>Оренбург</v>
      </c>
      <c r="J4920">
        <f>VLOOKUP(D4920,Товары!A:I,4,0)</f>
        <v>29340</v>
      </c>
      <c r="K4920">
        <f t="shared" si="76"/>
        <v>58680</v>
      </c>
    </row>
    <row r="4921" spans="1:11" hidden="1" x14ac:dyDescent="0.25">
      <c r="A4921">
        <v>4920</v>
      </c>
      <c r="B4921" s="1">
        <v>45754</v>
      </c>
      <c r="C4921" t="s">
        <v>33</v>
      </c>
      <c r="D4921" t="s">
        <v>61</v>
      </c>
      <c r="E4921" t="s">
        <v>8</v>
      </c>
      <c r="F4921">
        <v>3</v>
      </c>
      <c r="G4921" t="str">
        <f>VLOOKUP(D4921,Товары!A:I,3,0)</f>
        <v>Тумба под стиральную машину Леон Риф 57 напольная 2 ящика под ст/маш, без умывальника /под Marshall 120 Солярис/Белый Риф</v>
      </c>
      <c r="H4921">
        <f>VLOOKUP(D4921,Товары!A:I,6,0)</f>
        <v>85</v>
      </c>
      <c r="I4921" t="str">
        <f>VLOOKUP(C4921,Магазины!A:C,3,0)</f>
        <v>Набережные Челны</v>
      </c>
      <c r="J4921">
        <f>VLOOKUP(D4921,Товары!A:I,4,0)</f>
        <v>17430</v>
      </c>
      <c r="K4921">
        <f t="shared" si="76"/>
        <v>52290</v>
      </c>
    </row>
    <row r="4922" spans="1:11" hidden="1" x14ac:dyDescent="0.25">
      <c r="A4922">
        <v>4921</v>
      </c>
      <c r="B4922" s="1">
        <v>45749</v>
      </c>
      <c r="C4922" t="s">
        <v>54</v>
      </c>
      <c r="D4922" t="s">
        <v>124</v>
      </c>
      <c r="E4922" t="s">
        <v>8</v>
      </c>
      <c r="F4922">
        <v>2</v>
      </c>
      <c r="G4922" t="str">
        <f>VLOOKUP(D4922,Товары!A:I,3,0)</f>
        <v>Тумба с раковиной  напол. Леон 600 оникс 2 ящика с умыв. Океан</v>
      </c>
      <c r="H4922">
        <f>VLOOKUP(D4922,Товары!A:I,6,0)</f>
        <v>80</v>
      </c>
      <c r="I4922" t="str">
        <f>VLOOKUP(C4922,Магазины!A:C,3,0)</f>
        <v>Ставрополь</v>
      </c>
      <c r="J4922">
        <f>VLOOKUP(D4922,Товары!A:I,4,0)</f>
        <v>25860</v>
      </c>
      <c r="K4922">
        <f t="shared" si="76"/>
        <v>51720</v>
      </c>
    </row>
    <row r="4923" spans="1:11" hidden="1" x14ac:dyDescent="0.25">
      <c r="A4923">
        <v>4922</v>
      </c>
      <c r="B4923" s="1">
        <v>45752</v>
      </c>
      <c r="C4923" t="s">
        <v>63</v>
      </c>
      <c r="D4923" t="s">
        <v>68</v>
      </c>
      <c r="E4923" t="s">
        <v>13</v>
      </c>
      <c r="F4923">
        <v>2</v>
      </c>
      <c r="G4923" t="str">
        <f>VLOOKUP(D4923,Товары!A:I,3,0)</f>
        <v>Тумба с раковиной  навес. Альба 600 антрацит 1 ящик с умыв. Океан</v>
      </c>
      <c r="H4923">
        <f>VLOOKUP(D4923,Товары!A:I,6,0)</f>
        <v>85</v>
      </c>
      <c r="I4923" t="str">
        <f>VLOOKUP(C4923,Магазины!A:C,3,0)</f>
        <v>Ставрополь</v>
      </c>
      <c r="J4923">
        <f>VLOOKUP(D4923,Товары!A:I,4,0)</f>
        <v>17625</v>
      </c>
      <c r="K4923">
        <f t="shared" si="76"/>
        <v>35250</v>
      </c>
    </row>
    <row r="4924" spans="1:11" hidden="1" x14ac:dyDescent="0.25">
      <c r="A4924">
        <v>4923</v>
      </c>
      <c r="B4924" s="1">
        <v>45748</v>
      </c>
      <c r="C4924" t="s">
        <v>58</v>
      </c>
      <c r="D4924" t="s">
        <v>80</v>
      </c>
      <c r="E4924" t="s">
        <v>13</v>
      </c>
      <c r="F4924">
        <v>3</v>
      </c>
      <c r="G4924" t="str">
        <f>VLOOKUP(D4924,Товары!A:I,3,0)</f>
        <v>Тумба с раковиной  навес. Сохо 600 белый 2 ящика с умыв. Океан</v>
      </c>
      <c r="H4924">
        <f>VLOOKUP(D4924,Товары!A:I,6,0)</f>
        <v>55</v>
      </c>
      <c r="I4924" t="str">
        <f>VLOOKUP(C4924,Магазины!A:C,3,0)</f>
        <v>Ставрополь</v>
      </c>
      <c r="J4924">
        <f>VLOOKUP(D4924,Товары!A:I,4,0)</f>
        <v>13950</v>
      </c>
      <c r="K4924">
        <f t="shared" si="76"/>
        <v>41850</v>
      </c>
    </row>
    <row r="4925" spans="1:11" hidden="1" x14ac:dyDescent="0.25">
      <c r="A4925">
        <v>4924</v>
      </c>
      <c r="B4925" s="1">
        <v>45755</v>
      </c>
      <c r="C4925" t="s">
        <v>54</v>
      </c>
      <c r="D4925" t="s">
        <v>77</v>
      </c>
      <c r="E4925" t="s">
        <v>8</v>
      </c>
      <c r="F4925">
        <v>3</v>
      </c>
      <c r="G4925" t="str">
        <f>VLOOKUP(D4925,Товары!A:I,3,0)</f>
        <v>Тумба с раковиной  напол. Куба Риф 600 белый 2 ящика с умыв. Como</v>
      </c>
      <c r="H4925">
        <f>VLOOKUP(D4925,Товары!A:I,6,0)</f>
        <v>85</v>
      </c>
      <c r="I4925" t="str">
        <f>VLOOKUP(C4925,Магазины!A:C,3,0)</f>
        <v>Ставрополь</v>
      </c>
      <c r="J4925">
        <f>VLOOKUP(D4925,Товары!A:I,4,0)</f>
        <v>15660</v>
      </c>
      <c r="K4925">
        <f t="shared" si="76"/>
        <v>46980</v>
      </c>
    </row>
    <row r="4926" spans="1:11" hidden="1" x14ac:dyDescent="0.25">
      <c r="A4926">
        <v>4925</v>
      </c>
      <c r="B4926" s="1">
        <v>45753</v>
      </c>
      <c r="C4926" t="s">
        <v>41</v>
      </c>
      <c r="D4926" t="s">
        <v>44</v>
      </c>
      <c r="E4926" t="s">
        <v>8</v>
      </c>
      <c r="F4926">
        <v>1</v>
      </c>
      <c r="G4926" t="str">
        <f>VLOOKUP(D4926,Товары!A:I,3,0)</f>
        <v>Тумба с раковиной  навес. Кристалл 800 шато азур 2 ящика с умыв. Комфорт</v>
      </c>
      <c r="H4926">
        <f>VLOOKUP(D4926,Товары!A:I,6,0)</f>
        <v>55</v>
      </c>
      <c r="I4926" t="str">
        <f>VLOOKUP(C4926,Магазины!A:C,3,0)</f>
        <v>Ставрополь</v>
      </c>
      <c r="J4926">
        <f>VLOOKUP(D4926,Товары!A:I,4,0)</f>
        <v>25080</v>
      </c>
      <c r="K4926">
        <f t="shared" si="76"/>
        <v>25080</v>
      </c>
    </row>
    <row r="4927" spans="1:11" hidden="1" x14ac:dyDescent="0.25">
      <c r="A4927">
        <v>4926</v>
      </c>
      <c r="B4927" s="1">
        <v>45754</v>
      </c>
      <c r="C4927" t="s">
        <v>103</v>
      </c>
      <c r="D4927" t="s">
        <v>104</v>
      </c>
      <c r="E4927" t="s">
        <v>8</v>
      </c>
      <c r="F4927">
        <v>3</v>
      </c>
      <c r="G4927" t="str">
        <f>VLOOKUP(D4927,Товары!A:I,3,0)</f>
        <v>Тумба под стиральную машину Куба Риф 57 подвесная 2 ящика под ст/маш, без умывальника /под Marshall 120 Белый</v>
      </c>
      <c r="H4927">
        <f>VLOOKUP(D4927,Товары!A:I,6,0)</f>
        <v>50</v>
      </c>
      <c r="I4927" t="str">
        <f>VLOOKUP(C4927,Магазины!A:C,3,0)</f>
        <v>Ставрополь</v>
      </c>
      <c r="J4927">
        <f>VLOOKUP(D4927,Товары!A:I,4,0)</f>
        <v>8505</v>
      </c>
      <c r="K4927">
        <f t="shared" si="76"/>
        <v>25515</v>
      </c>
    </row>
    <row r="4928" spans="1:11" hidden="1" x14ac:dyDescent="0.25">
      <c r="A4928">
        <v>4927</v>
      </c>
      <c r="B4928" s="1">
        <v>45752</v>
      </c>
      <c r="C4928" t="s">
        <v>16</v>
      </c>
      <c r="D4928" t="s">
        <v>76</v>
      </c>
      <c r="E4928" t="s">
        <v>8</v>
      </c>
      <c r="F4928">
        <v>3</v>
      </c>
      <c r="G4928" t="str">
        <f>VLOOKUP(D4928,Товары!A:I,3,0)</f>
        <v>Тумба с раковиной  напол. Леон 600 оникс 2 ящика с умыв. Слим</v>
      </c>
      <c r="H4928">
        <f>VLOOKUP(D4928,Товары!A:I,6,0)</f>
        <v>80</v>
      </c>
      <c r="I4928" t="str">
        <f>VLOOKUP(C4928,Магазины!A:C,3,0)</f>
        <v>Оренбург</v>
      </c>
      <c r="J4928">
        <f>VLOOKUP(D4928,Товары!A:I,4,0)</f>
        <v>25860</v>
      </c>
      <c r="K4928">
        <f t="shared" si="76"/>
        <v>77580</v>
      </c>
    </row>
    <row r="4929" spans="1:11" hidden="1" x14ac:dyDescent="0.25">
      <c r="A4929">
        <v>4928</v>
      </c>
      <c r="B4929" s="1">
        <v>45755</v>
      </c>
      <c r="C4929" t="s">
        <v>111</v>
      </c>
      <c r="D4929" t="s">
        <v>56</v>
      </c>
      <c r="E4929" t="s">
        <v>13</v>
      </c>
      <c r="F4929">
        <v>3</v>
      </c>
      <c r="G4929" t="str">
        <f>VLOOKUP(D4929,Товары!A:I,3,0)</f>
        <v>Зеркальный шкаф Альба 80 со светильником правый цвет мята</v>
      </c>
      <c r="H4929">
        <f>VLOOKUP(D4929,Товары!A:I,6,0)</f>
        <v>75</v>
      </c>
      <c r="I4929" t="str">
        <f>VLOOKUP(C4929,Магазины!A:C,3,0)</f>
        <v>Набережные Челны</v>
      </c>
      <c r="J4929">
        <f>VLOOKUP(D4929,Товары!A:I,4,0)</f>
        <v>9930</v>
      </c>
      <c r="K4929">
        <f t="shared" si="76"/>
        <v>29790</v>
      </c>
    </row>
    <row r="4930" spans="1:11" hidden="1" x14ac:dyDescent="0.25">
      <c r="A4930">
        <v>4929</v>
      </c>
      <c r="B4930" s="1">
        <v>45749</v>
      </c>
      <c r="C4930" t="s">
        <v>92</v>
      </c>
      <c r="D4930" t="s">
        <v>117</v>
      </c>
      <c r="E4930" t="s">
        <v>8</v>
      </c>
      <c r="F4930">
        <v>1</v>
      </c>
      <c r="G4930" t="str">
        <f>VLOOKUP(D4930,Товары!A:I,3,0)</f>
        <v>Тумба с раковиной  навес. Альба 700 антрацит 2 ящика с умыв. Слим</v>
      </c>
      <c r="H4930">
        <f>VLOOKUP(D4930,Товары!A:I,6,0)</f>
        <v>60</v>
      </c>
      <c r="I4930" t="str">
        <f>VLOOKUP(C4930,Магазины!A:C,3,0)</f>
        <v>Кемерово</v>
      </c>
      <c r="J4930">
        <f>VLOOKUP(D4930,Товары!A:I,4,0)</f>
        <v>25095</v>
      </c>
      <c r="K4930">
        <f t="shared" si="76"/>
        <v>25095</v>
      </c>
    </row>
    <row r="4931" spans="1:11" hidden="1" x14ac:dyDescent="0.25">
      <c r="A4931">
        <v>4930</v>
      </c>
      <c r="B4931" s="1">
        <v>45752</v>
      </c>
      <c r="C4931" t="s">
        <v>16</v>
      </c>
      <c r="D4931" t="s">
        <v>19</v>
      </c>
      <c r="E4931" t="s">
        <v>13</v>
      </c>
      <c r="F4931">
        <v>1</v>
      </c>
      <c r="G4931" t="str">
        <f>VLOOKUP(D4931,Товары!A:I,3,0)</f>
        <v>Тумба с раковиной  навес. Леон 800 оникс 2 ящика с умыв. Слим</v>
      </c>
      <c r="H4931">
        <f>VLOOKUP(D4931,Товары!A:I,6,0)</f>
        <v>60</v>
      </c>
      <c r="I4931" t="str">
        <f>VLOOKUP(C4931,Магазины!A:C,3,0)</f>
        <v>Оренбург</v>
      </c>
      <c r="J4931">
        <f>VLOOKUP(D4931,Товары!A:I,4,0)</f>
        <v>27930</v>
      </c>
      <c r="K4931">
        <f t="shared" ref="K4931:K4994" si="77">J4931*F4931</f>
        <v>27930</v>
      </c>
    </row>
    <row r="4932" spans="1:11" hidden="1" x14ac:dyDescent="0.25">
      <c r="A4932">
        <v>4931</v>
      </c>
      <c r="B4932" s="1">
        <v>45755</v>
      </c>
      <c r="C4932" t="s">
        <v>43</v>
      </c>
      <c r="D4932" t="s">
        <v>27</v>
      </c>
      <c r="E4932" t="s">
        <v>13</v>
      </c>
      <c r="F4932">
        <v>3</v>
      </c>
      <c r="G4932" t="str">
        <f>VLOOKUP(D4932,Товары!A:I,3,0)</f>
        <v>Тумба с раковиной  навес. Виктория 800 белый 2 ящика с умыв. Слим</v>
      </c>
      <c r="H4932">
        <f>VLOOKUP(D4932,Товары!A:I,6,0)</f>
        <v>60</v>
      </c>
      <c r="I4932" t="str">
        <f>VLOOKUP(C4932,Магазины!A:C,3,0)</f>
        <v>Набережные Челны</v>
      </c>
      <c r="J4932">
        <f>VLOOKUP(D4932,Товары!A:I,4,0)</f>
        <v>25290</v>
      </c>
      <c r="K4932">
        <f t="shared" si="77"/>
        <v>75870</v>
      </c>
    </row>
    <row r="4933" spans="1:11" hidden="1" x14ac:dyDescent="0.25">
      <c r="A4933">
        <v>4932</v>
      </c>
      <c r="B4933" s="1">
        <v>45753</v>
      </c>
      <c r="C4933" t="s">
        <v>16</v>
      </c>
      <c r="D4933" t="s">
        <v>76</v>
      </c>
      <c r="E4933" t="s">
        <v>8</v>
      </c>
      <c r="F4933">
        <v>1</v>
      </c>
      <c r="G4933" t="str">
        <f>VLOOKUP(D4933,Товары!A:I,3,0)</f>
        <v>Тумба с раковиной  напол. Леон 600 оникс 2 ящика с умыв. Слим</v>
      </c>
      <c r="H4933">
        <f>VLOOKUP(D4933,Товары!A:I,6,0)</f>
        <v>80</v>
      </c>
      <c r="I4933" t="str">
        <f>VLOOKUP(C4933,Магазины!A:C,3,0)</f>
        <v>Оренбург</v>
      </c>
      <c r="J4933">
        <f>VLOOKUP(D4933,Товары!A:I,4,0)</f>
        <v>25860</v>
      </c>
      <c r="K4933">
        <f t="shared" si="77"/>
        <v>25860</v>
      </c>
    </row>
    <row r="4934" spans="1:11" hidden="1" x14ac:dyDescent="0.25">
      <c r="A4934">
        <v>4933</v>
      </c>
      <c r="B4934" s="1">
        <v>45755</v>
      </c>
      <c r="C4934" t="s">
        <v>57</v>
      </c>
      <c r="D4934" t="s">
        <v>119</v>
      </c>
      <c r="E4934" t="s">
        <v>8</v>
      </c>
      <c r="F4934">
        <v>1</v>
      </c>
      <c r="G4934" t="str">
        <f>VLOOKUP(D4934,Товары!A:I,3,0)</f>
        <v>Пенал навес./напол. Рица 350 cерый/керамика 2 двери</v>
      </c>
      <c r="H4934">
        <f>VLOOKUP(D4934,Товары!A:I,6,0)</f>
        <v>160</v>
      </c>
      <c r="I4934" t="str">
        <f>VLOOKUP(C4934,Магазины!A:C,3,0)</f>
        <v>Оренбург</v>
      </c>
      <c r="J4934">
        <f>VLOOKUP(D4934,Товары!A:I,4,0)</f>
        <v>11250</v>
      </c>
      <c r="K4934">
        <f t="shared" si="77"/>
        <v>11250</v>
      </c>
    </row>
    <row r="4935" spans="1:11" hidden="1" x14ac:dyDescent="0.25">
      <c r="A4935">
        <v>4934</v>
      </c>
      <c r="B4935" s="1">
        <v>45754</v>
      </c>
      <c r="C4935" t="s">
        <v>16</v>
      </c>
      <c r="D4935" t="s">
        <v>124</v>
      </c>
      <c r="E4935" t="s">
        <v>13</v>
      </c>
      <c r="F4935">
        <v>3</v>
      </c>
      <c r="G4935" t="str">
        <f>VLOOKUP(D4935,Товары!A:I,3,0)</f>
        <v>Тумба с раковиной  напол. Леон 600 оникс 2 ящика с умыв. Океан</v>
      </c>
      <c r="H4935">
        <f>VLOOKUP(D4935,Товары!A:I,6,0)</f>
        <v>80</v>
      </c>
      <c r="I4935" t="str">
        <f>VLOOKUP(C4935,Магазины!A:C,3,0)</f>
        <v>Оренбург</v>
      </c>
      <c r="J4935">
        <f>VLOOKUP(D4935,Товары!A:I,4,0)</f>
        <v>25860</v>
      </c>
      <c r="K4935">
        <f t="shared" si="77"/>
        <v>77580</v>
      </c>
    </row>
    <row r="4936" spans="1:11" hidden="1" x14ac:dyDescent="0.25">
      <c r="A4936">
        <v>4935</v>
      </c>
      <c r="B4936" s="1">
        <v>45751</v>
      </c>
      <c r="C4936" t="s">
        <v>14</v>
      </c>
      <c r="D4936" t="s">
        <v>94</v>
      </c>
      <c r="E4936" t="s">
        <v>13</v>
      </c>
      <c r="F4936">
        <v>3</v>
      </c>
      <c r="G4936" t="str">
        <f>VLOOKUP(D4936,Товары!A:I,3,0)</f>
        <v>Зеркальный шкаф Альба 80 со светильником правый цвет антрацит</v>
      </c>
      <c r="H4936">
        <f>VLOOKUP(D4936,Товары!A:I,6,0)</f>
        <v>75</v>
      </c>
      <c r="I4936" t="str">
        <f>VLOOKUP(C4936,Магазины!A:C,3,0)</f>
        <v>Оренбург</v>
      </c>
      <c r="J4936">
        <f>VLOOKUP(D4936,Товары!A:I,4,0)</f>
        <v>9930</v>
      </c>
      <c r="K4936">
        <f t="shared" si="77"/>
        <v>29790</v>
      </c>
    </row>
    <row r="4937" spans="1:11" hidden="1" x14ac:dyDescent="0.25">
      <c r="A4937">
        <v>4936</v>
      </c>
      <c r="B4937" s="1">
        <v>45750</v>
      </c>
      <c r="C4937" t="s">
        <v>11</v>
      </c>
      <c r="D4937" t="s">
        <v>77</v>
      </c>
      <c r="E4937" t="s">
        <v>8</v>
      </c>
      <c r="F4937">
        <v>1</v>
      </c>
      <c r="G4937" t="str">
        <f>VLOOKUP(D4937,Товары!A:I,3,0)</f>
        <v>Тумба с раковиной  напол. Куба Риф 600 белый 2 ящика с умыв. Como</v>
      </c>
      <c r="H4937">
        <f>VLOOKUP(D4937,Товары!A:I,6,0)</f>
        <v>85</v>
      </c>
      <c r="I4937" t="str">
        <f>VLOOKUP(C4937,Магазины!A:C,3,0)</f>
        <v>Кемерово</v>
      </c>
      <c r="J4937">
        <f>VLOOKUP(D4937,Товары!A:I,4,0)</f>
        <v>15660</v>
      </c>
      <c r="K4937">
        <f t="shared" si="77"/>
        <v>15660</v>
      </c>
    </row>
    <row r="4938" spans="1:11" hidden="1" x14ac:dyDescent="0.25">
      <c r="A4938">
        <v>4937</v>
      </c>
      <c r="B4938" s="1">
        <v>45756</v>
      </c>
      <c r="C4938" t="s">
        <v>48</v>
      </c>
      <c r="D4938" t="s">
        <v>29</v>
      </c>
      <c r="E4938" t="s">
        <v>13</v>
      </c>
      <c r="F4938">
        <v>3</v>
      </c>
      <c r="G4938" t="str">
        <f>VLOOKUP(D4938,Товары!A:I,3,0)</f>
        <v>Тумба с раковиной  напол. Леон Риф 600 солярис/белый риф 2 ящика с умыв. Океан</v>
      </c>
      <c r="H4938">
        <f>VLOOKUP(D4938,Товары!A:I,6,0)</f>
        <v>80</v>
      </c>
      <c r="I4938" t="str">
        <f>VLOOKUP(C4938,Магазины!A:C,3,0)</f>
        <v>Ставрополь</v>
      </c>
      <c r="J4938">
        <f>VLOOKUP(D4938,Товары!A:I,4,0)</f>
        <v>24150</v>
      </c>
      <c r="K4938">
        <f t="shared" si="77"/>
        <v>72450</v>
      </c>
    </row>
    <row r="4939" spans="1:11" hidden="1" x14ac:dyDescent="0.25">
      <c r="A4939">
        <v>4938</v>
      </c>
      <c r="B4939" s="1">
        <v>45756</v>
      </c>
      <c r="C4939" t="s">
        <v>63</v>
      </c>
      <c r="D4939" t="s">
        <v>27</v>
      </c>
      <c r="E4939" t="s">
        <v>8</v>
      </c>
      <c r="F4939">
        <v>1</v>
      </c>
      <c r="G4939" t="str">
        <f>VLOOKUP(D4939,Товары!A:I,3,0)</f>
        <v>Тумба с раковиной  навес. Виктория 800 белый 2 ящика с умыв. Слим</v>
      </c>
      <c r="H4939">
        <f>VLOOKUP(D4939,Товары!A:I,6,0)</f>
        <v>60</v>
      </c>
      <c r="I4939" t="str">
        <f>VLOOKUP(C4939,Магазины!A:C,3,0)</f>
        <v>Ставрополь</v>
      </c>
      <c r="J4939">
        <f>VLOOKUP(D4939,Товары!A:I,4,0)</f>
        <v>25290</v>
      </c>
      <c r="K4939">
        <f t="shared" si="77"/>
        <v>25290</v>
      </c>
    </row>
    <row r="4940" spans="1:11" hidden="1" x14ac:dyDescent="0.25">
      <c r="A4940">
        <v>4939</v>
      </c>
      <c r="B4940" s="1">
        <v>45755</v>
      </c>
      <c r="C4940" t="s">
        <v>20</v>
      </c>
      <c r="D4940" t="s">
        <v>82</v>
      </c>
      <c r="E4940" t="s">
        <v>13</v>
      </c>
      <c r="F4940">
        <v>3</v>
      </c>
      <c r="G4940" t="str">
        <f>VLOOKUP(D4940,Товары!A:I,3,0)</f>
        <v>Тумба с раковиной  навес. Леон 800 форест 2 ящика с умыв. Слим</v>
      </c>
      <c r="H4940">
        <f>VLOOKUP(D4940,Товары!A:I,6,0)</f>
        <v>60</v>
      </c>
      <c r="I4940" t="str">
        <f>VLOOKUP(C4940,Магазины!A:C,3,0)</f>
        <v>Оренбург</v>
      </c>
      <c r="J4940">
        <f>VLOOKUP(D4940,Товары!A:I,4,0)</f>
        <v>27930</v>
      </c>
      <c r="K4940">
        <f t="shared" si="77"/>
        <v>83790</v>
      </c>
    </row>
    <row r="4941" spans="1:11" hidden="1" x14ac:dyDescent="0.25">
      <c r="A4941">
        <v>4940</v>
      </c>
      <c r="B4941" s="1">
        <v>45753</v>
      </c>
      <c r="C4941" t="s">
        <v>6</v>
      </c>
      <c r="D4941" t="s">
        <v>129</v>
      </c>
      <c r="E4941" t="s">
        <v>8</v>
      </c>
      <c r="F4941">
        <v>1</v>
      </c>
      <c r="G4941" t="str">
        <f>VLOOKUP(D4941,Товары!A:I,3,0)</f>
        <v>Тумба с раковиной  напол. Альба 700 антрацит 2 ящика с умыв. Слим</v>
      </c>
      <c r="H4941">
        <f>VLOOKUP(D4941,Товары!A:I,6,0)</f>
        <v>85</v>
      </c>
      <c r="I4941" t="str">
        <f>VLOOKUP(C4941,Магазины!A:C,3,0)</f>
        <v>Оренбург</v>
      </c>
      <c r="J4941">
        <f>VLOOKUP(D4941,Товары!A:I,4,0)</f>
        <v>28695</v>
      </c>
      <c r="K4941">
        <f t="shared" si="77"/>
        <v>28695</v>
      </c>
    </row>
    <row r="4942" spans="1:11" hidden="1" x14ac:dyDescent="0.25">
      <c r="A4942">
        <v>4941</v>
      </c>
      <c r="B4942" s="1">
        <v>45751</v>
      </c>
      <c r="C4942" t="s">
        <v>18</v>
      </c>
      <c r="D4942" t="s">
        <v>119</v>
      </c>
      <c r="E4942" t="s">
        <v>8</v>
      </c>
      <c r="F4942">
        <v>1</v>
      </c>
      <c r="G4942" t="str">
        <f>VLOOKUP(D4942,Товары!A:I,3,0)</f>
        <v>Пенал навес./напол. Рица 350 cерый/керамика 2 двери</v>
      </c>
      <c r="H4942">
        <f>VLOOKUP(D4942,Товары!A:I,6,0)</f>
        <v>160</v>
      </c>
      <c r="I4942" t="str">
        <f>VLOOKUP(C4942,Магазины!A:C,3,0)</f>
        <v>Набережные Челны</v>
      </c>
      <c r="J4942">
        <f>VLOOKUP(D4942,Товары!A:I,4,0)</f>
        <v>11250</v>
      </c>
      <c r="K4942">
        <f t="shared" si="77"/>
        <v>11250</v>
      </c>
    </row>
    <row r="4943" spans="1:11" hidden="1" x14ac:dyDescent="0.25">
      <c r="A4943">
        <v>4942</v>
      </c>
      <c r="B4943" s="1">
        <v>45753</v>
      </c>
      <c r="C4943" t="s">
        <v>22</v>
      </c>
      <c r="D4943" t="s">
        <v>65</v>
      </c>
      <c r="E4943" t="s">
        <v>13</v>
      </c>
      <c r="F4943">
        <v>1</v>
      </c>
      <c r="G4943" t="str">
        <f>VLOOKUP(D4943,Товары!A:I,3,0)</f>
        <v>Тумба с раковиной  навес. Альба 800 суфле 2 ящика с умыв. Слим</v>
      </c>
      <c r="H4943">
        <f>VLOOKUP(D4943,Товары!A:I,6,0)</f>
        <v>50</v>
      </c>
      <c r="I4943" t="str">
        <f>VLOOKUP(C4943,Магазины!A:C,3,0)</f>
        <v>Кемерово</v>
      </c>
      <c r="J4943">
        <f>VLOOKUP(D4943,Товары!A:I,4,0)</f>
        <v>26070</v>
      </c>
      <c r="K4943">
        <f t="shared" si="77"/>
        <v>26070</v>
      </c>
    </row>
    <row r="4944" spans="1:11" hidden="1" x14ac:dyDescent="0.25">
      <c r="A4944">
        <v>4943</v>
      </c>
      <c r="B4944" s="1">
        <v>45750</v>
      </c>
      <c r="C4944" t="s">
        <v>16</v>
      </c>
      <c r="D4944" t="s">
        <v>109</v>
      </c>
      <c r="E4944" t="s">
        <v>13</v>
      </c>
      <c r="F4944">
        <v>1</v>
      </c>
      <c r="G4944" t="str">
        <f>VLOOKUP(D4944,Товары!A:I,3,0)</f>
        <v>Тумба с раковиной  навес. Альба 600 антрацит 2 ящика с умыв. Океан</v>
      </c>
      <c r="H4944">
        <f>VLOOKUP(D4944,Товары!A:I,6,0)</f>
        <v>50</v>
      </c>
      <c r="I4944" t="str">
        <f>VLOOKUP(C4944,Магазины!A:C,3,0)</f>
        <v>Оренбург</v>
      </c>
      <c r="J4944">
        <f>VLOOKUP(D4944,Товары!A:I,4,0)</f>
        <v>24810</v>
      </c>
      <c r="K4944">
        <f t="shared" si="77"/>
        <v>24810</v>
      </c>
    </row>
    <row r="4945" spans="1:11" hidden="1" x14ac:dyDescent="0.25">
      <c r="A4945">
        <v>4944</v>
      </c>
      <c r="B4945" s="1">
        <v>45751</v>
      </c>
      <c r="C4945" t="s">
        <v>20</v>
      </c>
      <c r="D4945" t="s">
        <v>29</v>
      </c>
      <c r="E4945" t="s">
        <v>13</v>
      </c>
      <c r="F4945">
        <v>3</v>
      </c>
      <c r="G4945" t="str">
        <f>VLOOKUP(D4945,Товары!A:I,3,0)</f>
        <v>Тумба с раковиной  напол. Леон Риф 600 солярис/белый риф 2 ящика с умыв. Океан</v>
      </c>
      <c r="H4945">
        <f>VLOOKUP(D4945,Товары!A:I,6,0)</f>
        <v>80</v>
      </c>
      <c r="I4945" t="str">
        <f>VLOOKUP(C4945,Магазины!A:C,3,0)</f>
        <v>Оренбург</v>
      </c>
      <c r="J4945">
        <f>VLOOKUP(D4945,Товары!A:I,4,0)</f>
        <v>24150</v>
      </c>
      <c r="K4945">
        <f t="shared" si="77"/>
        <v>72450</v>
      </c>
    </row>
    <row r="4946" spans="1:11" hidden="1" x14ac:dyDescent="0.25">
      <c r="A4946">
        <v>4945</v>
      </c>
      <c r="B4946" s="1">
        <v>45751</v>
      </c>
      <c r="C4946" t="s">
        <v>57</v>
      </c>
      <c r="D4946" t="s">
        <v>70</v>
      </c>
      <c r="E4946" t="s">
        <v>8</v>
      </c>
      <c r="F4946">
        <v>1</v>
      </c>
      <c r="G4946" t="str">
        <f>VLOOKUP(D4946,Товары!A:I,3,0)</f>
        <v>Тумба с раковиной  напол. Кристалл 700 шато азур 2 ящика с умыв. Слим</v>
      </c>
      <c r="H4946">
        <f>VLOOKUP(D4946,Товары!A:I,6,0)</f>
        <v>85</v>
      </c>
      <c r="I4946" t="str">
        <f>VLOOKUP(C4946,Магазины!A:C,3,0)</f>
        <v>Оренбург</v>
      </c>
      <c r="J4946">
        <f>VLOOKUP(D4946,Товары!A:I,4,0)</f>
        <v>29910</v>
      </c>
      <c r="K4946">
        <f t="shared" si="77"/>
        <v>29910</v>
      </c>
    </row>
    <row r="4947" spans="1:11" hidden="1" x14ac:dyDescent="0.25">
      <c r="A4947">
        <v>4946</v>
      </c>
      <c r="B4947" s="1">
        <v>45753</v>
      </c>
      <c r="C4947" t="s">
        <v>57</v>
      </c>
      <c r="D4947" t="s">
        <v>125</v>
      </c>
      <c r="E4947" t="s">
        <v>8</v>
      </c>
      <c r="F4947">
        <v>2</v>
      </c>
      <c r="G4947" t="str">
        <f>VLOOKUP(D4947,Товары!A:I,3,0)</f>
        <v>Зеркальный шкаф Сохо 60 белый со светильником правый цвет Белый глянец</v>
      </c>
      <c r="H4947">
        <f>VLOOKUP(D4947,Товары!A:I,6,0)</f>
        <v>75</v>
      </c>
      <c r="I4947" t="str">
        <f>VLOOKUP(C4947,Магазины!A:C,3,0)</f>
        <v>Оренбург</v>
      </c>
      <c r="J4947">
        <f>VLOOKUP(D4947,Товары!A:I,4,0)</f>
        <v>7395</v>
      </c>
      <c r="K4947">
        <f t="shared" si="77"/>
        <v>14790</v>
      </c>
    </row>
    <row r="4948" spans="1:11" hidden="1" x14ac:dyDescent="0.25">
      <c r="A4948">
        <v>4947</v>
      </c>
      <c r="B4948" s="1">
        <v>45757</v>
      </c>
      <c r="C4948" t="s">
        <v>18</v>
      </c>
      <c r="D4948" t="s">
        <v>117</v>
      </c>
      <c r="E4948" t="s">
        <v>13</v>
      </c>
      <c r="F4948">
        <v>2</v>
      </c>
      <c r="G4948" t="str">
        <f>VLOOKUP(D4948,Товары!A:I,3,0)</f>
        <v>Тумба с раковиной  навес. Альба 700 антрацит 2 ящика с умыв. Слим</v>
      </c>
      <c r="H4948">
        <f>VLOOKUP(D4948,Товары!A:I,6,0)</f>
        <v>60</v>
      </c>
      <c r="I4948" t="str">
        <f>VLOOKUP(C4948,Магазины!A:C,3,0)</f>
        <v>Набережные Челны</v>
      </c>
      <c r="J4948">
        <f>VLOOKUP(D4948,Товары!A:I,4,0)</f>
        <v>25095</v>
      </c>
      <c r="K4948">
        <f t="shared" si="77"/>
        <v>50190</v>
      </c>
    </row>
    <row r="4949" spans="1:11" hidden="1" x14ac:dyDescent="0.25">
      <c r="A4949">
        <v>4948</v>
      </c>
      <c r="B4949" s="1">
        <v>45753</v>
      </c>
      <c r="C4949" t="s">
        <v>92</v>
      </c>
      <c r="D4949" t="s">
        <v>85</v>
      </c>
      <c r="E4949" t="s">
        <v>13</v>
      </c>
      <c r="F4949">
        <v>3</v>
      </c>
      <c r="G4949" t="str">
        <f>VLOOKUP(D4949,Товары!A:I,3,0)</f>
        <v>Пенал напол. Аква 450 белый 2 двери + 2 ящика + корзина</v>
      </c>
      <c r="H4949">
        <f>VLOOKUP(D4949,Товары!A:I,6,0)</f>
        <v>190</v>
      </c>
      <c r="I4949" t="str">
        <f>VLOOKUP(C4949,Магазины!A:C,3,0)</f>
        <v>Кемерово</v>
      </c>
      <c r="J4949">
        <f>VLOOKUP(D4949,Товары!A:I,4,0)</f>
        <v>13335</v>
      </c>
      <c r="K4949">
        <f t="shared" si="77"/>
        <v>40005</v>
      </c>
    </row>
    <row r="4950" spans="1:11" hidden="1" x14ac:dyDescent="0.25">
      <c r="A4950">
        <v>4949</v>
      </c>
      <c r="B4950" s="1">
        <v>45757</v>
      </c>
      <c r="C4950" t="s">
        <v>48</v>
      </c>
      <c r="D4950" t="s">
        <v>100</v>
      </c>
      <c r="E4950" t="s">
        <v>13</v>
      </c>
      <c r="F4950">
        <v>1</v>
      </c>
      <c r="G4950" t="str">
        <f>VLOOKUP(D4950,Товары!A:I,3,0)</f>
        <v>Тумба с раковиной  навес. Альба 800 мята 1 ящик с умыв. Слим</v>
      </c>
      <c r="H4950">
        <f>VLOOKUP(D4950,Товары!A:I,6,0)</f>
        <v>45</v>
      </c>
      <c r="I4950" t="str">
        <f>VLOOKUP(C4950,Магазины!A:C,3,0)</f>
        <v>Ставрополь</v>
      </c>
      <c r="J4950">
        <f>VLOOKUP(D4950,Товары!A:I,4,0)</f>
        <v>21630</v>
      </c>
      <c r="K4950">
        <f t="shared" si="77"/>
        <v>21630</v>
      </c>
    </row>
    <row r="4951" spans="1:11" hidden="1" x14ac:dyDescent="0.25">
      <c r="A4951">
        <v>4950</v>
      </c>
      <c r="B4951" s="1">
        <v>45749</v>
      </c>
      <c r="C4951" t="s">
        <v>26</v>
      </c>
      <c r="D4951" t="s">
        <v>45</v>
      </c>
      <c r="E4951" t="s">
        <v>8</v>
      </c>
      <c r="F4951">
        <v>1</v>
      </c>
      <c r="G4951" t="str">
        <f>VLOOKUP(D4951,Товары!A:I,3,0)</f>
        <v>Зеркальный шкаф Рица 80 со светильником правый цвет cерый/керамика</v>
      </c>
      <c r="H4951">
        <f>VLOOKUP(D4951,Товары!A:I,6,0)</f>
        <v>75</v>
      </c>
      <c r="I4951" t="str">
        <f>VLOOKUP(C4951,Магазины!A:C,3,0)</f>
        <v>Оренбург</v>
      </c>
      <c r="J4951">
        <f>VLOOKUP(D4951,Товары!A:I,4,0)</f>
        <v>9930</v>
      </c>
      <c r="K4951">
        <f t="shared" si="77"/>
        <v>9930</v>
      </c>
    </row>
    <row r="4952" spans="1:11" hidden="1" x14ac:dyDescent="0.25">
      <c r="A4952">
        <v>4951</v>
      </c>
      <c r="B4952" s="1">
        <v>45749</v>
      </c>
      <c r="C4952" t="s">
        <v>16</v>
      </c>
      <c r="D4952" t="s">
        <v>25</v>
      </c>
      <c r="E4952" t="s">
        <v>8</v>
      </c>
      <c r="F4952">
        <v>1</v>
      </c>
      <c r="G4952" t="str">
        <f>VLOOKUP(D4952,Товары!A:I,3,0)</f>
        <v>Пенал напол. Леон 400 оникс 2 двери + 1 ящик</v>
      </c>
      <c r="H4952">
        <f>VLOOKUP(D4952,Товары!A:I,6,0)</f>
        <v>190</v>
      </c>
      <c r="I4952" t="str">
        <f>VLOOKUP(C4952,Магазины!A:C,3,0)</f>
        <v>Оренбург</v>
      </c>
      <c r="J4952">
        <f>VLOOKUP(D4952,Товары!A:I,4,0)</f>
        <v>18450</v>
      </c>
      <c r="K4952">
        <f t="shared" si="77"/>
        <v>18450</v>
      </c>
    </row>
    <row r="4953" spans="1:11" hidden="1" x14ac:dyDescent="0.25">
      <c r="A4953">
        <v>4952</v>
      </c>
      <c r="B4953" s="1">
        <v>45755</v>
      </c>
      <c r="C4953" t="s">
        <v>43</v>
      </c>
      <c r="D4953" t="s">
        <v>61</v>
      </c>
      <c r="E4953" t="s">
        <v>8</v>
      </c>
      <c r="F4953">
        <v>2</v>
      </c>
      <c r="G4953" t="str">
        <f>VLOOKUP(D4953,Товары!A:I,3,0)</f>
        <v>Тумба под стиральную машину Леон Риф 57 напольная 2 ящика под ст/маш, без умывальника /под Marshall 120 Солярис/Белый Риф</v>
      </c>
      <c r="H4953">
        <f>VLOOKUP(D4953,Товары!A:I,6,0)</f>
        <v>85</v>
      </c>
      <c r="I4953" t="str">
        <f>VLOOKUP(C4953,Магазины!A:C,3,0)</f>
        <v>Набережные Челны</v>
      </c>
      <c r="J4953">
        <f>VLOOKUP(D4953,Товары!A:I,4,0)</f>
        <v>17430</v>
      </c>
      <c r="K4953">
        <f t="shared" si="77"/>
        <v>34860</v>
      </c>
    </row>
    <row r="4954" spans="1:11" hidden="1" x14ac:dyDescent="0.25">
      <c r="A4954">
        <v>4953</v>
      </c>
      <c r="B4954" s="1">
        <v>45756</v>
      </c>
      <c r="C4954" t="s">
        <v>18</v>
      </c>
      <c r="D4954" t="s">
        <v>32</v>
      </c>
      <c r="E4954" t="s">
        <v>8</v>
      </c>
      <c r="F4954">
        <v>3</v>
      </c>
      <c r="G4954" t="str">
        <f>VLOOKUP(D4954,Товары!A:I,3,0)</f>
        <v>Тумба с раковиной  напол. Леон Риф 700 солярис/белый риф 2 ящика с умыв. Слим</v>
      </c>
      <c r="H4954">
        <f>VLOOKUP(D4954,Товары!A:I,6,0)</f>
        <v>85</v>
      </c>
      <c r="I4954" t="str">
        <f>VLOOKUP(C4954,Магазины!A:C,3,0)</f>
        <v>Набережные Челны</v>
      </c>
      <c r="J4954">
        <f>VLOOKUP(D4954,Товары!A:I,4,0)</f>
        <v>26460</v>
      </c>
      <c r="K4954">
        <f t="shared" si="77"/>
        <v>79380</v>
      </c>
    </row>
    <row r="4955" spans="1:11" hidden="1" x14ac:dyDescent="0.25">
      <c r="A4955">
        <v>4954</v>
      </c>
      <c r="B4955" s="1">
        <v>45753</v>
      </c>
      <c r="C4955" t="s">
        <v>35</v>
      </c>
      <c r="D4955" t="s">
        <v>75</v>
      </c>
      <c r="E4955" t="s">
        <v>13</v>
      </c>
      <c r="F4955">
        <v>1</v>
      </c>
      <c r="G4955" t="str">
        <f>VLOOKUP(D4955,Товары!A:I,3,0)</f>
        <v>Тумба с раковиной  напол. Альба 600 суфле 2 ящика с умыв. Океан</v>
      </c>
      <c r="H4955">
        <f>VLOOKUP(D4955,Товары!A:I,6,0)</f>
        <v>80</v>
      </c>
      <c r="I4955" t="str">
        <f>VLOOKUP(C4955,Магазины!A:C,3,0)</f>
        <v>Набережные Челны</v>
      </c>
      <c r="J4955">
        <f>VLOOKUP(D4955,Товары!A:I,4,0)</f>
        <v>26370</v>
      </c>
      <c r="K4955">
        <f t="shared" si="77"/>
        <v>26370</v>
      </c>
    </row>
    <row r="4956" spans="1:11" hidden="1" x14ac:dyDescent="0.25">
      <c r="A4956">
        <v>4955</v>
      </c>
      <c r="B4956" s="1">
        <v>45756</v>
      </c>
      <c r="C4956" t="s">
        <v>63</v>
      </c>
      <c r="D4956" t="s">
        <v>23</v>
      </c>
      <c r="E4956" t="s">
        <v>8</v>
      </c>
      <c r="F4956">
        <v>2</v>
      </c>
      <c r="G4956" t="str">
        <f>VLOOKUP(D4956,Товары!A:I,3,0)</f>
        <v>Тумба с раковиной  напол. Альба 800 антрацит 2 ящика с умыв. Слим</v>
      </c>
      <c r="H4956">
        <f>VLOOKUP(D4956,Товары!A:I,6,0)</f>
        <v>80</v>
      </c>
      <c r="I4956" t="str">
        <f>VLOOKUP(C4956,Магазины!A:C,3,0)</f>
        <v>Ставрополь</v>
      </c>
      <c r="J4956">
        <f>VLOOKUP(D4956,Товары!A:I,4,0)</f>
        <v>29340</v>
      </c>
      <c r="K4956">
        <f t="shared" si="77"/>
        <v>58680</v>
      </c>
    </row>
    <row r="4957" spans="1:11" hidden="1" x14ac:dyDescent="0.25">
      <c r="A4957">
        <v>4956</v>
      </c>
      <c r="B4957" s="1">
        <v>45757</v>
      </c>
      <c r="C4957" t="s">
        <v>111</v>
      </c>
      <c r="D4957" t="s">
        <v>10</v>
      </c>
      <c r="E4957" t="s">
        <v>13</v>
      </c>
      <c r="F4957">
        <v>3</v>
      </c>
      <c r="G4957" t="str">
        <f>VLOOKUP(D4957,Товары!A:I,3,0)</f>
        <v>Тумба с раковиной  навес. Альба 700 антрацит 1 ящик с умыв. Слим</v>
      </c>
      <c r="H4957">
        <f>VLOOKUP(D4957,Товары!A:I,6,0)</f>
        <v>45</v>
      </c>
      <c r="I4957" t="str">
        <f>VLOOKUP(C4957,Магазины!A:C,3,0)</f>
        <v>Набережные Челны</v>
      </c>
      <c r="J4957">
        <f>VLOOKUP(D4957,Товары!A:I,4,0)</f>
        <v>20130</v>
      </c>
      <c r="K4957">
        <f t="shared" si="77"/>
        <v>60390</v>
      </c>
    </row>
    <row r="4958" spans="1:11" hidden="1" x14ac:dyDescent="0.25">
      <c r="A4958">
        <v>4957</v>
      </c>
      <c r="B4958" s="1">
        <v>45757</v>
      </c>
      <c r="C4958" t="s">
        <v>63</v>
      </c>
      <c r="D4958" t="s">
        <v>108</v>
      </c>
      <c r="E4958" t="s">
        <v>8</v>
      </c>
      <c r="F4958">
        <v>2</v>
      </c>
      <c r="G4958" t="str">
        <f>VLOOKUP(D4958,Товары!A:I,3,0)</f>
        <v>Тумба с раковиной  навес. Виктория 1000 белый 2 ящика с умыв. Слим</v>
      </c>
      <c r="H4958">
        <f>VLOOKUP(D4958,Товары!A:I,6,0)</f>
        <v>60</v>
      </c>
      <c r="I4958" t="str">
        <f>VLOOKUP(C4958,Магазины!A:C,3,0)</f>
        <v>Ставрополь</v>
      </c>
      <c r="J4958">
        <f>VLOOKUP(D4958,Товары!A:I,4,0)</f>
        <v>29205</v>
      </c>
      <c r="K4958">
        <f t="shared" si="77"/>
        <v>58410</v>
      </c>
    </row>
    <row r="4959" spans="1:11" hidden="1" x14ac:dyDescent="0.25">
      <c r="A4959">
        <v>4958</v>
      </c>
      <c r="B4959" s="1">
        <v>45755</v>
      </c>
      <c r="C4959" t="s">
        <v>57</v>
      </c>
      <c r="D4959" t="s">
        <v>110</v>
      </c>
      <c r="E4959" t="s">
        <v>13</v>
      </c>
      <c r="F4959">
        <v>3</v>
      </c>
      <c r="G4959" t="str">
        <f>VLOOKUP(D4959,Товары!A:I,3,0)</f>
        <v>Тумба с раковиной  напол. Альба 600 антрацит 2 ящика с умыв. Океан</v>
      </c>
      <c r="H4959">
        <f>VLOOKUP(D4959,Товары!A:I,6,0)</f>
        <v>80</v>
      </c>
      <c r="I4959" t="str">
        <f>VLOOKUP(C4959,Магазины!A:C,3,0)</f>
        <v>Оренбург</v>
      </c>
      <c r="J4959">
        <f>VLOOKUP(D4959,Товары!A:I,4,0)</f>
        <v>26370</v>
      </c>
      <c r="K4959">
        <f t="shared" si="77"/>
        <v>79110</v>
      </c>
    </row>
    <row r="4960" spans="1:11" hidden="1" x14ac:dyDescent="0.25">
      <c r="A4960">
        <v>4959</v>
      </c>
      <c r="B4960" s="1">
        <v>45748</v>
      </c>
      <c r="C4960" t="s">
        <v>103</v>
      </c>
      <c r="D4960" t="s">
        <v>85</v>
      </c>
      <c r="E4960" t="s">
        <v>13</v>
      </c>
      <c r="F4960">
        <v>1</v>
      </c>
      <c r="G4960" t="str">
        <f>VLOOKUP(D4960,Товары!A:I,3,0)</f>
        <v>Пенал напол. Аква 450 белый 2 двери + 2 ящика + корзина</v>
      </c>
      <c r="H4960">
        <f>VLOOKUP(D4960,Товары!A:I,6,0)</f>
        <v>190</v>
      </c>
      <c r="I4960" t="str">
        <f>VLOOKUP(C4960,Магазины!A:C,3,0)</f>
        <v>Ставрополь</v>
      </c>
      <c r="J4960">
        <f>VLOOKUP(D4960,Товары!A:I,4,0)</f>
        <v>13335</v>
      </c>
      <c r="K4960">
        <f t="shared" si="77"/>
        <v>13335</v>
      </c>
    </row>
    <row r="4961" spans="1:11" hidden="1" x14ac:dyDescent="0.25">
      <c r="A4961">
        <v>4960</v>
      </c>
      <c r="B4961" s="1">
        <v>45751</v>
      </c>
      <c r="C4961" t="s">
        <v>18</v>
      </c>
      <c r="D4961" t="s">
        <v>66</v>
      </c>
      <c r="E4961" t="s">
        <v>8</v>
      </c>
      <c r="F4961">
        <v>1</v>
      </c>
      <c r="G4961" t="str">
        <f>VLOOKUP(D4961,Товары!A:I,3,0)</f>
        <v>Тумба с раковиной  навес. Альба 800 мята 2 ящика с умыв. Слим</v>
      </c>
      <c r="H4961">
        <f>VLOOKUP(D4961,Товары!A:I,6,0)</f>
        <v>50</v>
      </c>
      <c r="I4961" t="str">
        <f>VLOOKUP(C4961,Магазины!A:C,3,0)</f>
        <v>Набережные Челны</v>
      </c>
      <c r="J4961">
        <f>VLOOKUP(D4961,Товары!A:I,4,0)</f>
        <v>26070</v>
      </c>
      <c r="K4961">
        <f t="shared" si="77"/>
        <v>26070</v>
      </c>
    </row>
    <row r="4962" spans="1:11" hidden="1" x14ac:dyDescent="0.25">
      <c r="A4962">
        <v>4961</v>
      </c>
      <c r="B4962" s="1">
        <v>45748</v>
      </c>
      <c r="C4962" t="s">
        <v>63</v>
      </c>
      <c r="D4962" t="s">
        <v>105</v>
      </c>
      <c r="E4962" t="s">
        <v>8</v>
      </c>
      <c r="F4962">
        <v>3</v>
      </c>
      <c r="G4962" t="str">
        <f>VLOOKUP(D4962,Товары!A:I,3,0)</f>
        <v>Тумба с раковиной  напол. Нева 600 белый 2 двери + 1 ящик с умыв. Como</v>
      </c>
      <c r="H4962">
        <f>VLOOKUP(D4962,Товары!A:I,6,0)</f>
        <v>80</v>
      </c>
      <c r="I4962" t="str">
        <f>VLOOKUP(C4962,Магазины!A:C,3,0)</f>
        <v>Ставрополь</v>
      </c>
      <c r="J4962">
        <f>VLOOKUP(D4962,Товары!A:I,4,0)</f>
        <v>13470</v>
      </c>
      <c r="K4962">
        <f t="shared" si="77"/>
        <v>40410</v>
      </c>
    </row>
    <row r="4963" spans="1:11" hidden="1" x14ac:dyDescent="0.25">
      <c r="A4963">
        <v>4962</v>
      </c>
      <c r="B4963" s="1">
        <v>45756</v>
      </c>
      <c r="C4963" t="s">
        <v>22</v>
      </c>
      <c r="D4963" t="s">
        <v>96</v>
      </c>
      <c r="E4963" t="s">
        <v>8</v>
      </c>
      <c r="F4963">
        <v>3</v>
      </c>
      <c r="G4963" t="str">
        <f>VLOOKUP(D4963,Товары!A:I,3,0)</f>
        <v>Тумба с раковиной  навес. Альба 600 мята 1 ящик с умыв. Океан</v>
      </c>
      <c r="H4963">
        <f>VLOOKUP(D4963,Товары!A:I,6,0)</f>
        <v>85</v>
      </c>
      <c r="I4963" t="str">
        <f>VLOOKUP(C4963,Магазины!A:C,3,0)</f>
        <v>Кемерово</v>
      </c>
      <c r="J4963">
        <f>VLOOKUP(D4963,Товары!A:I,4,0)</f>
        <v>17625</v>
      </c>
      <c r="K4963">
        <f t="shared" si="77"/>
        <v>52875</v>
      </c>
    </row>
    <row r="4964" spans="1:11" hidden="1" x14ac:dyDescent="0.25">
      <c r="A4964">
        <v>4963</v>
      </c>
      <c r="B4964" s="1">
        <v>45756</v>
      </c>
      <c r="C4964" t="s">
        <v>41</v>
      </c>
      <c r="D4964" t="s">
        <v>40</v>
      </c>
      <c r="E4964" t="s">
        <v>8</v>
      </c>
      <c r="F4964">
        <v>3</v>
      </c>
      <c r="G4964" t="str">
        <f>VLOOKUP(D4964,Товары!A:I,3,0)</f>
        <v>Тумба с раковиной  навес. Рица 800 cерый/керамика 1 ящик + ниша 1 с умыв. Слим</v>
      </c>
      <c r="H4964">
        <f>VLOOKUP(D4964,Товары!A:I,6,0)</f>
        <v>60</v>
      </c>
      <c r="I4964" t="str">
        <f>VLOOKUP(C4964,Магазины!A:C,3,0)</f>
        <v>Ставрополь</v>
      </c>
      <c r="J4964">
        <f>VLOOKUP(D4964,Товары!A:I,4,0)</f>
        <v>22425</v>
      </c>
      <c r="K4964">
        <f t="shared" si="77"/>
        <v>67275</v>
      </c>
    </row>
    <row r="4965" spans="1:11" hidden="1" x14ac:dyDescent="0.25">
      <c r="A4965">
        <v>4964</v>
      </c>
      <c r="B4965" s="1">
        <v>45753</v>
      </c>
      <c r="C4965" t="s">
        <v>92</v>
      </c>
      <c r="D4965" t="s">
        <v>123</v>
      </c>
      <c r="E4965" t="s">
        <v>8</v>
      </c>
      <c r="F4965">
        <v>1</v>
      </c>
      <c r="G4965" t="str">
        <f>VLOOKUP(D4965,Товары!A:I,3,0)</f>
        <v>Тумба с раковиной  напол. Кристалл 800 суфле 2 ящика с умыв. Слим</v>
      </c>
      <c r="H4965">
        <f>VLOOKUP(D4965,Товары!A:I,6,0)</f>
        <v>80</v>
      </c>
      <c r="I4965" t="str">
        <f>VLOOKUP(C4965,Магазины!A:C,3,0)</f>
        <v>Кемерово</v>
      </c>
      <c r="J4965">
        <f>VLOOKUP(D4965,Товары!A:I,4,0)</f>
        <v>31125</v>
      </c>
      <c r="K4965">
        <f t="shared" si="77"/>
        <v>31125</v>
      </c>
    </row>
    <row r="4966" spans="1:11" hidden="1" x14ac:dyDescent="0.25">
      <c r="A4966">
        <v>4965</v>
      </c>
      <c r="B4966" s="1">
        <v>45749</v>
      </c>
      <c r="C4966" t="s">
        <v>54</v>
      </c>
      <c r="D4966" t="s">
        <v>29</v>
      </c>
      <c r="E4966" t="s">
        <v>8</v>
      </c>
      <c r="F4966">
        <v>2</v>
      </c>
      <c r="G4966" t="str">
        <f>VLOOKUP(D4966,Товары!A:I,3,0)</f>
        <v>Тумба с раковиной  напол. Леон Риф 600 солярис/белый риф 2 ящика с умыв. Океан</v>
      </c>
      <c r="H4966">
        <f>VLOOKUP(D4966,Товары!A:I,6,0)</f>
        <v>80</v>
      </c>
      <c r="I4966" t="str">
        <f>VLOOKUP(C4966,Магазины!A:C,3,0)</f>
        <v>Ставрополь</v>
      </c>
      <c r="J4966">
        <f>VLOOKUP(D4966,Товары!A:I,4,0)</f>
        <v>24150</v>
      </c>
      <c r="K4966">
        <f t="shared" si="77"/>
        <v>48300</v>
      </c>
    </row>
    <row r="4967" spans="1:11" hidden="1" x14ac:dyDescent="0.25">
      <c r="A4967">
        <v>4966</v>
      </c>
      <c r="B4967" s="1">
        <v>45752</v>
      </c>
      <c r="C4967" t="s">
        <v>22</v>
      </c>
      <c r="D4967" t="s">
        <v>27</v>
      </c>
      <c r="E4967" t="s">
        <v>13</v>
      </c>
      <c r="F4967">
        <v>2</v>
      </c>
      <c r="G4967" t="str">
        <f>VLOOKUP(D4967,Товары!A:I,3,0)</f>
        <v>Тумба с раковиной  навес. Виктория 800 белый 2 ящика с умыв. Слим</v>
      </c>
      <c r="H4967">
        <f>VLOOKUP(D4967,Товары!A:I,6,0)</f>
        <v>60</v>
      </c>
      <c r="I4967" t="str">
        <f>VLOOKUP(C4967,Магазины!A:C,3,0)</f>
        <v>Кемерово</v>
      </c>
      <c r="J4967">
        <f>VLOOKUP(D4967,Товары!A:I,4,0)</f>
        <v>25290</v>
      </c>
      <c r="K4967">
        <f t="shared" si="77"/>
        <v>50580</v>
      </c>
    </row>
    <row r="4968" spans="1:11" hidden="1" x14ac:dyDescent="0.25">
      <c r="A4968">
        <v>4967</v>
      </c>
      <c r="B4968" s="1">
        <v>45751</v>
      </c>
      <c r="C4968" t="s">
        <v>16</v>
      </c>
      <c r="D4968" t="s">
        <v>76</v>
      </c>
      <c r="E4968" t="s">
        <v>13</v>
      </c>
      <c r="F4968">
        <v>1</v>
      </c>
      <c r="G4968" t="str">
        <f>VLOOKUP(D4968,Товары!A:I,3,0)</f>
        <v>Тумба с раковиной  напол. Леон 600 оникс 2 ящика с умыв. Слим</v>
      </c>
      <c r="H4968">
        <f>VLOOKUP(D4968,Товары!A:I,6,0)</f>
        <v>80</v>
      </c>
      <c r="I4968" t="str">
        <f>VLOOKUP(C4968,Магазины!A:C,3,0)</f>
        <v>Оренбург</v>
      </c>
      <c r="J4968">
        <f>VLOOKUP(D4968,Товары!A:I,4,0)</f>
        <v>25860</v>
      </c>
      <c r="K4968">
        <f t="shared" si="77"/>
        <v>25860</v>
      </c>
    </row>
    <row r="4969" spans="1:11" hidden="1" x14ac:dyDescent="0.25">
      <c r="A4969">
        <v>4968</v>
      </c>
      <c r="B4969" s="1">
        <v>45753</v>
      </c>
      <c r="C4969" t="s">
        <v>103</v>
      </c>
      <c r="D4969" t="s">
        <v>91</v>
      </c>
      <c r="E4969" t="s">
        <v>13</v>
      </c>
      <c r="F4969">
        <v>3</v>
      </c>
      <c r="G4969" t="str">
        <f>VLOOKUP(D4969,Товары!A:I,3,0)</f>
        <v>Пенал навес./напол. Альба 350 мята 2 двери</v>
      </c>
      <c r="H4969">
        <f>VLOOKUP(D4969,Товары!A:I,6,0)</f>
        <v>150</v>
      </c>
      <c r="I4969" t="str">
        <f>VLOOKUP(C4969,Магазины!A:C,3,0)</f>
        <v>Ставрополь</v>
      </c>
      <c r="J4969">
        <f>VLOOKUP(D4969,Товары!A:I,4,0)</f>
        <v>11655</v>
      </c>
      <c r="K4969">
        <f t="shared" si="77"/>
        <v>34965</v>
      </c>
    </row>
    <row r="4970" spans="1:11" hidden="1" x14ac:dyDescent="0.25">
      <c r="A4970">
        <v>4969</v>
      </c>
      <c r="B4970" s="1">
        <v>45753</v>
      </c>
      <c r="C4970" t="s">
        <v>28</v>
      </c>
      <c r="D4970" t="s">
        <v>90</v>
      </c>
      <c r="E4970" t="s">
        <v>8</v>
      </c>
      <c r="F4970">
        <v>2</v>
      </c>
      <c r="G4970" t="str">
        <f>VLOOKUP(D4970,Товары!A:I,3,0)</f>
        <v>Пенал напол. Аква 350 белый 2 двери + 2 ящика</v>
      </c>
      <c r="H4970">
        <f>VLOOKUP(D4970,Товары!A:I,6,0)</f>
        <v>190</v>
      </c>
      <c r="I4970" t="str">
        <f>VLOOKUP(C4970,Магазины!A:C,3,0)</f>
        <v>Набережные Челны</v>
      </c>
      <c r="J4970">
        <f>VLOOKUP(D4970,Товары!A:I,4,0)</f>
        <v>10650</v>
      </c>
      <c r="K4970">
        <f t="shared" si="77"/>
        <v>21300</v>
      </c>
    </row>
    <row r="4971" spans="1:11" hidden="1" x14ac:dyDescent="0.25">
      <c r="A4971">
        <v>4970</v>
      </c>
      <c r="B4971" s="1">
        <v>45753</v>
      </c>
      <c r="C4971" t="s">
        <v>9</v>
      </c>
      <c r="D4971" t="s">
        <v>59</v>
      </c>
      <c r="E4971" t="s">
        <v>13</v>
      </c>
      <c r="F4971">
        <v>3</v>
      </c>
      <c r="G4971" t="str">
        <f>VLOOKUP(D4971,Товары!A:I,3,0)</f>
        <v>Тумба с раковиной  навес. Куба Риф 600 белый 2 ящика с умыв. Океан</v>
      </c>
      <c r="H4971">
        <f>VLOOKUP(D4971,Товары!A:I,6,0)</f>
        <v>55</v>
      </c>
      <c r="I4971" t="str">
        <f>VLOOKUP(C4971,Магазины!A:C,3,0)</f>
        <v>Кемерово</v>
      </c>
      <c r="J4971">
        <f>VLOOKUP(D4971,Товары!A:I,4,0)</f>
        <v>15765</v>
      </c>
      <c r="K4971">
        <f t="shared" si="77"/>
        <v>47295</v>
      </c>
    </row>
    <row r="4972" spans="1:11" hidden="1" x14ac:dyDescent="0.25">
      <c r="A4972">
        <v>4971</v>
      </c>
      <c r="B4972" s="1">
        <v>45754</v>
      </c>
      <c r="C4972" t="s">
        <v>9</v>
      </c>
      <c r="D4972" t="s">
        <v>120</v>
      </c>
      <c r="E4972" t="s">
        <v>13</v>
      </c>
      <c r="F4972">
        <v>1</v>
      </c>
      <c r="G4972" t="str">
        <f>VLOOKUP(D4972,Товары!A:I,3,0)</f>
        <v>Зеркальный шкаф Альба 60 со светильником правый цвет антрацит</v>
      </c>
      <c r="H4972">
        <f>VLOOKUP(D4972,Товары!A:I,6,0)</f>
        <v>75</v>
      </c>
      <c r="I4972" t="str">
        <f>VLOOKUP(C4972,Магазины!A:C,3,0)</f>
        <v>Кемерово</v>
      </c>
      <c r="J4972">
        <f>VLOOKUP(D4972,Товары!A:I,4,0)</f>
        <v>8910</v>
      </c>
      <c r="K4972">
        <f t="shared" si="77"/>
        <v>8910</v>
      </c>
    </row>
    <row r="4973" spans="1:11" hidden="1" x14ac:dyDescent="0.25">
      <c r="A4973">
        <v>4972</v>
      </c>
      <c r="B4973" s="1">
        <v>45750</v>
      </c>
      <c r="C4973" t="s">
        <v>43</v>
      </c>
      <c r="D4973" t="s">
        <v>83</v>
      </c>
      <c r="E4973" t="s">
        <v>13</v>
      </c>
      <c r="F4973">
        <v>3</v>
      </c>
      <c r="G4973" t="str">
        <f>VLOOKUP(D4973,Товары!A:I,3,0)</f>
        <v>Зеркальный шкаф Альба 60 со светильником правый цвет суфле</v>
      </c>
      <c r="H4973">
        <f>VLOOKUP(D4973,Товары!A:I,6,0)</f>
        <v>75</v>
      </c>
      <c r="I4973" t="str">
        <f>VLOOKUP(C4973,Магазины!A:C,3,0)</f>
        <v>Набережные Челны</v>
      </c>
      <c r="J4973">
        <f>VLOOKUP(D4973,Товары!A:I,4,0)</f>
        <v>8910</v>
      </c>
      <c r="K4973">
        <f t="shared" si="77"/>
        <v>26730</v>
      </c>
    </row>
    <row r="4974" spans="1:11" hidden="1" x14ac:dyDescent="0.25">
      <c r="A4974">
        <v>4973</v>
      </c>
      <c r="B4974" s="1">
        <v>45756</v>
      </c>
      <c r="C4974" t="s">
        <v>58</v>
      </c>
      <c r="D4974" t="s">
        <v>100</v>
      </c>
      <c r="E4974" t="s">
        <v>8</v>
      </c>
      <c r="F4974">
        <v>1</v>
      </c>
      <c r="G4974" t="str">
        <f>VLOOKUP(D4974,Товары!A:I,3,0)</f>
        <v>Тумба с раковиной  навес. Альба 800 мята 1 ящик с умыв. Слим</v>
      </c>
      <c r="H4974">
        <f>VLOOKUP(D4974,Товары!A:I,6,0)</f>
        <v>45</v>
      </c>
      <c r="I4974" t="str">
        <f>VLOOKUP(C4974,Магазины!A:C,3,0)</f>
        <v>Ставрополь</v>
      </c>
      <c r="J4974">
        <f>VLOOKUP(D4974,Товары!A:I,4,0)</f>
        <v>21630</v>
      </c>
      <c r="K4974">
        <f t="shared" si="77"/>
        <v>21630</v>
      </c>
    </row>
    <row r="4975" spans="1:11" hidden="1" x14ac:dyDescent="0.25">
      <c r="A4975">
        <v>4974</v>
      </c>
      <c r="B4975" s="1">
        <v>45757</v>
      </c>
      <c r="C4975" t="s">
        <v>92</v>
      </c>
      <c r="D4975" t="s">
        <v>118</v>
      </c>
      <c r="E4975" t="s">
        <v>8</v>
      </c>
      <c r="F4975">
        <v>3</v>
      </c>
      <c r="G4975" t="str">
        <f>VLOOKUP(D4975,Товары!A:I,3,0)</f>
        <v>Тумба с раковиной  напол. Сохо 800 белый 2 ящика с умыв. Слим</v>
      </c>
      <c r="H4975">
        <f>VLOOKUP(D4975,Товары!A:I,6,0)</f>
        <v>85</v>
      </c>
      <c r="I4975" t="str">
        <f>VLOOKUP(C4975,Магазины!A:C,3,0)</f>
        <v>Кемерово</v>
      </c>
      <c r="J4975">
        <f>VLOOKUP(D4975,Товары!A:I,4,0)</f>
        <v>19575</v>
      </c>
      <c r="K4975">
        <f t="shared" si="77"/>
        <v>58725</v>
      </c>
    </row>
    <row r="4976" spans="1:11" hidden="1" x14ac:dyDescent="0.25">
      <c r="A4976">
        <v>4975</v>
      </c>
      <c r="B4976" s="1">
        <v>45754</v>
      </c>
      <c r="C4976" t="s">
        <v>30</v>
      </c>
      <c r="D4976" t="s">
        <v>27</v>
      </c>
      <c r="E4976" t="s">
        <v>13</v>
      </c>
      <c r="F4976">
        <v>1</v>
      </c>
      <c r="G4976" t="str">
        <f>VLOOKUP(D4976,Товары!A:I,3,0)</f>
        <v>Тумба с раковиной  навес. Виктория 800 белый 2 ящика с умыв. Слим</v>
      </c>
      <c r="H4976">
        <f>VLOOKUP(D4976,Товары!A:I,6,0)</f>
        <v>60</v>
      </c>
      <c r="I4976" t="str">
        <f>VLOOKUP(C4976,Магазины!A:C,3,0)</f>
        <v>Кемерово</v>
      </c>
      <c r="J4976">
        <f>VLOOKUP(D4976,Товары!A:I,4,0)</f>
        <v>25290</v>
      </c>
      <c r="K4976">
        <f t="shared" si="77"/>
        <v>25290</v>
      </c>
    </row>
    <row r="4977" spans="1:11" hidden="1" x14ac:dyDescent="0.25">
      <c r="A4977">
        <v>4976</v>
      </c>
      <c r="B4977" s="1">
        <v>45750</v>
      </c>
      <c r="C4977" t="s">
        <v>9</v>
      </c>
      <c r="D4977" t="s">
        <v>72</v>
      </c>
      <c r="E4977" t="s">
        <v>13</v>
      </c>
      <c r="F4977">
        <v>2</v>
      </c>
      <c r="G4977" t="str">
        <f>VLOOKUP(D4977,Товары!A:I,3,0)</f>
        <v>Тумба с раковиной  напол. Сохо 600 белый 2 ящика с умыв. Океан</v>
      </c>
      <c r="H4977">
        <f>VLOOKUP(D4977,Товары!A:I,6,0)</f>
        <v>85</v>
      </c>
      <c r="I4977" t="str">
        <f>VLOOKUP(C4977,Магазины!A:C,3,0)</f>
        <v>Кемерово</v>
      </c>
      <c r="J4977">
        <f>VLOOKUP(D4977,Товары!A:I,4,0)</f>
        <v>16140</v>
      </c>
      <c r="K4977">
        <f t="shared" si="77"/>
        <v>32280</v>
      </c>
    </row>
    <row r="4978" spans="1:11" hidden="1" x14ac:dyDescent="0.25">
      <c r="A4978">
        <v>4977</v>
      </c>
      <c r="B4978" s="1">
        <v>45757</v>
      </c>
      <c r="C4978" t="s">
        <v>18</v>
      </c>
      <c r="D4978" t="s">
        <v>83</v>
      </c>
      <c r="E4978" t="s">
        <v>8</v>
      </c>
      <c r="F4978">
        <v>2</v>
      </c>
      <c r="G4978" t="str">
        <f>VLOOKUP(D4978,Товары!A:I,3,0)</f>
        <v>Зеркальный шкаф Альба 60 со светильником правый цвет суфле</v>
      </c>
      <c r="H4978">
        <f>VLOOKUP(D4978,Товары!A:I,6,0)</f>
        <v>75</v>
      </c>
      <c r="I4978" t="str">
        <f>VLOOKUP(C4978,Магазины!A:C,3,0)</f>
        <v>Набережные Челны</v>
      </c>
      <c r="J4978">
        <f>VLOOKUP(D4978,Товары!A:I,4,0)</f>
        <v>8910</v>
      </c>
      <c r="K4978">
        <f t="shared" si="77"/>
        <v>17820</v>
      </c>
    </row>
    <row r="4979" spans="1:11" hidden="1" x14ac:dyDescent="0.25">
      <c r="A4979">
        <v>4978</v>
      </c>
      <c r="B4979" s="1">
        <v>45749</v>
      </c>
      <c r="C4979" t="s">
        <v>14</v>
      </c>
      <c r="D4979" t="s">
        <v>40</v>
      </c>
      <c r="E4979" t="s">
        <v>8</v>
      </c>
      <c r="F4979">
        <v>1</v>
      </c>
      <c r="G4979" t="str">
        <f>VLOOKUP(D4979,Товары!A:I,3,0)</f>
        <v>Тумба с раковиной  навес. Рица 800 cерый/керамика 1 ящик + ниша 1 с умыв. Слим</v>
      </c>
      <c r="H4979">
        <f>VLOOKUP(D4979,Товары!A:I,6,0)</f>
        <v>60</v>
      </c>
      <c r="I4979" t="str">
        <f>VLOOKUP(C4979,Магазины!A:C,3,0)</f>
        <v>Оренбург</v>
      </c>
      <c r="J4979">
        <f>VLOOKUP(D4979,Товары!A:I,4,0)</f>
        <v>22425</v>
      </c>
      <c r="K4979">
        <f t="shared" si="77"/>
        <v>22425</v>
      </c>
    </row>
    <row r="4980" spans="1:11" hidden="1" x14ac:dyDescent="0.25">
      <c r="A4980">
        <v>4979</v>
      </c>
      <c r="B4980" s="1">
        <v>45751</v>
      </c>
      <c r="C4980" t="s">
        <v>16</v>
      </c>
      <c r="D4980" t="s">
        <v>94</v>
      </c>
      <c r="E4980" t="s">
        <v>8</v>
      </c>
      <c r="F4980">
        <v>2</v>
      </c>
      <c r="G4980" t="str">
        <f>VLOOKUP(D4980,Товары!A:I,3,0)</f>
        <v>Зеркальный шкаф Альба 80 со светильником правый цвет антрацит</v>
      </c>
      <c r="H4980">
        <f>VLOOKUP(D4980,Товары!A:I,6,0)</f>
        <v>75</v>
      </c>
      <c r="I4980" t="str">
        <f>VLOOKUP(C4980,Магазины!A:C,3,0)</f>
        <v>Оренбург</v>
      </c>
      <c r="J4980">
        <f>VLOOKUP(D4980,Товары!A:I,4,0)</f>
        <v>9930</v>
      </c>
      <c r="K4980">
        <f t="shared" si="77"/>
        <v>19860</v>
      </c>
    </row>
    <row r="4981" spans="1:11" hidden="1" x14ac:dyDescent="0.25">
      <c r="A4981">
        <v>4980</v>
      </c>
      <c r="B4981" s="1">
        <v>45757</v>
      </c>
      <c r="C4981" t="s">
        <v>43</v>
      </c>
      <c r="D4981" t="s">
        <v>70</v>
      </c>
      <c r="E4981" t="s">
        <v>13</v>
      </c>
      <c r="F4981">
        <v>3</v>
      </c>
      <c r="G4981" t="str">
        <f>VLOOKUP(D4981,Товары!A:I,3,0)</f>
        <v>Тумба с раковиной  напол. Кристалл 700 шато азур 2 ящика с умыв. Слим</v>
      </c>
      <c r="H4981">
        <f>VLOOKUP(D4981,Товары!A:I,6,0)</f>
        <v>85</v>
      </c>
      <c r="I4981" t="str">
        <f>VLOOKUP(C4981,Магазины!A:C,3,0)</f>
        <v>Набережные Челны</v>
      </c>
      <c r="J4981">
        <f>VLOOKUP(D4981,Товары!A:I,4,0)</f>
        <v>29910</v>
      </c>
      <c r="K4981">
        <f t="shared" si="77"/>
        <v>89730</v>
      </c>
    </row>
    <row r="4982" spans="1:11" hidden="1" x14ac:dyDescent="0.25">
      <c r="A4982">
        <v>4981</v>
      </c>
      <c r="B4982" s="1">
        <v>45756</v>
      </c>
      <c r="C4982" t="s">
        <v>30</v>
      </c>
      <c r="D4982" t="s">
        <v>38</v>
      </c>
      <c r="E4982" t="s">
        <v>13</v>
      </c>
      <c r="F4982">
        <v>3</v>
      </c>
      <c r="G4982" t="str">
        <f>VLOOKUP(D4982,Товары!A:I,3,0)</f>
        <v>Тумба с раковиной  навес. Куба Риф 600 белый 2 ящика с умыв. Como</v>
      </c>
      <c r="H4982">
        <f>VLOOKUP(D4982,Товары!A:I,6,0)</f>
        <v>55</v>
      </c>
      <c r="I4982" t="str">
        <f>VLOOKUP(C4982,Магазины!A:C,3,0)</f>
        <v>Кемерово</v>
      </c>
      <c r="J4982">
        <f>VLOOKUP(D4982,Товары!A:I,4,0)</f>
        <v>14265</v>
      </c>
      <c r="K4982">
        <f t="shared" si="77"/>
        <v>42795</v>
      </c>
    </row>
    <row r="4983" spans="1:11" hidden="1" x14ac:dyDescent="0.25">
      <c r="A4983">
        <v>4982</v>
      </c>
      <c r="B4983" s="1">
        <v>45756</v>
      </c>
      <c r="C4983" t="s">
        <v>26</v>
      </c>
      <c r="D4983" t="s">
        <v>77</v>
      </c>
      <c r="E4983" t="s">
        <v>8</v>
      </c>
      <c r="F4983">
        <v>3</v>
      </c>
      <c r="G4983" t="str">
        <f>VLOOKUP(D4983,Товары!A:I,3,0)</f>
        <v>Тумба с раковиной  напол. Куба Риф 600 белый 2 ящика с умыв. Como</v>
      </c>
      <c r="H4983">
        <f>VLOOKUP(D4983,Товары!A:I,6,0)</f>
        <v>85</v>
      </c>
      <c r="I4983" t="str">
        <f>VLOOKUP(C4983,Магазины!A:C,3,0)</f>
        <v>Оренбург</v>
      </c>
      <c r="J4983">
        <f>VLOOKUP(D4983,Товары!A:I,4,0)</f>
        <v>15660</v>
      </c>
      <c r="K4983">
        <f t="shared" si="77"/>
        <v>46980</v>
      </c>
    </row>
    <row r="4984" spans="1:11" hidden="1" x14ac:dyDescent="0.25">
      <c r="A4984">
        <v>4983</v>
      </c>
      <c r="B4984" s="1">
        <v>45753</v>
      </c>
      <c r="C4984" t="s">
        <v>103</v>
      </c>
      <c r="D4984" t="s">
        <v>42</v>
      </c>
      <c r="E4984" t="s">
        <v>8</v>
      </c>
      <c r="F4984">
        <v>2</v>
      </c>
      <c r="G4984" t="str">
        <f>VLOOKUP(D4984,Товары!A:I,3,0)</f>
        <v>Тумба под стиральную машину Леон Риф 57 подвесная 2 ящика под ст/маш, без умывальника /под Marshall 120 Солярис/Белый Риф</v>
      </c>
      <c r="H4984">
        <f>VLOOKUP(D4984,Товары!A:I,6,0)</f>
        <v>60</v>
      </c>
      <c r="I4984" t="str">
        <f>VLOOKUP(C4984,Магазины!A:C,3,0)</f>
        <v>Ставрополь</v>
      </c>
      <c r="J4984">
        <f>VLOOKUP(D4984,Товары!A:I,4,0)</f>
        <v>15495</v>
      </c>
      <c r="K4984">
        <f t="shared" si="77"/>
        <v>30990</v>
      </c>
    </row>
    <row r="4985" spans="1:11" hidden="1" x14ac:dyDescent="0.25">
      <c r="A4985">
        <v>4984</v>
      </c>
      <c r="B4985" s="1">
        <v>45756</v>
      </c>
      <c r="C4985" t="s">
        <v>14</v>
      </c>
      <c r="D4985" t="s">
        <v>85</v>
      </c>
      <c r="E4985" t="s">
        <v>8</v>
      </c>
      <c r="F4985">
        <v>3</v>
      </c>
      <c r="G4985" t="str">
        <f>VLOOKUP(D4985,Товары!A:I,3,0)</f>
        <v>Пенал напол. Аква 450 белый 2 двери + 2 ящика + корзина</v>
      </c>
      <c r="H4985">
        <f>VLOOKUP(D4985,Товары!A:I,6,0)</f>
        <v>190</v>
      </c>
      <c r="I4985" t="str">
        <f>VLOOKUP(C4985,Магазины!A:C,3,0)</f>
        <v>Оренбург</v>
      </c>
      <c r="J4985">
        <f>VLOOKUP(D4985,Товары!A:I,4,0)</f>
        <v>13335</v>
      </c>
      <c r="K4985">
        <f t="shared" si="77"/>
        <v>40005</v>
      </c>
    </row>
    <row r="4986" spans="1:11" hidden="1" x14ac:dyDescent="0.25">
      <c r="A4986">
        <v>4985</v>
      </c>
      <c r="B4986" s="1">
        <v>45752</v>
      </c>
      <c r="C4986" t="s">
        <v>63</v>
      </c>
      <c r="D4986" t="s">
        <v>97</v>
      </c>
      <c r="E4986" t="s">
        <v>13</v>
      </c>
      <c r="F4986">
        <v>2</v>
      </c>
      <c r="G4986" t="str">
        <f>VLOOKUP(D4986,Товары!A:I,3,0)</f>
        <v>Пенал напол. Кристалл 350 суфле 2 двери</v>
      </c>
      <c r="H4986">
        <f>VLOOKUP(D4986,Товары!A:I,6,0)</f>
        <v>190</v>
      </c>
      <c r="I4986" t="str">
        <f>VLOOKUP(C4986,Магазины!A:C,3,0)</f>
        <v>Ставрополь</v>
      </c>
      <c r="J4986">
        <f>VLOOKUP(D4986,Товары!A:I,4,0)</f>
        <v>15810</v>
      </c>
      <c r="K4986">
        <f t="shared" si="77"/>
        <v>31620</v>
      </c>
    </row>
    <row r="4987" spans="1:11" hidden="1" x14ac:dyDescent="0.25">
      <c r="A4987">
        <v>4986</v>
      </c>
      <c r="B4987" s="1">
        <v>45757</v>
      </c>
      <c r="C4987" t="s">
        <v>14</v>
      </c>
      <c r="D4987" t="s">
        <v>113</v>
      </c>
      <c r="E4987" t="s">
        <v>8</v>
      </c>
      <c r="F4987">
        <v>2</v>
      </c>
      <c r="G4987" t="str">
        <f>VLOOKUP(D4987,Товары!A:I,3,0)</f>
        <v>Зеркальный шкаф Альба 60 со светильником правый цвет мята</v>
      </c>
      <c r="H4987">
        <f>VLOOKUP(D4987,Товары!A:I,6,0)</f>
        <v>75</v>
      </c>
      <c r="I4987" t="str">
        <f>VLOOKUP(C4987,Магазины!A:C,3,0)</f>
        <v>Оренбург</v>
      </c>
      <c r="J4987">
        <f>VLOOKUP(D4987,Товары!A:I,4,0)</f>
        <v>8910</v>
      </c>
      <c r="K4987">
        <f t="shared" si="77"/>
        <v>17820</v>
      </c>
    </row>
    <row r="4988" spans="1:11" hidden="1" x14ac:dyDescent="0.25">
      <c r="A4988">
        <v>4987</v>
      </c>
      <c r="B4988" s="1">
        <v>45757</v>
      </c>
      <c r="C4988" t="s">
        <v>20</v>
      </c>
      <c r="D4988" t="s">
        <v>47</v>
      </c>
      <c r="E4988" t="s">
        <v>13</v>
      </c>
      <c r="F4988">
        <v>1</v>
      </c>
      <c r="G4988" t="str">
        <f>VLOOKUP(D4988,Товары!A:I,3,0)</f>
        <v>Пенал напол. Кристалл 350 шато азур 2 двери</v>
      </c>
      <c r="H4988">
        <f>VLOOKUP(D4988,Товары!A:I,6,0)</f>
        <v>190</v>
      </c>
      <c r="I4988" t="str">
        <f>VLOOKUP(C4988,Магазины!A:C,3,0)</f>
        <v>Оренбург</v>
      </c>
      <c r="J4988">
        <f>VLOOKUP(D4988,Товары!A:I,4,0)</f>
        <v>15810</v>
      </c>
      <c r="K4988">
        <f t="shared" si="77"/>
        <v>15810</v>
      </c>
    </row>
    <row r="4989" spans="1:11" hidden="1" x14ac:dyDescent="0.25">
      <c r="A4989">
        <v>4988</v>
      </c>
      <c r="B4989" s="1">
        <v>45753</v>
      </c>
      <c r="C4989" t="s">
        <v>41</v>
      </c>
      <c r="D4989" t="s">
        <v>52</v>
      </c>
      <c r="E4989" t="s">
        <v>13</v>
      </c>
      <c r="F4989">
        <v>2</v>
      </c>
      <c r="G4989" t="str">
        <f>VLOOKUP(D4989,Товары!A:I,3,0)</f>
        <v>Тумба с раковиной  напол. Кристалл 600 суфле 2 ящика с умыв. Океан</v>
      </c>
      <c r="H4989">
        <f>VLOOKUP(D4989,Товары!A:I,6,0)</f>
        <v>80</v>
      </c>
      <c r="I4989" t="str">
        <f>VLOOKUP(C4989,Магазины!A:C,3,0)</f>
        <v>Ставрополь</v>
      </c>
      <c r="J4989">
        <f>VLOOKUP(D4989,Товары!A:I,4,0)</f>
        <v>27600</v>
      </c>
      <c r="K4989">
        <f t="shared" si="77"/>
        <v>55200</v>
      </c>
    </row>
    <row r="4990" spans="1:11" hidden="1" x14ac:dyDescent="0.25">
      <c r="A4990">
        <v>4989</v>
      </c>
      <c r="B4990" s="1">
        <v>45751</v>
      </c>
      <c r="C4990" t="s">
        <v>30</v>
      </c>
      <c r="D4990" t="s">
        <v>94</v>
      </c>
      <c r="E4990" t="s">
        <v>13</v>
      </c>
      <c r="F4990">
        <v>2</v>
      </c>
      <c r="G4990" t="str">
        <f>VLOOKUP(D4990,Товары!A:I,3,0)</f>
        <v>Зеркальный шкаф Альба 80 со светильником правый цвет антрацит</v>
      </c>
      <c r="H4990">
        <f>VLOOKUP(D4990,Товары!A:I,6,0)</f>
        <v>75</v>
      </c>
      <c r="I4990" t="str">
        <f>VLOOKUP(C4990,Магазины!A:C,3,0)</f>
        <v>Кемерово</v>
      </c>
      <c r="J4990">
        <f>VLOOKUP(D4990,Товары!A:I,4,0)</f>
        <v>9930</v>
      </c>
      <c r="K4990">
        <f t="shared" si="77"/>
        <v>19860</v>
      </c>
    </row>
    <row r="4991" spans="1:11" hidden="1" x14ac:dyDescent="0.25">
      <c r="A4991">
        <v>4990</v>
      </c>
      <c r="B4991" s="1">
        <v>45751</v>
      </c>
      <c r="C4991" t="s">
        <v>28</v>
      </c>
      <c r="D4991" t="s">
        <v>39</v>
      </c>
      <c r="E4991" t="s">
        <v>8</v>
      </c>
      <c r="F4991">
        <v>1</v>
      </c>
      <c r="G4991" t="str">
        <f>VLOOKUP(D4991,Товары!A:I,3,0)</f>
        <v>Тумба с раковиной  напол. Альба 700 мята 2 ящика с умыв. Слим</v>
      </c>
      <c r="H4991">
        <f>VLOOKUP(D4991,Товары!A:I,6,0)</f>
        <v>85</v>
      </c>
      <c r="I4991" t="str">
        <f>VLOOKUP(C4991,Магазины!A:C,3,0)</f>
        <v>Набережные Челны</v>
      </c>
      <c r="J4991">
        <f>VLOOKUP(D4991,Товары!A:I,4,0)</f>
        <v>28695</v>
      </c>
      <c r="K4991">
        <f t="shared" si="77"/>
        <v>28695</v>
      </c>
    </row>
    <row r="4992" spans="1:11" hidden="1" x14ac:dyDescent="0.25">
      <c r="A4992">
        <v>4991</v>
      </c>
      <c r="B4992" s="1">
        <v>45757</v>
      </c>
      <c r="C4992" t="s">
        <v>111</v>
      </c>
      <c r="D4992" t="s">
        <v>67</v>
      </c>
      <c r="E4992" t="s">
        <v>13</v>
      </c>
      <c r="F4992">
        <v>3</v>
      </c>
      <c r="G4992" t="str">
        <f>VLOOKUP(D4992,Товары!A:I,3,0)</f>
        <v>Пенал навес./напол. Альба 350 суфле 2 двери</v>
      </c>
      <c r="H4992">
        <f>VLOOKUP(D4992,Товары!A:I,6,0)</f>
        <v>150</v>
      </c>
      <c r="I4992" t="str">
        <f>VLOOKUP(C4992,Магазины!A:C,3,0)</f>
        <v>Набережные Челны</v>
      </c>
      <c r="J4992">
        <f>VLOOKUP(D4992,Товары!A:I,4,0)</f>
        <v>11655</v>
      </c>
      <c r="K4992">
        <f t="shared" si="77"/>
        <v>34965</v>
      </c>
    </row>
    <row r="4993" spans="1:11" hidden="1" x14ac:dyDescent="0.25">
      <c r="A4993">
        <v>4992</v>
      </c>
      <c r="B4993" s="1">
        <v>45752</v>
      </c>
      <c r="C4993" t="s">
        <v>43</v>
      </c>
      <c r="D4993" t="s">
        <v>121</v>
      </c>
      <c r="E4993" t="s">
        <v>8</v>
      </c>
      <c r="F4993">
        <v>1</v>
      </c>
      <c r="G4993" t="str">
        <f>VLOOKUP(D4993,Товары!A:I,3,0)</f>
        <v>Тумба с раковиной  напол. Куба Риф 600 белый 2 двери с умыв. Como</v>
      </c>
      <c r="H4993">
        <f>VLOOKUP(D4993,Товары!A:I,6,0)</f>
        <v>85</v>
      </c>
      <c r="I4993" t="str">
        <f>VLOOKUP(C4993,Магазины!A:C,3,0)</f>
        <v>Набережные Челны</v>
      </c>
      <c r="J4993">
        <f>VLOOKUP(D4993,Товары!A:I,4,0)</f>
        <v>13695</v>
      </c>
      <c r="K4993">
        <f t="shared" si="77"/>
        <v>13695</v>
      </c>
    </row>
    <row r="4994" spans="1:11" hidden="1" x14ac:dyDescent="0.25">
      <c r="A4994">
        <v>4993</v>
      </c>
      <c r="B4994" s="1">
        <v>45751</v>
      </c>
      <c r="C4994" t="s">
        <v>33</v>
      </c>
      <c r="D4994" t="s">
        <v>125</v>
      </c>
      <c r="E4994" t="s">
        <v>8</v>
      </c>
      <c r="F4994">
        <v>3</v>
      </c>
      <c r="G4994" t="str">
        <f>VLOOKUP(D4994,Товары!A:I,3,0)</f>
        <v>Зеркальный шкаф Сохо 60 белый со светильником правый цвет Белый глянец</v>
      </c>
      <c r="H4994">
        <f>VLOOKUP(D4994,Товары!A:I,6,0)</f>
        <v>75</v>
      </c>
      <c r="I4994" t="str">
        <f>VLOOKUP(C4994,Магазины!A:C,3,0)</f>
        <v>Набережные Челны</v>
      </c>
      <c r="J4994">
        <f>VLOOKUP(D4994,Товары!A:I,4,0)</f>
        <v>7395</v>
      </c>
      <c r="K4994">
        <f t="shared" si="77"/>
        <v>22185</v>
      </c>
    </row>
    <row r="4995" spans="1:11" hidden="1" x14ac:dyDescent="0.25">
      <c r="A4995">
        <v>4994</v>
      </c>
      <c r="B4995" s="1">
        <v>45753</v>
      </c>
      <c r="C4995" t="s">
        <v>58</v>
      </c>
      <c r="D4995" t="s">
        <v>120</v>
      </c>
      <c r="E4995" t="s">
        <v>13</v>
      </c>
      <c r="F4995">
        <v>1</v>
      </c>
      <c r="G4995" t="str">
        <f>VLOOKUP(D4995,Товары!A:I,3,0)</f>
        <v>Зеркальный шкаф Альба 60 со светильником правый цвет антрацит</v>
      </c>
      <c r="H4995">
        <f>VLOOKUP(D4995,Товары!A:I,6,0)</f>
        <v>75</v>
      </c>
      <c r="I4995" t="str">
        <f>VLOOKUP(C4995,Магазины!A:C,3,0)</f>
        <v>Ставрополь</v>
      </c>
      <c r="J4995">
        <f>VLOOKUP(D4995,Товары!A:I,4,0)</f>
        <v>8910</v>
      </c>
      <c r="K4995">
        <f t="shared" ref="K4995:K5058" si="78">J4995*F4995</f>
        <v>8910</v>
      </c>
    </row>
    <row r="4996" spans="1:11" hidden="1" x14ac:dyDescent="0.25">
      <c r="A4996">
        <v>4995</v>
      </c>
      <c r="B4996" s="1">
        <v>45755</v>
      </c>
      <c r="C4996" t="s">
        <v>18</v>
      </c>
      <c r="D4996" t="s">
        <v>59</v>
      </c>
      <c r="E4996" t="s">
        <v>8</v>
      </c>
      <c r="F4996">
        <v>2</v>
      </c>
      <c r="G4996" t="str">
        <f>VLOOKUP(D4996,Товары!A:I,3,0)</f>
        <v>Тумба с раковиной  навес. Куба Риф 600 белый 2 ящика с умыв. Океан</v>
      </c>
      <c r="H4996">
        <f>VLOOKUP(D4996,Товары!A:I,6,0)</f>
        <v>55</v>
      </c>
      <c r="I4996" t="str">
        <f>VLOOKUP(C4996,Магазины!A:C,3,0)</f>
        <v>Набережные Челны</v>
      </c>
      <c r="J4996">
        <f>VLOOKUP(D4996,Товары!A:I,4,0)</f>
        <v>15765</v>
      </c>
      <c r="K4996">
        <f t="shared" si="78"/>
        <v>31530</v>
      </c>
    </row>
    <row r="4997" spans="1:11" hidden="1" x14ac:dyDescent="0.25">
      <c r="A4997">
        <v>4996</v>
      </c>
      <c r="B4997" s="1">
        <v>45757</v>
      </c>
      <c r="C4997" t="s">
        <v>111</v>
      </c>
      <c r="D4997" t="s">
        <v>62</v>
      </c>
      <c r="E4997" t="s">
        <v>8</v>
      </c>
      <c r="F4997">
        <v>3</v>
      </c>
      <c r="G4997" t="str">
        <f>VLOOKUP(D4997,Товары!A:I,3,0)</f>
        <v>Тумба с раковиной  напол. Альба 600 мята 2 ящика с умыв. Океан</v>
      </c>
      <c r="H4997">
        <f>VLOOKUP(D4997,Товары!A:I,6,0)</f>
        <v>80</v>
      </c>
      <c r="I4997" t="str">
        <f>VLOOKUP(C4997,Магазины!A:C,3,0)</f>
        <v>Набережные Челны</v>
      </c>
      <c r="J4997">
        <f>VLOOKUP(D4997,Товары!A:I,4,0)</f>
        <v>26370</v>
      </c>
      <c r="K4997">
        <f t="shared" si="78"/>
        <v>79110</v>
      </c>
    </row>
    <row r="4998" spans="1:11" hidden="1" x14ac:dyDescent="0.25">
      <c r="A4998">
        <v>4997</v>
      </c>
      <c r="B4998" s="1">
        <v>45754</v>
      </c>
      <c r="C4998" t="s">
        <v>35</v>
      </c>
      <c r="D4998" t="s">
        <v>64</v>
      </c>
      <c r="E4998" t="s">
        <v>13</v>
      </c>
      <c r="F4998">
        <v>1</v>
      </c>
      <c r="G4998" t="str">
        <f>VLOOKUP(D4998,Товары!A:I,3,0)</f>
        <v>Тумба с раковиной  напол. Рица 800 антрацит 2 ящика с умыв. Слим</v>
      </c>
      <c r="H4998">
        <f>VLOOKUP(D4998,Товары!A:I,6,0)</f>
        <v>80</v>
      </c>
      <c r="I4998" t="str">
        <f>VLOOKUP(C4998,Магазины!A:C,3,0)</f>
        <v>Набережные Челны</v>
      </c>
      <c r="J4998">
        <f>VLOOKUP(D4998,Товары!A:I,4,0)</f>
        <v>28980</v>
      </c>
      <c r="K4998">
        <f t="shared" si="78"/>
        <v>28980</v>
      </c>
    </row>
    <row r="4999" spans="1:11" hidden="1" x14ac:dyDescent="0.25">
      <c r="A4999">
        <v>4998</v>
      </c>
      <c r="B4999" s="1">
        <v>45752</v>
      </c>
      <c r="C4999" t="s">
        <v>9</v>
      </c>
      <c r="D4999" t="s">
        <v>12</v>
      </c>
      <c r="E4999" t="s">
        <v>13</v>
      </c>
      <c r="F4999">
        <v>3</v>
      </c>
      <c r="G4999" t="str">
        <f>VLOOKUP(D4999,Товары!A:I,3,0)</f>
        <v>Тумба с раковиной  напол. Сохо 700 белый 2 двери с умыв. Слим</v>
      </c>
      <c r="H4999">
        <f>VLOOKUP(D4999,Товары!A:I,6,0)</f>
        <v>85</v>
      </c>
      <c r="I4999" t="str">
        <f>VLOOKUP(C4999,Магазины!A:C,3,0)</f>
        <v>Кемерово</v>
      </c>
      <c r="J4999">
        <f>VLOOKUP(D4999,Товары!A:I,4,0)</f>
        <v>17160</v>
      </c>
      <c r="K4999">
        <f t="shared" si="78"/>
        <v>51480</v>
      </c>
    </row>
    <row r="5000" spans="1:11" hidden="1" x14ac:dyDescent="0.25">
      <c r="A5000">
        <v>4999</v>
      </c>
      <c r="B5000" s="1">
        <v>45749</v>
      </c>
      <c r="C5000" t="s">
        <v>18</v>
      </c>
      <c r="D5000" t="s">
        <v>62</v>
      </c>
      <c r="E5000" t="s">
        <v>8</v>
      </c>
      <c r="F5000">
        <v>2</v>
      </c>
      <c r="G5000" t="str">
        <f>VLOOKUP(D5000,Товары!A:I,3,0)</f>
        <v>Тумба с раковиной  напол. Альба 600 мята 2 ящика с умыв. Океан</v>
      </c>
      <c r="H5000">
        <f>VLOOKUP(D5000,Товары!A:I,6,0)</f>
        <v>80</v>
      </c>
      <c r="I5000" t="str">
        <f>VLOOKUP(C5000,Магазины!A:C,3,0)</f>
        <v>Набережные Челны</v>
      </c>
      <c r="J5000">
        <f>VLOOKUP(D5000,Товары!A:I,4,0)</f>
        <v>26370</v>
      </c>
      <c r="K5000">
        <f t="shared" si="78"/>
        <v>52740</v>
      </c>
    </row>
    <row r="5001" spans="1:11" hidden="1" x14ac:dyDescent="0.25">
      <c r="A5001">
        <v>5000</v>
      </c>
      <c r="B5001" s="1">
        <v>45754</v>
      </c>
      <c r="C5001" t="s">
        <v>22</v>
      </c>
      <c r="D5001" t="s">
        <v>123</v>
      </c>
      <c r="E5001" t="s">
        <v>8</v>
      </c>
      <c r="F5001">
        <v>2</v>
      </c>
      <c r="G5001" t="str">
        <f>VLOOKUP(D5001,Товары!A:I,3,0)</f>
        <v>Тумба с раковиной  напол. Кристалл 800 суфле 2 ящика с умыв. Слим</v>
      </c>
      <c r="H5001">
        <f>VLOOKUP(D5001,Товары!A:I,6,0)</f>
        <v>80</v>
      </c>
      <c r="I5001" t="str">
        <f>VLOOKUP(C5001,Магазины!A:C,3,0)</f>
        <v>Кемерово</v>
      </c>
      <c r="J5001">
        <f>VLOOKUP(D5001,Товары!A:I,4,0)</f>
        <v>31125</v>
      </c>
      <c r="K5001">
        <f t="shared" si="78"/>
        <v>62250</v>
      </c>
    </row>
    <row r="5002" spans="1:11" hidden="1" x14ac:dyDescent="0.25">
      <c r="A5002">
        <v>5001</v>
      </c>
      <c r="B5002" s="1">
        <v>45757</v>
      </c>
      <c r="C5002" t="s">
        <v>41</v>
      </c>
      <c r="D5002" t="s">
        <v>90</v>
      </c>
      <c r="E5002" t="s">
        <v>8</v>
      </c>
      <c r="F5002">
        <v>3</v>
      </c>
      <c r="G5002" t="str">
        <f>VLOOKUP(D5002,Товары!A:I,3,0)</f>
        <v>Пенал напол. Аква 350 белый 2 двери + 2 ящика</v>
      </c>
      <c r="H5002">
        <f>VLOOKUP(D5002,Товары!A:I,6,0)</f>
        <v>190</v>
      </c>
      <c r="I5002" t="str">
        <f>VLOOKUP(C5002,Магазины!A:C,3,0)</f>
        <v>Ставрополь</v>
      </c>
      <c r="J5002">
        <f>VLOOKUP(D5002,Товары!A:I,4,0)</f>
        <v>10650</v>
      </c>
      <c r="K5002">
        <f t="shared" si="78"/>
        <v>31950</v>
      </c>
    </row>
    <row r="5003" spans="1:11" hidden="1" x14ac:dyDescent="0.25">
      <c r="A5003">
        <v>5002</v>
      </c>
      <c r="B5003" s="1">
        <v>45748</v>
      </c>
      <c r="C5003" t="s">
        <v>11</v>
      </c>
      <c r="D5003" t="s">
        <v>56</v>
      </c>
      <c r="E5003" t="s">
        <v>8</v>
      </c>
      <c r="F5003">
        <v>2</v>
      </c>
      <c r="G5003" t="str">
        <f>VLOOKUP(D5003,Товары!A:I,3,0)</f>
        <v>Зеркальный шкаф Альба 80 со светильником правый цвет мята</v>
      </c>
      <c r="H5003">
        <f>VLOOKUP(D5003,Товары!A:I,6,0)</f>
        <v>75</v>
      </c>
      <c r="I5003" t="str">
        <f>VLOOKUP(C5003,Магазины!A:C,3,0)</f>
        <v>Кемерово</v>
      </c>
      <c r="J5003">
        <f>VLOOKUP(D5003,Товары!A:I,4,0)</f>
        <v>9930</v>
      </c>
      <c r="K5003">
        <f t="shared" si="78"/>
        <v>19860</v>
      </c>
    </row>
    <row r="5004" spans="1:11" hidden="1" x14ac:dyDescent="0.25">
      <c r="A5004">
        <v>5003</v>
      </c>
      <c r="B5004" s="1">
        <v>45751</v>
      </c>
      <c r="C5004" t="s">
        <v>57</v>
      </c>
      <c r="D5004" t="s">
        <v>40</v>
      </c>
      <c r="E5004" t="s">
        <v>13</v>
      </c>
      <c r="F5004">
        <v>3</v>
      </c>
      <c r="G5004" t="str">
        <f>VLOOKUP(D5004,Товары!A:I,3,0)</f>
        <v>Тумба с раковиной  навес. Рица 800 cерый/керамика 1 ящик + ниша 1 с умыв. Слим</v>
      </c>
      <c r="H5004">
        <f>VLOOKUP(D5004,Товары!A:I,6,0)</f>
        <v>60</v>
      </c>
      <c r="I5004" t="str">
        <f>VLOOKUP(C5004,Магазины!A:C,3,0)</f>
        <v>Оренбург</v>
      </c>
      <c r="J5004">
        <f>VLOOKUP(D5004,Товары!A:I,4,0)</f>
        <v>22425</v>
      </c>
      <c r="K5004">
        <f t="shared" si="78"/>
        <v>67275</v>
      </c>
    </row>
    <row r="5005" spans="1:11" hidden="1" x14ac:dyDescent="0.25">
      <c r="A5005">
        <v>5004</v>
      </c>
      <c r="B5005" s="1">
        <v>45748</v>
      </c>
      <c r="C5005" t="s">
        <v>11</v>
      </c>
      <c r="D5005" t="s">
        <v>32</v>
      </c>
      <c r="E5005" t="s">
        <v>8</v>
      </c>
      <c r="F5005">
        <v>2</v>
      </c>
      <c r="G5005" t="str">
        <f>VLOOKUP(D5005,Товары!A:I,3,0)</f>
        <v>Тумба с раковиной  напол. Леон Риф 700 солярис/белый риф 2 ящика с умыв. Слим</v>
      </c>
      <c r="H5005">
        <f>VLOOKUP(D5005,Товары!A:I,6,0)</f>
        <v>85</v>
      </c>
      <c r="I5005" t="str">
        <f>VLOOKUP(C5005,Магазины!A:C,3,0)</f>
        <v>Кемерово</v>
      </c>
      <c r="J5005">
        <f>VLOOKUP(D5005,Товары!A:I,4,0)</f>
        <v>26460</v>
      </c>
      <c r="K5005">
        <f t="shared" si="78"/>
        <v>52920</v>
      </c>
    </row>
    <row r="5006" spans="1:11" hidden="1" x14ac:dyDescent="0.25">
      <c r="A5006">
        <v>5005</v>
      </c>
      <c r="B5006" s="1">
        <v>45752</v>
      </c>
      <c r="C5006" t="s">
        <v>48</v>
      </c>
      <c r="D5006" t="s">
        <v>91</v>
      </c>
      <c r="E5006" t="s">
        <v>13</v>
      </c>
      <c r="F5006">
        <v>1</v>
      </c>
      <c r="G5006" t="str">
        <f>VLOOKUP(D5006,Товары!A:I,3,0)</f>
        <v>Пенал навес./напол. Альба 350 мята 2 двери</v>
      </c>
      <c r="H5006">
        <f>VLOOKUP(D5006,Товары!A:I,6,0)</f>
        <v>150</v>
      </c>
      <c r="I5006" t="str">
        <f>VLOOKUP(C5006,Магазины!A:C,3,0)</f>
        <v>Ставрополь</v>
      </c>
      <c r="J5006">
        <f>VLOOKUP(D5006,Товары!A:I,4,0)</f>
        <v>11655</v>
      </c>
      <c r="K5006">
        <f t="shared" si="78"/>
        <v>11655</v>
      </c>
    </row>
    <row r="5007" spans="1:11" hidden="1" x14ac:dyDescent="0.25">
      <c r="A5007">
        <v>5006</v>
      </c>
      <c r="B5007" s="1">
        <v>45750</v>
      </c>
      <c r="C5007" t="s">
        <v>16</v>
      </c>
      <c r="D5007" t="s">
        <v>82</v>
      </c>
      <c r="E5007" t="s">
        <v>13</v>
      </c>
      <c r="F5007">
        <v>3</v>
      </c>
      <c r="G5007" t="str">
        <f>VLOOKUP(D5007,Товары!A:I,3,0)</f>
        <v>Тумба с раковиной  навес. Леон 800 форест 2 ящика с умыв. Слим</v>
      </c>
      <c r="H5007">
        <f>VLOOKUP(D5007,Товары!A:I,6,0)</f>
        <v>60</v>
      </c>
      <c r="I5007" t="str">
        <f>VLOOKUP(C5007,Магазины!A:C,3,0)</f>
        <v>Оренбург</v>
      </c>
      <c r="J5007">
        <f>VLOOKUP(D5007,Товары!A:I,4,0)</f>
        <v>27930</v>
      </c>
      <c r="K5007">
        <f t="shared" si="78"/>
        <v>83790</v>
      </c>
    </row>
    <row r="5008" spans="1:11" hidden="1" x14ac:dyDescent="0.25">
      <c r="A5008">
        <v>5007</v>
      </c>
      <c r="B5008" s="1">
        <v>45752</v>
      </c>
      <c r="C5008" t="s">
        <v>111</v>
      </c>
      <c r="D5008" t="s">
        <v>29</v>
      </c>
      <c r="E5008" t="s">
        <v>13</v>
      </c>
      <c r="F5008">
        <v>2</v>
      </c>
      <c r="G5008" t="str">
        <f>VLOOKUP(D5008,Товары!A:I,3,0)</f>
        <v>Тумба с раковиной  напол. Леон Риф 600 солярис/белый риф 2 ящика с умыв. Океан</v>
      </c>
      <c r="H5008">
        <f>VLOOKUP(D5008,Товары!A:I,6,0)</f>
        <v>80</v>
      </c>
      <c r="I5008" t="str">
        <f>VLOOKUP(C5008,Магазины!A:C,3,0)</f>
        <v>Набережные Челны</v>
      </c>
      <c r="J5008">
        <f>VLOOKUP(D5008,Товары!A:I,4,0)</f>
        <v>24150</v>
      </c>
      <c r="K5008">
        <f t="shared" si="78"/>
        <v>48300</v>
      </c>
    </row>
    <row r="5009" spans="1:11" hidden="1" x14ac:dyDescent="0.25">
      <c r="A5009">
        <v>5008</v>
      </c>
      <c r="B5009" s="1">
        <v>45754</v>
      </c>
      <c r="C5009" t="s">
        <v>16</v>
      </c>
      <c r="D5009" t="s">
        <v>19</v>
      </c>
      <c r="E5009" t="s">
        <v>13</v>
      </c>
      <c r="F5009">
        <v>2</v>
      </c>
      <c r="G5009" t="str">
        <f>VLOOKUP(D5009,Товары!A:I,3,0)</f>
        <v>Тумба с раковиной  навес. Леон 800 оникс 2 ящика с умыв. Слим</v>
      </c>
      <c r="H5009">
        <f>VLOOKUP(D5009,Товары!A:I,6,0)</f>
        <v>60</v>
      </c>
      <c r="I5009" t="str">
        <f>VLOOKUP(C5009,Магазины!A:C,3,0)</f>
        <v>Оренбург</v>
      </c>
      <c r="J5009">
        <f>VLOOKUP(D5009,Товары!A:I,4,0)</f>
        <v>27930</v>
      </c>
      <c r="K5009">
        <f t="shared" si="78"/>
        <v>55860</v>
      </c>
    </row>
    <row r="5010" spans="1:11" hidden="1" x14ac:dyDescent="0.25">
      <c r="A5010">
        <v>5009</v>
      </c>
      <c r="B5010" s="1">
        <v>45750</v>
      </c>
      <c r="C5010" t="s">
        <v>35</v>
      </c>
      <c r="D5010" t="s">
        <v>27</v>
      </c>
      <c r="E5010" t="s">
        <v>8</v>
      </c>
      <c r="F5010">
        <v>2</v>
      </c>
      <c r="G5010" t="str">
        <f>VLOOKUP(D5010,Товары!A:I,3,0)</f>
        <v>Тумба с раковиной  навес. Виктория 800 белый 2 ящика с умыв. Слим</v>
      </c>
      <c r="H5010">
        <f>VLOOKUP(D5010,Товары!A:I,6,0)</f>
        <v>60</v>
      </c>
      <c r="I5010" t="str">
        <f>VLOOKUP(C5010,Магазины!A:C,3,0)</f>
        <v>Набережные Челны</v>
      </c>
      <c r="J5010">
        <f>VLOOKUP(D5010,Товары!A:I,4,0)</f>
        <v>25290</v>
      </c>
      <c r="K5010">
        <f t="shared" si="78"/>
        <v>50580</v>
      </c>
    </row>
    <row r="5011" spans="1:11" hidden="1" x14ac:dyDescent="0.25">
      <c r="A5011">
        <v>5010</v>
      </c>
      <c r="B5011" s="1">
        <v>45750</v>
      </c>
      <c r="C5011" t="s">
        <v>26</v>
      </c>
      <c r="D5011" t="s">
        <v>82</v>
      </c>
      <c r="E5011" t="s">
        <v>8</v>
      </c>
      <c r="F5011">
        <v>2</v>
      </c>
      <c r="G5011" t="str">
        <f>VLOOKUP(D5011,Товары!A:I,3,0)</f>
        <v>Тумба с раковиной  навес. Леон 800 форест 2 ящика с умыв. Слим</v>
      </c>
      <c r="H5011">
        <f>VLOOKUP(D5011,Товары!A:I,6,0)</f>
        <v>60</v>
      </c>
      <c r="I5011" t="str">
        <f>VLOOKUP(C5011,Магазины!A:C,3,0)</f>
        <v>Оренбург</v>
      </c>
      <c r="J5011">
        <f>VLOOKUP(D5011,Товары!A:I,4,0)</f>
        <v>27930</v>
      </c>
      <c r="K5011">
        <f t="shared" si="78"/>
        <v>55860</v>
      </c>
    </row>
    <row r="5012" spans="1:11" hidden="1" x14ac:dyDescent="0.25">
      <c r="A5012">
        <v>5011</v>
      </c>
      <c r="B5012" s="1">
        <v>45752</v>
      </c>
      <c r="C5012" t="s">
        <v>22</v>
      </c>
      <c r="D5012" t="s">
        <v>84</v>
      </c>
      <c r="E5012" t="s">
        <v>13</v>
      </c>
      <c r="F5012">
        <v>1</v>
      </c>
      <c r="G5012" t="str">
        <f>VLOOKUP(D5012,Товары!A:I,3,0)</f>
        <v>Тумба с раковиной  напол. Куба Риф 800 белый 3 двери с умыв. Слим</v>
      </c>
      <c r="H5012">
        <f>VLOOKUP(D5012,Товары!A:I,6,0)</f>
        <v>85</v>
      </c>
      <c r="I5012" t="str">
        <f>VLOOKUP(C5012,Магазины!A:C,3,0)</f>
        <v>Кемерово</v>
      </c>
      <c r="J5012">
        <f>VLOOKUP(D5012,Товары!A:I,4,0)</f>
        <v>19920</v>
      </c>
      <c r="K5012">
        <f t="shared" si="78"/>
        <v>19920</v>
      </c>
    </row>
    <row r="5013" spans="1:11" hidden="1" x14ac:dyDescent="0.25">
      <c r="A5013">
        <v>5012</v>
      </c>
      <c r="B5013" s="1">
        <v>45756</v>
      </c>
      <c r="C5013" t="s">
        <v>22</v>
      </c>
      <c r="D5013" t="s">
        <v>117</v>
      </c>
      <c r="E5013" t="s">
        <v>13</v>
      </c>
      <c r="F5013">
        <v>2</v>
      </c>
      <c r="G5013" t="str">
        <f>VLOOKUP(D5013,Товары!A:I,3,0)</f>
        <v>Тумба с раковиной  навес. Альба 700 антрацит 2 ящика с умыв. Слим</v>
      </c>
      <c r="H5013">
        <f>VLOOKUP(D5013,Товары!A:I,6,0)</f>
        <v>60</v>
      </c>
      <c r="I5013" t="str">
        <f>VLOOKUP(C5013,Магазины!A:C,3,0)</f>
        <v>Кемерово</v>
      </c>
      <c r="J5013">
        <f>VLOOKUP(D5013,Товары!A:I,4,0)</f>
        <v>25095</v>
      </c>
      <c r="K5013">
        <f t="shared" si="78"/>
        <v>50190</v>
      </c>
    </row>
    <row r="5014" spans="1:11" hidden="1" x14ac:dyDescent="0.25">
      <c r="A5014">
        <v>5013</v>
      </c>
      <c r="B5014" s="1">
        <v>45750</v>
      </c>
      <c r="C5014" t="s">
        <v>57</v>
      </c>
      <c r="D5014" t="s">
        <v>50</v>
      </c>
      <c r="E5014" t="s">
        <v>13</v>
      </c>
      <c r="F5014">
        <v>1</v>
      </c>
      <c r="G5014" t="str">
        <f>VLOOKUP(D5014,Товары!A:I,3,0)</f>
        <v>Тумба с раковиной  напол. Леон 800 оникс 2 ящика с умыв. Слим</v>
      </c>
      <c r="H5014">
        <f>VLOOKUP(D5014,Товары!A:I,6,0)</f>
        <v>80</v>
      </c>
      <c r="I5014" t="str">
        <f>VLOOKUP(C5014,Магазины!A:C,3,0)</f>
        <v>Оренбург</v>
      </c>
      <c r="J5014">
        <f>VLOOKUP(D5014,Товары!A:I,4,0)</f>
        <v>29400</v>
      </c>
      <c r="K5014">
        <f t="shared" si="78"/>
        <v>29400</v>
      </c>
    </row>
    <row r="5015" spans="1:11" hidden="1" x14ac:dyDescent="0.25">
      <c r="A5015">
        <v>5014</v>
      </c>
      <c r="B5015" s="1">
        <v>45749</v>
      </c>
      <c r="C5015" t="s">
        <v>30</v>
      </c>
      <c r="D5015" t="s">
        <v>99</v>
      </c>
      <c r="E5015" t="s">
        <v>13</v>
      </c>
      <c r="F5015">
        <v>2</v>
      </c>
      <c r="G5015" t="str">
        <f>VLOOKUP(D5015,Товары!A:I,3,0)</f>
        <v>Тумба с раковиной  навес. Леон 600 оникс 2 ящика с умыв. Слим</v>
      </c>
      <c r="H5015">
        <f>VLOOKUP(D5015,Товары!A:I,6,0)</f>
        <v>60</v>
      </c>
      <c r="I5015" t="str">
        <f>VLOOKUP(C5015,Магазины!A:C,3,0)</f>
        <v>Кемерово</v>
      </c>
      <c r="J5015">
        <f>VLOOKUP(D5015,Товары!A:I,4,0)</f>
        <v>25125</v>
      </c>
      <c r="K5015">
        <f t="shared" si="78"/>
        <v>50250</v>
      </c>
    </row>
    <row r="5016" spans="1:11" hidden="1" x14ac:dyDescent="0.25">
      <c r="A5016">
        <v>5015</v>
      </c>
      <c r="B5016" s="1">
        <v>45756</v>
      </c>
      <c r="C5016" t="s">
        <v>103</v>
      </c>
      <c r="D5016" t="s">
        <v>100</v>
      </c>
      <c r="E5016" t="s">
        <v>8</v>
      </c>
      <c r="F5016">
        <v>2</v>
      </c>
      <c r="G5016" t="str">
        <f>VLOOKUP(D5016,Товары!A:I,3,0)</f>
        <v>Тумба с раковиной  навес. Альба 800 мята 1 ящик с умыв. Слим</v>
      </c>
      <c r="H5016">
        <f>VLOOKUP(D5016,Товары!A:I,6,0)</f>
        <v>45</v>
      </c>
      <c r="I5016" t="str">
        <f>VLOOKUP(C5016,Магазины!A:C,3,0)</f>
        <v>Ставрополь</v>
      </c>
      <c r="J5016">
        <f>VLOOKUP(D5016,Товары!A:I,4,0)</f>
        <v>21630</v>
      </c>
      <c r="K5016">
        <f t="shared" si="78"/>
        <v>43260</v>
      </c>
    </row>
    <row r="5017" spans="1:11" hidden="1" x14ac:dyDescent="0.25">
      <c r="A5017">
        <v>5016</v>
      </c>
      <c r="B5017" s="1">
        <v>45755</v>
      </c>
      <c r="C5017" t="s">
        <v>26</v>
      </c>
      <c r="D5017" t="s">
        <v>95</v>
      </c>
      <c r="E5017" t="s">
        <v>13</v>
      </c>
      <c r="F5017">
        <v>2</v>
      </c>
      <c r="G5017" t="str">
        <f>VLOOKUP(D5017,Товары!A:I,3,0)</f>
        <v>Тумба с раковиной  напол. Рица 600 антрацит 2 ящика с умыв. Океан</v>
      </c>
      <c r="H5017">
        <f>VLOOKUP(D5017,Товары!A:I,6,0)</f>
        <v>80</v>
      </c>
      <c r="I5017" t="str">
        <f>VLOOKUP(C5017,Магазины!A:C,3,0)</f>
        <v>Оренбург</v>
      </c>
      <c r="J5017">
        <f>VLOOKUP(D5017,Товары!A:I,4,0)</f>
        <v>25560</v>
      </c>
      <c r="K5017">
        <f t="shared" si="78"/>
        <v>51120</v>
      </c>
    </row>
    <row r="5018" spans="1:11" hidden="1" x14ac:dyDescent="0.25">
      <c r="A5018">
        <v>5017</v>
      </c>
      <c r="B5018" s="1">
        <v>45750</v>
      </c>
      <c r="C5018" t="s">
        <v>58</v>
      </c>
      <c r="D5018" t="s">
        <v>126</v>
      </c>
      <c r="E5018" t="s">
        <v>8</v>
      </c>
      <c r="F5018">
        <v>1</v>
      </c>
      <c r="G5018" t="str">
        <f>VLOOKUP(D5018,Товары!A:I,3,0)</f>
        <v>Тумба с раковиной  напол. Кристалл 800 шато азур 2 ящика с умыв. Комфорт</v>
      </c>
      <c r="H5018">
        <f>VLOOKUP(D5018,Товары!A:I,6,0)</f>
        <v>85</v>
      </c>
      <c r="I5018" t="str">
        <f>VLOOKUP(C5018,Магазины!A:C,3,0)</f>
        <v>Ставрополь</v>
      </c>
      <c r="J5018">
        <f>VLOOKUP(D5018,Товары!A:I,4,0)</f>
        <v>31125</v>
      </c>
      <c r="K5018">
        <f t="shared" si="78"/>
        <v>31125</v>
      </c>
    </row>
    <row r="5019" spans="1:11" hidden="1" x14ac:dyDescent="0.25">
      <c r="A5019">
        <v>5018</v>
      </c>
      <c r="B5019" s="1">
        <v>45752</v>
      </c>
      <c r="C5019" t="s">
        <v>16</v>
      </c>
      <c r="D5019" t="s">
        <v>123</v>
      </c>
      <c r="E5019" t="s">
        <v>8</v>
      </c>
      <c r="F5019">
        <v>2</v>
      </c>
      <c r="G5019" t="str">
        <f>VLOOKUP(D5019,Товары!A:I,3,0)</f>
        <v>Тумба с раковиной  напол. Кристалл 800 суфле 2 ящика с умыв. Слим</v>
      </c>
      <c r="H5019">
        <f>VLOOKUP(D5019,Товары!A:I,6,0)</f>
        <v>80</v>
      </c>
      <c r="I5019" t="str">
        <f>VLOOKUP(C5019,Магазины!A:C,3,0)</f>
        <v>Оренбург</v>
      </c>
      <c r="J5019">
        <f>VLOOKUP(D5019,Товары!A:I,4,0)</f>
        <v>31125</v>
      </c>
      <c r="K5019">
        <f t="shared" si="78"/>
        <v>62250</v>
      </c>
    </row>
    <row r="5020" spans="1:11" hidden="1" x14ac:dyDescent="0.25">
      <c r="A5020">
        <v>5019</v>
      </c>
      <c r="B5020" s="1">
        <v>45751</v>
      </c>
      <c r="C5020" t="s">
        <v>30</v>
      </c>
      <c r="D5020" t="s">
        <v>52</v>
      </c>
      <c r="E5020" t="s">
        <v>13</v>
      </c>
      <c r="F5020">
        <v>2</v>
      </c>
      <c r="G5020" t="str">
        <f>VLOOKUP(D5020,Товары!A:I,3,0)</f>
        <v>Тумба с раковиной  напол. Кристалл 600 суфле 2 ящика с умыв. Океан</v>
      </c>
      <c r="H5020">
        <f>VLOOKUP(D5020,Товары!A:I,6,0)</f>
        <v>80</v>
      </c>
      <c r="I5020" t="str">
        <f>VLOOKUP(C5020,Магазины!A:C,3,0)</f>
        <v>Кемерово</v>
      </c>
      <c r="J5020">
        <f>VLOOKUP(D5020,Товары!A:I,4,0)</f>
        <v>27600</v>
      </c>
      <c r="K5020">
        <f t="shared" si="78"/>
        <v>55200</v>
      </c>
    </row>
    <row r="5021" spans="1:11" hidden="1" x14ac:dyDescent="0.25">
      <c r="A5021">
        <v>5020</v>
      </c>
      <c r="B5021" s="1">
        <v>45751</v>
      </c>
      <c r="C5021" t="s">
        <v>43</v>
      </c>
      <c r="D5021" t="s">
        <v>38</v>
      </c>
      <c r="E5021" t="s">
        <v>13</v>
      </c>
      <c r="F5021">
        <v>3</v>
      </c>
      <c r="G5021" t="str">
        <f>VLOOKUP(D5021,Товары!A:I,3,0)</f>
        <v>Тумба с раковиной  навес. Куба Риф 600 белый 2 ящика с умыв. Como</v>
      </c>
      <c r="H5021">
        <f>VLOOKUP(D5021,Товары!A:I,6,0)</f>
        <v>55</v>
      </c>
      <c r="I5021" t="str">
        <f>VLOOKUP(C5021,Магазины!A:C,3,0)</f>
        <v>Набережные Челны</v>
      </c>
      <c r="J5021">
        <f>VLOOKUP(D5021,Товары!A:I,4,0)</f>
        <v>14265</v>
      </c>
      <c r="K5021">
        <f t="shared" si="78"/>
        <v>42795</v>
      </c>
    </row>
    <row r="5022" spans="1:11" hidden="1" x14ac:dyDescent="0.25">
      <c r="A5022">
        <v>5021</v>
      </c>
      <c r="B5022" s="1">
        <v>45752</v>
      </c>
      <c r="C5022" t="s">
        <v>103</v>
      </c>
      <c r="D5022" t="s">
        <v>78</v>
      </c>
      <c r="E5022" t="s">
        <v>13</v>
      </c>
      <c r="F5022">
        <v>2</v>
      </c>
      <c r="G5022" t="str">
        <f>VLOOKUP(D5022,Товары!A:I,3,0)</f>
        <v>Зеркальный шкаф Кристалл 70 со светильником правый, ручка кнопка дуб цвет Шато Азур</v>
      </c>
      <c r="H5022">
        <f>VLOOKUP(D5022,Товары!A:I,6,0)</f>
        <v>75</v>
      </c>
      <c r="I5022" t="str">
        <f>VLOOKUP(C5022,Магазины!A:C,3,0)</f>
        <v>Ставрополь</v>
      </c>
      <c r="J5022">
        <f>VLOOKUP(D5022,Товары!A:I,4,0)</f>
        <v>9615</v>
      </c>
      <c r="K5022">
        <f t="shared" si="78"/>
        <v>19230</v>
      </c>
    </row>
    <row r="5023" spans="1:11" hidden="1" x14ac:dyDescent="0.25">
      <c r="A5023">
        <v>5022</v>
      </c>
      <c r="B5023" s="1">
        <v>45757</v>
      </c>
      <c r="C5023" t="s">
        <v>48</v>
      </c>
      <c r="D5023" t="s">
        <v>104</v>
      </c>
      <c r="E5023" t="s">
        <v>8</v>
      </c>
      <c r="F5023">
        <v>3</v>
      </c>
      <c r="G5023" t="str">
        <f>VLOOKUP(D5023,Товары!A:I,3,0)</f>
        <v>Тумба под стиральную машину Куба Риф 57 подвесная 2 ящика под ст/маш, без умывальника /под Marshall 120 Белый</v>
      </c>
      <c r="H5023">
        <f>VLOOKUP(D5023,Товары!A:I,6,0)</f>
        <v>50</v>
      </c>
      <c r="I5023" t="str">
        <f>VLOOKUP(C5023,Магазины!A:C,3,0)</f>
        <v>Ставрополь</v>
      </c>
      <c r="J5023">
        <f>VLOOKUP(D5023,Товары!A:I,4,0)</f>
        <v>8505</v>
      </c>
      <c r="K5023">
        <f t="shared" si="78"/>
        <v>25515</v>
      </c>
    </row>
    <row r="5024" spans="1:11" hidden="1" x14ac:dyDescent="0.25">
      <c r="A5024">
        <v>5023</v>
      </c>
      <c r="B5024" s="1">
        <v>45749</v>
      </c>
      <c r="C5024" t="s">
        <v>54</v>
      </c>
      <c r="D5024" t="s">
        <v>7</v>
      </c>
      <c r="E5024" t="s">
        <v>8</v>
      </c>
      <c r="F5024">
        <v>2</v>
      </c>
      <c r="G5024" t="str">
        <f>VLOOKUP(D5024,Товары!A:I,3,0)</f>
        <v>Пенал напол. Леон Риф 400 солярис/белый риф 2 двери + 1 ящик</v>
      </c>
      <c r="H5024">
        <f>VLOOKUP(D5024,Товары!A:I,6,0)</f>
        <v>190</v>
      </c>
      <c r="I5024" t="str">
        <f>VLOOKUP(C5024,Магазины!A:C,3,0)</f>
        <v>Ставрополь</v>
      </c>
      <c r="J5024">
        <f>VLOOKUP(D5024,Товары!A:I,4,0)</f>
        <v>14490</v>
      </c>
      <c r="K5024">
        <f t="shared" si="78"/>
        <v>28980</v>
      </c>
    </row>
    <row r="5025" spans="1:11" hidden="1" x14ac:dyDescent="0.25">
      <c r="A5025">
        <v>5024</v>
      </c>
      <c r="B5025" s="1">
        <v>45753</v>
      </c>
      <c r="C5025" t="s">
        <v>41</v>
      </c>
      <c r="D5025" t="s">
        <v>113</v>
      </c>
      <c r="E5025" t="s">
        <v>8</v>
      </c>
      <c r="F5025">
        <v>3</v>
      </c>
      <c r="G5025" t="str">
        <f>VLOOKUP(D5025,Товары!A:I,3,0)</f>
        <v>Зеркальный шкаф Альба 60 со светильником правый цвет мята</v>
      </c>
      <c r="H5025">
        <f>VLOOKUP(D5025,Товары!A:I,6,0)</f>
        <v>75</v>
      </c>
      <c r="I5025" t="str">
        <f>VLOOKUP(C5025,Магазины!A:C,3,0)</f>
        <v>Ставрополь</v>
      </c>
      <c r="J5025">
        <f>VLOOKUP(D5025,Товары!A:I,4,0)</f>
        <v>8910</v>
      </c>
      <c r="K5025">
        <f t="shared" si="78"/>
        <v>26730</v>
      </c>
    </row>
    <row r="5026" spans="1:11" hidden="1" x14ac:dyDescent="0.25">
      <c r="A5026">
        <v>5025</v>
      </c>
      <c r="B5026" s="1">
        <v>45755</v>
      </c>
      <c r="C5026" t="s">
        <v>26</v>
      </c>
      <c r="D5026" t="s">
        <v>44</v>
      </c>
      <c r="E5026" t="s">
        <v>13</v>
      </c>
      <c r="F5026">
        <v>1</v>
      </c>
      <c r="G5026" t="str">
        <f>VLOOKUP(D5026,Товары!A:I,3,0)</f>
        <v>Тумба с раковиной  навес. Кристалл 800 шато азур 2 ящика с умыв. Комфорт</v>
      </c>
      <c r="H5026">
        <f>VLOOKUP(D5026,Товары!A:I,6,0)</f>
        <v>55</v>
      </c>
      <c r="I5026" t="str">
        <f>VLOOKUP(C5026,Магазины!A:C,3,0)</f>
        <v>Оренбург</v>
      </c>
      <c r="J5026">
        <f>VLOOKUP(D5026,Товары!A:I,4,0)</f>
        <v>25080</v>
      </c>
      <c r="K5026">
        <f t="shared" si="78"/>
        <v>25080</v>
      </c>
    </row>
    <row r="5027" spans="1:11" hidden="1" x14ac:dyDescent="0.25">
      <c r="A5027">
        <v>5026</v>
      </c>
      <c r="B5027" s="1">
        <v>45748</v>
      </c>
      <c r="C5027" t="s">
        <v>58</v>
      </c>
      <c r="D5027" t="s">
        <v>47</v>
      </c>
      <c r="E5027" t="s">
        <v>8</v>
      </c>
      <c r="F5027">
        <v>3</v>
      </c>
      <c r="G5027" t="str">
        <f>VLOOKUP(D5027,Товары!A:I,3,0)</f>
        <v>Пенал напол. Кристалл 350 шато азур 2 двери</v>
      </c>
      <c r="H5027">
        <f>VLOOKUP(D5027,Товары!A:I,6,0)</f>
        <v>190</v>
      </c>
      <c r="I5027" t="str">
        <f>VLOOKUP(C5027,Магазины!A:C,3,0)</f>
        <v>Ставрополь</v>
      </c>
      <c r="J5027">
        <f>VLOOKUP(D5027,Товары!A:I,4,0)</f>
        <v>15810</v>
      </c>
      <c r="K5027">
        <f t="shared" si="78"/>
        <v>47430</v>
      </c>
    </row>
    <row r="5028" spans="1:11" hidden="1" x14ac:dyDescent="0.25">
      <c r="A5028">
        <v>5027</v>
      </c>
      <c r="B5028" s="1">
        <v>45749</v>
      </c>
      <c r="C5028" t="s">
        <v>103</v>
      </c>
      <c r="D5028" t="s">
        <v>75</v>
      </c>
      <c r="E5028" t="s">
        <v>13</v>
      </c>
      <c r="F5028">
        <v>3</v>
      </c>
      <c r="G5028" t="str">
        <f>VLOOKUP(D5028,Товары!A:I,3,0)</f>
        <v>Тумба с раковиной  напол. Альба 600 суфле 2 ящика с умыв. Океан</v>
      </c>
      <c r="H5028">
        <f>VLOOKUP(D5028,Товары!A:I,6,0)</f>
        <v>80</v>
      </c>
      <c r="I5028" t="str">
        <f>VLOOKUP(C5028,Магазины!A:C,3,0)</f>
        <v>Ставрополь</v>
      </c>
      <c r="J5028">
        <f>VLOOKUP(D5028,Товары!A:I,4,0)</f>
        <v>26370</v>
      </c>
      <c r="K5028">
        <f t="shared" si="78"/>
        <v>79110</v>
      </c>
    </row>
    <row r="5029" spans="1:11" hidden="1" x14ac:dyDescent="0.25">
      <c r="A5029">
        <v>5028</v>
      </c>
      <c r="B5029" s="1">
        <v>45749</v>
      </c>
      <c r="C5029" t="s">
        <v>103</v>
      </c>
      <c r="D5029" t="s">
        <v>83</v>
      </c>
      <c r="E5029" t="s">
        <v>13</v>
      </c>
      <c r="F5029">
        <v>1</v>
      </c>
      <c r="G5029" t="str">
        <f>VLOOKUP(D5029,Товары!A:I,3,0)</f>
        <v>Зеркальный шкаф Альба 60 со светильником правый цвет суфле</v>
      </c>
      <c r="H5029">
        <f>VLOOKUP(D5029,Товары!A:I,6,0)</f>
        <v>75</v>
      </c>
      <c r="I5029" t="str">
        <f>VLOOKUP(C5029,Магазины!A:C,3,0)</f>
        <v>Ставрополь</v>
      </c>
      <c r="J5029">
        <f>VLOOKUP(D5029,Товары!A:I,4,0)</f>
        <v>8910</v>
      </c>
      <c r="K5029">
        <f t="shared" si="78"/>
        <v>8910</v>
      </c>
    </row>
    <row r="5030" spans="1:11" hidden="1" x14ac:dyDescent="0.25">
      <c r="A5030">
        <v>5029</v>
      </c>
      <c r="B5030" s="1">
        <v>45751</v>
      </c>
      <c r="C5030" t="s">
        <v>6</v>
      </c>
      <c r="D5030" t="s">
        <v>106</v>
      </c>
      <c r="E5030" t="s">
        <v>8</v>
      </c>
      <c r="F5030">
        <v>2</v>
      </c>
      <c r="G5030" t="str">
        <f>VLOOKUP(D5030,Товары!A:I,3,0)</f>
        <v>Тумба с раковиной  навес. Кристалл 700 шато азур 2 ящика с умыв. Слим</v>
      </c>
      <c r="H5030">
        <f>VLOOKUP(D5030,Товары!A:I,6,0)</f>
        <v>60</v>
      </c>
      <c r="I5030" t="str">
        <f>VLOOKUP(C5030,Магазины!A:C,3,0)</f>
        <v>Оренбург</v>
      </c>
      <c r="J5030">
        <f>VLOOKUP(D5030,Товары!A:I,4,0)</f>
        <v>24150</v>
      </c>
      <c r="K5030">
        <f t="shared" si="78"/>
        <v>48300</v>
      </c>
    </row>
    <row r="5031" spans="1:11" hidden="1" x14ac:dyDescent="0.25">
      <c r="A5031">
        <v>5030</v>
      </c>
      <c r="B5031" s="1">
        <v>45749</v>
      </c>
      <c r="C5031" t="s">
        <v>18</v>
      </c>
      <c r="D5031" t="s">
        <v>110</v>
      </c>
      <c r="E5031" t="s">
        <v>13</v>
      </c>
      <c r="F5031">
        <v>2</v>
      </c>
      <c r="G5031" t="str">
        <f>VLOOKUP(D5031,Товары!A:I,3,0)</f>
        <v>Тумба с раковиной  напол. Альба 600 антрацит 2 ящика с умыв. Океан</v>
      </c>
      <c r="H5031">
        <f>VLOOKUP(D5031,Товары!A:I,6,0)</f>
        <v>80</v>
      </c>
      <c r="I5031" t="str">
        <f>VLOOKUP(C5031,Магазины!A:C,3,0)</f>
        <v>Набережные Челны</v>
      </c>
      <c r="J5031">
        <f>VLOOKUP(D5031,Товары!A:I,4,0)</f>
        <v>26370</v>
      </c>
      <c r="K5031">
        <f t="shared" si="78"/>
        <v>52740</v>
      </c>
    </row>
    <row r="5032" spans="1:11" hidden="1" x14ac:dyDescent="0.25">
      <c r="A5032">
        <v>5031</v>
      </c>
      <c r="B5032" s="1">
        <v>45749</v>
      </c>
      <c r="C5032" t="s">
        <v>6</v>
      </c>
      <c r="D5032" t="s">
        <v>65</v>
      </c>
      <c r="E5032" t="s">
        <v>8</v>
      </c>
      <c r="F5032">
        <v>2</v>
      </c>
      <c r="G5032" t="str">
        <f>VLOOKUP(D5032,Товары!A:I,3,0)</f>
        <v>Тумба с раковиной  навес. Альба 800 суфле 2 ящика с умыв. Слим</v>
      </c>
      <c r="H5032">
        <f>VLOOKUP(D5032,Товары!A:I,6,0)</f>
        <v>50</v>
      </c>
      <c r="I5032" t="str">
        <f>VLOOKUP(C5032,Магазины!A:C,3,0)</f>
        <v>Оренбург</v>
      </c>
      <c r="J5032">
        <f>VLOOKUP(D5032,Товары!A:I,4,0)</f>
        <v>26070</v>
      </c>
      <c r="K5032">
        <f t="shared" si="78"/>
        <v>52140</v>
      </c>
    </row>
    <row r="5033" spans="1:11" hidden="1" x14ac:dyDescent="0.25">
      <c r="A5033">
        <v>5032</v>
      </c>
      <c r="B5033" s="1">
        <v>45754</v>
      </c>
      <c r="C5033" t="s">
        <v>63</v>
      </c>
      <c r="D5033" t="s">
        <v>112</v>
      </c>
      <c r="E5033" t="s">
        <v>13</v>
      </c>
      <c r="F5033">
        <v>2</v>
      </c>
      <c r="G5033" t="str">
        <f>VLOOKUP(D5033,Товары!A:I,3,0)</f>
        <v>Тумба с раковиной  напол. Аква 560 белый 2 двери с умыв. Уют</v>
      </c>
      <c r="H5033">
        <f>VLOOKUP(D5033,Товары!A:I,6,0)</f>
        <v>85</v>
      </c>
      <c r="I5033" t="str">
        <f>VLOOKUP(C5033,Магазины!A:C,3,0)</f>
        <v>Ставрополь</v>
      </c>
      <c r="J5033">
        <f>VLOOKUP(D5033,Товары!A:I,4,0)</f>
        <v>9330</v>
      </c>
      <c r="K5033">
        <f t="shared" si="78"/>
        <v>18660</v>
      </c>
    </row>
    <row r="5034" spans="1:11" hidden="1" x14ac:dyDescent="0.25">
      <c r="A5034">
        <v>5033</v>
      </c>
      <c r="B5034" s="1">
        <v>45753</v>
      </c>
      <c r="C5034" t="s">
        <v>57</v>
      </c>
      <c r="D5034" t="s">
        <v>70</v>
      </c>
      <c r="E5034" t="s">
        <v>8</v>
      </c>
      <c r="F5034">
        <v>2</v>
      </c>
      <c r="G5034" t="str">
        <f>VLOOKUP(D5034,Товары!A:I,3,0)</f>
        <v>Тумба с раковиной  напол. Кристалл 700 шато азур 2 ящика с умыв. Слим</v>
      </c>
      <c r="H5034">
        <f>VLOOKUP(D5034,Товары!A:I,6,0)</f>
        <v>85</v>
      </c>
      <c r="I5034" t="str">
        <f>VLOOKUP(C5034,Магазины!A:C,3,0)</f>
        <v>Оренбург</v>
      </c>
      <c r="J5034">
        <f>VLOOKUP(D5034,Товары!A:I,4,0)</f>
        <v>29910</v>
      </c>
      <c r="K5034">
        <f t="shared" si="78"/>
        <v>59820</v>
      </c>
    </row>
    <row r="5035" spans="1:11" hidden="1" x14ac:dyDescent="0.25">
      <c r="A5035">
        <v>5034</v>
      </c>
      <c r="B5035" s="1">
        <v>45757</v>
      </c>
      <c r="C5035" t="s">
        <v>14</v>
      </c>
      <c r="D5035" t="s">
        <v>72</v>
      </c>
      <c r="E5035" t="s">
        <v>8</v>
      </c>
      <c r="F5035">
        <v>3</v>
      </c>
      <c r="G5035" t="str">
        <f>VLOOKUP(D5035,Товары!A:I,3,0)</f>
        <v>Тумба с раковиной  напол. Сохо 600 белый 2 ящика с умыв. Океан</v>
      </c>
      <c r="H5035">
        <f>VLOOKUP(D5035,Товары!A:I,6,0)</f>
        <v>85</v>
      </c>
      <c r="I5035" t="str">
        <f>VLOOKUP(C5035,Магазины!A:C,3,0)</f>
        <v>Оренбург</v>
      </c>
      <c r="J5035">
        <f>VLOOKUP(D5035,Товары!A:I,4,0)</f>
        <v>16140</v>
      </c>
      <c r="K5035">
        <f t="shared" si="78"/>
        <v>48420</v>
      </c>
    </row>
    <row r="5036" spans="1:11" hidden="1" x14ac:dyDescent="0.25">
      <c r="A5036">
        <v>5035</v>
      </c>
      <c r="B5036" s="1">
        <v>45753</v>
      </c>
      <c r="C5036" t="s">
        <v>63</v>
      </c>
      <c r="D5036" t="s">
        <v>113</v>
      </c>
      <c r="E5036" t="s">
        <v>13</v>
      </c>
      <c r="F5036">
        <v>3</v>
      </c>
      <c r="G5036" t="str">
        <f>VLOOKUP(D5036,Товары!A:I,3,0)</f>
        <v>Зеркальный шкаф Альба 60 со светильником правый цвет мята</v>
      </c>
      <c r="H5036">
        <f>VLOOKUP(D5036,Товары!A:I,6,0)</f>
        <v>75</v>
      </c>
      <c r="I5036" t="str">
        <f>VLOOKUP(C5036,Магазины!A:C,3,0)</f>
        <v>Ставрополь</v>
      </c>
      <c r="J5036">
        <f>VLOOKUP(D5036,Товары!A:I,4,0)</f>
        <v>8910</v>
      </c>
      <c r="K5036">
        <f t="shared" si="78"/>
        <v>26730</v>
      </c>
    </row>
    <row r="5037" spans="1:11" hidden="1" x14ac:dyDescent="0.25">
      <c r="A5037">
        <v>5036</v>
      </c>
      <c r="B5037" s="1">
        <v>45757</v>
      </c>
      <c r="C5037" t="s">
        <v>18</v>
      </c>
      <c r="D5037" t="s">
        <v>85</v>
      </c>
      <c r="E5037" t="s">
        <v>8</v>
      </c>
      <c r="F5037">
        <v>1</v>
      </c>
      <c r="G5037" t="str">
        <f>VLOOKUP(D5037,Товары!A:I,3,0)</f>
        <v>Пенал напол. Аква 450 белый 2 двери + 2 ящика + корзина</v>
      </c>
      <c r="H5037">
        <f>VLOOKUP(D5037,Товары!A:I,6,0)</f>
        <v>190</v>
      </c>
      <c r="I5037" t="str">
        <f>VLOOKUP(C5037,Магазины!A:C,3,0)</f>
        <v>Набережные Челны</v>
      </c>
      <c r="J5037">
        <f>VLOOKUP(D5037,Товары!A:I,4,0)</f>
        <v>13335</v>
      </c>
      <c r="K5037">
        <f t="shared" si="78"/>
        <v>13335</v>
      </c>
    </row>
    <row r="5038" spans="1:11" hidden="1" x14ac:dyDescent="0.25">
      <c r="A5038">
        <v>5037</v>
      </c>
      <c r="B5038" s="1">
        <v>45749</v>
      </c>
      <c r="C5038" t="s">
        <v>11</v>
      </c>
      <c r="D5038" t="s">
        <v>123</v>
      </c>
      <c r="E5038" t="s">
        <v>8</v>
      </c>
      <c r="F5038">
        <v>1</v>
      </c>
      <c r="G5038" t="str">
        <f>VLOOKUP(D5038,Товары!A:I,3,0)</f>
        <v>Тумба с раковиной  напол. Кристалл 800 суфле 2 ящика с умыв. Слим</v>
      </c>
      <c r="H5038">
        <f>VLOOKUP(D5038,Товары!A:I,6,0)</f>
        <v>80</v>
      </c>
      <c r="I5038" t="str">
        <f>VLOOKUP(C5038,Магазины!A:C,3,0)</f>
        <v>Кемерово</v>
      </c>
      <c r="J5038">
        <f>VLOOKUP(D5038,Товары!A:I,4,0)</f>
        <v>31125</v>
      </c>
      <c r="K5038">
        <f t="shared" si="78"/>
        <v>31125</v>
      </c>
    </row>
    <row r="5039" spans="1:11" hidden="1" x14ac:dyDescent="0.25">
      <c r="A5039">
        <v>5038</v>
      </c>
      <c r="B5039" s="1">
        <v>45752</v>
      </c>
      <c r="C5039" t="s">
        <v>28</v>
      </c>
      <c r="D5039" t="s">
        <v>65</v>
      </c>
      <c r="E5039" t="s">
        <v>13</v>
      </c>
      <c r="F5039">
        <v>3</v>
      </c>
      <c r="G5039" t="str">
        <f>VLOOKUP(D5039,Товары!A:I,3,0)</f>
        <v>Тумба с раковиной  навес. Альба 800 суфле 2 ящика с умыв. Слим</v>
      </c>
      <c r="H5039">
        <f>VLOOKUP(D5039,Товары!A:I,6,0)</f>
        <v>50</v>
      </c>
      <c r="I5039" t="str">
        <f>VLOOKUP(C5039,Магазины!A:C,3,0)</f>
        <v>Набережные Челны</v>
      </c>
      <c r="J5039">
        <f>VLOOKUP(D5039,Товары!A:I,4,0)</f>
        <v>26070</v>
      </c>
      <c r="K5039">
        <f t="shared" si="78"/>
        <v>78210</v>
      </c>
    </row>
    <row r="5040" spans="1:11" hidden="1" x14ac:dyDescent="0.25">
      <c r="A5040">
        <v>5039</v>
      </c>
      <c r="B5040" s="1">
        <v>45756</v>
      </c>
      <c r="C5040" t="s">
        <v>9</v>
      </c>
      <c r="D5040" t="s">
        <v>82</v>
      </c>
      <c r="E5040" t="s">
        <v>8</v>
      </c>
      <c r="F5040">
        <v>3</v>
      </c>
      <c r="G5040" t="str">
        <f>VLOOKUP(D5040,Товары!A:I,3,0)</f>
        <v>Тумба с раковиной  навес. Леон 800 форест 2 ящика с умыв. Слим</v>
      </c>
      <c r="H5040">
        <f>VLOOKUP(D5040,Товары!A:I,6,0)</f>
        <v>60</v>
      </c>
      <c r="I5040" t="str">
        <f>VLOOKUP(C5040,Магазины!A:C,3,0)</f>
        <v>Кемерово</v>
      </c>
      <c r="J5040">
        <f>VLOOKUP(D5040,Товары!A:I,4,0)</f>
        <v>27930</v>
      </c>
      <c r="K5040">
        <f t="shared" si="78"/>
        <v>83790</v>
      </c>
    </row>
    <row r="5041" spans="1:11" hidden="1" x14ac:dyDescent="0.25">
      <c r="A5041">
        <v>5040</v>
      </c>
      <c r="B5041" s="1">
        <v>45755</v>
      </c>
      <c r="C5041" t="s">
        <v>30</v>
      </c>
      <c r="D5041" t="s">
        <v>101</v>
      </c>
      <c r="E5041" t="s">
        <v>13</v>
      </c>
      <c r="F5041">
        <v>1</v>
      </c>
      <c r="G5041" t="str">
        <f>VLOOKUP(D5041,Товары!A:I,3,0)</f>
        <v>Пенал напол. Сохо 400 белый 2 двери + 1 ящик</v>
      </c>
      <c r="H5041">
        <f>VLOOKUP(D5041,Товары!A:I,6,0)</f>
        <v>190</v>
      </c>
      <c r="I5041" t="str">
        <f>VLOOKUP(C5041,Магазины!A:C,3,0)</f>
        <v>Кемерово</v>
      </c>
      <c r="J5041">
        <f>VLOOKUP(D5041,Товары!A:I,4,0)</f>
        <v>11040</v>
      </c>
      <c r="K5041">
        <f t="shared" si="78"/>
        <v>11040</v>
      </c>
    </row>
    <row r="5042" spans="1:11" hidden="1" x14ac:dyDescent="0.25">
      <c r="A5042">
        <v>5041</v>
      </c>
      <c r="B5042" s="1">
        <v>45748</v>
      </c>
      <c r="C5042" t="s">
        <v>43</v>
      </c>
      <c r="D5042" t="s">
        <v>21</v>
      </c>
      <c r="E5042" t="s">
        <v>13</v>
      </c>
      <c r="F5042">
        <v>2</v>
      </c>
      <c r="G5042" t="str">
        <f>VLOOKUP(D5042,Товары!A:I,3,0)</f>
        <v>Зеркальный шкаф Рица 60 со светильником правый цвет cерый/керамика</v>
      </c>
      <c r="H5042">
        <f>VLOOKUP(D5042,Товары!A:I,6,0)</f>
        <v>75</v>
      </c>
      <c r="I5042" t="str">
        <f>VLOOKUP(C5042,Магазины!A:C,3,0)</f>
        <v>Набережные Челны</v>
      </c>
      <c r="J5042">
        <f>VLOOKUP(D5042,Товары!A:I,4,0)</f>
        <v>8910</v>
      </c>
      <c r="K5042">
        <f t="shared" si="78"/>
        <v>17820</v>
      </c>
    </row>
    <row r="5043" spans="1:11" hidden="1" x14ac:dyDescent="0.25">
      <c r="A5043">
        <v>5042</v>
      </c>
      <c r="B5043" s="1">
        <v>45751</v>
      </c>
      <c r="C5043" t="s">
        <v>28</v>
      </c>
      <c r="D5043" t="s">
        <v>126</v>
      </c>
      <c r="E5043" t="s">
        <v>8</v>
      </c>
      <c r="F5043">
        <v>3</v>
      </c>
      <c r="G5043" t="str">
        <f>VLOOKUP(D5043,Товары!A:I,3,0)</f>
        <v>Тумба с раковиной  напол. Кристалл 800 шато азур 2 ящика с умыв. Комфорт</v>
      </c>
      <c r="H5043">
        <f>VLOOKUP(D5043,Товары!A:I,6,0)</f>
        <v>85</v>
      </c>
      <c r="I5043" t="str">
        <f>VLOOKUP(C5043,Магазины!A:C,3,0)</f>
        <v>Набережные Челны</v>
      </c>
      <c r="J5043">
        <f>VLOOKUP(D5043,Товары!A:I,4,0)</f>
        <v>31125</v>
      </c>
      <c r="K5043">
        <f t="shared" si="78"/>
        <v>93375</v>
      </c>
    </row>
    <row r="5044" spans="1:11" hidden="1" x14ac:dyDescent="0.25">
      <c r="A5044">
        <v>5043</v>
      </c>
      <c r="B5044" s="1">
        <v>45750</v>
      </c>
      <c r="C5044" t="s">
        <v>35</v>
      </c>
      <c r="D5044" t="s">
        <v>66</v>
      </c>
      <c r="E5044" t="s">
        <v>13</v>
      </c>
      <c r="F5044">
        <v>1</v>
      </c>
      <c r="G5044" t="str">
        <f>VLOOKUP(D5044,Товары!A:I,3,0)</f>
        <v>Тумба с раковиной  навес. Альба 800 мята 2 ящика с умыв. Слим</v>
      </c>
      <c r="H5044">
        <f>VLOOKUP(D5044,Товары!A:I,6,0)</f>
        <v>50</v>
      </c>
      <c r="I5044" t="str">
        <f>VLOOKUP(C5044,Магазины!A:C,3,0)</f>
        <v>Набережные Челны</v>
      </c>
      <c r="J5044">
        <f>VLOOKUP(D5044,Товары!A:I,4,0)</f>
        <v>26070</v>
      </c>
      <c r="K5044">
        <f t="shared" si="78"/>
        <v>26070</v>
      </c>
    </row>
    <row r="5045" spans="1:11" hidden="1" x14ac:dyDescent="0.25">
      <c r="A5045">
        <v>5044</v>
      </c>
      <c r="B5045" s="1">
        <v>45749</v>
      </c>
      <c r="C5045" t="s">
        <v>43</v>
      </c>
      <c r="D5045" t="s">
        <v>108</v>
      </c>
      <c r="E5045" t="s">
        <v>13</v>
      </c>
      <c r="F5045">
        <v>3</v>
      </c>
      <c r="G5045" t="str">
        <f>VLOOKUP(D5045,Товары!A:I,3,0)</f>
        <v>Тумба с раковиной  навес. Виктория 1000 белый 2 ящика с умыв. Слим</v>
      </c>
      <c r="H5045">
        <f>VLOOKUP(D5045,Товары!A:I,6,0)</f>
        <v>60</v>
      </c>
      <c r="I5045" t="str">
        <f>VLOOKUP(C5045,Магазины!A:C,3,0)</f>
        <v>Набережные Челны</v>
      </c>
      <c r="J5045">
        <f>VLOOKUP(D5045,Товары!A:I,4,0)</f>
        <v>29205</v>
      </c>
      <c r="K5045">
        <f t="shared" si="78"/>
        <v>87615</v>
      </c>
    </row>
    <row r="5046" spans="1:11" hidden="1" x14ac:dyDescent="0.25">
      <c r="A5046">
        <v>5045</v>
      </c>
      <c r="B5046" s="1">
        <v>45750</v>
      </c>
      <c r="C5046" t="s">
        <v>28</v>
      </c>
      <c r="D5046" t="s">
        <v>79</v>
      </c>
      <c r="E5046" t="s">
        <v>8</v>
      </c>
      <c r="F5046">
        <v>3</v>
      </c>
      <c r="G5046" t="str">
        <f>VLOOKUP(D5046,Товары!A:I,3,0)</f>
        <v>Зеркальный шкаф Альба 70 со светильником правый цвет мята</v>
      </c>
      <c r="H5046">
        <f>VLOOKUP(D5046,Товары!A:I,6,0)</f>
        <v>75</v>
      </c>
      <c r="I5046" t="str">
        <f>VLOOKUP(C5046,Магазины!A:C,3,0)</f>
        <v>Набережные Челны</v>
      </c>
      <c r="J5046">
        <f>VLOOKUP(D5046,Товары!A:I,4,0)</f>
        <v>9615</v>
      </c>
      <c r="K5046">
        <f t="shared" si="78"/>
        <v>28845</v>
      </c>
    </row>
    <row r="5047" spans="1:11" hidden="1" x14ac:dyDescent="0.25">
      <c r="A5047">
        <v>5046</v>
      </c>
      <c r="B5047" s="1">
        <v>45754</v>
      </c>
      <c r="C5047" t="s">
        <v>26</v>
      </c>
      <c r="D5047" t="s">
        <v>128</v>
      </c>
      <c r="E5047" t="s">
        <v>8</v>
      </c>
      <c r="F5047">
        <v>3</v>
      </c>
      <c r="G5047" t="str">
        <f>VLOOKUP(D5047,Товары!A:I,3,0)</f>
        <v>Тумба с раковиной  напол. Куба Риф 1000 белый 2 ящика с умыв. Слим</v>
      </c>
      <c r="H5047">
        <f>VLOOKUP(D5047,Товары!A:I,6,0)</f>
        <v>85</v>
      </c>
      <c r="I5047" t="str">
        <f>VLOOKUP(C5047,Магазины!A:C,3,0)</f>
        <v>Оренбург</v>
      </c>
      <c r="J5047">
        <f>VLOOKUP(D5047,Товары!A:I,4,0)</f>
        <v>22905</v>
      </c>
      <c r="K5047">
        <f t="shared" si="78"/>
        <v>68715</v>
      </c>
    </row>
    <row r="5048" spans="1:11" hidden="1" x14ac:dyDescent="0.25">
      <c r="A5048">
        <v>5047</v>
      </c>
      <c r="B5048" s="1">
        <v>45748</v>
      </c>
      <c r="C5048" t="s">
        <v>111</v>
      </c>
      <c r="D5048" t="s">
        <v>73</v>
      </c>
      <c r="E5048" t="s">
        <v>8</v>
      </c>
      <c r="F5048">
        <v>1</v>
      </c>
      <c r="G5048" t="str">
        <f>VLOOKUP(D5048,Товары!A:I,3,0)</f>
        <v>Зеркальный шкаф Альба 70 со светильником правый цвет антрацит</v>
      </c>
      <c r="H5048">
        <f>VLOOKUP(D5048,Товары!A:I,6,0)</f>
        <v>75</v>
      </c>
      <c r="I5048" t="str">
        <f>VLOOKUP(C5048,Магазины!A:C,3,0)</f>
        <v>Набережные Челны</v>
      </c>
      <c r="J5048">
        <f>VLOOKUP(D5048,Товары!A:I,4,0)</f>
        <v>9615</v>
      </c>
      <c r="K5048">
        <f t="shared" si="78"/>
        <v>9615</v>
      </c>
    </row>
    <row r="5049" spans="1:11" hidden="1" x14ac:dyDescent="0.25">
      <c r="A5049">
        <v>5048</v>
      </c>
      <c r="B5049" s="1">
        <v>45757</v>
      </c>
      <c r="C5049" t="s">
        <v>54</v>
      </c>
      <c r="D5049" t="s">
        <v>130</v>
      </c>
      <c r="E5049" t="s">
        <v>8</v>
      </c>
      <c r="F5049">
        <v>1</v>
      </c>
      <c r="G5049" t="str">
        <f>VLOOKUP(D5049,Товары!A:I,3,0)</f>
        <v>Пенал напол. Леон 400 форест 2 двери + 1 ящик</v>
      </c>
      <c r="H5049">
        <f>VLOOKUP(D5049,Товары!A:I,6,0)</f>
        <v>190</v>
      </c>
      <c r="I5049" t="str">
        <f>VLOOKUP(C5049,Магазины!A:C,3,0)</f>
        <v>Ставрополь</v>
      </c>
      <c r="J5049">
        <f>VLOOKUP(D5049,Товары!A:I,4,0)</f>
        <v>18450</v>
      </c>
      <c r="K5049">
        <f t="shared" si="78"/>
        <v>18450</v>
      </c>
    </row>
    <row r="5050" spans="1:11" hidden="1" x14ac:dyDescent="0.25">
      <c r="A5050">
        <v>5049</v>
      </c>
      <c r="B5050" s="1">
        <v>45753</v>
      </c>
      <c r="C5050" t="s">
        <v>11</v>
      </c>
      <c r="D5050" t="s">
        <v>50</v>
      </c>
      <c r="E5050" t="s">
        <v>13</v>
      </c>
      <c r="F5050">
        <v>3</v>
      </c>
      <c r="G5050" t="str">
        <f>VLOOKUP(D5050,Товары!A:I,3,0)</f>
        <v>Тумба с раковиной  напол. Леон 800 оникс 2 ящика с умыв. Слим</v>
      </c>
      <c r="H5050">
        <f>VLOOKUP(D5050,Товары!A:I,6,0)</f>
        <v>80</v>
      </c>
      <c r="I5050" t="str">
        <f>VLOOKUP(C5050,Магазины!A:C,3,0)</f>
        <v>Кемерово</v>
      </c>
      <c r="J5050">
        <f>VLOOKUP(D5050,Товары!A:I,4,0)</f>
        <v>29400</v>
      </c>
      <c r="K5050">
        <f t="shared" si="78"/>
        <v>88200</v>
      </c>
    </row>
    <row r="5051" spans="1:11" hidden="1" x14ac:dyDescent="0.25">
      <c r="A5051">
        <v>5050</v>
      </c>
      <c r="B5051" s="1">
        <v>45749</v>
      </c>
      <c r="C5051" t="s">
        <v>63</v>
      </c>
      <c r="D5051" t="s">
        <v>15</v>
      </c>
      <c r="E5051" t="s">
        <v>13</v>
      </c>
      <c r="F5051">
        <v>2</v>
      </c>
      <c r="G5051" t="str">
        <f>VLOOKUP(D5051,Товары!A:I,3,0)</f>
        <v>Зеркальный шкаф Кристалл 60 со светильником правый, ручка кнопка дуб цвет Шато Азур</v>
      </c>
      <c r="H5051">
        <f>VLOOKUP(D5051,Товары!A:I,6,0)</f>
        <v>75</v>
      </c>
      <c r="I5051" t="str">
        <f>VLOOKUP(C5051,Магазины!A:C,3,0)</f>
        <v>Ставрополь</v>
      </c>
      <c r="J5051">
        <f>VLOOKUP(D5051,Товары!A:I,4,0)</f>
        <v>9195</v>
      </c>
      <c r="K5051">
        <f t="shared" si="78"/>
        <v>18390</v>
      </c>
    </row>
    <row r="5052" spans="1:11" hidden="1" x14ac:dyDescent="0.25">
      <c r="A5052">
        <v>5051</v>
      </c>
      <c r="B5052" s="1">
        <v>45757</v>
      </c>
      <c r="C5052" t="s">
        <v>30</v>
      </c>
      <c r="D5052" t="s">
        <v>51</v>
      </c>
      <c r="E5052" t="s">
        <v>13</v>
      </c>
      <c r="F5052">
        <v>3</v>
      </c>
      <c r="G5052" t="str">
        <f>VLOOKUP(D5052,Товары!A:I,3,0)</f>
        <v>Зеркальный шкаф Альба 80 со светильником правый цвет суфле</v>
      </c>
      <c r="H5052">
        <f>VLOOKUP(D5052,Товары!A:I,6,0)</f>
        <v>75</v>
      </c>
      <c r="I5052" t="str">
        <f>VLOOKUP(C5052,Магазины!A:C,3,0)</f>
        <v>Кемерово</v>
      </c>
      <c r="J5052">
        <f>VLOOKUP(D5052,Товары!A:I,4,0)</f>
        <v>9930</v>
      </c>
      <c r="K5052">
        <f t="shared" si="78"/>
        <v>29790</v>
      </c>
    </row>
    <row r="5053" spans="1:11" hidden="1" x14ac:dyDescent="0.25">
      <c r="A5053">
        <v>5052</v>
      </c>
      <c r="B5053" s="1">
        <v>45750</v>
      </c>
      <c r="C5053" t="s">
        <v>35</v>
      </c>
      <c r="D5053" t="s">
        <v>77</v>
      </c>
      <c r="E5053" t="s">
        <v>8</v>
      </c>
      <c r="F5053">
        <v>1</v>
      </c>
      <c r="G5053" t="str">
        <f>VLOOKUP(D5053,Товары!A:I,3,0)</f>
        <v>Тумба с раковиной  напол. Куба Риф 600 белый 2 ящика с умыв. Como</v>
      </c>
      <c r="H5053">
        <f>VLOOKUP(D5053,Товары!A:I,6,0)</f>
        <v>85</v>
      </c>
      <c r="I5053" t="str">
        <f>VLOOKUP(C5053,Магазины!A:C,3,0)</f>
        <v>Набережные Челны</v>
      </c>
      <c r="J5053">
        <f>VLOOKUP(D5053,Товары!A:I,4,0)</f>
        <v>15660</v>
      </c>
      <c r="K5053">
        <f t="shared" si="78"/>
        <v>15660</v>
      </c>
    </row>
    <row r="5054" spans="1:11" hidden="1" x14ac:dyDescent="0.25">
      <c r="A5054">
        <v>5053</v>
      </c>
      <c r="B5054" s="1">
        <v>45756</v>
      </c>
      <c r="C5054" t="s">
        <v>18</v>
      </c>
      <c r="D5054" t="s">
        <v>65</v>
      </c>
      <c r="E5054" t="s">
        <v>8</v>
      </c>
      <c r="F5054">
        <v>2</v>
      </c>
      <c r="G5054" t="str">
        <f>VLOOKUP(D5054,Товары!A:I,3,0)</f>
        <v>Тумба с раковиной  навес. Альба 800 суфле 2 ящика с умыв. Слим</v>
      </c>
      <c r="H5054">
        <f>VLOOKUP(D5054,Товары!A:I,6,0)</f>
        <v>50</v>
      </c>
      <c r="I5054" t="str">
        <f>VLOOKUP(C5054,Магазины!A:C,3,0)</f>
        <v>Набережные Челны</v>
      </c>
      <c r="J5054">
        <f>VLOOKUP(D5054,Товары!A:I,4,0)</f>
        <v>26070</v>
      </c>
      <c r="K5054">
        <f t="shared" si="78"/>
        <v>52140</v>
      </c>
    </row>
    <row r="5055" spans="1:11" hidden="1" x14ac:dyDescent="0.25">
      <c r="A5055">
        <v>5054</v>
      </c>
      <c r="B5055" s="1">
        <v>45749</v>
      </c>
      <c r="C5055" t="s">
        <v>63</v>
      </c>
      <c r="D5055" t="s">
        <v>94</v>
      </c>
      <c r="E5055" t="s">
        <v>13</v>
      </c>
      <c r="F5055">
        <v>2</v>
      </c>
      <c r="G5055" t="str">
        <f>VLOOKUP(D5055,Товары!A:I,3,0)</f>
        <v>Зеркальный шкаф Альба 80 со светильником правый цвет антрацит</v>
      </c>
      <c r="H5055">
        <f>VLOOKUP(D5055,Товары!A:I,6,0)</f>
        <v>75</v>
      </c>
      <c r="I5055" t="str">
        <f>VLOOKUP(C5055,Магазины!A:C,3,0)</f>
        <v>Ставрополь</v>
      </c>
      <c r="J5055">
        <f>VLOOKUP(D5055,Товары!A:I,4,0)</f>
        <v>9930</v>
      </c>
      <c r="K5055">
        <f t="shared" si="78"/>
        <v>19860</v>
      </c>
    </row>
    <row r="5056" spans="1:11" hidden="1" x14ac:dyDescent="0.25">
      <c r="A5056">
        <v>5055</v>
      </c>
      <c r="B5056" s="1">
        <v>45749</v>
      </c>
      <c r="C5056" t="s">
        <v>54</v>
      </c>
      <c r="D5056" t="s">
        <v>44</v>
      </c>
      <c r="E5056" t="s">
        <v>13</v>
      </c>
      <c r="F5056">
        <v>3</v>
      </c>
      <c r="G5056" t="str">
        <f>VLOOKUP(D5056,Товары!A:I,3,0)</f>
        <v>Тумба с раковиной  навес. Кристалл 800 шато азур 2 ящика с умыв. Комфорт</v>
      </c>
      <c r="H5056">
        <f>VLOOKUP(D5056,Товары!A:I,6,0)</f>
        <v>55</v>
      </c>
      <c r="I5056" t="str">
        <f>VLOOKUP(C5056,Магазины!A:C,3,0)</f>
        <v>Ставрополь</v>
      </c>
      <c r="J5056">
        <f>VLOOKUP(D5056,Товары!A:I,4,0)</f>
        <v>25080</v>
      </c>
      <c r="K5056">
        <f t="shared" si="78"/>
        <v>75240</v>
      </c>
    </row>
    <row r="5057" spans="1:11" hidden="1" x14ac:dyDescent="0.25">
      <c r="A5057">
        <v>5056</v>
      </c>
      <c r="B5057" s="1">
        <v>45750</v>
      </c>
      <c r="C5057" t="s">
        <v>30</v>
      </c>
      <c r="D5057" t="s">
        <v>42</v>
      </c>
      <c r="E5057" t="s">
        <v>8</v>
      </c>
      <c r="F5057">
        <v>3</v>
      </c>
      <c r="G5057" t="str">
        <f>VLOOKUP(D5057,Товары!A:I,3,0)</f>
        <v>Тумба под стиральную машину Леон Риф 57 подвесная 2 ящика под ст/маш, без умывальника /под Marshall 120 Солярис/Белый Риф</v>
      </c>
      <c r="H5057">
        <f>VLOOKUP(D5057,Товары!A:I,6,0)</f>
        <v>60</v>
      </c>
      <c r="I5057" t="str">
        <f>VLOOKUP(C5057,Магазины!A:C,3,0)</f>
        <v>Кемерово</v>
      </c>
      <c r="J5057">
        <f>VLOOKUP(D5057,Товары!A:I,4,0)</f>
        <v>15495</v>
      </c>
      <c r="K5057">
        <f t="shared" si="78"/>
        <v>46485</v>
      </c>
    </row>
    <row r="5058" spans="1:11" hidden="1" x14ac:dyDescent="0.25">
      <c r="A5058">
        <v>5057</v>
      </c>
      <c r="B5058" s="1">
        <v>45750</v>
      </c>
      <c r="C5058" t="s">
        <v>14</v>
      </c>
      <c r="D5058" t="s">
        <v>127</v>
      </c>
      <c r="E5058" t="s">
        <v>13</v>
      </c>
      <c r="F5058">
        <v>3</v>
      </c>
      <c r="G5058" t="str">
        <f>VLOOKUP(D5058,Товары!A:I,3,0)</f>
        <v>Тумба с раковиной  навес. Альба 700 мята 1 ящик с умыв. Слим</v>
      </c>
      <c r="H5058">
        <f>VLOOKUP(D5058,Товары!A:I,6,0)</f>
        <v>45</v>
      </c>
      <c r="I5058" t="str">
        <f>VLOOKUP(C5058,Магазины!A:C,3,0)</f>
        <v>Оренбург</v>
      </c>
      <c r="J5058">
        <f>VLOOKUP(D5058,Товары!A:I,4,0)</f>
        <v>20130</v>
      </c>
      <c r="K5058">
        <f t="shared" si="78"/>
        <v>60390</v>
      </c>
    </row>
    <row r="5059" spans="1:11" hidden="1" x14ac:dyDescent="0.25">
      <c r="A5059">
        <v>5058</v>
      </c>
      <c r="B5059" s="1">
        <v>45749</v>
      </c>
      <c r="C5059" t="s">
        <v>6</v>
      </c>
      <c r="D5059" t="s">
        <v>126</v>
      </c>
      <c r="E5059" t="s">
        <v>13</v>
      </c>
      <c r="F5059">
        <v>3</v>
      </c>
      <c r="G5059" t="str">
        <f>VLOOKUP(D5059,Товары!A:I,3,0)</f>
        <v>Тумба с раковиной  напол. Кристалл 800 шато азур 2 ящика с умыв. Комфорт</v>
      </c>
      <c r="H5059">
        <f>VLOOKUP(D5059,Товары!A:I,6,0)</f>
        <v>85</v>
      </c>
      <c r="I5059" t="str">
        <f>VLOOKUP(C5059,Магазины!A:C,3,0)</f>
        <v>Оренбург</v>
      </c>
      <c r="J5059">
        <f>VLOOKUP(D5059,Товары!A:I,4,0)</f>
        <v>31125</v>
      </c>
      <c r="K5059">
        <f t="shared" ref="K5059:K5122" si="79">J5059*F5059</f>
        <v>93375</v>
      </c>
    </row>
    <row r="5060" spans="1:11" hidden="1" x14ac:dyDescent="0.25">
      <c r="A5060">
        <v>5059</v>
      </c>
      <c r="B5060" s="1">
        <v>45753</v>
      </c>
      <c r="C5060" t="s">
        <v>16</v>
      </c>
      <c r="D5060" t="s">
        <v>121</v>
      </c>
      <c r="E5060" t="s">
        <v>8</v>
      </c>
      <c r="F5060">
        <v>3</v>
      </c>
      <c r="G5060" t="str">
        <f>VLOOKUP(D5060,Товары!A:I,3,0)</f>
        <v>Тумба с раковиной  напол. Куба Риф 600 белый 2 двери с умыв. Como</v>
      </c>
      <c r="H5060">
        <f>VLOOKUP(D5060,Товары!A:I,6,0)</f>
        <v>85</v>
      </c>
      <c r="I5060" t="str">
        <f>VLOOKUP(C5060,Магазины!A:C,3,0)</f>
        <v>Оренбург</v>
      </c>
      <c r="J5060">
        <f>VLOOKUP(D5060,Товары!A:I,4,0)</f>
        <v>13695</v>
      </c>
      <c r="K5060">
        <f t="shared" si="79"/>
        <v>41085</v>
      </c>
    </row>
    <row r="5061" spans="1:11" hidden="1" x14ac:dyDescent="0.25">
      <c r="A5061">
        <v>5060</v>
      </c>
      <c r="B5061" s="1">
        <v>45750</v>
      </c>
      <c r="C5061" t="s">
        <v>16</v>
      </c>
      <c r="D5061" t="s">
        <v>34</v>
      </c>
      <c r="E5061" t="s">
        <v>13</v>
      </c>
      <c r="F5061">
        <v>2</v>
      </c>
      <c r="G5061" t="str">
        <f>VLOOKUP(D5061,Товары!A:I,3,0)</f>
        <v>Тумба с раковиной  навес. Леон 700 форест 2 ящика с умыв. Слим</v>
      </c>
      <c r="H5061">
        <f>VLOOKUP(D5061,Товары!A:I,6,0)</f>
        <v>60</v>
      </c>
      <c r="I5061" t="str">
        <f>VLOOKUP(C5061,Магазины!A:C,3,0)</f>
        <v>Оренбург</v>
      </c>
      <c r="J5061">
        <f>VLOOKUP(D5061,Товары!A:I,4,0)</f>
        <v>26220</v>
      </c>
      <c r="K5061">
        <f t="shared" si="79"/>
        <v>52440</v>
      </c>
    </row>
    <row r="5062" spans="1:11" hidden="1" x14ac:dyDescent="0.25">
      <c r="A5062">
        <v>5061</v>
      </c>
      <c r="B5062" s="1">
        <v>45754</v>
      </c>
      <c r="C5062" t="s">
        <v>18</v>
      </c>
      <c r="D5062" t="s">
        <v>95</v>
      </c>
      <c r="E5062" t="s">
        <v>13</v>
      </c>
      <c r="F5062">
        <v>3</v>
      </c>
      <c r="G5062" t="str">
        <f>VLOOKUP(D5062,Товары!A:I,3,0)</f>
        <v>Тумба с раковиной  напол. Рица 600 антрацит 2 ящика с умыв. Океан</v>
      </c>
      <c r="H5062">
        <f>VLOOKUP(D5062,Товары!A:I,6,0)</f>
        <v>80</v>
      </c>
      <c r="I5062" t="str">
        <f>VLOOKUP(C5062,Магазины!A:C,3,0)</f>
        <v>Набережные Челны</v>
      </c>
      <c r="J5062">
        <f>VLOOKUP(D5062,Товары!A:I,4,0)</f>
        <v>25560</v>
      </c>
      <c r="K5062">
        <f t="shared" si="79"/>
        <v>76680</v>
      </c>
    </row>
    <row r="5063" spans="1:11" hidden="1" x14ac:dyDescent="0.25">
      <c r="A5063">
        <v>5062</v>
      </c>
      <c r="B5063" s="1">
        <v>45757</v>
      </c>
      <c r="C5063" t="s">
        <v>11</v>
      </c>
      <c r="D5063" t="s">
        <v>104</v>
      </c>
      <c r="E5063" t="s">
        <v>13</v>
      </c>
      <c r="F5063">
        <v>2</v>
      </c>
      <c r="G5063" t="str">
        <f>VLOOKUP(D5063,Товары!A:I,3,0)</f>
        <v>Тумба под стиральную машину Куба Риф 57 подвесная 2 ящика под ст/маш, без умывальника /под Marshall 120 Белый</v>
      </c>
      <c r="H5063">
        <f>VLOOKUP(D5063,Товары!A:I,6,0)</f>
        <v>50</v>
      </c>
      <c r="I5063" t="str">
        <f>VLOOKUP(C5063,Магазины!A:C,3,0)</f>
        <v>Кемерово</v>
      </c>
      <c r="J5063">
        <f>VLOOKUP(D5063,Товары!A:I,4,0)</f>
        <v>8505</v>
      </c>
      <c r="K5063">
        <f t="shared" si="79"/>
        <v>17010</v>
      </c>
    </row>
    <row r="5064" spans="1:11" hidden="1" x14ac:dyDescent="0.25">
      <c r="A5064">
        <v>5063</v>
      </c>
      <c r="B5064" s="1">
        <v>45749</v>
      </c>
      <c r="C5064" t="s">
        <v>28</v>
      </c>
      <c r="D5064" t="s">
        <v>39</v>
      </c>
      <c r="E5064" t="s">
        <v>8</v>
      </c>
      <c r="F5064">
        <v>2</v>
      </c>
      <c r="G5064" t="str">
        <f>VLOOKUP(D5064,Товары!A:I,3,0)</f>
        <v>Тумба с раковиной  напол. Альба 700 мята 2 ящика с умыв. Слим</v>
      </c>
      <c r="H5064">
        <f>VLOOKUP(D5064,Товары!A:I,6,0)</f>
        <v>85</v>
      </c>
      <c r="I5064" t="str">
        <f>VLOOKUP(C5064,Магазины!A:C,3,0)</f>
        <v>Набережные Челны</v>
      </c>
      <c r="J5064">
        <f>VLOOKUP(D5064,Товары!A:I,4,0)</f>
        <v>28695</v>
      </c>
      <c r="K5064">
        <f t="shared" si="79"/>
        <v>57390</v>
      </c>
    </row>
    <row r="5065" spans="1:11" hidden="1" x14ac:dyDescent="0.25">
      <c r="A5065">
        <v>5064</v>
      </c>
      <c r="B5065" s="1">
        <v>45757</v>
      </c>
      <c r="C5065" t="s">
        <v>63</v>
      </c>
      <c r="D5065" t="s">
        <v>106</v>
      </c>
      <c r="E5065" t="s">
        <v>8</v>
      </c>
      <c r="F5065">
        <v>1</v>
      </c>
      <c r="G5065" t="str">
        <f>VLOOKUP(D5065,Товары!A:I,3,0)</f>
        <v>Тумба с раковиной  навес. Кристалл 700 шато азур 2 ящика с умыв. Слим</v>
      </c>
      <c r="H5065">
        <f>VLOOKUP(D5065,Товары!A:I,6,0)</f>
        <v>60</v>
      </c>
      <c r="I5065" t="str">
        <f>VLOOKUP(C5065,Магазины!A:C,3,0)</f>
        <v>Ставрополь</v>
      </c>
      <c r="J5065">
        <f>VLOOKUP(D5065,Товары!A:I,4,0)</f>
        <v>24150</v>
      </c>
      <c r="K5065">
        <f t="shared" si="79"/>
        <v>24150</v>
      </c>
    </row>
    <row r="5066" spans="1:11" hidden="1" x14ac:dyDescent="0.25">
      <c r="A5066">
        <v>5065</v>
      </c>
      <c r="B5066" s="1">
        <v>45756</v>
      </c>
      <c r="C5066" t="s">
        <v>9</v>
      </c>
      <c r="D5066" t="s">
        <v>115</v>
      </c>
      <c r="E5066" t="s">
        <v>8</v>
      </c>
      <c r="F5066">
        <v>1</v>
      </c>
      <c r="G5066" t="str">
        <f>VLOOKUP(D5066,Товары!A:I,3,0)</f>
        <v>Тумба под стиральную машину Куба Риф 57 напольная 2 ящика под ст/маш, без умывальника /под Marshall 120 Белый</v>
      </c>
      <c r="H5066">
        <f>VLOOKUP(D5066,Товары!A:I,6,0)</f>
        <v>85</v>
      </c>
      <c r="I5066" t="str">
        <f>VLOOKUP(C5066,Магазины!A:C,3,0)</f>
        <v>Кемерово</v>
      </c>
      <c r="J5066">
        <f>VLOOKUP(D5066,Товары!A:I,4,0)</f>
        <v>10530</v>
      </c>
      <c r="K5066">
        <f t="shared" si="79"/>
        <v>10530</v>
      </c>
    </row>
    <row r="5067" spans="1:11" hidden="1" x14ac:dyDescent="0.25">
      <c r="A5067">
        <v>5066</v>
      </c>
      <c r="B5067" s="1">
        <v>45756</v>
      </c>
      <c r="C5067" t="s">
        <v>111</v>
      </c>
      <c r="D5067" t="s">
        <v>95</v>
      </c>
      <c r="E5067" t="s">
        <v>13</v>
      </c>
      <c r="F5067">
        <v>2</v>
      </c>
      <c r="G5067" t="str">
        <f>VLOOKUP(D5067,Товары!A:I,3,0)</f>
        <v>Тумба с раковиной  напол. Рица 600 антрацит 2 ящика с умыв. Океан</v>
      </c>
      <c r="H5067">
        <f>VLOOKUP(D5067,Товары!A:I,6,0)</f>
        <v>80</v>
      </c>
      <c r="I5067" t="str">
        <f>VLOOKUP(C5067,Магазины!A:C,3,0)</f>
        <v>Набережные Челны</v>
      </c>
      <c r="J5067">
        <f>VLOOKUP(D5067,Товары!A:I,4,0)</f>
        <v>25560</v>
      </c>
      <c r="K5067">
        <f t="shared" si="79"/>
        <v>51120</v>
      </c>
    </row>
    <row r="5068" spans="1:11" hidden="1" x14ac:dyDescent="0.25">
      <c r="A5068">
        <v>5067</v>
      </c>
      <c r="B5068" s="1">
        <v>45751</v>
      </c>
      <c r="C5068" t="s">
        <v>14</v>
      </c>
      <c r="D5068" t="s">
        <v>100</v>
      </c>
      <c r="E5068" t="s">
        <v>8</v>
      </c>
      <c r="F5068">
        <v>1</v>
      </c>
      <c r="G5068" t="str">
        <f>VLOOKUP(D5068,Товары!A:I,3,0)</f>
        <v>Тумба с раковиной  навес. Альба 800 мята 1 ящик с умыв. Слим</v>
      </c>
      <c r="H5068">
        <f>VLOOKUP(D5068,Товары!A:I,6,0)</f>
        <v>45</v>
      </c>
      <c r="I5068" t="str">
        <f>VLOOKUP(C5068,Магазины!A:C,3,0)</f>
        <v>Оренбург</v>
      </c>
      <c r="J5068">
        <f>VLOOKUP(D5068,Товары!A:I,4,0)</f>
        <v>21630</v>
      </c>
      <c r="K5068">
        <f t="shared" si="79"/>
        <v>21630</v>
      </c>
    </row>
    <row r="5069" spans="1:11" hidden="1" x14ac:dyDescent="0.25">
      <c r="A5069">
        <v>5068</v>
      </c>
      <c r="B5069" s="1">
        <v>45757</v>
      </c>
      <c r="C5069" t="s">
        <v>111</v>
      </c>
      <c r="D5069" t="s">
        <v>46</v>
      </c>
      <c r="E5069" t="s">
        <v>13</v>
      </c>
      <c r="F5069">
        <v>2</v>
      </c>
      <c r="G5069" t="str">
        <f>VLOOKUP(D5069,Товары!A:I,3,0)</f>
        <v>Тумба с раковиной  напол. Сохо 700 белый 2 ящика с умыв. Слим</v>
      </c>
      <c r="H5069">
        <f>VLOOKUP(D5069,Товары!A:I,6,0)</f>
        <v>85</v>
      </c>
      <c r="I5069" t="str">
        <f>VLOOKUP(C5069,Магазины!A:C,3,0)</f>
        <v>Набережные Челны</v>
      </c>
      <c r="J5069">
        <f>VLOOKUP(D5069,Товары!A:I,4,0)</f>
        <v>18405</v>
      </c>
      <c r="K5069">
        <f t="shared" si="79"/>
        <v>36810</v>
      </c>
    </row>
    <row r="5070" spans="1:11" hidden="1" x14ac:dyDescent="0.25">
      <c r="A5070">
        <v>5069</v>
      </c>
      <c r="B5070" s="1">
        <v>45752</v>
      </c>
      <c r="C5070" t="s">
        <v>20</v>
      </c>
      <c r="D5070" t="s">
        <v>31</v>
      </c>
      <c r="E5070" t="s">
        <v>8</v>
      </c>
      <c r="F5070">
        <v>1</v>
      </c>
      <c r="G5070" t="str">
        <f>VLOOKUP(D5070,Товары!A:I,3,0)</f>
        <v>Пенал напол. Виктория 350 белый 2 двери</v>
      </c>
      <c r="H5070">
        <f>VLOOKUP(D5070,Товары!A:I,6,0)</f>
        <v>190</v>
      </c>
      <c r="I5070" t="str">
        <f>VLOOKUP(C5070,Магазины!A:C,3,0)</f>
        <v>Оренбург</v>
      </c>
      <c r="J5070">
        <f>VLOOKUP(D5070,Товары!A:I,4,0)</f>
        <v>14085</v>
      </c>
      <c r="K5070">
        <f t="shared" si="79"/>
        <v>14085</v>
      </c>
    </row>
    <row r="5071" spans="1:11" hidden="1" x14ac:dyDescent="0.25">
      <c r="A5071">
        <v>5070</v>
      </c>
      <c r="B5071" s="1">
        <v>45748</v>
      </c>
      <c r="C5071" t="s">
        <v>63</v>
      </c>
      <c r="D5071" t="s">
        <v>110</v>
      </c>
      <c r="E5071" t="s">
        <v>8</v>
      </c>
      <c r="F5071">
        <v>3</v>
      </c>
      <c r="G5071" t="str">
        <f>VLOOKUP(D5071,Товары!A:I,3,0)</f>
        <v>Тумба с раковиной  напол. Альба 600 антрацит 2 ящика с умыв. Океан</v>
      </c>
      <c r="H5071">
        <f>VLOOKUP(D5071,Товары!A:I,6,0)</f>
        <v>80</v>
      </c>
      <c r="I5071" t="str">
        <f>VLOOKUP(C5071,Магазины!A:C,3,0)</f>
        <v>Ставрополь</v>
      </c>
      <c r="J5071">
        <f>VLOOKUP(D5071,Товары!A:I,4,0)</f>
        <v>26370</v>
      </c>
      <c r="K5071">
        <f t="shared" si="79"/>
        <v>79110</v>
      </c>
    </row>
    <row r="5072" spans="1:11" hidden="1" x14ac:dyDescent="0.25">
      <c r="A5072">
        <v>5071</v>
      </c>
      <c r="B5072" s="1">
        <v>45749</v>
      </c>
      <c r="C5072" t="s">
        <v>28</v>
      </c>
      <c r="D5072" t="s">
        <v>118</v>
      </c>
      <c r="E5072" t="s">
        <v>13</v>
      </c>
      <c r="F5072">
        <v>3</v>
      </c>
      <c r="G5072" t="str">
        <f>VLOOKUP(D5072,Товары!A:I,3,0)</f>
        <v>Тумба с раковиной  напол. Сохо 800 белый 2 ящика с умыв. Слим</v>
      </c>
      <c r="H5072">
        <f>VLOOKUP(D5072,Товары!A:I,6,0)</f>
        <v>85</v>
      </c>
      <c r="I5072" t="str">
        <f>VLOOKUP(C5072,Магазины!A:C,3,0)</f>
        <v>Набережные Челны</v>
      </c>
      <c r="J5072">
        <f>VLOOKUP(D5072,Товары!A:I,4,0)</f>
        <v>19575</v>
      </c>
      <c r="K5072">
        <f t="shared" si="79"/>
        <v>58725</v>
      </c>
    </row>
    <row r="5073" spans="1:11" hidden="1" x14ac:dyDescent="0.25">
      <c r="A5073">
        <v>5072</v>
      </c>
      <c r="B5073" s="1">
        <v>45748</v>
      </c>
      <c r="C5073" t="s">
        <v>18</v>
      </c>
      <c r="D5073" t="s">
        <v>69</v>
      </c>
      <c r="E5073" t="s">
        <v>8</v>
      </c>
      <c r="F5073">
        <v>2</v>
      </c>
      <c r="G5073" t="str">
        <f>VLOOKUP(D5073,Товары!A:I,3,0)</f>
        <v>Пенал навес./напол. Альба 350 антрацит 2 двери</v>
      </c>
      <c r="H5073">
        <f>VLOOKUP(D5073,Товары!A:I,6,0)</f>
        <v>150</v>
      </c>
      <c r="I5073" t="str">
        <f>VLOOKUP(C5073,Магазины!A:C,3,0)</f>
        <v>Набережные Челны</v>
      </c>
      <c r="J5073">
        <f>VLOOKUP(D5073,Товары!A:I,4,0)</f>
        <v>11655</v>
      </c>
      <c r="K5073">
        <f t="shared" si="79"/>
        <v>23310</v>
      </c>
    </row>
    <row r="5074" spans="1:11" hidden="1" x14ac:dyDescent="0.25">
      <c r="A5074">
        <v>5073</v>
      </c>
      <c r="B5074" s="1">
        <v>45749</v>
      </c>
      <c r="C5074" t="s">
        <v>28</v>
      </c>
      <c r="D5074" t="s">
        <v>91</v>
      </c>
      <c r="E5074" t="s">
        <v>8</v>
      </c>
      <c r="F5074">
        <v>1</v>
      </c>
      <c r="G5074" t="str">
        <f>VLOOKUP(D5074,Товары!A:I,3,0)</f>
        <v>Пенал навес./напол. Альба 350 мята 2 двери</v>
      </c>
      <c r="H5074">
        <f>VLOOKUP(D5074,Товары!A:I,6,0)</f>
        <v>150</v>
      </c>
      <c r="I5074" t="str">
        <f>VLOOKUP(C5074,Магазины!A:C,3,0)</f>
        <v>Набережные Челны</v>
      </c>
      <c r="J5074">
        <f>VLOOKUP(D5074,Товары!A:I,4,0)</f>
        <v>11655</v>
      </c>
      <c r="K5074">
        <f t="shared" si="79"/>
        <v>11655</v>
      </c>
    </row>
    <row r="5075" spans="1:11" hidden="1" x14ac:dyDescent="0.25">
      <c r="A5075">
        <v>5074</v>
      </c>
      <c r="B5075" s="1">
        <v>45750</v>
      </c>
      <c r="C5075" t="s">
        <v>103</v>
      </c>
      <c r="D5075" t="s">
        <v>94</v>
      </c>
      <c r="E5075" t="s">
        <v>8</v>
      </c>
      <c r="F5075">
        <v>2</v>
      </c>
      <c r="G5075" t="str">
        <f>VLOOKUP(D5075,Товары!A:I,3,0)</f>
        <v>Зеркальный шкаф Альба 80 со светильником правый цвет антрацит</v>
      </c>
      <c r="H5075">
        <f>VLOOKUP(D5075,Товары!A:I,6,0)</f>
        <v>75</v>
      </c>
      <c r="I5075" t="str">
        <f>VLOOKUP(C5075,Магазины!A:C,3,0)</f>
        <v>Ставрополь</v>
      </c>
      <c r="J5075">
        <f>VLOOKUP(D5075,Товары!A:I,4,0)</f>
        <v>9930</v>
      </c>
      <c r="K5075">
        <f t="shared" si="79"/>
        <v>19860</v>
      </c>
    </row>
    <row r="5076" spans="1:11" hidden="1" x14ac:dyDescent="0.25">
      <c r="A5076">
        <v>5075</v>
      </c>
      <c r="B5076" s="1">
        <v>45754</v>
      </c>
      <c r="C5076" t="s">
        <v>20</v>
      </c>
      <c r="D5076" t="s">
        <v>38</v>
      </c>
      <c r="E5076" t="s">
        <v>13</v>
      </c>
      <c r="F5076">
        <v>2</v>
      </c>
      <c r="G5076" t="str">
        <f>VLOOKUP(D5076,Товары!A:I,3,0)</f>
        <v>Тумба с раковиной  навес. Куба Риф 600 белый 2 ящика с умыв. Como</v>
      </c>
      <c r="H5076">
        <f>VLOOKUP(D5076,Товары!A:I,6,0)</f>
        <v>55</v>
      </c>
      <c r="I5076" t="str">
        <f>VLOOKUP(C5076,Магазины!A:C,3,0)</f>
        <v>Оренбург</v>
      </c>
      <c r="J5076">
        <f>VLOOKUP(D5076,Товары!A:I,4,0)</f>
        <v>14265</v>
      </c>
      <c r="K5076">
        <f t="shared" si="79"/>
        <v>28530</v>
      </c>
    </row>
    <row r="5077" spans="1:11" hidden="1" x14ac:dyDescent="0.25">
      <c r="A5077">
        <v>5076</v>
      </c>
      <c r="B5077" s="1">
        <v>45748</v>
      </c>
      <c r="C5077" t="s">
        <v>26</v>
      </c>
      <c r="D5077" t="s">
        <v>130</v>
      </c>
      <c r="E5077" t="s">
        <v>13</v>
      </c>
      <c r="F5077">
        <v>3</v>
      </c>
      <c r="G5077" t="str">
        <f>VLOOKUP(D5077,Товары!A:I,3,0)</f>
        <v>Пенал напол. Леон 400 форест 2 двери + 1 ящик</v>
      </c>
      <c r="H5077">
        <f>VLOOKUP(D5077,Товары!A:I,6,0)</f>
        <v>190</v>
      </c>
      <c r="I5077" t="str">
        <f>VLOOKUP(C5077,Магазины!A:C,3,0)</f>
        <v>Оренбург</v>
      </c>
      <c r="J5077">
        <f>VLOOKUP(D5077,Товары!A:I,4,0)</f>
        <v>18450</v>
      </c>
      <c r="K5077">
        <f t="shared" si="79"/>
        <v>55350</v>
      </c>
    </row>
    <row r="5078" spans="1:11" hidden="1" x14ac:dyDescent="0.25">
      <c r="A5078">
        <v>5077</v>
      </c>
      <c r="B5078" s="1">
        <v>45749</v>
      </c>
      <c r="C5078" t="s">
        <v>103</v>
      </c>
      <c r="D5078" t="s">
        <v>77</v>
      </c>
      <c r="E5078" t="s">
        <v>13</v>
      </c>
      <c r="F5078">
        <v>2</v>
      </c>
      <c r="G5078" t="str">
        <f>VLOOKUP(D5078,Товары!A:I,3,0)</f>
        <v>Тумба с раковиной  напол. Куба Риф 600 белый 2 ящика с умыв. Como</v>
      </c>
      <c r="H5078">
        <f>VLOOKUP(D5078,Товары!A:I,6,0)</f>
        <v>85</v>
      </c>
      <c r="I5078" t="str">
        <f>VLOOKUP(C5078,Магазины!A:C,3,0)</f>
        <v>Ставрополь</v>
      </c>
      <c r="J5078">
        <f>VLOOKUP(D5078,Товары!A:I,4,0)</f>
        <v>15660</v>
      </c>
      <c r="K5078">
        <f t="shared" si="79"/>
        <v>31320</v>
      </c>
    </row>
    <row r="5079" spans="1:11" hidden="1" x14ac:dyDescent="0.25">
      <c r="A5079">
        <v>5078</v>
      </c>
      <c r="B5079" s="1">
        <v>45750</v>
      </c>
      <c r="C5079" t="s">
        <v>16</v>
      </c>
      <c r="D5079" t="s">
        <v>121</v>
      </c>
      <c r="E5079" t="s">
        <v>8</v>
      </c>
      <c r="F5079">
        <v>1</v>
      </c>
      <c r="G5079" t="str">
        <f>VLOOKUP(D5079,Товары!A:I,3,0)</f>
        <v>Тумба с раковиной  напол. Куба Риф 600 белый 2 двери с умыв. Como</v>
      </c>
      <c r="H5079">
        <f>VLOOKUP(D5079,Товары!A:I,6,0)</f>
        <v>85</v>
      </c>
      <c r="I5079" t="str">
        <f>VLOOKUP(C5079,Магазины!A:C,3,0)</f>
        <v>Оренбург</v>
      </c>
      <c r="J5079">
        <f>VLOOKUP(D5079,Товары!A:I,4,0)</f>
        <v>13695</v>
      </c>
      <c r="K5079">
        <f t="shared" si="79"/>
        <v>13695</v>
      </c>
    </row>
    <row r="5080" spans="1:11" hidden="1" x14ac:dyDescent="0.25">
      <c r="A5080">
        <v>5079</v>
      </c>
      <c r="B5080" s="1">
        <v>45757</v>
      </c>
      <c r="C5080" t="s">
        <v>35</v>
      </c>
      <c r="D5080" t="s">
        <v>128</v>
      </c>
      <c r="E5080" t="s">
        <v>13</v>
      </c>
      <c r="F5080">
        <v>1</v>
      </c>
      <c r="G5080" t="str">
        <f>VLOOKUP(D5080,Товары!A:I,3,0)</f>
        <v>Тумба с раковиной  напол. Куба Риф 1000 белый 2 ящика с умыв. Слим</v>
      </c>
      <c r="H5080">
        <f>VLOOKUP(D5080,Товары!A:I,6,0)</f>
        <v>85</v>
      </c>
      <c r="I5080" t="str">
        <f>VLOOKUP(C5080,Магазины!A:C,3,0)</f>
        <v>Набережные Челны</v>
      </c>
      <c r="J5080">
        <f>VLOOKUP(D5080,Товары!A:I,4,0)</f>
        <v>22905</v>
      </c>
      <c r="K5080">
        <f t="shared" si="79"/>
        <v>22905</v>
      </c>
    </row>
    <row r="5081" spans="1:11" hidden="1" x14ac:dyDescent="0.25">
      <c r="A5081">
        <v>5080</v>
      </c>
      <c r="B5081" s="1">
        <v>45756</v>
      </c>
      <c r="C5081" t="s">
        <v>54</v>
      </c>
      <c r="D5081" t="s">
        <v>42</v>
      </c>
      <c r="E5081" t="s">
        <v>13</v>
      </c>
      <c r="F5081">
        <v>2</v>
      </c>
      <c r="G5081" t="str">
        <f>VLOOKUP(D5081,Товары!A:I,3,0)</f>
        <v>Тумба под стиральную машину Леон Риф 57 подвесная 2 ящика под ст/маш, без умывальника /под Marshall 120 Солярис/Белый Риф</v>
      </c>
      <c r="H5081">
        <f>VLOOKUP(D5081,Товары!A:I,6,0)</f>
        <v>60</v>
      </c>
      <c r="I5081" t="str">
        <f>VLOOKUP(C5081,Магазины!A:C,3,0)</f>
        <v>Ставрополь</v>
      </c>
      <c r="J5081">
        <f>VLOOKUP(D5081,Товары!A:I,4,0)</f>
        <v>15495</v>
      </c>
      <c r="K5081">
        <f t="shared" si="79"/>
        <v>30990</v>
      </c>
    </row>
    <row r="5082" spans="1:11" hidden="1" x14ac:dyDescent="0.25">
      <c r="A5082">
        <v>5081</v>
      </c>
      <c r="B5082" s="1">
        <v>45752</v>
      </c>
      <c r="C5082" t="s">
        <v>11</v>
      </c>
      <c r="D5082" t="s">
        <v>82</v>
      </c>
      <c r="E5082" t="s">
        <v>13</v>
      </c>
      <c r="F5082">
        <v>1</v>
      </c>
      <c r="G5082" t="str">
        <f>VLOOKUP(D5082,Товары!A:I,3,0)</f>
        <v>Тумба с раковиной  навес. Леон 800 форест 2 ящика с умыв. Слим</v>
      </c>
      <c r="H5082">
        <f>VLOOKUP(D5082,Товары!A:I,6,0)</f>
        <v>60</v>
      </c>
      <c r="I5082" t="str">
        <f>VLOOKUP(C5082,Магазины!A:C,3,0)</f>
        <v>Кемерово</v>
      </c>
      <c r="J5082">
        <f>VLOOKUP(D5082,Товары!A:I,4,0)</f>
        <v>27930</v>
      </c>
      <c r="K5082">
        <f t="shared" si="79"/>
        <v>27930</v>
      </c>
    </row>
    <row r="5083" spans="1:11" hidden="1" x14ac:dyDescent="0.25">
      <c r="A5083">
        <v>5082</v>
      </c>
      <c r="B5083" s="1">
        <v>45748</v>
      </c>
      <c r="C5083" t="s">
        <v>30</v>
      </c>
      <c r="D5083" t="s">
        <v>102</v>
      </c>
      <c r="E5083" t="s">
        <v>13</v>
      </c>
      <c r="F5083">
        <v>3</v>
      </c>
      <c r="G5083" t="str">
        <f>VLOOKUP(D5083,Товары!A:I,3,0)</f>
        <v>Тумба с раковиной  напол. Леон Риф 1000 солярис/белый риф 2 ящика с умыв. Слим</v>
      </c>
      <c r="H5083">
        <f>VLOOKUP(D5083,Товары!A:I,6,0)</f>
        <v>85</v>
      </c>
      <c r="I5083" t="str">
        <f>VLOOKUP(C5083,Магазины!A:C,3,0)</f>
        <v>Кемерово</v>
      </c>
      <c r="J5083">
        <f>VLOOKUP(D5083,Товары!A:I,4,0)</f>
        <v>32085</v>
      </c>
      <c r="K5083">
        <f t="shared" si="79"/>
        <v>96255</v>
      </c>
    </row>
    <row r="5084" spans="1:11" hidden="1" x14ac:dyDescent="0.25">
      <c r="A5084">
        <v>5083</v>
      </c>
      <c r="B5084" s="1">
        <v>45749</v>
      </c>
      <c r="C5084" t="s">
        <v>14</v>
      </c>
      <c r="D5084" t="s">
        <v>118</v>
      </c>
      <c r="E5084" t="s">
        <v>8</v>
      </c>
      <c r="F5084">
        <v>3</v>
      </c>
      <c r="G5084" t="str">
        <f>VLOOKUP(D5084,Товары!A:I,3,0)</f>
        <v>Тумба с раковиной  напол. Сохо 800 белый 2 ящика с умыв. Слим</v>
      </c>
      <c r="H5084">
        <f>VLOOKUP(D5084,Товары!A:I,6,0)</f>
        <v>85</v>
      </c>
      <c r="I5084" t="str">
        <f>VLOOKUP(C5084,Магазины!A:C,3,0)</f>
        <v>Оренбург</v>
      </c>
      <c r="J5084">
        <f>VLOOKUP(D5084,Товары!A:I,4,0)</f>
        <v>19575</v>
      </c>
      <c r="K5084">
        <f t="shared" si="79"/>
        <v>58725</v>
      </c>
    </row>
    <row r="5085" spans="1:11" hidden="1" x14ac:dyDescent="0.25">
      <c r="A5085">
        <v>5084</v>
      </c>
      <c r="B5085" s="1">
        <v>45756</v>
      </c>
      <c r="C5085" t="s">
        <v>26</v>
      </c>
      <c r="D5085" t="s">
        <v>34</v>
      </c>
      <c r="E5085" t="s">
        <v>8</v>
      </c>
      <c r="F5085">
        <v>1</v>
      </c>
      <c r="G5085" t="str">
        <f>VLOOKUP(D5085,Товары!A:I,3,0)</f>
        <v>Тумба с раковиной  навес. Леон 700 форест 2 ящика с умыв. Слим</v>
      </c>
      <c r="H5085">
        <f>VLOOKUP(D5085,Товары!A:I,6,0)</f>
        <v>60</v>
      </c>
      <c r="I5085" t="str">
        <f>VLOOKUP(C5085,Магазины!A:C,3,0)</f>
        <v>Оренбург</v>
      </c>
      <c r="J5085">
        <f>VLOOKUP(D5085,Товары!A:I,4,0)</f>
        <v>26220</v>
      </c>
      <c r="K5085">
        <f t="shared" si="79"/>
        <v>26220</v>
      </c>
    </row>
    <row r="5086" spans="1:11" hidden="1" x14ac:dyDescent="0.25">
      <c r="A5086">
        <v>5085</v>
      </c>
      <c r="B5086" s="1">
        <v>45748</v>
      </c>
      <c r="C5086" t="s">
        <v>30</v>
      </c>
      <c r="D5086" t="s">
        <v>67</v>
      </c>
      <c r="E5086" t="s">
        <v>8</v>
      </c>
      <c r="F5086">
        <v>3</v>
      </c>
      <c r="G5086" t="str">
        <f>VLOOKUP(D5086,Товары!A:I,3,0)</f>
        <v>Пенал навес./напол. Альба 350 суфле 2 двери</v>
      </c>
      <c r="H5086">
        <f>VLOOKUP(D5086,Товары!A:I,6,0)</f>
        <v>150</v>
      </c>
      <c r="I5086" t="str">
        <f>VLOOKUP(C5086,Магазины!A:C,3,0)</f>
        <v>Кемерово</v>
      </c>
      <c r="J5086">
        <f>VLOOKUP(D5086,Товары!A:I,4,0)</f>
        <v>11655</v>
      </c>
      <c r="K5086">
        <f t="shared" si="79"/>
        <v>34965</v>
      </c>
    </row>
    <row r="5087" spans="1:11" hidden="1" x14ac:dyDescent="0.25">
      <c r="A5087">
        <v>5086</v>
      </c>
      <c r="B5087" s="1">
        <v>45750</v>
      </c>
      <c r="C5087" t="s">
        <v>35</v>
      </c>
      <c r="D5087" t="s">
        <v>91</v>
      </c>
      <c r="E5087" t="s">
        <v>8</v>
      </c>
      <c r="F5087">
        <v>2</v>
      </c>
      <c r="G5087" t="str">
        <f>VLOOKUP(D5087,Товары!A:I,3,0)</f>
        <v>Пенал навес./напол. Альба 350 мята 2 двери</v>
      </c>
      <c r="H5087">
        <f>VLOOKUP(D5087,Товары!A:I,6,0)</f>
        <v>150</v>
      </c>
      <c r="I5087" t="str">
        <f>VLOOKUP(C5087,Магазины!A:C,3,0)</f>
        <v>Набережные Челны</v>
      </c>
      <c r="J5087">
        <f>VLOOKUP(D5087,Товары!A:I,4,0)</f>
        <v>11655</v>
      </c>
      <c r="K5087">
        <f t="shared" si="79"/>
        <v>23310</v>
      </c>
    </row>
    <row r="5088" spans="1:11" hidden="1" x14ac:dyDescent="0.25">
      <c r="A5088">
        <v>5087</v>
      </c>
      <c r="B5088" s="1">
        <v>45751</v>
      </c>
      <c r="C5088" t="s">
        <v>103</v>
      </c>
      <c r="D5088" t="s">
        <v>42</v>
      </c>
      <c r="E5088" t="s">
        <v>8</v>
      </c>
      <c r="F5088">
        <v>3</v>
      </c>
      <c r="G5088" t="str">
        <f>VLOOKUP(D5088,Товары!A:I,3,0)</f>
        <v>Тумба под стиральную машину Леон Риф 57 подвесная 2 ящика под ст/маш, без умывальника /под Marshall 120 Солярис/Белый Риф</v>
      </c>
      <c r="H5088">
        <f>VLOOKUP(D5088,Товары!A:I,6,0)</f>
        <v>60</v>
      </c>
      <c r="I5088" t="str">
        <f>VLOOKUP(C5088,Магазины!A:C,3,0)</f>
        <v>Ставрополь</v>
      </c>
      <c r="J5088">
        <f>VLOOKUP(D5088,Товары!A:I,4,0)</f>
        <v>15495</v>
      </c>
      <c r="K5088">
        <f t="shared" si="79"/>
        <v>46485</v>
      </c>
    </row>
    <row r="5089" spans="1:11" hidden="1" x14ac:dyDescent="0.25">
      <c r="A5089">
        <v>5088</v>
      </c>
      <c r="B5089" s="1">
        <v>45753</v>
      </c>
      <c r="C5089" t="s">
        <v>48</v>
      </c>
      <c r="D5089" t="s">
        <v>65</v>
      </c>
      <c r="E5089" t="s">
        <v>13</v>
      </c>
      <c r="F5089">
        <v>1</v>
      </c>
      <c r="G5089" t="str">
        <f>VLOOKUP(D5089,Товары!A:I,3,0)</f>
        <v>Тумба с раковиной  навес. Альба 800 суфле 2 ящика с умыв. Слим</v>
      </c>
      <c r="H5089">
        <f>VLOOKUP(D5089,Товары!A:I,6,0)</f>
        <v>50</v>
      </c>
      <c r="I5089" t="str">
        <f>VLOOKUP(C5089,Магазины!A:C,3,0)</f>
        <v>Ставрополь</v>
      </c>
      <c r="J5089">
        <f>VLOOKUP(D5089,Товары!A:I,4,0)</f>
        <v>26070</v>
      </c>
      <c r="K5089">
        <f t="shared" si="79"/>
        <v>26070</v>
      </c>
    </row>
    <row r="5090" spans="1:11" hidden="1" x14ac:dyDescent="0.25">
      <c r="A5090">
        <v>5089</v>
      </c>
      <c r="B5090" s="1">
        <v>45753</v>
      </c>
      <c r="C5090" t="s">
        <v>103</v>
      </c>
      <c r="D5090" t="s">
        <v>25</v>
      </c>
      <c r="E5090" t="s">
        <v>8</v>
      </c>
      <c r="F5090">
        <v>1</v>
      </c>
      <c r="G5090" t="str">
        <f>VLOOKUP(D5090,Товары!A:I,3,0)</f>
        <v>Пенал напол. Леон 400 оникс 2 двери + 1 ящик</v>
      </c>
      <c r="H5090">
        <f>VLOOKUP(D5090,Товары!A:I,6,0)</f>
        <v>190</v>
      </c>
      <c r="I5090" t="str">
        <f>VLOOKUP(C5090,Магазины!A:C,3,0)</f>
        <v>Ставрополь</v>
      </c>
      <c r="J5090">
        <f>VLOOKUP(D5090,Товары!A:I,4,0)</f>
        <v>18450</v>
      </c>
      <c r="K5090">
        <f t="shared" si="79"/>
        <v>18450</v>
      </c>
    </row>
    <row r="5091" spans="1:11" hidden="1" x14ac:dyDescent="0.25">
      <c r="A5091">
        <v>5090</v>
      </c>
      <c r="B5091" s="1">
        <v>45749</v>
      </c>
      <c r="C5091" t="s">
        <v>35</v>
      </c>
      <c r="D5091" t="s">
        <v>85</v>
      </c>
      <c r="E5091" t="s">
        <v>8</v>
      </c>
      <c r="F5091">
        <v>3</v>
      </c>
      <c r="G5091" t="str">
        <f>VLOOKUP(D5091,Товары!A:I,3,0)</f>
        <v>Пенал напол. Аква 450 белый 2 двери + 2 ящика + корзина</v>
      </c>
      <c r="H5091">
        <f>VLOOKUP(D5091,Товары!A:I,6,0)</f>
        <v>190</v>
      </c>
      <c r="I5091" t="str">
        <f>VLOOKUP(C5091,Магазины!A:C,3,0)</f>
        <v>Набережные Челны</v>
      </c>
      <c r="J5091">
        <f>VLOOKUP(D5091,Товары!A:I,4,0)</f>
        <v>13335</v>
      </c>
      <c r="K5091">
        <f t="shared" si="79"/>
        <v>40005</v>
      </c>
    </row>
    <row r="5092" spans="1:11" hidden="1" x14ac:dyDescent="0.25">
      <c r="A5092">
        <v>5091</v>
      </c>
      <c r="B5092" s="1">
        <v>45756</v>
      </c>
      <c r="C5092" t="s">
        <v>16</v>
      </c>
      <c r="D5092" t="s">
        <v>106</v>
      </c>
      <c r="E5092" t="s">
        <v>8</v>
      </c>
      <c r="F5092">
        <v>2</v>
      </c>
      <c r="G5092" t="str">
        <f>VLOOKUP(D5092,Товары!A:I,3,0)</f>
        <v>Тумба с раковиной  навес. Кристалл 700 шато азур 2 ящика с умыв. Слим</v>
      </c>
      <c r="H5092">
        <f>VLOOKUP(D5092,Товары!A:I,6,0)</f>
        <v>60</v>
      </c>
      <c r="I5092" t="str">
        <f>VLOOKUP(C5092,Магазины!A:C,3,0)</f>
        <v>Оренбург</v>
      </c>
      <c r="J5092">
        <f>VLOOKUP(D5092,Товары!A:I,4,0)</f>
        <v>24150</v>
      </c>
      <c r="K5092">
        <f t="shared" si="79"/>
        <v>48300</v>
      </c>
    </row>
    <row r="5093" spans="1:11" hidden="1" x14ac:dyDescent="0.25">
      <c r="A5093">
        <v>5092</v>
      </c>
      <c r="B5093" s="1">
        <v>45753</v>
      </c>
      <c r="C5093" t="s">
        <v>41</v>
      </c>
      <c r="D5093" t="s">
        <v>98</v>
      </c>
      <c r="E5093" t="s">
        <v>13</v>
      </c>
      <c r="F5093">
        <v>3</v>
      </c>
      <c r="G5093" t="str">
        <f>VLOOKUP(D5093,Товары!A:I,3,0)</f>
        <v>Тумба с раковиной  напол. Рица 800 cерый/керамика 2 ящика с умыв. Слим</v>
      </c>
      <c r="H5093">
        <f>VLOOKUP(D5093,Товары!A:I,6,0)</f>
        <v>80</v>
      </c>
      <c r="I5093" t="str">
        <f>VLOOKUP(C5093,Магазины!A:C,3,0)</f>
        <v>Ставрополь</v>
      </c>
      <c r="J5093">
        <f>VLOOKUP(D5093,Товары!A:I,4,0)</f>
        <v>28980</v>
      </c>
      <c r="K5093">
        <f t="shared" si="79"/>
        <v>86940</v>
      </c>
    </row>
    <row r="5094" spans="1:11" hidden="1" x14ac:dyDescent="0.25">
      <c r="A5094">
        <v>5093</v>
      </c>
      <c r="B5094" s="1">
        <v>45754</v>
      </c>
      <c r="C5094" t="s">
        <v>33</v>
      </c>
      <c r="D5094" t="s">
        <v>96</v>
      </c>
      <c r="E5094" t="s">
        <v>8</v>
      </c>
      <c r="F5094">
        <v>2</v>
      </c>
      <c r="G5094" t="str">
        <f>VLOOKUP(D5094,Товары!A:I,3,0)</f>
        <v>Тумба с раковиной  навес. Альба 600 мята 1 ящик с умыв. Океан</v>
      </c>
      <c r="H5094">
        <f>VLOOKUP(D5094,Товары!A:I,6,0)</f>
        <v>85</v>
      </c>
      <c r="I5094" t="str">
        <f>VLOOKUP(C5094,Магазины!A:C,3,0)</f>
        <v>Набережные Челны</v>
      </c>
      <c r="J5094">
        <f>VLOOKUP(D5094,Товары!A:I,4,0)</f>
        <v>17625</v>
      </c>
      <c r="K5094">
        <f t="shared" si="79"/>
        <v>35250</v>
      </c>
    </row>
    <row r="5095" spans="1:11" hidden="1" x14ac:dyDescent="0.25">
      <c r="A5095">
        <v>5094</v>
      </c>
      <c r="B5095" s="1">
        <v>45750</v>
      </c>
      <c r="C5095" t="s">
        <v>9</v>
      </c>
      <c r="D5095" t="s">
        <v>77</v>
      </c>
      <c r="E5095" t="s">
        <v>13</v>
      </c>
      <c r="F5095">
        <v>1</v>
      </c>
      <c r="G5095" t="str">
        <f>VLOOKUP(D5095,Товары!A:I,3,0)</f>
        <v>Тумба с раковиной  напол. Куба Риф 600 белый 2 ящика с умыв. Como</v>
      </c>
      <c r="H5095">
        <f>VLOOKUP(D5095,Товары!A:I,6,0)</f>
        <v>85</v>
      </c>
      <c r="I5095" t="str">
        <f>VLOOKUP(C5095,Магазины!A:C,3,0)</f>
        <v>Кемерово</v>
      </c>
      <c r="J5095">
        <f>VLOOKUP(D5095,Товары!A:I,4,0)</f>
        <v>15660</v>
      </c>
      <c r="K5095">
        <f t="shared" si="79"/>
        <v>15660</v>
      </c>
    </row>
    <row r="5096" spans="1:11" hidden="1" x14ac:dyDescent="0.25">
      <c r="A5096">
        <v>5095</v>
      </c>
      <c r="B5096" s="1">
        <v>45754</v>
      </c>
      <c r="C5096" t="s">
        <v>35</v>
      </c>
      <c r="D5096" t="s">
        <v>70</v>
      </c>
      <c r="E5096" t="s">
        <v>8</v>
      </c>
      <c r="F5096">
        <v>3</v>
      </c>
      <c r="G5096" t="str">
        <f>VLOOKUP(D5096,Товары!A:I,3,0)</f>
        <v>Тумба с раковиной  напол. Кристалл 700 шато азур 2 ящика с умыв. Слим</v>
      </c>
      <c r="H5096">
        <f>VLOOKUP(D5096,Товары!A:I,6,0)</f>
        <v>85</v>
      </c>
      <c r="I5096" t="str">
        <f>VLOOKUP(C5096,Магазины!A:C,3,0)</f>
        <v>Набережные Челны</v>
      </c>
      <c r="J5096">
        <f>VLOOKUP(D5096,Товары!A:I,4,0)</f>
        <v>29910</v>
      </c>
      <c r="K5096">
        <f t="shared" si="79"/>
        <v>89730</v>
      </c>
    </row>
    <row r="5097" spans="1:11" hidden="1" x14ac:dyDescent="0.25">
      <c r="A5097">
        <v>5096</v>
      </c>
      <c r="B5097" s="1">
        <v>45757</v>
      </c>
      <c r="C5097" t="s">
        <v>58</v>
      </c>
      <c r="D5097" t="s">
        <v>90</v>
      </c>
      <c r="E5097" t="s">
        <v>8</v>
      </c>
      <c r="F5097">
        <v>2</v>
      </c>
      <c r="G5097" t="str">
        <f>VLOOKUP(D5097,Товары!A:I,3,0)</f>
        <v>Пенал напол. Аква 350 белый 2 двери + 2 ящика</v>
      </c>
      <c r="H5097">
        <f>VLOOKUP(D5097,Товары!A:I,6,0)</f>
        <v>190</v>
      </c>
      <c r="I5097" t="str">
        <f>VLOOKUP(C5097,Магазины!A:C,3,0)</f>
        <v>Ставрополь</v>
      </c>
      <c r="J5097">
        <f>VLOOKUP(D5097,Товары!A:I,4,0)</f>
        <v>10650</v>
      </c>
      <c r="K5097">
        <f t="shared" si="79"/>
        <v>21300</v>
      </c>
    </row>
    <row r="5098" spans="1:11" hidden="1" x14ac:dyDescent="0.25">
      <c r="A5098">
        <v>5097</v>
      </c>
      <c r="B5098" s="1">
        <v>45754</v>
      </c>
      <c r="C5098" t="s">
        <v>18</v>
      </c>
      <c r="D5098" t="s">
        <v>90</v>
      </c>
      <c r="E5098" t="s">
        <v>8</v>
      </c>
      <c r="F5098">
        <v>3</v>
      </c>
      <c r="G5098" t="str">
        <f>VLOOKUP(D5098,Товары!A:I,3,0)</f>
        <v>Пенал напол. Аква 350 белый 2 двери + 2 ящика</v>
      </c>
      <c r="H5098">
        <f>VLOOKUP(D5098,Товары!A:I,6,0)</f>
        <v>190</v>
      </c>
      <c r="I5098" t="str">
        <f>VLOOKUP(C5098,Магазины!A:C,3,0)</f>
        <v>Набережные Челны</v>
      </c>
      <c r="J5098">
        <f>VLOOKUP(D5098,Товары!A:I,4,0)</f>
        <v>10650</v>
      </c>
      <c r="K5098">
        <f t="shared" si="79"/>
        <v>31950</v>
      </c>
    </row>
    <row r="5099" spans="1:11" hidden="1" x14ac:dyDescent="0.25">
      <c r="A5099">
        <v>5098</v>
      </c>
      <c r="B5099" s="1">
        <v>45754</v>
      </c>
      <c r="C5099" t="s">
        <v>28</v>
      </c>
      <c r="D5099" t="s">
        <v>131</v>
      </c>
      <c r="E5099" t="s">
        <v>13</v>
      </c>
      <c r="F5099">
        <v>2</v>
      </c>
      <c r="G5099" t="str">
        <f>VLOOKUP(D5099,Товары!A:I,3,0)</f>
        <v>Тумба с раковиной  напол. Леон 800 форест 2 ящика с умыв. Слим</v>
      </c>
      <c r="H5099">
        <f>VLOOKUP(D5099,Товары!A:I,6,0)</f>
        <v>80</v>
      </c>
      <c r="I5099" t="str">
        <f>VLOOKUP(C5099,Магазины!A:C,3,0)</f>
        <v>Набережные Челны</v>
      </c>
      <c r="J5099">
        <f>VLOOKUP(D5099,Товары!A:I,4,0)</f>
        <v>29400</v>
      </c>
      <c r="K5099">
        <f t="shared" si="79"/>
        <v>58800</v>
      </c>
    </row>
    <row r="5100" spans="1:11" hidden="1" x14ac:dyDescent="0.25">
      <c r="A5100">
        <v>5099</v>
      </c>
      <c r="B5100" s="1">
        <v>45756</v>
      </c>
      <c r="C5100" t="s">
        <v>92</v>
      </c>
      <c r="D5100" t="s">
        <v>55</v>
      </c>
      <c r="E5100" t="s">
        <v>8</v>
      </c>
      <c r="F5100">
        <v>2</v>
      </c>
      <c r="G5100" t="str">
        <f>VLOOKUP(D5100,Товары!A:I,3,0)</f>
        <v>Тумба с раковиной  напол. Рица 600 cерый/керамика 2 ящика с умыв. Океан</v>
      </c>
      <c r="H5100">
        <f>VLOOKUP(D5100,Товары!A:I,6,0)</f>
        <v>80</v>
      </c>
      <c r="I5100" t="str">
        <f>VLOOKUP(C5100,Магазины!A:C,3,0)</f>
        <v>Кемерово</v>
      </c>
      <c r="J5100">
        <f>VLOOKUP(D5100,Товары!A:I,4,0)</f>
        <v>25560</v>
      </c>
      <c r="K5100">
        <f t="shared" si="79"/>
        <v>51120</v>
      </c>
    </row>
    <row r="5101" spans="1:11" hidden="1" x14ac:dyDescent="0.25">
      <c r="A5101">
        <v>5100</v>
      </c>
      <c r="B5101" s="1">
        <v>45756</v>
      </c>
      <c r="C5101" t="s">
        <v>41</v>
      </c>
      <c r="D5101" t="s">
        <v>38</v>
      </c>
      <c r="E5101" t="s">
        <v>8</v>
      </c>
      <c r="F5101">
        <v>2</v>
      </c>
      <c r="G5101" t="str">
        <f>VLOOKUP(D5101,Товары!A:I,3,0)</f>
        <v>Тумба с раковиной  навес. Куба Риф 600 белый 2 ящика с умыв. Como</v>
      </c>
      <c r="H5101">
        <f>VLOOKUP(D5101,Товары!A:I,6,0)</f>
        <v>55</v>
      </c>
      <c r="I5101" t="str">
        <f>VLOOKUP(C5101,Магазины!A:C,3,0)</f>
        <v>Ставрополь</v>
      </c>
      <c r="J5101">
        <f>VLOOKUP(D5101,Товары!A:I,4,0)</f>
        <v>14265</v>
      </c>
      <c r="K5101">
        <f t="shared" si="79"/>
        <v>28530</v>
      </c>
    </row>
    <row r="5102" spans="1:11" hidden="1" x14ac:dyDescent="0.25">
      <c r="A5102">
        <v>5101</v>
      </c>
      <c r="B5102" s="1">
        <v>45754</v>
      </c>
      <c r="C5102" t="s">
        <v>35</v>
      </c>
      <c r="D5102" t="s">
        <v>131</v>
      </c>
      <c r="E5102" t="s">
        <v>13</v>
      </c>
      <c r="F5102">
        <v>3</v>
      </c>
      <c r="G5102" t="str">
        <f>VLOOKUP(D5102,Товары!A:I,3,0)</f>
        <v>Тумба с раковиной  напол. Леон 800 форест 2 ящика с умыв. Слим</v>
      </c>
      <c r="H5102">
        <f>VLOOKUP(D5102,Товары!A:I,6,0)</f>
        <v>80</v>
      </c>
      <c r="I5102" t="str">
        <f>VLOOKUP(C5102,Магазины!A:C,3,0)</f>
        <v>Набережные Челны</v>
      </c>
      <c r="J5102">
        <f>VLOOKUP(D5102,Товары!A:I,4,0)</f>
        <v>29400</v>
      </c>
      <c r="K5102">
        <f t="shared" si="79"/>
        <v>88200</v>
      </c>
    </row>
    <row r="5103" spans="1:11" hidden="1" x14ac:dyDescent="0.25">
      <c r="A5103">
        <v>5102</v>
      </c>
      <c r="B5103" s="1">
        <v>45749</v>
      </c>
      <c r="C5103" t="s">
        <v>111</v>
      </c>
      <c r="D5103" t="s">
        <v>86</v>
      </c>
      <c r="E5103" t="s">
        <v>13</v>
      </c>
      <c r="F5103">
        <v>2</v>
      </c>
      <c r="G5103" t="str">
        <f>VLOOKUP(D5103,Товары!A:I,3,0)</f>
        <v>Комод Аква 50 напольный 1 ящик 2 двери белый</v>
      </c>
      <c r="H5103">
        <f>VLOOKUP(D5103,Товары!A:I,6,0)</f>
        <v>90</v>
      </c>
      <c r="I5103" t="str">
        <f>VLOOKUP(C5103,Магазины!A:C,3,0)</f>
        <v>Набережные Челны</v>
      </c>
      <c r="J5103">
        <f>VLOOKUP(D5103,Товары!A:I,4,0)</f>
        <v>7260</v>
      </c>
      <c r="K5103">
        <f t="shared" si="79"/>
        <v>14520</v>
      </c>
    </row>
    <row r="5104" spans="1:11" hidden="1" x14ac:dyDescent="0.25">
      <c r="A5104">
        <v>5103</v>
      </c>
      <c r="B5104" s="1">
        <v>45748</v>
      </c>
      <c r="C5104" t="s">
        <v>54</v>
      </c>
      <c r="D5104" t="s">
        <v>45</v>
      </c>
      <c r="E5104" t="s">
        <v>8</v>
      </c>
      <c r="F5104">
        <v>1</v>
      </c>
      <c r="G5104" t="str">
        <f>VLOOKUP(D5104,Товары!A:I,3,0)</f>
        <v>Зеркальный шкаф Рица 80 со светильником правый цвет cерый/керамика</v>
      </c>
      <c r="H5104">
        <f>VLOOKUP(D5104,Товары!A:I,6,0)</f>
        <v>75</v>
      </c>
      <c r="I5104" t="str">
        <f>VLOOKUP(C5104,Магазины!A:C,3,0)</f>
        <v>Ставрополь</v>
      </c>
      <c r="J5104">
        <f>VLOOKUP(D5104,Товары!A:I,4,0)</f>
        <v>9930</v>
      </c>
      <c r="K5104">
        <f t="shared" si="79"/>
        <v>9930</v>
      </c>
    </row>
    <row r="5105" spans="1:11" hidden="1" x14ac:dyDescent="0.25">
      <c r="A5105">
        <v>5104</v>
      </c>
      <c r="B5105" s="1">
        <v>45754</v>
      </c>
      <c r="C5105" t="s">
        <v>20</v>
      </c>
      <c r="D5105" t="s">
        <v>83</v>
      </c>
      <c r="E5105" t="s">
        <v>8</v>
      </c>
      <c r="F5105">
        <v>3</v>
      </c>
      <c r="G5105" t="str">
        <f>VLOOKUP(D5105,Товары!A:I,3,0)</f>
        <v>Зеркальный шкаф Альба 60 со светильником правый цвет суфле</v>
      </c>
      <c r="H5105">
        <f>VLOOKUP(D5105,Товары!A:I,6,0)</f>
        <v>75</v>
      </c>
      <c r="I5105" t="str">
        <f>VLOOKUP(C5105,Магазины!A:C,3,0)</f>
        <v>Оренбург</v>
      </c>
      <c r="J5105">
        <f>VLOOKUP(D5105,Товары!A:I,4,0)</f>
        <v>8910</v>
      </c>
      <c r="K5105">
        <f t="shared" si="79"/>
        <v>26730</v>
      </c>
    </row>
    <row r="5106" spans="1:11" hidden="1" x14ac:dyDescent="0.25">
      <c r="A5106">
        <v>5105</v>
      </c>
      <c r="B5106" s="1">
        <v>45756</v>
      </c>
      <c r="C5106" t="s">
        <v>9</v>
      </c>
      <c r="D5106" t="s">
        <v>71</v>
      </c>
      <c r="E5106" t="s">
        <v>8</v>
      </c>
      <c r="F5106">
        <v>1</v>
      </c>
      <c r="G5106" t="str">
        <f>VLOOKUP(D5106,Товары!A:I,3,0)</f>
        <v>Тумба с раковиной  навес. Альба 600 мята 2 ящика с умыв. Океан</v>
      </c>
      <c r="H5106">
        <f>VLOOKUP(D5106,Товары!A:I,6,0)</f>
        <v>50</v>
      </c>
      <c r="I5106" t="str">
        <f>VLOOKUP(C5106,Магазины!A:C,3,0)</f>
        <v>Кемерово</v>
      </c>
      <c r="J5106">
        <f>VLOOKUP(D5106,Товары!A:I,4,0)</f>
        <v>24810</v>
      </c>
      <c r="K5106">
        <f t="shared" si="79"/>
        <v>24810</v>
      </c>
    </row>
    <row r="5107" spans="1:11" hidden="1" x14ac:dyDescent="0.25">
      <c r="A5107">
        <v>5106</v>
      </c>
      <c r="B5107" s="1">
        <v>45756</v>
      </c>
      <c r="C5107" t="s">
        <v>6</v>
      </c>
      <c r="D5107" t="s">
        <v>126</v>
      </c>
      <c r="E5107" t="s">
        <v>13</v>
      </c>
      <c r="F5107">
        <v>2</v>
      </c>
      <c r="G5107" t="str">
        <f>VLOOKUP(D5107,Товары!A:I,3,0)</f>
        <v>Тумба с раковиной  напол. Кристалл 800 шато азур 2 ящика с умыв. Комфорт</v>
      </c>
      <c r="H5107">
        <f>VLOOKUP(D5107,Товары!A:I,6,0)</f>
        <v>85</v>
      </c>
      <c r="I5107" t="str">
        <f>VLOOKUP(C5107,Магазины!A:C,3,0)</f>
        <v>Оренбург</v>
      </c>
      <c r="J5107">
        <f>VLOOKUP(D5107,Товары!A:I,4,0)</f>
        <v>31125</v>
      </c>
      <c r="K5107">
        <f t="shared" si="79"/>
        <v>62250</v>
      </c>
    </row>
    <row r="5108" spans="1:11" hidden="1" x14ac:dyDescent="0.25">
      <c r="A5108">
        <v>5107</v>
      </c>
      <c r="B5108" s="1">
        <v>45749</v>
      </c>
      <c r="C5108" t="s">
        <v>9</v>
      </c>
      <c r="D5108" t="s">
        <v>52</v>
      </c>
      <c r="E5108" t="s">
        <v>8</v>
      </c>
      <c r="F5108">
        <v>2</v>
      </c>
      <c r="G5108" t="str">
        <f>VLOOKUP(D5108,Товары!A:I,3,0)</f>
        <v>Тумба с раковиной  напол. Кристалл 600 суфле 2 ящика с умыв. Океан</v>
      </c>
      <c r="H5108">
        <f>VLOOKUP(D5108,Товары!A:I,6,0)</f>
        <v>80</v>
      </c>
      <c r="I5108" t="str">
        <f>VLOOKUP(C5108,Магазины!A:C,3,0)</f>
        <v>Кемерово</v>
      </c>
      <c r="J5108">
        <f>VLOOKUP(D5108,Товары!A:I,4,0)</f>
        <v>27600</v>
      </c>
      <c r="K5108">
        <f t="shared" si="79"/>
        <v>55200</v>
      </c>
    </row>
    <row r="5109" spans="1:11" hidden="1" x14ac:dyDescent="0.25">
      <c r="A5109">
        <v>5108</v>
      </c>
      <c r="B5109" s="1">
        <v>45757</v>
      </c>
      <c r="C5109" t="s">
        <v>41</v>
      </c>
      <c r="D5109" t="s">
        <v>100</v>
      </c>
      <c r="E5109" t="s">
        <v>13</v>
      </c>
      <c r="F5109">
        <v>2</v>
      </c>
      <c r="G5109" t="str">
        <f>VLOOKUP(D5109,Товары!A:I,3,0)</f>
        <v>Тумба с раковиной  навес. Альба 800 мята 1 ящик с умыв. Слим</v>
      </c>
      <c r="H5109">
        <f>VLOOKUP(D5109,Товары!A:I,6,0)</f>
        <v>45</v>
      </c>
      <c r="I5109" t="str">
        <f>VLOOKUP(C5109,Магазины!A:C,3,0)</f>
        <v>Ставрополь</v>
      </c>
      <c r="J5109">
        <f>VLOOKUP(D5109,Товары!A:I,4,0)</f>
        <v>21630</v>
      </c>
      <c r="K5109">
        <f t="shared" si="79"/>
        <v>43260</v>
      </c>
    </row>
    <row r="5110" spans="1:11" hidden="1" x14ac:dyDescent="0.25">
      <c r="A5110">
        <v>5109</v>
      </c>
      <c r="B5110" s="1">
        <v>45753</v>
      </c>
      <c r="C5110" t="s">
        <v>14</v>
      </c>
      <c r="D5110" t="s">
        <v>19</v>
      </c>
      <c r="E5110" t="s">
        <v>13</v>
      </c>
      <c r="F5110">
        <v>2</v>
      </c>
      <c r="G5110" t="str">
        <f>VLOOKUP(D5110,Товары!A:I,3,0)</f>
        <v>Тумба с раковиной  навес. Леон 800 оникс 2 ящика с умыв. Слим</v>
      </c>
      <c r="H5110">
        <f>VLOOKUP(D5110,Товары!A:I,6,0)</f>
        <v>60</v>
      </c>
      <c r="I5110" t="str">
        <f>VLOOKUP(C5110,Магазины!A:C,3,0)</f>
        <v>Оренбург</v>
      </c>
      <c r="J5110">
        <f>VLOOKUP(D5110,Товары!A:I,4,0)</f>
        <v>27930</v>
      </c>
      <c r="K5110">
        <f t="shared" si="79"/>
        <v>55860</v>
      </c>
    </row>
    <row r="5111" spans="1:11" hidden="1" x14ac:dyDescent="0.25">
      <c r="A5111">
        <v>5110</v>
      </c>
      <c r="B5111" s="1">
        <v>45748</v>
      </c>
      <c r="C5111" t="s">
        <v>14</v>
      </c>
      <c r="D5111" t="s">
        <v>109</v>
      </c>
      <c r="E5111" t="s">
        <v>13</v>
      </c>
      <c r="F5111">
        <v>2</v>
      </c>
      <c r="G5111" t="str">
        <f>VLOOKUP(D5111,Товары!A:I,3,0)</f>
        <v>Тумба с раковиной  навес. Альба 600 антрацит 2 ящика с умыв. Океан</v>
      </c>
      <c r="H5111">
        <f>VLOOKUP(D5111,Товары!A:I,6,0)</f>
        <v>50</v>
      </c>
      <c r="I5111" t="str">
        <f>VLOOKUP(C5111,Магазины!A:C,3,0)</f>
        <v>Оренбург</v>
      </c>
      <c r="J5111">
        <f>VLOOKUP(D5111,Товары!A:I,4,0)</f>
        <v>24810</v>
      </c>
      <c r="K5111">
        <f t="shared" si="79"/>
        <v>49620</v>
      </c>
    </row>
    <row r="5112" spans="1:11" hidden="1" x14ac:dyDescent="0.25">
      <c r="A5112">
        <v>5111</v>
      </c>
      <c r="B5112" s="1">
        <v>45752</v>
      </c>
      <c r="C5112" t="s">
        <v>57</v>
      </c>
      <c r="D5112" t="s">
        <v>24</v>
      </c>
      <c r="E5112" t="s">
        <v>8</v>
      </c>
      <c r="F5112">
        <v>1</v>
      </c>
      <c r="G5112" t="str">
        <f>VLOOKUP(D5112,Товары!A:I,3,0)</f>
        <v>Тумба с раковиной  напол. Леон 600 форест 2 ящика с умыв. Слим</v>
      </c>
      <c r="H5112">
        <f>VLOOKUP(D5112,Товары!A:I,6,0)</f>
        <v>80</v>
      </c>
      <c r="I5112" t="str">
        <f>VLOOKUP(C5112,Магазины!A:C,3,0)</f>
        <v>Оренбург</v>
      </c>
      <c r="J5112">
        <f>VLOOKUP(D5112,Товары!A:I,4,0)</f>
        <v>27150</v>
      </c>
      <c r="K5112">
        <f t="shared" si="79"/>
        <v>27150</v>
      </c>
    </row>
    <row r="5113" spans="1:11" hidden="1" x14ac:dyDescent="0.25">
      <c r="A5113">
        <v>5112</v>
      </c>
      <c r="B5113" s="1">
        <v>45754</v>
      </c>
      <c r="C5113" t="s">
        <v>22</v>
      </c>
      <c r="D5113" t="s">
        <v>131</v>
      </c>
      <c r="E5113" t="s">
        <v>8</v>
      </c>
      <c r="F5113">
        <v>2</v>
      </c>
      <c r="G5113" t="str">
        <f>VLOOKUP(D5113,Товары!A:I,3,0)</f>
        <v>Тумба с раковиной  напол. Леон 800 форест 2 ящика с умыв. Слим</v>
      </c>
      <c r="H5113">
        <f>VLOOKUP(D5113,Товары!A:I,6,0)</f>
        <v>80</v>
      </c>
      <c r="I5113" t="str">
        <f>VLOOKUP(C5113,Магазины!A:C,3,0)</f>
        <v>Кемерово</v>
      </c>
      <c r="J5113">
        <f>VLOOKUP(D5113,Товары!A:I,4,0)</f>
        <v>29400</v>
      </c>
      <c r="K5113">
        <f t="shared" si="79"/>
        <v>58800</v>
      </c>
    </row>
    <row r="5114" spans="1:11" hidden="1" x14ac:dyDescent="0.25">
      <c r="A5114">
        <v>5113</v>
      </c>
      <c r="B5114" s="1">
        <v>45750</v>
      </c>
      <c r="C5114" t="s">
        <v>57</v>
      </c>
      <c r="D5114" t="s">
        <v>66</v>
      </c>
      <c r="E5114" t="s">
        <v>13</v>
      </c>
      <c r="F5114">
        <v>2</v>
      </c>
      <c r="G5114" t="str">
        <f>VLOOKUP(D5114,Товары!A:I,3,0)</f>
        <v>Тумба с раковиной  навес. Альба 800 мята 2 ящика с умыв. Слим</v>
      </c>
      <c r="H5114">
        <f>VLOOKUP(D5114,Товары!A:I,6,0)</f>
        <v>50</v>
      </c>
      <c r="I5114" t="str">
        <f>VLOOKUP(C5114,Магазины!A:C,3,0)</f>
        <v>Оренбург</v>
      </c>
      <c r="J5114">
        <f>VLOOKUP(D5114,Товары!A:I,4,0)</f>
        <v>26070</v>
      </c>
      <c r="K5114">
        <f t="shared" si="79"/>
        <v>52140</v>
      </c>
    </row>
    <row r="5115" spans="1:11" hidden="1" x14ac:dyDescent="0.25">
      <c r="A5115">
        <v>5114</v>
      </c>
      <c r="B5115" s="1">
        <v>45756</v>
      </c>
      <c r="C5115" t="s">
        <v>48</v>
      </c>
      <c r="D5115" t="s">
        <v>69</v>
      </c>
      <c r="E5115" t="s">
        <v>13</v>
      </c>
      <c r="F5115">
        <v>1</v>
      </c>
      <c r="G5115" t="str">
        <f>VLOOKUP(D5115,Товары!A:I,3,0)</f>
        <v>Пенал навес./напол. Альба 350 антрацит 2 двери</v>
      </c>
      <c r="H5115">
        <f>VLOOKUP(D5115,Товары!A:I,6,0)</f>
        <v>150</v>
      </c>
      <c r="I5115" t="str">
        <f>VLOOKUP(C5115,Магазины!A:C,3,0)</f>
        <v>Ставрополь</v>
      </c>
      <c r="J5115">
        <f>VLOOKUP(D5115,Товары!A:I,4,0)</f>
        <v>11655</v>
      </c>
      <c r="K5115">
        <f t="shared" si="79"/>
        <v>11655</v>
      </c>
    </row>
    <row r="5116" spans="1:11" hidden="1" x14ac:dyDescent="0.25">
      <c r="A5116">
        <v>5115</v>
      </c>
      <c r="B5116" s="1">
        <v>45752</v>
      </c>
      <c r="C5116" t="s">
        <v>20</v>
      </c>
      <c r="D5116" t="s">
        <v>53</v>
      </c>
      <c r="E5116" t="s">
        <v>13</v>
      </c>
      <c r="F5116">
        <v>2</v>
      </c>
      <c r="G5116" t="str">
        <f>VLOOKUP(D5116,Товары!A:I,3,0)</f>
        <v>Тумба с раковиной  напол. Кристалл 600 шато азур 2 ящика с умыв. Океан</v>
      </c>
      <c r="H5116">
        <f>VLOOKUP(D5116,Товары!A:I,6,0)</f>
        <v>85</v>
      </c>
      <c r="I5116" t="str">
        <f>VLOOKUP(C5116,Магазины!A:C,3,0)</f>
        <v>Оренбург</v>
      </c>
      <c r="J5116">
        <f>VLOOKUP(D5116,Товары!A:I,4,0)</f>
        <v>27600</v>
      </c>
      <c r="K5116">
        <f t="shared" si="79"/>
        <v>55200</v>
      </c>
    </row>
    <row r="5117" spans="1:11" hidden="1" x14ac:dyDescent="0.25">
      <c r="A5117">
        <v>5116</v>
      </c>
      <c r="B5117" s="1">
        <v>45754</v>
      </c>
      <c r="C5117" t="s">
        <v>111</v>
      </c>
      <c r="D5117" t="s">
        <v>23</v>
      </c>
      <c r="E5117" t="s">
        <v>8</v>
      </c>
      <c r="F5117">
        <v>3</v>
      </c>
      <c r="G5117" t="str">
        <f>VLOOKUP(D5117,Товары!A:I,3,0)</f>
        <v>Тумба с раковиной  напол. Альба 800 антрацит 2 ящика с умыв. Слим</v>
      </c>
      <c r="H5117">
        <f>VLOOKUP(D5117,Товары!A:I,6,0)</f>
        <v>80</v>
      </c>
      <c r="I5117" t="str">
        <f>VLOOKUP(C5117,Магазины!A:C,3,0)</f>
        <v>Набережные Челны</v>
      </c>
      <c r="J5117">
        <f>VLOOKUP(D5117,Товары!A:I,4,0)</f>
        <v>29340</v>
      </c>
      <c r="K5117">
        <f t="shared" si="79"/>
        <v>88020</v>
      </c>
    </row>
    <row r="5118" spans="1:11" hidden="1" x14ac:dyDescent="0.25">
      <c r="A5118">
        <v>5117</v>
      </c>
      <c r="B5118" s="1">
        <v>45748</v>
      </c>
      <c r="C5118" t="s">
        <v>48</v>
      </c>
      <c r="D5118" t="s">
        <v>105</v>
      </c>
      <c r="E5118" t="s">
        <v>13</v>
      </c>
      <c r="F5118">
        <v>1</v>
      </c>
      <c r="G5118" t="str">
        <f>VLOOKUP(D5118,Товары!A:I,3,0)</f>
        <v>Тумба с раковиной  напол. Нева 600 белый 2 двери + 1 ящик с умыв. Como</v>
      </c>
      <c r="H5118">
        <f>VLOOKUP(D5118,Товары!A:I,6,0)</f>
        <v>80</v>
      </c>
      <c r="I5118" t="str">
        <f>VLOOKUP(C5118,Магазины!A:C,3,0)</f>
        <v>Ставрополь</v>
      </c>
      <c r="J5118">
        <f>VLOOKUP(D5118,Товары!A:I,4,0)</f>
        <v>13470</v>
      </c>
      <c r="K5118">
        <f t="shared" si="79"/>
        <v>13470</v>
      </c>
    </row>
    <row r="5119" spans="1:11" hidden="1" x14ac:dyDescent="0.25">
      <c r="A5119">
        <v>5118</v>
      </c>
      <c r="B5119" s="1">
        <v>45750</v>
      </c>
      <c r="C5119" t="s">
        <v>22</v>
      </c>
      <c r="D5119" t="s">
        <v>81</v>
      </c>
      <c r="E5119" t="s">
        <v>13</v>
      </c>
      <c r="F5119">
        <v>1</v>
      </c>
      <c r="G5119" t="str">
        <f>VLOOKUP(D5119,Товары!A:I,3,0)</f>
        <v>Тумба с раковиной  навес. Рица 600 cерый/керамика 1 ящик + ниша 1 с умыв. Океан</v>
      </c>
      <c r="H5119">
        <f>VLOOKUP(D5119,Товары!A:I,6,0)</f>
        <v>60</v>
      </c>
      <c r="I5119" t="str">
        <f>VLOOKUP(C5119,Магазины!A:C,3,0)</f>
        <v>Кемерово</v>
      </c>
      <c r="J5119">
        <f>VLOOKUP(D5119,Товары!A:I,4,0)</f>
        <v>18900</v>
      </c>
      <c r="K5119">
        <f t="shared" si="79"/>
        <v>18900</v>
      </c>
    </row>
    <row r="5120" spans="1:11" hidden="1" x14ac:dyDescent="0.25">
      <c r="A5120">
        <v>5119</v>
      </c>
      <c r="B5120" s="1">
        <v>45756</v>
      </c>
      <c r="C5120" t="s">
        <v>35</v>
      </c>
      <c r="D5120" t="s">
        <v>126</v>
      </c>
      <c r="E5120" t="s">
        <v>8</v>
      </c>
      <c r="F5120">
        <v>1</v>
      </c>
      <c r="G5120" t="str">
        <f>VLOOKUP(D5120,Товары!A:I,3,0)</f>
        <v>Тумба с раковиной  напол. Кристалл 800 шато азур 2 ящика с умыв. Комфорт</v>
      </c>
      <c r="H5120">
        <f>VLOOKUP(D5120,Товары!A:I,6,0)</f>
        <v>85</v>
      </c>
      <c r="I5120" t="str">
        <f>VLOOKUP(C5120,Магазины!A:C,3,0)</f>
        <v>Набережные Челны</v>
      </c>
      <c r="J5120">
        <f>VLOOKUP(D5120,Товары!A:I,4,0)</f>
        <v>31125</v>
      </c>
      <c r="K5120">
        <f t="shared" si="79"/>
        <v>31125</v>
      </c>
    </row>
    <row r="5121" spans="1:11" hidden="1" x14ac:dyDescent="0.25">
      <c r="A5121">
        <v>5120</v>
      </c>
      <c r="B5121" s="1">
        <v>45753</v>
      </c>
      <c r="C5121" t="s">
        <v>111</v>
      </c>
      <c r="D5121" t="s">
        <v>105</v>
      </c>
      <c r="E5121" t="s">
        <v>8</v>
      </c>
      <c r="F5121">
        <v>2</v>
      </c>
      <c r="G5121" t="str">
        <f>VLOOKUP(D5121,Товары!A:I,3,0)</f>
        <v>Тумба с раковиной  напол. Нева 600 белый 2 двери + 1 ящик с умыв. Como</v>
      </c>
      <c r="H5121">
        <f>VLOOKUP(D5121,Товары!A:I,6,0)</f>
        <v>80</v>
      </c>
      <c r="I5121" t="str">
        <f>VLOOKUP(C5121,Магазины!A:C,3,0)</f>
        <v>Набережные Челны</v>
      </c>
      <c r="J5121">
        <f>VLOOKUP(D5121,Товары!A:I,4,0)</f>
        <v>13470</v>
      </c>
      <c r="K5121">
        <f t="shared" si="79"/>
        <v>26940</v>
      </c>
    </row>
    <row r="5122" spans="1:11" hidden="1" x14ac:dyDescent="0.25">
      <c r="A5122">
        <v>5121</v>
      </c>
      <c r="B5122" s="1">
        <v>45755</v>
      </c>
      <c r="C5122" t="s">
        <v>111</v>
      </c>
      <c r="D5122" t="s">
        <v>124</v>
      </c>
      <c r="E5122" t="s">
        <v>8</v>
      </c>
      <c r="F5122">
        <v>1</v>
      </c>
      <c r="G5122" t="str">
        <f>VLOOKUP(D5122,Товары!A:I,3,0)</f>
        <v>Тумба с раковиной  напол. Леон 600 оникс 2 ящика с умыв. Океан</v>
      </c>
      <c r="H5122">
        <f>VLOOKUP(D5122,Товары!A:I,6,0)</f>
        <v>80</v>
      </c>
      <c r="I5122" t="str">
        <f>VLOOKUP(C5122,Магазины!A:C,3,0)</f>
        <v>Набережные Челны</v>
      </c>
      <c r="J5122">
        <f>VLOOKUP(D5122,Товары!A:I,4,0)</f>
        <v>25860</v>
      </c>
      <c r="K5122">
        <f t="shared" si="79"/>
        <v>25860</v>
      </c>
    </row>
    <row r="5123" spans="1:11" hidden="1" x14ac:dyDescent="0.25">
      <c r="A5123">
        <v>5122</v>
      </c>
      <c r="B5123" s="1">
        <v>45752</v>
      </c>
      <c r="C5123" t="s">
        <v>48</v>
      </c>
      <c r="D5123" t="s">
        <v>60</v>
      </c>
      <c r="E5123" t="s">
        <v>8</v>
      </c>
      <c r="F5123">
        <v>3</v>
      </c>
      <c r="G5123" t="str">
        <f>VLOOKUP(D5123,Товары!A:I,3,0)</f>
        <v>Пенал навес. Куба Риф 350 белый 2 двери</v>
      </c>
      <c r="H5123">
        <f>VLOOKUP(D5123,Товары!A:I,6,0)</f>
        <v>150</v>
      </c>
      <c r="I5123" t="str">
        <f>VLOOKUP(C5123,Магазины!A:C,3,0)</f>
        <v>Ставрополь</v>
      </c>
      <c r="J5123">
        <f>VLOOKUP(D5123,Товары!A:I,4,0)</f>
        <v>9720</v>
      </c>
      <c r="K5123">
        <f t="shared" ref="K5123:K5186" si="80">J5123*F5123</f>
        <v>29160</v>
      </c>
    </row>
    <row r="5124" spans="1:11" hidden="1" x14ac:dyDescent="0.25">
      <c r="A5124">
        <v>5123</v>
      </c>
      <c r="B5124" s="1">
        <v>45754</v>
      </c>
      <c r="C5124" t="s">
        <v>92</v>
      </c>
      <c r="D5124" t="s">
        <v>10</v>
      </c>
      <c r="E5124" t="s">
        <v>13</v>
      </c>
      <c r="F5124">
        <v>1</v>
      </c>
      <c r="G5124" t="str">
        <f>VLOOKUP(D5124,Товары!A:I,3,0)</f>
        <v>Тумба с раковиной  навес. Альба 700 антрацит 1 ящик с умыв. Слим</v>
      </c>
      <c r="H5124">
        <f>VLOOKUP(D5124,Товары!A:I,6,0)</f>
        <v>45</v>
      </c>
      <c r="I5124" t="str">
        <f>VLOOKUP(C5124,Магазины!A:C,3,0)</f>
        <v>Кемерово</v>
      </c>
      <c r="J5124">
        <f>VLOOKUP(D5124,Товары!A:I,4,0)</f>
        <v>20130</v>
      </c>
      <c r="K5124">
        <f t="shared" si="80"/>
        <v>20130</v>
      </c>
    </row>
    <row r="5125" spans="1:11" hidden="1" x14ac:dyDescent="0.25">
      <c r="A5125">
        <v>5124</v>
      </c>
      <c r="B5125" s="1">
        <v>45757</v>
      </c>
      <c r="C5125" t="s">
        <v>22</v>
      </c>
      <c r="D5125" t="s">
        <v>129</v>
      </c>
      <c r="E5125" t="s">
        <v>13</v>
      </c>
      <c r="F5125">
        <v>2</v>
      </c>
      <c r="G5125" t="str">
        <f>VLOOKUP(D5125,Товары!A:I,3,0)</f>
        <v>Тумба с раковиной  напол. Альба 700 антрацит 2 ящика с умыв. Слим</v>
      </c>
      <c r="H5125">
        <f>VLOOKUP(D5125,Товары!A:I,6,0)</f>
        <v>85</v>
      </c>
      <c r="I5125" t="str">
        <f>VLOOKUP(C5125,Магазины!A:C,3,0)</f>
        <v>Кемерово</v>
      </c>
      <c r="J5125">
        <f>VLOOKUP(D5125,Товары!A:I,4,0)</f>
        <v>28695</v>
      </c>
      <c r="K5125">
        <f t="shared" si="80"/>
        <v>57390</v>
      </c>
    </row>
    <row r="5126" spans="1:11" hidden="1" x14ac:dyDescent="0.25">
      <c r="A5126">
        <v>5125</v>
      </c>
      <c r="B5126" s="1">
        <v>45754</v>
      </c>
      <c r="C5126" t="s">
        <v>6</v>
      </c>
      <c r="D5126" t="s">
        <v>74</v>
      </c>
      <c r="E5126" t="s">
        <v>8</v>
      </c>
      <c r="F5126">
        <v>1</v>
      </c>
      <c r="G5126" t="str">
        <f>VLOOKUP(D5126,Товары!A:I,3,0)</f>
        <v>Тумба с раковиной  напол. Альба 800 суфле 2 ящика с умыв. Слим</v>
      </c>
      <c r="H5126">
        <f>VLOOKUP(D5126,Товары!A:I,6,0)</f>
        <v>80</v>
      </c>
      <c r="I5126" t="str">
        <f>VLOOKUP(C5126,Магазины!A:C,3,0)</f>
        <v>Оренбург</v>
      </c>
      <c r="J5126">
        <f>VLOOKUP(D5126,Товары!A:I,4,0)</f>
        <v>29340</v>
      </c>
      <c r="K5126">
        <f t="shared" si="80"/>
        <v>29340</v>
      </c>
    </row>
    <row r="5127" spans="1:11" hidden="1" x14ac:dyDescent="0.25">
      <c r="A5127">
        <v>5126</v>
      </c>
      <c r="B5127" s="1">
        <v>45749</v>
      </c>
      <c r="C5127" t="s">
        <v>35</v>
      </c>
      <c r="D5127" t="s">
        <v>10</v>
      </c>
      <c r="E5127" t="s">
        <v>13</v>
      </c>
      <c r="F5127">
        <v>2</v>
      </c>
      <c r="G5127" t="str">
        <f>VLOOKUP(D5127,Товары!A:I,3,0)</f>
        <v>Тумба с раковиной  навес. Альба 700 антрацит 1 ящик с умыв. Слим</v>
      </c>
      <c r="H5127">
        <f>VLOOKUP(D5127,Товары!A:I,6,0)</f>
        <v>45</v>
      </c>
      <c r="I5127" t="str">
        <f>VLOOKUP(C5127,Магазины!A:C,3,0)</f>
        <v>Набережные Челны</v>
      </c>
      <c r="J5127">
        <f>VLOOKUP(D5127,Товары!A:I,4,0)</f>
        <v>20130</v>
      </c>
      <c r="K5127">
        <f t="shared" si="80"/>
        <v>40260</v>
      </c>
    </row>
    <row r="5128" spans="1:11" hidden="1" x14ac:dyDescent="0.25">
      <c r="A5128">
        <v>5127</v>
      </c>
      <c r="B5128" s="1">
        <v>45749</v>
      </c>
      <c r="C5128" t="s">
        <v>18</v>
      </c>
      <c r="D5128" t="s">
        <v>110</v>
      </c>
      <c r="E5128" t="s">
        <v>8</v>
      </c>
      <c r="F5128">
        <v>3</v>
      </c>
      <c r="G5128" t="str">
        <f>VLOOKUP(D5128,Товары!A:I,3,0)</f>
        <v>Тумба с раковиной  напол. Альба 600 антрацит 2 ящика с умыв. Океан</v>
      </c>
      <c r="H5128">
        <f>VLOOKUP(D5128,Товары!A:I,6,0)</f>
        <v>80</v>
      </c>
      <c r="I5128" t="str">
        <f>VLOOKUP(C5128,Магазины!A:C,3,0)</f>
        <v>Набережные Челны</v>
      </c>
      <c r="J5128">
        <f>VLOOKUP(D5128,Товары!A:I,4,0)</f>
        <v>26370</v>
      </c>
      <c r="K5128">
        <f t="shared" si="80"/>
        <v>79110</v>
      </c>
    </row>
    <row r="5129" spans="1:11" hidden="1" x14ac:dyDescent="0.25">
      <c r="A5129">
        <v>5128</v>
      </c>
      <c r="B5129" s="1">
        <v>45753</v>
      </c>
      <c r="C5129" t="s">
        <v>54</v>
      </c>
      <c r="D5129" t="s">
        <v>131</v>
      </c>
      <c r="E5129" t="s">
        <v>8</v>
      </c>
      <c r="F5129">
        <v>3</v>
      </c>
      <c r="G5129" t="str">
        <f>VLOOKUP(D5129,Товары!A:I,3,0)</f>
        <v>Тумба с раковиной  напол. Леон 800 форест 2 ящика с умыв. Слим</v>
      </c>
      <c r="H5129">
        <f>VLOOKUP(D5129,Товары!A:I,6,0)</f>
        <v>80</v>
      </c>
      <c r="I5129" t="str">
        <f>VLOOKUP(C5129,Магазины!A:C,3,0)</f>
        <v>Ставрополь</v>
      </c>
      <c r="J5129">
        <f>VLOOKUP(D5129,Товары!A:I,4,0)</f>
        <v>29400</v>
      </c>
      <c r="K5129">
        <f t="shared" si="80"/>
        <v>88200</v>
      </c>
    </row>
    <row r="5130" spans="1:11" hidden="1" x14ac:dyDescent="0.25">
      <c r="A5130">
        <v>5129</v>
      </c>
      <c r="B5130" s="1">
        <v>45754</v>
      </c>
      <c r="C5130" t="s">
        <v>54</v>
      </c>
      <c r="D5130" t="s">
        <v>130</v>
      </c>
      <c r="E5130" t="s">
        <v>13</v>
      </c>
      <c r="F5130">
        <v>2</v>
      </c>
      <c r="G5130" t="str">
        <f>VLOOKUP(D5130,Товары!A:I,3,0)</f>
        <v>Пенал напол. Леон 400 форест 2 двери + 1 ящик</v>
      </c>
      <c r="H5130">
        <f>VLOOKUP(D5130,Товары!A:I,6,0)</f>
        <v>190</v>
      </c>
      <c r="I5130" t="str">
        <f>VLOOKUP(C5130,Магазины!A:C,3,0)</f>
        <v>Ставрополь</v>
      </c>
      <c r="J5130">
        <f>VLOOKUP(D5130,Товары!A:I,4,0)</f>
        <v>18450</v>
      </c>
      <c r="K5130">
        <f t="shared" si="80"/>
        <v>36900</v>
      </c>
    </row>
    <row r="5131" spans="1:11" hidden="1" x14ac:dyDescent="0.25">
      <c r="A5131">
        <v>5130</v>
      </c>
      <c r="B5131" s="1">
        <v>45750</v>
      </c>
      <c r="C5131" t="s">
        <v>11</v>
      </c>
      <c r="D5131" t="s">
        <v>74</v>
      </c>
      <c r="E5131" t="s">
        <v>8</v>
      </c>
      <c r="F5131">
        <v>2</v>
      </c>
      <c r="G5131" t="str">
        <f>VLOOKUP(D5131,Товары!A:I,3,0)</f>
        <v>Тумба с раковиной  напол. Альба 800 суфле 2 ящика с умыв. Слим</v>
      </c>
      <c r="H5131">
        <f>VLOOKUP(D5131,Товары!A:I,6,0)</f>
        <v>80</v>
      </c>
      <c r="I5131" t="str">
        <f>VLOOKUP(C5131,Магазины!A:C,3,0)</f>
        <v>Кемерово</v>
      </c>
      <c r="J5131">
        <f>VLOOKUP(D5131,Товары!A:I,4,0)</f>
        <v>29340</v>
      </c>
      <c r="K5131">
        <f t="shared" si="80"/>
        <v>58680</v>
      </c>
    </row>
    <row r="5132" spans="1:11" hidden="1" x14ac:dyDescent="0.25">
      <c r="A5132">
        <v>5131</v>
      </c>
      <c r="B5132" s="1">
        <v>45751</v>
      </c>
      <c r="C5132" t="s">
        <v>28</v>
      </c>
      <c r="D5132" t="s">
        <v>59</v>
      </c>
      <c r="E5132" t="s">
        <v>8</v>
      </c>
      <c r="F5132">
        <v>3</v>
      </c>
      <c r="G5132" t="str">
        <f>VLOOKUP(D5132,Товары!A:I,3,0)</f>
        <v>Тумба с раковиной  навес. Куба Риф 600 белый 2 ящика с умыв. Океан</v>
      </c>
      <c r="H5132">
        <f>VLOOKUP(D5132,Товары!A:I,6,0)</f>
        <v>55</v>
      </c>
      <c r="I5132" t="str">
        <f>VLOOKUP(C5132,Магазины!A:C,3,0)</f>
        <v>Набережные Челны</v>
      </c>
      <c r="J5132">
        <f>VLOOKUP(D5132,Товары!A:I,4,0)</f>
        <v>15765</v>
      </c>
      <c r="K5132">
        <f t="shared" si="80"/>
        <v>47295</v>
      </c>
    </row>
    <row r="5133" spans="1:11" hidden="1" x14ac:dyDescent="0.25">
      <c r="A5133">
        <v>5132</v>
      </c>
      <c r="B5133" s="1">
        <v>45754</v>
      </c>
      <c r="C5133" t="s">
        <v>20</v>
      </c>
      <c r="D5133" t="s">
        <v>120</v>
      </c>
      <c r="E5133" t="s">
        <v>8</v>
      </c>
      <c r="F5133">
        <v>2</v>
      </c>
      <c r="G5133" t="str">
        <f>VLOOKUP(D5133,Товары!A:I,3,0)</f>
        <v>Зеркальный шкаф Альба 60 со светильником правый цвет антрацит</v>
      </c>
      <c r="H5133">
        <f>VLOOKUP(D5133,Товары!A:I,6,0)</f>
        <v>75</v>
      </c>
      <c r="I5133" t="str">
        <f>VLOOKUP(C5133,Магазины!A:C,3,0)</f>
        <v>Оренбург</v>
      </c>
      <c r="J5133">
        <f>VLOOKUP(D5133,Товары!A:I,4,0)</f>
        <v>8910</v>
      </c>
      <c r="K5133">
        <f t="shared" si="80"/>
        <v>17820</v>
      </c>
    </row>
    <row r="5134" spans="1:11" hidden="1" x14ac:dyDescent="0.25">
      <c r="A5134">
        <v>5133</v>
      </c>
      <c r="B5134" s="1">
        <v>45753</v>
      </c>
      <c r="C5134" t="s">
        <v>18</v>
      </c>
      <c r="D5134" t="s">
        <v>98</v>
      </c>
      <c r="E5134" t="s">
        <v>13</v>
      </c>
      <c r="F5134">
        <v>3</v>
      </c>
      <c r="G5134" t="str">
        <f>VLOOKUP(D5134,Товары!A:I,3,0)</f>
        <v>Тумба с раковиной  напол. Рица 800 cерый/керамика 2 ящика с умыв. Слим</v>
      </c>
      <c r="H5134">
        <f>VLOOKUP(D5134,Товары!A:I,6,0)</f>
        <v>80</v>
      </c>
      <c r="I5134" t="str">
        <f>VLOOKUP(C5134,Магазины!A:C,3,0)</f>
        <v>Набережные Челны</v>
      </c>
      <c r="J5134">
        <f>VLOOKUP(D5134,Товары!A:I,4,0)</f>
        <v>28980</v>
      </c>
      <c r="K5134">
        <f t="shared" si="80"/>
        <v>86940</v>
      </c>
    </row>
    <row r="5135" spans="1:11" hidden="1" x14ac:dyDescent="0.25">
      <c r="A5135">
        <v>5134</v>
      </c>
      <c r="B5135" s="1">
        <v>45754</v>
      </c>
      <c r="C5135" t="s">
        <v>22</v>
      </c>
      <c r="D5135" t="s">
        <v>128</v>
      </c>
      <c r="E5135" t="s">
        <v>8</v>
      </c>
      <c r="F5135">
        <v>2</v>
      </c>
      <c r="G5135" t="str">
        <f>VLOOKUP(D5135,Товары!A:I,3,0)</f>
        <v>Тумба с раковиной  напол. Куба Риф 1000 белый 2 ящика с умыв. Слим</v>
      </c>
      <c r="H5135">
        <f>VLOOKUP(D5135,Товары!A:I,6,0)</f>
        <v>85</v>
      </c>
      <c r="I5135" t="str">
        <f>VLOOKUP(C5135,Магазины!A:C,3,0)</f>
        <v>Кемерово</v>
      </c>
      <c r="J5135">
        <f>VLOOKUP(D5135,Товары!A:I,4,0)</f>
        <v>22905</v>
      </c>
      <c r="K5135">
        <f t="shared" si="80"/>
        <v>45810</v>
      </c>
    </row>
    <row r="5136" spans="1:11" hidden="1" x14ac:dyDescent="0.25">
      <c r="A5136">
        <v>5135</v>
      </c>
      <c r="B5136" s="1">
        <v>45748</v>
      </c>
      <c r="C5136" t="s">
        <v>26</v>
      </c>
      <c r="D5136" t="s">
        <v>86</v>
      </c>
      <c r="E5136" t="s">
        <v>13</v>
      </c>
      <c r="F5136">
        <v>1</v>
      </c>
      <c r="G5136" t="str">
        <f>VLOOKUP(D5136,Товары!A:I,3,0)</f>
        <v>Комод Аква 50 напольный 1 ящик 2 двери белый</v>
      </c>
      <c r="H5136">
        <f>VLOOKUP(D5136,Товары!A:I,6,0)</f>
        <v>90</v>
      </c>
      <c r="I5136" t="str">
        <f>VLOOKUP(C5136,Магазины!A:C,3,0)</f>
        <v>Оренбург</v>
      </c>
      <c r="J5136">
        <f>VLOOKUP(D5136,Товары!A:I,4,0)</f>
        <v>7260</v>
      </c>
      <c r="K5136">
        <f t="shared" si="80"/>
        <v>7260</v>
      </c>
    </row>
    <row r="5137" spans="1:11" hidden="1" x14ac:dyDescent="0.25">
      <c r="A5137">
        <v>5136</v>
      </c>
      <c r="B5137" s="1">
        <v>45756</v>
      </c>
      <c r="C5137" t="s">
        <v>26</v>
      </c>
      <c r="D5137" t="s">
        <v>66</v>
      </c>
      <c r="E5137" t="s">
        <v>13</v>
      </c>
      <c r="F5137">
        <v>2</v>
      </c>
      <c r="G5137" t="str">
        <f>VLOOKUP(D5137,Товары!A:I,3,0)</f>
        <v>Тумба с раковиной  навес. Альба 800 мята 2 ящика с умыв. Слим</v>
      </c>
      <c r="H5137">
        <f>VLOOKUP(D5137,Товары!A:I,6,0)</f>
        <v>50</v>
      </c>
      <c r="I5137" t="str">
        <f>VLOOKUP(C5137,Магазины!A:C,3,0)</f>
        <v>Оренбург</v>
      </c>
      <c r="J5137">
        <f>VLOOKUP(D5137,Товары!A:I,4,0)</f>
        <v>26070</v>
      </c>
      <c r="K5137">
        <f t="shared" si="80"/>
        <v>52140</v>
      </c>
    </row>
    <row r="5138" spans="1:11" hidden="1" x14ac:dyDescent="0.25">
      <c r="A5138">
        <v>5137</v>
      </c>
      <c r="B5138" s="1">
        <v>45757</v>
      </c>
      <c r="C5138" t="s">
        <v>33</v>
      </c>
      <c r="D5138" t="s">
        <v>124</v>
      </c>
      <c r="E5138" t="s">
        <v>8</v>
      </c>
      <c r="F5138">
        <v>1</v>
      </c>
      <c r="G5138" t="str">
        <f>VLOOKUP(D5138,Товары!A:I,3,0)</f>
        <v>Тумба с раковиной  напол. Леон 600 оникс 2 ящика с умыв. Океан</v>
      </c>
      <c r="H5138">
        <f>VLOOKUP(D5138,Товары!A:I,6,0)</f>
        <v>80</v>
      </c>
      <c r="I5138" t="str">
        <f>VLOOKUP(C5138,Магазины!A:C,3,0)</f>
        <v>Набережные Челны</v>
      </c>
      <c r="J5138">
        <f>VLOOKUP(D5138,Товары!A:I,4,0)</f>
        <v>25860</v>
      </c>
      <c r="K5138">
        <f t="shared" si="80"/>
        <v>25860</v>
      </c>
    </row>
    <row r="5139" spans="1:11" hidden="1" x14ac:dyDescent="0.25">
      <c r="A5139">
        <v>5138</v>
      </c>
      <c r="B5139" s="1">
        <v>45750</v>
      </c>
      <c r="C5139" t="s">
        <v>11</v>
      </c>
      <c r="D5139" t="s">
        <v>114</v>
      </c>
      <c r="E5139" t="s">
        <v>13</v>
      </c>
      <c r="F5139">
        <v>2</v>
      </c>
      <c r="G5139" t="str">
        <f>VLOOKUP(D5139,Товары!A:I,3,0)</f>
        <v>Тумба с раковиной  навес. Альба 700 мята 2 ящика с умыв. Слим</v>
      </c>
      <c r="H5139">
        <f>VLOOKUP(D5139,Товары!A:I,6,0)</f>
        <v>60</v>
      </c>
      <c r="I5139" t="str">
        <f>VLOOKUP(C5139,Магазины!A:C,3,0)</f>
        <v>Кемерово</v>
      </c>
      <c r="J5139">
        <f>VLOOKUP(D5139,Товары!A:I,4,0)</f>
        <v>25095</v>
      </c>
      <c r="K5139">
        <f t="shared" si="80"/>
        <v>50190</v>
      </c>
    </row>
    <row r="5140" spans="1:11" hidden="1" x14ac:dyDescent="0.25">
      <c r="A5140">
        <v>5139</v>
      </c>
      <c r="B5140" s="1">
        <v>45755</v>
      </c>
      <c r="C5140" t="s">
        <v>92</v>
      </c>
      <c r="D5140" t="s">
        <v>125</v>
      </c>
      <c r="E5140" t="s">
        <v>13</v>
      </c>
      <c r="F5140">
        <v>1</v>
      </c>
      <c r="G5140" t="str">
        <f>VLOOKUP(D5140,Товары!A:I,3,0)</f>
        <v>Зеркальный шкаф Сохо 60 белый со светильником правый цвет Белый глянец</v>
      </c>
      <c r="H5140">
        <f>VLOOKUP(D5140,Товары!A:I,6,0)</f>
        <v>75</v>
      </c>
      <c r="I5140" t="str">
        <f>VLOOKUP(C5140,Магазины!A:C,3,0)</f>
        <v>Кемерово</v>
      </c>
      <c r="J5140">
        <f>VLOOKUP(D5140,Товары!A:I,4,0)</f>
        <v>7395</v>
      </c>
      <c r="K5140">
        <f t="shared" si="80"/>
        <v>7395</v>
      </c>
    </row>
    <row r="5141" spans="1:11" hidden="1" x14ac:dyDescent="0.25">
      <c r="A5141">
        <v>5140</v>
      </c>
      <c r="B5141" s="1">
        <v>45756</v>
      </c>
      <c r="C5141" t="s">
        <v>20</v>
      </c>
      <c r="D5141" t="s">
        <v>56</v>
      </c>
      <c r="E5141" t="s">
        <v>8</v>
      </c>
      <c r="F5141">
        <v>2</v>
      </c>
      <c r="G5141" t="str">
        <f>VLOOKUP(D5141,Товары!A:I,3,0)</f>
        <v>Зеркальный шкаф Альба 80 со светильником правый цвет мята</v>
      </c>
      <c r="H5141">
        <f>VLOOKUP(D5141,Товары!A:I,6,0)</f>
        <v>75</v>
      </c>
      <c r="I5141" t="str">
        <f>VLOOKUP(C5141,Магазины!A:C,3,0)</f>
        <v>Оренбург</v>
      </c>
      <c r="J5141">
        <f>VLOOKUP(D5141,Товары!A:I,4,0)</f>
        <v>9930</v>
      </c>
      <c r="K5141">
        <f t="shared" si="80"/>
        <v>19860</v>
      </c>
    </row>
    <row r="5142" spans="1:11" hidden="1" x14ac:dyDescent="0.25">
      <c r="A5142">
        <v>5141</v>
      </c>
      <c r="B5142" s="1">
        <v>45750</v>
      </c>
      <c r="C5142" t="s">
        <v>18</v>
      </c>
      <c r="D5142" t="s">
        <v>77</v>
      </c>
      <c r="E5142" t="s">
        <v>13</v>
      </c>
      <c r="F5142">
        <v>2</v>
      </c>
      <c r="G5142" t="str">
        <f>VLOOKUP(D5142,Товары!A:I,3,0)</f>
        <v>Тумба с раковиной  напол. Куба Риф 600 белый 2 ящика с умыв. Como</v>
      </c>
      <c r="H5142">
        <f>VLOOKUP(D5142,Товары!A:I,6,0)</f>
        <v>85</v>
      </c>
      <c r="I5142" t="str">
        <f>VLOOKUP(C5142,Магазины!A:C,3,0)</f>
        <v>Набережные Челны</v>
      </c>
      <c r="J5142">
        <f>VLOOKUP(D5142,Товары!A:I,4,0)</f>
        <v>15660</v>
      </c>
      <c r="K5142">
        <f t="shared" si="80"/>
        <v>31320</v>
      </c>
    </row>
    <row r="5143" spans="1:11" hidden="1" x14ac:dyDescent="0.25">
      <c r="A5143">
        <v>5142</v>
      </c>
      <c r="B5143" s="1">
        <v>45753</v>
      </c>
      <c r="C5143" t="s">
        <v>22</v>
      </c>
      <c r="D5143" t="s">
        <v>106</v>
      </c>
      <c r="E5143" t="s">
        <v>8</v>
      </c>
      <c r="F5143">
        <v>2</v>
      </c>
      <c r="G5143" t="str">
        <f>VLOOKUP(D5143,Товары!A:I,3,0)</f>
        <v>Тумба с раковиной  навес. Кристалл 700 шато азур 2 ящика с умыв. Слим</v>
      </c>
      <c r="H5143">
        <f>VLOOKUP(D5143,Товары!A:I,6,0)</f>
        <v>60</v>
      </c>
      <c r="I5143" t="str">
        <f>VLOOKUP(C5143,Магазины!A:C,3,0)</f>
        <v>Кемерово</v>
      </c>
      <c r="J5143">
        <f>VLOOKUP(D5143,Товары!A:I,4,0)</f>
        <v>24150</v>
      </c>
      <c r="K5143">
        <f t="shared" si="80"/>
        <v>48300</v>
      </c>
    </row>
    <row r="5144" spans="1:11" hidden="1" x14ac:dyDescent="0.25">
      <c r="A5144">
        <v>5143</v>
      </c>
      <c r="B5144" s="1">
        <v>45750</v>
      </c>
      <c r="C5144" t="s">
        <v>63</v>
      </c>
      <c r="D5144" t="s">
        <v>127</v>
      </c>
      <c r="E5144" t="s">
        <v>8</v>
      </c>
      <c r="F5144">
        <v>1</v>
      </c>
      <c r="G5144" t="str">
        <f>VLOOKUP(D5144,Товары!A:I,3,0)</f>
        <v>Тумба с раковиной  навес. Альба 700 мята 1 ящик с умыв. Слим</v>
      </c>
      <c r="H5144">
        <f>VLOOKUP(D5144,Товары!A:I,6,0)</f>
        <v>45</v>
      </c>
      <c r="I5144" t="str">
        <f>VLOOKUP(C5144,Магазины!A:C,3,0)</f>
        <v>Ставрополь</v>
      </c>
      <c r="J5144">
        <f>VLOOKUP(D5144,Товары!A:I,4,0)</f>
        <v>20130</v>
      </c>
      <c r="K5144">
        <f t="shared" si="80"/>
        <v>20130</v>
      </c>
    </row>
    <row r="5145" spans="1:11" hidden="1" x14ac:dyDescent="0.25">
      <c r="A5145">
        <v>5144</v>
      </c>
      <c r="B5145" s="1">
        <v>45757</v>
      </c>
      <c r="C5145" t="s">
        <v>43</v>
      </c>
      <c r="D5145" t="s">
        <v>72</v>
      </c>
      <c r="E5145" t="s">
        <v>13</v>
      </c>
      <c r="F5145">
        <v>2</v>
      </c>
      <c r="G5145" t="str">
        <f>VLOOKUP(D5145,Товары!A:I,3,0)</f>
        <v>Тумба с раковиной  напол. Сохо 600 белый 2 ящика с умыв. Океан</v>
      </c>
      <c r="H5145">
        <f>VLOOKUP(D5145,Товары!A:I,6,0)</f>
        <v>85</v>
      </c>
      <c r="I5145" t="str">
        <f>VLOOKUP(C5145,Магазины!A:C,3,0)</f>
        <v>Набережные Челны</v>
      </c>
      <c r="J5145">
        <f>VLOOKUP(D5145,Товары!A:I,4,0)</f>
        <v>16140</v>
      </c>
      <c r="K5145">
        <f t="shared" si="80"/>
        <v>32280</v>
      </c>
    </row>
    <row r="5146" spans="1:11" hidden="1" x14ac:dyDescent="0.25">
      <c r="A5146">
        <v>5145</v>
      </c>
      <c r="B5146" s="1">
        <v>45751</v>
      </c>
      <c r="C5146" t="s">
        <v>43</v>
      </c>
      <c r="D5146" t="s">
        <v>31</v>
      </c>
      <c r="E5146" t="s">
        <v>13</v>
      </c>
      <c r="F5146">
        <v>1</v>
      </c>
      <c r="G5146" t="str">
        <f>VLOOKUP(D5146,Товары!A:I,3,0)</f>
        <v>Пенал напол. Виктория 350 белый 2 двери</v>
      </c>
      <c r="H5146">
        <f>VLOOKUP(D5146,Товары!A:I,6,0)</f>
        <v>190</v>
      </c>
      <c r="I5146" t="str">
        <f>VLOOKUP(C5146,Магазины!A:C,3,0)</f>
        <v>Набережные Челны</v>
      </c>
      <c r="J5146">
        <f>VLOOKUP(D5146,Товары!A:I,4,0)</f>
        <v>14085</v>
      </c>
      <c r="K5146">
        <f t="shared" si="80"/>
        <v>14085</v>
      </c>
    </row>
    <row r="5147" spans="1:11" hidden="1" x14ac:dyDescent="0.25">
      <c r="A5147">
        <v>5146</v>
      </c>
      <c r="B5147" s="1">
        <v>45750</v>
      </c>
      <c r="C5147" t="s">
        <v>28</v>
      </c>
      <c r="D5147" t="s">
        <v>112</v>
      </c>
      <c r="E5147" t="s">
        <v>13</v>
      </c>
      <c r="F5147">
        <v>2</v>
      </c>
      <c r="G5147" t="str">
        <f>VLOOKUP(D5147,Товары!A:I,3,0)</f>
        <v>Тумба с раковиной  напол. Аква 560 белый 2 двери с умыв. Уют</v>
      </c>
      <c r="H5147">
        <f>VLOOKUP(D5147,Товары!A:I,6,0)</f>
        <v>85</v>
      </c>
      <c r="I5147" t="str">
        <f>VLOOKUP(C5147,Магазины!A:C,3,0)</f>
        <v>Набережные Челны</v>
      </c>
      <c r="J5147">
        <f>VLOOKUP(D5147,Товары!A:I,4,0)</f>
        <v>9330</v>
      </c>
      <c r="K5147">
        <f t="shared" si="80"/>
        <v>18660</v>
      </c>
    </row>
    <row r="5148" spans="1:11" hidden="1" x14ac:dyDescent="0.25">
      <c r="A5148">
        <v>5147</v>
      </c>
      <c r="B5148" s="1">
        <v>45756</v>
      </c>
      <c r="C5148" t="s">
        <v>41</v>
      </c>
      <c r="D5148" t="s">
        <v>29</v>
      </c>
      <c r="E5148" t="s">
        <v>8</v>
      </c>
      <c r="F5148">
        <v>2</v>
      </c>
      <c r="G5148" t="str">
        <f>VLOOKUP(D5148,Товары!A:I,3,0)</f>
        <v>Тумба с раковиной  напол. Леон Риф 600 солярис/белый риф 2 ящика с умыв. Океан</v>
      </c>
      <c r="H5148">
        <f>VLOOKUP(D5148,Товары!A:I,6,0)</f>
        <v>80</v>
      </c>
      <c r="I5148" t="str">
        <f>VLOOKUP(C5148,Магазины!A:C,3,0)</f>
        <v>Ставрополь</v>
      </c>
      <c r="J5148">
        <f>VLOOKUP(D5148,Товары!A:I,4,0)</f>
        <v>24150</v>
      </c>
      <c r="K5148">
        <f t="shared" si="80"/>
        <v>48300</v>
      </c>
    </row>
    <row r="5149" spans="1:11" hidden="1" x14ac:dyDescent="0.25">
      <c r="A5149">
        <v>5148</v>
      </c>
      <c r="B5149" s="1">
        <v>45756</v>
      </c>
      <c r="C5149" t="s">
        <v>41</v>
      </c>
      <c r="D5149" t="s">
        <v>65</v>
      </c>
      <c r="E5149" t="s">
        <v>8</v>
      </c>
      <c r="F5149">
        <v>1</v>
      </c>
      <c r="G5149" t="str">
        <f>VLOOKUP(D5149,Товары!A:I,3,0)</f>
        <v>Тумба с раковиной  навес. Альба 800 суфле 2 ящика с умыв. Слим</v>
      </c>
      <c r="H5149">
        <f>VLOOKUP(D5149,Товары!A:I,6,0)</f>
        <v>50</v>
      </c>
      <c r="I5149" t="str">
        <f>VLOOKUP(C5149,Магазины!A:C,3,0)</f>
        <v>Ставрополь</v>
      </c>
      <c r="J5149">
        <f>VLOOKUP(D5149,Товары!A:I,4,0)</f>
        <v>26070</v>
      </c>
      <c r="K5149">
        <f t="shared" si="80"/>
        <v>26070</v>
      </c>
    </row>
    <row r="5150" spans="1:11" hidden="1" x14ac:dyDescent="0.25">
      <c r="A5150">
        <v>5149</v>
      </c>
      <c r="B5150" s="1">
        <v>45749</v>
      </c>
      <c r="C5150" t="s">
        <v>35</v>
      </c>
      <c r="D5150" t="s">
        <v>76</v>
      </c>
      <c r="E5150" t="s">
        <v>8</v>
      </c>
      <c r="F5150">
        <v>1</v>
      </c>
      <c r="G5150" t="str">
        <f>VLOOKUP(D5150,Товары!A:I,3,0)</f>
        <v>Тумба с раковиной  напол. Леон 600 оникс 2 ящика с умыв. Слим</v>
      </c>
      <c r="H5150">
        <f>VLOOKUP(D5150,Товары!A:I,6,0)</f>
        <v>80</v>
      </c>
      <c r="I5150" t="str">
        <f>VLOOKUP(C5150,Магазины!A:C,3,0)</f>
        <v>Набережные Челны</v>
      </c>
      <c r="J5150">
        <f>VLOOKUP(D5150,Товары!A:I,4,0)</f>
        <v>25860</v>
      </c>
      <c r="K5150">
        <f t="shared" si="80"/>
        <v>25860</v>
      </c>
    </row>
    <row r="5151" spans="1:11" hidden="1" x14ac:dyDescent="0.25">
      <c r="A5151">
        <v>5150</v>
      </c>
      <c r="B5151" s="1">
        <v>45750</v>
      </c>
      <c r="C5151" t="s">
        <v>57</v>
      </c>
      <c r="D5151" t="s">
        <v>122</v>
      </c>
      <c r="E5151" t="s">
        <v>8</v>
      </c>
      <c r="F5151">
        <v>1</v>
      </c>
      <c r="G5151" t="str">
        <f>VLOOKUP(D5151,Товары!A:I,3,0)</f>
        <v>Тумба с раковиной  навес. Кристалл 600 шато азур 2 ящика с умыв. Океан</v>
      </c>
      <c r="H5151">
        <f>VLOOKUP(D5151,Товары!A:I,6,0)</f>
        <v>55</v>
      </c>
      <c r="I5151" t="str">
        <f>VLOOKUP(C5151,Магазины!A:C,3,0)</f>
        <v>Оренбург</v>
      </c>
      <c r="J5151">
        <f>VLOOKUP(D5151,Товары!A:I,4,0)</f>
        <v>21960</v>
      </c>
      <c r="K5151">
        <f t="shared" si="80"/>
        <v>21960</v>
      </c>
    </row>
    <row r="5152" spans="1:11" hidden="1" x14ac:dyDescent="0.25">
      <c r="A5152">
        <v>5151</v>
      </c>
      <c r="B5152" s="1">
        <v>45754</v>
      </c>
      <c r="C5152" t="s">
        <v>6</v>
      </c>
      <c r="D5152" t="s">
        <v>29</v>
      </c>
      <c r="E5152" t="s">
        <v>8</v>
      </c>
      <c r="F5152">
        <v>1</v>
      </c>
      <c r="G5152" t="str">
        <f>VLOOKUP(D5152,Товары!A:I,3,0)</f>
        <v>Тумба с раковиной  напол. Леон Риф 600 солярис/белый риф 2 ящика с умыв. Океан</v>
      </c>
      <c r="H5152">
        <f>VLOOKUP(D5152,Товары!A:I,6,0)</f>
        <v>80</v>
      </c>
      <c r="I5152" t="str">
        <f>VLOOKUP(C5152,Магазины!A:C,3,0)</f>
        <v>Оренбург</v>
      </c>
      <c r="J5152">
        <f>VLOOKUP(D5152,Товары!A:I,4,0)</f>
        <v>24150</v>
      </c>
      <c r="K5152">
        <f t="shared" si="80"/>
        <v>24150</v>
      </c>
    </row>
    <row r="5153" spans="1:11" hidden="1" x14ac:dyDescent="0.25">
      <c r="A5153">
        <v>5152</v>
      </c>
      <c r="B5153" s="1">
        <v>45749</v>
      </c>
      <c r="C5153" t="s">
        <v>48</v>
      </c>
      <c r="D5153" t="s">
        <v>36</v>
      </c>
      <c r="E5153" t="s">
        <v>8</v>
      </c>
      <c r="F5153">
        <v>1</v>
      </c>
      <c r="G5153" t="str">
        <f>VLOOKUP(D5153,Товары!A:I,3,0)</f>
        <v>Тумба с раковиной  напол. Альба 800 мята 2 ящика с умыв. Слим</v>
      </c>
      <c r="H5153">
        <f>VLOOKUP(D5153,Товары!A:I,6,0)</f>
        <v>80</v>
      </c>
      <c r="I5153" t="str">
        <f>VLOOKUP(C5153,Магазины!A:C,3,0)</f>
        <v>Ставрополь</v>
      </c>
      <c r="J5153">
        <f>VLOOKUP(D5153,Товары!A:I,4,0)</f>
        <v>29340</v>
      </c>
      <c r="K5153">
        <f t="shared" si="80"/>
        <v>29340</v>
      </c>
    </row>
    <row r="5154" spans="1:11" hidden="1" x14ac:dyDescent="0.25">
      <c r="A5154">
        <v>5153</v>
      </c>
      <c r="B5154" s="1">
        <v>45751</v>
      </c>
      <c r="C5154" t="s">
        <v>18</v>
      </c>
      <c r="D5154" t="s">
        <v>78</v>
      </c>
      <c r="E5154" t="s">
        <v>13</v>
      </c>
      <c r="F5154">
        <v>2</v>
      </c>
      <c r="G5154" t="str">
        <f>VLOOKUP(D5154,Товары!A:I,3,0)</f>
        <v>Зеркальный шкаф Кристалл 70 со светильником правый, ручка кнопка дуб цвет Шато Азур</v>
      </c>
      <c r="H5154">
        <f>VLOOKUP(D5154,Товары!A:I,6,0)</f>
        <v>75</v>
      </c>
      <c r="I5154" t="str">
        <f>VLOOKUP(C5154,Магазины!A:C,3,0)</f>
        <v>Набережные Челны</v>
      </c>
      <c r="J5154">
        <f>VLOOKUP(D5154,Товары!A:I,4,0)</f>
        <v>9615</v>
      </c>
      <c r="K5154">
        <f t="shared" si="80"/>
        <v>19230</v>
      </c>
    </row>
    <row r="5155" spans="1:11" hidden="1" x14ac:dyDescent="0.25">
      <c r="A5155">
        <v>5154</v>
      </c>
      <c r="B5155" s="1">
        <v>45756</v>
      </c>
      <c r="C5155" t="s">
        <v>26</v>
      </c>
      <c r="D5155" t="s">
        <v>90</v>
      </c>
      <c r="E5155" t="s">
        <v>8</v>
      </c>
      <c r="F5155">
        <v>2</v>
      </c>
      <c r="G5155" t="str">
        <f>VLOOKUP(D5155,Товары!A:I,3,0)</f>
        <v>Пенал напол. Аква 350 белый 2 двери + 2 ящика</v>
      </c>
      <c r="H5155">
        <f>VLOOKUP(D5155,Товары!A:I,6,0)</f>
        <v>190</v>
      </c>
      <c r="I5155" t="str">
        <f>VLOOKUP(C5155,Магазины!A:C,3,0)</f>
        <v>Оренбург</v>
      </c>
      <c r="J5155">
        <f>VLOOKUP(D5155,Товары!A:I,4,0)</f>
        <v>10650</v>
      </c>
      <c r="K5155">
        <f t="shared" si="80"/>
        <v>21300</v>
      </c>
    </row>
    <row r="5156" spans="1:11" hidden="1" x14ac:dyDescent="0.25">
      <c r="A5156">
        <v>5155</v>
      </c>
      <c r="B5156" s="1">
        <v>45757</v>
      </c>
      <c r="C5156" t="s">
        <v>28</v>
      </c>
      <c r="D5156" t="s">
        <v>104</v>
      </c>
      <c r="E5156" t="s">
        <v>8</v>
      </c>
      <c r="F5156">
        <v>1</v>
      </c>
      <c r="G5156" t="str">
        <f>VLOOKUP(D5156,Товары!A:I,3,0)</f>
        <v>Тумба под стиральную машину Куба Риф 57 подвесная 2 ящика под ст/маш, без умывальника /под Marshall 120 Белый</v>
      </c>
      <c r="H5156">
        <f>VLOOKUP(D5156,Товары!A:I,6,0)</f>
        <v>50</v>
      </c>
      <c r="I5156" t="str">
        <f>VLOOKUP(C5156,Магазины!A:C,3,0)</f>
        <v>Набережные Челны</v>
      </c>
      <c r="J5156">
        <f>VLOOKUP(D5156,Товары!A:I,4,0)</f>
        <v>8505</v>
      </c>
      <c r="K5156">
        <f t="shared" si="80"/>
        <v>8505</v>
      </c>
    </row>
    <row r="5157" spans="1:11" hidden="1" x14ac:dyDescent="0.25">
      <c r="A5157">
        <v>5156</v>
      </c>
      <c r="B5157" s="1">
        <v>45755</v>
      </c>
      <c r="C5157" t="s">
        <v>111</v>
      </c>
      <c r="D5157" t="s">
        <v>80</v>
      </c>
      <c r="E5157" t="s">
        <v>13</v>
      </c>
      <c r="F5157">
        <v>1</v>
      </c>
      <c r="G5157" t="str">
        <f>VLOOKUP(D5157,Товары!A:I,3,0)</f>
        <v>Тумба с раковиной  навес. Сохо 600 белый 2 ящика с умыв. Океан</v>
      </c>
      <c r="H5157">
        <f>VLOOKUP(D5157,Товары!A:I,6,0)</f>
        <v>55</v>
      </c>
      <c r="I5157" t="str">
        <f>VLOOKUP(C5157,Магазины!A:C,3,0)</f>
        <v>Набережные Челны</v>
      </c>
      <c r="J5157">
        <f>VLOOKUP(D5157,Товары!A:I,4,0)</f>
        <v>13950</v>
      </c>
      <c r="K5157">
        <f t="shared" si="80"/>
        <v>13950</v>
      </c>
    </row>
    <row r="5158" spans="1:11" hidden="1" x14ac:dyDescent="0.25">
      <c r="A5158">
        <v>5157</v>
      </c>
      <c r="B5158" s="1">
        <v>45754</v>
      </c>
      <c r="C5158" t="s">
        <v>28</v>
      </c>
      <c r="D5158" t="s">
        <v>12</v>
      </c>
      <c r="E5158" t="s">
        <v>8</v>
      </c>
      <c r="F5158">
        <v>3</v>
      </c>
      <c r="G5158" t="str">
        <f>VLOOKUP(D5158,Товары!A:I,3,0)</f>
        <v>Тумба с раковиной  напол. Сохо 700 белый 2 двери с умыв. Слим</v>
      </c>
      <c r="H5158">
        <f>VLOOKUP(D5158,Товары!A:I,6,0)</f>
        <v>85</v>
      </c>
      <c r="I5158" t="str">
        <f>VLOOKUP(C5158,Магазины!A:C,3,0)</f>
        <v>Набережные Челны</v>
      </c>
      <c r="J5158">
        <f>VLOOKUP(D5158,Товары!A:I,4,0)</f>
        <v>17160</v>
      </c>
      <c r="K5158">
        <f t="shared" si="80"/>
        <v>51480</v>
      </c>
    </row>
    <row r="5159" spans="1:11" hidden="1" x14ac:dyDescent="0.25">
      <c r="A5159">
        <v>5158</v>
      </c>
      <c r="B5159" s="1">
        <v>45757</v>
      </c>
      <c r="C5159" t="s">
        <v>33</v>
      </c>
      <c r="D5159" t="s">
        <v>106</v>
      </c>
      <c r="E5159" t="s">
        <v>13</v>
      </c>
      <c r="F5159">
        <v>3</v>
      </c>
      <c r="G5159" t="str">
        <f>VLOOKUP(D5159,Товары!A:I,3,0)</f>
        <v>Тумба с раковиной  навес. Кристалл 700 шато азур 2 ящика с умыв. Слим</v>
      </c>
      <c r="H5159">
        <f>VLOOKUP(D5159,Товары!A:I,6,0)</f>
        <v>60</v>
      </c>
      <c r="I5159" t="str">
        <f>VLOOKUP(C5159,Магазины!A:C,3,0)</f>
        <v>Набережные Челны</v>
      </c>
      <c r="J5159">
        <f>VLOOKUP(D5159,Товары!A:I,4,0)</f>
        <v>24150</v>
      </c>
      <c r="K5159">
        <f t="shared" si="80"/>
        <v>72450</v>
      </c>
    </row>
    <row r="5160" spans="1:11" hidden="1" x14ac:dyDescent="0.25">
      <c r="A5160">
        <v>5159</v>
      </c>
      <c r="B5160" s="1">
        <v>45754</v>
      </c>
      <c r="C5160" t="s">
        <v>63</v>
      </c>
      <c r="D5160" t="s">
        <v>104</v>
      </c>
      <c r="E5160" t="s">
        <v>13</v>
      </c>
      <c r="F5160">
        <v>2</v>
      </c>
      <c r="G5160" t="str">
        <f>VLOOKUP(D5160,Товары!A:I,3,0)</f>
        <v>Тумба под стиральную машину Куба Риф 57 подвесная 2 ящика под ст/маш, без умывальника /под Marshall 120 Белый</v>
      </c>
      <c r="H5160">
        <f>VLOOKUP(D5160,Товары!A:I,6,0)</f>
        <v>50</v>
      </c>
      <c r="I5160" t="str">
        <f>VLOOKUP(C5160,Магазины!A:C,3,0)</f>
        <v>Ставрополь</v>
      </c>
      <c r="J5160">
        <f>VLOOKUP(D5160,Товары!A:I,4,0)</f>
        <v>8505</v>
      </c>
      <c r="K5160">
        <f t="shared" si="80"/>
        <v>17010</v>
      </c>
    </row>
    <row r="5161" spans="1:11" hidden="1" x14ac:dyDescent="0.25">
      <c r="A5161">
        <v>5160</v>
      </c>
      <c r="B5161" s="1">
        <v>45756</v>
      </c>
      <c r="C5161" t="s">
        <v>43</v>
      </c>
      <c r="D5161" t="s">
        <v>124</v>
      </c>
      <c r="E5161" t="s">
        <v>13</v>
      </c>
      <c r="F5161">
        <v>1</v>
      </c>
      <c r="G5161" t="str">
        <f>VLOOKUP(D5161,Товары!A:I,3,0)</f>
        <v>Тумба с раковиной  напол. Леон 600 оникс 2 ящика с умыв. Океан</v>
      </c>
      <c r="H5161">
        <f>VLOOKUP(D5161,Товары!A:I,6,0)</f>
        <v>80</v>
      </c>
      <c r="I5161" t="str">
        <f>VLOOKUP(C5161,Магазины!A:C,3,0)</f>
        <v>Набережные Челны</v>
      </c>
      <c r="J5161">
        <f>VLOOKUP(D5161,Товары!A:I,4,0)</f>
        <v>25860</v>
      </c>
      <c r="K5161">
        <f t="shared" si="80"/>
        <v>25860</v>
      </c>
    </row>
    <row r="5162" spans="1:11" hidden="1" x14ac:dyDescent="0.25">
      <c r="A5162">
        <v>5161</v>
      </c>
      <c r="B5162" s="1">
        <v>45753</v>
      </c>
      <c r="C5162" t="s">
        <v>22</v>
      </c>
      <c r="D5162" t="s">
        <v>121</v>
      </c>
      <c r="E5162" t="s">
        <v>8</v>
      </c>
      <c r="F5162">
        <v>3</v>
      </c>
      <c r="G5162" t="str">
        <f>VLOOKUP(D5162,Товары!A:I,3,0)</f>
        <v>Тумба с раковиной  напол. Куба Риф 600 белый 2 двери с умыв. Como</v>
      </c>
      <c r="H5162">
        <f>VLOOKUP(D5162,Товары!A:I,6,0)</f>
        <v>85</v>
      </c>
      <c r="I5162" t="str">
        <f>VLOOKUP(C5162,Магазины!A:C,3,0)</f>
        <v>Кемерово</v>
      </c>
      <c r="J5162">
        <f>VLOOKUP(D5162,Товары!A:I,4,0)</f>
        <v>13695</v>
      </c>
      <c r="K5162">
        <f t="shared" si="80"/>
        <v>41085</v>
      </c>
    </row>
    <row r="5163" spans="1:11" hidden="1" x14ac:dyDescent="0.25">
      <c r="A5163">
        <v>5162</v>
      </c>
      <c r="B5163" s="1">
        <v>45751</v>
      </c>
      <c r="C5163" t="s">
        <v>54</v>
      </c>
      <c r="D5163" t="s">
        <v>112</v>
      </c>
      <c r="E5163" t="s">
        <v>13</v>
      </c>
      <c r="F5163">
        <v>3</v>
      </c>
      <c r="G5163" t="str">
        <f>VLOOKUP(D5163,Товары!A:I,3,0)</f>
        <v>Тумба с раковиной  напол. Аква 560 белый 2 двери с умыв. Уют</v>
      </c>
      <c r="H5163">
        <f>VLOOKUP(D5163,Товары!A:I,6,0)</f>
        <v>85</v>
      </c>
      <c r="I5163" t="str">
        <f>VLOOKUP(C5163,Магазины!A:C,3,0)</f>
        <v>Ставрополь</v>
      </c>
      <c r="J5163">
        <f>VLOOKUP(D5163,Товары!A:I,4,0)</f>
        <v>9330</v>
      </c>
      <c r="K5163">
        <f t="shared" si="80"/>
        <v>27990</v>
      </c>
    </row>
    <row r="5164" spans="1:11" hidden="1" x14ac:dyDescent="0.25">
      <c r="A5164">
        <v>5163</v>
      </c>
      <c r="B5164" s="1">
        <v>45750</v>
      </c>
      <c r="C5164" t="s">
        <v>57</v>
      </c>
      <c r="D5164" t="s">
        <v>36</v>
      </c>
      <c r="E5164" t="s">
        <v>8</v>
      </c>
      <c r="F5164">
        <v>1</v>
      </c>
      <c r="G5164" t="str">
        <f>VLOOKUP(D5164,Товары!A:I,3,0)</f>
        <v>Тумба с раковиной  напол. Альба 800 мята 2 ящика с умыв. Слим</v>
      </c>
      <c r="H5164">
        <f>VLOOKUP(D5164,Товары!A:I,6,0)</f>
        <v>80</v>
      </c>
      <c r="I5164" t="str">
        <f>VLOOKUP(C5164,Магазины!A:C,3,0)</f>
        <v>Оренбург</v>
      </c>
      <c r="J5164">
        <f>VLOOKUP(D5164,Товары!A:I,4,0)</f>
        <v>29340</v>
      </c>
      <c r="K5164">
        <f t="shared" si="80"/>
        <v>29340</v>
      </c>
    </row>
    <row r="5165" spans="1:11" hidden="1" x14ac:dyDescent="0.25">
      <c r="A5165">
        <v>5164</v>
      </c>
      <c r="B5165" s="1">
        <v>45749</v>
      </c>
      <c r="C5165" t="s">
        <v>26</v>
      </c>
      <c r="D5165" t="s">
        <v>84</v>
      </c>
      <c r="E5165" t="s">
        <v>13</v>
      </c>
      <c r="F5165">
        <v>2</v>
      </c>
      <c r="G5165" t="str">
        <f>VLOOKUP(D5165,Товары!A:I,3,0)</f>
        <v>Тумба с раковиной  напол. Куба Риф 800 белый 3 двери с умыв. Слим</v>
      </c>
      <c r="H5165">
        <f>VLOOKUP(D5165,Товары!A:I,6,0)</f>
        <v>85</v>
      </c>
      <c r="I5165" t="str">
        <f>VLOOKUP(C5165,Магазины!A:C,3,0)</f>
        <v>Оренбург</v>
      </c>
      <c r="J5165">
        <f>VLOOKUP(D5165,Товары!A:I,4,0)</f>
        <v>19920</v>
      </c>
      <c r="K5165">
        <f t="shared" si="80"/>
        <v>39840</v>
      </c>
    </row>
    <row r="5166" spans="1:11" hidden="1" x14ac:dyDescent="0.25">
      <c r="A5166">
        <v>5165</v>
      </c>
      <c r="B5166" s="1">
        <v>45748</v>
      </c>
      <c r="C5166" t="s">
        <v>11</v>
      </c>
      <c r="D5166" t="s">
        <v>117</v>
      </c>
      <c r="E5166" t="s">
        <v>13</v>
      </c>
      <c r="F5166">
        <v>2</v>
      </c>
      <c r="G5166" t="str">
        <f>VLOOKUP(D5166,Товары!A:I,3,0)</f>
        <v>Тумба с раковиной  навес. Альба 700 антрацит 2 ящика с умыв. Слим</v>
      </c>
      <c r="H5166">
        <f>VLOOKUP(D5166,Товары!A:I,6,0)</f>
        <v>60</v>
      </c>
      <c r="I5166" t="str">
        <f>VLOOKUP(C5166,Магазины!A:C,3,0)</f>
        <v>Кемерово</v>
      </c>
      <c r="J5166">
        <f>VLOOKUP(D5166,Товары!A:I,4,0)</f>
        <v>25095</v>
      </c>
      <c r="K5166">
        <f t="shared" si="80"/>
        <v>50190</v>
      </c>
    </row>
    <row r="5167" spans="1:11" hidden="1" x14ac:dyDescent="0.25">
      <c r="A5167">
        <v>5166</v>
      </c>
      <c r="B5167" s="1">
        <v>45757</v>
      </c>
      <c r="C5167" t="s">
        <v>111</v>
      </c>
      <c r="D5167" t="s">
        <v>12</v>
      </c>
      <c r="E5167" t="s">
        <v>13</v>
      </c>
      <c r="F5167">
        <v>2</v>
      </c>
      <c r="G5167" t="str">
        <f>VLOOKUP(D5167,Товары!A:I,3,0)</f>
        <v>Тумба с раковиной  напол. Сохо 700 белый 2 двери с умыв. Слим</v>
      </c>
      <c r="H5167">
        <f>VLOOKUP(D5167,Товары!A:I,6,0)</f>
        <v>85</v>
      </c>
      <c r="I5167" t="str">
        <f>VLOOKUP(C5167,Магазины!A:C,3,0)</f>
        <v>Набережные Челны</v>
      </c>
      <c r="J5167">
        <f>VLOOKUP(D5167,Товары!A:I,4,0)</f>
        <v>17160</v>
      </c>
      <c r="K5167">
        <f t="shared" si="80"/>
        <v>34320</v>
      </c>
    </row>
    <row r="5168" spans="1:11" hidden="1" x14ac:dyDescent="0.25">
      <c r="A5168">
        <v>5167</v>
      </c>
      <c r="B5168" s="1">
        <v>45753</v>
      </c>
      <c r="C5168" t="s">
        <v>28</v>
      </c>
      <c r="D5168" t="s">
        <v>51</v>
      </c>
      <c r="E5168" t="s">
        <v>8</v>
      </c>
      <c r="F5168">
        <v>2</v>
      </c>
      <c r="G5168" t="str">
        <f>VLOOKUP(D5168,Товары!A:I,3,0)</f>
        <v>Зеркальный шкаф Альба 80 со светильником правый цвет суфле</v>
      </c>
      <c r="H5168">
        <f>VLOOKUP(D5168,Товары!A:I,6,0)</f>
        <v>75</v>
      </c>
      <c r="I5168" t="str">
        <f>VLOOKUP(C5168,Магазины!A:C,3,0)</f>
        <v>Набережные Челны</v>
      </c>
      <c r="J5168">
        <f>VLOOKUP(D5168,Товары!A:I,4,0)</f>
        <v>9930</v>
      </c>
      <c r="K5168">
        <f t="shared" si="80"/>
        <v>19860</v>
      </c>
    </row>
    <row r="5169" spans="1:11" hidden="1" x14ac:dyDescent="0.25">
      <c r="A5169">
        <v>5168</v>
      </c>
      <c r="B5169" s="1">
        <v>45751</v>
      </c>
      <c r="C5169" t="s">
        <v>26</v>
      </c>
      <c r="D5169" t="s">
        <v>116</v>
      </c>
      <c r="E5169" t="s">
        <v>8</v>
      </c>
      <c r="F5169">
        <v>3</v>
      </c>
      <c r="G5169" t="str">
        <f>VLOOKUP(D5169,Товары!A:I,3,0)</f>
        <v>Зеркало Нева 60 дуб/белый со светильником</v>
      </c>
      <c r="H5169">
        <f>VLOOKUP(D5169,Товары!A:I,6,0)</f>
        <v>80</v>
      </c>
      <c r="I5169" t="str">
        <f>VLOOKUP(C5169,Магазины!A:C,3,0)</f>
        <v>Оренбург</v>
      </c>
      <c r="J5169">
        <f>VLOOKUP(D5169,Товары!A:I,4,0)</f>
        <v>5100</v>
      </c>
      <c r="K5169">
        <f t="shared" si="80"/>
        <v>15300</v>
      </c>
    </row>
    <row r="5170" spans="1:11" hidden="1" x14ac:dyDescent="0.25">
      <c r="A5170">
        <v>5169</v>
      </c>
      <c r="B5170" s="1">
        <v>45757</v>
      </c>
      <c r="C5170" t="s">
        <v>92</v>
      </c>
      <c r="D5170" t="s">
        <v>72</v>
      </c>
      <c r="E5170" t="s">
        <v>13</v>
      </c>
      <c r="F5170">
        <v>1</v>
      </c>
      <c r="G5170" t="str">
        <f>VLOOKUP(D5170,Товары!A:I,3,0)</f>
        <v>Тумба с раковиной  напол. Сохо 600 белый 2 ящика с умыв. Океан</v>
      </c>
      <c r="H5170">
        <f>VLOOKUP(D5170,Товары!A:I,6,0)</f>
        <v>85</v>
      </c>
      <c r="I5170" t="str">
        <f>VLOOKUP(C5170,Магазины!A:C,3,0)</f>
        <v>Кемерово</v>
      </c>
      <c r="J5170">
        <f>VLOOKUP(D5170,Товары!A:I,4,0)</f>
        <v>16140</v>
      </c>
      <c r="K5170">
        <f t="shared" si="80"/>
        <v>16140</v>
      </c>
    </row>
    <row r="5171" spans="1:11" hidden="1" x14ac:dyDescent="0.25">
      <c r="A5171">
        <v>5170</v>
      </c>
      <c r="B5171" s="1">
        <v>45749</v>
      </c>
      <c r="C5171" t="s">
        <v>20</v>
      </c>
      <c r="D5171" t="s">
        <v>104</v>
      </c>
      <c r="E5171" t="s">
        <v>13</v>
      </c>
      <c r="F5171">
        <v>1</v>
      </c>
      <c r="G5171" t="str">
        <f>VLOOKUP(D5171,Товары!A:I,3,0)</f>
        <v>Тумба под стиральную машину Куба Риф 57 подвесная 2 ящика под ст/маш, без умывальника /под Marshall 120 Белый</v>
      </c>
      <c r="H5171">
        <f>VLOOKUP(D5171,Товары!A:I,6,0)</f>
        <v>50</v>
      </c>
      <c r="I5171" t="str">
        <f>VLOOKUP(C5171,Магазины!A:C,3,0)</f>
        <v>Оренбург</v>
      </c>
      <c r="J5171">
        <f>VLOOKUP(D5171,Товары!A:I,4,0)</f>
        <v>8505</v>
      </c>
      <c r="K5171">
        <f t="shared" si="80"/>
        <v>8505</v>
      </c>
    </row>
    <row r="5172" spans="1:11" hidden="1" x14ac:dyDescent="0.25">
      <c r="A5172">
        <v>5171</v>
      </c>
      <c r="B5172" s="1">
        <v>45749</v>
      </c>
      <c r="C5172" t="s">
        <v>57</v>
      </c>
      <c r="D5172" t="s">
        <v>105</v>
      </c>
      <c r="E5172" t="s">
        <v>13</v>
      </c>
      <c r="F5172">
        <v>1</v>
      </c>
      <c r="G5172" t="str">
        <f>VLOOKUP(D5172,Товары!A:I,3,0)</f>
        <v>Тумба с раковиной  напол. Нева 600 белый 2 двери + 1 ящик с умыв. Como</v>
      </c>
      <c r="H5172">
        <f>VLOOKUP(D5172,Товары!A:I,6,0)</f>
        <v>80</v>
      </c>
      <c r="I5172" t="str">
        <f>VLOOKUP(C5172,Магазины!A:C,3,0)</f>
        <v>Оренбург</v>
      </c>
      <c r="J5172">
        <f>VLOOKUP(D5172,Товары!A:I,4,0)</f>
        <v>13470</v>
      </c>
      <c r="K5172">
        <f t="shared" si="80"/>
        <v>13470</v>
      </c>
    </row>
    <row r="5173" spans="1:11" hidden="1" x14ac:dyDescent="0.25">
      <c r="A5173">
        <v>5172</v>
      </c>
      <c r="B5173" s="1">
        <v>45756</v>
      </c>
      <c r="C5173" t="s">
        <v>41</v>
      </c>
      <c r="D5173" t="s">
        <v>109</v>
      </c>
      <c r="E5173" t="s">
        <v>13</v>
      </c>
      <c r="F5173">
        <v>1</v>
      </c>
      <c r="G5173" t="str">
        <f>VLOOKUP(D5173,Товары!A:I,3,0)</f>
        <v>Тумба с раковиной  навес. Альба 600 антрацит 2 ящика с умыв. Океан</v>
      </c>
      <c r="H5173">
        <f>VLOOKUP(D5173,Товары!A:I,6,0)</f>
        <v>50</v>
      </c>
      <c r="I5173" t="str">
        <f>VLOOKUP(C5173,Магазины!A:C,3,0)</f>
        <v>Ставрополь</v>
      </c>
      <c r="J5173">
        <f>VLOOKUP(D5173,Товары!A:I,4,0)</f>
        <v>24810</v>
      </c>
      <c r="K5173">
        <f t="shared" si="80"/>
        <v>24810</v>
      </c>
    </row>
    <row r="5174" spans="1:11" hidden="1" x14ac:dyDescent="0.25">
      <c r="A5174">
        <v>5173</v>
      </c>
      <c r="B5174" s="1">
        <v>45756</v>
      </c>
      <c r="C5174" t="s">
        <v>63</v>
      </c>
      <c r="D5174" t="s">
        <v>85</v>
      </c>
      <c r="E5174" t="s">
        <v>13</v>
      </c>
      <c r="F5174">
        <v>3</v>
      </c>
      <c r="G5174" t="str">
        <f>VLOOKUP(D5174,Товары!A:I,3,0)</f>
        <v>Пенал напол. Аква 450 белый 2 двери + 2 ящика + корзина</v>
      </c>
      <c r="H5174">
        <f>VLOOKUP(D5174,Товары!A:I,6,0)</f>
        <v>190</v>
      </c>
      <c r="I5174" t="str">
        <f>VLOOKUP(C5174,Магазины!A:C,3,0)</f>
        <v>Ставрополь</v>
      </c>
      <c r="J5174">
        <f>VLOOKUP(D5174,Товары!A:I,4,0)</f>
        <v>13335</v>
      </c>
      <c r="K5174">
        <f t="shared" si="80"/>
        <v>40005</v>
      </c>
    </row>
    <row r="5175" spans="1:11" hidden="1" x14ac:dyDescent="0.25">
      <c r="A5175">
        <v>5174</v>
      </c>
      <c r="B5175" s="1">
        <v>45757</v>
      </c>
      <c r="C5175" t="s">
        <v>35</v>
      </c>
      <c r="D5175" t="s">
        <v>94</v>
      </c>
      <c r="E5175" t="s">
        <v>8</v>
      </c>
      <c r="F5175">
        <v>2</v>
      </c>
      <c r="G5175" t="str">
        <f>VLOOKUP(D5175,Товары!A:I,3,0)</f>
        <v>Зеркальный шкаф Альба 80 со светильником правый цвет антрацит</v>
      </c>
      <c r="H5175">
        <f>VLOOKUP(D5175,Товары!A:I,6,0)</f>
        <v>75</v>
      </c>
      <c r="I5175" t="str">
        <f>VLOOKUP(C5175,Магазины!A:C,3,0)</f>
        <v>Набережные Челны</v>
      </c>
      <c r="J5175">
        <f>VLOOKUP(D5175,Товары!A:I,4,0)</f>
        <v>9930</v>
      </c>
      <c r="K5175">
        <f t="shared" si="80"/>
        <v>19860</v>
      </c>
    </row>
    <row r="5176" spans="1:11" hidden="1" x14ac:dyDescent="0.25">
      <c r="A5176">
        <v>5175</v>
      </c>
      <c r="B5176" s="1">
        <v>45751</v>
      </c>
      <c r="C5176" t="s">
        <v>54</v>
      </c>
      <c r="D5176" t="s">
        <v>117</v>
      </c>
      <c r="E5176" t="s">
        <v>8</v>
      </c>
      <c r="F5176">
        <v>3</v>
      </c>
      <c r="G5176" t="str">
        <f>VLOOKUP(D5176,Товары!A:I,3,0)</f>
        <v>Тумба с раковиной  навес. Альба 700 антрацит 2 ящика с умыв. Слим</v>
      </c>
      <c r="H5176">
        <f>VLOOKUP(D5176,Товары!A:I,6,0)</f>
        <v>60</v>
      </c>
      <c r="I5176" t="str">
        <f>VLOOKUP(C5176,Магазины!A:C,3,0)</f>
        <v>Ставрополь</v>
      </c>
      <c r="J5176">
        <f>VLOOKUP(D5176,Товары!A:I,4,0)</f>
        <v>25095</v>
      </c>
      <c r="K5176">
        <f t="shared" si="80"/>
        <v>75285</v>
      </c>
    </row>
    <row r="5177" spans="1:11" hidden="1" x14ac:dyDescent="0.25">
      <c r="A5177">
        <v>5176</v>
      </c>
      <c r="B5177" s="1">
        <v>45748</v>
      </c>
      <c r="C5177" t="s">
        <v>41</v>
      </c>
      <c r="D5177" t="s">
        <v>113</v>
      </c>
      <c r="E5177" t="s">
        <v>13</v>
      </c>
      <c r="F5177">
        <v>1</v>
      </c>
      <c r="G5177" t="str">
        <f>VLOOKUP(D5177,Товары!A:I,3,0)</f>
        <v>Зеркальный шкаф Альба 60 со светильником правый цвет мята</v>
      </c>
      <c r="H5177">
        <f>VLOOKUP(D5177,Товары!A:I,6,0)</f>
        <v>75</v>
      </c>
      <c r="I5177" t="str">
        <f>VLOOKUP(C5177,Магазины!A:C,3,0)</f>
        <v>Ставрополь</v>
      </c>
      <c r="J5177">
        <f>VLOOKUP(D5177,Товары!A:I,4,0)</f>
        <v>8910</v>
      </c>
      <c r="K5177">
        <f t="shared" si="80"/>
        <v>8910</v>
      </c>
    </row>
    <row r="5178" spans="1:11" hidden="1" x14ac:dyDescent="0.25">
      <c r="A5178">
        <v>5177</v>
      </c>
      <c r="B5178" s="1">
        <v>45749</v>
      </c>
      <c r="C5178" t="s">
        <v>14</v>
      </c>
      <c r="D5178" t="s">
        <v>110</v>
      </c>
      <c r="E5178" t="s">
        <v>8</v>
      </c>
      <c r="F5178">
        <v>1</v>
      </c>
      <c r="G5178" t="str">
        <f>VLOOKUP(D5178,Товары!A:I,3,0)</f>
        <v>Тумба с раковиной  напол. Альба 600 антрацит 2 ящика с умыв. Океан</v>
      </c>
      <c r="H5178">
        <f>VLOOKUP(D5178,Товары!A:I,6,0)</f>
        <v>80</v>
      </c>
      <c r="I5178" t="str">
        <f>VLOOKUP(C5178,Магазины!A:C,3,0)</f>
        <v>Оренбург</v>
      </c>
      <c r="J5178">
        <f>VLOOKUP(D5178,Товары!A:I,4,0)</f>
        <v>26370</v>
      </c>
      <c r="K5178">
        <f t="shared" si="80"/>
        <v>26370</v>
      </c>
    </row>
    <row r="5179" spans="1:11" hidden="1" x14ac:dyDescent="0.25">
      <c r="A5179">
        <v>5178</v>
      </c>
      <c r="B5179" s="1">
        <v>45753</v>
      </c>
      <c r="C5179" t="s">
        <v>9</v>
      </c>
      <c r="D5179" t="s">
        <v>44</v>
      </c>
      <c r="E5179" t="s">
        <v>8</v>
      </c>
      <c r="F5179">
        <v>3</v>
      </c>
      <c r="G5179" t="str">
        <f>VLOOKUP(D5179,Товары!A:I,3,0)</f>
        <v>Тумба с раковиной  навес. Кристалл 800 шато азур 2 ящика с умыв. Комфорт</v>
      </c>
      <c r="H5179">
        <f>VLOOKUP(D5179,Товары!A:I,6,0)</f>
        <v>55</v>
      </c>
      <c r="I5179" t="str">
        <f>VLOOKUP(C5179,Магазины!A:C,3,0)</f>
        <v>Кемерово</v>
      </c>
      <c r="J5179">
        <f>VLOOKUP(D5179,Товары!A:I,4,0)</f>
        <v>25080</v>
      </c>
      <c r="K5179">
        <f t="shared" si="80"/>
        <v>75240</v>
      </c>
    </row>
    <row r="5180" spans="1:11" hidden="1" x14ac:dyDescent="0.25">
      <c r="A5180">
        <v>5179</v>
      </c>
      <c r="B5180" s="1">
        <v>45748</v>
      </c>
      <c r="C5180" t="s">
        <v>14</v>
      </c>
      <c r="D5180" t="s">
        <v>32</v>
      </c>
      <c r="E5180" t="s">
        <v>13</v>
      </c>
      <c r="F5180">
        <v>2</v>
      </c>
      <c r="G5180" t="str">
        <f>VLOOKUP(D5180,Товары!A:I,3,0)</f>
        <v>Тумба с раковиной  напол. Леон Риф 700 солярис/белый риф 2 ящика с умыв. Слим</v>
      </c>
      <c r="H5180">
        <f>VLOOKUP(D5180,Товары!A:I,6,0)</f>
        <v>85</v>
      </c>
      <c r="I5180" t="str">
        <f>VLOOKUP(C5180,Магазины!A:C,3,0)</f>
        <v>Оренбург</v>
      </c>
      <c r="J5180">
        <f>VLOOKUP(D5180,Товары!A:I,4,0)</f>
        <v>26460</v>
      </c>
      <c r="K5180">
        <f t="shared" si="80"/>
        <v>52920</v>
      </c>
    </row>
    <row r="5181" spans="1:11" hidden="1" x14ac:dyDescent="0.25">
      <c r="A5181">
        <v>5180</v>
      </c>
      <c r="B5181" s="1">
        <v>45757</v>
      </c>
      <c r="C5181" t="s">
        <v>30</v>
      </c>
      <c r="D5181" t="s">
        <v>122</v>
      </c>
      <c r="E5181" t="s">
        <v>8</v>
      </c>
      <c r="F5181">
        <v>2</v>
      </c>
      <c r="G5181" t="str">
        <f>VLOOKUP(D5181,Товары!A:I,3,0)</f>
        <v>Тумба с раковиной  навес. Кристалл 600 шато азур 2 ящика с умыв. Океан</v>
      </c>
      <c r="H5181">
        <f>VLOOKUP(D5181,Товары!A:I,6,0)</f>
        <v>55</v>
      </c>
      <c r="I5181" t="str">
        <f>VLOOKUP(C5181,Магазины!A:C,3,0)</f>
        <v>Кемерово</v>
      </c>
      <c r="J5181">
        <f>VLOOKUP(D5181,Товары!A:I,4,0)</f>
        <v>21960</v>
      </c>
      <c r="K5181">
        <f t="shared" si="80"/>
        <v>43920</v>
      </c>
    </row>
    <row r="5182" spans="1:11" hidden="1" x14ac:dyDescent="0.25">
      <c r="A5182">
        <v>5181</v>
      </c>
      <c r="B5182" s="1">
        <v>45748</v>
      </c>
      <c r="C5182" t="s">
        <v>92</v>
      </c>
      <c r="D5182" t="s">
        <v>125</v>
      </c>
      <c r="E5182" t="s">
        <v>13</v>
      </c>
      <c r="F5182">
        <v>3</v>
      </c>
      <c r="G5182" t="str">
        <f>VLOOKUP(D5182,Товары!A:I,3,0)</f>
        <v>Зеркальный шкаф Сохо 60 белый со светильником правый цвет Белый глянец</v>
      </c>
      <c r="H5182">
        <f>VLOOKUP(D5182,Товары!A:I,6,0)</f>
        <v>75</v>
      </c>
      <c r="I5182" t="str">
        <f>VLOOKUP(C5182,Магазины!A:C,3,0)</f>
        <v>Кемерово</v>
      </c>
      <c r="J5182">
        <f>VLOOKUP(D5182,Товары!A:I,4,0)</f>
        <v>7395</v>
      </c>
      <c r="K5182">
        <f t="shared" si="80"/>
        <v>22185</v>
      </c>
    </row>
    <row r="5183" spans="1:11" hidden="1" x14ac:dyDescent="0.25">
      <c r="A5183">
        <v>5182</v>
      </c>
      <c r="B5183" s="1">
        <v>45757</v>
      </c>
      <c r="C5183" t="s">
        <v>18</v>
      </c>
      <c r="D5183" t="s">
        <v>126</v>
      </c>
      <c r="E5183" t="s">
        <v>8</v>
      </c>
      <c r="F5183">
        <v>1</v>
      </c>
      <c r="G5183" t="str">
        <f>VLOOKUP(D5183,Товары!A:I,3,0)</f>
        <v>Тумба с раковиной  напол. Кристалл 800 шато азур 2 ящика с умыв. Комфорт</v>
      </c>
      <c r="H5183">
        <f>VLOOKUP(D5183,Товары!A:I,6,0)</f>
        <v>85</v>
      </c>
      <c r="I5183" t="str">
        <f>VLOOKUP(C5183,Магазины!A:C,3,0)</f>
        <v>Набережные Челны</v>
      </c>
      <c r="J5183">
        <f>VLOOKUP(D5183,Товары!A:I,4,0)</f>
        <v>31125</v>
      </c>
      <c r="K5183">
        <f t="shared" si="80"/>
        <v>31125</v>
      </c>
    </row>
    <row r="5184" spans="1:11" hidden="1" x14ac:dyDescent="0.25">
      <c r="A5184">
        <v>5183</v>
      </c>
      <c r="B5184" s="1">
        <v>45750</v>
      </c>
      <c r="C5184" t="s">
        <v>54</v>
      </c>
      <c r="D5184" t="s">
        <v>95</v>
      </c>
      <c r="E5184" t="s">
        <v>8</v>
      </c>
      <c r="F5184">
        <v>2</v>
      </c>
      <c r="G5184" t="str">
        <f>VLOOKUP(D5184,Товары!A:I,3,0)</f>
        <v>Тумба с раковиной  напол. Рица 600 антрацит 2 ящика с умыв. Океан</v>
      </c>
      <c r="H5184">
        <f>VLOOKUP(D5184,Товары!A:I,6,0)</f>
        <v>80</v>
      </c>
      <c r="I5184" t="str">
        <f>VLOOKUP(C5184,Магазины!A:C,3,0)</f>
        <v>Ставрополь</v>
      </c>
      <c r="J5184">
        <f>VLOOKUP(D5184,Товары!A:I,4,0)</f>
        <v>25560</v>
      </c>
      <c r="K5184">
        <f t="shared" si="80"/>
        <v>51120</v>
      </c>
    </row>
    <row r="5185" spans="1:11" hidden="1" x14ac:dyDescent="0.25">
      <c r="A5185">
        <v>5184</v>
      </c>
      <c r="B5185" s="1">
        <v>45752</v>
      </c>
      <c r="C5185" t="s">
        <v>43</v>
      </c>
      <c r="D5185" t="s">
        <v>45</v>
      </c>
      <c r="E5185" t="s">
        <v>13</v>
      </c>
      <c r="F5185">
        <v>3</v>
      </c>
      <c r="G5185" t="str">
        <f>VLOOKUP(D5185,Товары!A:I,3,0)</f>
        <v>Зеркальный шкаф Рица 80 со светильником правый цвет cерый/керамика</v>
      </c>
      <c r="H5185">
        <f>VLOOKUP(D5185,Товары!A:I,6,0)</f>
        <v>75</v>
      </c>
      <c r="I5185" t="str">
        <f>VLOOKUP(C5185,Магазины!A:C,3,0)</f>
        <v>Набережные Челны</v>
      </c>
      <c r="J5185">
        <f>VLOOKUP(D5185,Товары!A:I,4,0)</f>
        <v>9930</v>
      </c>
      <c r="K5185">
        <f t="shared" si="80"/>
        <v>29790</v>
      </c>
    </row>
    <row r="5186" spans="1:11" hidden="1" x14ac:dyDescent="0.25">
      <c r="A5186">
        <v>5185</v>
      </c>
      <c r="B5186" s="1">
        <v>45757</v>
      </c>
      <c r="C5186" t="s">
        <v>54</v>
      </c>
      <c r="D5186" t="s">
        <v>47</v>
      </c>
      <c r="E5186" t="s">
        <v>13</v>
      </c>
      <c r="F5186">
        <v>1</v>
      </c>
      <c r="G5186" t="str">
        <f>VLOOKUP(D5186,Товары!A:I,3,0)</f>
        <v>Пенал напол. Кристалл 350 шато азур 2 двери</v>
      </c>
      <c r="H5186">
        <f>VLOOKUP(D5186,Товары!A:I,6,0)</f>
        <v>190</v>
      </c>
      <c r="I5186" t="str">
        <f>VLOOKUP(C5186,Магазины!A:C,3,0)</f>
        <v>Ставрополь</v>
      </c>
      <c r="J5186">
        <f>VLOOKUP(D5186,Товары!A:I,4,0)</f>
        <v>15810</v>
      </c>
      <c r="K5186">
        <f t="shared" si="80"/>
        <v>15810</v>
      </c>
    </row>
    <row r="5187" spans="1:11" hidden="1" x14ac:dyDescent="0.25">
      <c r="A5187">
        <v>5186</v>
      </c>
      <c r="B5187" s="1">
        <v>45752</v>
      </c>
      <c r="C5187" t="s">
        <v>26</v>
      </c>
      <c r="D5187" t="s">
        <v>82</v>
      </c>
      <c r="E5187" t="s">
        <v>8</v>
      </c>
      <c r="F5187">
        <v>2</v>
      </c>
      <c r="G5187" t="str">
        <f>VLOOKUP(D5187,Товары!A:I,3,0)</f>
        <v>Тумба с раковиной  навес. Леон 800 форест 2 ящика с умыв. Слим</v>
      </c>
      <c r="H5187">
        <f>VLOOKUP(D5187,Товары!A:I,6,0)</f>
        <v>60</v>
      </c>
      <c r="I5187" t="str">
        <f>VLOOKUP(C5187,Магазины!A:C,3,0)</f>
        <v>Оренбург</v>
      </c>
      <c r="J5187">
        <f>VLOOKUP(D5187,Товары!A:I,4,0)</f>
        <v>27930</v>
      </c>
      <c r="K5187">
        <f t="shared" ref="K5187:K5250" si="81">J5187*F5187</f>
        <v>55860</v>
      </c>
    </row>
    <row r="5188" spans="1:11" hidden="1" x14ac:dyDescent="0.25">
      <c r="A5188">
        <v>5187</v>
      </c>
      <c r="B5188" s="1">
        <v>45757</v>
      </c>
      <c r="C5188" t="s">
        <v>16</v>
      </c>
      <c r="D5188" t="s">
        <v>32</v>
      </c>
      <c r="E5188" t="s">
        <v>13</v>
      </c>
      <c r="F5188">
        <v>2</v>
      </c>
      <c r="G5188" t="str">
        <f>VLOOKUP(D5188,Товары!A:I,3,0)</f>
        <v>Тумба с раковиной  напол. Леон Риф 700 солярис/белый риф 2 ящика с умыв. Слим</v>
      </c>
      <c r="H5188">
        <f>VLOOKUP(D5188,Товары!A:I,6,0)</f>
        <v>85</v>
      </c>
      <c r="I5188" t="str">
        <f>VLOOKUP(C5188,Магазины!A:C,3,0)</f>
        <v>Оренбург</v>
      </c>
      <c r="J5188">
        <f>VLOOKUP(D5188,Товары!A:I,4,0)</f>
        <v>26460</v>
      </c>
      <c r="K5188">
        <f t="shared" si="81"/>
        <v>52920</v>
      </c>
    </row>
    <row r="5189" spans="1:11" hidden="1" x14ac:dyDescent="0.25">
      <c r="A5189">
        <v>5188</v>
      </c>
      <c r="B5189" s="1">
        <v>45749</v>
      </c>
      <c r="C5189" t="s">
        <v>58</v>
      </c>
      <c r="D5189" t="s">
        <v>51</v>
      </c>
      <c r="E5189" t="s">
        <v>8</v>
      </c>
      <c r="F5189">
        <v>2</v>
      </c>
      <c r="G5189" t="str">
        <f>VLOOKUP(D5189,Товары!A:I,3,0)</f>
        <v>Зеркальный шкаф Альба 80 со светильником правый цвет суфле</v>
      </c>
      <c r="H5189">
        <f>VLOOKUP(D5189,Товары!A:I,6,0)</f>
        <v>75</v>
      </c>
      <c r="I5189" t="str">
        <f>VLOOKUP(C5189,Магазины!A:C,3,0)</f>
        <v>Ставрополь</v>
      </c>
      <c r="J5189">
        <f>VLOOKUP(D5189,Товары!A:I,4,0)</f>
        <v>9930</v>
      </c>
      <c r="K5189">
        <f t="shared" si="81"/>
        <v>19860</v>
      </c>
    </row>
    <row r="5190" spans="1:11" hidden="1" x14ac:dyDescent="0.25">
      <c r="A5190">
        <v>5189</v>
      </c>
      <c r="B5190" s="1">
        <v>45756</v>
      </c>
      <c r="C5190" t="s">
        <v>14</v>
      </c>
      <c r="D5190" t="s">
        <v>105</v>
      </c>
      <c r="E5190" t="s">
        <v>8</v>
      </c>
      <c r="F5190">
        <v>2</v>
      </c>
      <c r="G5190" t="str">
        <f>VLOOKUP(D5190,Товары!A:I,3,0)</f>
        <v>Тумба с раковиной  напол. Нева 600 белый 2 двери + 1 ящик с умыв. Como</v>
      </c>
      <c r="H5190">
        <f>VLOOKUP(D5190,Товары!A:I,6,0)</f>
        <v>80</v>
      </c>
      <c r="I5190" t="str">
        <f>VLOOKUP(C5190,Магазины!A:C,3,0)</f>
        <v>Оренбург</v>
      </c>
      <c r="J5190">
        <f>VLOOKUP(D5190,Товары!A:I,4,0)</f>
        <v>13470</v>
      </c>
      <c r="K5190">
        <f t="shared" si="81"/>
        <v>26940</v>
      </c>
    </row>
    <row r="5191" spans="1:11" hidden="1" x14ac:dyDescent="0.25">
      <c r="A5191">
        <v>5190</v>
      </c>
      <c r="B5191" s="1">
        <v>45754</v>
      </c>
      <c r="C5191" t="s">
        <v>33</v>
      </c>
      <c r="D5191" t="s">
        <v>36</v>
      </c>
      <c r="E5191" t="s">
        <v>8</v>
      </c>
      <c r="F5191">
        <v>2</v>
      </c>
      <c r="G5191" t="str">
        <f>VLOOKUP(D5191,Товары!A:I,3,0)</f>
        <v>Тумба с раковиной  напол. Альба 800 мята 2 ящика с умыв. Слим</v>
      </c>
      <c r="H5191">
        <f>VLOOKUP(D5191,Товары!A:I,6,0)</f>
        <v>80</v>
      </c>
      <c r="I5191" t="str">
        <f>VLOOKUP(C5191,Магазины!A:C,3,0)</f>
        <v>Набережные Челны</v>
      </c>
      <c r="J5191">
        <f>VLOOKUP(D5191,Товары!A:I,4,0)</f>
        <v>29340</v>
      </c>
      <c r="K5191">
        <f t="shared" si="81"/>
        <v>58680</v>
      </c>
    </row>
    <row r="5192" spans="1:11" hidden="1" x14ac:dyDescent="0.25">
      <c r="A5192">
        <v>5191</v>
      </c>
      <c r="B5192" s="1">
        <v>45748</v>
      </c>
      <c r="C5192" t="s">
        <v>26</v>
      </c>
      <c r="D5192" t="s">
        <v>115</v>
      </c>
      <c r="E5192" t="s">
        <v>13</v>
      </c>
      <c r="F5192">
        <v>3</v>
      </c>
      <c r="G5192" t="str">
        <f>VLOOKUP(D5192,Товары!A:I,3,0)</f>
        <v>Тумба под стиральную машину Куба Риф 57 напольная 2 ящика под ст/маш, без умывальника /под Marshall 120 Белый</v>
      </c>
      <c r="H5192">
        <f>VLOOKUP(D5192,Товары!A:I,6,0)</f>
        <v>85</v>
      </c>
      <c r="I5192" t="str">
        <f>VLOOKUP(C5192,Магазины!A:C,3,0)</f>
        <v>Оренбург</v>
      </c>
      <c r="J5192">
        <f>VLOOKUP(D5192,Товары!A:I,4,0)</f>
        <v>10530</v>
      </c>
      <c r="K5192">
        <f t="shared" si="81"/>
        <v>31590</v>
      </c>
    </row>
    <row r="5193" spans="1:11" hidden="1" x14ac:dyDescent="0.25">
      <c r="A5193">
        <v>5192</v>
      </c>
      <c r="B5193" s="1">
        <v>45757</v>
      </c>
      <c r="C5193" t="s">
        <v>11</v>
      </c>
      <c r="D5193" t="s">
        <v>72</v>
      </c>
      <c r="E5193" t="s">
        <v>13</v>
      </c>
      <c r="F5193">
        <v>3</v>
      </c>
      <c r="G5193" t="str">
        <f>VLOOKUP(D5193,Товары!A:I,3,0)</f>
        <v>Тумба с раковиной  напол. Сохо 600 белый 2 ящика с умыв. Океан</v>
      </c>
      <c r="H5193">
        <f>VLOOKUP(D5193,Товары!A:I,6,0)</f>
        <v>85</v>
      </c>
      <c r="I5193" t="str">
        <f>VLOOKUP(C5193,Магазины!A:C,3,0)</f>
        <v>Кемерово</v>
      </c>
      <c r="J5193">
        <f>VLOOKUP(D5193,Товары!A:I,4,0)</f>
        <v>16140</v>
      </c>
      <c r="K5193">
        <f t="shared" si="81"/>
        <v>48420</v>
      </c>
    </row>
    <row r="5194" spans="1:11" hidden="1" x14ac:dyDescent="0.25">
      <c r="A5194">
        <v>5193</v>
      </c>
      <c r="B5194" s="1">
        <v>45755</v>
      </c>
      <c r="C5194" t="s">
        <v>9</v>
      </c>
      <c r="D5194" t="s">
        <v>68</v>
      </c>
      <c r="E5194" t="s">
        <v>8</v>
      </c>
      <c r="F5194">
        <v>2</v>
      </c>
      <c r="G5194" t="str">
        <f>VLOOKUP(D5194,Товары!A:I,3,0)</f>
        <v>Тумба с раковиной  навес. Альба 600 антрацит 1 ящик с умыв. Океан</v>
      </c>
      <c r="H5194">
        <f>VLOOKUP(D5194,Товары!A:I,6,0)</f>
        <v>85</v>
      </c>
      <c r="I5194" t="str">
        <f>VLOOKUP(C5194,Магазины!A:C,3,0)</f>
        <v>Кемерово</v>
      </c>
      <c r="J5194">
        <f>VLOOKUP(D5194,Товары!A:I,4,0)</f>
        <v>17625</v>
      </c>
      <c r="K5194">
        <f t="shared" si="81"/>
        <v>35250</v>
      </c>
    </row>
    <row r="5195" spans="1:11" hidden="1" x14ac:dyDescent="0.25">
      <c r="A5195">
        <v>5194</v>
      </c>
      <c r="B5195" s="1">
        <v>45757</v>
      </c>
      <c r="C5195" t="s">
        <v>22</v>
      </c>
      <c r="D5195" t="s">
        <v>70</v>
      </c>
      <c r="E5195" t="s">
        <v>8</v>
      </c>
      <c r="F5195">
        <v>2</v>
      </c>
      <c r="G5195" t="str">
        <f>VLOOKUP(D5195,Товары!A:I,3,0)</f>
        <v>Тумба с раковиной  напол. Кристалл 700 шато азур 2 ящика с умыв. Слим</v>
      </c>
      <c r="H5195">
        <f>VLOOKUP(D5195,Товары!A:I,6,0)</f>
        <v>85</v>
      </c>
      <c r="I5195" t="str">
        <f>VLOOKUP(C5195,Магазины!A:C,3,0)</f>
        <v>Кемерово</v>
      </c>
      <c r="J5195">
        <f>VLOOKUP(D5195,Товары!A:I,4,0)</f>
        <v>29910</v>
      </c>
      <c r="K5195">
        <f t="shared" si="81"/>
        <v>59820</v>
      </c>
    </row>
    <row r="5196" spans="1:11" hidden="1" x14ac:dyDescent="0.25">
      <c r="A5196">
        <v>5195</v>
      </c>
      <c r="B5196" s="1">
        <v>45753</v>
      </c>
      <c r="C5196" t="s">
        <v>57</v>
      </c>
      <c r="D5196" t="s">
        <v>10</v>
      </c>
      <c r="E5196" t="s">
        <v>8</v>
      </c>
      <c r="F5196">
        <v>2</v>
      </c>
      <c r="G5196" t="str">
        <f>VLOOKUP(D5196,Товары!A:I,3,0)</f>
        <v>Тумба с раковиной  навес. Альба 700 антрацит 1 ящик с умыв. Слим</v>
      </c>
      <c r="H5196">
        <f>VLOOKUP(D5196,Товары!A:I,6,0)</f>
        <v>45</v>
      </c>
      <c r="I5196" t="str">
        <f>VLOOKUP(C5196,Магазины!A:C,3,0)</f>
        <v>Оренбург</v>
      </c>
      <c r="J5196">
        <f>VLOOKUP(D5196,Товары!A:I,4,0)</f>
        <v>20130</v>
      </c>
      <c r="K5196">
        <f t="shared" si="81"/>
        <v>40260</v>
      </c>
    </row>
    <row r="5197" spans="1:11" hidden="1" x14ac:dyDescent="0.25">
      <c r="A5197">
        <v>5196</v>
      </c>
      <c r="B5197" s="1">
        <v>45752</v>
      </c>
      <c r="C5197" t="s">
        <v>57</v>
      </c>
      <c r="D5197" t="s">
        <v>121</v>
      </c>
      <c r="E5197" t="s">
        <v>8</v>
      </c>
      <c r="F5197">
        <v>3</v>
      </c>
      <c r="G5197" t="str">
        <f>VLOOKUP(D5197,Товары!A:I,3,0)</f>
        <v>Тумба с раковиной  напол. Куба Риф 600 белый 2 двери с умыв. Como</v>
      </c>
      <c r="H5197">
        <f>VLOOKUP(D5197,Товары!A:I,6,0)</f>
        <v>85</v>
      </c>
      <c r="I5197" t="str">
        <f>VLOOKUP(C5197,Магазины!A:C,3,0)</f>
        <v>Оренбург</v>
      </c>
      <c r="J5197">
        <f>VLOOKUP(D5197,Товары!A:I,4,0)</f>
        <v>13695</v>
      </c>
      <c r="K5197">
        <f t="shared" si="81"/>
        <v>41085</v>
      </c>
    </row>
    <row r="5198" spans="1:11" hidden="1" x14ac:dyDescent="0.25">
      <c r="A5198">
        <v>5197</v>
      </c>
      <c r="B5198" s="1">
        <v>45752</v>
      </c>
      <c r="C5198" t="s">
        <v>28</v>
      </c>
      <c r="D5198" t="s">
        <v>50</v>
      </c>
      <c r="E5198" t="s">
        <v>13</v>
      </c>
      <c r="F5198">
        <v>3</v>
      </c>
      <c r="G5198" t="str">
        <f>VLOOKUP(D5198,Товары!A:I,3,0)</f>
        <v>Тумба с раковиной  напол. Леон 800 оникс 2 ящика с умыв. Слим</v>
      </c>
      <c r="H5198">
        <f>VLOOKUP(D5198,Товары!A:I,6,0)</f>
        <v>80</v>
      </c>
      <c r="I5198" t="str">
        <f>VLOOKUP(C5198,Магазины!A:C,3,0)</f>
        <v>Набережные Челны</v>
      </c>
      <c r="J5198">
        <f>VLOOKUP(D5198,Товары!A:I,4,0)</f>
        <v>29400</v>
      </c>
      <c r="K5198">
        <f t="shared" si="81"/>
        <v>88200</v>
      </c>
    </row>
    <row r="5199" spans="1:11" hidden="1" x14ac:dyDescent="0.25">
      <c r="A5199">
        <v>5198</v>
      </c>
      <c r="B5199" s="1">
        <v>45756</v>
      </c>
      <c r="C5199" t="s">
        <v>57</v>
      </c>
      <c r="D5199" t="s">
        <v>78</v>
      </c>
      <c r="E5199" t="s">
        <v>13</v>
      </c>
      <c r="F5199">
        <v>2</v>
      </c>
      <c r="G5199" t="str">
        <f>VLOOKUP(D5199,Товары!A:I,3,0)</f>
        <v>Зеркальный шкаф Кристалл 70 со светильником правый, ручка кнопка дуб цвет Шато Азур</v>
      </c>
      <c r="H5199">
        <f>VLOOKUP(D5199,Товары!A:I,6,0)</f>
        <v>75</v>
      </c>
      <c r="I5199" t="str">
        <f>VLOOKUP(C5199,Магазины!A:C,3,0)</f>
        <v>Оренбург</v>
      </c>
      <c r="J5199">
        <f>VLOOKUP(D5199,Товары!A:I,4,0)</f>
        <v>9615</v>
      </c>
      <c r="K5199">
        <f t="shared" si="81"/>
        <v>19230</v>
      </c>
    </row>
    <row r="5200" spans="1:11" hidden="1" x14ac:dyDescent="0.25">
      <c r="A5200">
        <v>5199</v>
      </c>
      <c r="B5200" s="1">
        <v>45753</v>
      </c>
      <c r="C5200" t="s">
        <v>30</v>
      </c>
      <c r="D5200" t="s">
        <v>21</v>
      </c>
      <c r="E5200" t="s">
        <v>13</v>
      </c>
      <c r="F5200">
        <v>1</v>
      </c>
      <c r="G5200" t="str">
        <f>VLOOKUP(D5200,Товары!A:I,3,0)</f>
        <v>Зеркальный шкаф Рица 60 со светильником правый цвет cерый/керамика</v>
      </c>
      <c r="H5200">
        <f>VLOOKUP(D5200,Товары!A:I,6,0)</f>
        <v>75</v>
      </c>
      <c r="I5200" t="str">
        <f>VLOOKUP(C5200,Магазины!A:C,3,0)</f>
        <v>Кемерово</v>
      </c>
      <c r="J5200">
        <f>VLOOKUP(D5200,Товары!A:I,4,0)</f>
        <v>8910</v>
      </c>
      <c r="K5200">
        <f t="shared" si="81"/>
        <v>8910</v>
      </c>
    </row>
    <row r="5201" spans="1:11" hidden="1" x14ac:dyDescent="0.25">
      <c r="A5201">
        <v>5200</v>
      </c>
      <c r="B5201" s="1">
        <v>45757</v>
      </c>
      <c r="C5201" t="s">
        <v>92</v>
      </c>
      <c r="D5201" t="s">
        <v>59</v>
      </c>
      <c r="E5201" t="s">
        <v>13</v>
      </c>
      <c r="F5201">
        <v>3</v>
      </c>
      <c r="G5201" t="str">
        <f>VLOOKUP(D5201,Товары!A:I,3,0)</f>
        <v>Тумба с раковиной  навес. Куба Риф 600 белый 2 ящика с умыв. Океан</v>
      </c>
      <c r="H5201">
        <f>VLOOKUP(D5201,Товары!A:I,6,0)</f>
        <v>55</v>
      </c>
      <c r="I5201" t="str">
        <f>VLOOKUP(C5201,Магазины!A:C,3,0)</f>
        <v>Кемерово</v>
      </c>
      <c r="J5201">
        <f>VLOOKUP(D5201,Товары!A:I,4,0)</f>
        <v>15765</v>
      </c>
      <c r="K5201">
        <f t="shared" si="81"/>
        <v>47295</v>
      </c>
    </row>
    <row r="5202" spans="1:11" hidden="1" x14ac:dyDescent="0.25">
      <c r="A5202">
        <v>5201</v>
      </c>
      <c r="B5202" s="1">
        <v>45751</v>
      </c>
      <c r="C5202" t="s">
        <v>103</v>
      </c>
      <c r="D5202" t="s">
        <v>44</v>
      </c>
      <c r="E5202" t="s">
        <v>13</v>
      </c>
      <c r="F5202">
        <v>2</v>
      </c>
      <c r="G5202" t="str">
        <f>VLOOKUP(D5202,Товары!A:I,3,0)</f>
        <v>Тумба с раковиной  навес. Кристалл 800 шато азур 2 ящика с умыв. Комфорт</v>
      </c>
      <c r="H5202">
        <f>VLOOKUP(D5202,Товары!A:I,6,0)</f>
        <v>55</v>
      </c>
      <c r="I5202" t="str">
        <f>VLOOKUP(C5202,Магазины!A:C,3,0)</f>
        <v>Ставрополь</v>
      </c>
      <c r="J5202">
        <f>VLOOKUP(D5202,Товары!A:I,4,0)</f>
        <v>25080</v>
      </c>
      <c r="K5202">
        <f t="shared" si="81"/>
        <v>50160</v>
      </c>
    </row>
    <row r="5203" spans="1:11" hidden="1" x14ac:dyDescent="0.25">
      <c r="A5203">
        <v>5202</v>
      </c>
      <c r="B5203" s="1">
        <v>45754</v>
      </c>
      <c r="C5203" t="s">
        <v>63</v>
      </c>
      <c r="D5203" t="s">
        <v>49</v>
      </c>
      <c r="E5203" t="s">
        <v>8</v>
      </c>
      <c r="F5203">
        <v>1</v>
      </c>
      <c r="G5203" t="str">
        <f>VLOOKUP(D5203,Товары!A:I,3,0)</f>
        <v>Тумба с раковиной  напол. Леон 700 оникс 2 ящика с умыв. Слим</v>
      </c>
      <c r="H5203">
        <f>VLOOKUP(D5203,Товары!A:I,6,0)</f>
        <v>80</v>
      </c>
      <c r="I5203" t="str">
        <f>VLOOKUP(C5203,Магазины!A:C,3,0)</f>
        <v>Ставрополь</v>
      </c>
      <c r="J5203">
        <f>VLOOKUP(D5203,Товары!A:I,4,0)</f>
        <v>28380</v>
      </c>
      <c r="K5203">
        <f t="shared" si="81"/>
        <v>28380</v>
      </c>
    </row>
    <row r="5204" spans="1:11" hidden="1" x14ac:dyDescent="0.25">
      <c r="A5204">
        <v>5203</v>
      </c>
      <c r="B5204" s="1">
        <v>45752</v>
      </c>
      <c r="C5204" t="s">
        <v>20</v>
      </c>
      <c r="D5204" t="s">
        <v>116</v>
      </c>
      <c r="E5204" t="s">
        <v>13</v>
      </c>
      <c r="F5204">
        <v>2</v>
      </c>
      <c r="G5204" t="str">
        <f>VLOOKUP(D5204,Товары!A:I,3,0)</f>
        <v>Зеркало Нева 60 дуб/белый со светильником</v>
      </c>
      <c r="H5204">
        <f>VLOOKUP(D5204,Товары!A:I,6,0)</f>
        <v>80</v>
      </c>
      <c r="I5204" t="str">
        <f>VLOOKUP(C5204,Магазины!A:C,3,0)</f>
        <v>Оренбург</v>
      </c>
      <c r="J5204">
        <f>VLOOKUP(D5204,Товары!A:I,4,0)</f>
        <v>5100</v>
      </c>
      <c r="K5204">
        <f t="shared" si="81"/>
        <v>10200</v>
      </c>
    </row>
    <row r="5205" spans="1:11" hidden="1" x14ac:dyDescent="0.25">
      <c r="A5205">
        <v>5204</v>
      </c>
      <c r="B5205" s="1">
        <v>45751</v>
      </c>
      <c r="C5205" t="s">
        <v>20</v>
      </c>
      <c r="D5205" t="s">
        <v>78</v>
      </c>
      <c r="E5205" t="s">
        <v>13</v>
      </c>
      <c r="F5205">
        <v>1</v>
      </c>
      <c r="G5205" t="str">
        <f>VLOOKUP(D5205,Товары!A:I,3,0)</f>
        <v>Зеркальный шкаф Кристалл 70 со светильником правый, ручка кнопка дуб цвет Шато Азур</v>
      </c>
      <c r="H5205">
        <f>VLOOKUP(D5205,Товары!A:I,6,0)</f>
        <v>75</v>
      </c>
      <c r="I5205" t="str">
        <f>VLOOKUP(C5205,Магазины!A:C,3,0)</f>
        <v>Оренбург</v>
      </c>
      <c r="J5205">
        <f>VLOOKUP(D5205,Товары!A:I,4,0)</f>
        <v>9615</v>
      </c>
      <c r="K5205">
        <f t="shared" si="81"/>
        <v>9615</v>
      </c>
    </row>
    <row r="5206" spans="1:11" hidden="1" x14ac:dyDescent="0.25">
      <c r="A5206">
        <v>5205</v>
      </c>
      <c r="B5206" s="1">
        <v>45753</v>
      </c>
      <c r="C5206" t="s">
        <v>9</v>
      </c>
      <c r="D5206" t="s">
        <v>74</v>
      </c>
      <c r="E5206" t="s">
        <v>13</v>
      </c>
      <c r="F5206">
        <v>3</v>
      </c>
      <c r="G5206" t="str">
        <f>VLOOKUP(D5206,Товары!A:I,3,0)</f>
        <v>Тумба с раковиной  напол. Альба 800 суфле 2 ящика с умыв. Слим</v>
      </c>
      <c r="H5206">
        <f>VLOOKUP(D5206,Товары!A:I,6,0)</f>
        <v>80</v>
      </c>
      <c r="I5206" t="str">
        <f>VLOOKUP(C5206,Магазины!A:C,3,0)</f>
        <v>Кемерово</v>
      </c>
      <c r="J5206">
        <f>VLOOKUP(D5206,Товары!A:I,4,0)</f>
        <v>29340</v>
      </c>
      <c r="K5206">
        <f t="shared" si="81"/>
        <v>88020</v>
      </c>
    </row>
    <row r="5207" spans="1:11" hidden="1" x14ac:dyDescent="0.25">
      <c r="A5207">
        <v>5206</v>
      </c>
      <c r="B5207" s="1">
        <v>45756</v>
      </c>
      <c r="C5207" t="s">
        <v>111</v>
      </c>
      <c r="D5207" t="s">
        <v>10</v>
      </c>
      <c r="E5207" t="s">
        <v>8</v>
      </c>
      <c r="F5207">
        <v>3</v>
      </c>
      <c r="G5207" t="str">
        <f>VLOOKUP(D5207,Товары!A:I,3,0)</f>
        <v>Тумба с раковиной  навес. Альба 700 антрацит 1 ящик с умыв. Слим</v>
      </c>
      <c r="H5207">
        <f>VLOOKUP(D5207,Товары!A:I,6,0)</f>
        <v>45</v>
      </c>
      <c r="I5207" t="str">
        <f>VLOOKUP(C5207,Магазины!A:C,3,0)</f>
        <v>Набережные Челны</v>
      </c>
      <c r="J5207">
        <f>VLOOKUP(D5207,Товары!A:I,4,0)</f>
        <v>20130</v>
      </c>
      <c r="K5207">
        <f t="shared" si="81"/>
        <v>60390</v>
      </c>
    </row>
    <row r="5208" spans="1:11" hidden="1" x14ac:dyDescent="0.25">
      <c r="A5208">
        <v>5207</v>
      </c>
      <c r="B5208" s="1">
        <v>45752</v>
      </c>
      <c r="C5208" t="s">
        <v>30</v>
      </c>
      <c r="D5208" t="s">
        <v>19</v>
      </c>
      <c r="E5208" t="s">
        <v>13</v>
      </c>
      <c r="F5208">
        <v>3</v>
      </c>
      <c r="G5208" t="str">
        <f>VLOOKUP(D5208,Товары!A:I,3,0)</f>
        <v>Тумба с раковиной  навес. Леон 800 оникс 2 ящика с умыв. Слим</v>
      </c>
      <c r="H5208">
        <f>VLOOKUP(D5208,Товары!A:I,6,0)</f>
        <v>60</v>
      </c>
      <c r="I5208" t="str">
        <f>VLOOKUP(C5208,Магазины!A:C,3,0)</f>
        <v>Кемерово</v>
      </c>
      <c r="J5208">
        <f>VLOOKUP(D5208,Товары!A:I,4,0)</f>
        <v>27930</v>
      </c>
      <c r="K5208">
        <f t="shared" si="81"/>
        <v>83790</v>
      </c>
    </row>
    <row r="5209" spans="1:11" hidden="1" x14ac:dyDescent="0.25">
      <c r="A5209">
        <v>5208</v>
      </c>
      <c r="B5209" s="1">
        <v>45748</v>
      </c>
      <c r="C5209" t="s">
        <v>16</v>
      </c>
      <c r="D5209" t="s">
        <v>24</v>
      </c>
      <c r="E5209" t="s">
        <v>8</v>
      </c>
      <c r="F5209">
        <v>1</v>
      </c>
      <c r="G5209" t="str">
        <f>VLOOKUP(D5209,Товары!A:I,3,0)</f>
        <v>Тумба с раковиной  напол. Леон 600 форест 2 ящика с умыв. Слим</v>
      </c>
      <c r="H5209">
        <f>VLOOKUP(D5209,Товары!A:I,6,0)</f>
        <v>80</v>
      </c>
      <c r="I5209" t="str">
        <f>VLOOKUP(C5209,Магазины!A:C,3,0)</f>
        <v>Оренбург</v>
      </c>
      <c r="J5209">
        <f>VLOOKUP(D5209,Товары!A:I,4,0)</f>
        <v>27150</v>
      </c>
      <c r="K5209">
        <f t="shared" si="81"/>
        <v>27150</v>
      </c>
    </row>
    <row r="5210" spans="1:11" hidden="1" x14ac:dyDescent="0.25">
      <c r="A5210">
        <v>5209</v>
      </c>
      <c r="B5210" s="1">
        <v>45753</v>
      </c>
      <c r="C5210" t="s">
        <v>41</v>
      </c>
      <c r="D5210" t="s">
        <v>27</v>
      </c>
      <c r="E5210" t="s">
        <v>13</v>
      </c>
      <c r="F5210">
        <v>1</v>
      </c>
      <c r="G5210" t="str">
        <f>VLOOKUP(D5210,Товары!A:I,3,0)</f>
        <v>Тумба с раковиной  навес. Виктория 800 белый 2 ящика с умыв. Слим</v>
      </c>
      <c r="H5210">
        <f>VLOOKUP(D5210,Товары!A:I,6,0)</f>
        <v>60</v>
      </c>
      <c r="I5210" t="str">
        <f>VLOOKUP(C5210,Магазины!A:C,3,0)</f>
        <v>Ставрополь</v>
      </c>
      <c r="J5210">
        <f>VLOOKUP(D5210,Товары!A:I,4,0)</f>
        <v>25290</v>
      </c>
      <c r="K5210">
        <f t="shared" si="81"/>
        <v>25290</v>
      </c>
    </row>
    <row r="5211" spans="1:11" hidden="1" x14ac:dyDescent="0.25">
      <c r="A5211">
        <v>5210</v>
      </c>
      <c r="B5211" s="1">
        <v>45756</v>
      </c>
      <c r="C5211" t="s">
        <v>11</v>
      </c>
      <c r="D5211" t="s">
        <v>107</v>
      </c>
      <c r="E5211" t="s">
        <v>8</v>
      </c>
      <c r="F5211">
        <v>3</v>
      </c>
      <c r="G5211" t="str">
        <f>VLOOKUP(D5211,Товары!A:I,3,0)</f>
        <v>Комод Аква 35 напольный 1 дверь белый правый</v>
      </c>
      <c r="H5211">
        <f>VLOOKUP(D5211,Товары!A:I,6,0)</f>
        <v>90</v>
      </c>
      <c r="I5211" t="str">
        <f>VLOOKUP(C5211,Магазины!A:C,3,0)</f>
        <v>Кемерово</v>
      </c>
      <c r="J5211">
        <f>VLOOKUP(D5211,Товары!A:I,4,0)</f>
        <v>6705</v>
      </c>
      <c r="K5211">
        <f t="shared" si="81"/>
        <v>20115</v>
      </c>
    </row>
    <row r="5212" spans="1:11" hidden="1" x14ac:dyDescent="0.25">
      <c r="A5212">
        <v>5211</v>
      </c>
      <c r="B5212" s="1">
        <v>45751</v>
      </c>
      <c r="C5212" t="s">
        <v>9</v>
      </c>
      <c r="D5212" t="s">
        <v>131</v>
      </c>
      <c r="E5212" t="s">
        <v>13</v>
      </c>
      <c r="F5212">
        <v>3</v>
      </c>
      <c r="G5212" t="str">
        <f>VLOOKUP(D5212,Товары!A:I,3,0)</f>
        <v>Тумба с раковиной  напол. Леон 800 форест 2 ящика с умыв. Слим</v>
      </c>
      <c r="H5212">
        <f>VLOOKUP(D5212,Товары!A:I,6,0)</f>
        <v>80</v>
      </c>
      <c r="I5212" t="str">
        <f>VLOOKUP(C5212,Магазины!A:C,3,0)</f>
        <v>Кемерово</v>
      </c>
      <c r="J5212">
        <f>VLOOKUP(D5212,Товары!A:I,4,0)</f>
        <v>29400</v>
      </c>
      <c r="K5212">
        <f t="shared" si="81"/>
        <v>88200</v>
      </c>
    </row>
    <row r="5213" spans="1:11" hidden="1" x14ac:dyDescent="0.25">
      <c r="A5213">
        <v>5212</v>
      </c>
      <c r="B5213" s="1">
        <v>45755</v>
      </c>
      <c r="C5213" t="s">
        <v>33</v>
      </c>
      <c r="D5213" t="s">
        <v>15</v>
      </c>
      <c r="E5213" t="s">
        <v>8</v>
      </c>
      <c r="F5213">
        <v>2</v>
      </c>
      <c r="G5213" t="str">
        <f>VLOOKUP(D5213,Товары!A:I,3,0)</f>
        <v>Зеркальный шкаф Кристалл 60 со светильником правый, ручка кнопка дуб цвет Шато Азур</v>
      </c>
      <c r="H5213">
        <f>VLOOKUP(D5213,Товары!A:I,6,0)</f>
        <v>75</v>
      </c>
      <c r="I5213" t="str">
        <f>VLOOKUP(C5213,Магазины!A:C,3,0)</f>
        <v>Набережные Челны</v>
      </c>
      <c r="J5213">
        <f>VLOOKUP(D5213,Товары!A:I,4,0)</f>
        <v>9195</v>
      </c>
      <c r="K5213">
        <f t="shared" si="81"/>
        <v>18390</v>
      </c>
    </row>
    <row r="5214" spans="1:11" hidden="1" x14ac:dyDescent="0.25">
      <c r="A5214">
        <v>5213</v>
      </c>
      <c r="B5214" s="1">
        <v>45756</v>
      </c>
      <c r="C5214" t="s">
        <v>14</v>
      </c>
      <c r="D5214" t="s">
        <v>12</v>
      </c>
      <c r="E5214" t="s">
        <v>13</v>
      </c>
      <c r="F5214">
        <v>3</v>
      </c>
      <c r="G5214" t="str">
        <f>VLOOKUP(D5214,Товары!A:I,3,0)</f>
        <v>Тумба с раковиной  напол. Сохо 700 белый 2 двери с умыв. Слим</v>
      </c>
      <c r="H5214">
        <f>VLOOKUP(D5214,Товары!A:I,6,0)</f>
        <v>85</v>
      </c>
      <c r="I5214" t="str">
        <f>VLOOKUP(C5214,Магазины!A:C,3,0)</f>
        <v>Оренбург</v>
      </c>
      <c r="J5214">
        <f>VLOOKUP(D5214,Товары!A:I,4,0)</f>
        <v>17160</v>
      </c>
      <c r="K5214">
        <f t="shared" si="81"/>
        <v>51480</v>
      </c>
    </row>
    <row r="5215" spans="1:11" hidden="1" x14ac:dyDescent="0.25">
      <c r="A5215">
        <v>5214</v>
      </c>
      <c r="B5215" s="1">
        <v>45751</v>
      </c>
      <c r="C5215" t="s">
        <v>14</v>
      </c>
      <c r="D5215" t="s">
        <v>71</v>
      </c>
      <c r="E5215" t="s">
        <v>13</v>
      </c>
      <c r="F5215">
        <v>2</v>
      </c>
      <c r="G5215" t="str">
        <f>VLOOKUP(D5215,Товары!A:I,3,0)</f>
        <v>Тумба с раковиной  навес. Альба 600 мята 2 ящика с умыв. Океан</v>
      </c>
      <c r="H5215">
        <f>VLOOKUP(D5215,Товары!A:I,6,0)</f>
        <v>50</v>
      </c>
      <c r="I5215" t="str">
        <f>VLOOKUP(C5215,Магазины!A:C,3,0)</f>
        <v>Оренбург</v>
      </c>
      <c r="J5215">
        <f>VLOOKUP(D5215,Товары!A:I,4,0)</f>
        <v>24810</v>
      </c>
      <c r="K5215">
        <f t="shared" si="81"/>
        <v>49620</v>
      </c>
    </row>
    <row r="5216" spans="1:11" hidden="1" x14ac:dyDescent="0.25">
      <c r="A5216">
        <v>5215</v>
      </c>
      <c r="B5216" s="1">
        <v>45749</v>
      </c>
      <c r="C5216" t="s">
        <v>58</v>
      </c>
      <c r="D5216" t="s">
        <v>40</v>
      </c>
      <c r="E5216" t="s">
        <v>13</v>
      </c>
      <c r="F5216">
        <v>1</v>
      </c>
      <c r="G5216" t="str">
        <f>VLOOKUP(D5216,Товары!A:I,3,0)</f>
        <v>Тумба с раковиной  навес. Рица 800 cерый/керамика 1 ящик + ниша 1 с умыв. Слим</v>
      </c>
      <c r="H5216">
        <f>VLOOKUP(D5216,Товары!A:I,6,0)</f>
        <v>60</v>
      </c>
      <c r="I5216" t="str">
        <f>VLOOKUP(C5216,Магазины!A:C,3,0)</f>
        <v>Ставрополь</v>
      </c>
      <c r="J5216">
        <f>VLOOKUP(D5216,Товары!A:I,4,0)</f>
        <v>22425</v>
      </c>
      <c r="K5216">
        <f t="shared" si="81"/>
        <v>22425</v>
      </c>
    </row>
    <row r="5217" spans="1:11" hidden="1" x14ac:dyDescent="0.25">
      <c r="A5217">
        <v>5216</v>
      </c>
      <c r="B5217" s="1">
        <v>45751</v>
      </c>
      <c r="C5217" t="s">
        <v>16</v>
      </c>
      <c r="D5217" t="s">
        <v>12</v>
      </c>
      <c r="E5217" t="s">
        <v>8</v>
      </c>
      <c r="F5217">
        <v>3</v>
      </c>
      <c r="G5217" t="str">
        <f>VLOOKUP(D5217,Товары!A:I,3,0)</f>
        <v>Тумба с раковиной  напол. Сохо 700 белый 2 двери с умыв. Слим</v>
      </c>
      <c r="H5217">
        <f>VLOOKUP(D5217,Товары!A:I,6,0)</f>
        <v>85</v>
      </c>
      <c r="I5217" t="str">
        <f>VLOOKUP(C5217,Магазины!A:C,3,0)</f>
        <v>Оренбург</v>
      </c>
      <c r="J5217">
        <f>VLOOKUP(D5217,Товары!A:I,4,0)</f>
        <v>17160</v>
      </c>
      <c r="K5217">
        <f t="shared" si="81"/>
        <v>51480</v>
      </c>
    </row>
    <row r="5218" spans="1:11" hidden="1" x14ac:dyDescent="0.25">
      <c r="A5218">
        <v>5217</v>
      </c>
      <c r="B5218" s="1">
        <v>45748</v>
      </c>
      <c r="C5218" t="s">
        <v>57</v>
      </c>
      <c r="D5218" t="s">
        <v>78</v>
      </c>
      <c r="E5218" t="s">
        <v>13</v>
      </c>
      <c r="F5218">
        <v>3</v>
      </c>
      <c r="G5218" t="str">
        <f>VLOOKUP(D5218,Товары!A:I,3,0)</f>
        <v>Зеркальный шкаф Кристалл 70 со светильником правый, ручка кнопка дуб цвет Шато Азур</v>
      </c>
      <c r="H5218">
        <f>VLOOKUP(D5218,Товары!A:I,6,0)</f>
        <v>75</v>
      </c>
      <c r="I5218" t="str">
        <f>VLOOKUP(C5218,Магазины!A:C,3,0)</f>
        <v>Оренбург</v>
      </c>
      <c r="J5218">
        <f>VLOOKUP(D5218,Товары!A:I,4,0)</f>
        <v>9615</v>
      </c>
      <c r="K5218">
        <f t="shared" si="81"/>
        <v>28845</v>
      </c>
    </row>
    <row r="5219" spans="1:11" hidden="1" x14ac:dyDescent="0.25">
      <c r="A5219">
        <v>5218</v>
      </c>
      <c r="B5219" s="1">
        <v>45752</v>
      </c>
      <c r="C5219" t="s">
        <v>48</v>
      </c>
      <c r="D5219" t="s">
        <v>47</v>
      </c>
      <c r="E5219" t="s">
        <v>13</v>
      </c>
      <c r="F5219">
        <v>3</v>
      </c>
      <c r="G5219" t="str">
        <f>VLOOKUP(D5219,Товары!A:I,3,0)</f>
        <v>Пенал напол. Кристалл 350 шато азур 2 двери</v>
      </c>
      <c r="H5219">
        <f>VLOOKUP(D5219,Товары!A:I,6,0)</f>
        <v>190</v>
      </c>
      <c r="I5219" t="str">
        <f>VLOOKUP(C5219,Магазины!A:C,3,0)</f>
        <v>Ставрополь</v>
      </c>
      <c r="J5219">
        <f>VLOOKUP(D5219,Товары!A:I,4,0)</f>
        <v>15810</v>
      </c>
      <c r="K5219">
        <f t="shared" si="81"/>
        <v>47430</v>
      </c>
    </row>
    <row r="5220" spans="1:11" hidden="1" x14ac:dyDescent="0.25">
      <c r="A5220">
        <v>5219</v>
      </c>
      <c r="B5220" s="1">
        <v>45752</v>
      </c>
      <c r="C5220" t="s">
        <v>30</v>
      </c>
      <c r="D5220" t="s">
        <v>87</v>
      </c>
      <c r="E5220" t="s">
        <v>8</v>
      </c>
      <c r="F5220">
        <v>2</v>
      </c>
      <c r="G5220" t="str">
        <f>VLOOKUP(D5220,Товары!A:I,3,0)</f>
        <v>Тумба с раковиной  напол. Леон 700 форест 2 ящика с умыв. Слим</v>
      </c>
      <c r="H5220">
        <f>VLOOKUP(D5220,Товары!A:I,6,0)</f>
        <v>80</v>
      </c>
      <c r="I5220" t="str">
        <f>VLOOKUP(C5220,Магазины!A:C,3,0)</f>
        <v>Кемерово</v>
      </c>
      <c r="J5220">
        <f>VLOOKUP(D5220,Товары!A:I,4,0)</f>
        <v>28380</v>
      </c>
      <c r="K5220">
        <f t="shared" si="81"/>
        <v>56760</v>
      </c>
    </row>
    <row r="5221" spans="1:11" hidden="1" x14ac:dyDescent="0.25">
      <c r="A5221">
        <v>5220</v>
      </c>
      <c r="B5221" s="1">
        <v>45748</v>
      </c>
      <c r="C5221" t="s">
        <v>41</v>
      </c>
      <c r="D5221" t="s">
        <v>110</v>
      </c>
      <c r="E5221" t="s">
        <v>13</v>
      </c>
      <c r="F5221">
        <v>3</v>
      </c>
      <c r="G5221" t="str">
        <f>VLOOKUP(D5221,Товары!A:I,3,0)</f>
        <v>Тумба с раковиной  напол. Альба 600 антрацит 2 ящика с умыв. Океан</v>
      </c>
      <c r="H5221">
        <f>VLOOKUP(D5221,Товары!A:I,6,0)</f>
        <v>80</v>
      </c>
      <c r="I5221" t="str">
        <f>VLOOKUP(C5221,Магазины!A:C,3,0)</f>
        <v>Ставрополь</v>
      </c>
      <c r="J5221">
        <f>VLOOKUP(D5221,Товары!A:I,4,0)</f>
        <v>26370</v>
      </c>
      <c r="K5221">
        <f t="shared" si="81"/>
        <v>79110</v>
      </c>
    </row>
    <row r="5222" spans="1:11" hidden="1" x14ac:dyDescent="0.25">
      <c r="A5222">
        <v>5221</v>
      </c>
      <c r="B5222" s="1">
        <v>45755</v>
      </c>
      <c r="C5222" t="s">
        <v>58</v>
      </c>
      <c r="D5222" t="s">
        <v>127</v>
      </c>
      <c r="E5222" t="s">
        <v>8</v>
      </c>
      <c r="F5222">
        <v>2</v>
      </c>
      <c r="G5222" t="str">
        <f>VLOOKUP(D5222,Товары!A:I,3,0)</f>
        <v>Тумба с раковиной  навес. Альба 700 мята 1 ящик с умыв. Слим</v>
      </c>
      <c r="H5222">
        <f>VLOOKUP(D5222,Товары!A:I,6,0)</f>
        <v>45</v>
      </c>
      <c r="I5222" t="str">
        <f>VLOOKUP(C5222,Магазины!A:C,3,0)</f>
        <v>Ставрополь</v>
      </c>
      <c r="J5222">
        <f>VLOOKUP(D5222,Товары!A:I,4,0)</f>
        <v>20130</v>
      </c>
      <c r="K5222">
        <f t="shared" si="81"/>
        <v>40260</v>
      </c>
    </row>
    <row r="5223" spans="1:11" hidden="1" x14ac:dyDescent="0.25">
      <c r="A5223">
        <v>5222</v>
      </c>
      <c r="B5223" s="1">
        <v>45753</v>
      </c>
      <c r="C5223" t="s">
        <v>58</v>
      </c>
      <c r="D5223" t="s">
        <v>38</v>
      </c>
      <c r="E5223" t="s">
        <v>13</v>
      </c>
      <c r="F5223">
        <v>1</v>
      </c>
      <c r="G5223" t="str">
        <f>VLOOKUP(D5223,Товары!A:I,3,0)</f>
        <v>Тумба с раковиной  навес. Куба Риф 600 белый 2 ящика с умыв. Como</v>
      </c>
      <c r="H5223">
        <f>VLOOKUP(D5223,Товары!A:I,6,0)</f>
        <v>55</v>
      </c>
      <c r="I5223" t="str">
        <f>VLOOKUP(C5223,Магазины!A:C,3,0)</f>
        <v>Ставрополь</v>
      </c>
      <c r="J5223">
        <f>VLOOKUP(D5223,Товары!A:I,4,0)</f>
        <v>14265</v>
      </c>
      <c r="K5223">
        <f t="shared" si="81"/>
        <v>14265</v>
      </c>
    </row>
    <row r="5224" spans="1:11" hidden="1" x14ac:dyDescent="0.25">
      <c r="A5224">
        <v>5223</v>
      </c>
      <c r="B5224" s="1">
        <v>45756</v>
      </c>
      <c r="C5224" t="s">
        <v>16</v>
      </c>
      <c r="D5224" t="s">
        <v>66</v>
      </c>
      <c r="E5224" t="s">
        <v>8</v>
      </c>
      <c r="F5224">
        <v>3</v>
      </c>
      <c r="G5224" t="str">
        <f>VLOOKUP(D5224,Товары!A:I,3,0)</f>
        <v>Тумба с раковиной  навес. Альба 800 мята 2 ящика с умыв. Слим</v>
      </c>
      <c r="H5224">
        <f>VLOOKUP(D5224,Товары!A:I,6,0)</f>
        <v>50</v>
      </c>
      <c r="I5224" t="str">
        <f>VLOOKUP(C5224,Магазины!A:C,3,0)</f>
        <v>Оренбург</v>
      </c>
      <c r="J5224">
        <f>VLOOKUP(D5224,Товары!A:I,4,0)</f>
        <v>26070</v>
      </c>
      <c r="K5224">
        <f t="shared" si="81"/>
        <v>78210</v>
      </c>
    </row>
    <row r="5225" spans="1:11" hidden="1" x14ac:dyDescent="0.25">
      <c r="A5225">
        <v>5224</v>
      </c>
      <c r="B5225" s="1">
        <v>45756</v>
      </c>
      <c r="C5225" t="s">
        <v>20</v>
      </c>
      <c r="D5225" t="s">
        <v>24</v>
      </c>
      <c r="E5225" t="s">
        <v>8</v>
      </c>
      <c r="F5225">
        <v>3</v>
      </c>
      <c r="G5225" t="str">
        <f>VLOOKUP(D5225,Товары!A:I,3,0)</f>
        <v>Тумба с раковиной  напол. Леон 600 форест 2 ящика с умыв. Слим</v>
      </c>
      <c r="H5225">
        <f>VLOOKUP(D5225,Товары!A:I,6,0)</f>
        <v>80</v>
      </c>
      <c r="I5225" t="str">
        <f>VLOOKUP(C5225,Магазины!A:C,3,0)</f>
        <v>Оренбург</v>
      </c>
      <c r="J5225">
        <f>VLOOKUP(D5225,Товары!A:I,4,0)</f>
        <v>27150</v>
      </c>
      <c r="K5225">
        <f t="shared" si="81"/>
        <v>81450</v>
      </c>
    </row>
    <row r="5226" spans="1:11" hidden="1" x14ac:dyDescent="0.25">
      <c r="A5226">
        <v>5225</v>
      </c>
      <c r="B5226" s="1">
        <v>45751</v>
      </c>
      <c r="C5226" t="s">
        <v>92</v>
      </c>
      <c r="D5226" t="s">
        <v>12</v>
      </c>
      <c r="E5226" t="s">
        <v>13</v>
      </c>
      <c r="F5226">
        <v>3</v>
      </c>
      <c r="G5226" t="str">
        <f>VLOOKUP(D5226,Товары!A:I,3,0)</f>
        <v>Тумба с раковиной  напол. Сохо 700 белый 2 двери с умыв. Слим</v>
      </c>
      <c r="H5226">
        <f>VLOOKUP(D5226,Товары!A:I,6,0)</f>
        <v>85</v>
      </c>
      <c r="I5226" t="str">
        <f>VLOOKUP(C5226,Магазины!A:C,3,0)</f>
        <v>Кемерово</v>
      </c>
      <c r="J5226">
        <f>VLOOKUP(D5226,Товары!A:I,4,0)</f>
        <v>17160</v>
      </c>
      <c r="K5226">
        <f t="shared" si="81"/>
        <v>51480</v>
      </c>
    </row>
    <row r="5227" spans="1:11" hidden="1" x14ac:dyDescent="0.25">
      <c r="A5227">
        <v>5226</v>
      </c>
      <c r="B5227" s="1">
        <v>45748</v>
      </c>
      <c r="C5227" t="s">
        <v>54</v>
      </c>
      <c r="D5227" t="s">
        <v>53</v>
      </c>
      <c r="E5227" t="s">
        <v>8</v>
      </c>
      <c r="F5227">
        <v>2</v>
      </c>
      <c r="G5227" t="str">
        <f>VLOOKUP(D5227,Товары!A:I,3,0)</f>
        <v>Тумба с раковиной  напол. Кристалл 600 шато азур 2 ящика с умыв. Океан</v>
      </c>
      <c r="H5227">
        <f>VLOOKUP(D5227,Товары!A:I,6,0)</f>
        <v>85</v>
      </c>
      <c r="I5227" t="str">
        <f>VLOOKUP(C5227,Магазины!A:C,3,0)</f>
        <v>Ставрополь</v>
      </c>
      <c r="J5227">
        <f>VLOOKUP(D5227,Товары!A:I,4,0)</f>
        <v>27600</v>
      </c>
      <c r="K5227">
        <f t="shared" si="81"/>
        <v>55200</v>
      </c>
    </row>
    <row r="5228" spans="1:11" hidden="1" x14ac:dyDescent="0.25">
      <c r="A5228">
        <v>5227</v>
      </c>
      <c r="B5228" s="1">
        <v>45750</v>
      </c>
      <c r="C5228" t="s">
        <v>14</v>
      </c>
      <c r="D5228" t="s">
        <v>59</v>
      </c>
      <c r="E5228" t="s">
        <v>8</v>
      </c>
      <c r="F5228">
        <v>3</v>
      </c>
      <c r="G5228" t="str">
        <f>VLOOKUP(D5228,Товары!A:I,3,0)</f>
        <v>Тумба с раковиной  навес. Куба Риф 600 белый 2 ящика с умыв. Океан</v>
      </c>
      <c r="H5228">
        <f>VLOOKUP(D5228,Товары!A:I,6,0)</f>
        <v>55</v>
      </c>
      <c r="I5228" t="str">
        <f>VLOOKUP(C5228,Магазины!A:C,3,0)</f>
        <v>Оренбург</v>
      </c>
      <c r="J5228">
        <f>VLOOKUP(D5228,Товары!A:I,4,0)</f>
        <v>15765</v>
      </c>
      <c r="K5228">
        <f t="shared" si="81"/>
        <v>47295</v>
      </c>
    </row>
    <row r="5229" spans="1:11" hidden="1" x14ac:dyDescent="0.25">
      <c r="A5229">
        <v>5228</v>
      </c>
      <c r="B5229" s="1">
        <v>45750</v>
      </c>
      <c r="C5229" t="s">
        <v>6</v>
      </c>
      <c r="D5229" t="s">
        <v>66</v>
      </c>
      <c r="E5229" t="s">
        <v>8</v>
      </c>
      <c r="F5229">
        <v>1</v>
      </c>
      <c r="G5229" t="str">
        <f>VLOOKUP(D5229,Товары!A:I,3,0)</f>
        <v>Тумба с раковиной  навес. Альба 800 мята 2 ящика с умыв. Слим</v>
      </c>
      <c r="H5229">
        <f>VLOOKUP(D5229,Товары!A:I,6,0)</f>
        <v>50</v>
      </c>
      <c r="I5229" t="str">
        <f>VLOOKUP(C5229,Магазины!A:C,3,0)</f>
        <v>Оренбург</v>
      </c>
      <c r="J5229">
        <f>VLOOKUP(D5229,Товары!A:I,4,0)</f>
        <v>26070</v>
      </c>
      <c r="K5229">
        <f t="shared" si="81"/>
        <v>26070</v>
      </c>
    </row>
    <row r="5230" spans="1:11" hidden="1" x14ac:dyDescent="0.25">
      <c r="A5230">
        <v>5229</v>
      </c>
      <c r="B5230" s="1">
        <v>45751</v>
      </c>
      <c r="C5230" t="s">
        <v>11</v>
      </c>
      <c r="D5230" t="s">
        <v>119</v>
      </c>
      <c r="E5230" t="s">
        <v>13</v>
      </c>
      <c r="F5230">
        <v>1</v>
      </c>
      <c r="G5230" t="str">
        <f>VLOOKUP(D5230,Товары!A:I,3,0)</f>
        <v>Пенал навес./напол. Рица 350 cерый/керамика 2 двери</v>
      </c>
      <c r="H5230">
        <f>VLOOKUP(D5230,Товары!A:I,6,0)</f>
        <v>160</v>
      </c>
      <c r="I5230" t="str">
        <f>VLOOKUP(C5230,Магазины!A:C,3,0)</f>
        <v>Кемерово</v>
      </c>
      <c r="J5230">
        <f>VLOOKUP(D5230,Товары!A:I,4,0)</f>
        <v>11250</v>
      </c>
      <c r="K5230">
        <f t="shared" si="81"/>
        <v>11250</v>
      </c>
    </row>
    <row r="5231" spans="1:11" hidden="1" x14ac:dyDescent="0.25">
      <c r="A5231">
        <v>5230</v>
      </c>
      <c r="B5231" s="1">
        <v>45753</v>
      </c>
      <c r="C5231" t="s">
        <v>30</v>
      </c>
      <c r="D5231" t="s">
        <v>105</v>
      </c>
      <c r="E5231" t="s">
        <v>8</v>
      </c>
      <c r="F5231">
        <v>2</v>
      </c>
      <c r="G5231" t="str">
        <f>VLOOKUP(D5231,Товары!A:I,3,0)</f>
        <v>Тумба с раковиной  напол. Нева 600 белый 2 двери + 1 ящик с умыв. Como</v>
      </c>
      <c r="H5231">
        <f>VLOOKUP(D5231,Товары!A:I,6,0)</f>
        <v>80</v>
      </c>
      <c r="I5231" t="str">
        <f>VLOOKUP(C5231,Магазины!A:C,3,0)</f>
        <v>Кемерово</v>
      </c>
      <c r="J5231">
        <f>VLOOKUP(D5231,Товары!A:I,4,0)</f>
        <v>13470</v>
      </c>
      <c r="K5231">
        <f t="shared" si="81"/>
        <v>26940</v>
      </c>
    </row>
    <row r="5232" spans="1:11" hidden="1" x14ac:dyDescent="0.25">
      <c r="A5232">
        <v>5231</v>
      </c>
      <c r="B5232" s="1">
        <v>45750</v>
      </c>
      <c r="C5232" t="s">
        <v>30</v>
      </c>
      <c r="D5232" t="s">
        <v>42</v>
      </c>
      <c r="E5232" t="s">
        <v>8</v>
      </c>
      <c r="F5232">
        <v>1</v>
      </c>
      <c r="G5232" t="str">
        <f>VLOOKUP(D5232,Товары!A:I,3,0)</f>
        <v>Тумба под стиральную машину Леон Риф 57 подвесная 2 ящика под ст/маш, без умывальника /под Marshall 120 Солярис/Белый Риф</v>
      </c>
      <c r="H5232">
        <f>VLOOKUP(D5232,Товары!A:I,6,0)</f>
        <v>60</v>
      </c>
      <c r="I5232" t="str">
        <f>VLOOKUP(C5232,Магазины!A:C,3,0)</f>
        <v>Кемерово</v>
      </c>
      <c r="J5232">
        <f>VLOOKUP(D5232,Товары!A:I,4,0)</f>
        <v>15495</v>
      </c>
      <c r="K5232">
        <f t="shared" si="81"/>
        <v>15495</v>
      </c>
    </row>
    <row r="5233" spans="1:11" hidden="1" x14ac:dyDescent="0.25">
      <c r="A5233">
        <v>5232</v>
      </c>
      <c r="B5233" s="1">
        <v>45757</v>
      </c>
      <c r="C5233" t="s">
        <v>11</v>
      </c>
      <c r="D5233" t="s">
        <v>84</v>
      </c>
      <c r="E5233" t="s">
        <v>8</v>
      </c>
      <c r="F5233">
        <v>2</v>
      </c>
      <c r="G5233" t="str">
        <f>VLOOKUP(D5233,Товары!A:I,3,0)</f>
        <v>Тумба с раковиной  напол. Куба Риф 800 белый 3 двери с умыв. Слим</v>
      </c>
      <c r="H5233">
        <f>VLOOKUP(D5233,Товары!A:I,6,0)</f>
        <v>85</v>
      </c>
      <c r="I5233" t="str">
        <f>VLOOKUP(C5233,Магазины!A:C,3,0)</f>
        <v>Кемерово</v>
      </c>
      <c r="J5233">
        <f>VLOOKUP(D5233,Товары!A:I,4,0)</f>
        <v>19920</v>
      </c>
      <c r="K5233">
        <f t="shared" si="81"/>
        <v>39840</v>
      </c>
    </row>
    <row r="5234" spans="1:11" hidden="1" x14ac:dyDescent="0.25">
      <c r="A5234">
        <v>5233</v>
      </c>
      <c r="B5234" s="1">
        <v>45750</v>
      </c>
      <c r="C5234" t="s">
        <v>48</v>
      </c>
      <c r="D5234" t="s">
        <v>85</v>
      </c>
      <c r="E5234" t="s">
        <v>8</v>
      </c>
      <c r="F5234">
        <v>1</v>
      </c>
      <c r="G5234" t="str">
        <f>VLOOKUP(D5234,Товары!A:I,3,0)</f>
        <v>Пенал напол. Аква 450 белый 2 двери + 2 ящика + корзина</v>
      </c>
      <c r="H5234">
        <f>VLOOKUP(D5234,Товары!A:I,6,0)</f>
        <v>190</v>
      </c>
      <c r="I5234" t="str">
        <f>VLOOKUP(C5234,Магазины!A:C,3,0)</f>
        <v>Ставрополь</v>
      </c>
      <c r="J5234">
        <f>VLOOKUP(D5234,Товары!A:I,4,0)</f>
        <v>13335</v>
      </c>
      <c r="K5234">
        <f t="shared" si="81"/>
        <v>13335</v>
      </c>
    </row>
    <row r="5235" spans="1:11" hidden="1" x14ac:dyDescent="0.25">
      <c r="A5235">
        <v>5234</v>
      </c>
      <c r="B5235" s="1">
        <v>45757</v>
      </c>
      <c r="C5235" t="s">
        <v>63</v>
      </c>
      <c r="D5235" t="s">
        <v>90</v>
      </c>
      <c r="E5235" t="s">
        <v>8</v>
      </c>
      <c r="F5235">
        <v>1</v>
      </c>
      <c r="G5235" t="str">
        <f>VLOOKUP(D5235,Товары!A:I,3,0)</f>
        <v>Пенал напол. Аква 350 белый 2 двери + 2 ящика</v>
      </c>
      <c r="H5235">
        <f>VLOOKUP(D5235,Товары!A:I,6,0)</f>
        <v>190</v>
      </c>
      <c r="I5235" t="str">
        <f>VLOOKUP(C5235,Магазины!A:C,3,0)</f>
        <v>Ставрополь</v>
      </c>
      <c r="J5235">
        <f>VLOOKUP(D5235,Товары!A:I,4,0)</f>
        <v>10650</v>
      </c>
      <c r="K5235">
        <f t="shared" si="81"/>
        <v>10650</v>
      </c>
    </row>
    <row r="5236" spans="1:11" hidden="1" x14ac:dyDescent="0.25">
      <c r="A5236">
        <v>5235</v>
      </c>
      <c r="B5236" s="1">
        <v>45756</v>
      </c>
      <c r="C5236" t="s">
        <v>92</v>
      </c>
      <c r="D5236" t="s">
        <v>60</v>
      </c>
      <c r="E5236" t="s">
        <v>13</v>
      </c>
      <c r="F5236">
        <v>3</v>
      </c>
      <c r="G5236" t="str">
        <f>VLOOKUP(D5236,Товары!A:I,3,0)</f>
        <v>Пенал навес. Куба Риф 350 белый 2 двери</v>
      </c>
      <c r="H5236">
        <f>VLOOKUP(D5236,Товары!A:I,6,0)</f>
        <v>150</v>
      </c>
      <c r="I5236" t="str">
        <f>VLOOKUP(C5236,Магазины!A:C,3,0)</f>
        <v>Кемерово</v>
      </c>
      <c r="J5236">
        <f>VLOOKUP(D5236,Товары!A:I,4,0)</f>
        <v>9720</v>
      </c>
      <c r="K5236">
        <f t="shared" si="81"/>
        <v>29160</v>
      </c>
    </row>
    <row r="5237" spans="1:11" hidden="1" x14ac:dyDescent="0.25">
      <c r="A5237">
        <v>5236</v>
      </c>
      <c r="B5237" s="1">
        <v>45748</v>
      </c>
      <c r="C5237" t="s">
        <v>30</v>
      </c>
      <c r="D5237" t="s">
        <v>110</v>
      </c>
      <c r="E5237" t="s">
        <v>8</v>
      </c>
      <c r="F5237">
        <v>1</v>
      </c>
      <c r="G5237" t="str">
        <f>VLOOKUP(D5237,Товары!A:I,3,0)</f>
        <v>Тумба с раковиной  напол. Альба 600 антрацит 2 ящика с умыв. Океан</v>
      </c>
      <c r="H5237">
        <f>VLOOKUP(D5237,Товары!A:I,6,0)</f>
        <v>80</v>
      </c>
      <c r="I5237" t="str">
        <f>VLOOKUP(C5237,Магазины!A:C,3,0)</f>
        <v>Кемерово</v>
      </c>
      <c r="J5237">
        <f>VLOOKUP(D5237,Товары!A:I,4,0)</f>
        <v>26370</v>
      </c>
      <c r="K5237">
        <f t="shared" si="81"/>
        <v>26370</v>
      </c>
    </row>
    <row r="5238" spans="1:11" hidden="1" x14ac:dyDescent="0.25">
      <c r="A5238">
        <v>5237</v>
      </c>
      <c r="B5238" s="1">
        <v>45753</v>
      </c>
      <c r="C5238" t="s">
        <v>103</v>
      </c>
      <c r="D5238" t="s">
        <v>12</v>
      </c>
      <c r="E5238" t="s">
        <v>8</v>
      </c>
      <c r="F5238">
        <v>1</v>
      </c>
      <c r="G5238" t="str">
        <f>VLOOKUP(D5238,Товары!A:I,3,0)</f>
        <v>Тумба с раковиной  напол. Сохо 700 белый 2 двери с умыв. Слим</v>
      </c>
      <c r="H5238">
        <f>VLOOKUP(D5238,Товары!A:I,6,0)</f>
        <v>85</v>
      </c>
      <c r="I5238" t="str">
        <f>VLOOKUP(C5238,Магазины!A:C,3,0)</f>
        <v>Ставрополь</v>
      </c>
      <c r="J5238">
        <f>VLOOKUP(D5238,Товары!A:I,4,0)</f>
        <v>17160</v>
      </c>
      <c r="K5238">
        <f t="shared" si="81"/>
        <v>17160</v>
      </c>
    </row>
    <row r="5239" spans="1:11" hidden="1" x14ac:dyDescent="0.25">
      <c r="A5239">
        <v>5238</v>
      </c>
      <c r="B5239" s="1">
        <v>45750</v>
      </c>
      <c r="C5239" t="s">
        <v>48</v>
      </c>
      <c r="D5239" t="s">
        <v>23</v>
      </c>
      <c r="E5239" t="s">
        <v>13</v>
      </c>
      <c r="F5239">
        <v>1</v>
      </c>
      <c r="G5239" t="str">
        <f>VLOOKUP(D5239,Товары!A:I,3,0)</f>
        <v>Тумба с раковиной  напол. Альба 800 антрацит 2 ящика с умыв. Слим</v>
      </c>
      <c r="H5239">
        <f>VLOOKUP(D5239,Товары!A:I,6,0)</f>
        <v>80</v>
      </c>
      <c r="I5239" t="str">
        <f>VLOOKUP(C5239,Магазины!A:C,3,0)</f>
        <v>Ставрополь</v>
      </c>
      <c r="J5239">
        <f>VLOOKUP(D5239,Товары!A:I,4,0)</f>
        <v>29340</v>
      </c>
      <c r="K5239">
        <f t="shared" si="81"/>
        <v>29340</v>
      </c>
    </row>
    <row r="5240" spans="1:11" hidden="1" x14ac:dyDescent="0.25">
      <c r="A5240">
        <v>5239</v>
      </c>
      <c r="B5240" s="1">
        <v>45757</v>
      </c>
      <c r="C5240" t="s">
        <v>58</v>
      </c>
      <c r="D5240" t="s">
        <v>27</v>
      </c>
      <c r="E5240" t="s">
        <v>13</v>
      </c>
      <c r="F5240">
        <v>1</v>
      </c>
      <c r="G5240" t="str">
        <f>VLOOKUP(D5240,Товары!A:I,3,0)</f>
        <v>Тумба с раковиной  навес. Виктория 800 белый 2 ящика с умыв. Слим</v>
      </c>
      <c r="H5240">
        <f>VLOOKUP(D5240,Товары!A:I,6,0)</f>
        <v>60</v>
      </c>
      <c r="I5240" t="str">
        <f>VLOOKUP(C5240,Магазины!A:C,3,0)</f>
        <v>Ставрополь</v>
      </c>
      <c r="J5240">
        <f>VLOOKUP(D5240,Товары!A:I,4,0)</f>
        <v>25290</v>
      </c>
      <c r="K5240">
        <f t="shared" si="81"/>
        <v>25290</v>
      </c>
    </row>
    <row r="5241" spans="1:11" hidden="1" x14ac:dyDescent="0.25">
      <c r="A5241">
        <v>5240</v>
      </c>
      <c r="B5241" s="1">
        <v>45754</v>
      </c>
      <c r="C5241" t="s">
        <v>30</v>
      </c>
      <c r="D5241" t="s">
        <v>130</v>
      </c>
      <c r="E5241" t="s">
        <v>8</v>
      </c>
      <c r="F5241">
        <v>1</v>
      </c>
      <c r="G5241" t="str">
        <f>VLOOKUP(D5241,Товары!A:I,3,0)</f>
        <v>Пенал напол. Леон 400 форест 2 двери + 1 ящик</v>
      </c>
      <c r="H5241">
        <f>VLOOKUP(D5241,Товары!A:I,6,0)</f>
        <v>190</v>
      </c>
      <c r="I5241" t="str">
        <f>VLOOKUP(C5241,Магазины!A:C,3,0)</f>
        <v>Кемерово</v>
      </c>
      <c r="J5241">
        <f>VLOOKUP(D5241,Товары!A:I,4,0)</f>
        <v>18450</v>
      </c>
      <c r="K5241">
        <f t="shared" si="81"/>
        <v>18450</v>
      </c>
    </row>
    <row r="5242" spans="1:11" hidden="1" x14ac:dyDescent="0.25">
      <c r="A5242">
        <v>5241</v>
      </c>
      <c r="B5242" s="1">
        <v>45755</v>
      </c>
      <c r="C5242" t="s">
        <v>14</v>
      </c>
      <c r="D5242" t="s">
        <v>126</v>
      </c>
      <c r="E5242" t="s">
        <v>13</v>
      </c>
      <c r="F5242">
        <v>1</v>
      </c>
      <c r="G5242" t="str">
        <f>VLOOKUP(D5242,Товары!A:I,3,0)</f>
        <v>Тумба с раковиной  напол. Кристалл 800 шато азур 2 ящика с умыв. Комфорт</v>
      </c>
      <c r="H5242">
        <f>VLOOKUP(D5242,Товары!A:I,6,0)</f>
        <v>85</v>
      </c>
      <c r="I5242" t="str">
        <f>VLOOKUP(C5242,Магазины!A:C,3,0)</f>
        <v>Оренбург</v>
      </c>
      <c r="J5242">
        <f>VLOOKUP(D5242,Товары!A:I,4,0)</f>
        <v>31125</v>
      </c>
      <c r="K5242">
        <f t="shared" si="81"/>
        <v>31125</v>
      </c>
    </row>
    <row r="5243" spans="1:11" hidden="1" x14ac:dyDescent="0.25">
      <c r="A5243">
        <v>5242</v>
      </c>
      <c r="B5243" s="1">
        <v>45750</v>
      </c>
      <c r="C5243" t="s">
        <v>58</v>
      </c>
      <c r="D5243" t="s">
        <v>39</v>
      </c>
      <c r="E5243" t="s">
        <v>13</v>
      </c>
      <c r="F5243">
        <v>2</v>
      </c>
      <c r="G5243" t="str">
        <f>VLOOKUP(D5243,Товары!A:I,3,0)</f>
        <v>Тумба с раковиной  напол. Альба 700 мята 2 ящика с умыв. Слим</v>
      </c>
      <c r="H5243">
        <f>VLOOKUP(D5243,Товары!A:I,6,0)</f>
        <v>85</v>
      </c>
      <c r="I5243" t="str">
        <f>VLOOKUP(C5243,Магазины!A:C,3,0)</f>
        <v>Ставрополь</v>
      </c>
      <c r="J5243">
        <f>VLOOKUP(D5243,Товары!A:I,4,0)</f>
        <v>28695</v>
      </c>
      <c r="K5243">
        <f t="shared" si="81"/>
        <v>57390</v>
      </c>
    </row>
    <row r="5244" spans="1:11" hidden="1" x14ac:dyDescent="0.25">
      <c r="A5244">
        <v>5243</v>
      </c>
      <c r="B5244" s="1">
        <v>45749</v>
      </c>
      <c r="C5244" t="s">
        <v>48</v>
      </c>
      <c r="D5244" t="s">
        <v>56</v>
      </c>
      <c r="E5244" t="s">
        <v>8</v>
      </c>
      <c r="F5244">
        <v>2</v>
      </c>
      <c r="G5244" t="str">
        <f>VLOOKUP(D5244,Товары!A:I,3,0)</f>
        <v>Зеркальный шкаф Альба 80 со светильником правый цвет мята</v>
      </c>
      <c r="H5244">
        <f>VLOOKUP(D5244,Товары!A:I,6,0)</f>
        <v>75</v>
      </c>
      <c r="I5244" t="str">
        <f>VLOOKUP(C5244,Магазины!A:C,3,0)</f>
        <v>Ставрополь</v>
      </c>
      <c r="J5244">
        <f>VLOOKUP(D5244,Товары!A:I,4,0)</f>
        <v>9930</v>
      </c>
      <c r="K5244">
        <f t="shared" si="81"/>
        <v>19860</v>
      </c>
    </row>
    <row r="5245" spans="1:11" hidden="1" x14ac:dyDescent="0.25">
      <c r="A5245">
        <v>5244</v>
      </c>
      <c r="B5245" s="1">
        <v>45752</v>
      </c>
      <c r="C5245" t="s">
        <v>33</v>
      </c>
      <c r="D5245" t="s">
        <v>99</v>
      </c>
      <c r="E5245" t="s">
        <v>8</v>
      </c>
      <c r="F5245">
        <v>3</v>
      </c>
      <c r="G5245" t="str">
        <f>VLOOKUP(D5245,Товары!A:I,3,0)</f>
        <v>Тумба с раковиной  навес. Леон 600 оникс 2 ящика с умыв. Слим</v>
      </c>
      <c r="H5245">
        <f>VLOOKUP(D5245,Товары!A:I,6,0)</f>
        <v>60</v>
      </c>
      <c r="I5245" t="str">
        <f>VLOOKUP(C5245,Магазины!A:C,3,0)</f>
        <v>Набережные Челны</v>
      </c>
      <c r="J5245">
        <f>VLOOKUP(D5245,Товары!A:I,4,0)</f>
        <v>25125</v>
      </c>
      <c r="K5245">
        <f t="shared" si="81"/>
        <v>75375</v>
      </c>
    </row>
    <row r="5246" spans="1:11" hidden="1" x14ac:dyDescent="0.25">
      <c r="A5246">
        <v>5245</v>
      </c>
      <c r="B5246" s="1">
        <v>45750</v>
      </c>
      <c r="C5246" t="s">
        <v>11</v>
      </c>
      <c r="D5246" t="s">
        <v>125</v>
      </c>
      <c r="E5246" t="s">
        <v>13</v>
      </c>
      <c r="F5246">
        <v>3</v>
      </c>
      <c r="G5246" t="str">
        <f>VLOOKUP(D5246,Товары!A:I,3,0)</f>
        <v>Зеркальный шкаф Сохо 60 белый со светильником правый цвет Белый глянец</v>
      </c>
      <c r="H5246">
        <f>VLOOKUP(D5246,Товары!A:I,6,0)</f>
        <v>75</v>
      </c>
      <c r="I5246" t="str">
        <f>VLOOKUP(C5246,Магазины!A:C,3,0)</f>
        <v>Кемерово</v>
      </c>
      <c r="J5246">
        <f>VLOOKUP(D5246,Товары!A:I,4,0)</f>
        <v>7395</v>
      </c>
      <c r="K5246">
        <f t="shared" si="81"/>
        <v>22185</v>
      </c>
    </row>
    <row r="5247" spans="1:11" hidden="1" x14ac:dyDescent="0.25">
      <c r="A5247">
        <v>5246</v>
      </c>
      <c r="B5247" s="1">
        <v>45748</v>
      </c>
      <c r="C5247" t="s">
        <v>35</v>
      </c>
      <c r="D5247" t="s">
        <v>122</v>
      </c>
      <c r="E5247" t="s">
        <v>8</v>
      </c>
      <c r="F5247">
        <v>3</v>
      </c>
      <c r="G5247" t="str">
        <f>VLOOKUP(D5247,Товары!A:I,3,0)</f>
        <v>Тумба с раковиной  навес. Кристалл 600 шато азур 2 ящика с умыв. Океан</v>
      </c>
      <c r="H5247">
        <f>VLOOKUP(D5247,Товары!A:I,6,0)</f>
        <v>55</v>
      </c>
      <c r="I5247" t="str">
        <f>VLOOKUP(C5247,Магазины!A:C,3,0)</f>
        <v>Набережные Челны</v>
      </c>
      <c r="J5247">
        <f>VLOOKUP(D5247,Товары!A:I,4,0)</f>
        <v>21960</v>
      </c>
      <c r="K5247">
        <f t="shared" si="81"/>
        <v>65880</v>
      </c>
    </row>
    <row r="5248" spans="1:11" hidden="1" x14ac:dyDescent="0.25">
      <c r="A5248">
        <v>5247</v>
      </c>
      <c r="B5248" s="1">
        <v>45757</v>
      </c>
      <c r="C5248" t="s">
        <v>43</v>
      </c>
      <c r="D5248" t="s">
        <v>123</v>
      </c>
      <c r="E5248" t="s">
        <v>13</v>
      </c>
      <c r="F5248">
        <v>1</v>
      </c>
      <c r="G5248" t="str">
        <f>VLOOKUP(D5248,Товары!A:I,3,0)</f>
        <v>Тумба с раковиной  напол. Кристалл 800 суфле 2 ящика с умыв. Слим</v>
      </c>
      <c r="H5248">
        <f>VLOOKUP(D5248,Товары!A:I,6,0)</f>
        <v>80</v>
      </c>
      <c r="I5248" t="str">
        <f>VLOOKUP(C5248,Магазины!A:C,3,0)</f>
        <v>Набережные Челны</v>
      </c>
      <c r="J5248">
        <f>VLOOKUP(D5248,Товары!A:I,4,0)</f>
        <v>31125</v>
      </c>
      <c r="K5248">
        <f t="shared" si="81"/>
        <v>31125</v>
      </c>
    </row>
    <row r="5249" spans="1:11" hidden="1" x14ac:dyDescent="0.25">
      <c r="A5249">
        <v>5248</v>
      </c>
      <c r="B5249" s="1">
        <v>45756</v>
      </c>
      <c r="C5249" t="s">
        <v>20</v>
      </c>
      <c r="D5249" t="s">
        <v>25</v>
      </c>
      <c r="E5249" t="s">
        <v>13</v>
      </c>
      <c r="F5249">
        <v>3</v>
      </c>
      <c r="G5249" t="str">
        <f>VLOOKUP(D5249,Товары!A:I,3,0)</f>
        <v>Пенал напол. Леон 400 оникс 2 двери + 1 ящик</v>
      </c>
      <c r="H5249">
        <f>VLOOKUP(D5249,Товары!A:I,6,0)</f>
        <v>190</v>
      </c>
      <c r="I5249" t="str">
        <f>VLOOKUP(C5249,Магазины!A:C,3,0)</f>
        <v>Оренбург</v>
      </c>
      <c r="J5249">
        <f>VLOOKUP(D5249,Товары!A:I,4,0)</f>
        <v>18450</v>
      </c>
      <c r="K5249">
        <f t="shared" si="81"/>
        <v>55350</v>
      </c>
    </row>
    <row r="5250" spans="1:11" hidden="1" x14ac:dyDescent="0.25">
      <c r="A5250">
        <v>5249</v>
      </c>
      <c r="B5250" s="1">
        <v>45754</v>
      </c>
      <c r="C5250" t="s">
        <v>92</v>
      </c>
      <c r="D5250" t="s">
        <v>96</v>
      </c>
      <c r="E5250" t="s">
        <v>8</v>
      </c>
      <c r="F5250">
        <v>3</v>
      </c>
      <c r="G5250" t="str">
        <f>VLOOKUP(D5250,Товары!A:I,3,0)</f>
        <v>Тумба с раковиной  навес. Альба 600 мята 1 ящик с умыв. Океан</v>
      </c>
      <c r="H5250">
        <f>VLOOKUP(D5250,Товары!A:I,6,0)</f>
        <v>85</v>
      </c>
      <c r="I5250" t="str">
        <f>VLOOKUP(C5250,Магазины!A:C,3,0)</f>
        <v>Кемерово</v>
      </c>
      <c r="J5250">
        <f>VLOOKUP(D5250,Товары!A:I,4,0)</f>
        <v>17625</v>
      </c>
      <c r="K5250">
        <f t="shared" si="81"/>
        <v>52875</v>
      </c>
    </row>
    <row r="5251" spans="1:11" hidden="1" x14ac:dyDescent="0.25">
      <c r="A5251">
        <v>5250</v>
      </c>
      <c r="B5251" s="1">
        <v>45754</v>
      </c>
      <c r="C5251" t="s">
        <v>16</v>
      </c>
      <c r="D5251" t="s">
        <v>27</v>
      </c>
      <c r="E5251" t="s">
        <v>13</v>
      </c>
      <c r="F5251">
        <v>3</v>
      </c>
      <c r="G5251" t="str">
        <f>VLOOKUP(D5251,Товары!A:I,3,0)</f>
        <v>Тумба с раковиной  навес. Виктория 800 белый 2 ящика с умыв. Слим</v>
      </c>
      <c r="H5251">
        <f>VLOOKUP(D5251,Товары!A:I,6,0)</f>
        <v>60</v>
      </c>
      <c r="I5251" t="str">
        <f>VLOOKUP(C5251,Магазины!A:C,3,0)</f>
        <v>Оренбург</v>
      </c>
      <c r="J5251">
        <f>VLOOKUP(D5251,Товары!A:I,4,0)</f>
        <v>25290</v>
      </c>
      <c r="K5251">
        <f t="shared" ref="K5251:K5314" si="82">J5251*F5251</f>
        <v>75870</v>
      </c>
    </row>
    <row r="5252" spans="1:11" hidden="1" x14ac:dyDescent="0.25">
      <c r="A5252">
        <v>5251</v>
      </c>
      <c r="B5252" s="1">
        <v>45756</v>
      </c>
      <c r="C5252" t="s">
        <v>41</v>
      </c>
      <c r="D5252" t="s">
        <v>27</v>
      </c>
      <c r="E5252" t="s">
        <v>8</v>
      </c>
      <c r="F5252">
        <v>1</v>
      </c>
      <c r="G5252" t="str">
        <f>VLOOKUP(D5252,Товары!A:I,3,0)</f>
        <v>Тумба с раковиной  навес. Виктория 800 белый 2 ящика с умыв. Слим</v>
      </c>
      <c r="H5252">
        <f>VLOOKUP(D5252,Товары!A:I,6,0)</f>
        <v>60</v>
      </c>
      <c r="I5252" t="str">
        <f>VLOOKUP(C5252,Магазины!A:C,3,0)</f>
        <v>Ставрополь</v>
      </c>
      <c r="J5252">
        <f>VLOOKUP(D5252,Товары!A:I,4,0)</f>
        <v>25290</v>
      </c>
      <c r="K5252">
        <f t="shared" si="82"/>
        <v>25290</v>
      </c>
    </row>
    <row r="5253" spans="1:11" hidden="1" x14ac:dyDescent="0.25">
      <c r="A5253">
        <v>5252</v>
      </c>
      <c r="B5253" s="1">
        <v>45754</v>
      </c>
      <c r="C5253" t="s">
        <v>57</v>
      </c>
      <c r="D5253" t="s">
        <v>89</v>
      </c>
      <c r="E5253" t="s">
        <v>8</v>
      </c>
      <c r="F5253">
        <v>1</v>
      </c>
      <c r="G5253" t="str">
        <f>VLOOKUP(D5253,Товары!A:I,3,0)</f>
        <v>Тумба с раковиной  напол. Сохо 600 белый 2 двери с умыв. Океан</v>
      </c>
      <c r="H5253">
        <f>VLOOKUP(D5253,Товары!A:I,6,0)</f>
        <v>85</v>
      </c>
      <c r="I5253" t="str">
        <f>VLOOKUP(C5253,Магазины!A:C,3,0)</f>
        <v>Оренбург</v>
      </c>
      <c r="J5253">
        <f>VLOOKUP(D5253,Товары!A:I,4,0)</f>
        <v>14880</v>
      </c>
      <c r="K5253">
        <f t="shared" si="82"/>
        <v>14880</v>
      </c>
    </row>
    <row r="5254" spans="1:11" hidden="1" x14ac:dyDescent="0.25">
      <c r="A5254">
        <v>5253</v>
      </c>
      <c r="B5254" s="1">
        <v>45755</v>
      </c>
      <c r="C5254" t="s">
        <v>30</v>
      </c>
      <c r="D5254" t="s">
        <v>107</v>
      </c>
      <c r="E5254" t="s">
        <v>13</v>
      </c>
      <c r="F5254">
        <v>3</v>
      </c>
      <c r="G5254" t="str">
        <f>VLOOKUP(D5254,Товары!A:I,3,0)</f>
        <v>Комод Аква 35 напольный 1 дверь белый правый</v>
      </c>
      <c r="H5254">
        <f>VLOOKUP(D5254,Товары!A:I,6,0)</f>
        <v>90</v>
      </c>
      <c r="I5254" t="str">
        <f>VLOOKUP(C5254,Магазины!A:C,3,0)</f>
        <v>Кемерово</v>
      </c>
      <c r="J5254">
        <f>VLOOKUP(D5254,Товары!A:I,4,0)</f>
        <v>6705</v>
      </c>
      <c r="K5254">
        <f t="shared" si="82"/>
        <v>20115</v>
      </c>
    </row>
    <row r="5255" spans="1:11" hidden="1" x14ac:dyDescent="0.25">
      <c r="A5255">
        <v>5254</v>
      </c>
      <c r="B5255" s="1">
        <v>45751</v>
      </c>
      <c r="C5255" t="s">
        <v>16</v>
      </c>
      <c r="D5255" t="s">
        <v>31</v>
      </c>
      <c r="E5255" t="s">
        <v>13</v>
      </c>
      <c r="F5255">
        <v>1</v>
      </c>
      <c r="G5255" t="str">
        <f>VLOOKUP(D5255,Товары!A:I,3,0)</f>
        <v>Пенал напол. Виктория 350 белый 2 двери</v>
      </c>
      <c r="H5255">
        <f>VLOOKUP(D5255,Товары!A:I,6,0)</f>
        <v>190</v>
      </c>
      <c r="I5255" t="str">
        <f>VLOOKUP(C5255,Магазины!A:C,3,0)</f>
        <v>Оренбург</v>
      </c>
      <c r="J5255">
        <f>VLOOKUP(D5255,Товары!A:I,4,0)</f>
        <v>14085</v>
      </c>
      <c r="K5255">
        <f t="shared" si="82"/>
        <v>14085</v>
      </c>
    </row>
    <row r="5256" spans="1:11" hidden="1" x14ac:dyDescent="0.25">
      <c r="A5256">
        <v>5255</v>
      </c>
      <c r="B5256" s="1">
        <v>45748</v>
      </c>
      <c r="C5256" t="s">
        <v>92</v>
      </c>
      <c r="D5256" t="s">
        <v>24</v>
      </c>
      <c r="E5256" t="s">
        <v>8</v>
      </c>
      <c r="F5256">
        <v>2</v>
      </c>
      <c r="G5256" t="str">
        <f>VLOOKUP(D5256,Товары!A:I,3,0)</f>
        <v>Тумба с раковиной  напол. Леон 600 форест 2 ящика с умыв. Слим</v>
      </c>
      <c r="H5256">
        <f>VLOOKUP(D5256,Товары!A:I,6,0)</f>
        <v>80</v>
      </c>
      <c r="I5256" t="str">
        <f>VLOOKUP(C5256,Магазины!A:C,3,0)</f>
        <v>Кемерово</v>
      </c>
      <c r="J5256">
        <f>VLOOKUP(D5256,Товары!A:I,4,0)</f>
        <v>27150</v>
      </c>
      <c r="K5256">
        <f t="shared" si="82"/>
        <v>54300</v>
      </c>
    </row>
    <row r="5257" spans="1:11" hidden="1" x14ac:dyDescent="0.25">
      <c r="A5257">
        <v>5256</v>
      </c>
      <c r="B5257" s="1">
        <v>45757</v>
      </c>
      <c r="C5257" t="s">
        <v>14</v>
      </c>
      <c r="D5257" t="s">
        <v>19</v>
      </c>
      <c r="E5257" t="s">
        <v>13</v>
      </c>
      <c r="F5257">
        <v>2</v>
      </c>
      <c r="G5257" t="str">
        <f>VLOOKUP(D5257,Товары!A:I,3,0)</f>
        <v>Тумба с раковиной  навес. Леон 800 оникс 2 ящика с умыв. Слим</v>
      </c>
      <c r="H5257">
        <f>VLOOKUP(D5257,Товары!A:I,6,0)</f>
        <v>60</v>
      </c>
      <c r="I5257" t="str">
        <f>VLOOKUP(C5257,Магазины!A:C,3,0)</f>
        <v>Оренбург</v>
      </c>
      <c r="J5257">
        <f>VLOOKUP(D5257,Товары!A:I,4,0)</f>
        <v>27930</v>
      </c>
      <c r="K5257">
        <f t="shared" si="82"/>
        <v>55860</v>
      </c>
    </row>
    <row r="5258" spans="1:11" hidden="1" x14ac:dyDescent="0.25">
      <c r="A5258">
        <v>5257</v>
      </c>
      <c r="B5258" s="1">
        <v>45756</v>
      </c>
      <c r="C5258" t="s">
        <v>22</v>
      </c>
      <c r="D5258" t="s">
        <v>96</v>
      </c>
      <c r="E5258" t="s">
        <v>8</v>
      </c>
      <c r="F5258">
        <v>1</v>
      </c>
      <c r="G5258" t="str">
        <f>VLOOKUP(D5258,Товары!A:I,3,0)</f>
        <v>Тумба с раковиной  навес. Альба 600 мята 1 ящик с умыв. Океан</v>
      </c>
      <c r="H5258">
        <f>VLOOKUP(D5258,Товары!A:I,6,0)</f>
        <v>85</v>
      </c>
      <c r="I5258" t="str">
        <f>VLOOKUP(C5258,Магазины!A:C,3,0)</f>
        <v>Кемерово</v>
      </c>
      <c r="J5258">
        <f>VLOOKUP(D5258,Товары!A:I,4,0)</f>
        <v>17625</v>
      </c>
      <c r="K5258">
        <f t="shared" si="82"/>
        <v>17625</v>
      </c>
    </row>
    <row r="5259" spans="1:11" hidden="1" x14ac:dyDescent="0.25">
      <c r="A5259">
        <v>5258</v>
      </c>
      <c r="B5259" s="1">
        <v>45749</v>
      </c>
      <c r="C5259" t="s">
        <v>18</v>
      </c>
      <c r="D5259" t="s">
        <v>119</v>
      </c>
      <c r="E5259" t="s">
        <v>8</v>
      </c>
      <c r="F5259">
        <v>3</v>
      </c>
      <c r="G5259" t="str">
        <f>VLOOKUP(D5259,Товары!A:I,3,0)</f>
        <v>Пенал навес./напол. Рица 350 cерый/керамика 2 двери</v>
      </c>
      <c r="H5259">
        <f>VLOOKUP(D5259,Товары!A:I,6,0)</f>
        <v>160</v>
      </c>
      <c r="I5259" t="str">
        <f>VLOOKUP(C5259,Магазины!A:C,3,0)</f>
        <v>Набережные Челны</v>
      </c>
      <c r="J5259">
        <f>VLOOKUP(D5259,Товары!A:I,4,0)</f>
        <v>11250</v>
      </c>
      <c r="K5259">
        <f t="shared" si="82"/>
        <v>33750</v>
      </c>
    </row>
    <row r="5260" spans="1:11" hidden="1" x14ac:dyDescent="0.25">
      <c r="A5260">
        <v>5259</v>
      </c>
      <c r="B5260" s="1">
        <v>45756</v>
      </c>
      <c r="C5260" t="s">
        <v>26</v>
      </c>
      <c r="D5260" t="s">
        <v>39</v>
      </c>
      <c r="E5260" t="s">
        <v>8</v>
      </c>
      <c r="F5260">
        <v>1</v>
      </c>
      <c r="G5260" t="str">
        <f>VLOOKUP(D5260,Товары!A:I,3,0)</f>
        <v>Тумба с раковиной  напол. Альба 700 мята 2 ящика с умыв. Слим</v>
      </c>
      <c r="H5260">
        <f>VLOOKUP(D5260,Товары!A:I,6,0)</f>
        <v>85</v>
      </c>
      <c r="I5260" t="str">
        <f>VLOOKUP(C5260,Магазины!A:C,3,0)</f>
        <v>Оренбург</v>
      </c>
      <c r="J5260">
        <f>VLOOKUP(D5260,Товары!A:I,4,0)</f>
        <v>28695</v>
      </c>
      <c r="K5260">
        <f t="shared" si="82"/>
        <v>28695</v>
      </c>
    </row>
    <row r="5261" spans="1:11" hidden="1" x14ac:dyDescent="0.25">
      <c r="A5261">
        <v>5260</v>
      </c>
      <c r="B5261" s="1">
        <v>45755</v>
      </c>
      <c r="C5261" t="s">
        <v>9</v>
      </c>
      <c r="D5261" t="s">
        <v>61</v>
      </c>
      <c r="E5261" t="s">
        <v>13</v>
      </c>
      <c r="F5261">
        <v>3</v>
      </c>
      <c r="G5261" t="str">
        <f>VLOOKUP(D5261,Товары!A:I,3,0)</f>
        <v>Тумба под стиральную машину Леон Риф 57 напольная 2 ящика под ст/маш, без умывальника /под Marshall 120 Солярис/Белый Риф</v>
      </c>
      <c r="H5261">
        <f>VLOOKUP(D5261,Товары!A:I,6,0)</f>
        <v>85</v>
      </c>
      <c r="I5261" t="str">
        <f>VLOOKUP(C5261,Магазины!A:C,3,0)</f>
        <v>Кемерово</v>
      </c>
      <c r="J5261">
        <f>VLOOKUP(D5261,Товары!A:I,4,0)</f>
        <v>17430</v>
      </c>
      <c r="K5261">
        <f t="shared" si="82"/>
        <v>52290</v>
      </c>
    </row>
    <row r="5262" spans="1:11" hidden="1" x14ac:dyDescent="0.25">
      <c r="A5262">
        <v>5261</v>
      </c>
      <c r="B5262" s="1">
        <v>45751</v>
      </c>
      <c r="C5262" t="s">
        <v>26</v>
      </c>
      <c r="D5262" t="s">
        <v>25</v>
      </c>
      <c r="E5262" t="s">
        <v>13</v>
      </c>
      <c r="F5262">
        <v>3</v>
      </c>
      <c r="G5262" t="str">
        <f>VLOOKUP(D5262,Товары!A:I,3,0)</f>
        <v>Пенал напол. Леон 400 оникс 2 двери + 1 ящик</v>
      </c>
      <c r="H5262">
        <f>VLOOKUP(D5262,Товары!A:I,6,0)</f>
        <v>190</v>
      </c>
      <c r="I5262" t="str">
        <f>VLOOKUP(C5262,Магазины!A:C,3,0)</f>
        <v>Оренбург</v>
      </c>
      <c r="J5262">
        <f>VLOOKUP(D5262,Товары!A:I,4,0)</f>
        <v>18450</v>
      </c>
      <c r="K5262">
        <f t="shared" si="82"/>
        <v>55350</v>
      </c>
    </row>
    <row r="5263" spans="1:11" hidden="1" x14ac:dyDescent="0.25">
      <c r="A5263">
        <v>5262</v>
      </c>
      <c r="B5263" s="1">
        <v>45749</v>
      </c>
      <c r="C5263" t="s">
        <v>111</v>
      </c>
      <c r="D5263" t="s">
        <v>88</v>
      </c>
      <c r="E5263" t="s">
        <v>8</v>
      </c>
      <c r="F5263">
        <v>1</v>
      </c>
      <c r="G5263" t="str">
        <f>VLOOKUP(D5263,Товары!A:I,3,0)</f>
        <v>Тумба с раковиной  навес. Альба 800 антрацит 2 ящика с умыв. Слим</v>
      </c>
      <c r="H5263">
        <f>VLOOKUP(D5263,Товары!A:I,6,0)</f>
        <v>50</v>
      </c>
      <c r="I5263" t="str">
        <f>VLOOKUP(C5263,Магазины!A:C,3,0)</f>
        <v>Набережные Челны</v>
      </c>
      <c r="J5263">
        <f>VLOOKUP(D5263,Товары!A:I,4,0)</f>
        <v>26070</v>
      </c>
      <c r="K5263">
        <f t="shared" si="82"/>
        <v>26070</v>
      </c>
    </row>
    <row r="5264" spans="1:11" hidden="1" x14ac:dyDescent="0.25">
      <c r="A5264">
        <v>5263</v>
      </c>
      <c r="B5264" s="1">
        <v>45756</v>
      </c>
      <c r="C5264" t="s">
        <v>14</v>
      </c>
      <c r="D5264" t="s">
        <v>69</v>
      </c>
      <c r="E5264" t="s">
        <v>13</v>
      </c>
      <c r="F5264">
        <v>2</v>
      </c>
      <c r="G5264" t="str">
        <f>VLOOKUP(D5264,Товары!A:I,3,0)</f>
        <v>Пенал навес./напол. Альба 350 антрацит 2 двери</v>
      </c>
      <c r="H5264">
        <f>VLOOKUP(D5264,Товары!A:I,6,0)</f>
        <v>150</v>
      </c>
      <c r="I5264" t="str">
        <f>VLOOKUP(C5264,Магазины!A:C,3,0)</f>
        <v>Оренбург</v>
      </c>
      <c r="J5264">
        <f>VLOOKUP(D5264,Товары!A:I,4,0)</f>
        <v>11655</v>
      </c>
      <c r="K5264">
        <f t="shared" si="82"/>
        <v>23310</v>
      </c>
    </row>
    <row r="5265" spans="1:11" hidden="1" x14ac:dyDescent="0.25">
      <c r="A5265">
        <v>5264</v>
      </c>
      <c r="B5265" s="1">
        <v>45749</v>
      </c>
      <c r="C5265" t="s">
        <v>63</v>
      </c>
      <c r="D5265" t="s">
        <v>10</v>
      </c>
      <c r="E5265" t="s">
        <v>13</v>
      </c>
      <c r="F5265">
        <v>1</v>
      </c>
      <c r="G5265" t="str">
        <f>VLOOKUP(D5265,Товары!A:I,3,0)</f>
        <v>Тумба с раковиной  навес. Альба 700 антрацит 1 ящик с умыв. Слим</v>
      </c>
      <c r="H5265">
        <f>VLOOKUP(D5265,Товары!A:I,6,0)</f>
        <v>45</v>
      </c>
      <c r="I5265" t="str">
        <f>VLOOKUP(C5265,Магазины!A:C,3,0)</f>
        <v>Ставрополь</v>
      </c>
      <c r="J5265">
        <f>VLOOKUP(D5265,Товары!A:I,4,0)</f>
        <v>20130</v>
      </c>
      <c r="K5265">
        <f t="shared" si="82"/>
        <v>20130</v>
      </c>
    </row>
    <row r="5266" spans="1:11" hidden="1" x14ac:dyDescent="0.25">
      <c r="A5266">
        <v>5265</v>
      </c>
      <c r="B5266" s="1">
        <v>45755</v>
      </c>
      <c r="C5266" t="s">
        <v>41</v>
      </c>
      <c r="D5266" t="s">
        <v>40</v>
      </c>
      <c r="E5266" t="s">
        <v>13</v>
      </c>
      <c r="F5266">
        <v>1</v>
      </c>
      <c r="G5266" t="str">
        <f>VLOOKUP(D5266,Товары!A:I,3,0)</f>
        <v>Тумба с раковиной  навес. Рица 800 cерый/керамика 1 ящик + ниша 1 с умыв. Слим</v>
      </c>
      <c r="H5266">
        <f>VLOOKUP(D5266,Товары!A:I,6,0)</f>
        <v>60</v>
      </c>
      <c r="I5266" t="str">
        <f>VLOOKUP(C5266,Магазины!A:C,3,0)</f>
        <v>Ставрополь</v>
      </c>
      <c r="J5266">
        <f>VLOOKUP(D5266,Товары!A:I,4,0)</f>
        <v>22425</v>
      </c>
      <c r="K5266">
        <f t="shared" si="82"/>
        <v>22425</v>
      </c>
    </row>
    <row r="5267" spans="1:11" hidden="1" x14ac:dyDescent="0.25">
      <c r="A5267">
        <v>5266</v>
      </c>
      <c r="B5267" s="1">
        <v>45751</v>
      </c>
      <c r="C5267" t="s">
        <v>41</v>
      </c>
      <c r="D5267" t="s">
        <v>83</v>
      </c>
      <c r="E5267" t="s">
        <v>8</v>
      </c>
      <c r="F5267">
        <v>1</v>
      </c>
      <c r="G5267" t="str">
        <f>VLOOKUP(D5267,Товары!A:I,3,0)</f>
        <v>Зеркальный шкаф Альба 60 со светильником правый цвет суфле</v>
      </c>
      <c r="H5267">
        <f>VLOOKUP(D5267,Товары!A:I,6,0)</f>
        <v>75</v>
      </c>
      <c r="I5267" t="str">
        <f>VLOOKUP(C5267,Магазины!A:C,3,0)</f>
        <v>Ставрополь</v>
      </c>
      <c r="J5267">
        <f>VLOOKUP(D5267,Товары!A:I,4,0)</f>
        <v>8910</v>
      </c>
      <c r="K5267">
        <f t="shared" si="82"/>
        <v>8910</v>
      </c>
    </row>
    <row r="5268" spans="1:11" hidden="1" x14ac:dyDescent="0.25">
      <c r="A5268">
        <v>5267</v>
      </c>
      <c r="B5268" s="1">
        <v>45749</v>
      </c>
      <c r="C5268" t="s">
        <v>43</v>
      </c>
      <c r="D5268" t="s">
        <v>106</v>
      </c>
      <c r="E5268" t="s">
        <v>13</v>
      </c>
      <c r="F5268">
        <v>2</v>
      </c>
      <c r="G5268" t="str">
        <f>VLOOKUP(D5268,Товары!A:I,3,0)</f>
        <v>Тумба с раковиной  навес. Кристалл 700 шато азур 2 ящика с умыв. Слим</v>
      </c>
      <c r="H5268">
        <f>VLOOKUP(D5268,Товары!A:I,6,0)</f>
        <v>60</v>
      </c>
      <c r="I5268" t="str">
        <f>VLOOKUP(C5268,Магазины!A:C,3,0)</f>
        <v>Набережные Челны</v>
      </c>
      <c r="J5268">
        <f>VLOOKUP(D5268,Товары!A:I,4,0)</f>
        <v>24150</v>
      </c>
      <c r="K5268">
        <f t="shared" si="82"/>
        <v>48300</v>
      </c>
    </row>
    <row r="5269" spans="1:11" hidden="1" x14ac:dyDescent="0.25">
      <c r="A5269">
        <v>5268</v>
      </c>
      <c r="B5269" s="1">
        <v>45749</v>
      </c>
      <c r="C5269" t="s">
        <v>43</v>
      </c>
      <c r="D5269" t="s">
        <v>126</v>
      </c>
      <c r="E5269" t="s">
        <v>13</v>
      </c>
      <c r="F5269">
        <v>1</v>
      </c>
      <c r="G5269" t="str">
        <f>VLOOKUP(D5269,Товары!A:I,3,0)</f>
        <v>Тумба с раковиной  напол. Кристалл 800 шато азур 2 ящика с умыв. Комфорт</v>
      </c>
      <c r="H5269">
        <f>VLOOKUP(D5269,Товары!A:I,6,0)</f>
        <v>85</v>
      </c>
      <c r="I5269" t="str">
        <f>VLOOKUP(C5269,Магазины!A:C,3,0)</f>
        <v>Набережные Челны</v>
      </c>
      <c r="J5269">
        <f>VLOOKUP(D5269,Товары!A:I,4,0)</f>
        <v>31125</v>
      </c>
      <c r="K5269">
        <f t="shared" si="82"/>
        <v>31125</v>
      </c>
    </row>
    <row r="5270" spans="1:11" hidden="1" x14ac:dyDescent="0.25">
      <c r="A5270">
        <v>5269</v>
      </c>
      <c r="B5270" s="1">
        <v>45757</v>
      </c>
      <c r="C5270" t="s">
        <v>43</v>
      </c>
      <c r="D5270" t="s">
        <v>108</v>
      </c>
      <c r="E5270" t="s">
        <v>13</v>
      </c>
      <c r="F5270">
        <v>3</v>
      </c>
      <c r="G5270" t="str">
        <f>VLOOKUP(D5270,Товары!A:I,3,0)</f>
        <v>Тумба с раковиной  навес. Виктория 1000 белый 2 ящика с умыв. Слим</v>
      </c>
      <c r="H5270">
        <f>VLOOKUP(D5270,Товары!A:I,6,0)</f>
        <v>60</v>
      </c>
      <c r="I5270" t="str">
        <f>VLOOKUP(C5270,Магазины!A:C,3,0)</f>
        <v>Набережные Челны</v>
      </c>
      <c r="J5270">
        <f>VLOOKUP(D5270,Товары!A:I,4,0)</f>
        <v>29205</v>
      </c>
      <c r="K5270">
        <f t="shared" si="82"/>
        <v>87615</v>
      </c>
    </row>
    <row r="5271" spans="1:11" hidden="1" x14ac:dyDescent="0.25">
      <c r="A5271">
        <v>5270</v>
      </c>
      <c r="B5271" s="1">
        <v>45749</v>
      </c>
      <c r="C5271" t="s">
        <v>30</v>
      </c>
      <c r="D5271" t="s">
        <v>72</v>
      </c>
      <c r="E5271" t="s">
        <v>8</v>
      </c>
      <c r="F5271">
        <v>2</v>
      </c>
      <c r="G5271" t="str">
        <f>VLOOKUP(D5271,Товары!A:I,3,0)</f>
        <v>Тумба с раковиной  напол. Сохо 600 белый 2 ящика с умыв. Океан</v>
      </c>
      <c r="H5271">
        <f>VLOOKUP(D5271,Товары!A:I,6,0)</f>
        <v>85</v>
      </c>
      <c r="I5271" t="str">
        <f>VLOOKUP(C5271,Магазины!A:C,3,0)</f>
        <v>Кемерово</v>
      </c>
      <c r="J5271">
        <f>VLOOKUP(D5271,Товары!A:I,4,0)</f>
        <v>16140</v>
      </c>
      <c r="K5271">
        <f t="shared" si="82"/>
        <v>32280</v>
      </c>
    </row>
    <row r="5272" spans="1:11" hidden="1" x14ac:dyDescent="0.25">
      <c r="A5272">
        <v>5271</v>
      </c>
      <c r="B5272" s="1">
        <v>45748</v>
      </c>
      <c r="C5272" t="s">
        <v>54</v>
      </c>
      <c r="D5272" t="s">
        <v>81</v>
      </c>
      <c r="E5272" t="s">
        <v>8</v>
      </c>
      <c r="F5272">
        <v>3</v>
      </c>
      <c r="G5272" t="str">
        <f>VLOOKUP(D5272,Товары!A:I,3,0)</f>
        <v>Тумба с раковиной  навес. Рица 600 cерый/керамика 1 ящик + ниша 1 с умыв. Океан</v>
      </c>
      <c r="H5272">
        <f>VLOOKUP(D5272,Товары!A:I,6,0)</f>
        <v>60</v>
      </c>
      <c r="I5272" t="str">
        <f>VLOOKUP(C5272,Магазины!A:C,3,0)</f>
        <v>Ставрополь</v>
      </c>
      <c r="J5272">
        <f>VLOOKUP(D5272,Товары!A:I,4,0)</f>
        <v>18900</v>
      </c>
      <c r="K5272">
        <f t="shared" si="82"/>
        <v>56700</v>
      </c>
    </row>
    <row r="5273" spans="1:11" hidden="1" x14ac:dyDescent="0.25">
      <c r="A5273">
        <v>5272</v>
      </c>
      <c r="B5273" s="1">
        <v>45752</v>
      </c>
      <c r="C5273" t="s">
        <v>22</v>
      </c>
      <c r="D5273" t="s">
        <v>71</v>
      </c>
      <c r="E5273" t="s">
        <v>13</v>
      </c>
      <c r="F5273">
        <v>3</v>
      </c>
      <c r="G5273" t="str">
        <f>VLOOKUP(D5273,Товары!A:I,3,0)</f>
        <v>Тумба с раковиной  навес. Альба 600 мята 2 ящика с умыв. Океан</v>
      </c>
      <c r="H5273">
        <f>VLOOKUP(D5273,Товары!A:I,6,0)</f>
        <v>50</v>
      </c>
      <c r="I5273" t="str">
        <f>VLOOKUP(C5273,Магазины!A:C,3,0)</f>
        <v>Кемерово</v>
      </c>
      <c r="J5273">
        <f>VLOOKUP(D5273,Товары!A:I,4,0)</f>
        <v>24810</v>
      </c>
      <c r="K5273">
        <f t="shared" si="82"/>
        <v>74430</v>
      </c>
    </row>
    <row r="5274" spans="1:11" hidden="1" x14ac:dyDescent="0.25">
      <c r="A5274">
        <v>5273</v>
      </c>
      <c r="B5274" s="1">
        <v>45753</v>
      </c>
      <c r="C5274" t="s">
        <v>30</v>
      </c>
      <c r="D5274" t="s">
        <v>77</v>
      </c>
      <c r="E5274" t="s">
        <v>8</v>
      </c>
      <c r="F5274">
        <v>3</v>
      </c>
      <c r="G5274" t="str">
        <f>VLOOKUP(D5274,Товары!A:I,3,0)</f>
        <v>Тумба с раковиной  напол. Куба Риф 600 белый 2 ящика с умыв. Como</v>
      </c>
      <c r="H5274">
        <f>VLOOKUP(D5274,Товары!A:I,6,0)</f>
        <v>85</v>
      </c>
      <c r="I5274" t="str">
        <f>VLOOKUP(C5274,Магазины!A:C,3,0)</f>
        <v>Кемерово</v>
      </c>
      <c r="J5274">
        <f>VLOOKUP(D5274,Товары!A:I,4,0)</f>
        <v>15660</v>
      </c>
      <c r="K5274">
        <f t="shared" si="82"/>
        <v>46980</v>
      </c>
    </row>
    <row r="5275" spans="1:11" hidden="1" x14ac:dyDescent="0.25">
      <c r="A5275">
        <v>5274</v>
      </c>
      <c r="B5275" s="1">
        <v>45749</v>
      </c>
      <c r="C5275" t="s">
        <v>9</v>
      </c>
      <c r="D5275" t="s">
        <v>78</v>
      </c>
      <c r="E5275" t="s">
        <v>8</v>
      </c>
      <c r="F5275">
        <v>1</v>
      </c>
      <c r="G5275" t="str">
        <f>VLOOKUP(D5275,Товары!A:I,3,0)</f>
        <v>Зеркальный шкаф Кристалл 70 со светильником правый, ручка кнопка дуб цвет Шато Азур</v>
      </c>
      <c r="H5275">
        <f>VLOOKUP(D5275,Товары!A:I,6,0)</f>
        <v>75</v>
      </c>
      <c r="I5275" t="str">
        <f>VLOOKUP(C5275,Магазины!A:C,3,0)</f>
        <v>Кемерово</v>
      </c>
      <c r="J5275">
        <f>VLOOKUP(D5275,Товары!A:I,4,0)</f>
        <v>9615</v>
      </c>
      <c r="K5275">
        <f t="shared" si="82"/>
        <v>9615</v>
      </c>
    </row>
    <row r="5276" spans="1:11" hidden="1" x14ac:dyDescent="0.25">
      <c r="A5276">
        <v>5275</v>
      </c>
      <c r="B5276" s="1">
        <v>45756</v>
      </c>
      <c r="C5276" t="s">
        <v>22</v>
      </c>
      <c r="D5276" t="s">
        <v>112</v>
      </c>
      <c r="E5276" t="s">
        <v>13</v>
      </c>
      <c r="F5276">
        <v>3</v>
      </c>
      <c r="G5276" t="str">
        <f>VLOOKUP(D5276,Товары!A:I,3,0)</f>
        <v>Тумба с раковиной  напол. Аква 560 белый 2 двери с умыв. Уют</v>
      </c>
      <c r="H5276">
        <f>VLOOKUP(D5276,Товары!A:I,6,0)</f>
        <v>85</v>
      </c>
      <c r="I5276" t="str">
        <f>VLOOKUP(C5276,Магазины!A:C,3,0)</f>
        <v>Кемерово</v>
      </c>
      <c r="J5276">
        <f>VLOOKUP(D5276,Товары!A:I,4,0)</f>
        <v>9330</v>
      </c>
      <c r="K5276">
        <f t="shared" si="82"/>
        <v>27990</v>
      </c>
    </row>
    <row r="5277" spans="1:11" hidden="1" x14ac:dyDescent="0.25">
      <c r="A5277">
        <v>5276</v>
      </c>
      <c r="B5277" s="1">
        <v>45755</v>
      </c>
      <c r="C5277" t="s">
        <v>58</v>
      </c>
      <c r="D5277" t="s">
        <v>81</v>
      </c>
      <c r="E5277" t="s">
        <v>13</v>
      </c>
      <c r="F5277">
        <v>3</v>
      </c>
      <c r="G5277" t="str">
        <f>VLOOKUP(D5277,Товары!A:I,3,0)</f>
        <v>Тумба с раковиной  навес. Рица 600 cерый/керамика 1 ящик + ниша 1 с умыв. Океан</v>
      </c>
      <c r="H5277">
        <f>VLOOKUP(D5277,Товары!A:I,6,0)</f>
        <v>60</v>
      </c>
      <c r="I5277" t="str">
        <f>VLOOKUP(C5277,Магазины!A:C,3,0)</f>
        <v>Ставрополь</v>
      </c>
      <c r="J5277">
        <f>VLOOKUP(D5277,Товары!A:I,4,0)</f>
        <v>18900</v>
      </c>
      <c r="K5277">
        <f t="shared" si="82"/>
        <v>56700</v>
      </c>
    </row>
    <row r="5278" spans="1:11" hidden="1" x14ac:dyDescent="0.25">
      <c r="A5278">
        <v>5277</v>
      </c>
      <c r="B5278" s="1">
        <v>45756</v>
      </c>
      <c r="C5278" t="s">
        <v>11</v>
      </c>
      <c r="D5278" t="s">
        <v>10</v>
      </c>
      <c r="E5278" t="s">
        <v>8</v>
      </c>
      <c r="F5278">
        <v>1</v>
      </c>
      <c r="G5278" t="str">
        <f>VLOOKUP(D5278,Товары!A:I,3,0)</f>
        <v>Тумба с раковиной  навес. Альба 700 антрацит 1 ящик с умыв. Слим</v>
      </c>
      <c r="H5278">
        <f>VLOOKUP(D5278,Товары!A:I,6,0)</f>
        <v>45</v>
      </c>
      <c r="I5278" t="str">
        <f>VLOOKUP(C5278,Магазины!A:C,3,0)</f>
        <v>Кемерово</v>
      </c>
      <c r="J5278">
        <f>VLOOKUP(D5278,Товары!A:I,4,0)</f>
        <v>20130</v>
      </c>
      <c r="K5278">
        <f t="shared" si="82"/>
        <v>20130</v>
      </c>
    </row>
    <row r="5279" spans="1:11" hidden="1" x14ac:dyDescent="0.25">
      <c r="A5279">
        <v>5278</v>
      </c>
      <c r="B5279" s="1">
        <v>45753</v>
      </c>
      <c r="C5279" t="s">
        <v>111</v>
      </c>
      <c r="D5279" t="s">
        <v>24</v>
      </c>
      <c r="E5279" t="s">
        <v>8</v>
      </c>
      <c r="F5279">
        <v>3</v>
      </c>
      <c r="G5279" t="str">
        <f>VLOOKUP(D5279,Товары!A:I,3,0)</f>
        <v>Тумба с раковиной  напол. Леон 600 форест 2 ящика с умыв. Слим</v>
      </c>
      <c r="H5279">
        <f>VLOOKUP(D5279,Товары!A:I,6,0)</f>
        <v>80</v>
      </c>
      <c r="I5279" t="str">
        <f>VLOOKUP(C5279,Магазины!A:C,3,0)</f>
        <v>Набережные Челны</v>
      </c>
      <c r="J5279">
        <f>VLOOKUP(D5279,Товары!A:I,4,0)</f>
        <v>27150</v>
      </c>
      <c r="K5279">
        <f t="shared" si="82"/>
        <v>81450</v>
      </c>
    </row>
    <row r="5280" spans="1:11" hidden="1" x14ac:dyDescent="0.25">
      <c r="A5280">
        <v>5279</v>
      </c>
      <c r="B5280" s="1">
        <v>45752</v>
      </c>
      <c r="C5280" t="s">
        <v>28</v>
      </c>
      <c r="D5280" t="s">
        <v>36</v>
      </c>
      <c r="E5280" t="s">
        <v>13</v>
      </c>
      <c r="F5280">
        <v>1</v>
      </c>
      <c r="G5280" t="str">
        <f>VLOOKUP(D5280,Товары!A:I,3,0)</f>
        <v>Тумба с раковиной  напол. Альба 800 мята 2 ящика с умыв. Слим</v>
      </c>
      <c r="H5280">
        <f>VLOOKUP(D5280,Товары!A:I,6,0)</f>
        <v>80</v>
      </c>
      <c r="I5280" t="str">
        <f>VLOOKUP(C5280,Магазины!A:C,3,0)</f>
        <v>Набережные Челны</v>
      </c>
      <c r="J5280">
        <f>VLOOKUP(D5280,Товары!A:I,4,0)</f>
        <v>29340</v>
      </c>
      <c r="K5280">
        <f t="shared" si="82"/>
        <v>29340</v>
      </c>
    </row>
    <row r="5281" spans="1:11" hidden="1" x14ac:dyDescent="0.25">
      <c r="A5281">
        <v>5280</v>
      </c>
      <c r="B5281" s="1">
        <v>45748</v>
      </c>
      <c r="C5281" t="s">
        <v>20</v>
      </c>
      <c r="D5281" t="s">
        <v>79</v>
      </c>
      <c r="E5281" t="s">
        <v>8</v>
      </c>
      <c r="F5281">
        <v>1</v>
      </c>
      <c r="G5281" t="str">
        <f>VLOOKUP(D5281,Товары!A:I,3,0)</f>
        <v>Зеркальный шкаф Альба 70 со светильником правый цвет мята</v>
      </c>
      <c r="H5281">
        <f>VLOOKUP(D5281,Товары!A:I,6,0)</f>
        <v>75</v>
      </c>
      <c r="I5281" t="str">
        <f>VLOOKUP(C5281,Магазины!A:C,3,0)</f>
        <v>Оренбург</v>
      </c>
      <c r="J5281">
        <f>VLOOKUP(D5281,Товары!A:I,4,0)</f>
        <v>9615</v>
      </c>
      <c r="K5281">
        <f t="shared" si="82"/>
        <v>9615</v>
      </c>
    </row>
    <row r="5282" spans="1:11" hidden="1" x14ac:dyDescent="0.25">
      <c r="A5282">
        <v>5281</v>
      </c>
      <c r="B5282" s="1">
        <v>45754</v>
      </c>
      <c r="C5282" t="s">
        <v>6</v>
      </c>
      <c r="D5282" t="s">
        <v>27</v>
      </c>
      <c r="E5282" t="s">
        <v>8</v>
      </c>
      <c r="F5282">
        <v>1</v>
      </c>
      <c r="G5282" t="str">
        <f>VLOOKUP(D5282,Товары!A:I,3,0)</f>
        <v>Тумба с раковиной  навес. Виктория 800 белый 2 ящика с умыв. Слим</v>
      </c>
      <c r="H5282">
        <f>VLOOKUP(D5282,Товары!A:I,6,0)</f>
        <v>60</v>
      </c>
      <c r="I5282" t="str">
        <f>VLOOKUP(C5282,Магазины!A:C,3,0)</f>
        <v>Оренбург</v>
      </c>
      <c r="J5282">
        <f>VLOOKUP(D5282,Товары!A:I,4,0)</f>
        <v>25290</v>
      </c>
      <c r="K5282">
        <f t="shared" si="82"/>
        <v>25290</v>
      </c>
    </row>
    <row r="5283" spans="1:11" hidden="1" x14ac:dyDescent="0.25">
      <c r="A5283">
        <v>5282</v>
      </c>
      <c r="B5283" s="1">
        <v>45755</v>
      </c>
      <c r="C5283" t="s">
        <v>30</v>
      </c>
      <c r="D5283" t="s">
        <v>62</v>
      </c>
      <c r="E5283" t="s">
        <v>13</v>
      </c>
      <c r="F5283">
        <v>2</v>
      </c>
      <c r="G5283" t="str">
        <f>VLOOKUP(D5283,Товары!A:I,3,0)</f>
        <v>Тумба с раковиной  напол. Альба 600 мята 2 ящика с умыв. Океан</v>
      </c>
      <c r="H5283">
        <f>VLOOKUP(D5283,Товары!A:I,6,0)</f>
        <v>80</v>
      </c>
      <c r="I5283" t="str">
        <f>VLOOKUP(C5283,Магазины!A:C,3,0)</f>
        <v>Кемерово</v>
      </c>
      <c r="J5283">
        <f>VLOOKUP(D5283,Товары!A:I,4,0)</f>
        <v>26370</v>
      </c>
      <c r="K5283">
        <f t="shared" si="82"/>
        <v>52740</v>
      </c>
    </row>
    <row r="5284" spans="1:11" hidden="1" x14ac:dyDescent="0.25">
      <c r="A5284">
        <v>5283</v>
      </c>
      <c r="B5284" s="1">
        <v>45756</v>
      </c>
      <c r="C5284" t="s">
        <v>28</v>
      </c>
      <c r="D5284" t="s">
        <v>113</v>
      </c>
      <c r="E5284" t="s">
        <v>13</v>
      </c>
      <c r="F5284">
        <v>3</v>
      </c>
      <c r="G5284" t="str">
        <f>VLOOKUP(D5284,Товары!A:I,3,0)</f>
        <v>Зеркальный шкаф Альба 60 со светильником правый цвет мята</v>
      </c>
      <c r="H5284">
        <f>VLOOKUP(D5284,Товары!A:I,6,0)</f>
        <v>75</v>
      </c>
      <c r="I5284" t="str">
        <f>VLOOKUP(C5284,Магазины!A:C,3,0)</f>
        <v>Набережные Челны</v>
      </c>
      <c r="J5284">
        <f>VLOOKUP(D5284,Товары!A:I,4,0)</f>
        <v>8910</v>
      </c>
      <c r="K5284">
        <f t="shared" si="82"/>
        <v>26730</v>
      </c>
    </row>
    <row r="5285" spans="1:11" hidden="1" x14ac:dyDescent="0.25">
      <c r="A5285">
        <v>5284</v>
      </c>
      <c r="B5285" s="1">
        <v>45749</v>
      </c>
      <c r="C5285" t="s">
        <v>22</v>
      </c>
      <c r="D5285" t="s">
        <v>116</v>
      </c>
      <c r="E5285" t="s">
        <v>13</v>
      </c>
      <c r="F5285">
        <v>3</v>
      </c>
      <c r="G5285" t="str">
        <f>VLOOKUP(D5285,Товары!A:I,3,0)</f>
        <v>Зеркало Нева 60 дуб/белый со светильником</v>
      </c>
      <c r="H5285">
        <f>VLOOKUP(D5285,Товары!A:I,6,0)</f>
        <v>80</v>
      </c>
      <c r="I5285" t="str">
        <f>VLOOKUP(C5285,Магазины!A:C,3,0)</f>
        <v>Кемерово</v>
      </c>
      <c r="J5285">
        <f>VLOOKUP(D5285,Товары!A:I,4,0)</f>
        <v>5100</v>
      </c>
      <c r="K5285">
        <f t="shared" si="82"/>
        <v>15300</v>
      </c>
    </row>
    <row r="5286" spans="1:11" hidden="1" x14ac:dyDescent="0.25">
      <c r="A5286">
        <v>5285</v>
      </c>
      <c r="B5286" s="1">
        <v>45753</v>
      </c>
      <c r="C5286" t="s">
        <v>57</v>
      </c>
      <c r="D5286" t="s">
        <v>38</v>
      </c>
      <c r="E5286" t="s">
        <v>8</v>
      </c>
      <c r="F5286">
        <v>2</v>
      </c>
      <c r="G5286" t="str">
        <f>VLOOKUP(D5286,Товары!A:I,3,0)</f>
        <v>Тумба с раковиной  навес. Куба Риф 600 белый 2 ящика с умыв. Como</v>
      </c>
      <c r="H5286">
        <f>VLOOKUP(D5286,Товары!A:I,6,0)</f>
        <v>55</v>
      </c>
      <c r="I5286" t="str">
        <f>VLOOKUP(C5286,Магазины!A:C,3,0)</f>
        <v>Оренбург</v>
      </c>
      <c r="J5286">
        <f>VLOOKUP(D5286,Товары!A:I,4,0)</f>
        <v>14265</v>
      </c>
      <c r="K5286">
        <f t="shared" si="82"/>
        <v>28530</v>
      </c>
    </row>
    <row r="5287" spans="1:11" hidden="1" x14ac:dyDescent="0.25">
      <c r="A5287">
        <v>5286</v>
      </c>
      <c r="B5287" s="1">
        <v>45751</v>
      </c>
      <c r="C5287" t="s">
        <v>58</v>
      </c>
      <c r="D5287" t="s">
        <v>96</v>
      </c>
      <c r="E5287" t="s">
        <v>8</v>
      </c>
      <c r="F5287">
        <v>3</v>
      </c>
      <c r="G5287" t="str">
        <f>VLOOKUP(D5287,Товары!A:I,3,0)</f>
        <v>Тумба с раковиной  навес. Альба 600 мята 1 ящик с умыв. Океан</v>
      </c>
      <c r="H5287">
        <f>VLOOKUP(D5287,Товары!A:I,6,0)</f>
        <v>85</v>
      </c>
      <c r="I5287" t="str">
        <f>VLOOKUP(C5287,Магазины!A:C,3,0)</f>
        <v>Ставрополь</v>
      </c>
      <c r="J5287">
        <f>VLOOKUP(D5287,Товары!A:I,4,0)</f>
        <v>17625</v>
      </c>
      <c r="K5287">
        <f t="shared" si="82"/>
        <v>52875</v>
      </c>
    </row>
    <row r="5288" spans="1:11" hidden="1" x14ac:dyDescent="0.25">
      <c r="A5288">
        <v>5287</v>
      </c>
      <c r="B5288" s="1">
        <v>45754</v>
      </c>
      <c r="C5288" t="s">
        <v>57</v>
      </c>
      <c r="D5288" t="s">
        <v>93</v>
      </c>
      <c r="E5288" t="s">
        <v>8</v>
      </c>
      <c r="F5288">
        <v>3</v>
      </c>
      <c r="G5288" t="str">
        <f>VLOOKUP(D5288,Товары!A:I,3,0)</f>
        <v>Тумба с раковиной  напол. Леон Риф 800 солярис/белый риф 2 ящика с умыв. Слим</v>
      </c>
      <c r="H5288">
        <f>VLOOKUP(D5288,Товары!A:I,6,0)</f>
        <v>80</v>
      </c>
      <c r="I5288" t="str">
        <f>VLOOKUP(C5288,Магазины!A:C,3,0)</f>
        <v>Оренбург</v>
      </c>
      <c r="J5288">
        <f>VLOOKUP(D5288,Товары!A:I,4,0)</f>
        <v>29340</v>
      </c>
      <c r="K5288">
        <f t="shared" si="82"/>
        <v>88020</v>
      </c>
    </row>
    <row r="5289" spans="1:11" hidden="1" x14ac:dyDescent="0.25">
      <c r="A5289">
        <v>5288</v>
      </c>
      <c r="B5289" s="1">
        <v>45748</v>
      </c>
      <c r="C5289" t="s">
        <v>35</v>
      </c>
      <c r="D5289" t="s">
        <v>25</v>
      </c>
      <c r="E5289" t="s">
        <v>8</v>
      </c>
      <c r="F5289">
        <v>2</v>
      </c>
      <c r="G5289" t="str">
        <f>VLOOKUP(D5289,Товары!A:I,3,0)</f>
        <v>Пенал напол. Леон 400 оникс 2 двери + 1 ящик</v>
      </c>
      <c r="H5289">
        <f>VLOOKUP(D5289,Товары!A:I,6,0)</f>
        <v>190</v>
      </c>
      <c r="I5289" t="str">
        <f>VLOOKUP(C5289,Магазины!A:C,3,0)</f>
        <v>Набережные Челны</v>
      </c>
      <c r="J5289">
        <f>VLOOKUP(D5289,Товары!A:I,4,0)</f>
        <v>18450</v>
      </c>
      <c r="K5289">
        <f t="shared" si="82"/>
        <v>36900</v>
      </c>
    </row>
    <row r="5290" spans="1:11" hidden="1" x14ac:dyDescent="0.25">
      <c r="A5290">
        <v>5289</v>
      </c>
      <c r="B5290" s="1">
        <v>45750</v>
      </c>
      <c r="C5290" t="s">
        <v>33</v>
      </c>
      <c r="D5290" t="s">
        <v>29</v>
      </c>
      <c r="E5290" t="s">
        <v>8</v>
      </c>
      <c r="F5290">
        <v>1</v>
      </c>
      <c r="G5290" t="str">
        <f>VLOOKUP(D5290,Товары!A:I,3,0)</f>
        <v>Тумба с раковиной  напол. Леон Риф 600 солярис/белый риф 2 ящика с умыв. Океан</v>
      </c>
      <c r="H5290">
        <f>VLOOKUP(D5290,Товары!A:I,6,0)</f>
        <v>80</v>
      </c>
      <c r="I5290" t="str">
        <f>VLOOKUP(C5290,Магазины!A:C,3,0)</f>
        <v>Набережные Челны</v>
      </c>
      <c r="J5290">
        <f>VLOOKUP(D5290,Товары!A:I,4,0)</f>
        <v>24150</v>
      </c>
      <c r="K5290">
        <f t="shared" si="82"/>
        <v>24150</v>
      </c>
    </row>
    <row r="5291" spans="1:11" hidden="1" x14ac:dyDescent="0.25">
      <c r="A5291">
        <v>5290</v>
      </c>
      <c r="B5291" s="1">
        <v>45756</v>
      </c>
      <c r="C5291" t="s">
        <v>11</v>
      </c>
      <c r="D5291" t="s">
        <v>96</v>
      </c>
      <c r="E5291" t="s">
        <v>8</v>
      </c>
      <c r="F5291">
        <v>2</v>
      </c>
      <c r="G5291" t="str">
        <f>VLOOKUP(D5291,Товары!A:I,3,0)</f>
        <v>Тумба с раковиной  навес. Альба 600 мята 1 ящик с умыв. Океан</v>
      </c>
      <c r="H5291">
        <f>VLOOKUP(D5291,Товары!A:I,6,0)</f>
        <v>85</v>
      </c>
      <c r="I5291" t="str">
        <f>VLOOKUP(C5291,Магазины!A:C,3,0)</f>
        <v>Кемерово</v>
      </c>
      <c r="J5291">
        <f>VLOOKUP(D5291,Товары!A:I,4,0)</f>
        <v>17625</v>
      </c>
      <c r="K5291">
        <f t="shared" si="82"/>
        <v>35250</v>
      </c>
    </row>
    <row r="5292" spans="1:11" hidden="1" x14ac:dyDescent="0.25">
      <c r="A5292">
        <v>5291</v>
      </c>
      <c r="B5292" s="1">
        <v>45753</v>
      </c>
      <c r="C5292" t="s">
        <v>20</v>
      </c>
      <c r="D5292" t="s">
        <v>59</v>
      </c>
      <c r="E5292" t="s">
        <v>13</v>
      </c>
      <c r="F5292">
        <v>2</v>
      </c>
      <c r="G5292" t="str">
        <f>VLOOKUP(D5292,Товары!A:I,3,0)</f>
        <v>Тумба с раковиной  навес. Куба Риф 600 белый 2 ящика с умыв. Океан</v>
      </c>
      <c r="H5292">
        <f>VLOOKUP(D5292,Товары!A:I,6,0)</f>
        <v>55</v>
      </c>
      <c r="I5292" t="str">
        <f>VLOOKUP(C5292,Магазины!A:C,3,0)</f>
        <v>Оренбург</v>
      </c>
      <c r="J5292">
        <f>VLOOKUP(D5292,Товары!A:I,4,0)</f>
        <v>15765</v>
      </c>
      <c r="K5292">
        <f t="shared" si="82"/>
        <v>31530</v>
      </c>
    </row>
    <row r="5293" spans="1:11" hidden="1" x14ac:dyDescent="0.25">
      <c r="A5293">
        <v>5292</v>
      </c>
      <c r="B5293" s="1">
        <v>45752</v>
      </c>
      <c r="C5293" t="s">
        <v>63</v>
      </c>
      <c r="D5293" t="s">
        <v>23</v>
      </c>
      <c r="E5293" t="s">
        <v>13</v>
      </c>
      <c r="F5293">
        <v>1</v>
      </c>
      <c r="G5293" t="str">
        <f>VLOOKUP(D5293,Товары!A:I,3,0)</f>
        <v>Тумба с раковиной  напол. Альба 800 антрацит 2 ящика с умыв. Слим</v>
      </c>
      <c r="H5293">
        <f>VLOOKUP(D5293,Товары!A:I,6,0)</f>
        <v>80</v>
      </c>
      <c r="I5293" t="str">
        <f>VLOOKUP(C5293,Магазины!A:C,3,0)</f>
        <v>Ставрополь</v>
      </c>
      <c r="J5293">
        <f>VLOOKUP(D5293,Товары!A:I,4,0)</f>
        <v>29340</v>
      </c>
      <c r="K5293">
        <f t="shared" si="82"/>
        <v>29340</v>
      </c>
    </row>
    <row r="5294" spans="1:11" hidden="1" x14ac:dyDescent="0.25">
      <c r="A5294">
        <v>5293</v>
      </c>
      <c r="B5294" s="1">
        <v>45748</v>
      </c>
      <c r="C5294" t="s">
        <v>35</v>
      </c>
      <c r="D5294" t="s">
        <v>46</v>
      </c>
      <c r="E5294" t="s">
        <v>8</v>
      </c>
      <c r="F5294">
        <v>3</v>
      </c>
      <c r="G5294" t="str">
        <f>VLOOKUP(D5294,Товары!A:I,3,0)</f>
        <v>Тумба с раковиной  напол. Сохо 700 белый 2 ящика с умыв. Слим</v>
      </c>
      <c r="H5294">
        <f>VLOOKUP(D5294,Товары!A:I,6,0)</f>
        <v>85</v>
      </c>
      <c r="I5294" t="str">
        <f>VLOOKUP(C5294,Магазины!A:C,3,0)</f>
        <v>Набережные Челны</v>
      </c>
      <c r="J5294">
        <f>VLOOKUP(D5294,Товары!A:I,4,0)</f>
        <v>18405</v>
      </c>
      <c r="K5294">
        <f t="shared" si="82"/>
        <v>55215</v>
      </c>
    </row>
    <row r="5295" spans="1:11" hidden="1" x14ac:dyDescent="0.25">
      <c r="A5295">
        <v>5294</v>
      </c>
      <c r="B5295" s="1">
        <v>45750</v>
      </c>
      <c r="C5295" t="s">
        <v>57</v>
      </c>
      <c r="D5295" t="s">
        <v>128</v>
      </c>
      <c r="E5295" t="s">
        <v>13</v>
      </c>
      <c r="F5295">
        <v>3</v>
      </c>
      <c r="G5295" t="str">
        <f>VLOOKUP(D5295,Товары!A:I,3,0)</f>
        <v>Тумба с раковиной  напол. Куба Риф 1000 белый 2 ящика с умыв. Слим</v>
      </c>
      <c r="H5295">
        <f>VLOOKUP(D5295,Товары!A:I,6,0)</f>
        <v>85</v>
      </c>
      <c r="I5295" t="str">
        <f>VLOOKUP(C5295,Магазины!A:C,3,0)</f>
        <v>Оренбург</v>
      </c>
      <c r="J5295">
        <f>VLOOKUP(D5295,Товары!A:I,4,0)</f>
        <v>22905</v>
      </c>
      <c r="K5295">
        <f t="shared" si="82"/>
        <v>68715</v>
      </c>
    </row>
    <row r="5296" spans="1:11" hidden="1" x14ac:dyDescent="0.25">
      <c r="A5296">
        <v>5295</v>
      </c>
      <c r="B5296" s="1">
        <v>45749</v>
      </c>
      <c r="C5296" t="s">
        <v>43</v>
      </c>
      <c r="D5296" t="s">
        <v>101</v>
      </c>
      <c r="E5296" t="s">
        <v>8</v>
      </c>
      <c r="F5296">
        <v>3</v>
      </c>
      <c r="G5296" t="str">
        <f>VLOOKUP(D5296,Товары!A:I,3,0)</f>
        <v>Пенал напол. Сохо 400 белый 2 двери + 1 ящик</v>
      </c>
      <c r="H5296">
        <f>VLOOKUP(D5296,Товары!A:I,6,0)</f>
        <v>190</v>
      </c>
      <c r="I5296" t="str">
        <f>VLOOKUP(C5296,Магазины!A:C,3,0)</f>
        <v>Набережные Челны</v>
      </c>
      <c r="J5296">
        <f>VLOOKUP(D5296,Товары!A:I,4,0)</f>
        <v>11040</v>
      </c>
      <c r="K5296">
        <f t="shared" si="82"/>
        <v>33120</v>
      </c>
    </row>
    <row r="5297" spans="1:11" hidden="1" x14ac:dyDescent="0.25">
      <c r="A5297">
        <v>5296</v>
      </c>
      <c r="B5297" s="1">
        <v>45752</v>
      </c>
      <c r="C5297" t="s">
        <v>14</v>
      </c>
      <c r="D5297" t="s">
        <v>81</v>
      </c>
      <c r="E5297" t="s">
        <v>8</v>
      </c>
      <c r="F5297">
        <v>3</v>
      </c>
      <c r="G5297" t="str">
        <f>VLOOKUP(D5297,Товары!A:I,3,0)</f>
        <v>Тумба с раковиной  навес. Рица 600 cерый/керамика 1 ящик + ниша 1 с умыв. Океан</v>
      </c>
      <c r="H5297">
        <f>VLOOKUP(D5297,Товары!A:I,6,0)</f>
        <v>60</v>
      </c>
      <c r="I5297" t="str">
        <f>VLOOKUP(C5297,Магазины!A:C,3,0)</f>
        <v>Оренбург</v>
      </c>
      <c r="J5297">
        <f>VLOOKUP(D5297,Товары!A:I,4,0)</f>
        <v>18900</v>
      </c>
      <c r="K5297">
        <f t="shared" si="82"/>
        <v>56700</v>
      </c>
    </row>
    <row r="5298" spans="1:11" hidden="1" x14ac:dyDescent="0.25">
      <c r="A5298">
        <v>5297</v>
      </c>
      <c r="B5298" s="1">
        <v>45751</v>
      </c>
      <c r="C5298" t="s">
        <v>14</v>
      </c>
      <c r="D5298" t="s">
        <v>73</v>
      </c>
      <c r="E5298" t="s">
        <v>13</v>
      </c>
      <c r="F5298">
        <v>1</v>
      </c>
      <c r="G5298" t="str">
        <f>VLOOKUP(D5298,Товары!A:I,3,0)</f>
        <v>Зеркальный шкаф Альба 70 со светильником правый цвет антрацит</v>
      </c>
      <c r="H5298">
        <f>VLOOKUP(D5298,Товары!A:I,6,0)</f>
        <v>75</v>
      </c>
      <c r="I5298" t="str">
        <f>VLOOKUP(C5298,Магазины!A:C,3,0)</f>
        <v>Оренбург</v>
      </c>
      <c r="J5298">
        <f>VLOOKUP(D5298,Товары!A:I,4,0)</f>
        <v>9615</v>
      </c>
      <c r="K5298">
        <f t="shared" si="82"/>
        <v>9615</v>
      </c>
    </row>
    <row r="5299" spans="1:11" hidden="1" x14ac:dyDescent="0.25">
      <c r="A5299">
        <v>5298</v>
      </c>
      <c r="B5299" s="1">
        <v>45749</v>
      </c>
      <c r="C5299" t="s">
        <v>54</v>
      </c>
      <c r="D5299" t="s">
        <v>80</v>
      </c>
      <c r="E5299" t="s">
        <v>8</v>
      </c>
      <c r="F5299">
        <v>2</v>
      </c>
      <c r="G5299" t="str">
        <f>VLOOKUP(D5299,Товары!A:I,3,0)</f>
        <v>Тумба с раковиной  навес. Сохо 600 белый 2 ящика с умыв. Океан</v>
      </c>
      <c r="H5299">
        <f>VLOOKUP(D5299,Товары!A:I,6,0)</f>
        <v>55</v>
      </c>
      <c r="I5299" t="str">
        <f>VLOOKUP(C5299,Магазины!A:C,3,0)</f>
        <v>Ставрополь</v>
      </c>
      <c r="J5299">
        <f>VLOOKUP(D5299,Товары!A:I,4,0)</f>
        <v>13950</v>
      </c>
      <c r="K5299">
        <f t="shared" si="82"/>
        <v>27900</v>
      </c>
    </row>
    <row r="5300" spans="1:11" hidden="1" x14ac:dyDescent="0.25">
      <c r="A5300">
        <v>5299</v>
      </c>
      <c r="B5300" s="1">
        <v>45751</v>
      </c>
      <c r="C5300" t="s">
        <v>22</v>
      </c>
      <c r="D5300" t="s">
        <v>98</v>
      </c>
      <c r="E5300" t="s">
        <v>8</v>
      </c>
      <c r="F5300">
        <v>2</v>
      </c>
      <c r="G5300" t="str">
        <f>VLOOKUP(D5300,Товары!A:I,3,0)</f>
        <v>Тумба с раковиной  напол. Рица 800 cерый/керамика 2 ящика с умыв. Слим</v>
      </c>
      <c r="H5300">
        <f>VLOOKUP(D5300,Товары!A:I,6,0)</f>
        <v>80</v>
      </c>
      <c r="I5300" t="str">
        <f>VLOOKUP(C5300,Магазины!A:C,3,0)</f>
        <v>Кемерово</v>
      </c>
      <c r="J5300">
        <f>VLOOKUP(D5300,Товары!A:I,4,0)</f>
        <v>28980</v>
      </c>
      <c r="K5300">
        <f t="shared" si="82"/>
        <v>57960</v>
      </c>
    </row>
    <row r="5301" spans="1:11" hidden="1" x14ac:dyDescent="0.25">
      <c r="A5301">
        <v>5300</v>
      </c>
      <c r="B5301" s="1">
        <v>45754</v>
      </c>
      <c r="C5301" t="s">
        <v>54</v>
      </c>
      <c r="D5301" t="s">
        <v>19</v>
      </c>
      <c r="E5301" t="s">
        <v>13</v>
      </c>
      <c r="F5301">
        <v>3</v>
      </c>
      <c r="G5301" t="str">
        <f>VLOOKUP(D5301,Товары!A:I,3,0)</f>
        <v>Тумба с раковиной  навес. Леон 800 оникс 2 ящика с умыв. Слим</v>
      </c>
      <c r="H5301">
        <f>VLOOKUP(D5301,Товары!A:I,6,0)</f>
        <v>60</v>
      </c>
      <c r="I5301" t="str">
        <f>VLOOKUP(C5301,Магазины!A:C,3,0)</f>
        <v>Ставрополь</v>
      </c>
      <c r="J5301">
        <f>VLOOKUP(D5301,Товары!A:I,4,0)</f>
        <v>27930</v>
      </c>
      <c r="K5301">
        <f t="shared" si="82"/>
        <v>83790</v>
      </c>
    </row>
    <row r="5302" spans="1:11" hidden="1" x14ac:dyDescent="0.25">
      <c r="A5302">
        <v>5301</v>
      </c>
      <c r="B5302" s="1">
        <v>45748</v>
      </c>
      <c r="C5302" t="s">
        <v>30</v>
      </c>
      <c r="D5302" t="s">
        <v>74</v>
      </c>
      <c r="E5302" t="s">
        <v>13</v>
      </c>
      <c r="F5302">
        <v>3</v>
      </c>
      <c r="G5302" t="str">
        <f>VLOOKUP(D5302,Товары!A:I,3,0)</f>
        <v>Тумба с раковиной  напол. Альба 800 суфле 2 ящика с умыв. Слим</v>
      </c>
      <c r="H5302">
        <f>VLOOKUP(D5302,Товары!A:I,6,0)</f>
        <v>80</v>
      </c>
      <c r="I5302" t="str">
        <f>VLOOKUP(C5302,Магазины!A:C,3,0)</f>
        <v>Кемерово</v>
      </c>
      <c r="J5302">
        <f>VLOOKUP(D5302,Товары!A:I,4,0)</f>
        <v>29340</v>
      </c>
      <c r="K5302">
        <f t="shared" si="82"/>
        <v>88020</v>
      </c>
    </row>
    <row r="5303" spans="1:11" hidden="1" x14ac:dyDescent="0.25">
      <c r="A5303">
        <v>5302</v>
      </c>
      <c r="B5303" s="1">
        <v>45754</v>
      </c>
      <c r="C5303" t="s">
        <v>58</v>
      </c>
      <c r="D5303" t="s">
        <v>129</v>
      </c>
      <c r="E5303" t="s">
        <v>13</v>
      </c>
      <c r="F5303">
        <v>3</v>
      </c>
      <c r="G5303" t="str">
        <f>VLOOKUP(D5303,Товары!A:I,3,0)</f>
        <v>Тумба с раковиной  напол. Альба 700 антрацит 2 ящика с умыв. Слим</v>
      </c>
      <c r="H5303">
        <f>VLOOKUP(D5303,Товары!A:I,6,0)</f>
        <v>85</v>
      </c>
      <c r="I5303" t="str">
        <f>VLOOKUP(C5303,Магазины!A:C,3,0)</f>
        <v>Ставрополь</v>
      </c>
      <c r="J5303">
        <f>VLOOKUP(D5303,Товары!A:I,4,0)</f>
        <v>28695</v>
      </c>
      <c r="K5303">
        <f t="shared" si="82"/>
        <v>86085</v>
      </c>
    </row>
    <row r="5304" spans="1:11" hidden="1" x14ac:dyDescent="0.25">
      <c r="A5304">
        <v>5303</v>
      </c>
      <c r="B5304" s="1">
        <v>45750</v>
      </c>
      <c r="C5304" t="s">
        <v>111</v>
      </c>
      <c r="D5304" t="s">
        <v>83</v>
      </c>
      <c r="E5304" t="s">
        <v>13</v>
      </c>
      <c r="F5304">
        <v>1</v>
      </c>
      <c r="G5304" t="str">
        <f>VLOOKUP(D5304,Товары!A:I,3,0)</f>
        <v>Зеркальный шкаф Альба 60 со светильником правый цвет суфле</v>
      </c>
      <c r="H5304">
        <f>VLOOKUP(D5304,Товары!A:I,6,0)</f>
        <v>75</v>
      </c>
      <c r="I5304" t="str">
        <f>VLOOKUP(C5304,Магазины!A:C,3,0)</f>
        <v>Набережные Челны</v>
      </c>
      <c r="J5304">
        <f>VLOOKUP(D5304,Товары!A:I,4,0)</f>
        <v>8910</v>
      </c>
      <c r="K5304">
        <f t="shared" si="82"/>
        <v>8910</v>
      </c>
    </row>
    <row r="5305" spans="1:11" hidden="1" x14ac:dyDescent="0.25">
      <c r="A5305">
        <v>5304</v>
      </c>
      <c r="B5305" s="1">
        <v>45755</v>
      </c>
      <c r="C5305" t="s">
        <v>33</v>
      </c>
      <c r="D5305" t="s">
        <v>87</v>
      </c>
      <c r="E5305" t="s">
        <v>13</v>
      </c>
      <c r="F5305">
        <v>3</v>
      </c>
      <c r="G5305" t="str">
        <f>VLOOKUP(D5305,Товары!A:I,3,0)</f>
        <v>Тумба с раковиной  напол. Леон 700 форест 2 ящика с умыв. Слим</v>
      </c>
      <c r="H5305">
        <f>VLOOKUP(D5305,Товары!A:I,6,0)</f>
        <v>80</v>
      </c>
      <c r="I5305" t="str">
        <f>VLOOKUP(C5305,Магазины!A:C,3,0)</f>
        <v>Набережные Челны</v>
      </c>
      <c r="J5305">
        <f>VLOOKUP(D5305,Товары!A:I,4,0)</f>
        <v>28380</v>
      </c>
      <c r="K5305">
        <f t="shared" si="82"/>
        <v>85140</v>
      </c>
    </row>
    <row r="5306" spans="1:11" hidden="1" x14ac:dyDescent="0.25">
      <c r="A5306">
        <v>5305</v>
      </c>
      <c r="B5306" s="1">
        <v>45753</v>
      </c>
      <c r="C5306" t="s">
        <v>28</v>
      </c>
      <c r="D5306" t="s">
        <v>121</v>
      </c>
      <c r="E5306" t="s">
        <v>13</v>
      </c>
      <c r="F5306">
        <v>1</v>
      </c>
      <c r="G5306" t="str">
        <f>VLOOKUP(D5306,Товары!A:I,3,0)</f>
        <v>Тумба с раковиной  напол. Куба Риф 600 белый 2 двери с умыв. Como</v>
      </c>
      <c r="H5306">
        <f>VLOOKUP(D5306,Товары!A:I,6,0)</f>
        <v>85</v>
      </c>
      <c r="I5306" t="str">
        <f>VLOOKUP(C5306,Магазины!A:C,3,0)</f>
        <v>Набережные Челны</v>
      </c>
      <c r="J5306">
        <f>VLOOKUP(D5306,Товары!A:I,4,0)</f>
        <v>13695</v>
      </c>
      <c r="K5306">
        <f t="shared" si="82"/>
        <v>13695</v>
      </c>
    </row>
    <row r="5307" spans="1:11" hidden="1" x14ac:dyDescent="0.25">
      <c r="A5307">
        <v>5306</v>
      </c>
      <c r="B5307" s="1">
        <v>45755</v>
      </c>
      <c r="C5307" t="s">
        <v>54</v>
      </c>
      <c r="D5307" t="s">
        <v>17</v>
      </c>
      <c r="E5307" t="s">
        <v>8</v>
      </c>
      <c r="F5307">
        <v>1</v>
      </c>
      <c r="G5307" t="str">
        <f>VLOOKUP(D5307,Товары!A:I,3,0)</f>
        <v>Тумба с раковиной  навес. Альба 800 антрацит 1 ящик с умыв. Слим</v>
      </c>
      <c r="H5307">
        <f>VLOOKUP(D5307,Товары!A:I,6,0)</f>
        <v>45</v>
      </c>
      <c r="I5307" t="str">
        <f>VLOOKUP(C5307,Магазины!A:C,3,0)</f>
        <v>Ставрополь</v>
      </c>
      <c r="J5307">
        <f>VLOOKUP(D5307,Товары!A:I,4,0)</f>
        <v>21630</v>
      </c>
      <c r="K5307">
        <f t="shared" si="82"/>
        <v>21630</v>
      </c>
    </row>
    <row r="5308" spans="1:11" hidden="1" x14ac:dyDescent="0.25">
      <c r="A5308">
        <v>5307</v>
      </c>
      <c r="B5308" s="1">
        <v>45755</v>
      </c>
      <c r="C5308" t="s">
        <v>28</v>
      </c>
      <c r="D5308" t="s">
        <v>97</v>
      </c>
      <c r="E5308" t="s">
        <v>8</v>
      </c>
      <c r="F5308">
        <v>3</v>
      </c>
      <c r="G5308" t="str">
        <f>VLOOKUP(D5308,Товары!A:I,3,0)</f>
        <v>Пенал напол. Кристалл 350 суфле 2 двери</v>
      </c>
      <c r="H5308">
        <f>VLOOKUP(D5308,Товары!A:I,6,0)</f>
        <v>190</v>
      </c>
      <c r="I5308" t="str">
        <f>VLOOKUP(C5308,Магазины!A:C,3,0)</f>
        <v>Набережные Челны</v>
      </c>
      <c r="J5308">
        <f>VLOOKUP(D5308,Товары!A:I,4,0)</f>
        <v>15810</v>
      </c>
      <c r="K5308">
        <f t="shared" si="82"/>
        <v>47430</v>
      </c>
    </row>
    <row r="5309" spans="1:11" hidden="1" x14ac:dyDescent="0.25">
      <c r="A5309">
        <v>5308</v>
      </c>
      <c r="B5309" s="1">
        <v>45756</v>
      </c>
      <c r="C5309" t="s">
        <v>48</v>
      </c>
      <c r="D5309" t="s">
        <v>83</v>
      </c>
      <c r="E5309" t="s">
        <v>8</v>
      </c>
      <c r="F5309">
        <v>3</v>
      </c>
      <c r="G5309" t="str">
        <f>VLOOKUP(D5309,Товары!A:I,3,0)</f>
        <v>Зеркальный шкаф Альба 60 со светильником правый цвет суфле</v>
      </c>
      <c r="H5309">
        <f>VLOOKUP(D5309,Товары!A:I,6,0)</f>
        <v>75</v>
      </c>
      <c r="I5309" t="str">
        <f>VLOOKUP(C5309,Магазины!A:C,3,0)</f>
        <v>Ставрополь</v>
      </c>
      <c r="J5309">
        <f>VLOOKUP(D5309,Товары!A:I,4,0)</f>
        <v>8910</v>
      </c>
      <c r="K5309">
        <f t="shared" si="82"/>
        <v>26730</v>
      </c>
    </row>
    <row r="5310" spans="1:11" hidden="1" x14ac:dyDescent="0.25">
      <c r="A5310">
        <v>5309</v>
      </c>
      <c r="B5310" s="1">
        <v>45756</v>
      </c>
      <c r="C5310" t="s">
        <v>48</v>
      </c>
      <c r="D5310" t="s">
        <v>85</v>
      </c>
      <c r="E5310" t="s">
        <v>13</v>
      </c>
      <c r="F5310">
        <v>2</v>
      </c>
      <c r="G5310" t="str">
        <f>VLOOKUP(D5310,Товары!A:I,3,0)</f>
        <v>Пенал напол. Аква 450 белый 2 двери + 2 ящика + корзина</v>
      </c>
      <c r="H5310">
        <f>VLOOKUP(D5310,Товары!A:I,6,0)</f>
        <v>190</v>
      </c>
      <c r="I5310" t="str">
        <f>VLOOKUP(C5310,Магазины!A:C,3,0)</f>
        <v>Ставрополь</v>
      </c>
      <c r="J5310">
        <f>VLOOKUP(D5310,Товары!A:I,4,0)</f>
        <v>13335</v>
      </c>
      <c r="K5310">
        <f t="shared" si="82"/>
        <v>26670</v>
      </c>
    </row>
    <row r="5311" spans="1:11" hidden="1" x14ac:dyDescent="0.25">
      <c r="A5311">
        <v>5310</v>
      </c>
      <c r="B5311" s="1">
        <v>45750</v>
      </c>
      <c r="C5311" t="s">
        <v>16</v>
      </c>
      <c r="D5311" t="s">
        <v>73</v>
      </c>
      <c r="E5311" t="s">
        <v>8</v>
      </c>
      <c r="F5311">
        <v>2</v>
      </c>
      <c r="G5311" t="str">
        <f>VLOOKUP(D5311,Товары!A:I,3,0)</f>
        <v>Зеркальный шкаф Альба 70 со светильником правый цвет антрацит</v>
      </c>
      <c r="H5311">
        <f>VLOOKUP(D5311,Товары!A:I,6,0)</f>
        <v>75</v>
      </c>
      <c r="I5311" t="str">
        <f>VLOOKUP(C5311,Магазины!A:C,3,0)</f>
        <v>Оренбург</v>
      </c>
      <c r="J5311">
        <f>VLOOKUP(D5311,Товары!A:I,4,0)</f>
        <v>9615</v>
      </c>
      <c r="K5311">
        <f t="shared" si="82"/>
        <v>19230</v>
      </c>
    </row>
    <row r="5312" spans="1:11" hidden="1" x14ac:dyDescent="0.25">
      <c r="A5312">
        <v>5311</v>
      </c>
      <c r="B5312" s="1">
        <v>45752</v>
      </c>
      <c r="C5312" t="s">
        <v>20</v>
      </c>
      <c r="D5312" t="s">
        <v>126</v>
      </c>
      <c r="E5312" t="s">
        <v>8</v>
      </c>
      <c r="F5312">
        <v>3</v>
      </c>
      <c r="G5312" t="str">
        <f>VLOOKUP(D5312,Товары!A:I,3,0)</f>
        <v>Тумба с раковиной  напол. Кристалл 800 шато азур 2 ящика с умыв. Комфорт</v>
      </c>
      <c r="H5312">
        <f>VLOOKUP(D5312,Товары!A:I,6,0)</f>
        <v>85</v>
      </c>
      <c r="I5312" t="str">
        <f>VLOOKUP(C5312,Магазины!A:C,3,0)</f>
        <v>Оренбург</v>
      </c>
      <c r="J5312">
        <f>VLOOKUP(D5312,Товары!A:I,4,0)</f>
        <v>31125</v>
      </c>
      <c r="K5312">
        <f t="shared" si="82"/>
        <v>93375</v>
      </c>
    </row>
    <row r="5313" spans="1:11" hidden="1" x14ac:dyDescent="0.25">
      <c r="A5313">
        <v>5312</v>
      </c>
      <c r="B5313" s="1">
        <v>45748</v>
      </c>
      <c r="C5313" t="s">
        <v>54</v>
      </c>
      <c r="D5313" t="s">
        <v>29</v>
      </c>
      <c r="E5313" t="s">
        <v>8</v>
      </c>
      <c r="F5313">
        <v>1</v>
      </c>
      <c r="G5313" t="str">
        <f>VLOOKUP(D5313,Товары!A:I,3,0)</f>
        <v>Тумба с раковиной  напол. Леон Риф 600 солярис/белый риф 2 ящика с умыв. Океан</v>
      </c>
      <c r="H5313">
        <f>VLOOKUP(D5313,Товары!A:I,6,0)</f>
        <v>80</v>
      </c>
      <c r="I5313" t="str">
        <f>VLOOKUP(C5313,Магазины!A:C,3,0)</f>
        <v>Ставрополь</v>
      </c>
      <c r="J5313">
        <f>VLOOKUP(D5313,Товары!A:I,4,0)</f>
        <v>24150</v>
      </c>
      <c r="K5313">
        <f t="shared" si="82"/>
        <v>24150</v>
      </c>
    </row>
    <row r="5314" spans="1:11" hidden="1" x14ac:dyDescent="0.25">
      <c r="A5314">
        <v>5313</v>
      </c>
      <c r="B5314" s="1">
        <v>45750</v>
      </c>
      <c r="C5314" t="s">
        <v>16</v>
      </c>
      <c r="D5314" t="s">
        <v>38</v>
      </c>
      <c r="E5314" t="s">
        <v>13</v>
      </c>
      <c r="F5314">
        <v>1</v>
      </c>
      <c r="G5314" t="str">
        <f>VLOOKUP(D5314,Товары!A:I,3,0)</f>
        <v>Тумба с раковиной  навес. Куба Риф 600 белый 2 ящика с умыв. Como</v>
      </c>
      <c r="H5314">
        <f>VLOOKUP(D5314,Товары!A:I,6,0)</f>
        <v>55</v>
      </c>
      <c r="I5314" t="str">
        <f>VLOOKUP(C5314,Магазины!A:C,3,0)</f>
        <v>Оренбург</v>
      </c>
      <c r="J5314">
        <f>VLOOKUP(D5314,Товары!A:I,4,0)</f>
        <v>14265</v>
      </c>
      <c r="K5314">
        <f t="shared" si="82"/>
        <v>14265</v>
      </c>
    </row>
    <row r="5315" spans="1:11" hidden="1" x14ac:dyDescent="0.25">
      <c r="A5315">
        <v>5314</v>
      </c>
      <c r="B5315" s="1">
        <v>45756</v>
      </c>
      <c r="C5315" t="s">
        <v>20</v>
      </c>
      <c r="D5315" t="s">
        <v>51</v>
      </c>
      <c r="E5315" t="s">
        <v>13</v>
      </c>
      <c r="F5315">
        <v>2</v>
      </c>
      <c r="G5315" t="str">
        <f>VLOOKUP(D5315,Товары!A:I,3,0)</f>
        <v>Зеркальный шкаф Альба 80 со светильником правый цвет суфле</v>
      </c>
      <c r="H5315">
        <f>VLOOKUP(D5315,Товары!A:I,6,0)</f>
        <v>75</v>
      </c>
      <c r="I5315" t="str">
        <f>VLOOKUP(C5315,Магазины!A:C,3,0)</f>
        <v>Оренбург</v>
      </c>
      <c r="J5315">
        <f>VLOOKUP(D5315,Товары!A:I,4,0)</f>
        <v>9930</v>
      </c>
      <c r="K5315">
        <f t="shared" ref="K5315:K5378" si="83">J5315*F5315</f>
        <v>19860</v>
      </c>
    </row>
    <row r="5316" spans="1:11" hidden="1" x14ac:dyDescent="0.25">
      <c r="A5316">
        <v>5315</v>
      </c>
      <c r="B5316" s="1">
        <v>45751</v>
      </c>
      <c r="C5316" t="s">
        <v>43</v>
      </c>
      <c r="D5316" t="s">
        <v>50</v>
      </c>
      <c r="E5316" t="s">
        <v>13</v>
      </c>
      <c r="F5316">
        <v>1</v>
      </c>
      <c r="G5316" t="str">
        <f>VLOOKUP(D5316,Товары!A:I,3,0)</f>
        <v>Тумба с раковиной  напол. Леон 800 оникс 2 ящика с умыв. Слим</v>
      </c>
      <c r="H5316">
        <f>VLOOKUP(D5316,Товары!A:I,6,0)</f>
        <v>80</v>
      </c>
      <c r="I5316" t="str">
        <f>VLOOKUP(C5316,Магазины!A:C,3,0)</f>
        <v>Набережные Челны</v>
      </c>
      <c r="J5316">
        <f>VLOOKUP(D5316,Товары!A:I,4,0)</f>
        <v>29400</v>
      </c>
      <c r="K5316">
        <f t="shared" si="83"/>
        <v>29400</v>
      </c>
    </row>
    <row r="5317" spans="1:11" hidden="1" x14ac:dyDescent="0.25">
      <c r="A5317">
        <v>5316</v>
      </c>
      <c r="B5317" s="1">
        <v>45753</v>
      </c>
      <c r="C5317" t="s">
        <v>6</v>
      </c>
      <c r="D5317" t="s">
        <v>105</v>
      </c>
      <c r="E5317" t="s">
        <v>13</v>
      </c>
      <c r="F5317">
        <v>2</v>
      </c>
      <c r="G5317" t="str">
        <f>VLOOKUP(D5317,Товары!A:I,3,0)</f>
        <v>Тумба с раковиной  напол. Нева 600 белый 2 двери + 1 ящик с умыв. Como</v>
      </c>
      <c r="H5317">
        <f>VLOOKUP(D5317,Товары!A:I,6,0)</f>
        <v>80</v>
      </c>
      <c r="I5317" t="str">
        <f>VLOOKUP(C5317,Магазины!A:C,3,0)</f>
        <v>Оренбург</v>
      </c>
      <c r="J5317">
        <f>VLOOKUP(D5317,Товары!A:I,4,0)</f>
        <v>13470</v>
      </c>
      <c r="K5317">
        <f t="shared" si="83"/>
        <v>26940</v>
      </c>
    </row>
    <row r="5318" spans="1:11" hidden="1" x14ac:dyDescent="0.25">
      <c r="A5318">
        <v>5317</v>
      </c>
      <c r="B5318" s="1">
        <v>45753</v>
      </c>
      <c r="C5318" t="s">
        <v>9</v>
      </c>
      <c r="D5318" t="s">
        <v>64</v>
      </c>
      <c r="E5318" t="s">
        <v>8</v>
      </c>
      <c r="F5318">
        <v>2</v>
      </c>
      <c r="G5318" t="str">
        <f>VLOOKUP(D5318,Товары!A:I,3,0)</f>
        <v>Тумба с раковиной  напол. Рица 800 антрацит 2 ящика с умыв. Слим</v>
      </c>
      <c r="H5318">
        <f>VLOOKUP(D5318,Товары!A:I,6,0)</f>
        <v>80</v>
      </c>
      <c r="I5318" t="str">
        <f>VLOOKUP(C5318,Магазины!A:C,3,0)</f>
        <v>Кемерово</v>
      </c>
      <c r="J5318">
        <f>VLOOKUP(D5318,Товары!A:I,4,0)</f>
        <v>28980</v>
      </c>
      <c r="K5318">
        <f t="shared" si="83"/>
        <v>57960</v>
      </c>
    </row>
    <row r="5319" spans="1:11" hidden="1" x14ac:dyDescent="0.25">
      <c r="A5319">
        <v>5318</v>
      </c>
      <c r="B5319" s="1">
        <v>45750</v>
      </c>
      <c r="C5319" t="s">
        <v>63</v>
      </c>
      <c r="D5319" t="s">
        <v>108</v>
      </c>
      <c r="E5319" t="s">
        <v>8</v>
      </c>
      <c r="F5319">
        <v>1</v>
      </c>
      <c r="G5319" t="str">
        <f>VLOOKUP(D5319,Товары!A:I,3,0)</f>
        <v>Тумба с раковиной  навес. Виктория 1000 белый 2 ящика с умыв. Слим</v>
      </c>
      <c r="H5319">
        <f>VLOOKUP(D5319,Товары!A:I,6,0)</f>
        <v>60</v>
      </c>
      <c r="I5319" t="str">
        <f>VLOOKUP(C5319,Магазины!A:C,3,0)</f>
        <v>Ставрополь</v>
      </c>
      <c r="J5319">
        <f>VLOOKUP(D5319,Товары!A:I,4,0)</f>
        <v>29205</v>
      </c>
      <c r="K5319">
        <f t="shared" si="83"/>
        <v>29205</v>
      </c>
    </row>
    <row r="5320" spans="1:11" hidden="1" x14ac:dyDescent="0.25">
      <c r="A5320">
        <v>5319</v>
      </c>
      <c r="B5320" s="1">
        <v>45755</v>
      </c>
      <c r="C5320" t="s">
        <v>6</v>
      </c>
      <c r="D5320" t="s">
        <v>55</v>
      </c>
      <c r="E5320" t="s">
        <v>13</v>
      </c>
      <c r="F5320">
        <v>2</v>
      </c>
      <c r="G5320" t="str">
        <f>VLOOKUP(D5320,Товары!A:I,3,0)</f>
        <v>Тумба с раковиной  напол. Рица 600 cерый/керамика 2 ящика с умыв. Океан</v>
      </c>
      <c r="H5320">
        <f>VLOOKUP(D5320,Товары!A:I,6,0)</f>
        <v>80</v>
      </c>
      <c r="I5320" t="str">
        <f>VLOOKUP(C5320,Магазины!A:C,3,0)</f>
        <v>Оренбург</v>
      </c>
      <c r="J5320">
        <f>VLOOKUP(D5320,Товары!A:I,4,0)</f>
        <v>25560</v>
      </c>
      <c r="K5320">
        <f t="shared" si="83"/>
        <v>51120</v>
      </c>
    </row>
    <row r="5321" spans="1:11" hidden="1" x14ac:dyDescent="0.25">
      <c r="A5321">
        <v>5320</v>
      </c>
      <c r="B5321" s="1">
        <v>45754</v>
      </c>
      <c r="C5321" t="s">
        <v>92</v>
      </c>
      <c r="D5321" t="s">
        <v>36</v>
      </c>
      <c r="E5321" t="s">
        <v>8</v>
      </c>
      <c r="F5321">
        <v>1</v>
      </c>
      <c r="G5321" t="str">
        <f>VLOOKUP(D5321,Товары!A:I,3,0)</f>
        <v>Тумба с раковиной  напол. Альба 800 мята 2 ящика с умыв. Слим</v>
      </c>
      <c r="H5321">
        <f>VLOOKUP(D5321,Товары!A:I,6,0)</f>
        <v>80</v>
      </c>
      <c r="I5321" t="str">
        <f>VLOOKUP(C5321,Магазины!A:C,3,0)</f>
        <v>Кемерово</v>
      </c>
      <c r="J5321">
        <f>VLOOKUP(D5321,Товары!A:I,4,0)</f>
        <v>29340</v>
      </c>
      <c r="K5321">
        <f t="shared" si="83"/>
        <v>29340</v>
      </c>
    </row>
    <row r="5322" spans="1:11" hidden="1" x14ac:dyDescent="0.25">
      <c r="A5322">
        <v>5321</v>
      </c>
      <c r="B5322" s="1">
        <v>45750</v>
      </c>
      <c r="C5322" t="s">
        <v>33</v>
      </c>
      <c r="D5322" t="s">
        <v>77</v>
      </c>
      <c r="E5322" t="s">
        <v>13</v>
      </c>
      <c r="F5322">
        <v>2</v>
      </c>
      <c r="G5322" t="str">
        <f>VLOOKUP(D5322,Товары!A:I,3,0)</f>
        <v>Тумба с раковиной  напол. Куба Риф 600 белый 2 ящика с умыв. Como</v>
      </c>
      <c r="H5322">
        <f>VLOOKUP(D5322,Товары!A:I,6,0)</f>
        <v>85</v>
      </c>
      <c r="I5322" t="str">
        <f>VLOOKUP(C5322,Магазины!A:C,3,0)</f>
        <v>Набережные Челны</v>
      </c>
      <c r="J5322">
        <f>VLOOKUP(D5322,Товары!A:I,4,0)</f>
        <v>15660</v>
      </c>
      <c r="K5322">
        <f t="shared" si="83"/>
        <v>31320</v>
      </c>
    </row>
    <row r="5323" spans="1:11" hidden="1" x14ac:dyDescent="0.25">
      <c r="A5323">
        <v>5322</v>
      </c>
      <c r="B5323" s="1">
        <v>45749</v>
      </c>
      <c r="C5323" t="s">
        <v>28</v>
      </c>
      <c r="D5323" t="s">
        <v>39</v>
      </c>
      <c r="E5323" t="s">
        <v>13</v>
      </c>
      <c r="F5323">
        <v>3</v>
      </c>
      <c r="G5323" t="str">
        <f>VLOOKUP(D5323,Товары!A:I,3,0)</f>
        <v>Тумба с раковиной  напол. Альба 700 мята 2 ящика с умыв. Слим</v>
      </c>
      <c r="H5323">
        <f>VLOOKUP(D5323,Товары!A:I,6,0)</f>
        <v>85</v>
      </c>
      <c r="I5323" t="str">
        <f>VLOOKUP(C5323,Магазины!A:C,3,0)</f>
        <v>Набережные Челны</v>
      </c>
      <c r="J5323">
        <f>VLOOKUP(D5323,Товары!A:I,4,0)</f>
        <v>28695</v>
      </c>
      <c r="K5323">
        <f t="shared" si="83"/>
        <v>86085</v>
      </c>
    </row>
    <row r="5324" spans="1:11" hidden="1" x14ac:dyDescent="0.25">
      <c r="A5324">
        <v>5323</v>
      </c>
      <c r="B5324" s="1">
        <v>45750</v>
      </c>
      <c r="C5324" t="s">
        <v>20</v>
      </c>
      <c r="D5324" t="s">
        <v>102</v>
      </c>
      <c r="E5324" t="s">
        <v>13</v>
      </c>
      <c r="F5324">
        <v>3</v>
      </c>
      <c r="G5324" t="str">
        <f>VLOOKUP(D5324,Товары!A:I,3,0)</f>
        <v>Тумба с раковиной  напол. Леон Риф 1000 солярис/белый риф 2 ящика с умыв. Слим</v>
      </c>
      <c r="H5324">
        <f>VLOOKUP(D5324,Товары!A:I,6,0)</f>
        <v>85</v>
      </c>
      <c r="I5324" t="str">
        <f>VLOOKUP(C5324,Магазины!A:C,3,0)</f>
        <v>Оренбург</v>
      </c>
      <c r="J5324">
        <f>VLOOKUP(D5324,Товары!A:I,4,0)</f>
        <v>32085</v>
      </c>
      <c r="K5324">
        <f t="shared" si="83"/>
        <v>96255</v>
      </c>
    </row>
    <row r="5325" spans="1:11" hidden="1" x14ac:dyDescent="0.25">
      <c r="A5325">
        <v>5324</v>
      </c>
      <c r="B5325" s="1">
        <v>45756</v>
      </c>
      <c r="C5325" t="s">
        <v>63</v>
      </c>
      <c r="D5325" t="s">
        <v>51</v>
      </c>
      <c r="E5325" t="s">
        <v>8</v>
      </c>
      <c r="F5325">
        <v>1</v>
      </c>
      <c r="G5325" t="str">
        <f>VLOOKUP(D5325,Товары!A:I,3,0)</f>
        <v>Зеркальный шкаф Альба 80 со светильником правый цвет суфле</v>
      </c>
      <c r="H5325">
        <f>VLOOKUP(D5325,Товары!A:I,6,0)</f>
        <v>75</v>
      </c>
      <c r="I5325" t="str">
        <f>VLOOKUP(C5325,Магазины!A:C,3,0)</f>
        <v>Ставрополь</v>
      </c>
      <c r="J5325">
        <f>VLOOKUP(D5325,Товары!A:I,4,0)</f>
        <v>9930</v>
      </c>
      <c r="K5325">
        <f t="shared" si="83"/>
        <v>9930</v>
      </c>
    </row>
    <row r="5326" spans="1:11" hidden="1" x14ac:dyDescent="0.25">
      <c r="A5326">
        <v>5325</v>
      </c>
      <c r="B5326" s="1">
        <v>45755</v>
      </c>
      <c r="C5326" t="s">
        <v>6</v>
      </c>
      <c r="D5326" t="s">
        <v>7</v>
      </c>
      <c r="E5326" t="s">
        <v>8</v>
      </c>
      <c r="F5326">
        <v>3</v>
      </c>
      <c r="G5326" t="str">
        <f>VLOOKUP(D5326,Товары!A:I,3,0)</f>
        <v>Пенал напол. Леон Риф 400 солярис/белый риф 2 двери + 1 ящик</v>
      </c>
      <c r="H5326">
        <f>VLOOKUP(D5326,Товары!A:I,6,0)</f>
        <v>190</v>
      </c>
      <c r="I5326" t="str">
        <f>VLOOKUP(C5326,Магазины!A:C,3,0)</f>
        <v>Оренбург</v>
      </c>
      <c r="J5326">
        <f>VLOOKUP(D5326,Товары!A:I,4,0)</f>
        <v>14490</v>
      </c>
      <c r="K5326">
        <f t="shared" si="83"/>
        <v>43470</v>
      </c>
    </row>
    <row r="5327" spans="1:11" hidden="1" x14ac:dyDescent="0.25">
      <c r="A5327">
        <v>5326</v>
      </c>
      <c r="B5327" s="1">
        <v>45757</v>
      </c>
      <c r="C5327" t="s">
        <v>22</v>
      </c>
      <c r="D5327" t="s">
        <v>47</v>
      </c>
      <c r="E5327" t="s">
        <v>13</v>
      </c>
      <c r="F5327">
        <v>2</v>
      </c>
      <c r="G5327" t="str">
        <f>VLOOKUP(D5327,Товары!A:I,3,0)</f>
        <v>Пенал напол. Кристалл 350 шато азур 2 двери</v>
      </c>
      <c r="H5327">
        <f>VLOOKUP(D5327,Товары!A:I,6,0)</f>
        <v>190</v>
      </c>
      <c r="I5327" t="str">
        <f>VLOOKUP(C5327,Магазины!A:C,3,0)</f>
        <v>Кемерово</v>
      </c>
      <c r="J5327">
        <f>VLOOKUP(D5327,Товары!A:I,4,0)</f>
        <v>15810</v>
      </c>
      <c r="K5327">
        <f t="shared" si="83"/>
        <v>31620</v>
      </c>
    </row>
    <row r="5328" spans="1:11" hidden="1" x14ac:dyDescent="0.25">
      <c r="A5328">
        <v>5327</v>
      </c>
      <c r="B5328" s="1">
        <v>45751</v>
      </c>
      <c r="C5328" t="s">
        <v>92</v>
      </c>
      <c r="D5328" t="s">
        <v>53</v>
      </c>
      <c r="E5328" t="s">
        <v>8</v>
      </c>
      <c r="F5328">
        <v>1</v>
      </c>
      <c r="G5328" t="str">
        <f>VLOOKUP(D5328,Товары!A:I,3,0)</f>
        <v>Тумба с раковиной  напол. Кристалл 600 шато азур 2 ящика с умыв. Океан</v>
      </c>
      <c r="H5328">
        <f>VLOOKUP(D5328,Товары!A:I,6,0)</f>
        <v>85</v>
      </c>
      <c r="I5328" t="str">
        <f>VLOOKUP(C5328,Магазины!A:C,3,0)</f>
        <v>Кемерово</v>
      </c>
      <c r="J5328">
        <f>VLOOKUP(D5328,Товары!A:I,4,0)</f>
        <v>27600</v>
      </c>
      <c r="K5328">
        <f t="shared" si="83"/>
        <v>27600</v>
      </c>
    </row>
    <row r="5329" spans="1:11" hidden="1" x14ac:dyDescent="0.25">
      <c r="A5329">
        <v>5328</v>
      </c>
      <c r="B5329" s="1">
        <v>45748</v>
      </c>
      <c r="C5329" t="s">
        <v>43</v>
      </c>
      <c r="D5329" t="s">
        <v>45</v>
      </c>
      <c r="E5329" t="s">
        <v>13</v>
      </c>
      <c r="F5329">
        <v>1</v>
      </c>
      <c r="G5329" t="str">
        <f>VLOOKUP(D5329,Товары!A:I,3,0)</f>
        <v>Зеркальный шкаф Рица 80 со светильником правый цвет cерый/керамика</v>
      </c>
      <c r="H5329">
        <f>VLOOKUP(D5329,Товары!A:I,6,0)</f>
        <v>75</v>
      </c>
      <c r="I5329" t="str">
        <f>VLOOKUP(C5329,Магазины!A:C,3,0)</f>
        <v>Набережные Челны</v>
      </c>
      <c r="J5329">
        <f>VLOOKUP(D5329,Товары!A:I,4,0)</f>
        <v>9930</v>
      </c>
      <c r="K5329">
        <f t="shared" si="83"/>
        <v>9930</v>
      </c>
    </row>
    <row r="5330" spans="1:11" hidden="1" x14ac:dyDescent="0.25">
      <c r="A5330">
        <v>5329</v>
      </c>
      <c r="B5330" s="1">
        <v>45751</v>
      </c>
      <c r="C5330" t="s">
        <v>41</v>
      </c>
      <c r="D5330" t="s">
        <v>34</v>
      </c>
      <c r="E5330" t="s">
        <v>13</v>
      </c>
      <c r="F5330">
        <v>3</v>
      </c>
      <c r="G5330" t="str">
        <f>VLOOKUP(D5330,Товары!A:I,3,0)</f>
        <v>Тумба с раковиной  навес. Леон 700 форест 2 ящика с умыв. Слим</v>
      </c>
      <c r="H5330">
        <f>VLOOKUP(D5330,Товары!A:I,6,0)</f>
        <v>60</v>
      </c>
      <c r="I5330" t="str">
        <f>VLOOKUP(C5330,Магазины!A:C,3,0)</f>
        <v>Ставрополь</v>
      </c>
      <c r="J5330">
        <f>VLOOKUP(D5330,Товары!A:I,4,0)</f>
        <v>26220</v>
      </c>
      <c r="K5330">
        <f t="shared" si="83"/>
        <v>78660</v>
      </c>
    </row>
    <row r="5331" spans="1:11" hidden="1" x14ac:dyDescent="0.25">
      <c r="A5331">
        <v>5330</v>
      </c>
      <c r="B5331" s="1">
        <v>45752</v>
      </c>
      <c r="C5331" t="s">
        <v>54</v>
      </c>
      <c r="D5331" t="s">
        <v>67</v>
      </c>
      <c r="E5331" t="s">
        <v>8</v>
      </c>
      <c r="F5331">
        <v>1</v>
      </c>
      <c r="G5331" t="str">
        <f>VLOOKUP(D5331,Товары!A:I,3,0)</f>
        <v>Пенал навес./напол. Альба 350 суфле 2 двери</v>
      </c>
      <c r="H5331">
        <f>VLOOKUP(D5331,Товары!A:I,6,0)</f>
        <v>150</v>
      </c>
      <c r="I5331" t="str">
        <f>VLOOKUP(C5331,Магазины!A:C,3,0)</f>
        <v>Ставрополь</v>
      </c>
      <c r="J5331">
        <f>VLOOKUP(D5331,Товары!A:I,4,0)</f>
        <v>11655</v>
      </c>
      <c r="K5331">
        <f t="shared" si="83"/>
        <v>11655</v>
      </c>
    </row>
    <row r="5332" spans="1:11" hidden="1" x14ac:dyDescent="0.25">
      <c r="A5332">
        <v>5331</v>
      </c>
      <c r="B5332" s="1">
        <v>45756</v>
      </c>
      <c r="C5332" t="s">
        <v>41</v>
      </c>
      <c r="D5332" t="s">
        <v>117</v>
      </c>
      <c r="E5332" t="s">
        <v>8</v>
      </c>
      <c r="F5332">
        <v>2</v>
      </c>
      <c r="G5332" t="str">
        <f>VLOOKUP(D5332,Товары!A:I,3,0)</f>
        <v>Тумба с раковиной  навес. Альба 700 антрацит 2 ящика с умыв. Слим</v>
      </c>
      <c r="H5332">
        <f>VLOOKUP(D5332,Товары!A:I,6,0)</f>
        <v>60</v>
      </c>
      <c r="I5332" t="str">
        <f>VLOOKUP(C5332,Магазины!A:C,3,0)</f>
        <v>Ставрополь</v>
      </c>
      <c r="J5332">
        <f>VLOOKUP(D5332,Товары!A:I,4,0)</f>
        <v>25095</v>
      </c>
      <c r="K5332">
        <f t="shared" si="83"/>
        <v>50190</v>
      </c>
    </row>
    <row r="5333" spans="1:11" hidden="1" x14ac:dyDescent="0.25">
      <c r="A5333">
        <v>5332</v>
      </c>
      <c r="B5333" s="1">
        <v>45752</v>
      </c>
      <c r="C5333" t="s">
        <v>111</v>
      </c>
      <c r="D5333" t="s">
        <v>98</v>
      </c>
      <c r="E5333" t="s">
        <v>8</v>
      </c>
      <c r="F5333">
        <v>1</v>
      </c>
      <c r="G5333" t="str">
        <f>VLOOKUP(D5333,Товары!A:I,3,0)</f>
        <v>Тумба с раковиной  напол. Рица 800 cерый/керамика 2 ящика с умыв. Слим</v>
      </c>
      <c r="H5333">
        <f>VLOOKUP(D5333,Товары!A:I,6,0)</f>
        <v>80</v>
      </c>
      <c r="I5333" t="str">
        <f>VLOOKUP(C5333,Магазины!A:C,3,0)</f>
        <v>Набережные Челны</v>
      </c>
      <c r="J5333">
        <f>VLOOKUP(D5333,Товары!A:I,4,0)</f>
        <v>28980</v>
      </c>
      <c r="K5333">
        <f t="shared" si="83"/>
        <v>28980</v>
      </c>
    </row>
    <row r="5334" spans="1:11" hidden="1" x14ac:dyDescent="0.25">
      <c r="A5334">
        <v>5333</v>
      </c>
      <c r="B5334" s="1">
        <v>45753</v>
      </c>
      <c r="C5334" t="s">
        <v>48</v>
      </c>
      <c r="D5334" t="s">
        <v>84</v>
      </c>
      <c r="E5334" t="s">
        <v>8</v>
      </c>
      <c r="F5334">
        <v>2</v>
      </c>
      <c r="G5334" t="str">
        <f>VLOOKUP(D5334,Товары!A:I,3,0)</f>
        <v>Тумба с раковиной  напол. Куба Риф 800 белый 3 двери с умыв. Слим</v>
      </c>
      <c r="H5334">
        <f>VLOOKUP(D5334,Товары!A:I,6,0)</f>
        <v>85</v>
      </c>
      <c r="I5334" t="str">
        <f>VLOOKUP(C5334,Магазины!A:C,3,0)</f>
        <v>Ставрополь</v>
      </c>
      <c r="J5334">
        <f>VLOOKUP(D5334,Товары!A:I,4,0)</f>
        <v>19920</v>
      </c>
      <c r="K5334">
        <f t="shared" si="83"/>
        <v>39840</v>
      </c>
    </row>
    <row r="5335" spans="1:11" hidden="1" x14ac:dyDescent="0.25">
      <c r="A5335">
        <v>5334</v>
      </c>
      <c r="B5335" s="1">
        <v>45751</v>
      </c>
      <c r="C5335" t="s">
        <v>16</v>
      </c>
      <c r="D5335" t="s">
        <v>124</v>
      </c>
      <c r="E5335" t="s">
        <v>13</v>
      </c>
      <c r="F5335">
        <v>3</v>
      </c>
      <c r="G5335" t="str">
        <f>VLOOKUP(D5335,Товары!A:I,3,0)</f>
        <v>Тумба с раковиной  напол. Леон 600 оникс 2 ящика с умыв. Океан</v>
      </c>
      <c r="H5335">
        <f>VLOOKUP(D5335,Товары!A:I,6,0)</f>
        <v>80</v>
      </c>
      <c r="I5335" t="str">
        <f>VLOOKUP(C5335,Магазины!A:C,3,0)</f>
        <v>Оренбург</v>
      </c>
      <c r="J5335">
        <f>VLOOKUP(D5335,Товары!A:I,4,0)</f>
        <v>25860</v>
      </c>
      <c r="K5335">
        <f t="shared" si="83"/>
        <v>77580</v>
      </c>
    </row>
    <row r="5336" spans="1:11" hidden="1" x14ac:dyDescent="0.25">
      <c r="A5336">
        <v>5335</v>
      </c>
      <c r="B5336" s="1">
        <v>45750</v>
      </c>
      <c r="C5336" t="s">
        <v>16</v>
      </c>
      <c r="D5336" t="s">
        <v>10</v>
      </c>
      <c r="E5336" t="s">
        <v>8</v>
      </c>
      <c r="F5336">
        <v>3</v>
      </c>
      <c r="G5336" t="str">
        <f>VLOOKUP(D5336,Товары!A:I,3,0)</f>
        <v>Тумба с раковиной  навес. Альба 700 антрацит 1 ящик с умыв. Слим</v>
      </c>
      <c r="H5336">
        <f>VLOOKUP(D5336,Товары!A:I,6,0)</f>
        <v>45</v>
      </c>
      <c r="I5336" t="str">
        <f>VLOOKUP(C5336,Магазины!A:C,3,0)</f>
        <v>Оренбург</v>
      </c>
      <c r="J5336">
        <f>VLOOKUP(D5336,Товары!A:I,4,0)</f>
        <v>20130</v>
      </c>
      <c r="K5336">
        <f t="shared" si="83"/>
        <v>60390</v>
      </c>
    </row>
    <row r="5337" spans="1:11" hidden="1" x14ac:dyDescent="0.25">
      <c r="A5337">
        <v>5336</v>
      </c>
      <c r="B5337" s="1">
        <v>45752</v>
      </c>
      <c r="C5337" t="s">
        <v>103</v>
      </c>
      <c r="D5337" t="s">
        <v>124</v>
      </c>
      <c r="E5337" t="s">
        <v>13</v>
      </c>
      <c r="F5337">
        <v>2</v>
      </c>
      <c r="G5337" t="str">
        <f>VLOOKUP(D5337,Товары!A:I,3,0)</f>
        <v>Тумба с раковиной  напол. Леон 600 оникс 2 ящика с умыв. Океан</v>
      </c>
      <c r="H5337">
        <f>VLOOKUP(D5337,Товары!A:I,6,0)</f>
        <v>80</v>
      </c>
      <c r="I5337" t="str">
        <f>VLOOKUP(C5337,Магазины!A:C,3,0)</f>
        <v>Ставрополь</v>
      </c>
      <c r="J5337">
        <f>VLOOKUP(D5337,Товары!A:I,4,0)</f>
        <v>25860</v>
      </c>
      <c r="K5337">
        <f t="shared" si="83"/>
        <v>51720</v>
      </c>
    </row>
    <row r="5338" spans="1:11" hidden="1" x14ac:dyDescent="0.25">
      <c r="A5338">
        <v>5337</v>
      </c>
      <c r="B5338" s="1">
        <v>45748</v>
      </c>
      <c r="C5338" t="s">
        <v>6</v>
      </c>
      <c r="D5338" t="s">
        <v>83</v>
      </c>
      <c r="E5338" t="s">
        <v>13</v>
      </c>
      <c r="F5338">
        <v>2</v>
      </c>
      <c r="G5338" t="str">
        <f>VLOOKUP(D5338,Товары!A:I,3,0)</f>
        <v>Зеркальный шкаф Альба 60 со светильником правый цвет суфле</v>
      </c>
      <c r="H5338">
        <f>VLOOKUP(D5338,Товары!A:I,6,0)</f>
        <v>75</v>
      </c>
      <c r="I5338" t="str">
        <f>VLOOKUP(C5338,Магазины!A:C,3,0)</f>
        <v>Оренбург</v>
      </c>
      <c r="J5338">
        <f>VLOOKUP(D5338,Товары!A:I,4,0)</f>
        <v>8910</v>
      </c>
      <c r="K5338">
        <f t="shared" si="83"/>
        <v>17820</v>
      </c>
    </row>
    <row r="5339" spans="1:11" hidden="1" x14ac:dyDescent="0.25">
      <c r="A5339">
        <v>5338</v>
      </c>
      <c r="B5339" s="1">
        <v>45751</v>
      </c>
      <c r="C5339" t="s">
        <v>20</v>
      </c>
      <c r="D5339" t="s">
        <v>98</v>
      </c>
      <c r="E5339" t="s">
        <v>13</v>
      </c>
      <c r="F5339">
        <v>1</v>
      </c>
      <c r="G5339" t="str">
        <f>VLOOKUP(D5339,Товары!A:I,3,0)</f>
        <v>Тумба с раковиной  напол. Рица 800 cерый/керамика 2 ящика с умыв. Слим</v>
      </c>
      <c r="H5339">
        <f>VLOOKUP(D5339,Товары!A:I,6,0)</f>
        <v>80</v>
      </c>
      <c r="I5339" t="str">
        <f>VLOOKUP(C5339,Магазины!A:C,3,0)</f>
        <v>Оренбург</v>
      </c>
      <c r="J5339">
        <f>VLOOKUP(D5339,Товары!A:I,4,0)</f>
        <v>28980</v>
      </c>
      <c r="K5339">
        <f t="shared" si="83"/>
        <v>28980</v>
      </c>
    </row>
    <row r="5340" spans="1:11" hidden="1" x14ac:dyDescent="0.25">
      <c r="A5340">
        <v>5339</v>
      </c>
      <c r="B5340" s="1">
        <v>45751</v>
      </c>
      <c r="C5340" t="s">
        <v>16</v>
      </c>
      <c r="D5340" t="s">
        <v>105</v>
      </c>
      <c r="E5340" t="s">
        <v>8</v>
      </c>
      <c r="F5340">
        <v>2</v>
      </c>
      <c r="G5340" t="str">
        <f>VLOOKUP(D5340,Товары!A:I,3,0)</f>
        <v>Тумба с раковиной  напол. Нева 600 белый 2 двери + 1 ящик с умыв. Como</v>
      </c>
      <c r="H5340">
        <f>VLOOKUP(D5340,Товары!A:I,6,0)</f>
        <v>80</v>
      </c>
      <c r="I5340" t="str">
        <f>VLOOKUP(C5340,Магазины!A:C,3,0)</f>
        <v>Оренбург</v>
      </c>
      <c r="J5340">
        <f>VLOOKUP(D5340,Товары!A:I,4,0)</f>
        <v>13470</v>
      </c>
      <c r="K5340">
        <f t="shared" si="83"/>
        <v>26940</v>
      </c>
    </row>
    <row r="5341" spans="1:11" hidden="1" x14ac:dyDescent="0.25">
      <c r="A5341">
        <v>5340</v>
      </c>
      <c r="B5341" s="1">
        <v>45756</v>
      </c>
      <c r="C5341" t="s">
        <v>22</v>
      </c>
      <c r="D5341" t="s">
        <v>53</v>
      </c>
      <c r="E5341" t="s">
        <v>13</v>
      </c>
      <c r="F5341">
        <v>2</v>
      </c>
      <c r="G5341" t="str">
        <f>VLOOKUP(D5341,Товары!A:I,3,0)</f>
        <v>Тумба с раковиной  напол. Кристалл 600 шато азур 2 ящика с умыв. Океан</v>
      </c>
      <c r="H5341">
        <f>VLOOKUP(D5341,Товары!A:I,6,0)</f>
        <v>85</v>
      </c>
      <c r="I5341" t="str">
        <f>VLOOKUP(C5341,Магазины!A:C,3,0)</f>
        <v>Кемерово</v>
      </c>
      <c r="J5341">
        <f>VLOOKUP(D5341,Товары!A:I,4,0)</f>
        <v>27600</v>
      </c>
      <c r="K5341">
        <f t="shared" si="83"/>
        <v>55200</v>
      </c>
    </row>
    <row r="5342" spans="1:11" hidden="1" x14ac:dyDescent="0.25">
      <c r="A5342">
        <v>5341</v>
      </c>
      <c r="B5342" s="1">
        <v>45748</v>
      </c>
      <c r="C5342" t="s">
        <v>16</v>
      </c>
      <c r="D5342" t="s">
        <v>116</v>
      </c>
      <c r="E5342" t="s">
        <v>8</v>
      </c>
      <c r="F5342">
        <v>1</v>
      </c>
      <c r="G5342" t="str">
        <f>VLOOKUP(D5342,Товары!A:I,3,0)</f>
        <v>Зеркало Нева 60 дуб/белый со светильником</v>
      </c>
      <c r="H5342">
        <f>VLOOKUP(D5342,Товары!A:I,6,0)</f>
        <v>80</v>
      </c>
      <c r="I5342" t="str">
        <f>VLOOKUP(C5342,Магазины!A:C,3,0)</f>
        <v>Оренбург</v>
      </c>
      <c r="J5342">
        <f>VLOOKUP(D5342,Товары!A:I,4,0)</f>
        <v>5100</v>
      </c>
      <c r="K5342">
        <f t="shared" si="83"/>
        <v>5100</v>
      </c>
    </row>
    <row r="5343" spans="1:11" hidden="1" x14ac:dyDescent="0.25">
      <c r="A5343">
        <v>5342</v>
      </c>
      <c r="B5343" s="1">
        <v>45755</v>
      </c>
      <c r="C5343" t="s">
        <v>6</v>
      </c>
      <c r="D5343" t="s">
        <v>59</v>
      </c>
      <c r="E5343" t="s">
        <v>8</v>
      </c>
      <c r="F5343">
        <v>2</v>
      </c>
      <c r="G5343" t="str">
        <f>VLOOKUP(D5343,Товары!A:I,3,0)</f>
        <v>Тумба с раковиной  навес. Куба Риф 600 белый 2 ящика с умыв. Океан</v>
      </c>
      <c r="H5343">
        <f>VLOOKUP(D5343,Товары!A:I,6,0)</f>
        <v>55</v>
      </c>
      <c r="I5343" t="str">
        <f>VLOOKUP(C5343,Магазины!A:C,3,0)</f>
        <v>Оренбург</v>
      </c>
      <c r="J5343">
        <f>VLOOKUP(D5343,Товары!A:I,4,0)</f>
        <v>15765</v>
      </c>
      <c r="K5343">
        <f t="shared" si="83"/>
        <v>31530</v>
      </c>
    </row>
    <row r="5344" spans="1:11" hidden="1" x14ac:dyDescent="0.25">
      <c r="A5344">
        <v>5343</v>
      </c>
      <c r="B5344" s="1">
        <v>45752</v>
      </c>
      <c r="C5344" t="s">
        <v>30</v>
      </c>
      <c r="D5344" t="s">
        <v>45</v>
      </c>
      <c r="E5344" t="s">
        <v>13</v>
      </c>
      <c r="F5344">
        <v>2</v>
      </c>
      <c r="G5344" t="str">
        <f>VLOOKUP(D5344,Товары!A:I,3,0)</f>
        <v>Зеркальный шкаф Рица 80 со светильником правый цвет cерый/керамика</v>
      </c>
      <c r="H5344">
        <f>VLOOKUP(D5344,Товары!A:I,6,0)</f>
        <v>75</v>
      </c>
      <c r="I5344" t="str">
        <f>VLOOKUP(C5344,Магазины!A:C,3,0)</f>
        <v>Кемерово</v>
      </c>
      <c r="J5344">
        <f>VLOOKUP(D5344,Товары!A:I,4,0)</f>
        <v>9930</v>
      </c>
      <c r="K5344">
        <f t="shared" si="83"/>
        <v>19860</v>
      </c>
    </row>
    <row r="5345" spans="1:11" hidden="1" x14ac:dyDescent="0.25">
      <c r="A5345">
        <v>5344</v>
      </c>
      <c r="B5345" s="1">
        <v>45755</v>
      </c>
      <c r="C5345" t="s">
        <v>111</v>
      </c>
      <c r="D5345" t="s">
        <v>100</v>
      </c>
      <c r="E5345" t="s">
        <v>8</v>
      </c>
      <c r="F5345">
        <v>2</v>
      </c>
      <c r="G5345" t="str">
        <f>VLOOKUP(D5345,Товары!A:I,3,0)</f>
        <v>Тумба с раковиной  навес. Альба 800 мята 1 ящик с умыв. Слим</v>
      </c>
      <c r="H5345">
        <f>VLOOKUP(D5345,Товары!A:I,6,0)</f>
        <v>45</v>
      </c>
      <c r="I5345" t="str">
        <f>VLOOKUP(C5345,Магазины!A:C,3,0)</f>
        <v>Набережные Челны</v>
      </c>
      <c r="J5345">
        <f>VLOOKUP(D5345,Товары!A:I,4,0)</f>
        <v>21630</v>
      </c>
      <c r="K5345">
        <f t="shared" si="83"/>
        <v>43260</v>
      </c>
    </row>
    <row r="5346" spans="1:11" hidden="1" x14ac:dyDescent="0.25">
      <c r="A5346">
        <v>5345</v>
      </c>
      <c r="B5346" s="1">
        <v>45749</v>
      </c>
      <c r="C5346" t="s">
        <v>48</v>
      </c>
      <c r="D5346" t="s">
        <v>86</v>
      </c>
      <c r="E5346" t="s">
        <v>8</v>
      </c>
      <c r="F5346">
        <v>1</v>
      </c>
      <c r="G5346" t="str">
        <f>VLOOKUP(D5346,Товары!A:I,3,0)</f>
        <v>Комод Аква 50 напольный 1 ящик 2 двери белый</v>
      </c>
      <c r="H5346">
        <f>VLOOKUP(D5346,Товары!A:I,6,0)</f>
        <v>90</v>
      </c>
      <c r="I5346" t="str">
        <f>VLOOKUP(C5346,Магазины!A:C,3,0)</f>
        <v>Ставрополь</v>
      </c>
      <c r="J5346">
        <f>VLOOKUP(D5346,Товары!A:I,4,0)</f>
        <v>7260</v>
      </c>
      <c r="K5346">
        <f t="shared" si="83"/>
        <v>7260</v>
      </c>
    </row>
    <row r="5347" spans="1:11" hidden="1" x14ac:dyDescent="0.25">
      <c r="A5347">
        <v>5346</v>
      </c>
      <c r="B5347" s="1">
        <v>45754</v>
      </c>
      <c r="C5347" t="s">
        <v>48</v>
      </c>
      <c r="D5347" t="s">
        <v>93</v>
      </c>
      <c r="E5347" t="s">
        <v>13</v>
      </c>
      <c r="F5347">
        <v>2</v>
      </c>
      <c r="G5347" t="str">
        <f>VLOOKUP(D5347,Товары!A:I,3,0)</f>
        <v>Тумба с раковиной  напол. Леон Риф 800 солярис/белый риф 2 ящика с умыв. Слим</v>
      </c>
      <c r="H5347">
        <f>VLOOKUP(D5347,Товары!A:I,6,0)</f>
        <v>80</v>
      </c>
      <c r="I5347" t="str">
        <f>VLOOKUP(C5347,Магазины!A:C,3,0)</f>
        <v>Ставрополь</v>
      </c>
      <c r="J5347">
        <f>VLOOKUP(D5347,Товары!A:I,4,0)</f>
        <v>29340</v>
      </c>
      <c r="K5347">
        <f t="shared" si="83"/>
        <v>58680</v>
      </c>
    </row>
    <row r="5348" spans="1:11" hidden="1" x14ac:dyDescent="0.25">
      <c r="A5348">
        <v>5347</v>
      </c>
      <c r="B5348" s="1">
        <v>45753</v>
      </c>
      <c r="C5348" t="s">
        <v>58</v>
      </c>
      <c r="D5348" t="s">
        <v>84</v>
      </c>
      <c r="E5348" t="s">
        <v>13</v>
      </c>
      <c r="F5348">
        <v>3</v>
      </c>
      <c r="G5348" t="str">
        <f>VLOOKUP(D5348,Товары!A:I,3,0)</f>
        <v>Тумба с раковиной  напол. Куба Риф 800 белый 3 двери с умыв. Слим</v>
      </c>
      <c r="H5348">
        <f>VLOOKUP(D5348,Товары!A:I,6,0)</f>
        <v>85</v>
      </c>
      <c r="I5348" t="str">
        <f>VLOOKUP(C5348,Магазины!A:C,3,0)</f>
        <v>Ставрополь</v>
      </c>
      <c r="J5348">
        <f>VLOOKUP(D5348,Товары!A:I,4,0)</f>
        <v>19920</v>
      </c>
      <c r="K5348">
        <f t="shared" si="83"/>
        <v>59760</v>
      </c>
    </row>
    <row r="5349" spans="1:11" hidden="1" x14ac:dyDescent="0.25">
      <c r="A5349">
        <v>5348</v>
      </c>
      <c r="B5349" s="1">
        <v>45748</v>
      </c>
      <c r="C5349" t="s">
        <v>48</v>
      </c>
      <c r="D5349" t="s">
        <v>25</v>
      </c>
      <c r="E5349" t="s">
        <v>8</v>
      </c>
      <c r="F5349">
        <v>2</v>
      </c>
      <c r="G5349" t="str">
        <f>VLOOKUP(D5349,Товары!A:I,3,0)</f>
        <v>Пенал напол. Леон 400 оникс 2 двери + 1 ящик</v>
      </c>
      <c r="H5349">
        <f>VLOOKUP(D5349,Товары!A:I,6,0)</f>
        <v>190</v>
      </c>
      <c r="I5349" t="str">
        <f>VLOOKUP(C5349,Магазины!A:C,3,0)</f>
        <v>Ставрополь</v>
      </c>
      <c r="J5349">
        <f>VLOOKUP(D5349,Товары!A:I,4,0)</f>
        <v>18450</v>
      </c>
      <c r="K5349">
        <f t="shared" si="83"/>
        <v>36900</v>
      </c>
    </row>
    <row r="5350" spans="1:11" hidden="1" x14ac:dyDescent="0.25">
      <c r="A5350">
        <v>5349</v>
      </c>
      <c r="B5350" s="1">
        <v>45752</v>
      </c>
      <c r="C5350" t="s">
        <v>57</v>
      </c>
      <c r="D5350" t="s">
        <v>17</v>
      </c>
      <c r="E5350" t="s">
        <v>8</v>
      </c>
      <c r="F5350">
        <v>3</v>
      </c>
      <c r="G5350" t="str">
        <f>VLOOKUP(D5350,Товары!A:I,3,0)</f>
        <v>Тумба с раковиной  навес. Альба 800 антрацит 1 ящик с умыв. Слим</v>
      </c>
      <c r="H5350">
        <f>VLOOKUP(D5350,Товары!A:I,6,0)</f>
        <v>45</v>
      </c>
      <c r="I5350" t="str">
        <f>VLOOKUP(C5350,Магазины!A:C,3,0)</f>
        <v>Оренбург</v>
      </c>
      <c r="J5350">
        <f>VLOOKUP(D5350,Товары!A:I,4,0)</f>
        <v>21630</v>
      </c>
      <c r="K5350">
        <f t="shared" si="83"/>
        <v>64890</v>
      </c>
    </row>
    <row r="5351" spans="1:11" hidden="1" x14ac:dyDescent="0.25">
      <c r="A5351">
        <v>5350</v>
      </c>
      <c r="B5351" s="1">
        <v>45750</v>
      </c>
      <c r="C5351" t="s">
        <v>57</v>
      </c>
      <c r="D5351" t="s">
        <v>123</v>
      </c>
      <c r="E5351" t="s">
        <v>13</v>
      </c>
      <c r="F5351">
        <v>3</v>
      </c>
      <c r="G5351" t="str">
        <f>VLOOKUP(D5351,Товары!A:I,3,0)</f>
        <v>Тумба с раковиной  напол. Кристалл 800 суфле 2 ящика с умыв. Слим</v>
      </c>
      <c r="H5351">
        <f>VLOOKUP(D5351,Товары!A:I,6,0)</f>
        <v>80</v>
      </c>
      <c r="I5351" t="str">
        <f>VLOOKUP(C5351,Магазины!A:C,3,0)</f>
        <v>Оренбург</v>
      </c>
      <c r="J5351">
        <f>VLOOKUP(D5351,Товары!A:I,4,0)</f>
        <v>31125</v>
      </c>
      <c r="K5351">
        <f t="shared" si="83"/>
        <v>93375</v>
      </c>
    </row>
    <row r="5352" spans="1:11" hidden="1" x14ac:dyDescent="0.25">
      <c r="A5352">
        <v>5351</v>
      </c>
      <c r="B5352" s="1">
        <v>45756</v>
      </c>
      <c r="C5352" t="s">
        <v>30</v>
      </c>
      <c r="D5352" t="s">
        <v>109</v>
      </c>
      <c r="E5352" t="s">
        <v>13</v>
      </c>
      <c r="F5352">
        <v>2</v>
      </c>
      <c r="G5352" t="str">
        <f>VLOOKUP(D5352,Товары!A:I,3,0)</f>
        <v>Тумба с раковиной  навес. Альба 600 антрацит 2 ящика с умыв. Океан</v>
      </c>
      <c r="H5352">
        <f>VLOOKUP(D5352,Товары!A:I,6,0)</f>
        <v>50</v>
      </c>
      <c r="I5352" t="str">
        <f>VLOOKUP(C5352,Магазины!A:C,3,0)</f>
        <v>Кемерово</v>
      </c>
      <c r="J5352">
        <f>VLOOKUP(D5352,Товары!A:I,4,0)</f>
        <v>24810</v>
      </c>
      <c r="K5352">
        <f t="shared" si="83"/>
        <v>49620</v>
      </c>
    </row>
    <row r="5353" spans="1:11" hidden="1" x14ac:dyDescent="0.25">
      <c r="A5353">
        <v>5352</v>
      </c>
      <c r="B5353" s="1">
        <v>45753</v>
      </c>
      <c r="C5353" t="s">
        <v>9</v>
      </c>
      <c r="D5353" t="s">
        <v>29</v>
      </c>
      <c r="E5353" t="s">
        <v>8</v>
      </c>
      <c r="F5353">
        <v>2</v>
      </c>
      <c r="G5353" t="str">
        <f>VLOOKUP(D5353,Товары!A:I,3,0)</f>
        <v>Тумба с раковиной  напол. Леон Риф 600 солярис/белый риф 2 ящика с умыв. Океан</v>
      </c>
      <c r="H5353">
        <f>VLOOKUP(D5353,Товары!A:I,6,0)</f>
        <v>80</v>
      </c>
      <c r="I5353" t="str">
        <f>VLOOKUP(C5353,Магазины!A:C,3,0)</f>
        <v>Кемерово</v>
      </c>
      <c r="J5353">
        <f>VLOOKUP(D5353,Товары!A:I,4,0)</f>
        <v>24150</v>
      </c>
      <c r="K5353">
        <f t="shared" si="83"/>
        <v>48300</v>
      </c>
    </row>
    <row r="5354" spans="1:11" hidden="1" x14ac:dyDescent="0.25">
      <c r="A5354">
        <v>5353</v>
      </c>
      <c r="B5354" s="1">
        <v>45753</v>
      </c>
      <c r="C5354" t="s">
        <v>103</v>
      </c>
      <c r="D5354" t="s">
        <v>32</v>
      </c>
      <c r="E5354" t="s">
        <v>8</v>
      </c>
      <c r="F5354">
        <v>2</v>
      </c>
      <c r="G5354" t="str">
        <f>VLOOKUP(D5354,Товары!A:I,3,0)</f>
        <v>Тумба с раковиной  напол. Леон Риф 700 солярис/белый риф 2 ящика с умыв. Слим</v>
      </c>
      <c r="H5354">
        <f>VLOOKUP(D5354,Товары!A:I,6,0)</f>
        <v>85</v>
      </c>
      <c r="I5354" t="str">
        <f>VLOOKUP(C5354,Магазины!A:C,3,0)</f>
        <v>Ставрополь</v>
      </c>
      <c r="J5354">
        <f>VLOOKUP(D5354,Товары!A:I,4,0)</f>
        <v>26460</v>
      </c>
      <c r="K5354">
        <f t="shared" si="83"/>
        <v>52920</v>
      </c>
    </row>
    <row r="5355" spans="1:11" hidden="1" x14ac:dyDescent="0.25">
      <c r="A5355">
        <v>5354</v>
      </c>
      <c r="B5355" s="1">
        <v>45751</v>
      </c>
      <c r="C5355" t="s">
        <v>26</v>
      </c>
      <c r="D5355" t="s">
        <v>107</v>
      </c>
      <c r="E5355" t="s">
        <v>8</v>
      </c>
      <c r="F5355">
        <v>2</v>
      </c>
      <c r="G5355" t="str">
        <f>VLOOKUP(D5355,Товары!A:I,3,0)</f>
        <v>Комод Аква 35 напольный 1 дверь белый правый</v>
      </c>
      <c r="H5355">
        <f>VLOOKUP(D5355,Товары!A:I,6,0)</f>
        <v>90</v>
      </c>
      <c r="I5355" t="str">
        <f>VLOOKUP(C5355,Магазины!A:C,3,0)</f>
        <v>Оренбург</v>
      </c>
      <c r="J5355">
        <f>VLOOKUP(D5355,Товары!A:I,4,0)</f>
        <v>6705</v>
      </c>
      <c r="K5355">
        <f t="shared" si="83"/>
        <v>13410</v>
      </c>
    </row>
    <row r="5356" spans="1:11" hidden="1" x14ac:dyDescent="0.25">
      <c r="A5356">
        <v>5355</v>
      </c>
      <c r="B5356" s="1">
        <v>45753</v>
      </c>
      <c r="C5356" t="s">
        <v>92</v>
      </c>
      <c r="D5356" t="s">
        <v>65</v>
      </c>
      <c r="E5356" t="s">
        <v>8</v>
      </c>
      <c r="F5356">
        <v>3</v>
      </c>
      <c r="G5356" t="str">
        <f>VLOOKUP(D5356,Товары!A:I,3,0)</f>
        <v>Тумба с раковиной  навес. Альба 800 суфле 2 ящика с умыв. Слим</v>
      </c>
      <c r="H5356">
        <f>VLOOKUP(D5356,Товары!A:I,6,0)</f>
        <v>50</v>
      </c>
      <c r="I5356" t="str">
        <f>VLOOKUP(C5356,Магазины!A:C,3,0)</f>
        <v>Кемерово</v>
      </c>
      <c r="J5356">
        <f>VLOOKUP(D5356,Товары!A:I,4,0)</f>
        <v>26070</v>
      </c>
      <c r="K5356">
        <f t="shared" si="83"/>
        <v>78210</v>
      </c>
    </row>
    <row r="5357" spans="1:11" hidden="1" x14ac:dyDescent="0.25">
      <c r="A5357">
        <v>5356</v>
      </c>
      <c r="B5357" s="1">
        <v>45756</v>
      </c>
      <c r="C5357" t="s">
        <v>14</v>
      </c>
      <c r="D5357" t="s">
        <v>125</v>
      </c>
      <c r="E5357" t="s">
        <v>13</v>
      </c>
      <c r="F5357">
        <v>3</v>
      </c>
      <c r="G5357" t="str">
        <f>VLOOKUP(D5357,Товары!A:I,3,0)</f>
        <v>Зеркальный шкаф Сохо 60 белый со светильником правый цвет Белый глянец</v>
      </c>
      <c r="H5357">
        <f>VLOOKUP(D5357,Товары!A:I,6,0)</f>
        <v>75</v>
      </c>
      <c r="I5357" t="str">
        <f>VLOOKUP(C5357,Магазины!A:C,3,0)</f>
        <v>Оренбург</v>
      </c>
      <c r="J5357">
        <f>VLOOKUP(D5357,Товары!A:I,4,0)</f>
        <v>7395</v>
      </c>
      <c r="K5357">
        <f t="shared" si="83"/>
        <v>22185</v>
      </c>
    </row>
    <row r="5358" spans="1:11" hidden="1" x14ac:dyDescent="0.25">
      <c r="A5358">
        <v>5357</v>
      </c>
      <c r="B5358" s="1">
        <v>45753</v>
      </c>
      <c r="C5358" t="s">
        <v>57</v>
      </c>
      <c r="D5358" t="s">
        <v>115</v>
      </c>
      <c r="E5358" t="s">
        <v>8</v>
      </c>
      <c r="F5358">
        <v>3</v>
      </c>
      <c r="G5358" t="str">
        <f>VLOOKUP(D5358,Товары!A:I,3,0)</f>
        <v>Тумба под стиральную машину Куба Риф 57 напольная 2 ящика под ст/маш, без умывальника /под Marshall 120 Белый</v>
      </c>
      <c r="H5358">
        <f>VLOOKUP(D5358,Товары!A:I,6,0)</f>
        <v>85</v>
      </c>
      <c r="I5358" t="str">
        <f>VLOOKUP(C5358,Магазины!A:C,3,0)</f>
        <v>Оренбург</v>
      </c>
      <c r="J5358">
        <f>VLOOKUP(D5358,Товары!A:I,4,0)</f>
        <v>10530</v>
      </c>
      <c r="K5358">
        <f t="shared" si="83"/>
        <v>31590</v>
      </c>
    </row>
    <row r="5359" spans="1:11" hidden="1" x14ac:dyDescent="0.25">
      <c r="A5359">
        <v>5358</v>
      </c>
      <c r="B5359" s="1">
        <v>45757</v>
      </c>
      <c r="C5359" t="s">
        <v>11</v>
      </c>
      <c r="D5359" t="s">
        <v>77</v>
      </c>
      <c r="E5359" t="s">
        <v>13</v>
      </c>
      <c r="F5359">
        <v>2</v>
      </c>
      <c r="G5359" t="str">
        <f>VLOOKUP(D5359,Товары!A:I,3,0)</f>
        <v>Тумба с раковиной  напол. Куба Риф 600 белый 2 ящика с умыв. Como</v>
      </c>
      <c r="H5359">
        <f>VLOOKUP(D5359,Товары!A:I,6,0)</f>
        <v>85</v>
      </c>
      <c r="I5359" t="str">
        <f>VLOOKUP(C5359,Магазины!A:C,3,0)</f>
        <v>Кемерово</v>
      </c>
      <c r="J5359">
        <f>VLOOKUP(D5359,Товары!A:I,4,0)</f>
        <v>15660</v>
      </c>
      <c r="K5359">
        <f t="shared" si="83"/>
        <v>31320</v>
      </c>
    </row>
    <row r="5360" spans="1:11" hidden="1" x14ac:dyDescent="0.25">
      <c r="A5360">
        <v>5359</v>
      </c>
      <c r="B5360" s="1">
        <v>45754</v>
      </c>
      <c r="C5360" t="s">
        <v>18</v>
      </c>
      <c r="D5360" t="s">
        <v>53</v>
      </c>
      <c r="E5360" t="s">
        <v>13</v>
      </c>
      <c r="F5360">
        <v>1</v>
      </c>
      <c r="G5360" t="str">
        <f>VLOOKUP(D5360,Товары!A:I,3,0)</f>
        <v>Тумба с раковиной  напол. Кристалл 600 шато азур 2 ящика с умыв. Океан</v>
      </c>
      <c r="H5360">
        <f>VLOOKUP(D5360,Товары!A:I,6,0)</f>
        <v>85</v>
      </c>
      <c r="I5360" t="str">
        <f>VLOOKUP(C5360,Магазины!A:C,3,0)</f>
        <v>Набережные Челны</v>
      </c>
      <c r="J5360">
        <f>VLOOKUP(D5360,Товары!A:I,4,0)</f>
        <v>27600</v>
      </c>
      <c r="K5360">
        <f t="shared" si="83"/>
        <v>27600</v>
      </c>
    </row>
    <row r="5361" spans="1:11" hidden="1" x14ac:dyDescent="0.25">
      <c r="A5361">
        <v>5360</v>
      </c>
      <c r="B5361" s="1">
        <v>45757</v>
      </c>
      <c r="C5361" t="s">
        <v>9</v>
      </c>
      <c r="D5361" t="s">
        <v>94</v>
      </c>
      <c r="E5361" t="s">
        <v>13</v>
      </c>
      <c r="F5361">
        <v>1</v>
      </c>
      <c r="G5361" t="str">
        <f>VLOOKUP(D5361,Товары!A:I,3,0)</f>
        <v>Зеркальный шкаф Альба 80 со светильником правый цвет антрацит</v>
      </c>
      <c r="H5361">
        <f>VLOOKUP(D5361,Товары!A:I,6,0)</f>
        <v>75</v>
      </c>
      <c r="I5361" t="str">
        <f>VLOOKUP(C5361,Магазины!A:C,3,0)</f>
        <v>Кемерово</v>
      </c>
      <c r="J5361">
        <f>VLOOKUP(D5361,Товары!A:I,4,0)</f>
        <v>9930</v>
      </c>
      <c r="K5361">
        <f t="shared" si="83"/>
        <v>9930</v>
      </c>
    </row>
    <row r="5362" spans="1:11" hidden="1" x14ac:dyDescent="0.25">
      <c r="A5362">
        <v>5361</v>
      </c>
      <c r="B5362" s="1">
        <v>45755</v>
      </c>
      <c r="C5362" t="s">
        <v>14</v>
      </c>
      <c r="D5362" t="s">
        <v>12</v>
      </c>
      <c r="E5362" t="s">
        <v>8</v>
      </c>
      <c r="F5362">
        <v>2</v>
      </c>
      <c r="G5362" t="str">
        <f>VLOOKUP(D5362,Товары!A:I,3,0)</f>
        <v>Тумба с раковиной  напол. Сохо 700 белый 2 двери с умыв. Слим</v>
      </c>
      <c r="H5362">
        <f>VLOOKUP(D5362,Товары!A:I,6,0)</f>
        <v>85</v>
      </c>
      <c r="I5362" t="str">
        <f>VLOOKUP(C5362,Магазины!A:C,3,0)</f>
        <v>Оренбург</v>
      </c>
      <c r="J5362">
        <f>VLOOKUP(D5362,Товары!A:I,4,0)</f>
        <v>17160</v>
      </c>
      <c r="K5362">
        <f t="shared" si="83"/>
        <v>34320</v>
      </c>
    </row>
    <row r="5363" spans="1:11" hidden="1" x14ac:dyDescent="0.25">
      <c r="A5363">
        <v>5362</v>
      </c>
      <c r="B5363" s="1">
        <v>45754</v>
      </c>
      <c r="C5363" t="s">
        <v>26</v>
      </c>
      <c r="D5363" t="s">
        <v>100</v>
      </c>
      <c r="E5363" t="s">
        <v>13</v>
      </c>
      <c r="F5363">
        <v>1</v>
      </c>
      <c r="G5363" t="str">
        <f>VLOOKUP(D5363,Товары!A:I,3,0)</f>
        <v>Тумба с раковиной  навес. Альба 800 мята 1 ящик с умыв. Слим</v>
      </c>
      <c r="H5363">
        <f>VLOOKUP(D5363,Товары!A:I,6,0)</f>
        <v>45</v>
      </c>
      <c r="I5363" t="str">
        <f>VLOOKUP(C5363,Магазины!A:C,3,0)</f>
        <v>Оренбург</v>
      </c>
      <c r="J5363">
        <f>VLOOKUP(D5363,Товары!A:I,4,0)</f>
        <v>21630</v>
      </c>
      <c r="K5363">
        <f t="shared" si="83"/>
        <v>21630</v>
      </c>
    </row>
    <row r="5364" spans="1:11" hidden="1" x14ac:dyDescent="0.25">
      <c r="A5364">
        <v>5363</v>
      </c>
      <c r="B5364" s="1">
        <v>45750</v>
      </c>
      <c r="C5364" t="s">
        <v>14</v>
      </c>
      <c r="D5364" t="s">
        <v>102</v>
      </c>
      <c r="E5364" t="s">
        <v>13</v>
      </c>
      <c r="F5364">
        <v>1</v>
      </c>
      <c r="G5364" t="str">
        <f>VLOOKUP(D5364,Товары!A:I,3,0)</f>
        <v>Тумба с раковиной  напол. Леон Риф 1000 солярис/белый риф 2 ящика с умыв. Слим</v>
      </c>
      <c r="H5364">
        <f>VLOOKUP(D5364,Товары!A:I,6,0)</f>
        <v>85</v>
      </c>
      <c r="I5364" t="str">
        <f>VLOOKUP(C5364,Магазины!A:C,3,0)</f>
        <v>Оренбург</v>
      </c>
      <c r="J5364">
        <f>VLOOKUP(D5364,Товары!A:I,4,0)</f>
        <v>32085</v>
      </c>
      <c r="K5364">
        <f t="shared" si="83"/>
        <v>32085</v>
      </c>
    </row>
    <row r="5365" spans="1:11" hidden="1" x14ac:dyDescent="0.25">
      <c r="A5365">
        <v>5364</v>
      </c>
      <c r="B5365" s="1">
        <v>45754</v>
      </c>
      <c r="C5365" t="s">
        <v>28</v>
      </c>
      <c r="D5365" t="s">
        <v>118</v>
      </c>
      <c r="E5365" t="s">
        <v>13</v>
      </c>
      <c r="F5365">
        <v>1</v>
      </c>
      <c r="G5365" t="str">
        <f>VLOOKUP(D5365,Товары!A:I,3,0)</f>
        <v>Тумба с раковиной  напол. Сохо 800 белый 2 ящика с умыв. Слим</v>
      </c>
      <c r="H5365">
        <f>VLOOKUP(D5365,Товары!A:I,6,0)</f>
        <v>85</v>
      </c>
      <c r="I5365" t="str">
        <f>VLOOKUP(C5365,Магазины!A:C,3,0)</f>
        <v>Набережные Челны</v>
      </c>
      <c r="J5365">
        <f>VLOOKUP(D5365,Товары!A:I,4,0)</f>
        <v>19575</v>
      </c>
      <c r="K5365">
        <f t="shared" si="83"/>
        <v>19575</v>
      </c>
    </row>
    <row r="5366" spans="1:11" hidden="1" x14ac:dyDescent="0.25">
      <c r="A5366">
        <v>5365</v>
      </c>
      <c r="B5366" s="1">
        <v>45755</v>
      </c>
      <c r="C5366" t="s">
        <v>48</v>
      </c>
      <c r="D5366" t="s">
        <v>10</v>
      </c>
      <c r="E5366" t="s">
        <v>13</v>
      </c>
      <c r="F5366">
        <v>2</v>
      </c>
      <c r="G5366" t="str">
        <f>VLOOKUP(D5366,Товары!A:I,3,0)</f>
        <v>Тумба с раковиной  навес. Альба 700 антрацит 1 ящик с умыв. Слим</v>
      </c>
      <c r="H5366">
        <f>VLOOKUP(D5366,Товары!A:I,6,0)</f>
        <v>45</v>
      </c>
      <c r="I5366" t="str">
        <f>VLOOKUP(C5366,Магазины!A:C,3,0)</f>
        <v>Ставрополь</v>
      </c>
      <c r="J5366">
        <f>VLOOKUP(D5366,Товары!A:I,4,0)</f>
        <v>20130</v>
      </c>
      <c r="K5366">
        <f t="shared" si="83"/>
        <v>40260</v>
      </c>
    </row>
    <row r="5367" spans="1:11" hidden="1" x14ac:dyDescent="0.25">
      <c r="A5367">
        <v>5366</v>
      </c>
      <c r="B5367" s="1">
        <v>45751</v>
      </c>
      <c r="C5367" t="s">
        <v>103</v>
      </c>
      <c r="D5367" t="s">
        <v>83</v>
      </c>
      <c r="E5367" t="s">
        <v>8</v>
      </c>
      <c r="F5367">
        <v>3</v>
      </c>
      <c r="G5367" t="str">
        <f>VLOOKUP(D5367,Товары!A:I,3,0)</f>
        <v>Зеркальный шкаф Альба 60 со светильником правый цвет суфле</v>
      </c>
      <c r="H5367">
        <f>VLOOKUP(D5367,Товары!A:I,6,0)</f>
        <v>75</v>
      </c>
      <c r="I5367" t="str">
        <f>VLOOKUP(C5367,Магазины!A:C,3,0)</f>
        <v>Ставрополь</v>
      </c>
      <c r="J5367">
        <f>VLOOKUP(D5367,Товары!A:I,4,0)</f>
        <v>8910</v>
      </c>
      <c r="K5367">
        <f t="shared" si="83"/>
        <v>26730</v>
      </c>
    </row>
    <row r="5368" spans="1:11" hidden="1" x14ac:dyDescent="0.25">
      <c r="A5368">
        <v>5367</v>
      </c>
      <c r="B5368" s="1">
        <v>45753</v>
      </c>
      <c r="C5368" t="s">
        <v>14</v>
      </c>
      <c r="D5368" t="s">
        <v>62</v>
      </c>
      <c r="E5368" t="s">
        <v>8</v>
      </c>
      <c r="F5368">
        <v>2</v>
      </c>
      <c r="G5368" t="str">
        <f>VLOOKUP(D5368,Товары!A:I,3,0)</f>
        <v>Тумба с раковиной  напол. Альба 600 мята 2 ящика с умыв. Океан</v>
      </c>
      <c r="H5368">
        <f>VLOOKUP(D5368,Товары!A:I,6,0)</f>
        <v>80</v>
      </c>
      <c r="I5368" t="str">
        <f>VLOOKUP(C5368,Магазины!A:C,3,0)</f>
        <v>Оренбург</v>
      </c>
      <c r="J5368">
        <f>VLOOKUP(D5368,Товары!A:I,4,0)</f>
        <v>26370</v>
      </c>
      <c r="K5368">
        <f t="shared" si="83"/>
        <v>52740</v>
      </c>
    </row>
    <row r="5369" spans="1:11" hidden="1" x14ac:dyDescent="0.25">
      <c r="A5369">
        <v>5368</v>
      </c>
      <c r="B5369" s="1">
        <v>45753</v>
      </c>
      <c r="C5369" t="s">
        <v>63</v>
      </c>
      <c r="D5369" t="s">
        <v>122</v>
      </c>
      <c r="E5369" t="s">
        <v>8</v>
      </c>
      <c r="F5369">
        <v>2</v>
      </c>
      <c r="G5369" t="str">
        <f>VLOOKUP(D5369,Товары!A:I,3,0)</f>
        <v>Тумба с раковиной  навес. Кристалл 600 шато азур 2 ящика с умыв. Океан</v>
      </c>
      <c r="H5369">
        <f>VLOOKUP(D5369,Товары!A:I,6,0)</f>
        <v>55</v>
      </c>
      <c r="I5369" t="str">
        <f>VLOOKUP(C5369,Магазины!A:C,3,0)</f>
        <v>Ставрополь</v>
      </c>
      <c r="J5369">
        <f>VLOOKUP(D5369,Товары!A:I,4,0)</f>
        <v>21960</v>
      </c>
      <c r="K5369">
        <f t="shared" si="83"/>
        <v>43920</v>
      </c>
    </row>
    <row r="5370" spans="1:11" hidden="1" x14ac:dyDescent="0.25">
      <c r="A5370">
        <v>5369</v>
      </c>
      <c r="B5370" s="1">
        <v>45754</v>
      </c>
      <c r="C5370" t="s">
        <v>14</v>
      </c>
      <c r="D5370" t="s">
        <v>79</v>
      </c>
      <c r="E5370" t="s">
        <v>8</v>
      </c>
      <c r="F5370">
        <v>3</v>
      </c>
      <c r="G5370" t="str">
        <f>VLOOKUP(D5370,Товары!A:I,3,0)</f>
        <v>Зеркальный шкаф Альба 70 со светильником правый цвет мята</v>
      </c>
      <c r="H5370">
        <f>VLOOKUP(D5370,Товары!A:I,6,0)</f>
        <v>75</v>
      </c>
      <c r="I5370" t="str">
        <f>VLOOKUP(C5370,Магазины!A:C,3,0)</f>
        <v>Оренбург</v>
      </c>
      <c r="J5370">
        <f>VLOOKUP(D5370,Товары!A:I,4,0)</f>
        <v>9615</v>
      </c>
      <c r="K5370">
        <f t="shared" si="83"/>
        <v>28845</v>
      </c>
    </row>
    <row r="5371" spans="1:11" hidden="1" x14ac:dyDescent="0.25">
      <c r="A5371">
        <v>5370</v>
      </c>
      <c r="B5371" s="1">
        <v>45756</v>
      </c>
      <c r="C5371" t="s">
        <v>48</v>
      </c>
      <c r="D5371" t="s">
        <v>99</v>
      </c>
      <c r="E5371" t="s">
        <v>13</v>
      </c>
      <c r="F5371">
        <v>2</v>
      </c>
      <c r="G5371" t="str">
        <f>VLOOKUP(D5371,Товары!A:I,3,0)</f>
        <v>Тумба с раковиной  навес. Леон 600 оникс 2 ящика с умыв. Слим</v>
      </c>
      <c r="H5371">
        <f>VLOOKUP(D5371,Товары!A:I,6,0)</f>
        <v>60</v>
      </c>
      <c r="I5371" t="str">
        <f>VLOOKUP(C5371,Магазины!A:C,3,0)</f>
        <v>Ставрополь</v>
      </c>
      <c r="J5371">
        <f>VLOOKUP(D5371,Товары!A:I,4,0)</f>
        <v>25125</v>
      </c>
      <c r="K5371">
        <f t="shared" si="83"/>
        <v>50250</v>
      </c>
    </row>
    <row r="5372" spans="1:11" hidden="1" x14ac:dyDescent="0.25">
      <c r="A5372">
        <v>5371</v>
      </c>
      <c r="B5372" s="1">
        <v>45757</v>
      </c>
      <c r="C5372" t="s">
        <v>28</v>
      </c>
      <c r="D5372" t="s">
        <v>72</v>
      </c>
      <c r="E5372" t="s">
        <v>8</v>
      </c>
      <c r="F5372">
        <v>3</v>
      </c>
      <c r="G5372" t="str">
        <f>VLOOKUP(D5372,Товары!A:I,3,0)</f>
        <v>Тумба с раковиной  напол. Сохо 600 белый 2 ящика с умыв. Океан</v>
      </c>
      <c r="H5372">
        <f>VLOOKUP(D5372,Товары!A:I,6,0)</f>
        <v>85</v>
      </c>
      <c r="I5372" t="str">
        <f>VLOOKUP(C5372,Магазины!A:C,3,0)</f>
        <v>Набережные Челны</v>
      </c>
      <c r="J5372">
        <f>VLOOKUP(D5372,Товары!A:I,4,0)</f>
        <v>16140</v>
      </c>
      <c r="K5372">
        <f t="shared" si="83"/>
        <v>48420</v>
      </c>
    </row>
    <row r="5373" spans="1:11" hidden="1" x14ac:dyDescent="0.25">
      <c r="A5373">
        <v>5372</v>
      </c>
      <c r="B5373" s="1">
        <v>45756</v>
      </c>
      <c r="C5373" t="s">
        <v>16</v>
      </c>
      <c r="D5373" t="s">
        <v>89</v>
      </c>
      <c r="E5373" t="s">
        <v>13</v>
      </c>
      <c r="F5373">
        <v>1</v>
      </c>
      <c r="G5373" t="str">
        <f>VLOOKUP(D5373,Товары!A:I,3,0)</f>
        <v>Тумба с раковиной  напол. Сохо 600 белый 2 двери с умыв. Океан</v>
      </c>
      <c r="H5373">
        <f>VLOOKUP(D5373,Товары!A:I,6,0)</f>
        <v>85</v>
      </c>
      <c r="I5373" t="str">
        <f>VLOOKUP(C5373,Магазины!A:C,3,0)</f>
        <v>Оренбург</v>
      </c>
      <c r="J5373">
        <f>VLOOKUP(D5373,Товары!A:I,4,0)</f>
        <v>14880</v>
      </c>
      <c r="K5373">
        <f t="shared" si="83"/>
        <v>14880</v>
      </c>
    </row>
    <row r="5374" spans="1:11" hidden="1" x14ac:dyDescent="0.25">
      <c r="A5374">
        <v>5373</v>
      </c>
      <c r="B5374" s="1">
        <v>45749</v>
      </c>
      <c r="C5374" t="s">
        <v>26</v>
      </c>
      <c r="D5374" t="s">
        <v>91</v>
      </c>
      <c r="E5374" t="s">
        <v>13</v>
      </c>
      <c r="F5374">
        <v>2</v>
      </c>
      <c r="G5374" t="str">
        <f>VLOOKUP(D5374,Товары!A:I,3,0)</f>
        <v>Пенал навес./напол. Альба 350 мята 2 двери</v>
      </c>
      <c r="H5374">
        <f>VLOOKUP(D5374,Товары!A:I,6,0)</f>
        <v>150</v>
      </c>
      <c r="I5374" t="str">
        <f>VLOOKUP(C5374,Магазины!A:C,3,0)</f>
        <v>Оренбург</v>
      </c>
      <c r="J5374">
        <f>VLOOKUP(D5374,Товары!A:I,4,0)</f>
        <v>11655</v>
      </c>
      <c r="K5374">
        <f t="shared" si="83"/>
        <v>23310</v>
      </c>
    </row>
    <row r="5375" spans="1:11" hidden="1" x14ac:dyDescent="0.25">
      <c r="A5375">
        <v>5374</v>
      </c>
      <c r="B5375" s="1">
        <v>45754</v>
      </c>
      <c r="C5375" t="s">
        <v>6</v>
      </c>
      <c r="D5375" t="s">
        <v>105</v>
      </c>
      <c r="E5375" t="s">
        <v>13</v>
      </c>
      <c r="F5375">
        <v>1</v>
      </c>
      <c r="G5375" t="str">
        <f>VLOOKUP(D5375,Товары!A:I,3,0)</f>
        <v>Тумба с раковиной  напол. Нева 600 белый 2 двери + 1 ящик с умыв. Como</v>
      </c>
      <c r="H5375">
        <f>VLOOKUP(D5375,Товары!A:I,6,0)</f>
        <v>80</v>
      </c>
      <c r="I5375" t="str">
        <f>VLOOKUP(C5375,Магазины!A:C,3,0)</f>
        <v>Оренбург</v>
      </c>
      <c r="J5375">
        <f>VLOOKUP(D5375,Товары!A:I,4,0)</f>
        <v>13470</v>
      </c>
      <c r="K5375">
        <f t="shared" si="83"/>
        <v>13470</v>
      </c>
    </row>
    <row r="5376" spans="1:11" hidden="1" x14ac:dyDescent="0.25">
      <c r="A5376">
        <v>5375</v>
      </c>
      <c r="B5376" s="1">
        <v>45752</v>
      </c>
      <c r="C5376" t="s">
        <v>6</v>
      </c>
      <c r="D5376" t="s">
        <v>90</v>
      </c>
      <c r="E5376" t="s">
        <v>13</v>
      </c>
      <c r="F5376">
        <v>1</v>
      </c>
      <c r="G5376" t="str">
        <f>VLOOKUP(D5376,Товары!A:I,3,0)</f>
        <v>Пенал напол. Аква 350 белый 2 двери + 2 ящика</v>
      </c>
      <c r="H5376">
        <f>VLOOKUP(D5376,Товары!A:I,6,0)</f>
        <v>190</v>
      </c>
      <c r="I5376" t="str">
        <f>VLOOKUP(C5376,Магазины!A:C,3,0)</f>
        <v>Оренбург</v>
      </c>
      <c r="J5376">
        <f>VLOOKUP(D5376,Товары!A:I,4,0)</f>
        <v>10650</v>
      </c>
      <c r="K5376">
        <f t="shared" si="83"/>
        <v>10650</v>
      </c>
    </row>
    <row r="5377" spans="1:11" hidden="1" x14ac:dyDescent="0.25">
      <c r="A5377">
        <v>5376</v>
      </c>
      <c r="B5377" s="1">
        <v>45753</v>
      </c>
      <c r="C5377" t="s">
        <v>35</v>
      </c>
      <c r="D5377" t="s">
        <v>51</v>
      </c>
      <c r="E5377" t="s">
        <v>13</v>
      </c>
      <c r="F5377">
        <v>3</v>
      </c>
      <c r="G5377" t="str">
        <f>VLOOKUP(D5377,Товары!A:I,3,0)</f>
        <v>Зеркальный шкаф Альба 80 со светильником правый цвет суфле</v>
      </c>
      <c r="H5377">
        <f>VLOOKUP(D5377,Товары!A:I,6,0)</f>
        <v>75</v>
      </c>
      <c r="I5377" t="str">
        <f>VLOOKUP(C5377,Магазины!A:C,3,0)</f>
        <v>Набережные Челны</v>
      </c>
      <c r="J5377">
        <f>VLOOKUP(D5377,Товары!A:I,4,0)</f>
        <v>9930</v>
      </c>
      <c r="K5377">
        <f t="shared" si="83"/>
        <v>29790</v>
      </c>
    </row>
    <row r="5378" spans="1:11" hidden="1" x14ac:dyDescent="0.25">
      <c r="A5378">
        <v>5377</v>
      </c>
      <c r="B5378" s="1">
        <v>45749</v>
      </c>
      <c r="C5378" t="s">
        <v>14</v>
      </c>
      <c r="D5378" t="s">
        <v>81</v>
      </c>
      <c r="E5378" t="s">
        <v>13</v>
      </c>
      <c r="F5378">
        <v>3</v>
      </c>
      <c r="G5378" t="str">
        <f>VLOOKUP(D5378,Товары!A:I,3,0)</f>
        <v>Тумба с раковиной  навес. Рица 600 cерый/керамика 1 ящик + ниша 1 с умыв. Океан</v>
      </c>
      <c r="H5378">
        <f>VLOOKUP(D5378,Товары!A:I,6,0)</f>
        <v>60</v>
      </c>
      <c r="I5378" t="str">
        <f>VLOOKUP(C5378,Магазины!A:C,3,0)</f>
        <v>Оренбург</v>
      </c>
      <c r="J5378">
        <f>VLOOKUP(D5378,Товары!A:I,4,0)</f>
        <v>18900</v>
      </c>
      <c r="K5378">
        <f t="shared" si="83"/>
        <v>56700</v>
      </c>
    </row>
    <row r="5379" spans="1:11" hidden="1" x14ac:dyDescent="0.25">
      <c r="A5379">
        <v>5378</v>
      </c>
      <c r="B5379" s="1">
        <v>45756</v>
      </c>
      <c r="C5379" t="s">
        <v>48</v>
      </c>
      <c r="D5379" t="s">
        <v>62</v>
      </c>
      <c r="E5379" t="s">
        <v>8</v>
      </c>
      <c r="F5379">
        <v>2</v>
      </c>
      <c r="G5379" t="str">
        <f>VLOOKUP(D5379,Товары!A:I,3,0)</f>
        <v>Тумба с раковиной  напол. Альба 600 мята 2 ящика с умыв. Океан</v>
      </c>
      <c r="H5379">
        <f>VLOOKUP(D5379,Товары!A:I,6,0)</f>
        <v>80</v>
      </c>
      <c r="I5379" t="str">
        <f>VLOOKUP(C5379,Магазины!A:C,3,0)</f>
        <v>Ставрополь</v>
      </c>
      <c r="J5379">
        <f>VLOOKUP(D5379,Товары!A:I,4,0)</f>
        <v>26370</v>
      </c>
      <c r="K5379">
        <f t="shared" ref="K5379:K5442" si="84">J5379*F5379</f>
        <v>52740</v>
      </c>
    </row>
    <row r="5380" spans="1:11" hidden="1" x14ac:dyDescent="0.25">
      <c r="A5380">
        <v>5379</v>
      </c>
      <c r="B5380" s="1">
        <v>45749</v>
      </c>
      <c r="C5380" t="s">
        <v>43</v>
      </c>
      <c r="D5380" t="s">
        <v>72</v>
      </c>
      <c r="E5380" t="s">
        <v>13</v>
      </c>
      <c r="F5380">
        <v>3</v>
      </c>
      <c r="G5380" t="str">
        <f>VLOOKUP(D5380,Товары!A:I,3,0)</f>
        <v>Тумба с раковиной  напол. Сохо 600 белый 2 ящика с умыв. Океан</v>
      </c>
      <c r="H5380">
        <f>VLOOKUP(D5380,Товары!A:I,6,0)</f>
        <v>85</v>
      </c>
      <c r="I5380" t="str">
        <f>VLOOKUP(C5380,Магазины!A:C,3,0)</f>
        <v>Набережные Челны</v>
      </c>
      <c r="J5380">
        <f>VLOOKUP(D5380,Товары!A:I,4,0)</f>
        <v>16140</v>
      </c>
      <c r="K5380">
        <f t="shared" si="84"/>
        <v>48420</v>
      </c>
    </row>
    <row r="5381" spans="1:11" hidden="1" x14ac:dyDescent="0.25">
      <c r="A5381">
        <v>5380</v>
      </c>
      <c r="B5381" s="1">
        <v>45755</v>
      </c>
      <c r="C5381" t="s">
        <v>11</v>
      </c>
      <c r="D5381" t="s">
        <v>93</v>
      </c>
      <c r="E5381" t="s">
        <v>8</v>
      </c>
      <c r="F5381">
        <v>3</v>
      </c>
      <c r="G5381" t="str">
        <f>VLOOKUP(D5381,Товары!A:I,3,0)</f>
        <v>Тумба с раковиной  напол. Леон Риф 800 солярис/белый риф 2 ящика с умыв. Слим</v>
      </c>
      <c r="H5381">
        <f>VLOOKUP(D5381,Товары!A:I,6,0)</f>
        <v>80</v>
      </c>
      <c r="I5381" t="str">
        <f>VLOOKUP(C5381,Магазины!A:C,3,0)</f>
        <v>Кемерово</v>
      </c>
      <c r="J5381">
        <f>VLOOKUP(D5381,Товары!A:I,4,0)</f>
        <v>29340</v>
      </c>
      <c r="K5381">
        <f t="shared" si="84"/>
        <v>88020</v>
      </c>
    </row>
    <row r="5382" spans="1:11" hidden="1" x14ac:dyDescent="0.25">
      <c r="A5382">
        <v>5381</v>
      </c>
      <c r="B5382" s="1">
        <v>45752</v>
      </c>
      <c r="C5382" t="s">
        <v>20</v>
      </c>
      <c r="D5382" t="s">
        <v>122</v>
      </c>
      <c r="E5382" t="s">
        <v>13</v>
      </c>
      <c r="F5382">
        <v>2</v>
      </c>
      <c r="G5382" t="str">
        <f>VLOOKUP(D5382,Товары!A:I,3,0)</f>
        <v>Тумба с раковиной  навес. Кристалл 600 шато азур 2 ящика с умыв. Океан</v>
      </c>
      <c r="H5382">
        <f>VLOOKUP(D5382,Товары!A:I,6,0)</f>
        <v>55</v>
      </c>
      <c r="I5382" t="str">
        <f>VLOOKUP(C5382,Магазины!A:C,3,0)</f>
        <v>Оренбург</v>
      </c>
      <c r="J5382">
        <f>VLOOKUP(D5382,Товары!A:I,4,0)</f>
        <v>21960</v>
      </c>
      <c r="K5382">
        <f t="shared" si="84"/>
        <v>43920</v>
      </c>
    </row>
    <row r="5383" spans="1:11" hidden="1" x14ac:dyDescent="0.25">
      <c r="A5383">
        <v>5382</v>
      </c>
      <c r="B5383" s="1">
        <v>45748</v>
      </c>
      <c r="C5383" t="s">
        <v>6</v>
      </c>
      <c r="D5383" t="s">
        <v>125</v>
      </c>
      <c r="E5383" t="s">
        <v>13</v>
      </c>
      <c r="F5383">
        <v>1</v>
      </c>
      <c r="G5383" t="str">
        <f>VLOOKUP(D5383,Товары!A:I,3,0)</f>
        <v>Зеркальный шкаф Сохо 60 белый со светильником правый цвет Белый глянец</v>
      </c>
      <c r="H5383">
        <f>VLOOKUP(D5383,Товары!A:I,6,0)</f>
        <v>75</v>
      </c>
      <c r="I5383" t="str">
        <f>VLOOKUP(C5383,Магазины!A:C,3,0)</f>
        <v>Оренбург</v>
      </c>
      <c r="J5383">
        <f>VLOOKUP(D5383,Товары!A:I,4,0)</f>
        <v>7395</v>
      </c>
      <c r="K5383">
        <f t="shared" si="84"/>
        <v>7395</v>
      </c>
    </row>
    <row r="5384" spans="1:11" hidden="1" x14ac:dyDescent="0.25">
      <c r="A5384">
        <v>5383</v>
      </c>
      <c r="B5384" s="1">
        <v>45749</v>
      </c>
      <c r="C5384" t="s">
        <v>9</v>
      </c>
      <c r="D5384" t="s">
        <v>121</v>
      </c>
      <c r="E5384" t="s">
        <v>8</v>
      </c>
      <c r="F5384">
        <v>2</v>
      </c>
      <c r="G5384" t="str">
        <f>VLOOKUP(D5384,Товары!A:I,3,0)</f>
        <v>Тумба с раковиной  напол. Куба Риф 600 белый 2 двери с умыв. Como</v>
      </c>
      <c r="H5384">
        <f>VLOOKUP(D5384,Товары!A:I,6,0)</f>
        <v>85</v>
      </c>
      <c r="I5384" t="str">
        <f>VLOOKUP(C5384,Магазины!A:C,3,0)</f>
        <v>Кемерово</v>
      </c>
      <c r="J5384">
        <f>VLOOKUP(D5384,Товары!A:I,4,0)</f>
        <v>13695</v>
      </c>
      <c r="K5384">
        <f t="shared" si="84"/>
        <v>27390</v>
      </c>
    </row>
    <row r="5385" spans="1:11" hidden="1" x14ac:dyDescent="0.25">
      <c r="A5385">
        <v>5384</v>
      </c>
      <c r="B5385" s="1">
        <v>45757</v>
      </c>
      <c r="C5385" t="s">
        <v>18</v>
      </c>
      <c r="D5385" t="s">
        <v>42</v>
      </c>
      <c r="E5385" t="s">
        <v>8</v>
      </c>
      <c r="F5385">
        <v>1</v>
      </c>
      <c r="G5385" t="str">
        <f>VLOOKUP(D5385,Товары!A:I,3,0)</f>
        <v>Тумба под стиральную машину Леон Риф 57 подвесная 2 ящика под ст/маш, без умывальника /под Marshall 120 Солярис/Белый Риф</v>
      </c>
      <c r="H5385">
        <f>VLOOKUP(D5385,Товары!A:I,6,0)</f>
        <v>60</v>
      </c>
      <c r="I5385" t="str">
        <f>VLOOKUP(C5385,Магазины!A:C,3,0)</f>
        <v>Набережные Челны</v>
      </c>
      <c r="J5385">
        <f>VLOOKUP(D5385,Товары!A:I,4,0)</f>
        <v>15495</v>
      </c>
      <c r="K5385">
        <f t="shared" si="84"/>
        <v>15495</v>
      </c>
    </row>
    <row r="5386" spans="1:11" hidden="1" x14ac:dyDescent="0.25">
      <c r="A5386">
        <v>5385</v>
      </c>
      <c r="B5386" s="1">
        <v>45757</v>
      </c>
      <c r="C5386" t="s">
        <v>22</v>
      </c>
      <c r="D5386" t="s">
        <v>46</v>
      </c>
      <c r="E5386" t="s">
        <v>13</v>
      </c>
      <c r="F5386">
        <v>3</v>
      </c>
      <c r="G5386" t="str">
        <f>VLOOKUP(D5386,Товары!A:I,3,0)</f>
        <v>Тумба с раковиной  напол. Сохо 700 белый 2 ящика с умыв. Слим</v>
      </c>
      <c r="H5386">
        <f>VLOOKUP(D5386,Товары!A:I,6,0)</f>
        <v>85</v>
      </c>
      <c r="I5386" t="str">
        <f>VLOOKUP(C5386,Магазины!A:C,3,0)</f>
        <v>Кемерово</v>
      </c>
      <c r="J5386">
        <f>VLOOKUP(D5386,Товары!A:I,4,0)</f>
        <v>18405</v>
      </c>
      <c r="K5386">
        <f t="shared" si="84"/>
        <v>55215</v>
      </c>
    </row>
    <row r="5387" spans="1:11" hidden="1" x14ac:dyDescent="0.25">
      <c r="A5387">
        <v>5386</v>
      </c>
      <c r="B5387" s="1">
        <v>45748</v>
      </c>
      <c r="C5387" t="s">
        <v>41</v>
      </c>
      <c r="D5387" t="s">
        <v>82</v>
      </c>
      <c r="E5387" t="s">
        <v>13</v>
      </c>
      <c r="F5387">
        <v>2</v>
      </c>
      <c r="G5387" t="str">
        <f>VLOOKUP(D5387,Товары!A:I,3,0)</f>
        <v>Тумба с раковиной  навес. Леон 800 форест 2 ящика с умыв. Слим</v>
      </c>
      <c r="H5387">
        <f>VLOOKUP(D5387,Товары!A:I,6,0)</f>
        <v>60</v>
      </c>
      <c r="I5387" t="str">
        <f>VLOOKUP(C5387,Магазины!A:C,3,0)</f>
        <v>Ставрополь</v>
      </c>
      <c r="J5387">
        <f>VLOOKUP(D5387,Товары!A:I,4,0)</f>
        <v>27930</v>
      </c>
      <c r="K5387">
        <f t="shared" si="84"/>
        <v>55860</v>
      </c>
    </row>
    <row r="5388" spans="1:11" hidden="1" x14ac:dyDescent="0.25">
      <c r="A5388">
        <v>5387</v>
      </c>
      <c r="B5388" s="1">
        <v>45754</v>
      </c>
      <c r="C5388" t="s">
        <v>26</v>
      </c>
      <c r="D5388" t="s">
        <v>24</v>
      </c>
      <c r="E5388" t="s">
        <v>13</v>
      </c>
      <c r="F5388">
        <v>3</v>
      </c>
      <c r="G5388" t="str">
        <f>VLOOKUP(D5388,Товары!A:I,3,0)</f>
        <v>Тумба с раковиной  напол. Леон 600 форест 2 ящика с умыв. Слим</v>
      </c>
      <c r="H5388">
        <f>VLOOKUP(D5388,Товары!A:I,6,0)</f>
        <v>80</v>
      </c>
      <c r="I5388" t="str">
        <f>VLOOKUP(C5388,Магазины!A:C,3,0)</f>
        <v>Оренбург</v>
      </c>
      <c r="J5388">
        <f>VLOOKUP(D5388,Товары!A:I,4,0)</f>
        <v>27150</v>
      </c>
      <c r="K5388">
        <f t="shared" si="84"/>
        <v>81450</v>
      </c>
    </row>
    <row r="5389" spans="1:11" hidden="1" x14ac:dyDescent="0.25">
      <c r="A5389">
        <v>5388</v>
      </c>
      <c r="B5389" s="1">
        <v>45752</v>
      </c>
      <c r="C5389" t="s">
        <v>92</v>
      </c>
      <c r="D5389" t="s">
        <v>31</v>
      </c>
      <c r="E5389" t="s">
        <v>13</v>
      </c>
      <c r="F5389">
        <v>2</v>
      </c>
      <c r="G5389" t="str">
        <f>VLOOKUP(D5389,Товары!A:I,3,0)</f>
        <v>Пенал напол. Виктория 350 белый 2 двери</v>
      </c>
      <c r="H5389">
        <f>VLOOKUP(D5389,Товары!A:I,6,0)</f>
        <v>190</v>
      </c>
      <c r="I5389" t="str">
        <f>VLOOKUP(C5389,Магазины!A:C,3,0)</f>
        <v>Кемерово</v>
      </c>
      <c r="J5389">
        <f>VLOOKUP(D5389,Товары!A:I,4,0)</f>
        <v>14085</v>
      </c>
      <c r="K5389">
        <f t="shared" si="84"/>
        <v>28170</v>
      </c>
    </row>
    <row r="5390" spans="1:11" hidden="1" x14ac:dyDescent="0.25">
      <c r="A5390">
        <v>5389</v>
      </c>
      <c r="B5390" s="1">
        <v>45749</v>
      </c>
      <c r="C5390" t="s">
        <v>14</v>
      </c>
      <c r="D5390" t="s">
        <v>84</v>
      </c>
      <c r="E5390" t="s">
        <v>8</v>
      </c>
      <c r="F5390">
        <v>1</v>
      </c>
      <c r="G5390" t="str">
        <f>VLOOKUP(D5390,Товары!A:I,3,0)</f>
        <v>Тумба с раковиной  напол. Куба Риф 800 белый 3 двери с умыв. Слим</v>
      </c>
      <c r="H5390">
        <f>VLOOKUP(D5390,Товары!A:I,6,0)</f>
        <v>85</v>
      </c>
      <c r="I5390" t="str">
        <f>VLOOKUP(C5390,Магазины!A:C,3,0)</f>
        <v>Оренбург</v>
      </c>
      <c r="J5390">
        <f>VLOOKUP(D5390,Товары!A:I,4,0)</f>
        <v>19920</v>
      </c>
      <c r="K5390">
        <f t="shared" si="84"/>
        <v>19920</v>
      </c>
    </row>
    <row r="5391" spans="1:11" hidden="1" x14ac:dyDescent="0.25">
      <c r="A5391">
        <v>5390</v>
      </c>
      <c r="B5391" s="1">
        <v>45749</v>
      </c>
      <c r="C5391" t="s">
        <v>20</v>
      </c>
      <c r="D5391" t="s">
        <v>123</v>
      </c>
      <c r="E5391" t="s">
        <v>8</v>
      </c>
      <c r="F5391">
        <v>2</v>
      </c>
      <c r="G5391" t="str">
        <f>VLOOKUP(D5391,Товары!A:I,3,0)</f>
        <v>Тумба с раковиной  напол. Кристалл 800 суфле 2 ящика с умыв. Слим</v>
      </c>
      <c r="H5391">
        <f>VLOOKUP(D5391,Товары!A:I,6,0)</f>
        <v>80</v>
      </c>
      <c r="I5391" t="str">
        <f>VLOOKUP(C5391,Магазины!A:C,3,0)</f>
        <v>Оренбург</v>
      </c>
      <c r="J5391">
        <f>VLOOKUP(D5391,Товары!A:I,4,0)</f>
        <v>31125</v>
      </c>
      <c r="K5391">
        <f t="shared" si="84"/>
        <v>62250</v>
      </c>
    </row>
    <row r="5392" spans="1:11" hidden="1" x14ac:dyDescent="0.25">
      <c r="A5392">
        <v>5391</v>
      </c>
      <c r="B5392" s="1">
        <v>45753</v>
      </c>
      <c r="C5392" t="s">
        <v>18</v>
      </c>
      <c r="D5392" t="s">
        <v>52</v>
      </c>
      <c r="E5392" t="s">
        <v>13</v>
      </c>
      <c r="F5392">
        <v>1</v>
      </c>
      <c r="G5392" t="str">
        <f>VLOOKUP(D5392,Товары!A:I,3,0)</f>
        <v>Тумба с раковиной  напол. Кристалл 600 суфле 2 ящика с умыв. Океан</v>
      </c>
      <c r="H5392">
        <f>VLOOKUP(D5392,Товары!A:I,6,0)</f>
        <v>80</v>
      </c>
      <c r="I5392" t="str">
        <f>VLOOKUP(C5392,Магазины!A:C,3,0)</f>
        <v>Набережные Челны</v>
      </c>
      <c r="J5392">
        <f>VLOOKUP(D5392,Товары!A:I,4,0)</f>
        <v>27600</v>
      </c>
      <c r="K5392">
        <f t="shared" si="84"/>
        <v>27600</v>
      </c>
    </row>
    <row r="5393" spans="1:11" hidden="1" x14ac:dyDescent="0.25">
      <c r="A5393">
        <v>5392</v>
      </c>
      <c r="B5393" s="1">
        <v>45751</v>
      </c>
      <c r="C5393" t="s">
        <v>58</v>
      </c>
      <c r="D5393" t="s">
        <v>95</v>
      </c>
      <c r="E5393" t="s">
        <v>8</v>
      </c>
      <c r="F5393">
        <v>2</v>
      </c>
      <c r="G5393" t="str">
        <f>VLOOKUP(D5393,Товары!A:I,3,0)</f>
        <v>Тумба с раковиной  напол. Рица 600 антрацит 2 ящика с умыв. Океан</v>
      </c>
      <c r="H5393">
        <f>VLOOKUP(D5393,Товары!A:I,6,0)</f>
        <v>80</v>
      </c>
      <c r="I5393" t="str">
        <f>VLOOKUP(C5393,Магазины!A:C,3,0)</f>
        <v>Ставрополь</v>
      </c>
      <c r="J5393">
        <f>VLOOKUP(D5393,Товары!A:I,4,0)</f>
        <v>25560</v>
      </c>
      <c r="K5393">
        <f t="shared" si="84"/>
        <v>51120</v>
      </c>
    </row>
    <row r="5394" spans="1:11" hidden="1" x14ac:dyDescent="0.25">
      <c r="A5394">
        <v>5393</v>
      </c>
      <c r="B5394" s="1">
        <v>45751</v>
      </c>
      <c r="C5394" t="s">
        <v>35</v>
      </c>
      <c r="D5394" t="s">
        <v>93</v>
      </c>
      <c r="E5394" t="s">
        <v>13</v>
      </c>
      <c r="F5394">
        <v>2</v>
      </c>
      <c r="G5394" t="str">
        <f>VLOOKUP(D5394,Товары!A:I,3,0)</f>
        <v>Тумба с раковиной  напол. Леон Риф 800 солярис/белый риф 2 ящика с умыв. Слим</v>
      </c>
      <c r="H5394">
        <f>VLOOKUP(D5394,Товары!A:I,6,0)</f>
        <v>80</v>
      </c>
      <c r="I5394" t="str">
        <f>VLOOKUP(C5394,Магазины!A:C,3,0)</f>
        <v>Набережные Челны</v>
      </c>
      <c r="J5394">
        <f>VLOOKUP(D5394,Товары!A:I,4,0)</f>
        <v>29340</v>
      </c>
      <c r="K5394">
        <f t="shared" si="84"/>
        <v>58680</v>
      </c>
    </row>
    <row r="5395" spans="1:11" hidden="1" x14ac:dyDescent="0.25">
      <c r="A5395">
        <v>5394</v>
      </c>
      <c r="B5395" s="1">
        <v>45749</v>
      </c>
      <c r="C5395" t="s">
        <v>33</v>
      </c>
      <c r="D5395" t="s">
        <v>67</v>
      </c>
      <c r="E5395" t="s">
        <v>8</v>
      </c>
      <c r="F5395">
        <v>3</v>
      </c>
      <c r="G5395" t="str">
        <f>VLOOKUP(D5395,Товары!A:I,3,0)</f>
        <v>Пенал навес./напол. Альба 350 суфле 2 двери</v>
      </c>
      <c r="H5395">
        <f>VLOOKUP(D5395,Товары!A:I,6,0)</f>
        <v>150</v>
      </c>
      <c r="I5395" t="str">
        <f>VLOOKUP(C5395,Магазины!A:C,3,0)</f>
        <v>Набережные Челны</v>
      </c>
      <c r="J5395">
        <f>VLOOKUP(D5395,Товары!A:I,4,0)</f>
        <v>11655</v>
      </c>
      <c r="K5395">
        <f t="shared" si="84"/>
        <v>34965</v>
      </c>
    </row>
    <row r="5396" spans="1:11" hidden="1" x14ac:dyDescent="0.25">
      <c r="A5396">
        <v>5395</v>
      </c>
      <c r="B5396" s="1">
        <v>45753</v>
      </c>
      <c r="C5396" t="s">
        <v>28</v>
      </c>
      <c r="D5396" t="s">
        <v>23</v>
      </c>
      <c r="E5396" t="s">
        <v>8</v>
      </c>
      <c r="F5396">
        <v>3</v>
      </c>
      <c r="G5396" t="str">
        <f>VLOOKUP(D5396,Товары!A:I,3,0)</f>
        <v>Тумба с раковиной  напол. Альба 800 антрацит 2 ящика с умыв. Слим</v>
      </c>
      <c r="H5396">
        <f>VLOOKUP(D5396,Товары!A:I,6,0)</f>
        <v>80</v>
      </c>
      <c r="I5396" t="str">
        <f>VLOOKUP(C5396,Магазины!A:C,3,0)</f>
        <v>Набережные Челны</v>
      </c>
      <c r="J5396">
        <f>VLOOKUP(D5396,Товары!A:I,4,0)</f>
        <v>29340</v>
      </c>
      <c r="K5396">
        <f t="shared" si="84"/>
        <v>88020</v>
      </c>
    </row>
    <row r="5397" spans="1:11" hidden="1" x14ac:dyDescent="0.25">
      <c r="A5397">
        <v>5396</v>
      </c>
      <c r="B5397" s="1">
        <v>45754</v>
      </c>
      <c r="C5397" t="s">
        <v>30</v>
      </c>
      <c r="D5397" t="s">
        <v>125</v>
      </c>
      <c r="E5397" t="s">
        <v>8</v>
      </c>
      <c r="F5397">
        <v>3</v>
      </c>
      <c r="G5397" t="str">
        <f>VLOOKUP(D5397,Товары!A:I,3,0)</f>
        <v>Зеркальный шкаф Сохо 60 белый со светильником правый цвет Белый глянец</v>
      </c>
      <c r="H5397">
        <f>VLOOKUP(D5397,Товары!A:I,6,0)</f>
        <v>75</v>
      </c>
      <c r="I5397" t="str">
        <f>VLOOKUP(C5397,Магазины!A:C,3,0)</f>
        <v>Кемерово</v>
      </c>
      <c r="J5397">
        <f>VLOOKUP(D5397,Товары!A:I,4,0)</f>
        <v>7395</v>
      </c>
      <c r="K5397">
        <f t="shared" si="84"/>
        <v>22185</v>
      </c>
    </row>
    <row r="5398" spans="1:11" hidden="1" x14ac:dyDescent="0.25">
      <c r="A5398">
        <v>5397</v>
      </c>
      <c r="B5398" s="1">
        <v>45752</v>
      </c>
      <c r="C5398" t="s">
        <v>30</v>
      </c>
      <c r="D5398" t="s">
        <v>84</v>
      </c>
      <c r="E5398" t="s">
        <v>8</v>
      </c>
      <c r="F5398">
        <v>2</v>
      </c>
      <c r="G5398" t="str">
        <f>VLOOKUP(D5398,Товары!A:I,3,0)</f>
        <v>Тумба с раковиной  напол. Куба Риф 800 белый 3 двери с умыв. Слим</v>
      </c>
      <c r="H5398">
        <f>VLOOKUP(D5398,Товары!A:I,6,0)</f>
        <v>85</v>
      </c>
      <c r="I5398" t="str">
        <f>VLOOKUP(C5398,Магазины!A:C,3,0)</f>
        <v>Кемерово</v>
      </c>
      <c r="J5398">
        <f>VLOOKUP(D5398,Товары!A:I,4,0)</f>
        <v>19920</v>
      </c>
      <c r="K5398">
        <f t="shared" si="84"/>
        <v>39840</v>
      </c>
    </row>
    <row r="5399" spans="1:11" hidden="1" x14ac:dyDescent="0.25">
      <c r="A5399">
        <v>5398</v>
      </c>
      <c r="B5399" s="1">
        <v>45755</v>
      </c>
      <c r="C5399" t="s">
        <v>30</v>
      </c>
      <c r="D5399" t="s">
        <v>115</v>
      </c>
      <c r="E5399" t="s">
        <v>8</v>
      </c>
      <c r="F5399">
        <v>1</v>
      </c>
      <c r="G5399" t="str">
        <f>VLOOKUP(D5399,Товары!A:I,3,0)</f>
        <v>Тумба под стиральную машину Куба Риф 57 напольная 2 ящика под ст/маш, без умывальника /под Marshall 120 Белый</v>
      </c>
      <c r="H5399">
        <f>VLOOKUP(D5399,Товары!A:I,6,0)</f>
        <v>85</v>
      </c>
      <c r="I5399" t="str">
        <f>VLOOKUP(C5399,Магазины!A:C,3,0)</f>
        <v>Кемерово</v>
      </c>
      <c r="J5399">
        <f>VLOOKUP(D5399,Товары!A:I,4,0)</f>
        <v>10530</v>
      </c>
      <c r="K5399">
        <f t="shared" si="84"/>
        <v>10530</v>
      </c>
    </row>
    <row r="5400" spans="1:11" hidden="1" x14ac:dyDescent="0.25">
      <c r="A5400">
        <v>5399</v>
      </c>
      <c r="B5400" s="1">
        <v>45756</v>
      </c>
      <c r="C5400" t="s">
        <v>111</v>
      </c>
      <c r="D5400" t="s">
        <v>29</v>
      </c>
      <c r="E5400" t="s">
        <v>13</v>
      </c>
      <c r="F5400">
        <v>2</v>
      </c>
      <c r="G5400" t="str">
        <f>VLOOKUP(D5400,Товары!A:I,3,0)</f>
        <v>Тумба с раковиной  напол. Леон Риф 600 солярис/белый риф 2 ящика с умыв. Океан</v>
      </c>
      <c r="H5400">
        <f>VLOOKUP(D5400,Товары!A:I,6,0)</f>
        <v>80</v>
      </c>
      <c r="I5400" t="str">
        <f>VLOOKUP(C5400,Магазины!A:C,3,0)</f>
        <v>Набережные Челны</v>
      </c>
      <c r="J5400">
        <f>VLOOKUP(D5400,Товары!A:I,4,0)</f>
        <v>24150</v>
      </c>
      <c r="K5400">
        <f t="shared" si="84"/>
        <v>48300</v>
      </c>
    </row>
    <row r="5401" spans="1:11" hidden="1" x14ac:dyDescent="0.25">
      <c r="A5401">
        <v>5400</v>
      </c>
      <c r="B5401" s="1">
        <v>45755</v>
      </c>
      <c r="C5401" t="s">
        <v>22</v>
      </c>
      <c r="D5401" t="s">
        <v>122</v>
      </c>
      <c r="E5401" t="s">
        <v>13</v>
      </c>
      <c r="F5401">
        <v>3</v>
      </c>
      <c r="G5401" t="str">
        <f>VLOOKUP(D5401,Товары!A:I,3,0)</f>
        <v>Тумба с раковиной  навес. Кристалл 600 шато азур 2 ящика с умыв. Океан</v>
      </c>
      <c r="H5401">
        <f>VLOOKUP(D5401,Товары!A:I,6,0)</f>
        <v>55</v>
      </c>
      <c r="I5401" t="str">
        <f>VLOOKUP(C5401,Магазины!A:C,3,0)</f>
        <v>Кемерово</v>
      </c>
      <c r="J5401">
        <f>VLOOKUP(D5401,Товары!A:I,4,0)</f>
        <v>21960</v>
      </c>
      <c r="K5401">
        <f t="shared" si="84"/>
        <v>65880</v>
      </c>
    </row>
    <row r="5402" spans="1:11" hidden="1" x14ac:dyDescent="0.25">
      <c r="A5402">
        <v>5401</v>
      </c>
      <c r="B5402" s="1">
        <v>45755</v>
      </c>
      <c r="C5402" t="s">
        <v>22</v>
      </c>
      <c r="D5402" t="s">
        <v>110</v>
      </c>
      <c r="E5402" t="s">
        <v>13</v>
      </c>
      <c r="F5402">
        <v>2</v>
      </c>
      <c r="G5402" t="str">
        <f>VLOOKUP(D5402,Товары!A:I,3,0)</f>
        <v>Тумба с раковиной  напол. Альба 600 антрацит 2 ящика с умыв. Океан</v>
      </c>
      <c r="H5402">
        <f>VLOOKUP(D5402,Товары!A:I,6,0)</f>
        <v>80</v>
      </c>
      <c r="I5402" t="str">
        <f>VLOOKUP(C5402,Магазины!A:C,3,0)</f>
        <v>Кемерово</v>
      </c>
      <c r="J5402">
        <f>VLOOKUP(D5402,Товары!A:I,4,0)</f>
        <v>26370</v>
      </c>
      <c r="K5402">
        <f t="shared" si="84"/>
        <v>52740</v>
      </c>
    </row>
    <row r="5403" spans="1:11" hidden="1" x14ac:dyDescent="0.25">
      <c r="A5403">
        <v>5402</v>
      </c>
      <c r="B5403" s="1">
        <v>45757</v>
      </c>
      <c r="C5403" t="s">
        <v>57</v>
      </c>
      <c r="D5403" t="s">
        <v>90</v>
      </c>
      <c r="E5403" t="s">
        <v>13</v>
      </c>
      <c r="F5403">
        <v>3</v>
      </c>
      <c r="G5403" t="str">
        <f>VLOOKUP(D5403,Товары!A:I,3,0)</f>
        <v>Пенал напол. Аква 350 белый 2 двери + 2 ящика</v>
      </c>
      <c r="H5403">
        <f>VLOOKUP(D5403,Товары!A:I,6,0)</f>
        <v>190</v>
      </c>
      <c r="I5403" t="str">
        <f>VLOOKUP(C5403,Магазины!A:C,3,0)</f>
        <v>Оренбург</v>
      </c>
      <c r="J5403">
        <f>VLOOKUP(D5403,Товары!A:I,4,0)</f>
        <v>10650</v>
      </c>
      <c r="K5403">
        <f t="shared" si="84"/>
        <v>31950</v>
      </c>
    </row>
    <row r="5404" spans="1:11" hidden="1" x14ac:dyDescent="0.25">
      <c r="A5404">
        <v>5403</v>
      </c>
      <c r="B5404" s="1">
        <v>45753</v>
      </c>
      <c r="C5404" t="s">
        <v>6</v>
      </c>
      <c r="D5404" t="s">
        <v>93</v>
      </c>
      <c r="E5404" t="s">
        <v>8</v>
      </c>
      <c r="F5404">
        <v>3</v>
      </c>
      <c r="G5404" t="str">
        <f>VLOOKUP(D5404,Товары!A:I,3,0)</f>
        <v>Тумба с раковиной  напол. Леон Риф 800 солярис/белый риф 2 ящика с умыв. Слим</v>
      </c>
      <c r="H5404">
        <f>VLOOKUP(D5404,Товары!A:I,6,0)</f>
        <v>80</v>
      </c>
      <c r="I5404" t="str">
        <f>VLOOKUP(C5404,Магазины!A:C,3,0)</f>
        <v>Оренбург</v>
      </c>
      <c r="J5404">
        <f>VLOOKUP(D5404,Товары!A:I,4,0)</f>
        <v>29340</v>
      </c>
      <c r="K5404">
        <f t="shared" si="84"/>
        <v>88020</v>
      </c>
    </row>
    <row r="5405" spans="1:11" hidden="1" x14ac:dyDescent="0.25">
      <c r="A5405">
        <v>5404</v>
      </c>
      <c r="B5405" s="1">
        <v>45756</v>
      </c>
      <c r="C5405" t="s">
        <v>33</v>
      </c>
      <c r="D5405" t="s">
        <v>127</v>
      </c>
      <c r="E5405" t="s">
        <v>8</v>
      </c>
      <c r="F5405">
        <v>1</v>
      </c>
      <c r="G5405" t="str">
        <f>VLOOKUP(D5405,Товары!A:I,3,0)</f>
        <v>Тумба с раковиной  навес. Альба 700 мята 1 ящик с умыв. Слим</v>
      </c>
      <c r="H5405">
        <f>VLOOKUP(D5405,Товары!A:I,6,0)</f>
        <v>45</v>
      </c>
      <c r="I5405" t="str">
        <f>VLOOKUP(C5405,Магазины!A:C,3,0)</f>
        <v>Набережные Челны</v>
      </c>
      <c r="J5405">
        <f>VLOOKUP(D5405,Товары!A:I,4,0)</f>
        <v>20130</v>
      </c>
      <c r="K5405">
        <f t="shared" si="84"/>
        <v>20130</v>
      </c>
    </row>
    <row r="5406" spans="1:11" hidden="1" x14ac:dyDescent="0.25">
      <c r="A5406">
        <v>5405</v>
      </c>
      <c r="B5406" s="1">
        <v>45755</v>
      </c>
      <c r="C5406" t="s">
        <v>33</v>
      </c>
      <c r="D5406" t="s">
        <v>112</v>
      </c>
      <c r="E5406" t="s">
        <v>13</v>
      </c>
      <c r="F5406">
        <v>1</v>
      </c>
      <c r="G5406" t="str">
        <f>VLOOKUP(D5406,Товары!A:I,3,0)</f>
        <v>Тумба с раковиной  напол. Аква 560 белый 2 двери с умыв. Уют</v>
      </c>
      <c r="H5406">
        <f>VLOOKUP(D5406,Товары!A:I,6,0)</f>
        <v>85</v>
      </c>
      <c r="I5406" t="str">
        <f>VLOOKUP(C5406,Магазины!A:C,3,0)</f>
        <v>Набережные Челны</v>
      </c>
      <c r="J5406">
        <f>VLOOKUP(D5406,Товары!A:I,4,0)</f>
        <v>9330</v>
      </c>
      <c r="K5406">
        <f t="shared" si="84"/>
        <v>9330</v>
      </c>
    </row>
    <row r="5407" spans="1:11" hidden="1" x14ac:dyDescent="0.25">
      <c r="A5407">
        <v>5406</v>
      </c>
      <c r="B5407" s="1">
        <v>45753</v>
      </c>
      <c r="C5407" t="s">
        <v>57</v>
      </c>
      <c r="D5407" t="s">
        <v>113</v>
      </c>
      <c r="E5407" t="s">
        <v>13</v>
      </c>
      <c r="F5407">
        <v>1</v>
      </c>
      <c r="G5407" t="str">
        <f>VLOOKUP(D5407,Товары!A:I,3,0)</f>
        <v>Зеркальный шкаф Альба 60 со светильником правый цвет мята</v>
      </c>
      <c r="H5407">
        <f>VLOOKUP(D5407,Товары!A:I,6,0)</f>
        <v>75</v>
      </c>
      <c r="I5407" t="str">
        <f>VLOOKUP(C5407,Магазины!A:C,3,0)</f>
        <v>Оренбург</v>
      </c>
      <c r="J5407">
        <f>VLOOKUP(D5407,Товары!A:I,4,0)</f>
        <v>8910</v>
      </c>
      <c r="K5407">
        <f t="shared" si="84"/>
        <v>8910</v>
      </c>
    </row>
    <row r="5408" spans="1:11" hidden="1" x14ac:dyDescent="0.25">
      <c r="A5408">
        <v>5407</v>
      </c>
      <c r="B5408" s="1">
        <v>45757</v>
      </c>
      <c r="C5408" t="s">
        <v>92</v>
      </c>
      <c r="D5408" t="s">
        <v>72</v>
      </c>
      <c r="E5408" t="s">
        <v>8</v>
      </c>
      <c r="F5408">
        <v>2</v>
      </c>
      <c r="G5408" t="str">
        <f>VLOOKUP(D5408,Товары!A:I,3,0)</f>
        <v>Тумба с раковиной  напол. Сохо 600 белый 2 ящика с умыв. Океан</v>
      </c>
      <c r="H5408">
        <f>VLOOKUP(D5408,Товары!A:I,6,0)</f>
        <v>85</v>
      </c>
      <c r="I5408" t="str">
        <f>VLOOKUP(C5408,Магазины!A:C,3,0)</f>
        <v>Кемерово</v>
      </c>
      <c r="J5408">
        <f>VLOOKUP(D5408,Товары!A:I,4,0)</f>
        <v>16140</v>
      </c>
      <c r="K5408">
        <f t="shared" si="84"/>
        <v>32280</v>
      </c>
    </row>
    <row r="5409" spans="1:11" hidden="1" x14ac:dyDescent="0.25">
      <c r="A5409">
        <v>5408</v>
      </c>
      <c r="B5409" s="1">
        <v>45749</v>
      </c>
      <c r="C5409" t="s">
        <v>57</v>
      </c>
      <c r="D5409" t="s">
        <v>34</v>
      </c>
      <c r="E5409" t="s">
        <v>13</v>
      </c>
      <c r="F5409">
        <v>1</v>
      </c>
      <c r="G5409" t="str">
        <f>VLOOKUP(D5409,Товары!A:I,3,0)</f>
        <v>Тумба с раковиной  навес. Леон 700 форест 2 ящика с умыв. Слим</v>
      </c>
      <c r="H5409">
        <f>VLOOKUP(D5409,Товары!A:I,6,0)</f>
        <v>60</v>
      </c>
      <c r="I5409" t="str">
        <f>VLOOKUP(C5409,Магазины!A:C,3,0)</f>
        <v>Оренбург</v>
      </c>
      <c r="J5409">
        <f>VLOOKUP(D5409,Товары!A:I,4,0)</f>
        <v>26220</v>
      </c>
      <c r="K5409">
        <f t="shared" si="84"/>
        <v>26220</v>
      </c>
    </row>
    <row r="5410" spans="1:11" hidden="1" x14ac:dyDescent="0.25">
      <c r="A5410">
        <v>5409</v>
      </c>
      <c r="B5410" s="1">
        <v>45755</v>
      </c>
      <c r="C5410" t="s">
        <v>58</v>
      </c>
      <c r="D5410" t="s">
        <v>66</v>
      </c>
      <c r="E5410" t="s">
        <v>8</v>
      </c>
      <c r="F5410">
        <v>2</v>
      </c>
      <c r="G5410" t="str">
        <f>VLOOKUP(D5410,Товары!A:I,3,0)</f>
        <v>Тумба с раковиной  навес. Альба 800 мята 2 ящика с умыв. Слим</v>
      </c>
      <c r="H5410">
        <f>VLOOKUP(D5410,Товары!A:I,6,0)</f>
        <v>50</v>
      </c>
      <c r="I5410" t="str">
        <f>VLOOKUP(C5410,Магазины!A:C,3,0)</f>
        <v>Ставрополь</v>
      </c>
      <c r="J5410">
        <f>VLOOKUP(D5410,Товары!A:I,4,0)</f>
        <v>26070</v>
      </c>
      <c r="K5410">
        <f t="shared" si="84"/>
        <v>52140</v>
      </c>
    </row>
    <row r="5411" spans="1:11" hidden="1" x14ac:dyDescent="0.25">
      <c r="A5411">
        <v>5410</v>
      </c>
      <c r="B5411" s="1">
        <v>45756</v>
      </c>
      <c r="C5411" t="s">
        <v>18</v>
      </c>
      <c r="D5411" t="s">
        <v>44</v>
      </c>
      <c r="E5411" t="s">
        <v>13</v>
      </c>
      <c r="F5411">
        <v>1</v>
      </c>
      <c r="G5411" t="str">
        <f>VLOOKUP(D5411,Товары!A:I,3,0)</f>
        <v>Тумба с раковиной  навес. Кристалл 800 шато азур 2 ящика с умыв. Комфорт</v>
      </c>
      <c r="H5411">
        <f>VLOOKUP(D5411,Товары!A:I,6,0)</f>
        <v>55</v>
      </c>
      <c r="I5411" t="str">
        <f>VLOOKUP(C5411,Магазины!A:C,3,0)</f>
        <v>Набережные Челны</v>
      </c>
      <c r="J5411">
        <f>VLOOKUP(D5411,Товары!A:I,4,0)</f>
        <v>25080</v>
      </c>
      <c r="K5411">
        <f t="shared" si="84"/>
        <v>25080</v>
      </c>
    </row>
    <row r="5412" spans="1:11" hidden="1" x14ac:dyDescent="0.25">
      <c r="A5412">
        <v>5411</v>
      </c>
      <c r="B5412" s="1">
        <v>45750</v>
      </c>
      <c r="C5412" t="s">
        <v>103</v>
      </c>
      <c r="D5412" t="s">
        <v>50</v>
      </c>
      <c r="E5412" t="s">
        <v>8</v>
      </c>
      <c r="F5412">
        <v>2</v>
      </c>
      <c r="G5412" t="str">
        <f>VLOOKUP(D5412,Товары!A:I,3,0)</f>
        <v>Тумба с раковиной  напол. Леон 800 оникс 2 ящика с умыв. Слим</v>
      </c>
      <c r="H5412">
        <f>VLOOKUP(D5412,Товары!A:I,6,0)</f>
        <v>80</v>
      </c>
      <c r="I5412" t="str">
        <f>VLOOKUP(C5412,Магазины!A:C,3,0)</f>
        <v>Ставрополь</v>
      </c>
      <c r="J5412">
        <f>VLOOKUP(D5412,Товары!A:I,4,0)</f>
        <v>29400</v>
      </c>
      <c r="K5412">
        <f t="shared" si="84"/>
        <v>58800</v>
      </c>
    </row>
    <row r="5413" spans="1:11" hidden="1" x14ac:dyDescent="0.25">
      <c r="A5413">
        <v>5412</v>
      </c>
      <c r="B5413" s="1">
        <v>45754</v>
      </c>
      <c r="C5413" t="s">
        <v>43</v>
      </c>
      <c r="D5413" t="s">
        <v>116</v>
      </c>
      <c r="E5413" t="s">
        <v>13</v>
      </c>
      <c r="F5413">
        <v>3</v>
      </c>
      <c r="G5413" t="str">
        <f>VLOOKUP(D5413,Товары!A:I,3,0)</f>
        <v>Зеркало Нева 60 дуб/белый со светильником</v>
      </c>
      <c r="H5413">
        <f>VLOOKUP(D5413,Товары!A:I,6,0)</f>
        <v>80</v>
      </c>
      <c r="I5413" t="str">
        <f>VLOOKUP(C5413,Магазины!A:C,3,0)</f>
        <v>Набережные Челны</v>
      </c>
      <c r="J5413">
        <f>VLOOKUP(D5413,Товары!A:I,4,0)</f>
        <v>5100</v>
      </c>
      <c r="K5413">
        <f t="shared" si="84"/>
        <v>15300</v>
      </c>
    </row>
    <row r="5414" spans="1:11" hidden="1" x14ac:dyDescent="0.25">
      <c r="A5414">
        <v>5413</v>
      </c>
      <c r="B5414" s="1">
        <v>45754</v>
      </c>
      <c r="C5414" t="s">
        <v>35</v>
      </c>
      <c r="D5414" t="s">
        <v>105</v>
      </c>
      <c r="E5414" t="s">
        <v>13</v>
      </c>
      <c r="F5414">
        <v>1</v>
      </c>
      <c r="G5414" t="str">
        <f>VLOOKUP(D5414,Товары!A:I,3,0)</f>
        <v>Тумба с раковиной  напол. Нева 600 белый 2 двери + 1 ящик с умыв. Como</v>
      </c>
      <c r="H5414">
        <f>VLOOKUP(D5414,Товары!A:I,6,0)</f>
        <v>80</v>
      </c>
      <c r="I5414" t="str">
        <f>VLOOKUP(C5414,Магазины!A:C,3,0)</f>
        <v>Набережные Челны</v>
      </c>
      <c r="J5414">
        <f>VLOOKUP(D5414,Товары!A:I,4,0)</f>
        <v>13470</v>
      </c>
      <c r="K5414">
        <f t="shared" si="84"/>
        <v>13470</v>
      </c>
    </row>
    <row r="5415" spans="1:11" hidden="1" x14ac:dyDescent="0.25">
      <c r="A5415">
        <v>5414</v>
      </c>
      <c r="B5415" s="1">
        <v>45750</v>
      </c>
      <c r="C5415" t="s">
        <v>14</v>
      </c>
      <c r="D5415" t="s">
        <v>106</v>
      </c>
      <c r="E5415" t="s">
        <v>8</v>
      </c>
      <c r="F5415">
        <v>2</v>
      </c>
      <c r="G5415" t="str">
        <f>VLOOKUP(D5415,Товары!A:I,3,0)</f>
        <v>Тумба с раковиной  навес. Кристалл 700 шато азур 2 ящика с умыв. Слим</v>
      </c>
      <c r="H5415">
        <f>VLOOKUP(D5415,Товары!A:I,6,0)</f>
        <v>60</v>
      </c>
      <c r="I5415" t="str">
        <f>VLOOKUP(C5415,Магазины!A:C,3,0)</f>
        <v>Оренбург</v>
      </c>
      <c r="J5415">
        <f>VLOOKUP(D5415,Товары!A:I,4,0)</f>
        <v>24150</v>
      </c>
      <c r="K5415">
        <f t="shared" si="84"/>
        <v>48300</v>
      </c>
    </row>
    <row r="5416" spans="1:11" hidden="1" x14ac:dyDescent="0.25">
      <c r="A5416">
        <v>5415</v>
      </c>
      <c r="B5416" s="1">
        <v>45754</v>
      </c>
      <c r="C5416" t="s">
        <v>11</v>
      </c>
      <c r="D5416" t="s">
        <v>32</v>
      </c>
      <c r="E5416" t="s">
        <v>13</v>
      </c>
      <c r="F5416">
        <v>3</v>
      </c>
      <c r="G5416" t="str">
        <f>VLOOKUP(D5416,Товары!A:I,3,0)</f>
        <v>Тумба с раковиной  напол. Леон Риф 700 солярис/белый риф 2 ящика с умыв. Слим</v>
      </c>
      <c r="H5416">
        <f>VLOOKUP(D5416,Товары!A:I,6,0)</f>
        <v>85</v>
      </c>
      <c r="I5416" t="str">
        <f>VLOOKUP(C5416,Магазины!A:C,3,0)</f>
        <v>Кемерово</v>
      </c>
      <c r="J5416">
        <f>VLOOKUP(D5416,Товары!A:I,4,0)</f>
        <v>26460</v>
      </c>
      <c r="K5416">
        <f t="shared" si="84"/>
        <v>79380</v>
      </c>
    </row>
    <row r="5417" spans="1:11" hidden="1" x14ac:dyDescent="0.25">
      <c r="A5417">
        <v>5416</v>
      </c>
      <c r="B5417" s="1">
        <v>45756</v>
      </c>
      <c r="C5417" t="s">
        <v>14</v>
      </c>
      <c r="D5417" t="s">
        <v>56</v>
      </c>
      <c r="E5417" t="s">
        <v>8</v>
      </c>
      <c r="F5417">
        <v>3</v>
      </c>
      <c r="G5417" t="str">
        <f>VLOOKUP(D5417,Товары!A:I,3,0)</f>
        <v>Зеркальный шкаф Альба 80 со светильником правый цвет мята</v>
      </c>
      <c r="H5417">
        <f>VLOOKUP(D5417,Товары!A:I,6,0)</f>
        <v>75</v>
      </c>
      <c r="I5417" t="str">
        <f>VLOOKUP(C5417,Магазины!A:C,3,0)</f>
        <v>Оренбург</v>
      </c>
      <c r="J5417">
        <f>VLOOKUP(D5417,Товары!A:I,4,0)</f>
        <v>9930</v>
      </c>
      <c r="K5417">
        <f t="shared" si="84"/>
        <v>29790</v>
      </c>
    </row>
    <row r="5418" spans="1:11" hidden="1" x14ac:dyDescent="0.25">
      <c r="A5418">
        <v>5417</v>
      </c>
      <c r="B5418" s="1">
        <v>45753</v>
      </c>
      <c r="C5418" t="s">
        <v>41</v>
      </c>
      <c r="D5418" t="s">
        <v>27</v>
      </c>
      <c r="E5418" t="s">
        <v>13</v>
      </c>
      <c r="F5418">
        <v>3</v>
      </c>
      <c r="G5418" t="str">
        <f>VLOOKUP(D5418,Товары!A:I,3,0)</f>
        <v>Тумба с раковиной  навес. Виктория 800 белый 2 ящика с умыв. Слим</v>
      </c>
      <c r="H5418">
        <f>VLOOKUP(D5418,Товары!A:I,6,0)</f>
        <v>60</v>
      </c>
      <c r="I5418" t="str">
        <f>VLOOKUP(C5418,Магазины!A:C,3,0)</f>
        <v>Ставрополь</v>
      </c>
      <c r="J5418">
        <f>VLOOKUP(D5418,Товары!A:I,4,0)</f>
        <v>25290</v>
      </c>
      <c r="K5418">
        <f t="shared" si="84"/>
        <v>75870</v>
      </c>
    </row>
    <row r="5419" spans="1:11" hidden="1" x14ac:dyDescent="0.25">
      <c r="A5419">
        <v>5418</v>
      </c>
      <c r="B5419" s="1">
        <v>45751</v>
      </c>
      <c r="C5419" t="s">
        <v>63</v>
      </c>
      <c r="D5419" t="s">
        <v>39</v>
      </c>
      <c r="E5419" t="s">
        <v>13</v>
      </c>
      <c r="F5419">
        <v>1</v>
      </c>
      <c r="G5419" t="str">
        <f>VLOOKUP(D5419,Товары!A:I,3,0)</f>
        <v>Тумба с раковиной  напол. Альба 700 мята 2 ящика с умыв. Слим</v>
      </c>
      <c r="H5419">
        <f>VLOOKUP(D5419,Товары!A:I,6,0)</f>
        <v>85</v>
      </c>
      <c r="I5419" t="str">
        <f>VLOOKUP(C5419,Магазины!A:C,3,0)</f>
        <v>Ставрополь</v>
      </c>
      <c r="J5419">
        <f>VLOOKUP(D5419,Товары!A:I,4,0)</f>
        <v>28695</v>
      </c>
      <c r="K5419">
        <f t="shared" si="84"/>
        <v>28695</v>
      </c>
    </row>
    <row r="5420" spans="1:11" hidden="1" x14ac:dyDescent="0.25">
      <c r="A5420">
        <v>5419</v>
      </c>
      <c r="B5420" s="1">
        <v>45757</v>
      </c>
      <c r="C5420" t="s">
        <v>11</v>
      </c>
      <c r="D5420" t="s">
        <v>44</v>
      </c>
      <c r="E5420" t="s">
        <v>8</v>
      </c>
      <c r="F5420">
        <v>2</v>
      </c>
      <c r="G5420" t="str">
        <f>VLOOKUP(D5420,Товары!A:I,3,0)</f>
        <v>Тумба с раковиной  навес. Кристалл 800 шато азур 2 ящика с умыв. Комфорт</v>
      </c>
      <c r="H5420">
        <f>VLOOKUP(D5420,Товары!A:I,6,0)</f>
        <v>55</v>
      </c>
      <c r="I5420" t="str">
        <f>VLOOKUP(C5420,Магазины!A:C,3,0)</f>
        <v>Кемерово</v>
      </c>
      <c r="J5420">
        <f>VLOOKUP(D5420,Товары!A:I,4,0)</f>
        <v>25080</v>
      </c>
      <c r="K5420">
        <f t="shared" si="84"/>
        <v>50160</v>
      </c>
    </row>
    <row r="5421" spans="1:11" hidden="1" x14ac:dyDescent="0.25">
      <c r="A5421">
        <v>5420</v>
      </c>
      <c r="B5421" s="1">
        <v>45755</v>
      </c>
      <c r="C5421" t="s">
        <v>35</v>
      </c>
      <c r="D5421" t="s">
        <v>86</v>
      </c>
      <c r="E5421" t="s">
        <v>13</v>
      </c>
      <c r="F5421">
        <v>1</v>
      </c>
      <c r="G5421" t="str">
        <f>VLOOKUP(D5421,Товары!A:I,3,0)</f>
        <v>Комод Аква 50 напольный 1 ящик 2 двери белый</v>
      </c>
      <c r="H5421">
        <f>VLOOKUP(D5421,Товары!A:I,6,0)</f>
        <v>90</v>
      </c>
      <c r="I5421" t="str">
        <f>VLOOKUP(C5421,Магазины!A:C,3,0)</f>
        <v>Набережные Челны</v>
      </c>
      <c r="J5421">
        <f>VLOOKUP(D5421,Товары!A:I,4,0)</f>
        <v>7260</v>
      </c>
      <c r="K5421">
        <f t="shared" si="84"/>
        <v>7260</v>
      </c>
    </row>
    <row r="5422" spans="1:11" hidden="1" x14ac:dyDescent="0.25">
      <c r="A5422">
        <v>5421</v>
      </c>
      <c r="B5422" s="1">
        <v>45753</v>
      </c>
      <c r="C5422" t="s">
        <v>41</v>
      </c>
      <c r="D5422" t="s">
        <v>87</v>
      </c>
      <c r="E5422" t="s">
        <v>8</v>
      </c>
      <c r="F5422">
        <v>3</v>
      </c>
      <c r="G5422" t="str">
        <f>VLOOKUP(D5422,Товары!A:I,3,0)</f>
        <v>Тумба с раковиной  напол. Леон 700 форест 2 ящика с умыв. Слим</v>
      </c>
      <c r="H5422">
        <f>VLOOKUP(D5422,Товары!A:I,6,0)</f>
        <v>80</v>
      </c>
      <c r="I5422" t="str">
        <f>VLOOKUP(C5422,Магазины!A:C,3,0)</f>
        <v>Ставрополь</v>
      </c>
      <c r="J5422">
        <f>VLOOKUP(D5422,Товары!A:I,4,0)</f>
        <v>28380</v>
      </c>
      <c r="K5422">
        <f t="shared" si="84"/>
        <v>85140</v>
      </c>
    </row>
    <row r="5423" spans="1:11" hidden="1" x14ac:dyDescent="0.25">
      <c r="A5423">
        <v>5422</v>
      </c>
      <c r="B5423" s="1">
        <v>45749</v>
      </c>
      <c r="C5423" t="s">
        <v>16</v>
      </c>
      <c r="D5423" t="s">
        <v>88</v>
      </c>
      <c r="E5423" t="s">
        <v>8</v>
      </c>
      <c r="F5423">
        <v>1</v>
      </c>
      <c r="G5423" t="str">
        <f>VLOOKUP(D5423,Товары!A:I,3,0)</f>
        <v>Тумба с раковиной  навес. Альба 800 антрацит 2 ящика с умыв. Слим</v>
      </c>
      <c r="H5423">
        <f>VLOOKUP(D5423,Товары!A:I,6,0)</f>
        <v>50</v>
      </c>
      <c r="I5423" t="str">
        <f>VLOOKUP(C5423,Магазины!A:C,3,0)</f>
        <v>Оренбург</v>
      </c>
      <c r="J5423">
        <f>VLOOKUP(D5423,Товары!A:I,4,0)</f>
        <v>26070</v>
      </c>
      <c r="K5423">
        <f t="shared" si="84"/>
        <v>26070</v>
      </c>
    </row>
    <row r="5424" spans="1:11" hidden="1" x14ac:dyDescent="0.25">
      <c r="A5424">
        <v>5423</v>
      </c>
      <c r="B5424" s="1">
        <v>45750</v>
      </c>
      <c r="C5424" t="s">
        <v>16</v>
      </c>
      <c r="D5424" t="s">
        <v>32</v>
      </c>
      <c r="E5424" t="s">
        <v>8</v>
      </c>
      <c r="F5424">
        <v>2</v>
      </c>
      <c r="G5424" t="str">
        <f>VLOOKUP(D5424,Товары!A:I,3,0)</f>
        <v>Тумба с раковиной  напол. Леон Риф 700 солярис/белый риф 2 ящика с умыв. Слим</v>
      </c>
      <c r="H5424">
        <f>VLOOKUP(D5424,Товары!A:I,6,0)</f>
        <v>85</v>
      </c>
      <c r="I5424" t="str">
        <f>VLOOKUP(C5424,Магазины!A:C,3,0)</f>
        <v>Оренбург</v>
      </c>
      <c r="J5424">
        <f>VLOOKUP(D5424,Товары!A:I,4,0)</f>
        <v>26460</v>
      </c>
      <c r="K5424">
        <f t="shared" si="84"/>
        <v>52920</v>
      </c>
    </row>
    <row r="5425" spans="1:11" hidden="1" x14ac:dyDescent="0.25">
      <c r="A5425">
        <v>5424</v>
      </c>
      <c r="B5425" s="1">
        <v>45754</v>
      </c>
      <c r="C5425" t="s">
        <v>28</v>
      </c>
      <c r="D5425" t="s">
        <v>69</v>
      </c>
      <c r="E5425" t="s">
        <v>8</v>
      </c>
      <c r="F5425">
        <v>1</v>
      </c>
      <c r="G5425" t="str">
        <f>VLOOKUP(D5425,Товары!A:I,3,0)</f>
        <v>Пенал навес./напол. Альба 350 антрацит 2 двери</v>
      </c>
      <c r="H5425">
        <f>VLOOKUP(D5425,Товары!A:I,6,0)</f>
        <v>150</v>
      </c>
      <c r="I5425" t="str">
        <f>VLOOKUP(C5425,Магазины!A:C,3,0)</f>
        <v>Набережные Челны</v>
      </c>
      <c r="J5425">
        <f>VLOOKUP(D5425,Товары!A:I,4,0)</f>
        <v>11655</v>
      </c>
      <c r="K5425">
        <f t="shared" si="84"/>
        <v>11655</v>
      </c>
    </row>
    <row r="5426" spans="1:11" hidden="1" x14ac:dyDescent="0.25">
      <c r="A5426">
        <v>5425</v>
      </c>
      <c r="B5426" s="1">
        <v>45752</v>
      </c>
      <c r="C5426" t="s">
        <v>57</v>
      </c>
      <c r="D5426" t="s">
        <v>117</v>
      </c>
      <c r="E5426" t="s">
        <v>8</v>
      </c>
      <c r="F5426">
        <v>2</v>
      </c>
      <c r="G5426" t="str">
        <f>VLOOKUP(D5426,Товары!A:I,3,0)</f>
        <v>Тумба с раковиной  навес. Альба 700 антрацит 2 ящика с умыв. Слим</v>
      </c>
      <c r="H5426">
        <f>VLOOKUP(D5426,Товары!A:I,6,0)</f>
        <v>60</v>
      </c>
      <c r="I5426" t="str">
        <f>VLOOKUP(C5426,Магазины!A:C,3,0)</f>
        <v>Оренбург</v>
      </c>
      <c r="J5426">
        <f>VLOOKUP(D5426,Товары!A:I,4,0)</f>
        <v>25095</v>
      </c>
      <c r="K5426">
        <f t="shared" si="84"/>
        <v>50190</v>
      </c>
    </row>
    <row r="5427" spans="1:11" hidden="1" x14ac:dyDescent="0.25">
      <c r="A5427">
        <v>5426</v>
      </c>
      <c r="B5427" s="1">
        <v>45756</v>
      </c>
      <c r="C5427" t="s">
        <v>35</v>
      </c>
      <c r="D5427" t="s">
        <v>34</v>
      </c>
      <c r="E5427" t="s">
        <v>13</v>
      </c>
      <c r="F5427">
        <v>3</v>
      </c>
      <c r="G5427" t="str">
        <f>VLOOKUP(D5427,Товары!A:I,3,0)</f>
        <v>Тумба с раковиной  навес. Леон 700 форест 2 ящика с умыв. Слим</v>
      </c>
      <c r="H5427">
        <f>VLOOKUP(D5427,Товары!A:I,6,0)</f>
        <v>60</v>
      </c>
      <c r="I5427" t="str">
        <f>VLOOKUP(C5427,Магазины!A:C,3,0)</f>
        <v>Набережные Челны</v>
      </c>
      <c r="J5427">
        <f>VLOOKUP(D5427,Товары!A:I,4,0)</f>
        <v>26220</v>
      </c>
      <c r="K5427">
        <f t="shared" si="84"/>
        <v>78660</v>
      </c>
    </row>
    <row r="5428" spans="1:11" hidden="1" x14ac:dyDescent="0.25">
      <c r="A5428">
        <v>5427</v>
      </c>
      <c r="B5428" s="1">
        <v>45756</v>
      </c>
      <c r="C5428" t="s">
        <v>35</v>
      </c>
      <c r="D5428" t="s">
        <v>118</v>
      </c>
      <c r="E5428" t="s">
        <v>13</v>
      </c>
      <c r="F5428">
        <v>3</v>
      </c>
      <c r="G5428" t="str">
        <f>VLOOKUP(D5428,Товары!A:I,3,0)</f>
        <v>Тумба с раковиной  напол. Сохо 800 белый 2 ящика с умыв. Слим</v>
      </c>
      <c r="H5428">
        <f>VLOOKUP(D5428,Товары!A:I,6,0)</f>
        <v>85</v>
      </c>
      <c r="I5428" t="str">
        <f>VLOOKUP(C5428,Магазины!A:C,3,0)</f>
        <v>Набережные Челны</v>
      </c>
      <c r="J5428">
        <f>VLOOKUP(D5428,Товары!A:I,4,0)</f>
        <v>19575</v>
      </c>
      <c r="K5428">
        <f t="shared" si="84"/>
        <v>58725</v>
      </c>
    </row>
    <row r="5429" spans="1:11" hidden="1" x14ac:dyDescent="0.25">
      <c r="A5429">
        <v>5428</v>
      </c>
      <c r="B5429" s="1">
        <v>45751</v>
      </c>
      <c r="C5429" t="s">
        <v>14</v>
      </c>
      <c r="D5429" t="s">
        <v>106</v>
      </c>
      <c r="E5429" t="s">
        <v>8</v>
      </c>
      <c r="F5429">
        <v>2</v>
      </c>
      <c r="G5429" t="str">
        <f>VLOOKUP(D5429,Товары!A:I,3,0)</f>
        <v>Тумба с раковиной  навес. Кристалл 700 шато азур 2 ящика с умыв. Слим</v>
      </c>
      <c r="H5429">
        <f>VLOOKUP(D5429,Товары!A:I,6,0)</f>
        <v>60</v>
      </c>
      <c r="I5429" t="str">
        <f>VLOOKUP(C5429,Магазины!A:C,3,0)</f>
        <v>Оренбург</v>
      </c>
      <c r="J5429">
        <f>VLOOKUP(D5429,Товары!A:I,4,0)</f>
        <v>24150</v>
      </c>
      <c r="K5429">
        <f t="shared" si="84"/>
        <v>48300</v>
      </c>
    </row>
    <row r="5430" spans="1:11" hidden="1" x14ac:dyDescent="0.25">
      <c r="A5430">
        <v>5429</v>
      </c>
      <c r="B5430" s="1">
        <v>45751</v>
      </c>
      <c r="C5430" t="s">
        <v>28</v>
      </c>
      <c r="D5430" t="s">
        <v>126</v>
      </c>
      <c r="E5430" t="s">
        <v>8</v>
      </c>
      <c r="F5430">
        <v>2</v>
      </c>
      <c r="G5430" t="str">
        <f>VLOOKUP(D5430,Товары!A:I,3,0)</f>
        <v>Тумба с раковиной  напол. Кристалл 800 шато азур 2 ящика с умыв. Комфорт</v>
      </c>
      <c r="H5430">
        <f>VLOOKUP(D5430,Товары!A:I,6,0)</f>
        <v>85</v>
      </c>
      <c r="I5430" t="str">
        <f>VLOOKUP(C5430,Магазины!A:C,3,0)</f>
        <v>Набережные Челны</v>
      </c>
      <c r="J5430">
        <f>VLOOKUP(D5430,Товары!A:I,4,0)</f>
        <v>31125</v>
      </c>
      <c r="K5430">
        <f t="shared" si="84"/>
        <v>62250</v>
      </c>
    </row>
    <row r="5431" spans="1:11" hidden="1" x14ac:dyDescent="0.25">
      <c r="A5431">
        <v>5430</v>
      </c>
      <c r="B5431" s="1">
        <v>45748</v>
      </c>
      <c r="C5431" t="s">
        <v>48</v>
      </c>
      <c r="D5431" t="s">
        <v>122</v>
      </c>
      <c r="E5431" t="s">
        <v>8</v>
      </c>
      <c r="F5431">
        <v>1</v>
      </c>
      <c r="G5431" t="str">
        <f>VLOOKUP(D5431,Товары!A:I,3,0)</f>
        <v>Тумба с раковиной  навес. Кристалл 600 шато азур 2 ящика с умыв. Океан</v>
      </c>
      <c r="H5431">
        <f>VLOOKUP(D5431,Товары!A:I,6,0)</f>
        <v>55</v>
      </c>
      <c r="I5431" t="str">
        <f>VLOOKUP(C5431,Магазины!A:C,3,0)</f>
        <v>Ставрополь</v>
      </c>
      <c r="J5431">
        <f>VLOOKUP(D5431,Товары!A:I,4,0)</f>
        <v>21960</v>
      </c>
      <c r="K5431">
        <f t="shared" si="84"/>
        <v>21960</v>
      </c>
    </row>
    <row r="5432" spans="1:11" hidden="1" x14ac:dyDescent="0.25">
      <c r="A5432">
        <v>5431</v>
      </c>
      <c r="B5432" s="1">
        <v>45757</v>
      </c>
      <c r="C5432" t="s">
        <v>58</v>
      </c>
      <c r="D5432" t="s">
        <v>96</v>
      </c>
      <c r="E5432" t="s">
        <v>8</v>
      </c>
      <c r="F5432">
        <v>3</v>
      </c>
      <c r="G5432" t="str">
        <f>VLOOKUP(D5432,Товары!A:I,3,0)</f>
        <v>Тумба с раковиной  навес. Альба 600 мята 1 ящик с умыв. Океан</v>
      </c>
      <c r="H5432">
        <f>VLOOKUP(D5432,Товары!A:I,6,0)</f>
        <v>85</v>
      </c>
      <c r="I5432" t="str">
        <f>VLOOKUP(C5432,Магазины!A:C,3,0)</f>
        <v>Ставрополь</v>
      </c>
      <c r="J5432">
        <f>VLOOKUP(D5432,Товары!A:I,4,0)</f>
        <v>17625</v>
      </c>
      <c r="K5432">
        <f t="shared" si="84"/>
        <v>52875</v>
      </c>
    </row>
    <row r="5433" spans="1:11" hidden="1" x14ac:dyDescent="0.25">
      <c r="A5433">
        <v>5432</v>
      </c>
      <c r="B5433" s="1">
        <v>45752</v>
      </c>
      <c r="C5433" t="s">
        <v>103</v>
      </c>
      <c r="D5433" t="s">
        <v>87</v>
      </c>
      <c r="E5433" t="s">
        <v>13</v>
      </c>
      <c r="F5433">
        <v>2</v>
      </c>
      <c r="G5433" t="str">
        <f>VLOOKUP(D5433,Товары!A:I,3,0)</f>
        <v>Тумба с раковиной  напол. Леон 700 форест 2 ящика с умыв. Слим</v>
      </c>
      <c r="H5433">
        <f>VLOOKUP(D5433,Товары!A:I,6,0)</f>
        <v>80</v>
      </c>
      <c r="I5433" t="str">
        <f>VLOOKUP(C5433,Магазины!A:C,3,0)</f>
        <v>Ставрополь</v>
      </c>
      <c r="J5433">
        <f>VLOOKUP(D5433,Товары!A:I,4,0)</f>
        <v>28380</v>
      </c>
      <c r="K5433">
        <f t="shared" si="84"/>
        <v>56760</v>
      </c>
    </row>
    <row r="5434" spans="1:11" hidden="1" x14ac:dyDescent="0.25">
      <c r="A5434">
        <v>5433</v>
      </c>
      <c r="B5434" s="1">
        <v>45757</v>
      </c>
      <c r="C5434" t="s">
        <v>111</v>
      </c>
      <c r="D5434" t="s">
        <v>107</v>
      </c>
      <c r="E5434" t="s">
        <v>8</v>
      </c>
      <c r="F5434">
        <v>1</v>
      </c>
      <c r="G5434" t="str">
        <f>VLOOKUP(D5434,Товары!A:I,3,0)</f>
        <v>Комод Аква 35 напольный 1 дверь белый правый</v>
      </c>
      <c r="H5434">
        <f>VLOOKUP(D5434,Товары!A:I,6,0)</f>
        <v>90</v>
      </c>
      <c r="I5434" t="str">
        <f>VLOOKUP(C5434,Магазины!A:C,3,0)</f>
        <v>Набережные Челны</v>
      </c>
      <c r="J5434">
        <f>VLOOKUP(D5434,Товары!A:I,4,0)</f>
        <v>6705</v>
      </c>
      <c r="K5434">
        <f t="shared" si="84"/>
        <v>6705</v>
      </c>
    </row>
    <row r="5435" spans="1:11" hidden="1" x14ac:dyDescent="0.25">
      <c r="A5435">
        <v>5434</v>
      </c>
      <c r="B5435" s="1">
        <v>45757</v>
      </c>
      <c r="C5435" t="s">
        <v>111</v>
      </c>
      <c r="D5435" t="s">
        <v>131</v>
      </c>
      <c r="E5435" t="s">
        <v>13</v>
      </c>
      <c r="F5435">
        <v>3</v>
      </c>
      <c r="G5435" t="str">
        <f>VLOOKUP(D5435,Товары!A:I,3,0)</f>
        <v>Тумба с раковиной  напол. Леон 800 форест 2 ящика с умыв. Слим</v>
      </c>
      <c r="H5435">
        <f>VLOOKUP(D5435,Товары!A:I,6,0)</f>
        <v>80</v>
      </c>
      <c r="I5435" t="str">
        <f>VLOOKUP(C5435,Магазины!A:C,3,0)</f>
        <v>Набережные Челны</v>
      </c>
      <c r="J5435">
        <f>VLOOKUP(D5435,Товары!A:I,4,0)</f>
        <v>29400</v>
      </c>
      <c r="K5435">
        <f t="shared" si="84"/>
        <v>88200</v>
      </c>
    </row>
    <row r="5436" spans="1:11" hidden="1" x14ac:dyDescent="0.25">
      <c r="A5436">
        <v>5435</v>
      </c>
      <c r="B5436" s="1">
        <v>45753</v>
      </c>
      <c r="C5436" t="s">
        <v>11</v>
      </c>
      <c r="D5436" t="s">
        <v>122</v>
      </c>
      <c r="E5436" t="s">
        <v>13</v>
      </c>
      <c r="F5436">
        <v>3</v>
      </c>
      <c r="G5436" t="str">
        <f>VLOOKUP(D5436,Товары!A:I,3,0)</f>
        <v>Тумба с раковиной  навес. Кристалл 600 шато азур 2 ящика с умыв. Океан</v>
      </c>
      <c r="H5436">
        <f>VLOOKUP(D5436,Товары!A:I,6,0)</f>
        <v>55</v>
      </c>
      <c r="I5436" t="str">
        <f>VLOOKUP(C5436,Магазины!A:C,3,0)</f>
        <v>Кемерово</v>
      </c>
      <c r="J5436">
        <f>VLOOKUP(D5436,Товары!A:I,4,0)</f>
        <v>21960</v>
      </c>
      <c r="K5436">
        <f t="shared" si="84"/>
        <v>65880</v>
      </c>
    </row>
    <row r="5437" spans="1:11" hidden="1" x14ac:dyDescent="0.25">
      <c r="A5437">
        <v>5436</v>
      </c>
      <c r="B5437" s="1">
        <v>45752</v>
      </c>
      <c r="C5437" t="s">
        <v>54</v>
      </c>
      <c r="D5437" t="s">
        <v>67</v>
      </c>
      <c r="E5437" t="s">
        <v>13</v>
      </c>
      <c r="F5437">
        <v>1</v>
      </c>
      <c r="G5437" t="str">
        <f>VLOOKUP(D5437,Товары!A:I,3,0)</f>
        <v>Пенал навес./напол. Альба 350 суфле 2 двери</v>
      </c>
      <c r="H5437">
        <f>VLOOKUP(D5437,Товары!A:I,6,0)</f>
        <v>150</v>
      </c>
      <c r="I5437" t="str">
        <f>VLOOKUP(C5437,Магазины!A:C,3,0)</f>
        <v>Ставрополь</v>
      </c>
      <c r="J5437">
        <f>VLOOKUP(D5437,Товары!A:I,4,0)</f>
        <v>11655</v>
      </c>
      <c r="K5437">
        <f t="shared" si="84"/>
        <v>11655</v>
      </c>
    </row>
    <row r="5438" spans="1:11" hidden="1" x14ac:dyDescent="0.25">
      <c r="A5438">
        <v>5437</v>
      </c>
      <c r="B5438" s="1">
        <v>45752</v>
      </c>
      <c r="C5438" t="s">
        <v>26</v>
      </c>
      <c r="D5438" t="s">
        <v>21</v>
      </c>
      <c r="E5438" t="s">
        <v>8</v>
      </c>
      <c r="F5438">
        <v>2</v>
      </c>
      <c r="G5438" t="str">
        <f>VLOOKUP(D5438,Товары!A:I,3,0)</f>
        <v>Зеркальный шкаф Рица 60 со светильником правый цвет cерый/керамика</v>
      </c>
      <c r="H5438">
        <f>VLOOKUP(D5438,Товары!A:I,6,0)</f>
        <v>75</v>
      </c>
      <c r="I5438" t="str">
        <f>VLOOKUP(C5438,Магазины!A:C,3,0)</f>
        <v>Оренбург</v>
      </c>
      <c r="J5438">
        <f>VLOOKUP(D5438,Товары!A:I,4,0)</f>
        <v>8910</v>
      </c>
      <c r="K5438">
        <f t="shared" si="84"/>
        <v>17820</v>
      </c>
    </row>
    <row r="5439" spans="1:11" hidden="1" x14ac:dyDescent="0.25">
      <c r="A5439">
        <v>5438</v>
      </c>
      <c r="B5439" s="1">
        <v>45751</v>
      </c>
      <c r="C5439" t="s">
        <v>18</v>
      </c>
      <c r="D5439" t="s">
        <v>124</v>
      </c>
      <c r="E5439" t="s">
        <v>13</v>
      </c>
      <c r="F5439">
        <v>1</v>
      </c>
      <c r="G5439" t="str">
        <f>VLOOKUP(D5439,Товары!A:I,3,0)</f>
        <v>Тумба с раковиной  напол. Леон 600 оникс 2 ящика с умыв. Океан</v>
      </c>
      <c r="H5439">
        <f>VLOOKUP(D5439,Товары!A:I,6,0)</f>
        <v>80</v>
      </c>
      <c r="I5439" t="str">
        <f>VLOOKUP(C5439,Магазины!A:C,3,0)</f>
        <v>Набережные Челны</v>
      </c>
      <c r="J5439">
        <f>VLOOKUP(D5439,Товары!A:I,4,0)</f>
        <v>25860</v>
      </c>
      <c r="K5439">
        <f t="shared" si="84"/>
        <v>25860</v>
      </c>
    </row>
    <row r="5440" spans="1:11" hidden="1" x14ac:dyDescent="0.25">
      <c r="A5440">
        <v>5439</v>
      </c>
      <c r="B5440" s="1">
        <v>45748</v>
      </c>
      <c r="C5440" t="s">
        <v>30</v>
      </c>
      <c r="D5440" t="s">
        <v>12</v>
      </c>
      <c r="E5440" t="s">
        <v>8</v>
      </c>
      <c r="F5440">
        <v>1</v>
      </c>
      <c r="G5440" t="str">
        <f>VLOOKUP(D5440,Товары!A:I,3,0)</f>
        <v>Тумба с раковиной  напол. Сохо 700 белый 2 двери с умыв. Слим</v>
      </c>
      <c r="H5440">
        <f>VLOOKUP(D5440,Товары!A:I,6,0)</f>
        <v>85</v>
      </c>
      <c r="I5440" t="str">
        <f>VLOOKUP(C5440,Магазины!A:C,3,0)</f>
        <v>Кемерово</v>
      </c>
      <c r="J5440">
        <f>VLOOKUP(D5440,Товары!A:I,4,0)</f>
        <v>17160</v>
      </c>
      <c r="K5440">
        <f t="shared" si="84"/>
        <v>17160</v>
      </c>
    </row>
    <row r="5441" spans="1:11" hidden="1" x14ac:dyDescent="0.25">
      <c r="A5441">
        <v>5440</v>
      </c>
      <c r="B5441" s="1">
        <v>45756</v>
      </c>
      <c r="C5441" t="s">
        <v>111</v>
      </c>
      <c r="D5441" t="s">
        <v>106</v>
      </c>
      <c r="E5441" t="s">
        <v>13</v>
      </c>
      <c r="F5441">
        <v>2</v>
      </c>
      <c r="G5441" t="str">
        <f>VLOOKUP(D5441,Товары!A:I,3,0)</f>
        <v>Тумба с раковиной  навес. Кристалл 700 шато азур 2 ящика с умыв. Слим</v>
      </c>
      <c r="H5441">
        <f>VLOOKUP(D5441,Товары!A:I,6,0)</f>
        <v>60</v>
      </c>
      <c r="I5441" t="str">
        <f>VLOOKUP(C5441,Магазины!A:C,3,0)</f>
        <v>Набережные Челны</v>
      </c>
      <c r="J5441">
        <f>VLOOKUP(D5441,Товары!A:I,4,0)</f>
        <v>24150</v>
      </c>
      <c r="K5441">
        <f t="shared" si="84"/>
        <v>48300</v>
      </c>
    </row>
    <row r="5442" spans="1:11" hidden="1" x14ac:dyDescent="0.25">
      <c r="A5442">
        <v>5441</v>
      </c>
      <c r="B5442" s="1">
        <v>45752</v>
      </c>
      <c r="C5442" t="s">
        <v>43</v>
      </c>
      <c r="D5442" t="s">
        <v>7</v>
      </c>
      <c r="E5442" t="s">
        <v>8</v>
      </c>
      <c r="F5442">
        <v>2</v>
      </c>
      <c r="G5442" t="str">
        <f>VLOOKUP(D5442,Товары!A:I,3,0)</f>
        <v>Пенал напол. Леон Риф 400 солярис/белый риф 2 двери + 1 ящик</v>
      </c>
      <c r="H5442">
        <f>VLOOKUP(D5442,Товары!A:I,6,0)</f>
        <v>190</v>
      </c>
      <c r="I5442" t="str">
        <f>VLOOKUP(C5442,Магазины!A:C,3,0)</f>
        <v>Набережные Челны</v>
      </c>
      <c r="J5442">
        <f>VLOOKUP(D5442,Товары!A:I,4,0)</f>
        <v>14490</v>
      </c>
      <c r="K5442">
        <f t="shared" si="84"/>
        <v>28980</v>
      </c>
    </row>
    <row r="5443" spans="1:11" hidden="1" x14ac:dyDescent="0.25">
      <c r="A5443">
        <v>5442</v>
      </c>
      <c r="B5443" s="1">
        <v>45754</v>
      </c>
      <c r="C5443" t="s">
        <v>35</v>
      </c>
      <c r="D5443" t="s">
        <v>44</v>
      </c>
      <c r="E5443" t="s">
        <v>8</v>
      </c>
      <c r="F5443">
        <v>1</v>
      </c>
      <c r="G5443" t="str">
        <f>VLOOKUP(D5443,Товары!A:I,3,0)</f>
        <v>Тумба с раковиной  навес. Кристалл 800 шато азур 2 ящика с умыв. Комфорт</v>
      </c>
      <c r="H5443">
        <f>VLOOKUP(D5443,Товары!A:I,6,0)</f>
        <v>55</v>
      </c>
      <c r="I5443" t="str">
        <f>VLOOKUP(C5443,Магазины!A:C,3,0)</f>
        <v>Набережные Челны</v>
      </c>
      <c r="J5443">
        <f>VLOOKUP(D5443,Товары!A:I,4,0)</f>
        <v>25080</v>
      </c>
      <c r="K5443">
        <f t="shared" ref="K5443:K5506" si="85">J5443*F5443</f>
        <v>25080</v>
      </c>
    </row>
    <row r="5444" spans="1:11" hidden="1" x14ac:dyDescent="0.25">
      <c r="A5444">
        <v>5443</v>
      </c>
      <c r="B5444" s="1">
        <v>45748</v>
      </c>
      <c r="C5444" t="s">
        <v>54</v>
      </c>
      <c r="D5444" t="s">
        <v>112</v>
      </c>
      <c r="E5444" t="s">
        <v>13</v>
      </c>
      <c r="F5444">
        <v>2</v>
      </c>
      <c r="G5444" t="str">
        <f>VLOOKUP(D5444,Товары!A:I,3,0)</f>
        <v>Тумба с раковиной  напол. Аква 560 белый 2 двери с умыв. Уют</v>
      </c>
      <c r="H5444">
        <f>VLOOKUP(D5444,Товары!A:I,6,0)</f>
        <v>85</v>
      </c>
      <c r="I5444" t="str">
        <f>VLOOKUP(C5444,Магазины!A:C,3,0)</f>
        <v>Ставрополь</v>
      </c>
      <c r="J5444">
        <f>VLOOKUP(D5444,Товары!A:I,4,0)</f>
        <v>9330</v>
      </c>
      <c r="K5444">
        <f t="shared" si="85"/>
        <v>18660</v>
      </c>
    </row>
    <row r="5445" spans="1:11" hidden="1" x14ac:dyDescent="0.25">
      <c r="A5445">
        <v>5444</v>
      </c>
      <c r="B5445" s="1">
        <v>45757</v>
      </c>
      <c r="C5445" t="s">
        <v>35</v>
      </c>
      <c r="D5445" t="s">
        <v>90</v>
      </c>
      <c r="E5445" t="s">
        <v>13</v>
      </c>
      <c r="F5445">
        <v>3</v>
      </c>
      <c r="G5445" t="str">
        <f>VLOOKUP(D5445,Товары!A:I,3,0)</f>
        <v>Пенал напол. Аква 350 белый 2 двери + 2 ящика</v>
      </c>
      <c r="H5445">
        <f>VLOOKUP(D5445,Товары!A:I,6,0)</f>
        <v>190</v>
      </c>
      <c r="I5445" t="str">
        <f>VLOOKUP(C5445,Магазины!A:C,3,0)</f>
        <v>Набережные Челны</v>
      </c>
      <c r="J5445">
        <f>VLOOKUP(D5445,Товары!A:I,4,0)</f>
        <v>10650</v>
      </c>
      <c r="K5445">
        <f t="shared" si="85"/>
        <v>31950</v>
      </c>
    </row>
    <row r="5446" spans="1:11" hidden="1" x14ac:dyDescent="0.25">
      <c r="A5446">
        <v>5445</v>
      </c>
      <c r="B5446" s="1">
        <v>45756</v>
      </c>
      <c r="C5446" t="s">
        <v>63</v>
      </c>
      <c r="D5446" t="s">
        <v>15</v>
      </c>
      <c r="E5446" t="s">
        <v>8</v>
      </c>
      <c r="F5446">
        <v>1</v>
      </c>
      <c r="G5446" t="str">
        <f>VLOOKUP(D5446,Товары!A:I,3,0)</f>
        <v>Зеркальный шкаф Кристалл 60 со светильником правый, ручка кнопка дуб цвет Шато Азур</v>
      </c>
      <c r="H5446">
        <f>VLOOKUP(D5446,Товары!A:I,6,0)</f>
        <v>75</v>
      </c>
      <c r="I5446" t="str">
        <f>VLOOKUP(C5446,Магазины!A:C,3,0)</f>
        <v>Ставрополь</v>
      </c>
      <c r="J5446">
        <f>VLOOKUP(D5446,Товары!A:I,4,0)</f>
        <v>9195</v>
      </c>
      <c r="K5446">
        <f t="shared" si="85"/>
        <v>9195</v>
      </c>
    </row>
    <row r="5447" spans="1:11" hidden="1" x14ac:dyDescent="0.25">
      <c r="A5447">
        <v>5446</v>
      </c>
      <c r="B5447" s="1">
        <v>45751</v>
      </c>
      <c r="C5447" t="s">
        <v>35</v>
      </c>
      <c r="D5447" t="s">
        <v>53</v>
      </c>
      <c r="E5447" t="s">
        <v>8</v>
      </c>
      <c r="F5447">
        <v>1</v>
      </c>
      <c r="G5447" t="str">
        <f>VLOOKUP(D5447,Товары!A:I,3,0)</f>
        <v>Тумба с раковиной  напол. Кристалл 600 шато азур 2 ящика с умыв. Океан</v>
      </c>
      <c r="H5447">
        <f>VLOOKUP(D5447,Товары!A:I,6,0)</f>
        <v>85</v>
      </c>
      <c r="I5447" t="str">
        <f>VLOOKUP(C5447,Магазины!A:C,3,0)</f>
        <v>Набережные Челны</v>
      </c>
      <c r="J5447">
        <f>VLOOKUP(D5447,Товары!A:I,4,0)</f>
        <v>27600</v>
      </c>
      <c r="K5447">
        <f t="shared" si="85"/>
        <v>27600</v>
      </c>
    </row>
    <row r="5448" spans="1:11" hidden="1" x14ac:dyDescent="0.25">
      <c r="A5448">
        <v>5447</v>
      </c>
      <c r="B5448" s="1">
        <v>45756</v>
      </c>
      <c r="C5448" t="s">
        <v>48</v>
      </c>
      <c r="D5448" t="s">
        <v>112</v>
      </c>
      <c r="E5448" t="s">
        <v>13</v>
      </c>
      <c r="F5448">
        <v>2</v>
      </c>
      <c r="G5448" t="str">
        <f>VLOOKUP(D5448,Товары!A:I,3,0)</f>
        <v>Тумба с раковиной  напол. Аква 560 белый 2 двери с умыв. Уют</v>
      </c>
      <c r="H5448">
        <f>VLOOKUP(D5448,Товары!A:I,6,0)</f>
        <v>85</v>
      </c>
      <c r="I5448" t="str">
        <f>VLOOKUP(C5448,Магазины!A:C,3,0)</f>
        <v>Ставрополь</v>
      </c>
      <c r="J5448">
        <f>VLOOKUP(D5448,Товары!A:I,4,0)</f>
        <v>9330</v>
      </c>
      <c r="K5448">
        <f t="shared" si="85"/>
        <v>18660</v>
      </c>
    </row>
    <row r="5449" spans="1:11" hidden="1" x14ac:dyDescent="0.25">
      <c r="A5449">
        <v>5448</v>
      </c>
      <c r="B5449" s="1">
        <v>45752</v>
      </c>
      <c r="C5449" t="s">
        <v>92</v>
      </c>
      <c r="D5449" t="s">
        <v>98</v>
      </c>
      <c r="E5449" t="s">
        <v>13</v>
      </c>
      <c r="F5449">
        <v>2</v>
      </c>
      <c r="G5449" t="str">
        <f>VLOOKUP(D5449,Товары!A:I,3,0)</f>
        <v>Тумба с раковиной  напол. Рица 800 cерый/керамика 2 ящика с умыв. Слим</v>
      </c>
      <c r="H5449">
        <f>VLOOKUP(D5449,Товары!A:I,6,0)</f>
        <v>80</v>
      </c>
      <c r="I5449" t="str">
        <f>VLOOKUP(C5449,Магазины!A:C,3,0)</f>
        <v>Кемерово</v>
      </c>
      <c r="J5449">
        <f>VLOOKUP(D5449,Товары!A:I,4,0)</f>
        <v>28980</v>
      </c>
      <c r="K5449">
        <f t="shared" si="85"/>
        <v>57960</v>
      </c>
    </row>
    <row r="5450" spans="1:11" hidden="1" x14ac:dyDescent="0.25">
      <c r="A5450">
        <v>5449</v>
      </c>
      <c r="B5450" s="1">
        <v>45748</v>
      </c>
      <c r="C5450" t="s">
        <v>18</v>
      </c>
      <c r="D5450" t="s">
        <v>95</v>
      </c>
      <c r="E5450" t="s">
        <v>13</v>
      </c>
      <c r="F5450">
        <v>2</v>
      </c>
      <c r="G5450" t="str">
        <f>VLOOKUP(D5450,Товары!A:I,3,0)</f>
        <v>Тумба с раковиной  напол. Рица 600 антрацит 2 ящика с умыв. Океан</v>
      </c>
      <c r="H5450">
        <f>VLOOKUP(D5450,Товары!A:I,6,0)</f>
        <v>80</v>
      </c>
      <c r="I5450" t="str">
        <f>VLOOKUP(C5450,Магазины!A:C,3,0)</f>
        <v>Набережные Челны</v>
      </c>
      <c r="J5450">
        <f>VLOOKUP(D5450,Товары!A:I,4,0)</f>
        <v>25560</v>
      </c>
      <c r="K5450">
        <f t="shared" si="85"/>
        <v>51120</v>
      </c>
    </row>
    <row r="5451" spans="1:11" hidden="1" x14ac:dyDescent="0.25">
      <c r="A5451">
        <v>5450</v>
      </c>
      <c r="B5451" s="1">
        <v>45754</v>
      </c>
      <c r="C5451" t="s">
        <v>16</v>
      </c>
      <c r="D5451" t="s">
        <v>106</v>
      </c>
      <c r="E5451" t="s">
        <v>13</v>
      </c>
      <c r="F5451">
        <v>3</v>
      </c>
      <c r="G5451" t="str">
        <f>VLOOKUP(D5451,Товары!A:I,3,0)</f>
        <v>Тумба с раковиной  навес. Кристалл 700 шато азур 2 ящика с умыв. Слим</v>
      </c>
      <c r="H5451">
        <f>VLOOKUP(D5451,Товары!A:I,6,0)</f>
        <v>60</v>
      </c>
      <c r="I5451" t="str">
        <f>VLOOKUP(C5451,Магазины!A:C,3,0)</f>
        <v>Оренбург</v>
      </c>
      <c r="J5451">
        <f>VLOOKUP(D5451,Товары!A:I,4,0)</f>
        <v>24150</v>
      </c>
      <c r="K5451">
        <f t="shared" si="85"/>
        <v>72450</v>
      </c>
    </row>
    <row r="5452" spans="1:11" hidden="1" x14ac:dyDescent="0.25">
      <c r="A5452">
        <v>5451</v>
      </c>
      <c r="B5452" s="1">
        <v>45751</v>
      </c>
      <c r="C5452" t="s">
        <v>28</v>
      </c>
      <c r="D5452" t="s">
        <v>97</v>
      </c>
      <c r="E5452" t="s">
        <v>13</v>
      </c>
      <c r="F5452">
        <v>1</v>
      </c>
      <c r="G5452" t="str">
        <f>VLOOKUP(D5452,Товары!A:I,3,0)</f>
        <v>Пенал напол. Кристалл 350 суфле 2 двери</v>
      </c>
      <c r="H5452">
        <f>VLOOKUP(D5452,Товары!A:I,6,0)</f>
        <v>190</v>
      </c>
      <c r="I5452" t="str">
        <f>VLOOKUP(C5452,Магазины!A:C,3,0)</f>
        <v>Набережные Челны</v>
      </c>
      <c r="J5452">
        <f>VLOOKUP(D5452,Товары!A:I,4,0)</f>
        <v>15810</v>
      </c>
      <c r="K5452">
        <f t="shared" si="85"/>
        <v>15810</v>
      </c>
    </row>
    <row r="5453" spans="1:11" hidden="1" x14ac:dyDescent="0.25">
      <c r="A5453">
        <v>5452</v>
      </c>
      <c r="B5453" s="1">
        <v>45756</v>
      </c>
      <c r="C5453" t="s">
        <v>48</v>
      </c>
      <c r="D5453" t="s">
        <v>49</v>
      </c>
      <c r="E5453" t="s">
        <v>8</v>
      </c>
      <c r="F5453">
        <v>3</v>
      </c>
      <c r="G5453" t="str">
        <f>VLOOKUP(D5453,Товары!A:I,3,0)</f>
        <v>Тумба с раковиной  напол. Леон 700 оникс 2 ящика с умыв. Слим</v>
      </c>
      <c r="H5453">
        <f>VLOOKUP(D5453,Товары!A:I,6,0)</f>
        <v>80</v>
      </c>
      <c r="I5453" t="str">
        <f>VLOOKUP(C5453,Магазины!A:C,3,0)</f>
        <v>Ставрополь</v>
      </c>
      <c r="J5453">
        <f>VLOOKUP(D5453,Товары!A:I,4,0)</f>
        <v>28380</v>
      </c>
      <c r="K5453">
        <f t="shared" si="85"/>
        <v>85140</v>
      </c>
    </row>
    <row r="5454" spans="1:11" hidden="1" x14ac:dyDescent="0.25">
      <c r="A5454">
        <v>5453</v>
      </c>
      <c r="B5454" s="1">
        <v>45750</v>
      </c>
      <c r="C5454" t="s">
        <v>43</v>
      </c>
      <c r="D5454" t="s">
        <v>72</v>
      </c>
      <c r="E5454" t="s">
        <v>13</v>
      </c>
      <c r="F5454">
        <v>1</v>
      </c>
      <c r="G5454" t="str">
        <f>VLOOKUP(D5454,Товары!A:I,3,0)</f>
        <v>Тумба с раковиной  напол. Сохо 600 белый 2 ящика с умыв. Океан</v>
      </c>
      <c r="H5454">
        <f>VLOOKUP(D5454,Товары!A:I,6,0)</f>
        <v>85</v>
      </c>
      <c r="I5454" t="str">
        <f>VLOOKUP(C5454,Магазины!A:C,3,0)</f>
        <v>Набережные Челны</v>
      </c>
      <c r="J5454">
        <f>VLOOKUP(D5454,Товары!A:I,4,0)</f>
        <v>16140</v>
      </c>
      <c r="K5454">
        <f t="shared" si="85"/>
        <v>16140</v>
      </c>
    </row>
    <row r="5455" spans="1:11" hidden="1" x14ac:dyDescent="0.25">
      <c r="A5455">
        <v>5454</v>
      </c>
      <c r="B5455" s="1">
        <v>45755</v>
      </c>
      <c r="C5455" t="s">
        <v>92</v>
      </c>
      <c r="D5455" t="s">
        <v>70</v>
      </c>
      <c r="E5455" t="s">
        <v>8</v>
      </c>
      <c r="F5455">
        <v>3</v>
      </c>
      <c r="G5455" t="str">
        <f>VLOOKUP(D5455,Товары!A:I,3,0)</f>
        <v>Тумба с раковиной  напол. Кристалл 700 шато азур 2 ящика с умыв. Слим</v>
      </c>
      <c r="H5455">
        <f>VLOOKUP(D5455,Товары!A:I,6,0)</f>
        <v>85</v>
      </c>
      <c r="I5455" t="str">
        <f>VLOOKUP(C5455,Магазины!A:C,3,0)</f>
        <v>Кемерово</v>
      </c>
      <c r="J5455">
        <f>VLOOKUP(D5455,Товары!A:I,4,0)</f>
        <v>29910</v>
      </c>
      <c r="K5455">
        <f t="shared" si="85"/>
        <v>89730</v>
      </c>
    </row>
    <row r="5456" spans="1:11" hidden="1" x14ac:dyDescent="0.25">
      <c r="A5456">
        <v>5455</v>
      </c>
      <c r="B5456" s="1">
        <v>45757</v>
      </c>
      <c r="C5456" t="s">
        <v>58</v>
      </c>
      <c r="D5456" t="s">
        <v>73</v>
      </c>
      <c r="E5456" t="s">
        <v>13</v>
      </c>
      <c r="F5456">
        <v>2</v>
      </c>
      <c r="G5456" t="str">
        <f>VLOOKUP(D5456,Товары!A:I,3,0)</f>
        <v>Зеркальный шкаф Альба 70 со светильником правый цвет антрацит</v>
      </c>
      <c r="H5456">
        <f>VLOOKUP(D5456,Товары!A:I,6,0)</f>
        <v>75</v>
      </c>
      <c r="I5456" t="str">
        <f>VLOOKUP(C5456,Магазины!A:C,3,0)</f>
        <v>Ставрополь</v>
      </c>
      <c r="J5456">
        <f>VLOOKUP(D5456,Товары!A:I,4,0)</f>
        <v>9615</v>
      </c>
      <c r="K5456">
        <f t="shared" si="85"/>
        <v>19230</v>
      </c>
    </row>
    <row r="5457" spans="1:11" hidden="1" x14ac:dyDescent="0.25">
      <c r="A5457">
        <v>5456</v>
      </c>
      <c r="B5457" s="1">
        <v>45755</v>
      </c>
      <c r="C5457" t="s">
        <v>33</v>
      </c>
      <c r="D5457" t="s">
        <v>112</v>
      </c>
      <c r="E5457" t="s">
        <v>13</v>
      </c>
      <c r="F5457">
        <v>2</v>
      </c>
      <c r="G5457" t="str">
        <f>VLOOKUP(D5457,Товары!A:I,3,0)</f>
        <v>Тумба с раковиной  напол. Аква 560 белый 2 двери с умыв. Уют</v>
      </c>
      <c r="H5457">
        <f>VLOOKUP(D5457,Товары!A:I,6,0)</f>
        <v>85</v>
      </c>
      <c r="I5457" t="str">
        <f>VLOOKUP(C5457,Магазины!A:C,3,0)</f>
        <v>Набережные Челны</v>
      </c>
      <c r="J5457">
        <f>VLOOKUP(D5457,Товары!A:I,4,0)</f>
        <v>9330</v>
      </c>
      <c r="K5457">
        <f t="shared" si="85"/>
        <v>18660</v>
      </c>
    </row>
    <row r="5458" spans="1:11" hidden="1" x14ac:dyDescent="0.25">
      <c r="A5458">
        <v>5457</v>
      </c>
      <c r="B5458" s="1">
        <v>45749</v>
      </c>
      <c r="C5458" t="s">
        <v>20</v>
      </c>
      <c r="D5458" t="s">
        <v>42</v>
      </c>
      <c r="E5458" t="s">
        <v>13</v>
      </c>
      <c r="F5458">
        <v>1</v>
      </c>
      <c r="G5458" t="str">
        <f>VLOOKUP(D5458,Товары!A:I,3,0)</f>
        <v>Тумба под стиральную машину Леон Риф 57 подвесная 2 ящика под ст/маш, без умывальника /под Marshall 120 Солярис/Белый Риф</v>
      </c>
      <c r="H5458">
        <f>VLOOKUP(D5458,Товары!A:I,6,0)</f>
        <v>60</v>
      </c>
      <c r="I5458" t="str">
        <f>VLOOKUP(C5458,Магазины!A:C,3,0)</f>
        <v>Оренбург</v>
      </c>
      <c r="J5458">
        <f>VLOOKUP(D5458,Товары!A:I,4,0)</f>
        <v>15495</v>
      </c>
      <c r="K5458">
        <f t="shared" si="85"/>
        <v>15495</v>
      </c>
    </row>
    <row r="5459" spans="1:11" hidden="1" x14ac:dyDescent="0.25">
      <c r="A5459">
        <v>5458</v>
      </c>
      <c r="B5459" s="1">
        <v>45750</v>
      </c>
      <c r="C5459" t="s">
        <v>6</v>
      </c>
      <c r="D5459" t="s">
        <v>53</v>
      </c>
      <c r="E5459" t="s">
        <v>8</v>
      </c>
      <c r="F5459">
        <v>2</v>
      </c>
      <c r="G5459" t="str">
        <f>VLOOKUP(D5459,Товары!A:I,3,0)</f>
        <v>Тумба с раковиной  напол. Кристалл 600 шато азур 2 ящика с умыв. Океан</v>
      </c>
      <c r="H5459">
        <f>VLOOKUP(D5459,Товары!A:I,6,0)</f>
        <v>85</v>
      </c>
      <c r="I5459" t="str">
        <f>VLOOKUP(C5459,Магазины!A:C,3,0)</f>
        <v>Оренбург</v>
      </c>
      <c r="J5459">
        <f>VLOOKUP(D5459,Товары!A:I,4,0)</f>
        <v>27600</v>
      </c>
      <c r="K5459">
        <f t="shared" si="85"/>
        <v>55200</v>
      </c>
    </row>
    <row r="5460" spans="1:11" hidden="1" x14ac:dyDescent="0.25">
      <c r="A5460">
        <v>5459</v>
      </c>
      <c r="B5460" s="1">
        <v>45748</v>
      </c>
      <c r="C5460" t="s">
        <v>92</v>
      </c>
      <c r="D5460" t="s">
        <v>38</v>
      </c>
      <c r="E5460" t="s">
        <v>8</v>
      </c>
      <c r="F5460">
        <v>2</v>
      </c>
      <c r="G5460" t="str">
        <f>VLOOKUP(D5460,Товары!A:I,3,0)</f>
        <v>Тумба с раковиной  навес. Куба Риф 600 белый 2 ящика с умыв. Como</v>
      </c>
      <c r="H5460">
        <f>VLOOKUP(D5460,Товары!A:I,6,0)</f>
        <v>55</v>
      </c>
      <c r="I5460" t="str">
        <f>VLOOKUP(C5460,Магазины!A:C,3,0)</f>
        <v>Кемерово</v>
      </c>
      <c r="J5460">
        <f>VLOOKUP(D5460,Товары!A:I,4,0)</f>
        <v>14265</v>
      </c>
      <c r="K5460">
        <f t="shared" si="85"/>
        <v>28530</v>
      </c>
    </row>
    <row r="5461" spans="1:11" hidden="1" x14ac:dyDescent="0.25">
      <c r="A5461">
        <v>5460</v>
      </c>
      <c r="B5461" s="1">
        <v>45755</v>
      </c>
      <c r="C5461" t="s">
        <v>20</v>
      </c>
      <c r="D5461" t="s">
        <v>38</v>
      </c>
      <c r="E5461" t="s">
        <v>8</v>
      </c>
      <c r="F5461">
        <v>1</v>
      </c>
      <c r="G5461" t="str">
        <f>VLOOKUP(D5461,Товары!A:I,3,0)</f>
        <v>Тумба с раковиной  навес. Куба Риф 600 белый 2 ящика с умыв. Como</v>
      </c>
      <c r="H5461">
        <f>VLOOKUP(D5461,Товары!A:I,6,0)</f>
        <v>55</v>
      </c>
      <c r="I5461" t="str">
        <f>VLOOKUP(C5461,Магазины!A:C,3,0)</f>
        <v>Оренбург</v>
      </c>
      <c r="J5461">
        <f>VLOOKUP(D5461,Товары!A:I,4,0)</f>
        <v>14265</v>
      </c>
      <c r="K5461">
        <f t="shared" si="85"/>
        <v>14265</v>
      </c>
    </row>
    <row r="5462" spans="1:11" hidden="1" x14ac:dyDescent="0.25">
      <c r="A5462">
        <v>5461</v>
      </c>
      <c r="B5462" s="1">
        <v>45755</v>
      </c>
      <c r="C5462" t="s">
        <v>35</v>
      </c>
      <c r="D5462" t="s">
        <v>94</v>
      </c>
      <c r="E5462" t="s">
        <v>13</v>
      </c>
      <c r="F5462">
        <v>2</v>
      </c>
      <c r="G5462" t="str">
        <f>VLOOKUP(D5462,Товары!A:I,3,0)</f>
        <v>Зеркальный шкаф Альба 80 со светильником правый цвет антрацит</v>
      </c>
      <c r="H5462">
        <f>VLOOKUP(D5462,Товары!A:I,6,0)</f>
        <v>75</v>
      </c>
      <c r="I5462" t="str">
        <f>VLOOKUP(C5462,Магазины!A:C,3,0)</f>
        <v>Набережные Челны</v>
      </c>
      <c r="J5462">
        <f>VLOOKUP(D5462,Товары!A:I,4,0)</f>
        <v>9930</v>
      </c>
      <c r="K5462">
        <f t="shared" si="85"/>
        <v>19860</v>
      </c>
    </row>
    <row r="5463" spans="1:11" hidden="1" x14ac:dyDescent="0.25">
      <c r="A5463">
        <v>5462</v>
      </c>
      <c r="B5463" s="1">
        <v>45755</v>
      </c>
      <c r="C5463" t="s">
        <v>54</v>
      </c>
      <c r="D5463" t="s">
        <v>50</v>
      </c>
      <c r="E5463" t="s">
        <v>8</v>
      </c>
      <c r="F5463">
        <v>2</v>
      </c>
      <c r="G5463" t="str">
        <f>VLOOKUP(D5463,Товары!A:I,3,0)</f>
        <v>Тумба с раковиной  напол. Леон 800 оникс 2 ящика с умыв. Слим</v>
      </c>
      <c r="H5463">
        <f>VLOOKUP(D5463,Товары!A:I,6,0)</f>
        <v>80</v>
      </c>
      <c r="I5463" t="str">
        <f>VLOOKUP(C5463,Магазины!A:C,3,0)</f>
        <v>Ставрополь</v>
      </c>
      <c r="J5463">
        <f>VLOOKUP(D5463,Товары!A:I,4,0)</f>
        <v>29400</v>
      </c>
      <c r="K5463">
        <f t="shared" si="85"/>
        <v>58800</v>
      </c>
    </row>
    <row r="5464" spans="1:11" hidden="1" x14ac:dyDescent="0.25">
      <c r="A5464">
        <v>5463</v>
      </c>
      <c r="B5464" s="1">
        <v>45750</v>
      </c>
      <c r="C5464" t="s">
        <v>54</v>
      </c>
      <c r="D5464" t="s">
        <v>117</v>
      </c>
      <c r="E5464" t="s">
        <v>8</v>
      </c>
      <c r="F5464">
        <v>1</v>
      </c>
      <c r="G5464" t="str">
        <f>VLOOKUP(D5464,Товары!A:I,3,0)</f>
        <v>Тумба с раковиной  навес. Альба 700 антрацит 2 ящика с умыв. Слим</v>
      </c>
      <c r="H5464">
        <f>VLOOKUP(D5464,Товары!A:I,6,0)</f>
        <v>60</v>
      </c>
      <c r="I5464" t="str">
        <f>VLOOKUP(C5464,Магазины!A:C,3,0)</f>
        <v>Ставрополь</v>
      </c>
      <c r="J5464">
        <f>VLOOKUP(D5464,Товары!A:I,4,0)</f>
        <v>25095</v>
      </c>
      <c r="K5464">
        <f t="shared" si="85"/>
        <v>25095</v>
      </c>
    </row>
    <row r="5465" spans="1:11" hidden="1" x14ac:dyDescent="0.25">
      <c r="A5465">
        <v>5464</v>
      </c>
      <c r="B5465" s="1">
        <v>45755</v>
      </c>
      <c r="C5465" t="s">
        <v>16</v>
      </c>
      <c r="D5465" t="s">
        <v>39</v>
      </c>
      <c r="E5465" t="s">
        <v>13</v>
      </c>
      <c r="F5465">
        <v>1</v>
      </c>
      <c r="G5465" t="str">
        <f>VLOOKUP(D5465,Товары!A:I,3,0)</f>
        <v>Тумба с раковиной  напол. Альба 700 мята 2 ящика с умыв. Слим</v>
      </c>
      <c r="H5465">
        <f>VLOOKUP(D5465,Товары!A:I,6,0)</f>
        <v>85</v>
      </c>
      <c r="I5465" t="str">
        <f>VLOOKUP(C5465,Магазины!A:C,3,0)</f>
        <v>Оренбург</v>
      </c>
      <c r="J5465">
        <f>VLOOKUP(D5465,Товары!A:I,4,0)</f>
        <v>28695</v>
      </c>
      <c r="K5465">
        <f t="shared" si="85"/>
        <v>28695</v>
      </c>
    </row>
    <row r="5466" spans="1:11" hidden="1" x14ac:dyDescent="0.25">
      <c r="A5466">
        <v>5465</v>
      </c>
      <c r="B5466" s="1">
        <v>45754</v>
      </c>
      <c r="C5466" t="s">
        <v>57</v>
      </c>
      <c r="D5466" t="s">
        <v>107</v>
      </c>
      <c r="E5466" t="s">
        <v>8</v>
      </c>
      <c r="F5466">
        <v>2</v>
      </c>
      <c r="G5466" t="str">
        <f>VLOOKUP(D5466,Товары!A:I,3,0)</f>
        <v>Комод Аква 35 напольный 1 дверь белый правый</v>
      </c>
      <c r="H5466">
        <f>VLOOKUP(D5466,Товары!A:I,6,0)</f>
        <v>90</v>
      </c>
      <c r="I5466" t="str">
        <f>VLOOKUP(C5466,Магазины!A:C,3,0)</f>
        <v>Оренбург</v>
      </c>
      <c r="J5466">
        <f>VLOOKUP(D5466,Товары!A:I,4,0)</f>
        <v>6705</v>
      </c>
      <c r="K5466">
        <f t="shared" si="85"/>
        <v>13410</v>
      </c>
    </row>
    <row r="5467" spans="1:11" hidden="1" x14ac:dyDescent="0.25">
      <c r="A5467">
        <v>5466</v>
      </c>
      <c r="B5467" s="1">
        <v>45754</v>
      </c>
      <c r="C5467" t="s">
        <v>43</v>
      </c>
      <c r="D5467" t="s">
        <v>21</v>
      </c>
      <c r="E5467" t="s">
        <v>8</v>
      </c>
      <c r="F5467">
        <v>3</v>
      </c>
      <c r="G5467" t="str">
        <f>VLOOKUP(D5467,Товары!A:I,3,0)</f>
        <v>Зеркальный шкаф Рица 60 со светильником правый цвет cерый/керамика</v>
      </c>
      <c r="H5467">
        <f>VLOOKUP(D5467,Товары!A:I,6,0)</f>
        <v>75</v>
      </c>
      <c r="I5467" t="str">
        <f>VLOOKUP(C5467,Магазины!A:C,3,0)</f>
        <v>Набережные Челны</v>
      </c>
      <c r="J5467">
        <f>VLOOKUP(D5467,Товары!A:I,4,0)</f>
        <v>8910</v>
      </c>
      <c r="K5467">
        <f t="shared" si="85"/>
        <v>26730</v>
      </c>
    </row>
    <row r="5468" spans="1:11" hidden="1" x14ac:dyDescent="0.25">
      <c r="A5468">
        <v>5467</v>
      </c>
      <c r="B5468" s="1">
        <v>45756</v>
      </c>
      <c r="C5468" t="s">
        <v>58</v>
      </c>
      <c r="D5468" t="s">
        <v>32</v>
      </c>
      <c r="E5468" t="s">
        <v>8</v>
      </c>
      <c r="F5468">
        <v>3</v>
      </c>
      <c r="G5468" t="str">
        <f>VLOOKUP(D5468,Товары!A:I,3,0)</f>
        <v>Тумба с раковиной  напол. Леон Риф 700 солярис/белый риф 2 ящика с умыв. Слим</v>
      </c>
      <c r="H5468">
        <f>VLOOKUP(D5468,Товары!A:I,6,0)</f>
        <v>85</v>
      </c>
      <c r="I5468" t="str">
        <f>VLOOKUP(C5468,Магазины!A:C,3,0)</f>
        <v>Ставрополь</v>
      </c>
      <c r="J5468">
        <f>VLOOKUP(D5468,Товары!A:I,4,0)</f>
        <v>26460</v>
      </c>
      <c r="K5468">
        <f t="shared" si="85"/>
        <v>79380</v>
      </c>
    </row>
    <row r="5469" spans="1:11" hidden="1" x14ac:dyDescent="0.25">
      <c r="A5469">
        <v>5468</v>
      </c>
      <c r="B5469" s="1">
        <v>45750</v>
      </c>
      <c r="C5469" t="s">
        <v>11</v>
      </c>
      <c r="D5469" t="s">
        <v>108</v>
      </c>
      <c r="E5469" t="s">
        <v>13</v>
      </c>
      <c r="F5469">
        <v>3</v>
      </c>
      <c r="G5469" t="str">
        <f>VLOOKUP(D5469,Товары!A:I,3,0)</f>
        <v>Тумба с раковиной  навес. Виктория 1000 белый 2 ящика с умыв. Слим</v>
      </c>
      <c r="H5469">
        <f>VLOOKUP(D5469,Товары!A:I,6,0)</f>
        <v>60</v>
      </c>
      <c r="I5469" t="str">
        <f>VLOOKUP(C5469,Магазины!A:C,3,0)</f>
        <v>Кемерово</v>
      </c>
      <c r="J5469">
        <f>VLOOKUP(D5469,Товары!A:I,4,0)</f>
        <v>29205</v>
      </c>
      <c r="K5469">
        <f t="shared" si="85"/>
        <v>87615</v>
      </c>
    </row>
    <row r="5470" spans="1:11" hidden="1" x14ac:dyDescent="0.25">
      <c r="A5470">
        <v>5469</v>
      </c>
      <c r="B5470" s="1">
        <v>45757</v>
      </c>
      <c r="C5470" t="s">
        <v>92</v>
      </c>
      <c r="D5470" t="s">
        <v>59</v>
      </c>
      <c r="E5470" t="s">
        <v>8</v>
      </c>
      <c r="F5470">
        <v>1</v>
      </c>
      <c r="G5470" t="str">
        <f>VLOOKUP(D5470,Товары!A:I,3,0)</f>
        <v>Тумба с раковиной  навес. Куба Риф 600 белый 2 ящика с умыв. Океан</v>
      </c>
      <c r="H5470">
        <f>VLOOKUP(D5470,Товары!A:I,6,0)</f>
        <v>55</v>
      </c>
      <c r="I5470" t="str">
        <f>VLOOKUP(C5470,Магазины!A:C,3,0)</f>
        <v>Кемерово</v>
      </c>
      <c r="J5470">
        <f>VLOOKUP(D5470,Товары!A:I,4,0)</f>
        <v>15765</v>
      </c>
      <c r="K5470">
        <f t="shared" si="85"/>
        <v>15765</v>
      </c>
    </row>
    <row r="5471" spans="1:11" hidden="1" x14ac:dyDescent="0.25">
      <c r="A5471">
        <v>5470</v>
      </c>
      <c r="B5471" s="1">
        <v>45750</v>
      </c>
      <c r="C5471" t="s">
        <v>54</v>
      </c>
      <c r="D5471" t="s">
        <v>45</v>
      </c>
      <c r="E5471" t="s">
        <v>8</v>
      </c>
      <c r="F5471">
        <v>3</v>
      </c>
      <c r="G5471" t="str">
        <f>VLOOKUP(D5471,Товары!A:I,3,0)</f>
        <v>Зеркальный шкаф Рица 80 со светильником правый цвет cерый/керамика</v>
      </c>
      <c r="H5471">
        <f>VLOOKUP(D5471,Товары!A:I,6,0)</f>
        <v>75</v>
      </c>
      <c r="I5471" t="str">
        <f>VLOOKUP(C5471,Магазины!A:C,3,0)</f>
        <v>Ставрополь</v>
      </c>
      <c r="J5471">
        <f>VLOOKUP(D5471,Товары!A:I,4,0)</f>
        <v>9930</v>
      </c>
      <c r="K5471">
        <f t="shared" si="85"/>
        <v>29790</v>
      </c>
    </row>
    <row r="5472" spans="1:11" hidden="1" x14ac:dyDescent="0.25">
      <c r="A5472">
        <v>5471</v>
      </c>
      <c r="B5472" s="1">
        <v>45751</v>
      </c>
      <c r="C5472" t="s">
        <v>14</v>
      </c>
      <c r="D5472" t="s">
        <v>71</v>
      </c>
      <c r="E5472" t="s">
        <v>13</v>
      </c>
      <c r="F5472">
        <v>2</v>
      </c>
      <c r="G5472" t="str">
        <f>VLOOKUP(D5472,Товары!A:I,3,0)</f>
        <v>Тумба с раковиной  навес. Альба 600 мята 2 ящика с умыв. Океан</v>
      </c>
      <c r="H5472">
        <f>VLOOKUP(D5472,Товары!A:I,6,0)</f>
        <v>50</v>
      </c>
      <c r="I5472" t="str">
        <f>VLOOKUP(C5472,Магазины!A:C,3,0)</f>
        <v>Оренбург</v>
      </c>
      <c r="J5472">
        <f>VLOOKUP(D5472,Товары!A:I,4,0)</f>
        <v>24810</v>
      </c>
      <c r="K5472">
        <f t="shared" si="85"/>
        <v>49620</v>
      </c>
    </row>
    <row r="5473" spans="1:11" hidden="1" x14ac:dyDescent="0.25">
      <c r="A5473">
        <v>5472</v>
      </c>
      <c r="B5473" s="1">
        <v>45754</v>
      </c>
      <c r="C5473" t="s">
        <v>26</v>
      </c>
      <c r="D5473" t="s">
        <v>102</v>
      </c>
      <c r="E5473" t="s">
        <v>13</v>
      </c>
      <c r="F5473">
        <v>2</v>
      </c>
      <c r="G5473" t="str">
        <f>VLOOKUP(D5473,Товары!A:I,3,0)</f>
        <v>Тумба с раковиной  напол. Леон Риф 1000 солярис/белый риф 2 ящика с умыв. Слим</v>
      </c>
      <c r="H5473">
        <f>VLOOKUP(D5473,Товары!A:I,6,0)</f>
        <v>85</v>
      </c>
      <c r="I5473" t="str">
        <f>VLOOKUP(C5473,Магазины!A:C,3,0)</f>
        <v>Оренбург</v>
      </c>
      <c r="J5473">
        <f>VLOOKUP(D5473,Товары!A:I,4,0)</f>
        <v>32085</v>
      </c>
      <c r="K5473">
        <f t="shared" si="85"/>
        <v>64170</v>
      </c>
    </row>
    <row r="5474" spans="1:11" hidden="1" x14ac:dyDescent="0.25">
      <c r="A5474">
        <v>5473</v>
      </c>
      <c r="B5474" s="1">
        <v>45749</v>
      </c>
      <c r="C5474" t="s">
        <v>41</v>
      </c>
      <c r="D5474" t="s">
        <v>46</v>
      </c>
      <c r="E5474" t="s">
        <v>13</v>
      </c>
      <c r="F5474">
        <v>2</v>
      </c>
      <c r="G5474" t="str">
        <f>VLOOKUP(D5474,Товары!A:I,3,0)</f>
        <v>Тумба с раковиной  напол. Сохо 700 белый 2 ящика с умыв. Слим</v>
      </c>
      <c r="H5474">
        <f>VLOOKUP(D5474,Товары!A:I,6,0)</f>
        <v>85</v>
      </c>
      <c r="I5474" t="str">
        <f>VLOOKUP(C5474,Магазины!A:C,3,0)</f>
        <v>Ставрополь</v>
      </c>
      <c r="J5474">
        <f>VLOOKUP(D5474,Товары!A:I,4,0)</f>
        <v>18405</v>
      </c>
      <c r="K5474">
        <f t="shared" si="85"/>
        <v>36810</v>
      </c>
    </row>
    <row r="5475" spans="1:11" hidden="1" x14ac:dyDescent="0.25">
      <c r="A5475">
        <v>5474</v>
      </c>
      <c r="B5475" s="1">
        <v>45755</v>
      </c>
      <c r="C5475" t="s">
        <v>48</v>
      </c>
      <c r="D5475" t="s">
        <v>46</v>
      </c>
      <c r="E5475" t="s">
        <v>13</v>
      </c>
      <c r="F5475">
        <v>1</v>
      </c>
      <c r="G5475" t="str">
        <f>VLOOKUP(D5475,Товары!A:I,3,0)</f>
        <v>Тумба с раковиной  напол. Сохо 700 белый 2 ящика с умыв. Слим</v>
      </c>
      <c r="H5475">
        <f>VLOOKUP(D5475,Товары!A:I,6,0)</f>
        <v>85</v>
      </c>
      <c r="I5475" t="str">
        <f>VLOOKUP(C5475,Магазины!A:C,3,0)</f>
        <v>Ставрополь</v>
      </c>
      <c r="J5475">
        <f>VLOOKUP(D5475,Товары!A:I,4,0)</f>
        <v>18405</v>
      </c>
      <c r="K5475">
        <f t="shared" si="85"/>
        <v>18405</v>
      </c>
    </row>
    <row r="5476" spans="1:11" hidden="1" x14ac:dyDescent="0.25">
      <c r="A5476">
        <v>5475</v>
      </c>
      <c r="B5476" s="1">
        <v>45751</v>
      </c>
      <c r="C5476" t="s">
        <v>92</v>
      </c>
      <c r="D5476" t="s">
        <v>56</v>
      </c>
      <c r="E5476" t="s">
        <v>13</v>
      </c>
      <c r="F5476">
        <v>1</v>
      </c>
      <c r="G5476" t="str">
        <f>VLOOKUP(D5476,Товары!A:I,3,0)</f>
        <v>Зеркальный шкаф Альба 80 со светильником правый цвет мята</v>
      </c>
      <c r="H5476">
        <f>VLOOKUP(D5476,Товары!A:I,6,0)</f>
        <v>75</v>
      </c>
      <c r="I5476" t="str">
        <f>VLOOKUP(C5476,Магазины!A:C,3,0)</f>
        <v>Кемерово</v>
      </c>
      <c r="J5476">
        <f>VLOOKUP(D5476,Товары!A:I,4,0)</f>
        <v>9930</v>
      </c>
      <c r="K5476">
        <f t="shared" si="85"/>
        <v>9930</v>
      </c>
    </row>
    <row r="5477" spans="1:11" hidden="1" x14ac:dyDescent="0.25">
      <c r="A5477">
        <v>5476</v>
      </c>
      <c r="B5477" s="1">
        <v>45757</v>
      </c>
      <c r="C5477" t="s">
        <v>63</v>
      </c>
      <c r="D5477" t="s">
        <v>64</v>
      </c>
      <c r="E5477" t="s">
        <v>13</v>
      </c>
      <c r="F5477">
        <v>1</v>
      </c>
      <c r="G5477" t="str">
        <f>VLOOKUP(D5477,Товары!A:I,3,0)</f>
        <v>Тумба с раковиной  напол. Рица 800 антрацит 2 ящика с умыв. Слим</v>
      </c>
      <c r="H5477">
        <f>VLOOKUP(D5477,Товары!A:I,6,0)</f>
        <v>80</v>
      </c>
      <c r="I5477" t="str">
        <f>VLOOKUP(C5477,Магазины!A:C,3,0)</f>
        <v>Ставрополь</v>
      </c>
      <c r="J5477">
        <f>VLOOKUP(D5477,Товары!A:I,4,0)</f>
        <v>28980</v>
      </c>
      <c r="K5477">
        <f t="shared" si="85"/>
        <v>28980</v>
      </c>
    </row>
    <row r="5478" spans="1:11" hidden="1" x14ac:dyDescent="0.25">
      <c r="A5478">
        <v>5477</v>
      </c>
      <c r="B5478" s="1">
        <v>45754</v>
      </c>
      <c r="C5478" t="s">
        <v>14</v>
      </c>
      <c r="D5478" t="s">
        <v>116</v>
      </c>
      <c r="E5478" t="s">
        <v>8</v>
      </c>
      <c r="F5478">
        <v>3</v>
      </c>
      <c r="G5478" t="str">
        <f>VLOOKUP(D5478,Товары!A:I,3,0)</f>
        <v>Зеркало Нева 60 дуб/белый со светильником</v>
      </c>
      <c r="H5478">
        <f>VLOOKUP(D5478,Товары!A:I,6,0)</f>
        <v>80</v>
      </c>
      <c r="I5478" t="str">
        <f>VLOOKUP(C5478,Магазины!A:C,3,0)</f>
        <v>Оренбург</v>
      </c>
      <c r="J5478">
        <f>VLOOKUP(D5478,Товары!A:I,4,0)</f>
        <v>5100</v>
      </c>
      <c r="K5478">
        <f t="shared" si="85"/>
        <v>15300</v>
      </c>
    </row>
    <row r="5479" spans="1:11" hidden="1" x14ac:dyDescent="0.25">
      <c r="A5479">
        <v>5478</v>
      </c>
      <c r="B5479" s="1">
        <v>45754</v>
      </c>
      <c r="C5479" t="s">
        <v>57</v>
      </c>
      <c r="D5479" t="s">
        <v>112</v>
      </c>
      <c r="E5479" t="s">
        <v>8</v>
      </c>
      <c r="F5479">
        <v>2</v>
      </c>
      <c r="G5479" t="str">
        <f>VLOOKUP(D5479,Товары!A:I,3,0)</f>
        <v>Тумба с раковиной  напол. Аква 560 белый 2 двери с умыв. Уют</v>
      </c>
      <c r="H5479">
        <f>VLOOKUP(D5479,Товары!A:I,6,0)</f>
        <v>85</v>
      </c>
      <c r="I5479" t="str">
        <f>VLOOKUP(C5479,Магазины!A:C,3,0)</f>
        <v>Оренбург</v>
      </c>
      <c r="J5479">
        <f>VLOOKUP(D5479,Товары!A:I,4,0)</f>
        <v>9330</v>
      </c>
      <c r="K5479">
        <f t="shared" si="85"/>
        <v>18660</v>
      </c>
    </row>
    <row r="5480" spans="1:11" hidden="1" x14ac:dyDescent="0.25">
      <c r="A5480">
        <v>5479</v>
      </c>
      <c r="B5480" s="1">
        <v>45753</v>
      </c>
      <c r="C5480" t="s">
        <v>22</v>
      </c>
      <c r="D5480" t="s">
        <v>77</v>
      </c>
      <c r="E5480" t="s">
        <v>13</v>
      </c>
      <c r="F5480">
        <v>3</v>
      </c>
      <c r="G5480" t="str">
        <f>VLOOKUP(D5480,Товары!A:I,3,0)</f>
        <v>Тумба с раковиной  напол. Куба Риф 600 белый 2 ящика с умыв. Como</v>
      </c>
      <c r="H5480">
        <f>VLOOKUP(D5480,Товары!A:I,6,0)</f>
        <v>85</v>
      </c>
      <c r="I5480" t="str">
        <f>VLOOKUP(C5480,Магазины!A:C,3,0)</f>
        <v>Кемерово</v>
      </c>
      <c r="J5480">
        <f>VLOOKUP(D5480,Товары!A:I,4,0)</f>
        <v>15660</v>
      </c>
      <c r="K5480">
        <f t="shared" si="85"/>
        <v>46980</v>
      </c>
    </row>
    <row r="5481" spans="1:11" hidden="1" x14ac:dyDescent="0.25">
      <c r="A5481">
        <v>5480</v>
      </c>
      <c r="B5481" s="1">
        <v>45756</v>
      </c>
      <c r="C5481" t="s">
        <v>92</v>
      </c>
      <c r="D5481" t="s">
        <v>109</v>
      </c>
      <c r="E5481" t="s">
        <v>13</v>
      </c>
      <c r="F5481">
        <v>1</v>
      </c>
      <c r="G5481" t="str">
        <f>VLOOKUP(D5481,Товары!A:I,3,0)</f>
        <v>Тумба с раковиной  навес. Альба 600 антрацит 2 ящика с умыв. Океан</v>
      </c>
      <c r="H5481">
        <f>VLOOKUP(D5481,Товары!A:I,6,0)</f>
        <v>50</v>
      </c>
      <c r="I5481" t="str">
        <f>VLOOKUP(C5481,Магазины!A:C,3,0)</f>
        <v>Кемерово</v>
      </c>
      <c r="J5481">
        <f>VLOOKUP(D5481,Товары!A:I,4,0)</f>
        <v>24810</v>
      </c>
      <c r="K5481">
        <f t="shared" si="85"/>
        <v>24810</v>
      </c>
    </row>
    <row r="5482" spans="1:11" hidden="1" x14ac:dyDescent="0.25">
      <c r="A5482">
        <v>5481</v>
      </c>
      <c r="B5482" s="1">
        <v>45748</v>
      </c>
      <c r="C5482" t="s">
        <v>43</v>
      </c>
      <c r="D5482" t="s">
        <v>123</v>
      </c>
      <c r="E5482" t="s">
        <v>8</v>
      </c>
      <c r="F5482">
        <v>2</v>
      </c>
      <c r="G5482" t="str">
        <f>VLOOKUP(D5482,Товары!A:I,3,0)</f>
        <v>Тумба с раковиной  напол. Кристалл 800 суфле 2 ящика с умыв. Слим</v>
      </c>
      <c r="H5482">
        <f>VLOOKUP(D5482,Товары!A:I,6,0)</f>
        <v>80</v>
      </c>
      <c r="I5482" t="str">
        <f>VLOOKUP(C5482,Магазины!A:C,3,0)</f>
        <v>Набережные Челны</v>
      </c>
      <c r="J5482">
        <f>VLOOKUP(D5482,Товары!A:I,4,0)</f>
        <v>31125</v>
      </c>
      <c r="K5482">
        <f t="shared" si="85"/>
        <v>62250</v>
      </c>
    </row>
    <row r="5483" spans="1:11" hidden="1" x14ac:dyDescent="0.25">
      <c r="A5483">
        <v>5482</v>
      </c>
      <c r="B5483" s="1">
        <v>45755</v>
      </c>
      <c r="C5483" t="s">
        <v>11</v>
      </c>
      <c r="D5483" t="s">
        <v>34</v>
      </c>
      <c r="E5483" t="s">
        <v>13</v>
      </c>
      <c r="F5483">
        <v>3</v>
      </c>
      <c r="G5483" t="str">
        <f>VLOOKUP(D5483,Товары!A:I,3,0)</f>
        <v>Тумба с раковиной  навес. Леон 700 форест 2 ящика с умыв. Слим</v>
      </c>
      <c r="H5483">
        <f>VLOOKUP(D5483,Товары!A:I,6,0)</f>
        <v>60</v>
      </c>
      <c r="I5483" t="str">
        <f>VLOOKUP(C5483,Магазины!A:C,3,0)</f>
        <v>Кемерово</v>
      </c>
      <c r="J5483">
        <f>VLOOKUP(D5483,Товары!A:I,4,0)</f>
        <v>26220</v>
      </c>
      <c r="K5483">
        <f t="shared" si="85"/>
        <v>78660</v>
      </c>
    </row>
    <row r="5484" spans="1:11" hidden="1" x14ac:dyDescent="0.25">
      <c r="A5484">
        <v>5483</v>
      </c>
      <c r="B5484" s="1">
        <v>45756</v>
      </c>
      <c r="C5484" t="s">
        <v>48</v>
      </c>
      <c r="D5484" t="s">
        <v>73</v>
      </c>
      <c r="E5484" t="s">
        <v>8</v>
      </c>
      <c r="F5484">
        <v>2</v>
      </c>
      <c r="G5484" t="str">
        <f>VLOOKUP(D5484,Товары!A:I,3,0)</f>
        <v>Зеркальный шкаф Альба 70 со светильником правый цвет антрацит</v>
      </c>
      <c r="H5484">
        <f>VLOOKUP(D5484,Товары!A:I,6,0)</f>
        <v>75</v>
      </c>
      <c r="I5484" t="str">
        <f>VLOOKUP(C5484,Магазины!A:C,3,0)</f>
        <v>Ставрополь</v>
      </c>
      <c r="J5484">
        <f>VLOOKUP(D5484,Товары!A:I,4,0)</f>
        <v>9615</v>
      </c>
      <c r="K5484">
        <f t="shared" si="85"/>
        <v>19230</v>
      </c>
    </row>
    <row r="5485" spans="1:11" hidden="1" x14ac:dyDescent="0.25">
      <c r="A5485">
        <v>5484</v>
      </c>
      <c r="B5485" s="1">
        <v>45751</v>
      </c>
      <c r="C5485" t="s">
        <v>58</v>
      </c>
      <c r="D5485" t="s">
        <v>73</v>
      </c>
      <c r="E5485" t="s">
        <v>13</v>
      </c>
      <c r="F5485">
        <v>1</v>
      </c>
      <c r="G5485" t="str">
        <f>VLOOKUP(D5485,Товары!A:I,3,0)</f>
        <v>Зеркальный шкаф Альба 70 со светильником правый цвет антрацит</v>
      </c>
      <c r="H5485">
        <f>VLOOKUP(D5485,Товары!A:I,6,0)</f>
        <v>75</v>
      </c>
      <c r="I5485" t="str">
        <f>VLOOKUP(C5485,Магазины!A:C,3,0)</f>
        <v>Ставрополь</v>
      </c>
      <c r="J5485">
        <f>VLOOKUP(D5485,Товары!A:I,4,0)</f>
        <v>9615</v>
      </c>
      <c r="K5485">
        <f t="shared" si="85"/>
        <v>9615</v>
      </c>
    </row>
    <row r="5486" spans="1:11" hidden="1" x14ac:dyDescent="0.25">
      <c r="A5486">
        <v>5485</v>
      </c>
      <c r="B5486" s="1">
        <v>45753</v>
      </c>
      <c r="C5486" t="s">
        <v>43</v>
      </c>
      <c r="D5486" t="s">
        <v>113</v>
      </c>
      <c r="E5486" t="s">
        <v>13</v>
      </c>
      <c r="F5486">
        <v>3</v>
      </c>
      <c r="G5486" t="str">
        <f>VLOOKUP(D5486,Товары!A:I,3,0)</f>
        <v>Зеркальный шкаф Альба 60 со светильником правый цвет мята</v>
      </c>
      <c r="H5486">
        <f>VLOOKUP(D5486,Товары!A:I,6,0)</f>
        <v>75</v>
      </c>
      <c r="I5486" t="str">
        <f>VLOOKUP(C5486,Магазины!A:C,3,0)</f>
        <v>Набережные Челны</v>
      </c>
      <c r="J5486">
        <f>VLOOKUP(D5486,Товары!A:I,4,0)</f>
        <v>8910</v>
      </c>
      <c r="K5486">
        <f t="shared" si="85"/>
        <v>26730</v>
      </c>
    </row>
    <row r="5487" spans="1:11" hidden="1" x14ac:dyDescent="0.25">
      <c r="A5487">
        <v>5486</v>
      </c>
      <c r="B5487" s="1">
        <v>45753</v>
      </c>
      <c r="C5487" t="s">
        <v>63</v>
      </c>
      <c r="D5487" t="s">
        <v>125</v>
      </c>
      <c r="E5487" t="s">
        <v>13</v>
      </c>
      <c r="F5487">
        <v>2</v>
      </c>
      <c r="G5487" t="str">
        <f>VLOOKUP(D5487,Товары!A:I,3,0)</f>
        <v>Зеркальный шкаф Сохо 60 белый со светильником правый цвет Белый глянец</v>
      </c>
      <c r="H5487">
        <f>VLOOKUP(D5487,Товары!A:I,6,0)</f>
        <v>75</v>
      </c>
      <c r="I5487" t="str">
        <f>VLOOKUP(C5487,Магазины!A:C,3,0)</f>
        <v>Ставрополь</v>
      </c>
      <c r="J5487">
        <f>VLOOKUP(D5487,Товары!A:I,4,0)</f>
        <v>7395</v>
      </c>
      <c r="K5487">
        <f t="shared" si="85"/>
        <v>14790</v>
      </c>
    </row>
    <row r="5488" spans="1:11" hidden="1" x14ac:dyDescent="0.25">
      <c r="A5488">
        <v>5487</v>
      </c>
      <c r="B5488" s="1">
        <v>45757</v>
      </c>
      <c r="C5488" t="s">
        <v>103</v>
      </c>
      <c r="D5488" t="s">
        <v>75</v>
      </c>
      <c r="E5488" t="s">
        <v>8</v>
      </c>
      <c r="F5488">
        <v>2</v>
      </c>
      <c r="G5488" t="str">
        <f>VLOOKUP(D5488,Товары!A:I,3,0)</f>
        <v>Тумба с раковиной  напол. Альба 600 суфле 2 ящика с умыв. Океан</v>
      </c>
      <c r="H5488">
        <f>VLOOKUP(D5488,Товары!A:I,6,0)</f>
        <v>80</v>
      </c>
      <c r="I5488" t="str">
        <f>VLOOKUP(C5488,Магазины!A:C,3,0)</f>
        <v>Ставрополь</v>
      </c>
      <c r="J5488">
        <f>VLOOKUP(D5488,Товары!A:I,4,0)</f>
        <v>26370</v>
      </c>
      <c r="K5488">
        <f t="shared" si="85"/>
        <v>52740</v>
      </c>
    </row>
    <row r="5489" spans="1:11" hidden="1" x14ac:dyDescent="0.25">
      <c r="A5489">
        <v>5488</v>
      </c>
      <c r="B5489" s="1">
        <v>45753</v>
      </c>
      <c r="C5489" t="s">
        <v>63</v>
      </c>
      <c r="D5489" t="s">
        <v>116</v>
      </c>
      <c r="E5489" t="s">
        <v>13</v>
      </c>
      <c r="F5489">
        <v>2</v>
      </c>
      <c r="G5489" t="str">
        <f>VLOOKUP(D5489,Товары!A:I,3,0)</f>
        <v>Зеркало Нева 60 дуб/белый со светильником</v>
      </c>
      <c r="H5489">
        <f>VLOOKUP(D5489,Товары!A:I,6,0)</f>
        <v>80</v>
      </c>
      <c r="I5489" t="str">
        <f>VLOOKUP(C5489,Магазины!A:C,3,0)</f>
        <v>Ставрополь</v>
      </c>
      <c r="J5489">
        <f>VLOOKUP(D5489,Товары!A:I,4,0)</f>
        <v>5100</v>
      </c>
      <c r="K5489">
        <f t="shared" si="85"/>
        <v>10200</v>
      </c>
    </row>
    <row r="5490" spans="1:11" hidden="1" x14ac:dyDescent="0.25">
      <c r="A5490">
        <v>5489</v>
      </c>
      <c r="B5490" s="1">
        <v>45751</v>
      </c>
      <c r="C5490" t="s">
        <v>54</v>
      </c>
      <c r="D5490" t="s">
        <v>37</v>
      </c>
      <c r="E5490" t="s">
        <v>13</v>
      </c>
      <c r="F5490">
        <v>2</v>
      </c>
      <c r="G5490" t="str">
        <f>VLOOKUP(D5490,Товары!A:I,3,0)</f>
        <v>Зеркальный шкаф Сохо 70 белый со светильником правый цвет Белый глянец</v>
      </c>
      <c r="H5490">
        <f>VLOOKUP(D5490,Товары!A:I,6,0)</f>
        <v>75</v>
      </c>
      <c r="I5490" t="str">
        <f>VLOOKUP(C5490,Магазины!A:C,3,0)</f>
        <v>Ставрополь</v>
      </c>
      <c r="J5490">
        <f>VLOOKUP(D5490,Товары!A:I,4,0)</f>
        <v>7935</v>
      </c>
      <c r="K5490">
        <f t="shared" si="85"/>
        <v>15870</v>
      </c>
    </row>
    <row r="5491" spans="1:11" hidden="1" x14ac:dyDescent="0.25">
      <c r="A5491">
        <v>5490</v>
      </c>
      <c r="B5491" s="1">
        <v>45755</v>
      </c>
      <c r="C5491" t="s">
        <v>33</v>
      </c>
      <c r="D5491" t="s">
        <v>125</v>
      </c>
      <c r="E5491" t="s">
        <v>13</v>
      </c>
      <c r="F5491">
        <v>1</v>
      </c>
      <c r="G5491" t="str">
        <f>VLOOKUP(D5491,Товары!A:I,3,0)</f>
        <v>Зеркальный шкаф Сохо 60 белый со светильником правый цвет Белый глянец</v>
      </c>
      <c r="H5491">
        <f>VLOOKUP(D5491,Товары!A:I,6,0)</f>
        <v>75</v>
      </c>
      <c r="I5491" t="str">
        <f>VLOOKUP(C5491,Магазины!A:C,3,0)</f>
        <v>Набережные Челны</v>
      </c>
      <c r="J5491">
        <f>VLOOKUP(D5491,Товары!A:I,4,0)</f>
        <v>7395</v>
      </c>
      <c r="K5491">
        <f t="shared" si="85"/>
        <v>7395</v>
      </c>
    </row>
    <row r="5492" spans="1:11" hidden="1" x14ac:dyDescent="0.25">
      <c r="A5492">
        <v>5491</v>
      </c>
      <c r="B5492" s="1">
        <v>45750</v>
      </c>
      <c r="C5492" t="s">
        <v>35</v>
      </c>
      <c r="D5492" t="s">
        <v>60</v>
      </c>
      <c r="E5492" t="s">
        <v>13</v>
      </c>
      <c r="F5492">
        <v>3</v>
      </c>
      <c r="G5492" t="str">
        <f>VLOOKUP(D5492,Товары!A:I,3,0)</f>
        <v>Пенал навес. Куба Риф 350 белый 2 двери</v>
      </c>
      <c r="H5492">
        <f>VLOOKUP(D5492,Товары!A:I,6,0)</f>
        <v>150</v>
      </c>
      <c r="I5492" t="str">
        <f>VLOOKUP(C5492,Магазины!A:C,3,0)</f>
        <v>Набережные Челны</v>
      </c>
      <c r="J5492">
        <f>VLOOKUP(D5492,Товары!A:I,4,0)</f>
        <v>9720</v>
      </c>
      <c r="K5492">
        <f t="shared" si="85"/>
        <v>29160</v>
      </c>
    </row>
    <row r="5493" spans="1:11" hidden="1" x14ac:dyDescent="0.25">
      <c r="A5493">
        <v>5492</v>
      </c>
      <c r="B5493" s="1">
        <v>45753</v>
      </c>
      <c r="C5493" t="s">
        <v>28</v>
      </c>
      <c r="D5493" t="s">
        <v>83</v>
      </c>
      <c r="E5493" t="s">
        <v>8</v>
      </c>
      <c r="F5493">
        <v>2</v>
      </c>
      <c r="G5493" t="str">
        <f>VLOOKUP(D5493,Товары!A:I,3,0)</f>
        <v>Зеркальный шкаф Альба 60 со светильником правый цвет суфле</v>
      </c>
      <c r="H5493">
        <f>VLOOKUP(D5493,Товары!A:I,6,0)</f>
        <v>75</v>
      </c>
      <c r="I5493" t="str">
        <f>VLOOKUP(C5493,Магазины!A:C,3,0)</f>
        <v>Набережные Челны</v>
      </c>
      <c r="J5493">
        <f>VLOOKUP(D5493,Товары!A:I,4,0)</f>
        <v>8910</v>
      </c>
      <c r="K5493">
        <f t="shared" si="85"/>
        <v>17820</v>
      </c>
    </row>
    <row r="5494" spans="1:11" hidden="1" x14ac:dyDescent="0.25">
      <c r="A5494">
        <v>5493</v>
      </c>
      <c r="B5494" s="1">
        <v>45748</v>
      </c>
      <c r="C5494" t="s">
        <v>6</v>
      </c>
      <c r="D5494" t="s">
        <v>69</v>
      </c>
      <c r="E5494" t="s">
        <v>13</v>
      </c>
      <c r="F5494">
        <v>2</v>
      </c>
      <c r="G5494" t="str">
        <f>VLOOKUP(D5494,Товары!A:I,3,0)</f>
        <v>Пенал навес./напол. Альба 350 антрацит 2 двери</v>
      </c>
      <c r="H5494">
        <f>VLOOKUP(D5494,Товары!A:I,6,0)</f>
        <v>150</v>
      </c>
      <c r="I5494" t="str">
        <f>VLOOKUP(C5494,Магазины!A:C,3,0)</f>
        <v>Оренбург</v>
      </c>
      <c r="J5494">
        <f>VLOOKUP(D5494,Товары!A:I,4,0)</f>
        <v>11655</v>
      </c>
      <c r="K5494">
        <f t="shared" si="85"/>
        <v>23310</v>
      </c>
    </row>
    <row r="5495" spans="1:11" hidden="1" x14ac:dyDescent="0.25">
      <c r="A5495">
        <v>5494</v>
      </c>
      <c r="B5495" s="1">
        <v>45750</v>
      </c>
      <c r="C5495" t="s">
        <v>22</v>
      </c>
      <c r="D5495" t="s">
        <v>101</v>
      </c>
      <c r="E5495" t="s">
        <v>8</v>
      </c>
      <c r="F5495">
        <v>2</v>
      </c>
      <c r="G5495" t="str">
        <f>VLOOKUP(D5495,Товары!A:I,3,0)</f>
        <v>Пенал напол. Сохо 400 белый 2 двери + 1 ящик</v>
      </c>
      <c r="H5495">
        <f>VLOOKUP(D5495,Товары!A:I,6,0)</f>
        <v>190</v>
      </c>
      <c r="I5495" t="str">
        <f>VLOOKUP(C5495,Магазины!A:C,3,0)</f>
        <v>Кемерово</v>
      </c>
      <c r="J5495">
        <f>VLOOKUP(D5495,Товары!A:I,4,0)</f>
        <v>11040</v>
      </c>
      <c r="K5495">
        <f t="shared" si="85"/>
        <v>22080</v>
      </c>
    </row>
    <row r="5496" spans="1:11" hidden="1" x14ac:dyDescent="0.25">
      <c r="A5496">
        <v>5495</v>
      </c>
      <c r="B5496" s="1">
        <v>45755</v>
      </c>
      <c r="C5496" t="s">
        <v>43</v>
      </c>
      <c r="D5496" t="s">
        <v>118</v>
      </c>
      <c r="E5496" t="s">
        <v>13</v>
      </c>
      <c r="F5496">
        <v>3</v>
      </c>
      <c r="G5496" t="str">
        <f>VLOOKUP(D5496,Товары!A:I,3,0)</f>
        <v>Тумба с раковиной  напол. Сохо 800 белый 2 ящика с умыв. Слим</v>
      </c>
      <c r="H5496">
        <f>VLOOKUP(D5496,Товары!A:I,6,0)</f>
        <v>85</v>
      </c>
      <c r="I5496" t="str">
        <f>VLOOKUP(C5496,Магазины!A:C,3,0)</f>
        <v>Набережные Челны</v>
      </c>
      <c r="J5496">
        <f>VLOOKUP(D5496,Товары!A:I,4,0)</f>
        <v>19575</v>
      </c>
      <c r="K5496">
        <f t="shared" si="85"/>
        <v>58725</v>
      </c>
    </row>
    <row r="5497" spans="1:11" hidden="1" x14ac:dyDescent="0.25">
      <c r="A5497">
        <v>5496</v>
      </c>
      <c r="B5497" s="1">
        <v>45748</v>
      </c>
      <c r="C5497" t="s">
        <v>103</v>
      </c>
      <c r="D5497" t="s">
        <v>73</v>
      </c>
      <c r="E5497" t="s">
        <v>13</v>
      </c>
      <c r="F5497">
        <v>2</v>
      </c>
      <c r="G5497" t="str">
        <f>VLOOKUP(D5497,Товары!A:I,3,0)</f>
        <v>Зеркальный шкаф Альба 70 со светильником правый цвет антрацит</v>
      </c>
      <c r="H5497">
        <f>VLOOKUP(D5497,Товары!A:I,6,0)</f>
        <v>75</v>
      </c>
      <c r="I5497" t="str">
        <f>VLOOKUP(C5497,Магазины!A:C,3,0)</f>
        <v>Ставрополь</v>
      </c>
      <c r="J5497">
        <f>VLOOKUP(D5497,Товары!A:I,4,0)</f>
        <v>9615</v>
      </c>
      <c r="K5497">
        <f t="shared" si="85"/>
        <v>19230</v>
      </c>
    </row>
    <row r="5498" spans="1:11" hidden="1" x14ac:dyDescent="0.25">
      <c r="A5498">
        <v>5497</v>
      </c>
      <c r="B5498" s="1">
        <v>45751</v>
      </c>
      <c r="C5498" t="s">
        <v>43</v>
      </c>
      <c r="D5498" t="s">
        <v>113</v>
      </c>
      <c r="E5498" t="s">
        <v>8</v>
      </c>
      <c r="F5498">
        <v>2</v>
      </c>
      <c r="G5498" t="str">
        <f>VLOOKUP(D5498,Товары!A:I,3,0)</f>
        <v>Зеркальный шкаф Альба 60 со светильником правый цвет мята</v>
      </c>
      <c r="H5498">
        <f>VLOOKUP(D5498,Товары!A:I,6,0)</f>
        <v>75</v>
      </c>
      <c r="I5498" t="str">
        <f>VLOOKUP(C5498,Магазины!A:C,3,0)</f>
        <v>Набережные Челны</v>
      </c>
      <c r="J5498">
        <f>VLOOKUP(D5498,Товары!A:I,4,0)</f>
        <v>8910</v>
      </c>
      <c r="K5498">
        <f t="shared" si="85"/>
        <v>17820</v>
      </c>
    </row>
    <row r="5499" spans="1:11" hidden="1" x14ac:dyDescent="0.25">
      <c r="A5499">
        <v>5498</v>
      </c>
      <c r="B5499" s="1">
        <v>45757</v>
      </c>
      <c r="C5499" t="s">
        <v>35</v>
      </c>
      <c r="D5499" t="s">
        <v>82</v>
      </c>
      <c r="E5499" t="s">
        <v>13</v>
      </c>
      <c r="F5499">
        <v>3</v>
      </c>
      <c r="G5499" t="str">
        <f>VLOOKUP(D5499,Товары!A:I,3,0)</f>
        <v>Тумба с раковиной  навес. Леон 800 форест 2 ящика с умыв. Слим</v>
      </c>
      <c r="H5499">
        <f>VLOOKUP(D5499,Товары!A:I,6,0)</f>
        <v>60</v>
      </c>
      <c r="I5499" t="str">
        <f>VLOOKUP(C5499,Магазины!A:C,3,0)</f>
        <v>Набережные Челны</v>
      </c>
      <c r="J5499">
        <f>VLOOKUP(D5499,Товары!A:I,4,0)</f>
        <v>27930</v>
      </c>
      <c r="K5499">
        <f t="shared" si="85"/>
        <v>83790</v>
      </c>
    </row>
    <row r="5500" spans="1:11" hidden="1" x14ac:dyDescent="0.25">
      <c r="A5500">
        <v>5499</v>
      </c>
      <c r="B5500" s="1">
        <v>45750</v>
      </c>
      <c r="C5500" t="s">
        <v>92</v>
      </c>
      <c r="D5500" t="s">
        <v>130</v>
      </c>
      <c r="E5500" t="s">
        <v>8</v>
      </c>
      <c r="F5500">
        <v>3</v>
      </c>
      <c r="G5500" t="str">
        <f>VLOOKUP(D5500,Товары!A:I,3,0)</f>
        <v>Пенал напол. Леон 400 форест 2 двери + 1 ящик</v>
      </c>
      <c r="H5500">
        <f>VLOOKUP(D5500,Товары!A:I,6,0)</f>
        <v>190</v>
      </c>
      <c r="I5500" t="str">
        <f>VLOOKUP(C5500,Магазины!A:C,3,0)</f>
        <v>Кемерово</v>
      </c>
      <c r="J5500">
        <f>VLOOKUP(D5500,Товары!A:I,4,0)</f>
        <v>18450</v>
      </c>
      <c r="K5500">
        <f t="shared" si="85"/>
        <v>55350</v>
      </c>
    </row>
    <row r="5501" spans="1:11" hidden="1" x14ac:dyDescent="0.25">
      <c r="A5501">
        <v>5500</v>
      </c>
      <c r="B5501" s="1">
        <v>45752</v>
      </c>
      <c r="C5501" t="s">
        <v>16</v>
      </c>
      <c r="D5501" t="s">
        <v>62</v>
      </c>
      <c r="E5501" t="s">
        <v>8</v>
      </c>
      <c r="F5501">
        <v>3</v>
      </c>
      <c r="G5501" t="str">
        <f>VLOOKUP(D5501,Товары!A:I,3,0)</f>
        <v>Тумба с раковиной  напол. Альба 600 мята 2 ящика с умыв. Океан</v>
      </c>
      <c r="H5501">
        <f>VLOOKUP(D5501,Товары!A:I,6,0)</f>
        <v>80</v>
      </c>
      <c r="I5501" t="str">
        <f>VLOOKUP(C5501,Магазины!A:C,3,0)</f>
        <v>Оренбург</v>
      </c>
      <c r="J5501">
        <f>VLOOKUP(D5501,Товары!A:I,4,0)</f>
        <v>26370</v>
      </c>
      <c r="K5501">
        <f t="shared" si="85"/>
        <v>79110</v>
      </c>
    </row>
    <row r="5502" spans="1:11" hidden="1" x14ac:dyDescent="0.25">
      <c r="A5502">
        <v>5501</v>
      </c>
      <c r="B5502" s="1">
        <v>45750</v>
      </c>
      <c r="C5502" t="s">
        <v>16</v>
      </c>
      <c r="D5502" t="s">
        <v>106</v>
      </c>
      <c r="E5502" t="s">
        <v>13</v>
      </c>
      <c r="F5502">
        <v>2</v>
      </c>
      <c r="G5502" t="str">
        <f>VLOOKUP(D5502,Товары!A:I,3,0)</f>
        <v>Тумба с раковиной  навес. Кристалл 700 шато азур 2 ящика с умыв. Слим</v>
      </c>
      <c r="H5502">
        <f>VLOOKUP(D5502,Товары!A:I,6,0)</f>
        <v>60</v>
      </c>
      <c r="I5502" t="str">
        <f>VLOOKUP(C5502,Магазины!A:C,3,0)</f>
        <v>Оренбург</v>
      </c>
      <c r="J5502">
        <f>VLOOKUP(D5502,Товары!A:I,4,0)</f>
        <v>24150</v>
      </c>
      <c r="K5502">
        <f t="shared" si="85"/>
        <v>48300</v>
      </c>
    </row>
    <row r="5503" spans="1:11" hidden="1" x14ac:dyDescent="0.25">
      <c r="A5503">
        <v>5502</v>
      </c>
      <c r="B5503" s="1">
        <v>45748</v>
      </c>
      <c r="C5503" t="s">
        <v>35</v>
      </c>
      <c r="D5503" t="s">
        <v>53</v>
      </c>
      <c r="E5503" t="s">
        <v>13</v>
      </c>
      <c r="F5503">
        <v>2</v>
      </c>
      <c r="G5503" t="str">
        <f>VLOOKUP(D5503,Товары!A:I,3,0)</f>
        <v>Тумба с раковиной  напол. Кристалл 600 шато азур 2 ящика с умыв. Океан</v>
      </c>
      <c r="H5503">
        <f>VLOOKUP(D5503,Товары!A:I,6,0)</f>
        <v>85</v>
      </c>
      <c r="I5503" t="str">
        <f>VLOOKUP(C5503,Магазины!A:C,3,0)</f>
        <v>Набережные Челны</v>
      </c>
      <c r="J5503">
        <f>VLOOKUP(D5503,Товары!A:I,4,0)</f>
        <v>27600</v>
      </c>
      <c r="K5503">
        <f t="shared" si="85"/>
        <v>55200</v>
      </c>
    </row>
    <row r="5504" spans="1:11" hidden="1" x14ac:dyDescent="0.25">
      <c r="A5504">
        <v>5503</v>
      </c>
      <c r="B5504" s="1">
        <v>45749</v>
      </c>
      <c r="C5504" t="s">
        <v>6</v>
      </c>
      <c r="D5504" t="s">
        <v>53</v>
      </c>
      <c r="E5504" t="s">
        <v>8</v>
      </c>
      <c r="F5504">
        <v>3</v>
      </c>
      <c r="G5504" t="str">
        <f>VLOOKUP(D5504,Товары!A:I,3,0)</f>
        <v>Тумба с раковиной  напол. Кристалл 600 шато азур 2 ящика с умыв. Океан</v>
      </c>
      <c r="H5504">
        <f>VLOOKUP(D5504,Товары!A:I,6,0)</f>
        <v>85</v>
      </c>
      <c r="I5504" t="str">
        <f>VLOOKUP(C5504,Магазины!A:C,3,0)</f>
        <v>Оренбург</v>
      </c>
      <c r="J5504">
        <f>VLOOKUP(D5504,Товары!A:I,4,0)</f>
        <v>27600</v>
      </c>
      <c r="K5504">
        <f t="shared" si="85"/>
        <v>82800</v>
      </c>
    </row>
    <row r="5505" spans="1:11" hidden="1" x14ac:dyDescent="0.25">
      <c r="A5505">
        <v>5504</v>
      </c>
      <c r="B5505" s="1">
        <v>45749</v>
      </c>
      <c r="C5505" t="s">
        <v>35</v>
      </c>
      <c r="D5505" t="s">
        <v>60</v>
      </c>
      <c r="E5505" t="s">
        <v>13</v>
      </c>
      <c r="F5505">
        <v>2</v>
      </c>
      <c r="G5505" t="str">
        <f>VLOOKUP(D5505,Товары!A:I,3,0)</f>
        <v>Пенал навес. Куба Риф 350 белый 2 двери</v>
      </c>
      <c r="H5505">
        <f>VLOOKUP(D5505,Товары!A:I,6,0)</f>
        <v>150</v>
      </c>
      <c r="I5505" t="str">
        <f>VLOOKUP(C5505,Магазины!A:C,3,0)</f>
        <v>Набережные Челны</v>
      </c>
      <c r="J5505">
        <f>VLOOKUP(D5505,Товары!A:I,4,0)</f>
        <v>9720</v>
      </c>
      <c r="K5505">
        <f t="shared" si="85"/>
        <v>19440</v>
      </c>
    </row>
    <row r="5506" spans="1:11" hidden="1" x14ac:dyDescent="0.25">
      <c r="A5506">
        <v>5505</v>
      </c>
      <c r="B5506" s="1">
        <v>45755</v>
      </c>
      <c r="C5506" t="s">
        <v>11</v>
      </c>
      <c r="D5506" t="s">
        <v>126</v>
      </c>
      <c r="E5506" t="s">
        <v>8</v>
      </c>
      <c r="F5506">
        <v>2</v>
      </c>
      <c r="G5506" t="str">
        <f>VLOOKUP(D5506,Товары!A:I,3,0)</f>
        <v>Тумба с раковиной  напол. Кристалл 800 шато азур 2 ящика с умыв. Комфорт</v>
      </c>
      <c r="H5506">
        <f>VLOOKUP(D5506,Товары!A:I,6,0)</f>
        <v>85</v>
      </c>
      <c r="I5506" t="str">
        <f>VLOOKUP(C5506,Магазины!A:C,3,0)</f>
        <v>Кемерово</v>
      </c>
      <c r="J5506">
        <f>VLOOKUP(D5506,Товары!A:I,4,0)</f>
        <v>31125</v>
      </c>
      <c r="K5506">
        <f t="shared" si="85"/>
        <v>62250</v>
      </c>
    </row>
    <row r="5507" spans="1:11" hidden="1" x14ac:dyDescent="0.25">
      <c r="A5507">
        <v>5506</v>
      </c>
      <c r="B5507" s="1">
        <v>45753</v>
      </c>
      <c r="C5507" t="s">
        <v>14</v>
      </c>
      <c r="D5507" t="s">
        <v>67</v>
      </c>
      <c r="E5507" t="s">
        <v>13</v>
      </c>
      <c r="F5507">
        <v>2</v>
      </c>
      <c r="G5507" t="str">
        <f>VLOOKUP(D5507,Товары!A:I,3,0)</f>
        <v>Пенал навес./напол. Альба 350 суфле 2 двери</v>
      </c>
      <c r="H5507">
        <f>VLOOKUP(D5507,Товары!A:I,6,0)</f>
        <v>150</v>
      </c>
      <c r="I5507" t="str">
        <f>VLOOKUP(C5507,Магазины!A:C,3,0)</f>
        <v>Оренбург</v>
      </c>
      <c r="J5507">
        <f>VLOOKUP(D5507,Товары!A:I,4,0)</f>
        <v>11655</v>
      </c>
      <c r="K5507">
        <f t="shared" ref="K5507:K5570" si="86">J5507*F5507</f>
        <v>23310</v>
      </c>
    </row>
    <row r="5508" spans="1:11" hidden="1" x14ac:dyDescent="0.25">
      <c r="A5508">
        <v>5507</v>
      </c>
      <c r="B5508" s="1">
        <v>45752</v>
      </c>
      <c r="C5508" t="s">
        <v>92</v>
      </c>
      <c r="D5508" t="s">
        <v>27</v>
      </c>
      <c r="E5508" t="s">
        <v>8</v>
      </c>
      <c r="F5508">
        <v>1</v>
      </c>
      <c r="G5508" t="str">
        <f>VLOOKUP(D5508,Товары!A:I,3,0)</f>
        <v>Тумба с раковиной  навес. Виктория 800 белый 2 ящика с умыв. Слим</v>
      </c>
      <c r="H5508">
        <f>VLOOKUP(D5508,Товары!A:I,6,0)</f>
        <v>60</v>
      </c>
      <c r="I5508" t="str">
        <f>VLOOKUP(C5508,Магазины!A:C,3,0)</f>
        <v>Кемерово</v>
      </c>
      <c r="J5508">
        <f>VLOOKUP(D5508,Товары!A:I,4,0)</f>
        <v>25290</v>
      </c>
      <c r="K5508">
        <f t="shared" si="86"/>
        <v>25290</v>
      </c>
    </row>
    <row r="5509" spans="1:11" hidden="1" x14ac:dyDescent="0.25">
      <c r="A5509">
        <v>5508</v>
      </c>
      <c r="B5509" s="1">
        <v>45748</v>
      </c>
      <c r="C5509" t="s">
        <v>6</v>
      </c>
      <c r="D5509" t="s">
        <v>109</v>
      </c>
      <c r="E5509" t="s">
        <v>13</v>
      </c>
      <c r="F5509">
        <v>3</v>
      </c>
      <c r="G5509" t="str">
        <f>VLOOKUP(D5509,Товары!A:I,3,0)</f>
        <v>Тумба с раковиной  навес. Альба 600 антрацит 2 ящика с умыв. Океан</v>
      </c>
      <c r="H5509">
        <f>VLOOKUP(D5509,Товары!A:I,6,0)</f>
        <v>50</v>
      </c>
      <c r="I5509" t="str">
        <f>VLOOKUP(C5509,Магазины!A:C,3,0)</f>
        <v>Оренбург</v>
      </c>
      <c r="J5509">
        <f>VLOOKUP(D5509,Товары!A:I,4,0)</f>
        <v>24810</v>
      </c>
      <c r="K5509">
        <f t="shared" si="86"/>
        <v>74430</v>
      </c>
    </row>
    <row r="5510" spans="1:11" hidden="1" x14ac:dyDescent="0.25">
      <c r="A5510">
        <v>5509</v>
      </c>
      <c r="B5510" s="1">
        <v>45755</v>
      </c>
      <c r="C5510" t="s">
        <v>30</v>
      </c>
      <c r="D5510" t="s">
        <v>83</v>
      </c>
      <c r="E5510" t="s">
        <v>8</v>
      </c>
      <c r="F5510">
        <v>3</v>
      </c>
      <c r="G5510" t="str">
        <f>VLOOKUP(D5510,Товары!A:I,3,0)</f>
        <v>Зеркальный шкаф Альба 60 со светильником правый цвет суфле</v>
      </c>
      <c r="H5510">
        <f>VLOOKUP(D5510,Товары!A:I,6,0)</f>
        <v>75</v>
      </c>
      <c r="I5510" t="str">
        <f>VLOOKUP(C5510,Магазины!A:C,3,0)</f>
        <v>Кемерово</v>
      </c>
      <c r="J5510">
        <f>VLOOKUP(D5510,Товары!A:I,4,0)</f>
        <v>8910</v>
      </c>
      <c r="K5510">
        <f t="shared" si="86"/>
        <v>26730</v>
      </c>
    </row>
    <row r="5511" spans="1:11" hidden="1" x14ac:dyDescent="0.25">
      <c r="A5511">
        <v>5510</v>
      </c>
      <c r="B5511" s="1">
        <v>45754</v>
      </c>
      <c r="C5511" t="s">
        <v>28</v>
      </c>
      <c r="D5511" t="s">
        <v>120</v>
      </c>
      <c r="E5511" t="s">
        <v>13</v>
      </c>
      <c r="F5511">
        <v>3</v>
      </c>
      <c r="G5511" t="str">
        <f>VLOOKUP(D5511,Товары!A:I,3,0)</f>
        <v>Зеркальный шкаф Альба 60 со светильником правый цвет антрацит</v>
      </c>
      <c r="H5511">
        <f>VLOOKUP(D5511,Товары!A:I,6,0)</f>
        <v>75</v>
      </c>
      <c r="I5511" t="str">
        <f>VLOOKUP(C5511,Магазины!A:C,3,0)</f>
        <v>Набережные Челны</v>
      </c>
      <c r="J5511">
        <f>VLOOKUP(D5511,Товары!A:I,4,0)</f>
        <v>8910</v>
      </c>
      <c r="K5511">
        <f t="shared" si="86"/>
        <v>26730</v>
      </c>
    </row>
    <row r="5512" spans="1:11" hidden="1" x14ac:dyDescent="0.25">
      <c r="A5512">
        <v>5511</v>
      </c>
      <c r="B5512" s="1">
        <v>45754</v>
      </c>
      <c r="C5512" t="s">
        <v>111</v>
      </c>
      <c r="D5512" t="s">
        <v>21</v>
      </c>
      <c r="E5512" t="s">
        <v>8</v>
      </c>
      <c r="F5512">
        <v>1</v>
      </c>
      <c r="G5512" t="str">
        <f>VLOOKUP(D5512,Товары!A:I,3,0)</f>
        <v>Зеркальный шкаф Рица 60 со светильником правый цвет cерый/керамика</v>
      </c>
      <c r="H5512">
        <f>VLOOKUP(D5512,Товары!A:I,6,0)</f>
        <v>75</v>
      </c>
      <c r="I5512" t="str">
        <f>VLOOKUP(C5512,Магазины!A:C,3,0)</f>
        <v>Набережные Челны</v>
      </c>
      <c r="J5512">
        <f>VLOOKUP(D5512,Товары!A:I,4,0)</f>
        <v>8910</v>
      </c>
      <c r="K5512">
        <f t="shared" si="86"/>
        <v>8910</v>
      </c>
    </row>
    <row r="5513" spans="1:11" hidden="1" x14ac:dyDescent="0.25">
      <c r="A5513">
        <v>5512</v>
      </c>
      <c r="B5513" s="1">
        <v>45749</v>
      </c>
      <c r="C5513" t="s">
        <v>33</v>
      </c>
      <c r="D5513" t="s">
        <v>23</v>
      </c>
      <c r="E5513" t="s">
        <v>8</v>
      </c>
      <c r="F5513">
        <v>3</v>
      </c>
      <c r="G5513" t="str">
        <f>VLOOKUP(D5513,Товары!A:I,3,0)</f>
        <v>Тумба с раковиной  напол. Альба 800 антрацит 2 ящика с умыв. Слим</v>
      </c>
      <c r="H5513">
        <f>VLOOKUP(D5513,Товары!A:I,6,0)</f>
        <v>80</v>
      </c>
      <c r="I5513" t="str">
        <f>VLOOKUP(C5513,Магазины!A:C,3,0)</f>
        <v>Набережные Челны</v>
      </c>
      <c r="J5513">
        <f>VLOOKUP(D5513,Товары!A:I,4,0)</f>
        <v>29340</v>
      </c>
      <c r="K5513">
        <f t="shared" si="86"/>
        <v>88020</v>
      </c>
    </row>
    <row r="5514" spans="1:11" hidden="1" x14ac:dyDescent="0.25">
      <c r="A5514">
        <v>5513</v>
      </c>
      <c r="B5514" s="1">
        <v>45755</v>
      </c>
      <c r="C5514" t="s">
        <v>30</v>
      </c>
      <c r="D5514" t="s">
        <v>108</v>
      </c>
      <c r="E5514" t="s">
        <v>13</v>
      </c>
      <c r="F5514">
        <v>2</v>
      </c>
      <c r="G5514" t="str">
        <f>VLOOKUP(D5514,Товары!A:I,3,0)</f>
        <v>Тумба с раковиной  навес. Виктория 1000 белый 2 ящика с умыв. Слим</v>
      </c>
      <c r="H5514">
        <f>VLOOKUP(D5514,Товары!A:I,6,0)</f>
        <v>60</v>
      </c>
      <c r="I5514" t="str">
        <f>VLOOKUP(C5514,Магазины!A:C,3,0)</f>
        <v>Кемерово</v>
      </c>
      <c r="J5514">
        <f>VLOOKUP(D5514,Товары!A:I,4,0)</f>
        <v>29205</v>
      </c>
      <c r="K5514">
        <f t="shared" si="86"/>
        <v>58410</v>
      </c>
    </row>
    <row r="5515" spans="1:11" hidden="1" x14ac:dyDescent="0.25">
      <c r="A5515">
        <v>5514</v>
      </c>
      <c r="B5515" s="1">
        <v>45755</v>
      </c>
      <c r="C5515" t="s">
        <v>43</v>
      </c>
      <c r="D5515" t="s">
        <v>42</v>
      </c>
      <c r="E5515" t="s">
        <v>13</v>
      </c>
      <c r="F5515">
        <v>2</v>
      </c>
      <c r="G5515" t="str">
        <f>VLOOKUP(D5515,Товары!A:I,3,0)</f>
        <v>Тумба под стиральную машину Леон Риф 57 подвесная 2 ящика под ст/маш, без умывальника /под Marshall 120 Солярис/Белый Риф</v>
      </c>
      <c r="H5515">
        <f>VLOOKUP(D5515,Товары!A:I,6,0)</f>
        <v>60</v>
      </c>
      <c r="I5515" t="str">
        <f>VLOOKUP(C5515,Магазины!A:C,3,0)</f>
        <v>Набережные Челны</v>
      </c>
      <c r="J5515">
        <f>VLOOKUP(D5515,Товары!A:I,4,0)</f>
        <v>15495</v>
      </c>
      <c r="K5515">
        <f t="shared" si="86"/>
        <v>30990</v>
      </c>
    </row>
    <row r="5516" spans="1:11" hidden="1" x14ac:dyDescent="0.25">
      <c r="A5516">
        <v>5515</v>
      </c>
      <c r="B5516" s="1">
        <v>45755</v>
      </c>
      <c r="C5516" t="s">
        <v>41</v>
      </c>
      <c r="D5516" t="s">
        <v>24</v>
      </c>
      <c r="E5516" t="s">
        <v>13</v>
      </c>
      <c r="F5516">
        <v>2</v>
      </c>
      <c r="G5516" t="str">
        <f>VLOOKUP(D5516,Товары!A:I,3,0)</f>
        <v>Тумба с раковиной  напол. Леон 600 форест 2 ящика с умыв. Слим</v>
      </c>
      <c r="H5516">
        <f>VLOOKUP(D5516,Товары!A:I,6,0)</f>
        <v>80</v>
      </c>
      <c r="I5516" t="str">
        <f>VLOOKUP(C5516,Магазины!A:C,3,0)</f>
        <v>Ставрополь</v>
      </c>
      <c r="J5516">
        <f>VLOOKUP(D5516,Товары!A:I,4,0)</f>
        <v>27150</v>
      </c>
      <c r="K5516">
        <f t="shared" si="86"/>
        <v>54300</v>
      </c>
    </row>
    <row r="5517" spans="1:11" hidden="1" x14ac:dyDescent="0.25">
      <c r="A5517">
        <v>5516</v>
      </c>
      <c r="B5517" s="1">
        <v>45751</v>
      </c>
      <c r="C5517" t="s">
        <v>18</v>
      </c>
      <c r="D5517" t="s">
        <v>53</v>
      </c>
      <c r="E5517" t="s">
        <v>8</v>
      </c>
      <c r="F5517">
        <v>3</v>
      </c>
      <c r="G5517" t="str">
        <f>VLOOKUP(D5517,Товары!A:I,3,0)</f>
        <v>Тумба с раковиной  напол. Кристалл 600 шато азур 2 ящика с умыв. Океан</v>
      </c>
      <c r="H5517">
        <f>VLOOKUP(D5517,Товары!A:I,6,0)</f>
        <v>85</v>
      </c>
      <c r="I5517" t="str">
        <f>VLOOKUP(C5517,Магазины!A:C,3,0)</f>
        <v>Набережные Челны</v>
      </c>
      <c r="J5517">
        <f>VLOOKUP(D5517,Товары!A:I,4,0)</f>
        <v>27600</v>
      </c>
      <c r="K5517">
        <f t="shared" si="86"/>
        <v>82800</v>
      </c>
    </row>
    <row r="5518" spans="1:11" hidden="1" x14ac:dyDescent="0.25">
      <c r="A5518">
        <v>5517</v>
      </c>
      <c r="B5518" s="1">
        <v>45753</v>
      </c>
      <c r="C5518" t="s">
        <v>54</v>
      </c>
      <c r="D5518" t="s">
        <v>31</v>
      </c>
      <c r="E5518" t="s">
        <v>13</v>
      </c>
      <c r="F5518">
        <v>3</v>
      </c>
      <c r="G5518" t="str">
        <f>VLOOKUP(D5518,Товары!A:I,3,0)</f>
        <v>Пенал напол. Виктория 350 белый 2 двери</v>
      </c>
      <c r="H5518">
        <f>VLOOKUP(D5518,Товары!A:I,6,0)</f>
        <v>190</v>
      </c>
      <c r="I5518" t="str">
        <f>VLOOKUP(C5518,Магазины!A:C,3,0)</f>
        <v>Ставрополь</v>
      </c>
      <c r="J5518">
        <f>VLOOKUP(D5518,Товары!A:I,4,0)</f>
        <v>14085</v>
      </c>
      <c r="K5518">
        <f t="shared" si="86"/>
        <v>42255</v>
      </c>
    </row>
    <row r="5519" spans="1:11" hidden="1" x14ac:dyDescent="0.25">
      <c r="A5519">
        <v>5518</v>
      </c>
      <c r="B5519" s="1">
        <v>45755</v>
      </c>
      <c r="C5519" t="s">
        <v>20</v>
      </c>
      <c r="D5519" t="s">
        <v>67</v>
      </c>
      <c r="E5519" t="s">
        <v>8</v>
      </c>
      <c r="F5519">
        <v>2</v>
      </c>
      <c r="G5519" t="str">
        <f>VLOOKUP(D5519,Товары!A:I,3,0)</f>
        <v>Пенал навес./напол. Альба 350 суфле 2 двери</v>
      </c>
      <c r="H5519">
        <f>VLOOKUP(D5519,Товары!A:I,6,0)</f>
        <v>150</v>
      </c>
      <c r="I5519" t="str">
        <f>VLOOKUP(C5519,Магазины!A:C,3,0)</f>
        <v>Оренбург</v>
      </c>
      <c r="J5519">
        <f>VLOOKUP(D5519,Товары!A:I,4,0)</f>
        <v>11655</v>
      </c>
      <c r="K5519">
        <f t="shared" si="86"/>
        <v>23310</v>
      </c>
    </row>
    <row r="5520" spans="1:11" hidden="1" x14ac:dyDescent="0.25">
      <c r="A5520">
        <v>5519</v>
      </c>
      <c r="B5520" s="1">
        <v>45755</v>
      </c>
      <c r="C5520" t="s">
        <v>41</v>
      </c>
      <c r="D5520" t="s">
        <v>91</v>
      </c>
      <c r="E5520" t="s">
        <v>8</v>
      </c>
      <c r="F5520">
        <v>2</v>
      </c>
      <c r="G5520" t="str">
        <f>VLOOKUP(D5520,Товары!A:I,3,0)</f>
        <v>Пенал навес./напол. Альба 350 мята 2 двери</v>
      </c>
      <c r="H5520">
        <f>VLOOKUP(D5520,Товары!A:I,6,0)</f>
        <v>150</v>
      </c>
      <c r="I5520" t="str">
        <f>VLOOKUP(C5520,Магазины!A:C,3,0)</f>
        <v>Ставрополь</v>
      </c>
      <c r="J5520">
        <f>VLOOKUP(D5520,Товары!A:I,4,0)</f>
        <v>11655</v>
      </c>
      <c r="K5520">
        <f t="shared" si="86"/>
        <v>23310</v>
      </c>
    </row>
    <row r="5521" spans="1:11" hidden="1" x14ac:dyDescent="0.25">
      <c r="A5521">
        <v>5520</v>
      </c>
      <c r="B5521" s="1">
        <v>45751</v>
      </c>
      <c r="C5521" t="s">
        <v>33</v>
      </c>
      <c r="D5521" t="s">
        <v>42</v>
      </c>
      <c r="E5521" t="s">
        <v>8</v>
      </c>
      <c r="F5521">
        <v>3</v>
      </c>
      <c r="G5521" t="str">
        <f>VLOOKUP(D5521,Товары!A:I,3,0)</f>
        <v>Тумба под стиральную машину Леон Риф 57 подвесная 2 ящика под ст/маш, без умывальника /под Marshall 120 Солярис/Белый Риф</v>
      </c>
      <c r="H5521">
        <f>VLOOKUP(D5521,Товары!A:I,6,0)</f>
        <v>60</v>
      </c>
      <c r="I5521" t="str">
        <f>VLOOKUP(C5521,Магазины!A:C,3,0)</f>
        <v>Набережные Челны</v>
      </c>
      <c r="J5521">
        <f>VLOOKUP(D5521,Товары!A:I,4,0)</f>
        <v>15495</v>
      </c>
      <c r="K5521">
        <f t="shared" si="86"/>
        <v>46485</v>
      </c>
    </row>
    <row r="5522" spans="1:11" hidden="1" x14ac:dyDescent="0.25">
      <c r="A5522">
        <v>5521</v>
      </c>
      <c r="B5522" s="1">
        <v>45757</v>
      </c>
      <c r="C5522" t="s">
        <v>48</v>
      </c>
      <c r="D5522" t="s">
        <v>125</v>
      </c>
      <c r="E5522" t="s">
        <v>8</v>
      </c>
      <c r="F5522">
        <v>2</v>
      </c>
      <c r="G5522" t="str">
        <f>VLOOKUP(D5522,Товары!A:I,3,0)</f>
        <v>Зеркальный шкаф Сохо 60 белый со светильником правый цвет Белый глянец</v>
      </c>
      <c r="H5522">
        <f>VLOOKUP(D5522,Товары!A:I,6,0)</f>
        <v>75</v>
      </c>
      <c r="I5522" t="str">
        <f>VLOOKUP(C5522,Магазины!A:C,3,0)</f>
        <v>Ставрополь</v>
      </c>
      <c r="J5522">
        <f>VLOOKUP(D5522,Товары!A:I,4,0)</f>
        <v>7395</v>
      </c>
      <c r="K5522">
        <f t="shared" si="86"/>
        <v>14790</v>
      </c>
    </row>
    <row r="5523" spans="1:11" hidden="1" x14ac:dyDescent="0.25">
      <c r="A5523">
        <v>5522</v>
      </c>
      <c r="B5523" s="1">
        <v>45757</v>
      </c>
      <c r="C5523" t="s">
        <v>35</v>
      </c>
      <c r="D5523" t="s">
        <v>40</v>
      </c>
      <c r="E5523" t="s">
        <v>8</v>
      </c>
      <c r="F5523">
        <v>3</v>
      </c>
      <c r="G5523" t="str">
        <f>VLOOKUP(D5523,Товары!A:I,3,0)</f>
        <v>Тумба с раковиной  навес. Рица 800 cерый/керамика 1 ящик + ниша 1 с умыв. Слим</v>
      </c>
      <c r="H5523">
        <f>VLOOKUP(D5523,Товары!A:I,6,0)</f>
        <v>60</v>
      </c>
      <c r="I5523" t="str">
        <f>VLOOKUP(C5523,Магазины!A:C,3,0)</f>
        <v>Набережные Челны</v>
      </c>
      <c r="J5523">
        <f>VLOOKUP(D5523,Товары!A:I,4,0)</f>
        <v>22425</v>
      </c>
      <c r="K5523">
        <f t="shared" si="86"/>
        <v>67275</v>
      </c>
    </row>
    <row r="5524" spans="1:11" hidden="1" x14ac:dyDescent="0.25">
      <c r="A5524">
        <v>5523</v>
      </c>
      <c r="B5524" s="1">
        <v>45757</v>
      </c>
      <c r="C5524" t="s">
        <v>43</v>
      </c>
      <c r="D5524" t="s">
        <v>34</v>
      </c>
      <c r="E5524" t="s">
        <v>8</v>
      </c>
      <c r="F5524">
        <v>2</v>
      </c>
      <c r="G5524" t="str">
        <f>VLOOKUP(D5524,Товары!A:I,3,0)</f>
        <v>Тумба с раковиной  навес. Леон 700 форест 2 ящика с умыв. Слим</v>
      </c>
      <c r="H5524">
        <f>VLOOKUP(D5524,Товары!A:I,6,0)</f>
        <v>60</v>
      </c>
      <c r="I5524" t="str">
        <f>VLOOKUP(C5524,Магазины!A:C,3,0)</f>
        <v>Набережные Челны</v>
      </c>
      <c r="J5524">
        <f>VLOOKUP(D5524,Товары!A:I,4,0)</f>
        <v>26220</v>
      </c>
      <c r="K5524">
        <f t="shared" si="86"/>
        <v>52440</v>
      </c>
    </row>
    <row r="5525" spans="1:11" hidden="1" x14ac:dyDescent="0.25">
      <c r="A5525">
        <v>5524</v>
      </c>
      <c r="B5525" s="1">
        <v>45749</v>
      </c>
      <c r="C5525" t="s">
        <v>48</v>
      </c>
      <c r="D5525" t="s">
        <v>72</v>
      </c>
      <c r="E5525" t="s">
        <v>8</v>
      </c>
      <c r="F5525">
        <v>3</v>
      </c>
      <c r="G5525" t="str">
        <f>VLOOKUP(D5525,Товары!A:I,3,0)</f>
        <v>Тумба с раковиной  напол. Сохо 600 белый 2 ящика с умыв. Океан</v>
      </c>
      <c r="H5525">
        <f>VLOOKUP(D5525,Товары!A:I,6,0)</f>
        <v>85</v>
      </c>
      <c r="I5525" t="str">
        <f>VLOOKUP(C5525,Магазины!A:C,3,0)</f>
        <v>Ставрополь</v>
      </c>
      <c r="J5525">
        <f>VLOOKUP(D5525,Товары!A:I,4,0)</f>
        <v>16140</v>
      </c>
      <c r="K5525">
        <f t="shared" si="86"/>
        <v>48420</v>
      </c>
    </row>
    <row r="5526" spans="1:11" hidden="1" x14ac:dyDescent="0.25">
      <c r="A5526">
        <v>5525</v>
      </c>
      <c r="B5526" s="1">
        <v>45751</v>
      </c>
      <c r="C5526" t="s">
        <v>11</v>
      </c>
      <c r="D5526" t="s">
        <v>100</v>
      </c>
      <c r="E5526" t="s">
        <v>13</v>
      </c>
      <c r="F5526">
        <v>1</v>
      </c>
      <c r="G5526" t="str">
        <f>VLOOKUP(D5526,Товары!A:I,3,0)</f>
        <v>Тумба с раковиной  навес. Альба 800 мята 1 ящик с умыв. Слим</v>
      </c>
      <c r="H5526">
        <f>VLOOKUP(D5526,Товары!A:I,6,0)</f>
        <v>45</v>
      </c>
      <c r="I5526" t="str">
        <f>VLOOKUP(C5526,Магазины!A:C,3,0)</f>
        <v>Кемерово</v>
      </c>
      <c r="J5526">
        <f>VLOOKUP(D5526,Товары!A:I,4,0)</f>
        <v>21630</v>
      </c>
      <c r="K5526">
        <f t="shared" si="86"/>
        <v>21630</v>
      </c>
    </row>
    <row r="5527" spans="1:11" hidden="1" x14ac:dyDescent="0.25">
      <c r="A5527">
        <v>5526</v>
      </c>
      <c r="B5527" s="1">
        <v>45752</v>
      </c>
      <c r="C5527" t="s">
        <v>16</v>
      </c>
      <c r="D5527" t="s">
        <v>124</v>
      </c>
      <c r="E5527" t="s">
        <v>13</v>
      </c>
      <c r="F5527">
        <v>2</v>
      </c>
      <c r="G5527" t="str">
        <f>VLOOKUP(D5527,Товары!A:I,3,0)</f>
        <v>Тумба с раковиной  напол. Леон 600 оникс 2 ящика с умыв. Океан</v>
      </c>
      <c r="H5527">
        <f>VLOOKUP(D5527,Товары!A:I,6,0)</f>
        <v>80</v>
      </c>
      <c r="I5527" t="str">
        <f>VLOOKUP(C5527,Магазины!A:C,3,0)</f>
        <v>Оренбург</v>
      </c>
      <c r="J5527">
        <f>VLOOKUP(D5527,Товары!A:I,4,0)</f>
        <v>25860</v>
      </c>
      <c r="K5527">
        <f t="shared" si="86"/>
        <v>51720</v>
      </c>
    </row>
    <row r="5528" spans="1:11" hidden="1" x14ac:dyDescent="0.25">
      <c r="A5528">
        <v>5527</v>
      </c>
      <c r="B5528" s="1">
        <v>45749</v>
      </c>
      <c r="C5528" t="s">
        <v>11</v>
      </c>
      <c r="D5528" t="s">
        <v>100</v>
      </c>
      <c r="E5528" t="s">
        <v>8</v>
      </c>
      <c r="F5528">
        <v>1</v>
      </c>
      <c r="G5528" t="str">
        <f>VLOOKUP(D5528,Товары!A:I,3,0)</f>
        <v>Тумба с раковиной  навес. Альба 800 мята 1 ящик с умыв. Слим</v>
      </c>
      <c r="H5528">
        <f>VLOOKUP(D5528,Товары!A:I,6,0)</f>
        <v>45</v>
      </c>
      <c r="I5528" t="str">
        <f>VLOOKUP(C5528,Магазины!A:C,3,0)</f>
        <v>Кемерово</v>
      </c>
      <c r="J5528">
        <f>VLOOKUP(D5528,Товары!A:I,4,0)</f>
        <v>21630</v>
      </c>
      <c r="K5528">
        <f t="shared" si="86"/>
        <v>21630</v>
      </c>
    </row>
    <row r="5529" spans="1:11" hidden="1" x14ac:dyDescent="0.25">
      <c r="A5529">
        <v>5528</v>
      </c>
      <c r="B5529" s="1">
        <v>45751</v>
      </c>
      <c r="C5529" t="s">
        <v>28</v>
      </c>
      <c r="D5529" t="s">
        <v>128</v>
      </c>
      <c r="E5529" t="s">
        <v>13</v>
      </c>
      <c r="F5529">
        <v>1</v>
      </c>
      <c r="G5529" t="str">
        <f>VLOOKUP(D5529,Товары!A:I,3,0)</f>
        <v>Тумба с раковиной  напол. Куба Риф 1000 белый 2 ящика с умыв. Слим</v>
      </c>
      <c r="H5529">
        <f>VLOOKUP(D5529,Товары!A:I,6,0)</f>
        <v>85</v>
      </c>
      <c r="I5529" t="str">
        <f>VLOOKUP(C5529,Магазины!A:C,3,0)</f>
        <v>Набережные Челны</v>
      </c>
      <c r="J5529">
        <f>VLOOKUP(D5529,Товары!A:I,4,0)</f>
        <v>22905</v>
      </c>
      <c r="K5529">
        <f t="shared" si="86"/>
        <v>22905</v>
      </c>
    </row>
    <row r="5530" spans="1:11" hidden="1" x14ac:dyDescent="0.25">
      <c r="A5530">
        <v>5529</v>
      </c>
      <c r="B5530" s="1">
        <v>45749</v>
      </c>
      <c r="C5530" t="s">
        <v>11</v>
      </c>
      <c r="D5530" t="s">
        <v>100</v>
      </c>
      <c r="E5530" t="s">
        <v>8</v>
      </c>
      <c r="F5530">
        <v>1</v>
      </c>
      <c r="G5530" t="str">
        <f>VLOOKUP(D5530,Товары!A:I,3,0)</f>
        <v>Тумба с раковиной  навес. Альба 800 мята 1 ящик с умыв. Слим</v>
      </c>
      <c r="H5530">
        <f>VLOOKUP(D5530,Товары!A:I,6,0)</f>
        <v>45</v>
      </c>
      <c r="I5530" t="str">
        <f>VLOOKUP(C5530,Магазины!A:C,3,0)</f>
        <v>Кемерово</v>
      </c>
      <c r="J5530">
        <f>VLOOKUP(D5530,Товары!A:I,4,0)</f>
        <v>21630</v>
      </c>
      <c r="K5530">
        <f t="shared" si="86"/>
        <v>21630</v>
      </c>
    </row>
    <row r="5531" spans="1:11" hidden="1" x14ac:dyDescent="0.25">
      <c r="A5531">
        <v>5530</v>
      </c>
      <c r="B5531" s="1">
        <v>45752</v>
      </c>
      <c r="C5531" t="s">
        <v>22</v>
      </c>
      <c r="D5531" t="s">
        <v>110</v>
      </c>
      <c r="E5531" t="s">
        <v>8</v>
      </c>
      <c r="F5531">
        <v>2</v>
      </c>
      <c r="G5531" t="str">
        <f>VLOOKUP(D5531,Товары!A:I,3,0)</f>
        <v>Тумба с раковиной  напол. Альба 600 антрацит 2 ящика с умыв. Океан</v>
      </c>
      <c r="H5531">
        <f>VLOOKUP(D5531,Товары!A:I,6,0)</f>
        <v>80</v>
      </c>
      <c r="I5531" t="str">
        <f>VLOOKUP(C5531,Магазины!A:C,3,0)</f>
        <v>Кемерово</v>
      </c>
      <c r="J5531">
        <f>VLOOKUP(D5531,Товары!A:I,4,0)</f>
        <v>26370</v>
      </c>
      <c r="K5531">
        <f t="shared" si="86"/>
        <v>52740</v>
      </c>
    </row>
    <row r="5532" spans="1:11" hidden="1" x14ac:dyDescent="0.25">
      <c r="A5532">
        <v>5531</v>
      </c>
      <c r="B5532" s="1">
        <v>45751</v>
      </c>
      <c r="C5532" t="s">
        <v>54</v>
      </c>
      <c r="D5532" t="s">
        <v>79</v>
      </c>
      <c r="E5532" t="s">
        <v>13</v>
      </c>
      <c r="F5532">
        <v>2</v>
      </c>
      <c r="G5532" t="str">
        <f>VLOOKUP(D5532,Товары!A:I,3,0)</f>
        <v>Зеркальный шкаф Альба 70 со светильником правый цвет мята</v>
      </c>
      <c r="H5532">
        <f>VLOOKUP(D5532,Товары!A:I,6,0)</f>
        <v>75</v>
      </c>
      <c r="I5532" t="str">
        <f>VLOOKUP(C5532,Магазины!A:C,3,0)</f>
        <v>Ставрополь</v>
      </c>
      <c r="J5532">
        <f>VLOOKUP(D5532,Товары!A:I,4,0)</f>
        <v>9615</v>
      </c>
      <c r="K5532">
        <f t="shared" si="86"/>
        <v>19230</v>
      </c>
    </row>
    <row r="5533" spans="1:11" hidden="1" x14ac:dyDescent="0.25">
      <c r="A5533">
        <v>5532</v>
      </c>
      <c r="B5533" s="1">
        <v>45756</v>
      </c>
      <c r="C5533" t="s">
        <v>63</v>
      </c>
      <c r="D5533" t="s">
        <v>59</v>
      </c>
      <c r="E5533" t="s">
        <v>13</v>
      </c>
      <c r="F5533">
        <v>2</v>
      </c>
      <c r="G5533" t="str">
        <f>VLOOKUP(D5533,Товары!A:I,3,0)</f>
        <v>Тумба с раковиной  навес. Куба Риф 600 белый 2 ящика с умыв. Океан</v>
      </c>
      <c r="H5533">
        <f>VLOOKUP(D5533,Товары!A:I,6,0)</f>
        <v>55</v>
      </c>
      <c r="I5533" t="str">
        <f>VLOOKUP(C5533,Магазины!A:C,3,0)</f>
        <v>Ставрополь</v>
      </c>
      <c r="J5533">
        <f>VLOOKUP(D5533,Товары!A:I,4,0)</f>
        <v>15765</v>
      </c>
      <c r="K5533">
        <f t="shared" si="86"/>
        <v>31530</v>
      </c>
    </row>
    <row r="5534" spans="1:11" hidden="1" x14ac:dyDescent="0.25">
      <c r="A5534">
        <v>5533</v>
      </c>
      <c r="B5534" s="1">
        <v>45752</v>
      </c>
      <c r="C5534" t="s">
        <v>14</v>
      </c>
      <c r="D5534" t="s">
        <v>113</v>
      </c>
      <c r="E5534" t="s">
        <v>13</v>
      </c>
      <c r="F5534">
        <v>3</v>
      </c>
      <c r="G5534" t="str">
        <f>VLOOKUP(D5534,Товары!A:I,3,0)</f>
        <v>Зеркальный шкаф Альба 60 со светильником правый цвет мята</v>
      </c>
      <c r="H5534">
        <f>VLOOKUP(D5534,Товары!A:I,6,0)</f>
        <v>75</v>
      </c>
      <c r="I5534" t="str">
        <f>VLOOKUP(C5534,Магазины!A:C,3,0)</f>
        <v>Оренбург</v>
      </c>
      <c r="J5534">
        <f>VLOOKUP(D5534,Товары!A:I,4,0)</f>
        <v>8910</v>
      </c>
      <c r="K5534">
        <f t="shared" si="86"/>
        <v>26730</v>
      </c>
    </row>
    <row r="5535" spans="1:11" hidden="1" x14ac:dyDescent="0.25">
      <c r="A5535">
        <v>5534</v>
      </c>
      <c r="B5535" s="1">
        <v>45757</v>
      </c>
      <c r="C5535" t="s">
        <v>33</v>
      </c>
      <c r="D5535" t="s">
        <v>98</v>
      </c>
      <c r="E5535" t="s">
        <v>8</v>
      </c>
      <c r="F5535">
        <v>2</v>
      </c>
      <c r="G5535" t="str">
        <f>VLOOKUP(D5535,Товары!A:I,3,0)</f>
        <v>Тумба с раковиной  напол. Рица 800 cерый/керамика 2 ящика с умыв. Слим</v>
      </c>
      <c r="H5535">
        <f>VLOOKUP(D5535,Товары!A:I,6,0)</f>
        <v>80</v>
      </c>
      <c r="I5535" t="str">
        <f>VLOOKUP(C5535,Магазины!A:C,3,0)</f>
        <v>Набережные Челны</v>
      </c>
      <c r="J5535">
        <f>VLOOKUP(D5535,Товары!A:I,4,0)</f>
        <v>28980</v>
      </c>
      <c r="K5535">
        <f t="shared" si="86"/>
        <v>57960</v>
      </c>
    </row>
    <row r="5536" spans="1:11" hidden="1" x14ac:dyDescent="0.25">
      <c r="A5536">
        <v>5535</v>
      </c>
      <c r="B5536" s="1">
        <v>45756</v>
      </c>
      <c r="C5536" t="s">
        <v>22</v>
      </c>
      <c r="D5536" t="s">
        <v>21</v>
      </c>
      <c r="E5536" t="s">
        <v>8</v>
      </c>
      <c r="F5536">
        <v>3</v>
      </c>
      <c r="G5536" t="str">
        <f>VLOOKUP(D5536,Товары!A:I,3,0)</f>
        <v>Зеркальный шкаф Рица 60 со светильником правый цвет cерый/керамика</v>
      </c>
      <c r="H5536">
        <f>VLOOKUP(D5536,Товары!A:I,6,0)</f>
        <v>75</v>
      </c>
      <c r="I5536" t="str">
        <f>VLOOKUP(C5536,Магазины!A:C,3,0)</f>
        <v>Кемерово</v>
      </c>
      <c r="J5536">
        <f>VLOOKUP(D5536,Товары!A:I,4,0)</f>
        <v>8910</v>
      </c>
      <c r="K5536">
        <f t="shared" si="86"/>
        <v>26730</v>
      </c>
    </row>
    <row r="5537" spans="1:11" hidden="1" x14ac:dyDescent="0.25">
      <c r="A5537">
        <v>5536</v>
      </c>
      <c r="B5537" s="1">
        <v>45755</v>
      </c>
      <c r="C5537" t="s">
        <v>11</v>
      </c>
      <c r="D5537" t="s">
        <v>47</v>
      </c>
      <c r="E5537" t="s">
        <v>13</v>
      </c>
      <c r="F5537">
        <v>3</v>
      </c>
      <c r="G5537" t="str">
        <f>VLOOKUP(D5537,Товары!A:I,3,0)</f>
        <v>Пенал напол. Кристалл 350 шато азур 2 двери</v>
      </c>
      <c r="H5537">
        <f>VLOOKUP(D5537,Товары!A:I,6,0)</f>
        <v>190</v>
      </c>
      <c r="I5537" t="str">
        <f>VLOOKUP(C5537,Магазины!A:C,3,0)</f>
        <v>Кемерово</v>
      </c>
      <c r="J5537">
        <f>VLOOKUP(D5537,Товары!A:I,4,0)</f>
        <v>15810</v>
      </c>
      <c r="K5537">
        <f t="shared" si="86"/>
        <v>47430</v>
      </c>
    </row>
    <row r="5538" spans="1:11" hidden="1" x14ac:dyDescent="0.25">
      <c r="A5538">
        <v>5537</v>
      </c>
      <c r="B5538" s="1">
        <v>45750</v>
      </c>
      <c r="C5538" t="s">
        <v>14</v>
      </c>
      <c r="D5538" t="s">
        <v>104</v>
      </c>
      <c r="E5538" t="s">
        <v>13</v>
      </c>
      <c r="F5538">
        <v>3</v>
      </c>
      <c r="G5538" t="str">
        <f>VLOOKUP(D5538,Товары!A:I,3,0)</f>
        <v>Тумба под стиральную машину Куба Риф 57 подвесная 2 ящика под ст/маш, без умывальника /под Marshall 120 Белый</v>
      </c>
      <c r="H5538">
        <f>VLOOKUP(D5538,Товары!A:I,6,0)</f>
        <v>50</v>
      </c>
      <c r="I5538" t="str">
        <f>VLOOKUP(C5538,Магазины!A:C,3,0)</f>
        <v>Оренбург</v>
      </c>
      <c r="J5538">
        <f>VLOOKUP(D5538,Товары!A:I,4,0)</f>
        <v>8505</v>
      </c>
      <c r="K5538">
        <f t="shared" si="86"/>
        <v>25515</v>
      </c>
    </row>
    <row r="5539" spans="1:11" hidden="1" x14ac:dyDescent="0.25">
      <c r="A5539">
        <v>5538</v>
      </c>
      <c r="B5539" s="1">
        <v>45756</v>
      </c>
      <c r="C5539" t="s">
        <v>28</v>
      </c>
      <c r="D5539" t="s">
        <v>25</v>
      </c>
      <c r="E5539" t="s">
        <v>13</v>
      </c>
      <c r="F5539">
        <v>1</v>
      </c>
      <c r="G5539" t="str">
        <f>VLOOKUP(D5539,Товары!A:I,3,0)</f>
        <v>Пенал напол. Леон 400 оникс 2 двери + 1 ящик</v>
      </c>
      <c r="H5539">
        <f>VLOOKUP(D5539,Товары!A:I,6,0)</f>
        <v>190</v>
      </c>
      <c r="I5539" t="str">
        <f>VLOOKUP(C5539,Магазины!A:C,3,0)</f>
        <v>Набережные Челны</v>
      </c>
      <c r="J5539">
        <f>VLOOKUP(D5539,Товары!A:I,4,0)</f>
        <v>18450</v>
      </c>
      <c r="K5539">
        <f t="shared" si="86"/>
        <v>18450</v>
      </c>
    </row>
    <row r="5540" spans="1:11" hidden="1" x14ac:dyDescent="0.25">
      <c r="A5540">
        <v>5539</v>
      </c>
      <c r="B5540" s="1">
        <v>45750</v>
      </c>
      <c r="C5540" t="s">
        <v>92</v>
      </c>
      <c r="D5540" t="s">
        <v>50</v>
      </c>
      <c r="E5540" t="s">
        <v>13</v>
      </c>
      <c r="F5540">
        <v>1</v>
      </c>
      <c r="G5540" t="str">
        <f>VLOOKUP(D5540,Товары!A:I,3,0)</f>
        <v>Тумба с раковиной  напол. Леон 800 оникс 2 ящика с умыв. Слим</v>
      </c>
      <c r="H5540">
        <f>VLOOKUP(D5540,Товары!A:I,6,0)</f>
        <v>80</v>
      </c>
      <c r="I5540" t="str">
        <f>VLOOKUP(C5540,Магазины!A:C,3,0)</f>
        <v>Кемерово</v>
      </c>
      <c r="J5540">
        <f>VLOOKUP(D5540,Товары!A:I,4,0)</f>
        <v>29400</v>
      </c>
      <c r="K5540">
        <f t="shared" si="86"/>
        <v>29400</v>
      </c>
    </row>
    <row r="5541" spans="1:11" hidden="1" x14ac:dyDescent="0.25">
      <c r="A5541">
        <v>5540</v>
      </c>
      <c r="B5541" s="1">
        <v>45748</v>
      </c>
      <c r="C5541" t="s">
        <v>26</v>
      </c>
      <c r="D5541" t="s">
        <v>45</v>
      </c>
      <c r="E5541" t="s">
        <v>13</v>
      </c>
      <c r="F5541">
        <v>3</v>
      </c>
      <c r="G5541" t="str">
        <f>VLOOKUP(D5541,Товары!A:I,3,0)</f>
        <v>Зеркальный шкаф Рица 80 со светильником правый цвет cерый/керамика</v>
      </c>
      <c r="H5541">
        <f>VLOOKUP(D5541,Товары!A:I,6,0)</f>
        <v>75</v>
      </c>
      <c r="I5541" t="str">
        <f>VLOOKUP(C5541,Магазины!A:C,3,0)</f>
        <v>Оренбург</v>
      </c>
      <c r="J5541">
        <f>VLOOKUP(D5541,Товары!A:I,4,0)</f>
        <v>9930</v>
      </c>
      <c r="K5541">
        <f t="shared" si="86"/>
        <v>29790</v>
      </c>
    </row>
    <row r="5542" spans="1:11" hidden="1" x14ac:dyDescent="0.25">
      <c r="A5542">
        <v>5541</v>
      </c>
      <c r="B5542" s="1">
        <v>45752</v>
      </c>
      <c r="C5542" t="s">
        <v>63</v>
      </c>
      <c r="D5542" t="s">
        <v>101</v>
      </c>
      <c r="E5542" t="s">
        <v>8</v>
      </c>
      <c r="F5542">
        <v>2</v>
      </c>
      <c r="G5542" t="str">
        <f>VLOOKUP(D5542,Товары!A:I,3,0)</f>
        <v>Пенал напол. Сохо 400 белый 2 двери + 1 ящик</v>
      </c>
      <c r="H5542">
        <f>VLOOKUP(D5542,Товары!A:I,6,0)</f>
        <v>190</v>
      </c>
      <c r="I5542" t="str">
        <f>VLOOKUP(C5542,Магазины!A:C,3,0)</f>
        <v>Ставрополь</v>
      </c>
      <c r="J5542">
        <f>VLOOKUP(D5542,Товары!A:I,4,0)</f>
        <v>11040</v>
      </c>
      <c r="K5542">
        <f t="shared" si="86"/>
        <v>22080</v>
      </c>
    </row>
    <row r="5543" spans="1:11" hidden="1" x14ac:dyDescent="0.25">
      <c r="A5543">
        <v>5542</v>
      </c>
      <c r="B5543" s="1">
        <v>45753</v>
      </c>
      <c r="C5543" t="s">
        <v>111</v>
      </c>
      <c r="D5543" t="s">
        <v>37</v>
      </c>
      <c r="E5543" t="s">
        <v>13</v>
      </c>
      <c r="F5543">
        <v>2</v>
      </c>
      <c r="G5543" t="str">
        <f>VLOOKUP(D5543,Товары!A:I,3,0)</f>
        <v>Зеркальный шкаф Сохо 70 белый со светильником правый цвет Белый глянец</v>
      </c>
      <c r="H5543">
        <f>VLOOKUP(D5543,Товары!A:I,6,0)</f>
        <v>75</v>
      </c>
      <c r="I5543" t="str">
        <f>VLOOKUP(C5543,Магазины!A:C,3,0)</f>
        <v>Набережные Челны</v>
      </c>
      <c r="J5543">
        <f>VLOOKUP(D5543,Товары!A:I,4,0)</f>
        <v>7935</v>
      </c>
      <c r="K5543">
        <f t="shared" si="86"/>
        <v>15870</v>
      </c>
    </row>
    <row r="5544" spans="1:11" hidden="1" x14ac:dyDescent="0.25">
      <c r="A5544">
        <v>5543</v>
      </c>
      <c r="B5544" s="1">
        <v>45748</v>
      </c>
      <c r="C5544" t="s">
        <v>28</v>
      </c>
      <c r="D5544" t="s">
        <v>47</v>
      </c>
      <c r="E5544" t="s">
        <v>8</v>
      </c>
      <c r="F5544">
        <v>3</v>
      </c>
      <c r="G5544" t="str">
        <f>VLOOKUP(D5544,Товары!A:I,3,0)</f>
        <v>Пенал напол. Кристалл 350 шато азур 2 двери</v>
      </c>
      <c r="H5544">
        <f>VLOOKUP(D5544,Товары!A:I,6,0)</f>
        <v>190</v>
      </c>
      <c r="I5544" t="str">
        <f>VLOOKUP(C5544,Магазины!A:C,3,0)</f>
        <v>Набережные Челны</v>
      </c>
      <c r="J5544">
        <f>VLOOKUP(D5544,Товары!A:I,4,0)</f>
        <v>15810</v>
      </c>
      <c r="K5544">
        <f t="shared" si="86"/>
        <v>47430</v>
      </c>
    </row>
    <row r="5545" spans="1:11" hidden="1" x14ac:dyDescent="0.25">
      <c r="A5545">
        <v>5544</v>
      </c>
      <c r="B5545" s="1">
        <v>45755</v>
      </c>
      <c r="C5545" t="s">
        <v>22</v>
      </c>
      <c r="D5545" t="s">
        <v>76</v>
      </c>
      <c r="E5545" t="s">
        <v>8</v>
      </c>
      <c r="F5545">
        <v>3</v>
      </c>
      <c r="G5545" t="str">
        <f>VLOOKUP(D5545,Товары!A:I,3,0)</f>
        <v>Тумба с раковиной  напол. Леон 600 оникс 2 ящика с умыв. Слим</v>
      </c>
      <c r="H5545">
        <f>VLOOKUP(D5545,Товары!A:I,6,0)</f>
        <v>80</v>
      </c>
      <c r="I5545" t="str">
        <f>VLOOKUP(C5545,Магазины!A:C,3,0)</f>
        <v>Кемерово</v>
      </c>
      <c r="J5545">
        <f>VLOOKUP(D5545,Товары!A:I,4,0)</f>
        <v>25860</v>
      </c>
      <c r="K5545">
        <f t="shared" si="86"/>
        <v>77580</v>
      </c>
    </row>
    <row r="5546" spans="1:11" hidden="1" x14ac:dyDescent="0.25">
      <c r="A5546">
        <v>5545</v>
      </c>
      <c r="B5546" s="1">
        <v>45748</v>
      </c>
      <c r="C5546" t="s">
        <v>9</v>
      </c>
      <c r="D5546" t="s">
        <v>118</v>
      </c>
      <c r="E5546" t="s">
        <v>8</v>
      </c>
      <c r="F5546">
        <v>1</v>
      </c>
      <c r="G5546" t="str">
        <f>VLOOKUP(D5546,Товары!A:I,3,0)</f>
        <v>Тумба с раковиной  напол. Сохо 800 белый 2 ящика с умыв. Слим</v>
      </c>
      <c r="H5546">
        <f>VLOOKUP(D5546,Товары!A:I,6,0)</f>
        <v>85</v>
      </c>
      <c r="I5546" t="str">
        <f>VLOOKUP(C5546,Магазины!A:C,3,0)</f>
        <v>Кемерово</v>
      </c>
      <c r="J5546">
        <f>VLOOKUP(D5546,Товары!A:I,4,0)</f>
        <v>19575</v>
      </c>
      <c r="K5546">
        <f t="shared" si="86"/>
        <v>19575</v>
      </c>
    </row>
    <row r="5547" spans="1:11" hidden="1" x14ac:dyDescent="0.25">
      <c r="A5547">
        <v>5546</v>
      </c>
      <c r="B5547" s="1">
        <v>45752</v>
      </c>
      <c r="C5547" t="s">
        <v>16</v>
      </c>
      <c r="D5547" t="s">
        <v>37</v>
      </c>
      <c r="E5547" t="s">
        <v>13</v>
      </c>
      <c r="F5547">
        <v>3</v>
      </c>
      <c r="G5547" t="str">
        <f>VLOOKUP(D5547,Товары!A:I,3,0)</f>
        <v>Зеркальный шкаф Сохо 70 белый со светильником правый цвет Белый глянец</v>
      </c>
      <c r="H5547">
        <f>VLOOKUP(D5547,Товары!A:I,6,0)</f>
        <v>75</v>
      </c>
      <c r="I5547" t="str">
        <f>VLOOKUP(C5547,Магазины!A:C,3,0)</f>
        <v>Оренбург</v>
      </c>
      <c r="J5547">
        <f>VLOOKUP(D5547,Товары!A:I,4,0)</f>
        <v>7935</v>
      </c>
      <c r="K5547">
        <f t="shared" si="86"/>
        <v>23805</v>
      </c>
    </row>
    <row r="5548" spans="1:11" hidden="1" x14ac:dyDescent="0.25">
      <c r="A5548">
        <v>5547</v>
      </c>
      <c r="B5548" s="1">
        <v>45750</v>
      </c>
      <c r="C5548" t="s">
        <v>18</v>
      </c>
      <c r="D5548" t="s">
        <v>51</v>
      </c>
      <c r="E5548" t="s">
        <v>13</v>
      </c>
      <c r="F5548">
        <v>2</v>
      </c>
      <c r="G5548" t="str">
        <f>VLOOKUP(D5548,Товары!A:I,3,0)</f>
        <v>Зеркальный шкаф Альба 80 со светильником правый цвет суфле</v>
      </c>
      <c r="H5548">
        <f>VLOOKUP(D5548,Товары!A:I,6,0)</f>
        <v>75</v>
      </c>
      <c r="I5548" t="str">
        <f>VLOOKUP(C5548,Магазины!A:C,3,0)</f>
        <v>Набережные Челны</v>
      </c>
      <c r="J5548">
        <f>VLOOKUP(D5548,Товары!A:I,4,0)</f>
        <v>9930</v>
      </c>
      <c r="K5548">
        <f t="shared" si="86"/>
        <v>19860</v>
      </c>
    </row>
    <row r="5549" spans="1:11" hidden="1" x14ac:dyDescent="0.25">
      <c r="A5549">
        <v>5548</v>
      </c>
      <c r="B5549" s="1">
        <v>45754</v>
      </c>
      <c r="C5549" t="s">
        <v>9</v>
      </c>
      <c r="D5549" t="s">
        <v>65</v>
      </c>
      <c r="E5549" t="s">
        <v>13</v>
      </c>
      <c r="F5549">
        <v>1</v>
      </c>
      <c r="G5549" t="str">
        <f>VLOOKUP(D5549,Товары!A:I,3,0)</f>
        <v>Тумба с раковиной  навес. Альба 800 суфле 2 ящика с умыв. Слим</v>
      </c>
      <c r="H5549">
        <f>VLOOKUP(D5549,Товары!A:I,6,0)</f>
        <v>50</v>
      </c>
      <c r="I5549" t="str">
        <f>VLOOKUP(C5549,Магазины!A:C,3,0)</f>
        <v>Кемерово</v>
      </c>
      <c r="J5549">
        <f>VLOOKUP(D5549,Товары!A:I,4,0)</f>
        <v>26070</v>
      </c>
      <c r="K5549">
        <f t="shared" si="86"/>
        <v>26070</v>
      </c>
    </row>
    <row r="5550" spans="1:11" hidden="1" x14ac:dyDescent="0.25">
      <c r="A5550">
        <v>5549</v>
      </c>
      <c r="B5550" s="1">
        <v>45748</v>
      </c>
      <c r="C5550" t="s">
        <v>63</v>
      </c>
      <c r="D5550" t="s">
        <v>10</v>
      </c>
      <c r="E5550" t="s">
        <v>8</v>
      </c>
      <c r="F5550">
        <v>3</v>
      </c>
      <c r="G5550" t="str">
        <f>VLOOKUP(D5550,Товары!A:I,3,0)</f>
        <v>Тумба с раковиной  навес. Альба 700 антрацит 1 ящик с умыв. Слим</v>
      </c>
      <c r="H5550">
        <f>VLOOKUP(D5550,Товары!A:I,6,0)</f>
        <v>45</v>
      </c>
      <c r="I5550" t="str">
        <f>VLOOKUP(C5550,Магазины!A:C,3,0)</f>
        <v>Ставрополь</v>
      </c>
      <c r="J5550">
        <f>VLOOKUP(D5550,Товары!A:I,4,0)</f>
        <v>20130</v>
      </c>
      <c r="K5550">
        <f t="shared" si="86"/>
        <v>60390</v>
      </c>
    </row>
    <row r="5551" spans="1:11" hidden="1" x14ac:dyDescent="0.25">
      <c r="A5551">
        <v>5550</v>
      </c>
      <c r="B5551" s="1">
        <v>45749</v>
      </c>
      <c r="C5551" t="s">
        <v>33</v>
      </c>
      <c r="D5551" t="s">
        <v>29</v>
      </c>
      <c r="E5551" t="s">
        <v>8</v>
      </c>
      <c r="F5551">
        <v>1</v>
      </c>
      <c r="G5551" t="str">
        <f>VLOOKUP(D5551,Товары!A:I,3,0)</f>
        <v>Тумба с раковиной  напол. Леон Риф 600 солярис/белый риф 2 ящика с умыв. Океан</v>
      </c>
      <c r="H5551">
        <f>VLOOKUP(D5551,Товары!A:I,6,0)</f>
        <v>80</v>
      </c>
      <c r="I5551" t="str">
        <f>VLOOKUP(C5551,Магазины!A:C,3,0)</f>
        <v>Набережные Челны</v>
      </c>
      <c r="J5551">
        <f>VLOOKUP(D5551,Товары!A:I,4,0)</f>
        <v>24150</v>
      </c>
      <c r="K5551">
        <f t="shared" si="86"/>
        <v>24150</v>
      </c>
    </row>
    <row r="5552" spans="1:11" hidden="1" x14ac:dyDescent="0.25">
      <c r="A5552">
        <v>5551</v>
      </c>
      <c r="B5552" s="1">
        <v>45754</v>
      </c>
      <c r="C5552" t="s">
        <v>11</v>
      </c>
      <c r="D5552" t="s">
        <v>125</v>
      </c>
      <c r="E5552" t="s">
        <v>13</v>
      </c>
      <c r="F5552">
        <v>1</v>
      </c>
      <c r="G5552" t="str">
        <f>VLOOKUP(D5552,Товары!A:I,3,0)</f>
        <v>Зеркальный шкаф Сохо 60 белый со светильником правый цвет Белый глянец</v>
      </c>
      <c r="H5552">
        <f>VLOOKUP(D5552,Товары!A:I,6,0)</f>
        <v>75</v>
      </c>
      <c r="I5552" t="str">
        <f>VLOOKUP(C5552,Магазины!A:C,3,0)</f>
        <v>Кемерово</v>
      </c>
      <c r="J5552">
        <f>VLOOKUP(D5552,Товары!A:I,4,0)</f>
        <v>7395</v>
      </c>
      <c r="K5552">
        <f t="shared" si="86"/>
        <v>7395</v>
      </c>
    </row>
    <row r="5553" spans="1:11" hidden="1" x14ac:dyDescent="0.25">
      <c r="A5553">
        <v>5552</v>
      </c>
      <c r="B5553" s="1">
        <v>45754</v>
      </c>
      <c r="C5553" t="s">
        <v>63</v>
      </c>
      <c r="D5553" t="s">
        <v>128</v>
      </c>
      <c r="E5553" t="s">
        <v>13</v>
      </c>
      <c r="F5553">
        <v>2</v>
      </c>
      <c r="G5553" t="str">
        <f>VLOOKUP(D5553,Товары!A:I,3,0)</f>
        <v>Тумба с раковиной  напол. Куба Риф 1000 белый 2 ящика с умыв. Слим</v>
      </c>
      <c r="H5553">
        <f>VLOOKUP(D5553,Товары!A:I,6,0)</f>
        <v>85</v>
      </c>
      <c r="I5553" t="str">
        <f>VLOOKUP(C5553,Магазины!A:C,3,0)</f>
        <v>Ставрополь</v>
      </c>
      <c r="J5553">
        <f>VLOOKUP(D5553,Товары!A:I,4,0)</f>
        <v>22905</v>
      </c>
      <c r="K5553">
        <f t="shared" si="86"/>
        <v>45810</v>
      </c>
    </row>
    <row r="5554" spans="1:11" hidden="1" x14ac:dyDescent="0.25">
      <c r="A5554">
        <v>5553</v>
      </c>
      <c r="B5554" s="1">
        <v>45749</v>
      </c>
      <c r="C5554" t="s">
        <v>43</v>
      </c>
      <c r="D5554" t="s">
        <v>128</v>
      </c>
      <c r="E5554" t="s">
        <v>8</v>
      </c>
      <c r="F5554">
        <v>3</v>
      </c>
      <c r="G5554" t="str">
        <f>VLOOKUP(D5554,Товары!A:I,3,0)</f>
        <v>Тумба с раковиной  напол. Куба Риф 1000 белый 2 ящика с умыв. Слим</v>
      </c>
      <c r="H5554">
        <f>VLOOKUP(D5554,Товары!A:I,6,0)</f>
        <v>85</v>
      </c>
      <c r="I5554" t="str">
        <f>VLOOKUP(C5554,Магазины!A:C,3,0)</f>
        <v>Набережные Челны</v>
      </c>
      <c r="J5554">
        <f>VLOOKUP(D5554,Товары!A:I,4,0)</f>
        <v>22905</v>
      </c>
      <c r="K5554">
        <f t="shared" si="86"/>
        <v>68715</v>
      </c>
    </row>
    <row r="5555" spans="1:11" hidden="1" x14ac:dyDescent="0.25">
      <c r="A5555">
        <v>5554</v>
      </c>
      <c r="B5555" s="1">
        <v>45753</v>
      </c>
      <c r="C5555" t="s">
        <v>16</v>
      </c>
      <c r="D5555" t="s">
        <v>23</v>
      </c>
      <c r="E5555" t="s">
        <v>8</v>
      </c>
      <c r="F5555">
        <v>3</v>
      </c>
      <c r="G5555" t="str">
        <f>VLOOKUP(D5555,Товары!A:I,3,0)</f>
        <v>Тумба с раковиной  напол. Альба 800 антрацит 2 ящика с умыв. Слим</v>
      </c>
      <c r="H5555">
        <f>VLOOKUP(D5555,Товары!A:I,6,0)</f>
        <v>80</v>
      </c>
      <c r="I5555" t="str">
        <f>VLOOKUP(C5555,Магазины!A:C,3,0)</f>
        <v>Оренбург</v>
      </c>
      <c r="J5555">
        <f>VLOOKUP(D5555,Товары!A:I,4,0)</f>
        <v>29340</v>
      </c>
      <c r="K5555">
        <f t="shared" si="86"/>
        <v>88020</v>
      </c>
    </row>
    <row r="5556" spans="1:11" hidden="1" x14ac:dyDescent="0.25">
      <c r="A5556">
        <v>5555</v>
      </c>
      <c r="B5556" s="1">
        <v>45750</v>
      </c>
      <c r="C5556" t="s">
        <v>22</v>
      </c>
      <c r="D5556" t="s">
        <v>102</v>
      </c>
      <c r="E5556" t="s">
        <v>13</v>
      </c>
      <c r="F5556">
        <v>2</v>
      </c>
      <c r="G5556" t="str">
        <f>VLOOKUP(D5556,Товары!A:I,3,0)</f>
        <v>Тумба с раковиной  напол. Леон Риф 1000 солярис/белый риф 2 ящика с умыв. Слим</v>
      </c>
      <c r="H5556">
        <f>VLOOKUP(D5556,Товары!A:I,6,0)</f>
        <v>85</v>
      </c>
      <c r="I5556" t="str">
        <f>VLOOKUP(C5556,Магазины!A:C,3,0)</f>
        <v>Кемерово</v>
      </c>
      <c r="J5556">
        <f>VLOOKUP(D5556,Товары!A:I,4,0)</f>
        <v>32085</v>
      </c>
      <c r="K5556">
        <f t="shared" si="86"/>
        <v>64170</v>
      </c>
    </row>
    <row r="5557" spans="1:11" hidden="1" x14ac:dyDescent="0.25">
      <c r="A5557">
        <v>5556</v>
      </c>
      <c r="B5557" s="1">
        <v>45751</v>
      </c>
      <c r="C5557" t="s">
        <v>111</v>
      </c>
      <c r="D5557" t="s">
        <v>31</v>
      </c>
      <c r="E5557" t="s">
        <v>8</v>
      </c>
      <c r="F5557">
        <v>2</v>
      </c>
      <c r="G5557" t="str">
        <f>VLOOKUP(D5557,Товары!A:I,3,0)</f>
        <v>Пенал напол. Виктория 350 белый 2 двери</v>
      </c>
      <c r="H5557">
        <f>VLOOKUP(D5557,Товары!A:I,6,0)</f>
        <v>190</v>
      </c>
      <c r="I5557" t="str">
        <f>VLOOKUP(C5557,Магазины!A:C,3,0)</f>
        <v>Набережные Челны</v>
      </c>
      <c r="J5557">
        <f>VLOOKUP(D5557,Товары!A:I,4,0)</f>
        <v>14085</v>
      </c>
      <c r="K5557">
        <f t="shared" si="86"/>
        <v>28170</v>
      </c>
    </row>
    <row r="5558" spans="1:11" hidden="1" x14ac:dyDescent="0.25">
      <c r="A5558">
        <v>5557</v>
      </c>
      <c r="B5558" s="1">
        <v>45750</v>
      </c>
      <c r="C5558" t="s">
        <v>48</v>
      </c>
      <c r="D5558" t="s">
        <v>116</v>
      </c>
      <c r="E5558" t="s">
        <v>13</v>
      </c>
      <c r="F5558">
        <v>1</v>
      </c>
      <c r="G5558" t="str">
        <f>VLOOKUP(D5558,Товары!A:I,3,0)</f>
        <v>Зеркало Нева 60 дуб/белый со светильником</v>
      </c>
      <c r="H5558">
        <f>VLOOKUP(D5558,Товары!A:I,6,0)</f>
        <v>80</v>
      </c>
      <c r="I5558" t="str">
        <f>VLOOKUP(C5558,Магазины!A:C,3,0)</f>
        <v>Ставрополь</v>
      </c>
      <c r="J5558">
        <f>VLOOKUP(D5558,Товары!A:I,4,0)</f>
        <v>5100</v>
      </c>
      <c r="K5558">
        <f t="shared" si="86"/>
        <v>5100</v>
      </c>
    </row>
    <row r="5559" spans="1:11" hidden="1" x14ac:dyDescent="0.25">
      <c r="A5559">
        <v>5558</v>
      </c>
      <c r="B5559" s="1">
        <v>45757</v>
      </c>
      <c r="C5559" t="s">
        <v>63</v>
      </c>
      <c r="D5559" t="s">
        <v>100</v>
      </c>
      <c r="E5559" t="s">
        <v>13</v>
      </c>
      <c r="F5559">
        <v>1</v>
      </c>
      <c r="G5559" t="str">
        <f>VLOOKUP(D5559,Товары!A:I,3,0)</f>
        <v>Тумба с раковиной  навес. Альба 800 мята 1 ящик с умыв. Слим</v>
      </c>
      <c r="H5559">
        <f>VLOOKUP(D5559,Товары!A:I,6,0)</f>
        <v>45</v>
      </c>
      <c r="I5559" t="str">
        <f>VLOOKUP(C5559,Магазины!A:C,3,0)</f>
        <v>Ставрополь</v>
      </c>
      <c r="J5559">
        <f>VLOOKUP(D5559,Товары!A:I,4,0)</f>
        <v>21630</v>
      </c>
      <c r="K5559">
        <f t="shared" si="86"/>
        <v>21630</v>
      </c>
    </row>
    <row r="5560" spans="1:11" hidden="1" x14ac:dyDescent="0.25">
      <c r="A5560">
        <v>5559</v>
      </c>
      <c r="B5560" s="1">
        <v>45752</v>
      </c>
      <c r="C5560" t="s">
        <v>33</v>
      </c>
      <c r="D5560" t="s">
        <v>131</v>
      </c>
      <c r="E5560" t="s">
        <v>13</v>
      </c>
      <c r="F5560">
        <v>2</v>
      </c>
      <c r="G5560" t="str">
        <f>VLOOKUP(D5560,Товары!A:I,3,0)</f>
        <v>Тумба с раковиной  напол. Леон 800 форест 2 ящика с умыв. Слим</v>
      </c>
      <c r="H5560">
        <f>VLOOKUP(D5560,Товары!A:I,6,0)</f>
        <v>80</v>
      </c>
      <c r="I5560" t="str">
        <f>VLOOKUP(C5560,Магазины!A:C,3,0)</f>
        <v>Набережные Челны</v>
      </c>
      <c r="J5560">
        <f>VLOOKUP(D5560,Товары!A:I,4,0)</f>
        <v>29400</v>
      </c>
      <c r="K5560">
        <f t="shared" si="86"/>
        <v>58800</v>
      </c>
    </row>
    <row r="5561" spans="1:11" hidden="1" x14ac:dyDescent="0.25">
      <c r="A5561">
        <v>5560</v>
      </c>
      <c r="B5561" s="1">
        <v>45754</v>
      </c>
      <c r="C5561" t="s">
        <v>22</v>
      </c>
      <c r="D5561" t="s">
        <v>115</v>
      </c>
      <c r="E5561" t="s">
        <v>8</v>
      </c>
      <c r="F5561">
        <v>2</v>
      </c>
      <c r="G5561" t="str">
        <f>VLOOKUP(D5561,Товары!A:I,3,0)</f>
        <v>Тумба под стиральную машину Куба Риф 57 напольная 2 ящика под ст/маш, без умывальника /под Marshall 120 Белый</v>
      </c>
      <c r="H5561">
        <f>VLOOKUP(D5561,Товары!A:I,6,0)</f>
        <v>85</v>
      </c>
      <c r="I5561" t="str">
        <f>VLOOKUP(C5561,Магазины!A:C,3,0)</f>
        <v>Кемерово</v>
      </c>
      <c r="J5561">
        <f>VLOOKUP(D5561,Товары!A:I,4,0)</f>
        <v>10530</v>
      </c>
      <c r="K5561">
        <f t="shared" si="86"/>
        <v>21060</v>
      </c>
    </row>
    <row r="5562" spans="1:11" hidden="1" x14ac:dyDescent="0.25">
      <c r="A5562">
        <v>5561</v>
      </c>
      <c r="B5562" s="1">
        <v>45754</v>
      </c>
      <c r="C5562" t="s">
        <v>41</v>
      </c>
      <c r="D5562" t="s">
        <v>118</v>
      </c>
      <c r="E5562" t="s">
        <v>8</v>
      </c>
      <c r="F5562">
        <v>1</v>
      </c>
      <c r="G5562" t="str">
        <f>VLOOKUP(D5562,Товары!A:I,3,0)</f>
        <v>Тумба с раковиной  напол. Сохо 800 белый 2 ящика с умыв. Слим</v>
      </c>
      <c r="H5562">
        <f>VLOOKUP(D5562,Товары!A:I,6,0)</f>
        <v>85</v>
      </c>
      <c r="I5562" t="str">
        <f>VLOOKUP(C5562,Магазины!A:C,3,0)</f>
        <v>Ставрополь</v>
      </c>
      <c r="J5562">
        <f>VLOOKUP(D5562,Товары!A:I,4,0)</f>
        <v>19575</v>
      </c>
      <c r="K5562">
        <f t="shared" si="86"/>
        <v>19575</v>
      </c>
    </row>
    <row r="5563" spans="1:11" hidden="1" x14ac:dyDescent="0.25">
      <c r="A5563">
        <v>5562</v>
      </c>
      <c r="B5563" s="1">
        <v>45751</v>
      </c>
      <c r="C5563" t="s">
        <v>6</v>
      </c>
      <c r="D5563" t="s">
        <v>52</v>
      </c>
      <c r="E5563" t="s">
        <v>13</v>
      </c>
      <c r="F5563">
        <v>1</v>
      </c>
      <c r="G5563" t="str">
        <f>VLOOKUP(D5563,Товары!A:I,3,0)</f>
        <v>Тумба с раковиной  напол. Кристалл 600 суфле 2 ящика с умыв. Океан</v>
      </c>
      <c r="H5563">
        <f>VLOOKUP(D5563,Товары!A:I,6,0)</f>
        <v>80</v>
      </c>
      <c r="I5563" t="str">
        <f>VLOOKUP(C5563,Магазины!A:C,3,0)</f>
        <v>Оренбург</v>
      </c>
      <c r="J5563">
        <f>VLOOKUP(D5563,Товары!A:I,4,0)</f>
        <v>27600</v>
      </c>
      <c r="K5563">
        <f t="shared" si="86"/>
        <v>27600</v>
      </c>
    </row>
    <row r="5564" spans="1:11" hidden="1" x14ac:dyDescent="0.25">
      <c r="A5564">
        <v>5563</v>
      </c>
      <c r="B5564" s="1">
        <v>45748</v>
      </c>
      <c r="C5564" t="s">
        <v>57</v>
      </c>
      <c r="D5564" t="s">
        <v>109</v>
      </c>
      <c r="E5564" t="s">
        <v>13</v>
      </c>
      <c r="F5564">
        <v>2</v>
      </c>
      <c r="G5564" t="str">
        <f>VLOOKUP(D5564,Товары!A:I,3,0)</f>
        <v>Тумба с раковиной  навес. Альба 600 антрацит 2 ящика с умыв. Океан</v>
      </c>
      <c r="H5564">
        <f>VLOOKUP(D5564,Товары!A:I,6,0)</f>
        <v>50</v>
      </c>
      <c r="I5564" t="str">
        <f>VLOOKUP(C5564,Магазины!A:C,3,0)</f>
        <v>Оренбург</v>
      </c>
      <c r="J5564">
        <f>VLOOKUP(D5564,Товары!A:I,4,0)</f>
        <v>24810</v>
      </c>
      <c r="K5564">
        <f t="shared" si="86"/>
        <v>49620</v>
      </c>
    </row>
    <row r="5565" spans="1:11" hidden="1" x14ac:dyDescent="0.25">
      <c r="A5565">
        <v>5564</v>
      </c>
      <c r="B5565" s="1">
        <v>45751</v>
      </c>
      <c r="C5565" t="s">
        <v>11</v>
      </c>
      <c r="D5565" t="s">
        <v>128</v>
      </c>
      <c r="E5565" t="s">
        <v>8</v>
      </c>
      <c r="F5565">
        <v>2</v>
      </c>
      <c r="G5565" t="str">
        <f>VLOOKUP(D5565,Товары!A:I,3,0)</f>
        <v>Тумба с раковиной  напол. Куба Риф 1000 белый 2 ящика с умыв. Слим</v>
      </c>
      <c r="H5565">
        <f>VLOOKUP(D5565,Товары!A:I,6,0)</f>
        <v>85</v>
      </c>
      <c r="I5565" t="str">
        <f>VLOOKUP(C5565,Магазины!A:C,3,0)</f>
        <v>Кемерово</v>
      </c>
      <c r="J5565">
        <f>VLOOKUP(D5565,Товары!A:I,4,0)</f>
        <v>22905</v>
      </c>
      <c r="K5565">
        <f t="shared" si="86"/>
        <v>45810</v>
      </c>
    </row>
    <row r="5566" spans="1:11" hidden="1" x14ac:dyDescent="0.25">
      <c r="A5566">
        <v>5565</v>
      </c>
      <c r="B5566" s="1">
        <v>45757</v>
      </c>
      <c r="C5566" t="s">
        <v>9</v>
      </c>
      <c r="D5566" t="s">
        <v>86</v>
      </c>
      <c r="E5566" t="s">
        <v>13</v>
      </c>
      <c r="F5566">
        <v>2</v>
      </c>
      <c r="G5566" t="str">
        <f>VLOOKUP(D5566,Товары!A:I,3,0)</f>
        <v>Комод Аква 50 напольный 1 ящик 2 двери белый</v>
      </c>
      <c r="H5566">
        <f>VLOOKUP(D5566,Товары!A:I,6,0)</f>
        <v>90</v>
      </c>
      <c r="I5566" t="str">
        <f>VLOOKUP(C5566,Магазины!A:C,3,0)</f>
        <v>Кемерово</v>
      </c>
      <c r="J5566">
        <f>VLOOKUP(D5566,Товары!A:I,4,0)</f>
        <v>7260</v>
      </c>
      <c r="K5566">
        <f t="shared" si="86"/>
        <v>14520</v>
      </c>
    </row>
    <row r="5567" spans="1:11" hidden="1" x14ac:dyDescent="0.25">
      <c r="A5567">
        <v>5566</v>
      </c>
      <c r="B5567" s="1">
        <v>45752</v>
      </c>
      <c r="C5567" t="s">
        <v>28</v>
      </c>
      <c r="D5567" t="s">
        <v>80</v>
      </c>
      <c r="E5567" t="s">
        <v>13</v>
      </c>
      <c r="F5567">
        <v>1</v>
      </c>
      <c r="G5567" t="str">
        <f>VLOOKUP(D5567,Товары!A:I,3,0)</f>
        <v>Тумба с раковиной  навес. Сохо 600 белый 2 ящика с умыв. Океан</v>
      </c>
      <c r="H5567">
        <f>VLOOKUP(D5567,Товары!A:I,6,0)</f>
        <v>55</v>
      </c>
      <c r="I5567" t="str">
        <f>VLOOKUP(C5567,Магазины!A:C,3,0)</f>
        <v>Набережные Челны</v>
      </c>
      <c r="J5567">
        <f>VLOOKUP(D5567,Товары!A:I,4,0)</f>
        <v>13950</v>
      </c>
      <c r="K5567">
        <f t="shared" si="86"/>
        <v>13950</v>
      </c>
    </row>
    <row r="5568" spans="1:11" hidden="1" x14ac:dyDescent="0.25">
      <c r="A5568">
        <v>5567</v>
      </c>
      <c r="B5568" s="1">
        <v>45751</v>
      </c>
      <c r="C5568" t="s">
        <v>111</v>
      </c>
      <c r="D5568" t="s">
        <v>69</v>
      </c>
      <c r="E5568" t="s">
        <v>8</v>
      </c>
      <c r="F5568">
        <v>3</v>
      </c>
      <c r="G5568" t="str">
        <f>VLOOKUP(D5568,Товары!A:I,3,0)</f>
        <v>Пенал навес./напол. Альба 350 антрацит 2 двери</v>
      </c>
      <c r="H5568">
        <f>VLOOKUP(D5568,Товары!A:I,6,0)</f>
        <v>150</v>
      </c>
      <c r="I5568" t="str">
        <f>VLOOKUP(C5568,Магазины!A:C,3,0)</f>
        <v>Набережные Челны</v>
      </c>
      <c r="J5568">
        <f>VLOOKUP(D5568,Товары!A:I,4,0)</f>
        <v>11655</v>
      </c>
      <c r="K5568">
        <f t="shared" si="86"/>
        <v>34965</v>
      </c>
    </row>
    <row r="5569" spans="1:11" hidden="1" x14ac:dyDescent="0.25">
      <c r="A5569">
        <v>5568</v>
      </c>
      <c r="B5569" s="1">
        <v>45750</v>
      </c>
      <c r="C5569" t="s">
        <v>6</v>
      </c>
      <c r="D5569" t="s">
        <v>116</v>
      </c>
      <c r="E5569" t="s">
        <v>13</v>
      </c>
      <c r="F5569">
        <v>1</v>
      </c>
      <c r="G5569" t="str">
        <f>VLOOKUP(D5569,Товары!A:I,3,0)</f>
        <v>Зеркало Нева 60 дуб/белый со светильником</v>
      </c>
      <c r="H5569">
        <f>VLOOKUP(D5569,Товары!A:I,6,0)</f>
        <v>80</v>
      </c>
      <c r="I5569" t="str">
        <f>VLOOKUP(C5569,Магазины!A:C,3,0)</f>
        <v>Оренбург</v>
      </c>
      <c r="J5569">
        <f>VLOOKUP(D5569,Товары!A:I,4,0)</f>
        <v>5100</v>
      </c>
      <c r="K5569">
        <f t="shared" si="86"/>
        <v>5100</v>
      </c>
    </row>
    <row r="5570" spans="1:11" hidden="1" x14ac:dyDescent="0.25">
      <c r="A5570">
        <v>5569</v>
      </c>
      <c r="B5570" s="1">
        <v>45751</v>
      </c>
      <c r="C5570" t="s">
        <v>41</v>
      </c>
      <c r="D5570" t="s">
        <v>104</v>
      </c>
      <c r="E5570" t="s">
        <v>13</v>
      </c>
      <c r="F5570">
        <v>1</v>
      </c>
      <c r="G5570" t="str">
        <f>VLOOKUP(D5570,Товары!A:I,3,0)</f>
        <v>Тумба под стиральную машину Куба Риф 57 подвесная 2 ящика под ст/маш, без умывальника /под Marshall 120 Белый</v>
      </c>
      <c r="H5570">
        <f>VLOOKUP(D5570,Товары!A:I,6,0)</f>
        <v>50</v>
      </c>
      <c r="I5570" t="str">
        <f>VLOOKUP(C5570,Магазины!A:C,3,0)</f>
        <v>Ставрополь</v>
      </c>
      <c r="J5570">
        <f>VLOOKUP(D5570,Товары!A:I,4,0)</f>
        <v>8505</v>
      </c>
      <c r="K5570">
        <f t="shared" si="86"/>
        <v>8505</v>
      </c>
    </row>
    <row r="5571" spans="1:11" hidden="1" x14ac:dyDescent="0.25">
      <c r="A5571">
        <v>5570</v>
      </c>
      <c r="B5571" s="1">
        <v>45753</v>
      </c>
      <c r="C5571" t="s">
        <v>11</v>
      </c>
      <c r="D5571" t="s">
        <v>114</v>
      </c>
      <c r="E5571" t="s">
        <v>8</v>
      </c>
      <c r="F5571">
        <v>3</v>
      </c>
      <c r="G5571" t="str">
        <f>VLOOKUP(D5571,Товары!A:I,3,0)</f>
        <v>Тумба с раковиной  навес. Альба 700 мята 2 ящика с умыв. Слим</v>
      </c>
      <c r="H5571">
        <f>VLOOKUP(D5571,Товары!A:I,6,0)</f>
        <v>60</v>
      </c>
      <c r="I5571" t="str">
        <f>VLOOKUP(C5571,Магазины!A:C,3,0)</f>
        <v>Кемерово</v>
      </c>
      <c r="J5571">
        <f>VLOOKUP(D5571,Товары!A:I,4,0)</f>
        <v>25095</v>
      </c>
      <c r="K5571">
        <f t="shared" ref="K5571:K5634" si="87">J5571*F5571</f>
        <v>75285</v>
      </c>
    </row>
    <row r="5572" spans="1:11" hidden="1" x14ac:dyDescent="0.25">
      <c r="A5572">
        <v>5571</v>
      </c>
      <c r="B5572" s="1">
        <v>45754</v>
      </c>
      <c r="C5572" t="s">
        <v>63</v>
      </c>
      <c r="D5572" t="s">
        <v>105</v>
      </c>
      <c r="E5572" t="s">
        <v>13</v>
      </c>
      <c r="F5572">
        <v>1</v>
      </c>
      <c r="G5572" t="str">
        <f>VLOOKUP(D5572,Товары!A:I,3,0)</f>
        <v>Тумба с раковиной  напол. Нева 600 белый 2 двери + 1 ящик с умыв. Como</v>
      </c>
      <c r="H5572">
        <f>VLOOKUP(D5572,Товары!A:I,6,0)</f>
        <v>80</v>
      </c>
      <c r="I5572" t="str">
        <f>VLOOKUP(C5572,Магазины!A:C,3,0)</f>
        <v>Ставрополь</v>
      </c>
      <c r="J5572">
        <f>VLOOKUP(D5572,Товары!A:I,4,0)</f>
        <v>13470</v>
      </c>
      <c r="K5572">
        <f t="shared" si="87"/>
        <v>13470</v>
      </c>
    </row>
    <row r="5573" spans="1:11" hidden="1" x14ac:dyDescent="0.25">
      <c r="A5573">
        <v>5572</v>
      </c>
      <c r="B5573" s="1">
        <v>45755</v>
      </c>
      <c r="C5573" t="s">
        <v>30</v>
      </c>
      <c r="D5573" t="s">
        <v>114</v>
      </c>
      <c r="E5573" t="s">
        <v>13</v>
      </c>
      <c r="F5573">
        <v>3</v>
      </c>
      <c r="G5573" t="str">
        <f>VLOOKUP(D5573,Товары!A:I,3,0)</f>
        <v>Тумба с раковиной  навес. Альба 700 мята 2 ящика с умыв. Слим</v>
      </c>
      <c r="H5573">
        <f>VLOOKUP(D5573,Товары!A:I,6,0)</f>
        <v>60</v>
      </c>
      <c r="I5573" t="str">
        <f>VLOOKUP(C5573,Магазины!A:C,3,0)</f>
        <v>Кемерово</v>
      </c>
      <c r="J5573">
        <f>VLOOKUP(D5573,Товары!A:I,4,0)</f>
        <v>25095</v>
      </c>
      <c r="K5573">
        <f t="shared" si="87"/>
        <v>75285</v>
      </c>
    </row>
    <row r="5574" spans="1:11" hidden="1" x14ac:dyDescent="0.25">
      <c r="A5574">
        <v>5573</v>
      </c>
      <c r="B5574" s="1">
        <v>45755</v>
      </c>
      <c r="C5574" t="s">
        <v>22</v>
      </c>
      <c r="D5574" t="s">
        <v>62</v>
      </c>
      <c r="E5574" t="s">
        <v>13</v>
      </c>
      <c r="F5574">
        <v>3</v>
      </c>
      <c r="G5574" t="str">
        <f>VLOOKUP(D5574,Товары!A:I,3,0)</f>
        <v>Тумба с раковиной  напол. Альба 600 мята 2 ящика с умыв. Океан</v>
      </c>
      <c r="H5574">
        <f>VLOOKUP(D5574,Товары!A:I,6,0)</f>
        <v>80</v>
      </c>
      <c r="I5574" t="str">
        <f>VLOOKUP(C5574,Магазины!A:C,3,0)</f>
        <v>Кемерово</v>
      </c>
      <c r="J5574">
        <f>VLOOKUP(D5574,Товары!A:I,4,0)</f>
        <v>26370</v>
      </c>
      <c r="K5574">
        <f t="shared" si="87"/>
        <v>79110</v>
      </c>
    </row>
    <row r="5575" spans="1:11" hidden="1" x14ac:dyDescent="0.25">
      <c r="A5575">
        <v>5574</v>
      </c>
      <c r="B5575" s="1">
        <v>45748</v>
      </c>
      <c r="C5575" t="s">
        <v>54</v>
      </c>
      <c r="D5575" t="s">
        <v>37</v>
      </c>
      <c r="E5575" t="s">
        <v>8</v>
      </c>
      <c r="F5575">
        <v>3</v>
      </c>
      <c r="G5575" t="str">
        <f>VLOOKUP(D5575,Товары!A:I,3,0)</f>
        <v>Зеркальный шкаф Сохо 70 белый со светильником правый цвет Белый глянец</v>
      </c>
      <c r="H5575">
        <f>VLOOKUP(D5575,Товары!A:I,6,0)</f>
        <v>75</v>
      </c>
      <c r="I5575" t="str">
        <f>VLOOKUP(C5575,Магазины!A:C,3,0)</f>
        <v>Ставрополь</v>
      </c>
      <c r="J5575">
        <f>VLOOKUP(D5575,Товары!A:I,4,0)</f>
        <v>7935</v>
      </c>
      <c r="K5575">
        <f t="shared" si="87"/>
        <v>23805</v>
      </c>
    </row>
    <row r="5576" spans="1:11" hidden="1" x14ac:dyDescent="0.25">
      <c r="A5576">
        <v>5575</v>
      </c>
      <c r="B5576" s="1">
        <v>45748</v>
      </c>
      <c r="C5576" t="s">
        <v>92</v>
      </c>
      <c r="D5576" t="s">
        <v>105</v>
      </c>
      <c r="E5576" t="s">
        <v>8</v>
      </c>
      <c r="F5576">
        <v>2</v>
      </c>
      <c r="G5576" t="str">
        <f>VLOOKUP(D5576,Товары!A:I,3,0)</f>
        <v>Тумба с раковиной  напол. Нева 600 белый 2 двери + 1 ящик с умыв. Como</v>
      </c>
      <c r="H5576">
        <f>VLOOKUP(D5576,Товары!A:I,6,0)</f>
        <v>80</v>
      </c>
      <c r="I5576" t="str">
        <f>VLOOKUP(C5576,Магазины!A:C,3,0)</f>
        <v>Кемерово</v>
      </c>
      <c r="J5576">
        <f>VLOOKUP(D5576,Товары!A:I,4,0)</f>
        <v>13470</v>
      </c>
      <c r="K5576">
        <f t="shared" si="87"/>
        <v>26940</v>
      </c>
    </row>
    <row r="5577" spans="1:11" hidden="1" x14ac:dyDescent="0.25">
      <c r="A5577">
        <v>5576</v>
      </c>
      <c r="B5577" s="1">
        <v>45754</v>
      </c>
      <c r="C5577" t="s">
        <v>30</v>
      </c>
      <c r="D5577" t="s">
        <v>25</v>
      </c>
      <c r="E5577" t="s">
        <v>13</v>
      </c>
      <c r="F5577">
        <v>1</v>
      </c>
      <c r="G5577" t="str">
        <f>VLOOKUP(D5577,Товары!A:I,3,0)</f>
        <v>Пенал напол. Леон 400 оникс 2 двери + 1 ящик</v>
      </c>
      <c r="H5577">
        <f>VLOOKUP(D5577,Товары!A:I,6,0)</f>
        <v>190</v>
      </c>
      <c r="I5577" t="str">
        <f>VLOOKUP(C5577,Магазины!A:C,3,0)</f>
        <v>Кемерово</v>
      </c>
      <c r="J5577">
        <f>VLOOKUP(D5577,Товары!A:I,4,0)</f>
        <v>18450</v>
      </c>
      <c r="K5577">
        <f t="shared" si="87"/>
        <v>18450</v>
      </c>
    </row>
    <row r="5578" spans="1:11" hidden="1" x14ac:dyDescent="0.25">
      <c r="A5578">
        <v>5577</v>
      </c>
      <c r="B5578" s="1">
        <v>45752</v>
      </c>
      <c r="C5578" t="s">
        <v>20</v>
      </c>
      <c r="D5578" t="s">
        <v>110</v>
      </c>
      <c r="E5578" t="s">
        <v>8</v>
      </c>
      <c r="F5578">
        <v>1</v>
      </c>
      <c r="G5578" t="str">
        <f>VLOOKUP(D5578,Товары!A:I,3,0)</f>
        <v>Тумба с раковиной  напол. Альба 600 антрацит 2 ящика с умыв. Океан</v>
      </c>
      <c r="H5578">
        <f>VLOOKUP(D5578,Товары!A:I,6,0)</f>
        <v>80</v>
      </c>
      <c r="I5578" t="str">
        <f>VLOOKUP(C5578,Магазины!A:C,3,0)</f>
        <v>Оренбург</v>
      </c>
      <c r="J5578">
        <f>VLOOKUP(D5578,Товары!A:I,4,0)</f>
        <v>26370</v>
      </c>
      <c r="K5578">
        <f t="shared" si="87"/>
        <v>26370</v>
      </c>
    </row>
    <row r="5579" spans="1:11" hidden="1" x14ac:dyDescent="0.25">
      <c r="A5579">
        <v>5578</v>
      </c>
      <c r="B5579" s="1">
        <v>45756</v>
      </c>
      <c r="C5579" t="s">
        <v>33</v>
      </c>
      <c r="D5579" t="s">
        <v>65</v>
      </c>
      <c r="E5579" t="s">
        <v>8</v>
      </c>
      <c r="F5579">
        <v>1</v>
      </c>
      <c r="G5579" t="str">
        <f>VLOOKUP(D5579,Товары!A:I,3,0)</f>
        <v>Тумба с раковиной  навес. Альба 800 суфле 2 ящика с умыв. Слим</v>
      </c>
      <c r="H5579">
        <f>VLOOKUP(D5579,Товары!A:I,6,0)</f>
        <v>50</v>
      </c>
      <c r="I5579" t="str">
        <f>VLOOKUP(C5579,Магазины!A:C,3,0)</f>
        <v>Набережные Челны</v>
      </c>
      <c r="J5579">
        <f>VLOOKUP(D5579,Товары!A:I,4,0)</f>
        <v>26070</v>
      </c>
      <c r="K5579">
        <f t="shared" si="87"/>
        <v>26070</v>
      </c>
    </row>
    <row r="5580" spans="1:11" x14ac:dyDescent="0.25">
      <c r="A5580">
        <v>5579</v>
      </c>
      <c r="B5580" s="1">
        <v>45751</v>
      </c>
      <c r="C5580" t="s">
        <v>30</v>
      </c>
      <c r="D5580" t="s">
        <v>91</v>
      </c>
      <c r="E5580" t="s">
        <v>13</v>
      </c>
      <c r="F5580">
        <v>3</v>
      </c>
      <c r="G5580" t="str">
        <f>VLOOKUP(D5580,Товары!A:I,3,0)</f>
        <v>Пенал навес./напол. Альба 350 мята 2 двери</v>
      </c>
      <c r="H5580">
        <f>VLOOKUP(D5580,Товары!A:I,6,0)</f>
        <v>150</v>
      </c>
      <c r="I5580" t="str">
        <f>VLOOKUP(C5580,Магазины!A:C,3,0)</f>
        <v>Кемерово</v>
      </c>
      <c r="J5580">
        <f>VLOOKUP(D5580,Товары!A:I,4,0)</f>
        <v>11655</v>
      </c>
      <c r="K5580">
        <f t="shared" si="87"/>
        <v>34965</v>
      </c>
    </row>
    <row r="5581" spans="1:11" hidden="1" x14ac:dyDescent="0.25">
      <c r="A5581">
        <v>5580</v>
      </c>
      <c r="B5581" s="1">
        <v>45749</v>
      </c>
      <c r="C5581" t="s">
        <v>9</v>
      </c>
      <c r="D5581" t="s">
        <v>108</v>
      </c>
      <c r="E5581" t="s">
        <v>13</v>
      </c>
      <c r="F5581">
        <v>1</v>
      </c>
      <c r="G5581" t="str">
        <f>VLOOKUP(D5581,Товары!A:I,3,0)</f>
        <v>Тумба с раковиной  навес. Виктория 1000 белый 2 ящика с умыв. Слим</v>
      </c>
      <c r="H5581">
        <f>VLOOKUP(D5581,Товары!A:I,6,0)</f>
        <v>60</v>
      </c>
      <c r="I5581" t="str">
        <f>VLOOKUP(C5581,Магазины!A:C,3,0)</f>
        <v>Кемерово</v>
      </c>
      <c r="J5581">
        <f>VLOOKUP(D5581,Товары!A:I,4,0)</f>
        <v>29205</v>
      </c>
      <c r="K5581">
        <f t="shared" si="87"/>
        <v>29205</v>
      </c>
    </row>
    <row r="5582" spans="1:11" hidden="1" x14ac:dyDescent="0.25">
      <c r="A5582">
        <v>5581</v>
      </c>
      <c r="B5582" s="1">
        <v>45752</v>
      </c>
      <c r="C5582" t="s">
        <v>6</v>
      </c>
      <c r="D5582" t="s">
        <v>80</v>
      </c>
      <c r="E5582" t="s">
        <v>13</v>
      </c>
      <c r="F5582">
        <v>1</v>
      </c>
      <c r="G5582" t="str">
        <f>VLOOKUP(D5582,Товары!A:I,3,0)</f>
        <v>Тумба с раковиной  навес. Сохо 600 белый 2 ящика с умыв. Океан</v>
      </c>
      <c r="H5582">
        <f>VLOOKUP(D5582,Товары!A:I,6,0)</f>
        <v>55</v>
      </c>
      <c r="I5582" t="str">
        <f>VLOOKUP(C5582,Магазины!A:C,3,0)</f>
        <v>Оренбург</v>
      </c>
      <c r="J5582">
        <f>VLOOKUP(D5582,Товары!A:I,4,0)</f>
        <v>13950</v>
      </c>
      <c r="K5582">
        <f t="shared" si="87"/>
        <v>13950</v>
      </c>
    </row>
    <row r="5583" spans="1:11" hidden="1" x14ac:dyDescent="0.25">
      <c r="A5583">
        <v>5582</v>
      </c>
      <c r="B5583" s="1">
        <v>45748</v>
      </c>
      <c r="C5583" t="s">
        <v>103</v>
      </c>
      <c r="D5583" t="s">
        <v>82</v>
      </c>
      <c r="E5583" t="s">
        <v>13</v>
      </c>
      <c r="F5583">
        <v>1</v>
      </c>
      <c r="G5583" t="str">
        <f>VLOOKUP(D5583,Товары!A:I,3,0)</f>
        <v>Тумба с раковиной  навес. Леон 800 форест 2 ящика с умыв. Слим</v>
      </c>
      <c r="H5583">
        <f>VLOOKUP(D5583,Товары!A:I,6,0)</f>
        <v>60</v>
      </c>
      <c r="I5583" t="str">
        <f>VLOOKUP(C5583,Магазины!A:C,3,0)</f>
        <v>Ставрополь</v>
      </c>
      <c r="J5583">
        <f>VLOOKUP(D5583,Товары!A:I,4,0)</f>
        <v>27930</v>
      </c>
      <c r="K5583">
        <f t="shared" si="87"/>
        <v>27930</v>
      </c>
    </row>
    <row r="5584" spans="1:11" hidden="1" x14ac:dyDescent="0.25">
      <c r="A5584">
        <v>5583</v>
      </c>
      <c r="B5584" s="1">
        <v>45750</v>
      </c>
      <c r="C5584" t="s">
        <v>103</v>
      </c>
      <c r="D5584" t="s">
        <v>64</v>
      </c>
      <c r="E5584" t="s">
        <v>13</v>
      </c>
      <c r="F5584">
        <v>2</v>
      </c>
      <c r="G5584" t="str">
        <f>VLOOKUP(D5584,Товары!A:I,3,0)</f>
        <v>Тумба с раковиной  напол. Рица 800 антрацит 2 ящика с умыв. Слим</v>
      </c>
      <c r="H5584">
        <f>VLOOKUP(D5584,Товары!A:I,6,0)</f>
        <v>80</v>
      </c>
      <c r="I5584" t="str">
        <f>VLOOKUP(C5584,Магазины!A:C,3,0)</f>
        <v>Ставрополь</v>
      </c>
      <c r="J5584">
        <f>VLOOKUP(D5584,Товары!A:I,4,0)</f>
        <v>28980</v>
      </c>
      <c r="K5584">
        <f t="shared" si="87"/>
        <v>57960</v>
      </c>
    </row>
    <row r="5585" spans="1:11" hidden="1" x14ac:dyDescent="0.25">
      <c r="A5585">
        <v>5584</v>
      </c>
      <c r="B5585" s="1">
        <v>45757</v>
      </c>
      <c r="C5585" t="s">
        <v>18</v>
      </c>
      <c r="D5585" t="s">
        <v>82</v>
      </c>
      <c r="E5585" t="s">
        <v>8</v>
      </c>
      <c r="F5585">
        <v>1</v>
      </c>
      <c r="G5585" t="str">
        <f>VLOOKUP(D5585,Товары!A:I,3,0)</f>
        <v>Тумба с раковиной  навес. Леон 800 форест 2 ящика с умыв. Слим</v>
      </c>
      <c r="H5585">
        <f>VLOOKUP(D5585,Товары!A:I,6,0)</f>
        <v>60</v>
      </c>
      <c r="I5585" t="str">
        <f>VLOOKUP(C5585,Магазины!A:C,3,0)</f>
        <v>Набережные Челны</v>
      </c>
      <c r="J5585">
        <f>VLOOKUP(D5585,Товары!A:I,4,0)</f>
        <v>27930</v>
      </c>
      <c r="K5585">
        <f t="shared" si="87"/>
        <v>27930</v>
      </c>
    </row>
    <row r="5586" spans="1:11" hidden="1" x14ac:dyDescent="0.25">
      <c r="A5586">
        <v>5585</v>
      </c>
      <c r="B5586" s="1">
        <v>45748</v>
      </c>
      <c r="C5586" t="s">
        <v>63</v>
      </c>
      <c r="D5586" t="s">
        <v>94</v>
      </c>
      <c r="E5586" t="s">
        <v>13</v>
      </c>
      <c r="F5586">
        <v>1</v>
      </c>
      <c r="G5586" t="str">
        <f>VLOOKUP(D5586,Товары!A:I,3,0)</f>
        <v>Зеркальный шкаф Альба 80 со светильником правый цвет антрацит</v>
      </c>
      <c r="H5586">
        <f>VLOOKUP(D5586,Товары!A:I,6,0)</f>
        <v>75</v>
      </c>
      <c r="I5586" t="str">
        <f>VLOOKUP(C5586,Магазины!A:C,3,0)</f>
        <v>Ставрополь</v>
      </c>
      <c r="J5586">
        <f>VLOOKUP(D5586,Товары!A:I,4,0)</f>
        <v>9930</v>
      </c>
      <c r="K5586">
        <f t="shared" si="87"/>
        <v>9930</v>
      </c>
    </row>
    <row r="5587" spans="1:11" hidden="1" x14ac:dyDescent="0.25">
      <c r="A5587">
        <v>5586</v>
      </c>
      <c r="B5587" s="1">
        <v>45753</v>
      </c>
      <c r="C5587" t="s">
        <v>57</v>
      </c>
      <c r="D5587" t="s">
        <v>25</v>
      </c>
      <c r="E5587" t="s">
        <v>13</v>
      </c>
      <c r="F5587">
        <v>3</v>
      </c>
      <c r="G5587" t="str">
        <f>VLOOKUP(D5587,Товары!A:I,3,0)</f>
        <v>Пенал напол. Леон 400 оникс 2 двери + 1 ящик</v>
      </c>
      <c r="H5587">
        <f>VLOOKUP(D5587,Товары!A:I,6,0)</f>
        <v>190</v>
      </c>
      <c r="I5587" t="str">
        <f>VLOOKUP(C5587,Магазины!A:C,3,0)</f>
        <v>Оренбург</v>
      </c>
      <c r="J5587">
        <f>VLOOKUP(D5587,Товары!A:I,4,0)</f>
        <v>18450</v>
      </c>
      <c r="K5587">
        <f t="shared" si="87"/>
        <v>55350</v>
      </c>
    </row>
    <row r="5588" spans="1:11" hidden="1" x14ac:dyDescent="0.25">
      <c r="A5588">
        <v>5587</v>
      </c>
      <c r="B5588" s="1">
        <v>45749</v>
      </c>
      <c r="C5588" t="s">
        <v>18</v>
      </c>
      <c r="D5588" t="s">
        <v>117</v>
      </c>
      <c r="E5588" t="s">
        <v>8</v>
      </c>
      <c r="F5588">
        <v>3</v>
      </c>
      <c r="G5588" t="str">
        <f>VLOOKUP(D5588,Товары!A:I,3,0)</f>
        <v>Тумба с раковиной  навес. Альба 700 антрацит 2 ящика с умыв. Слим</v>
      </c>
      <c r="H5588">
        <f>VLOOKUP(D5588,Товары!A:I,6,0)</f>
        <v>60</v>
      </c>
      <c r="I5588" t="str">
        <f>VLOOKUP(C5588,Магазины!A:C,3,0)</f>
        <v>Набережные Челны</v>
      </c>
      <c r="J5588">
        <f>VLOOKUP(D5588,Товары!A:I,4,0)</f>
        <v>25095</v>
      </c>
      <c r="K5588">
        <f t="shared" si="87"/>
        <v>75285</v>
      </c>
    </row>
    <row r="5589" spans="1:11" hidden="1" x14ac:dyDescent="0.25">
      <c r="A5589">
        <v>5588</v>
      </c>
      <c r="B5589" s="1">
        <v>45753</v>
      </c>
      <c r="C5589" t="s">
        <v>30</v>
      </c>
      <c r="D5589" t="s">
        <v>120</v>
      </c>
      <c r="E5589" t="s">
        <v>8</v>
      </c>
      <c r="F5589">
        <v>3</v>
      </c>
      <c r="G5589" t="str">
        <f>VLOOKUP(D5589,Товары!A:I,3,0)</f>
        <v>Зеркальный шкаф Альба 60 со светильником правый цвет антрацит</v>
      </c>
      <c r="H5589">
        <f>VLOOKUP(D5589,Товары!A:I,6,0)</f>
        <v>75</v>
      </c>
      <c r="I5589" t="str">
        <f>VLOOKUP(C5589,Магазины!A:C,3,0)</f>
        <v>Кемерово</v>
      </c>
      <c r="J5589">
        <f>VLOOKUP(D5589,Товары!A:I,4,0)</f>
        <v>8910</v>
      </c>
      <c r="K5589">
        <f t="shared" si="87"/>
        <v>26730</v>
      </c>
    </row>
    <row r="5590" spans="1:11" hidden="1" x14ac:dyDescent="0.25">
      <c r="A5590">
        <v>5589</v>
      </c>
      <c r="B5590" s="1">
        <v>45754</v>
      </c>
      <c r="C5590" t="s">
        <v>57</v>
      </c>
      <c r="D5590" t="s">
        <v>109</v>
      </c>
      <c r="E5590" t="s">
        <v>13</v>
      </c>
      <c r="F5590">
        <v>1</v>
      </c>
      <c r="G5590" t="str">
        <f>VLOOKUP(D5590,Товары!A:I,3,0)</f>
        <v>Тумба с раковиной  навес. Альба 600 антрацит 2 ящика с умыв. Океан</v>
      </c>
      <c r="H5590">
        <f>VLOOKUP(D5590,Товары!A:I,6,0)</f>
        <v>50</v>
      </c>
      <c r="I5590" t="str">
        <f>VLOOKUP(C5590,Магазины!A:C,3,0)</f>
        <v>Оренбург</v>
      </c>
      <c r="J5590">
        <f>VLOOKUP(D5590,Товары!A:I,4,0)</f>
        <v>24810</v>
      </c>
      <c r="K5590">
        <f t="shared" si="87"/>
        <v>24810</v>
      </c>
    </row>
    <row r="5591" spans="1:11" hidden="1" x14ac:dyDescent="0.25">
      <c r="A5591">
        <v>5590</v>
      </c>
      <c r="B5591" s="1">
        <v>45753</v>
      </c>
      <c r="C5591" t="s">
        <v>103</v>
      </c>
      <c r="D5591" t="s">
        <v>128</v>
      </c>
      <c r="E5591" t="s">
        <v>8</v>
      </c>
      <c r="F5591">
        <v>3</v>
      </c>
      <c r="G5591" t="str">
        <f>VLOOKUP(D5591,Товары!A:I,3,0)</f>
        <v>Тумба с раковиной  напол. Куба Риф 1000 белый 2 ящика с умыв. Слим</v>
      </c>
      <c r="H5591">
        <f>VLOOKUP(D5591,Товары!A:I,6,0)</f>
        <v>85</v>
      </c>
      <c r="I5591" t="str">
        <f>VLOOKUP(C5591,Магазины!A:C,3,0)</f>
        <v>Ставрополь</v>
      </c>
      <c r="J5591">
        <f>VLOOKUP(D5591,Товары!A:I,4,0)</f>
        <v>22905</v>
      </c>
      <c r="K5591">
        <f t="shared" si="87"/>
        <v>68715</v>
      </c>
    </row>
    <row r="5592" spans="1:11" hidden="1" x14ac:dyDescent="0.25">
      <c r="A5592">
        <v>5591</v>
      </c>
      <c r="B5592" s="1">
        <v>45751</v>
      </c>
      <c r="C5592" t="s">
        <v>6</v>
      </c>
      <c r="D5592" t="s">
        <v>51</v>
      </c>
      <c r="E5592" t="s">
        <v>8</v>
      </c>
      <c r="F5592">
        <v>3</v>
      </c>
      <c r="G5592" t="str">
        <f>VLOOKUP(D5592,Товары!A:I,3,0)</f>
        <v>Зеркальный шкаф Альба 80 со светильником правый цвет суфле</v>
      </c>
      <c r="H5592">
        <f>VLOOKUP(D5592,Товары!A:I,6,0)</f>
        <v>75</v>
      </c>
      <c r="I5592" t="str">
        <f>VLOOKUP(C5592,Магазины!A:C,3,0)</f>
        <v>Оренбург</v>
      </c>
      <c r="J5592">
        <f>VLOOKUP(D5592,Товары!A:I,4,0)</f>
        <v>9930</v>
      </c>
      <c r="K5592">
        <f t="shared" si="87"/>
        <v>29790</v>
      </c>
    </row>
    <row r="5593" spans="1:11" hidden="1" x14ac:dyDescent="0.25">
      <c r="A5593">
        <v>5592</v>
      </c>
      <c r="B5593" s="1">
        <v>45750</v>
      </c>
      <c r="C5593" t="s">
        <v>33</v>
      </c>
      <c r="D5593" t="s">
        <v>112</v>
      </c>
      <c r="E5593" t="s">
        <v>13</v>
      </c>
      <c r="F5593">
        <v>2</v>
      </c>
      <c r="G5593" t="str">
        <f>VLOOKUP(D5593,Товары!A:I,3,0)</f>
        <v>Тумба с раковиной  напол. Аква 560 белый 2 двери с умыв. Уют</v>
      </c>
      <c r="H5593">
        <f>VLOOKUP(D5593,Товары!A:I,6,0)</f>
        <v>85</v>
      </c>
      <c r="I5593" t="str">
        <f>VLOOKUP(C5593,Магазины!A:C,3,0)</f>
        <v>Набережные Челны</v>
      </c>
      <c r="J5593">
        <f>VLOOKUP(D5593,Товары!A:I,4,0)</f>
        <v>9330</v>
      </c>
      <c r="K5593">
        <f t="shared" si="87"/>
        <v>18660</v>
      </c>
    </row>
    <row r="5594" spans="1:11" hidden="1" x14ac:dyDescent="0.25">
      <c r="A5594">
        <v>5593</v>
      </c>
      <c r="B5594" s="1">
        <v>45752</v>
      </c>
      <c r="C5594" t="s">
        <v>48</v>
      </c>
      <c r="D5594" t="s">
        <v>81</v>
      </c>
      <c r="E5594" t="s">
        <v>8</v>
      </c>
      <c r="F5594">
        <v>2</v>
      </c>
      <c r="G5594" t="str">
        <f>VLOOKUP(D5594,Товары!A:I,3,0)</f>
        <v>Тумба с раковиной  навес. Рица 600 cерый/керамика 1 ящик + ниша 1 с умыв. Океан</v>
      </c>
      <c r="H5594">
        <f>VLOOKUP(D5594,Товары!A:I,6,0)</f>
        <v>60</v>
      </c>
      <c r="I5594" t="str">
        <f>VLOOKUP(C5594,Магазины!A:C,3,0)</f>
        <v>Ставрополь</v>
      </c>
      <c r="J5594">
        <f>VLOOKUP(D5594,Товары!A:I,4,0)</f>
        <v>18900</v>
      </c>
      <c r="K5594">
        <f t="shared" si="87"/>
        <v>37800</v>
      </c>
    </row>
    <row r="5595" spans="1:11" hidden="1" x14ac:dyDescent="0.25">
      <c r="A5595">
        <v>5594</v>
      </c>
      <c r="B5595" s="1">
        <v>45750</v>
      </c>
      <c r="C5595" t="s">
        <v>33</v>
      </c>
      <c r="D5595" t="s">
        <v>84</v>
      </c>
      <c r="E5595" t="s">
        <v>8</v>
      </c>
      <c r="F5595">
        <v>1</v>
      </c>
      <c r="G5595" t="str">
        <f>VLOOKUP(D5595,Товары!A:I,3,0)</f>
        <v>Тумба с раковиной  напол. Куба Риф 800 белый 3 двери с умыв. Слим</v>
      </c>
      <c r="H5595">
        <f>VLOOKUP(D5595,Товары!A:I,6,0)</f>
        <v>85</v>
      </c>
      <c r="I5595" t="str">
        <f>VLOOKUP(C5595,Магазины!A:C,3,0)</f>
        <v>Набережные Челны</v>
      </c>
      <c r="J5595">
        <f>VLOOKUP(D5595,Товары!A:I,4,0)</f>
        <v>19920</v>
      </c>
      <c r="K5595">
        <f t="shared" si="87"/>
        <v>19920</v>
      </c>
    </row>
    <row r="5596" spans="1:11" hidden="1" x14ac:dyDescent="0.25">
      <c r="A5596">
        <v>5595</v>
      </c>
      <c r="B5596" s="1">
        <v>45757</v>
      </c>
      <c r="C5596" t="s">
        <v>41</v>
      </c>
      <c r="D5596" t="s">
        <v>71</v>
      </c>
      <c r="E5596" t="s">
        <v>13</v>
      </c>
      <c r="F5596">
        <v>3</v>
      </c>
      <c r="G5596" t="str">
        <f>VLOOKUP(D5596,Товары!A:I,3,0)</f>
        <v>Тумба с раковиной  навес. Альба 600 мята 2 ящика с умыв. Океан</v>
      </c>
      <c r="H5596">
        <f>VLOOKUP(D5596,Товары!A:I,6,0)</f>
        <v>50</v>
      </c>
      <c r="I5596" t="str">
        <f>VLOOKUP(C5596,Магазины!A:C,3,0)</f>
        <v>Ставрополь</v>
      </c>
      <c r="J5596">
        <f>VLOOKUP(D5596,Товары!A:I,4,0)</f>
        <v>24810</v>
      </c>
      <c r="K5596">
        <f t="shared" si="87"/>
        <v>74430</v>
      </c>
    </row>
    <row r="5597" spans="1:11" hidden="1" x14ac:dyDescent="0.25">
      <c r="A5597">
        <v>5596</v>
      </c>
      <c r="B5597" s="1">
        <v>45752</v>
      </c>
      <c r="C5597" t="s">
        <v>16</v>
      </c>
      <c r="D5597" t="s">
        <v>102</v>
      </c>
      <c r="E5597" t="s">
        <v>13</v>
      </c>
      <c r="F5597">
        <v>3</v>
      </c>
      <c r="G5597" t="str">
        <f>VLOOKUP(D5597,Товары!A:I,3,0)</f>
        <v>Тумба с раковиной  напол. Леон Риф 1000 солярис/белый риф 2 ящика с умыв. Слим</v>
      </c>
      <c r="H5597">
        <f>VLOOKUP(D5597,Товары!A:I,6,0)</f>
        <v>85</v>
      </c>
      <c r="I5597" t="str">
        <f>VLOOKUP(C5597,Магазины!A:C,3,0)</f>
        <v>Оренбург</v>
      </c>
      <c r="J5597">
        <f>VLOOKUP(D5597,Товары!A:I,4,0)</f>
        <v>32085</v>
      </c>
      <c r="K5597">
        <f t="shared" si="87"/>
        <v>96255</v>
      </c>
    </row>
    <row r="5598" spans="1:11" hidden="1" x14ac:dyDescent="0.25">
      <c r="A5598">
        <v>5597</v>
      </c>
      <c r="B5598" s="1">
        <v>45750</v>
      </c>
      <c r="C5598" t="s">
        <v>35</v>
      </c>
      <c r="D5598" t="s">
        <v>64</v>
      </c>
      <c r="E5598" t="s">
        <v>8</v>
      </c>
      <c r="F5598">
        <v>1</v>
      </c>
      <c r="G5598" t="str">
        <f>VLOOKUP(D5598,Товары!A:I,3,0)</f>
        <v>Тумба с раковиной  напол. Рица 800 антрацит 2 ящика с умыв. Слим</v>
      </c>
      <c r="H5598">
        <f>VLOOKUP(D5598,Товары!A:I,6,0)</f>
        <v>80</v>
      </c>
      <c r="I5598" t="str">
        <f>VLOOKUP(C5598,Магазины!A:C,3,0)</f>
        <v>Набережные Челны</v>
      </c>
      <c r="J5598">
        <f>VLOOKUP(D5598,Товары!A:I,4,0)</f>
        <v>28980</v>
      </c>
      <c r="K5598">
        <f t="shared" si="87"/>
        <v>28980</v>
      </c>
    </row>
    <row r="5599" spans="1:11" hidden="1" x14ac:dyDescent="0.25">
      <c r="A5599">
        <v>5598</v>
      </c>
      <c r="B5599" s="1">
        <v>45753</v>
      </c>
      <c r="C5599" t="s">
        <v>30</v>
      </c>
      <c r="D5599" t="s">
        <v>56</v>
      </c>
      <c r="E5599" t="s">
        <v>8</v>
      </c>
      <c r="F5599">
        <v>1</v>
      </c>
      <c r="G5599" t="str">
        <f>VLOOKUP(D5599,Товары!A:I,3,0)</f>
        <v>Зеркальный шкаф Альба 80 со светильником правый цвет мята</v>
      </c>
      <c r="H5599">
        <f>VLOOKUP(D5599,Товары!A:I,6,0)</f>
        <v>75</v>
      </c>
      <c r="I5599" t="str">
        <f>VLOOKUP(C5599,Магазины!A:C,3,0)</f>
        <v>Кемерово</v>
      </c>
      <c r="J5599">
        <f>VLOOKUP(D5599,Товары!A:I,4,0)</f>
        <v>9930</v>
      </c>
      <c r="K5599">
        <f t="shared" si="87"/>
        <v>9930</v>
      </c>
    </row>
    <row r="5600" spans="1:11" hidden="1" x14ac:dyDescent="0.25">
      <c r="A5600">
        <v>5599</v>
      </c>
      <c r="B5600" s="1">
        <v>45755</v>
      </c>
      <c r="C5600" t="s">
        <v>33</v>
      </c>
      <c r="D5600" t="s">
        <v>36</v>
      </c>
      <c r="E5600" t="s">
        <v>13</v>
      </c>
      <c r="F5600">
        <v>1</v>
      </c>
      <c r="G5600" t="str">
        <f>VLOOKUP(D5600,Товары!A:I,3,0)</f>
        <v>Тумба с раковиной  напол. Альба 800 мята 2 ящика с умыв. Слим</v>
      </c>
      <c r="H5600">
        <f>VLOOKUP(D5600,Товары!A:I,6,0)</f>
        <v>80</v>
      </c>
      <c r="I5600" t="str">
        <f>VLOOKUP(C5600,Магазины!A:C,3,0)</f>
        <v>Набережные Челны</v>
      </c>
      <c r="J5600">
        <f>VLOOKUP(D5600,Товары!A:I,4,0)</f>
        <v>29340</v>
      </c>
      <c r="K5600">
        <f t="shared" si="87"/>
        <v>29340</v>
      </c>
    </row>
    <row r="5601" spans="1:11" hidden="1" x14ac:dyDescent="0.25">
      <c r="A5601">
        <v>5600</v>
      </c>
      <c r="B5601" s="1">
        <v>45757</v>
      </c>
      <c r="C5601" t="s">
        <v>30</v>
      </c>
      <c r="D5601" t="s">
        <v>73</v>
      </c>
      <c r="E5601" t="s">
        <v>13</v>
      </c>
      <c r="F5601">
        <v>1</v>
      </c>
      <c r="G5601" t="str">
        <f>VLOOKUP(D5601,Товары!A:I,3,0)</f>
        <v>Зеркальный шкаф Альба 70 со светильником правый цвет антрацит</v>
      </c>
      <c r="H5601">
        <f>VLOOKUP(D5601,Товары!A:I,6,0)</f>
        <v>75</v>
      </c>
      <c r="I5601" t="str">
        <f>VLOOKUP(C5601,Магазины!A:C,3,0)</f>
        <v>Кемерово</v>
      </c>
      <c r="J5601">
        <f>VLOOKUP(D5601,Товары!A:I,4,0)</f>
        <v>9615</v>
      </c>
      <c r="K5601">
        <f t="shared" si="87"/>
        <v>9615</v>
      </c>
    </row>
    <row r="5602" spans="1:11" hidden="1" x14ac:dyDescent="0.25">
      <c r="A5602">
        <v>5601</v>
      </c>
      <c r="B5602" s="1">
        <v>45753</v>
      </c>
      <c r="C5602" t="s">
        <v>48</v>
      </c>
      <c r="D5602" t="s">
        <v>115</v>
      </c>
      <c r="E5602" t="s">
        <v>8</v>
      </c>
      <c r="F5602">
        <v>2</v>
      </c>
      <c r="G5602" t="str">
        <f>VLOOKUP(D5602,Товары!A:I,3,0)</f>
        <v>Тумба под стиральную машину Куба Риф 57 напольная 2 ящика под ст/маш, без умывальника /под Marshall 120 Белый</v>
      </c>
      <c r="H5602">
        <f>VLOOKUP(D5602,Товары!A:I,6,0)</f>
        <v>85</v>
      </c>
      <c r="I5602" t="str">
        <f>VLOOKUP(C5602,Магазины!A:C,3,0)</f>
        <v>Ставрополь</v>
      </c>
      <c r="J5602">
        <f>VLOOKUP(D5602,Товары!A:I,4,0)</f>
        <v>10530</v>
      </c>
      <c r="K5602">
        <f t="shared" si="87"/>
        <v>21060</v>
      </c>
    </row>
    <row r="5603" spans="1:11" hidden="1" x14ac:dyDescent="0.25">
      <c r="A5603">
        <v>5602</v>
      </c>
      <c r="B5603" s="1">
        <v>45751</v>
      </c>
      <c r="C5603" t="s">
        <v>33</v>
      </c>
      <c r="D5603" t="s">
        <v>124</v>
      </c>
      <c r="E5603" t="s">
        <v>13</v>
      </c>
      <c r="F5603">
        <v>2</v>
      </c>
      <c r="G5603" t="str">
        <f>VLOOKUP(D5603,Товары!A:I,3,0)</f>
        <v>Тумба с раковиной  напол. Леон 600 оникс 2 ящика с умыв. Океан</v>
      </c>
      <c r="H5603">
        <f>VLOOKUP(D5603,Товары!A:I,6,0)</f>
        <v>80</v>
      </c>
      <c r="I5603" t="str">
        <f>VLOOKUP(C5603,Магазины!A:C,3,0)</f>
        <v>Набережные Челны</v>
      </c>
      <c r="J5603">
        <f>VLOOKUP(D5603,Товары!A:I,4,0)</f>
        <v>25860</v>
      </c>
      <c r="K5603">
        <f t="shared" si="87"/>
        <v>51720</v>
      </c>
    </row>
    <row r="5604" spans="1:11" hidden="1" x14ac:dyDescent="0.25">
      <c r="A5604">
        <v>5603</v>
      </c>
      <c r="B5604" s="1">
        <v>45757</v>
      </c>
      <c r="C5604" t="s">
        <v>48</v>
      </c>
      <c r="D5604" t="s">
        <v>12</v>
      </c>
      <c r="E5604" t="s">
        <v>8</v>
      </c>
      <c r="F5604">
        <v>2</v>
      </c>
      <c r="G5604" t="str">
        <f>VLOOKUP(D5604,Товары!A:I,3,0)</f>
        <v>Тумба с раковиной  напол. Сохо 700 белый 2 двери с умыв. Слим</v>
      </c>
      <c r="H5604">
        <f>VLOOKUP(D5604,Товары!A:I,6,0)</f>
        <v>85</v>
      </c>
      <c r="I5604" t="str">
        <f>VLOOKUP(C5604,Магазины!A:C,3,0)</f>
        <v>Ставрополь</v>
      </c>
      <c r="J5604">
        <f>VLOOKUP(D5604,Товары!A:I,4,0)</f>
        <v>17160</v>
      </c>
      <c r="K5604">
        <f t="shared" si="87"/>
        <v>34320</v>
      </c>
    </row>
    <row r="5605" spans="1:11" hidden="1" x14ac:dyDescent="0.25">
      <c r="A5605">
        <v>5604</v>
      </c>
      <c r="B5605" s="1">
        <v>45751</v>
      </c>
      <c r="C5605" t="s">
        <v>111</v>
      </c>
      <c r="D5605" t="s">
        <v>117</v>
      </c>
      <c r="E5605" t="s">
        <v>8</v>
      </c>
      <c r="F5605">
        <v>3</v>
      </c>
      <c r="G5605" t="str">
        <f>VLOOKUP(D5605,Товары!A:I,3,0)</f>
        <v>Тумба с раковиной  навес. Альба 700 антрацит 2 ящика с умыв. Слим</v>
      </c>
      <c r="H5605">
        <f>VLOOKUP(D5605,Товары!A:I,6,0)</f>
        <v>60</v>
      </c>
      <c r="I5605" t="str">
        <f>VLOOKUP(C5605,Магазины!A:C,3,0)</f>
        <v>Набережные Челны</v>
      </c>
      <c r="J5605">
        <f>VLOOKUP(D5605,Товары!A:I,4,0)</f>
        <v>25095</v>
      </c>
      <c r="K5605">
        <f t="shared" si="87"/>
        <v>75285</v>
      </c>
    </row>
    <row r="5606" spans="1:11" hidden="1" x14ac:dyDescent="0.25">
      <c r="A5606">
        <v>5605</v>
      </c>
      <c r="B5606" s="1">
        <v>45750</v>
      </c>
      <c r="C5606" t="s">
        <v>28</v>
      </c>
      <c r="D5606" t="s">
        <v>61</v>
      </c>
      <c r="E5606" t="s">
        <v>8</v>
      </c>
      <c r="F5606">
        <v>2</v>
      </c>
      <c r="G5606" t="str">
        <f>VLOOKUP(D5606,Товары!A:I,3,0)</f>
        <v>Тумба под стиральную машину Леон Риф 57 напольная 2 ящика под ст/маш, без умывальника /под Marshall 120 Солярис/Белый Риф</v>
      </c>
      <c r="H5606">
        <f>VLOOKUP(D5606,Товары!A:I,6,0)</f>
        <v>85</v>
      </c>
      <c r="I5606" t="str">
        <f>VLOOKUP(C5606,Магазины!A:C,3,0)</f>
        <v>Набережные Челны</v>
      </c>
      <c r="J5606">
        <f>VLOOKUP(D5606,Товары!A:I,4,0)</f>
        <v>17430</v>
      </c>
      <c r="K5606">
        <f t="shared" si="87"/>
        <v>34860</v>
      </c>
    </row>
    <row r="5607" spans="1:11" hidden="1" x14ac:dyDescent="0.25">
      <c r="A5607">
        <v>5606</v>
      </c>
      <c r="B5607" s="1">
        <v>45753</v>
      </c>
      <c r="C5607" t="s">
        <v>30</v>
      </c>
      <c r="D5607" t="s">
        <v>121</v>
      </c>
      <c r="E5607" t="s">
        <v>8</v>
      </c>
      <c r="F5607">
        <v>3</v>
      </c>
      <c r="G5607" t="str">
        <f>VLOOKUP(D5607,Товары!A:I,3,0)</f>
        <v>Тумба с раковиной  напол. Куба Риф 600 белый 2 двери с умыв. Como</v>
      </c>
      <c r="H5607">
        <f>VLOOKUP(D5607,Товары!A:I,6,0)</f>
        <v>85</v>
      </c>
      <c r="I5607" t="str">
        <f>VLOOKUP(C5607,Магазины!A:C,3,0)</f>
        <v>Кемерово</v>
      </c>
      <c r="J5607">
        <f>VLOOKUP(D5607,Товары!A:I,4,0)</f>
        <v>13695</v>
      </c>
      <c r="K5607">
        <f t="shared" si="87"/>
        <v>41085</v>
      </c>
    </row>
    <row r="5608" spans="1:11" hidden="1" x14ac:dyDescent="0.25">
      <c r="A5608">
        <v>5607</v>
      </c>
      <c r="B5608" s="1">
        <v>45752</v>
      </c>
      <c r="C5608" t="s">
        <v>41</v>
      </c>
      <c r="D5608" t="s">
        <v>21</v>
      </c>
      <c r="E5608" t="s">
        <v>8</v>
      </c>
      <c r="F5608">
        <v>2</v>
      </c>
      <c r="G5608" t="str">
        <f>VLOOKUP(D5608,Товары!A:I,3,0)</f>
        <v>Зеркальный шкаф Рица 60 со светильником правый цвет cерый/керамика</v>
      </c>
      <c r="H5608">
        <f>VLOOKUP(D5608,Товары!A:I,6,0)</f>
        <v>75</v>
      </c>
      <c r="I5608" t="str">
        <f>VLOOKUP(C5608,Магазины!A:C,3,0)</f>
        <v>Ставрополь</v>
      </c>
      <c r="J5608">
        <f>VLOOKUP(D5608,Товары!A:I,4,0)</f>
        <v>8910</v>
      </c>
      <c r="K5608">
        <f t="shared" si="87"/>
        <v>17820</v>
      </c>
    </row>
    <row r="5609" spans="1:11" hidden="1" x14ac:dyDescent="0.25">
      <c r="A5609">
        <v>5608</v>
      </c>
      <c r="B5609" s="1">
        <v>45754</v>
      </c>
      <c r="C5609" t="s">
        <v>54</v>
      </c>
      <c r="D5609" t="s">
        <v>80</v>
      </c>
      <c r="E5609" t="s">
        <v>13</v>
      </c>
      <c r="F5609">
        <v>3</v>
      </c>
      <c r="G5609" t="str">
        <f>VLOOKUP(D5609,Товары!A:I,3,0)</f>
        <v>Тумба с раковиной  навес. Сохо 600 белый 2 ящика с умыв. Океан</v>
      </c>
      <c r="H5609">
        <f>VLOOKUP(D5609,Товары!A:I,6,0)</f>
        <v>55</v>
      </c>
      <c r="I5609" t="str">
        <f>VLOOKUP(C5609,Магазины!A:C,3,0)</f>
        <v>Ставрополь</v>
      </c>
      <c r="J5609">
        <f>VLOOKUP(D5609,Товары!A:I,4,0)</f>
        <v>13950</v>
      </c>
      <c r="K5609">
        <f t="shared" si="87"/>
        <v>41850</v>
      </c>
    </row>
    <row r="5610" spans="1:11" hidden="1" x14ac:dyDescent="0.25">
      <c r="A5610">
        <v>5609</v>
      </c>
      <c r="B5610" s="1">
        <v>45755</v>
      </c>
      <c r="C5610" t="s">
        <v>33</v>
      </c>
      <c r="D5610" t="s">
        <v>53</v>
      </c>
      <c r="E5610" t="s">
        <v>8</v>
      </c>
      <c r="F5610">
        <v>2</v>
      </c>
      <c r="G5610" t="str">
        <f>VLOOKUP(D5610,Товары!A:I,3,0)</f>
        <v>Тумба с раковиной  напол. Кристалл 600 шато азур 2 ящика с умыв. Океан</v>
      </c>
      <c r="H5610">
        <f>VLOOKUP(D5610,Товары!A:I,6,0)</f>
        <v>85</v>
      </c>
      <c r="I5610" t="str">
        <f>VLOOKUP(C5610,Магазины!A:C,3,0)</f>
        <v>Набережные Челны</v>
      </c>
      <c r="J5610">
        <f>VLOOKUP(D5610,Товары!A:I,4,0)</f>
        <v>27600</v>
      </c>
      <c r="K5610">
        <f t="shared" si="87"/>
        <v>55200</v>
      </c>
    </row>
    <row r="5611" spans="1:11" hidden="1" x14ac:dyDescent="0.25">
      <c r="A5611">
        <v>5610</v>
      </c>
      <c r="B5611" s="1">
        <v>45757</v>
      </c>
      <c r="C5611" t="s">
        <v>30</v>
      </c>
      <c r="D5611" t="s">
        <v>10</v>
      </c>
      <c r="E5611" t="s">
        <v>8</v>
      </c>
      <c r="F5611">
        <v>3</v>
      </c>
      <c r="G5611" t="str">
        <f>VLOOKUP(D5611,Товары!A:I,3,0)</f>
        <v>Тумба с раковиной  навес. Альба 700 антрацит 1 ящик с умыв. Слим</v>
      </c>
      <c r="H5611">
        <f>VLOOKUP(D5611,Товары!A:I,6,0)</f>
        <v>45</v>
      </c>
      <c r="I5611" t="str">
        <f>VLOOKUP(C5611,Магазины!A:C,3,0)</f>
        <v>Кемерово</v>
      </c>
      <c r="J5611">
        <f>VLOOKUP(D5611,Товары!A:I,4,0)</f>
        <v>20130</v>
      </c>
      <c r="K5611">
        <f t="shared" si="87"/>
        <v>60390</v>
      </c>
    </row>
    <row r="5612" spans="1:11" hidden="1" x14ac:dyDescent="0.25">
      <c r="A5612">
        <v>5611</v>
      </c>
      <c r="B5612" s="1">
        <v>45756</v>
      </c>
      <c r="C5612" t="s">
        <v>41</v>
      </c>
      <c r="D5612" t="s">
        <v>98</v>
      </c>
      <c r="E5612" t="s">
        <v>13</v>
      </c>
      <c r="F5612">
        <v>3</v>
      </c>
      <c r="G5612" t="str">
        <f>VLOOKUP(D5612,Товары!A:I,3,0)</f>
        <v>Тумба с раковиной  напол. Рица 800 cерый/керамика 2 ящика с умыв. Слим</v>
      </c>
      <c r="H5612">
        <f>VLOOKUP(D5612,Товары!A:I,6,0)</f>
        <v>80</v>
      </c>
      <c r="I5612" t="str">
        <f>VLOOKUP(C5612,Магазины!A:C,3,0)</f>
        <v>Ставрополь</v>
      </c>
      <c r="J5612">
        <f>VLOOKUP(D5612,Товары!A:I,4,0)</f>
        <v>28980</v>
      </c>
      <c r="K5612">
        <f t="shared" si="87"/>
        <v>86940</v>
      </c>
    </row>
    <row r="5613" spans="1:11" hidden="1" x14ac:dyDescent="0.25">
      <c r="A5613">
        <v>5612</v>
      </c>
      <c r="B5613" s="1">
        <v>45756</v>
      </c>
      <c r="C5613" t="s">
        <v>43</v>
      </c>
      <c r="D5613" t="s">
        <v>121</v>
      </c>
      <c r="E5613" t="s">
        <v>13</v>
      </c>
      <c r="F5613">
        <v>2</v>
      </c>
      <c r="G5613" t="str">
        <f>VLOOKUP(D5613,Товары!A:I,3,0)</f>
        <v>Тумба с раковиной  напол. Куба Риф 600 белый 2 двери с умыв. Como</v>
      </c>
      <c r="H5613">
        <f>VLOOKUP(D5613,Товары!A:I,6,0)</f>
        <v>85</v>
      </c>
      <c r="I5613" t="str">
        <f>VLOOKUP(C5613,Магазины!A:C,3,0)</f>
        <v>Набережные Челны</v>
      </c>
      <c r="J5613">
        <f>VLOOKUP(D5613,Товары!A:I,4,0)</f>
        <v>13695</v>
      </c>
      <c r="K5613">
        <f t="shared" si="87"/>
        <v>27390</v>
      </c>
    </row>
    <row r="5614" spans="1:11" hidden="1" x14ac:dyDescent="0.25">
      <c r="A5614">
        <v>5613</v>
      </c>
      <c r="B5614" s="1">
        <v>45749</v>
      </c>
      <c r="C5614" t="s">
        <v>57</v>
      </c>
      <c r="D5614" t="s">
        <v>69</v>
      </c>
      <c r="E5614" t="s">
        <v>13</v>
      </c>
      <c r="F5614">
        <v>2</v>
      </c>
      <c r="G5614" t="str">
        <f>VLOOKUP(D5614,Товары!A:I,3,0)</f>
        <v>Пенал навес./напол. Альба 350 антрацит 2 двери</v>
      </c>
      <c r="H5614">
        <f>VLOOKUP(D5614,Товары!A:I,6,0)</f>
        <v>150</v>
      </c>
      <c r="I5614" t="str">
        <f>VLOOKUP(C5614,Магазины!A:C,3,0)</f>
        <v>Оренбург</v>
      </c>
      <c r="J5614">
        <f>VLOOKUP(D5614,Товары!A:I,4,0)</f>
        <v>11655</v>
      </c>
      <c r="K5614">
        <f t="shared" si="87"/>
        <v>23310</v>
      </c>
    </row>
    <row r="5615" spans="1:11" hidden="1" x14ac:dyDescent="0.25">
      <c r="A5615">
        <v>5614</v>
      </c>
      <c r="B5615" s="1">
        <v>45754</v>
      </c>
      <c r="C5615" t="s">
        <v>26</v>
      </c>
      <c r="D5615" t="s">
        <v>15</v>
      </c>
      <c r="E5615" t="s">
        <v>13</v>
      </c>
      <c r="F5615">
        <v>3</v>
      </c>
      <c r="G5615" t="str">
        <f>VLOOKUP(D5615,Товары!A:I,3,0)</f>
        <v>Зеркальный шкаф Кристалл 60 со светильником правый, ручка кнопка дуб цвет Шато Азур</v>
      </c>
      <c r="H5615">
        <f>VLOOKUP(D5615,Товары!A:I,6,0)</f>
        <v>75</v>
      </c>
      <c r="I5615" t="str">
        <f>VLOOKUP(C5615,Магазины!A:C,3,0)</f>
        <v>Оренбург</v>
      </c>
      <c r="J5615">
        <f>VLOOKUP(D5615,Товары!A:I,4,0)</f>
        <v>9195</v>
      </c>
      <c r="K5615">
        <f t="shared" si="87"/>
        <v>27585</v>
      </c>
    </row>
    <row r="5616" spans="1:11" hidden="1" x14ac:dyDescent="0.25">
      <c r="A5616">
        <v>5615</v>
      </c>
      <c r="B5616" s="1">
        <v>45754</v>
      </c>
      <c r="C5616" t="s">
        <v>11</v>
      </c>
      <c r="D5616" t="s">
        <v>25</v>
      </c>
      <c r="E5616" t="s">
        <v>13</v>
      </c>
      <c r="F5616">
        <v>1</v>
      </c>
      <c r="G5616" t="str">
        <f>VLOOKUP(D5616,Товары!A:I,3,0)</f>
        <v>Пенал напол. Леон 400 оникс 2 двери + 1 ящик</v>
      </c>
      <c r="H5616">
        <f>VLOOKUP(D5616,Товары!A:I,6,0)</f>
        <v>190</v>
      </c>
      <c r="I5616" t="str">
        <f>VLOOKUP(C5616,Магазины!A:C,3,0)</f>
        <v>Кемерово</v>
      </c>
      <c r="J5616">
        <f>VLOOKUP(D5616,Товары!A:I,4,0)</f>
        <v>18450</v>
      </c>
      <c r="K5616">
        <f t="shared" si="87"/>
        <v>18450</v>
      </c>
    </row>
    <row r="5617" spans="1:11" hidden="1" x14ac:dyDescent="0.25">
      <c r="A5617">
        <v>5616</v>
      </c>
      <c r="B5617" s="1">
        <v>45754</v>
      </c>
      <c r="C5617" t="s">
        <v>9</v>
      </c>
      <c r="D5617" t="s">
        <v>60</v>
      </c>
      <c r="E5617" t="s">
        <v>13</v>
      </c>
      <c r="F5617">
        <v>3</v>
      </c>
      <c r="G5617" t="str">
        <f>VLOOKUP(D5617,Товары!A:I,3,0)</f>
        <v>Пенал навес. Куба Риф 350 белый 2 двери</v>
      </c>
      <c r="H5617">
        <f>VLOOKUP(D5617,Товары!A:I,6,0)</f>
        <v>150</v>
      </c>
      <c r="I5617" t="str">
        <f>VLOOKUP(C5617,Магазины!A:C,3,0)</f>
        <v>Кемерово</v>
      </c>
      <c r="J5617">
        <f>VLOOKUP(D5617,Товары!A:I,4,0)</f>
        <v>9720</v>
      </c>
      <c r="K5617">
        <f t="shared" si="87"/>
        <v>29160</v>
      </c>
    </row>
    <row r="5618" spans="1:11" hidden="1" x14ac:dyDescent="0.25">
      <c r="A5618">
        <v>5617</v>
      </c>
      <c r="B5618" s="1">
        <v>45752</v>
      </c>
      <c r="C5618" t="s">
        <v>35</v>
      </c>
      <c r="D5618" t="s">
        <v>81</v>
      </c>
      <c r="E5618" t="s">
        <v>13</v>
      </c>
      <c r="F5618">
        <v>2</v>
      </c>
      <c r="G5618" t="str">
        <f>VLOOKUP(D5618,Товары!A:I,3,0)</f>
        <v>Тумба с раковиной  навес. Рица 600 cерый/керамика 1 ящик + ниша 1 с умыв. Океан</v>
      </c>
      <c r="H5618">
        <f>VLOOKUP(D5618,Товары!A:I,6,0)</f>
        <v>60</v>
      </c>
      <c r="I5618" t="str">
        <f>VLOOKUP(C5618,Магазины!A:C,3,0)</f>
        <v>Набережные Челны</v>
      </c>
      <c r="J5618">
        <f>VLOOKUP(D5618,Товары!A:I,4,0)</f>
        <v>18900</v>
      </c>
      <c r="K5618">
        <f t="shared" si="87"/>
        <v>37800</v>
      </c>
    </row>
    <row r="5619" spans="1:11" hidden="1" x14ac:dyDescent="0.25">
      <c r="A5619">
        <v>5618</v>
      </c>
      <c r="B5619" s="1">
        <v>45757</v>
      </c>
      <c r="C5619" t="s">
        <v>58</v>
      </c>
      <c r="D5619" t="s">
        <v>60</v>
      </c>
      <c r="E5619" t="s">
        <v>13</v>
      </c>
      <c r="F5619">
        <v>2</v>
      </c>
      <c r="G5619" t="str">
        <f>VLOOKUP(D5619,Товары!A:I,3,0)</f>
        <v>Пенал навес. Куба Риф 350 белый 2 двери</v>
      </c>
      <c r="H5619">
        <f>VLOOKUP(D5619,Товары!A:I,6,0)</f>
        <v>150</v>
      </c>
      <c r="I5619" t="str">
        <f>VLOOKUP(C5619,Магазины!A:C,3,0)</f>
        <v>Ставрополь</v>
      </c>
      <c r="J5619">
        <f>VLOOKUP(D5619,Товары!A:I,4,0)</f>
        <v>9720</v>
      </c>
      <c r="K5619">
        <f t="shared" si="87"/>
        <v>19440</v>
      </c>
    </row>
    <row r="5620" spans="1:11" hidden="1" x14ac:dyDescent="0.25">
      <c r="A5620">
        <v>5619</v>
      </c>
      <c r="B5620" s="1">
        <v>45754</v>
      </c>
      <c r="C5620" t="s">
        <v>103</v>
      </c>
      <c r="D5620" t="s">
        <v>27</v>
      </c>
      <c r="E5620" t="s">
        <v>13</v>
      </c>
      <c r="F5620">
        <v>1</v>
      </c>
      <c r="G5620" t="str">
        <f>VLOOKUP(D5620,Товары!A:I,3,0)</f>
        <v>Тумба с раковиной  навес. Виктория 800 белый 2 ящика с умыв. Слим</v>
      </c>
      <c r="H5620">
        <f>VLOOKUP(D5620,Товары!A:I,6,0)</f>
        <v>60</v>
      </c>
      <c r="I5620" t="str">
        <f>VLOOKUP(C5620,Магазины!A:C,3,0)</f>
        <v>Ставрополь</v>
      </c>
      <c r="J5620">
        <f>VLOOKUP(D5620,Товары!A:I,4,0)</f>
        <v>25290</v>
      </c>
      <c r="K5620">
        <f t="shared" si="87"/>
        <v>25290</v>
      </c>
    </row>
    <row r="5621" spans="1:11" hidden="1" x14ac:dyDescent="0.25">
      <c r="A5621">
        <v>5620</v>
      </c>
      <c r="B5621" s="1">
        <v>45756</v>
      </c>
      <c r="C5621" t="s">
        <v>20</v>
      </c>
      <c r="D5621" t="s">
        <v>127</v>
      </c>
      <c r="E5621" t="s">
        <v>8</v>
      </c>
      <c r="F5621">
        <v>2</v>
      </c>
      <c r="G5621" t="str">
        <f>VLOOKUP(D5621,Товары!A:I,3,0)</f>
        <v>Тумба с раковиной  навес. Альба 700 мята 1 ящик с умыв. Слим</v>
      </c>
      <c r="H5621">
        <f>VLOOKUP(D5621,Товары!A:I,6,0)</f>
        <v>45</v>
      </c>
      <c r="I5621" t="str">
        <f>VLOOKUP(C5621,Магазины!A:C,3,0)</f>
        <v>Оренбург</v>
      </c>
      <c r="J5621">
        <f>VLOOKUP(D5621,Товары!A:I,4,0)</f>
        <v>20130</v>
      </c>
      <c r="K5621">
        <f t="shared" si="87"/>
        <v>40260</v>
      </c>
    </row>
    <row r="5622" spans="1:11" hidden="1" x14ac:dyDescent="0.25">
      <c r="A5622">
        <v>5621</v>
      </c>
      <c r="B5622" s="1">
        <v>45755</v>
      </c>
      <c r="C5622" t="s">
        <v>28</v>
      </c>
      <c r="D5622" t="s">
        <v>7</v>
      </c>
      <c r="E5622" t="s">
        <v>13</v>
      </c>
      <c r="F5622">
        <v>3</v>
      </c>
      <c r="G5622" t="str">
        <f>VLOOKUP(D5622,Товары!A:I,3,0)</f>
        <v>Пенал напол. Леон Риф 400 солярис/белый риф 2 двери + 1 ящик</v>
      </c>
      <c r="H5622">
        <f>VLOOKUP(D5622,Товары!A:I,6,0)</f>
        <v>190</v>
      </c>
      <c r="I5622" t="str">
        <f>VLOOKUP(C5622,Магазины!A:C,3,0)</f>
        <v>Набережные Челны</v>
      </c>
      <c r="J5622">
        <f>VLOOKUP(D5622,Товары!A:I,4,0)</f>
        <v>14490</v>
      </c>
      <c r="K5622">
        <f t="shared" si="87"/>
        <v>43470</v>
      </c>
    </row>
    <row r="5623" spans="1:11" hidden="1" x14ac:dyDescent="0.25">
      <c r="A5623">
        <v>5622</v>
      </c>
      <c r="B5623" s="1">
        <v>45748</v>
      </c>
      <c r="C5623" t="s">
        <v>22</v>
      </c>
      <c r="D5623" t="s">
        <v>91</v>
      </c>
      <c r="E5623" t="s">
        <v>8</v>
      </c>
      <c r="F5623">
        <v>3</v>
      </c>
      <c r="G5623" t="str">
        <f>VLOOKUP(D5623,Товары!A:I,3,0)</f>
        <v>Пенал навес./напол. Альба 350 мята 2 двери</v>
      </c>
      <c r="H5623">
        <f>VLOOKUP(D5623,Товары!A:I,6,0)</f>
        <v>150</v>
      </c>
      <c r="I5623" t="str">
        <f>VLOOKUP(C5623,Магазины!A:C,3,0)</f>
        <v>Кемерово</v>
      </c>
      <c r="J5623">
        <f>VLOOKUP(D5623,Товары!A:I,4,0)</f>
        <v>11655</v>
      </c>
      <c r="K5623">
        <f t="shared" si="87"/>
        <v>34965</v>
      </c>
    </row>
    <row r="5624" spans="1:11" hidden="1" x14ac:dyDescent="0.25">
      <c r="A5624">
        <v>5623</v>
      </c>
      <c r="B5624" s="1">
        <v>45751</v>
      </c>
      <c r="C5624" t="s">
        <v>92</v>
      </c>
      <c r="D5624" t="s">
        <v>64</v>
      </c>
      <c r="E5624" t="s">
        <v>8</v>
      </c>
      <c r="F5624">
        <v>1</v>
      </c>
      <c r="G5624" t="str">
        <f>VLOOKUP(D5624,Товары!A:I,3,0)</f>
        <v>Тумба с раковиной  напол. Рица 800 антрацит 2 ящика с умыв. Слим</v>
      </c>
      <c r="H5624">
        <f>VLOOKUP(D5624,Товары!A:I,6,0)</f>
        <v>80</v>
      </c>
      <c r="I5624" t="str">
        <f>VLOOKUP(C5624,Магазины!A:C,3,0)</f>
        <v>Кемерово</v>
      </c>
      <c r="J5624">
        <f>VLOOKUP(D5624,Товары!A:I,4,0)</f>
        <v>28980</v>
      </c>
      <c r="K5624">
        <f t="shared" si="87"/>
        <v>28980</v>
      </c>
    </row>
    <row r="5625" spans="1:11" hidden="1" x14ac:dyDescent="0.25">
      <c r="A5625">
        <v>5624</v>
      </c>
      <c r="B5625" s="1">
        <v>45754</v>
      </c>
      <c r="C5625" t="s">
        <v>35</v>
      </c>
      <c r="D5625" t="s">
        <v>61</v>
      </c>
      <c r="E5625" t="s">
        <v>13</v>
      </c>
      <c r="F5625">
        <v>2</v>
      </c>
      <c r="G5625" t="str">
        <f>VLOOKUP(D5625,Товары!A:I,3,0)</f>
        <v>Тумба под стиральную машину Леон Риф 57 напольная 2 ящика под ст/маш, без умывальника /под Marshall 120 Солярис/Белый Риф</v>
      </c>
      <c r="H5625">
        <f>VLOOKUP(D5625,Товары!A:I,6,0)</f>
        <v>85</v>
      </c>
      <c r="I5625" t="str">
        <f>VLOOKUP(C5625,Магазины!A:C,3,0)</f>
        <v>Набережные Челны</v>
      </c>
      <c r="J5625">
        <f>VLOOKUP(D5625,Товары!A:I,4,0)</f>
        <v>17430</v>
      </c>
      <c r="K5625">
        <f t="shared" si="87"/>
        <v>34860</v>
      </c>
    </row>
    <row r="5626" spans="1:11" hidden="1" x14ac:dyDescent="0.25">
      <c r="A5626">
        <v>5625</v>
      </c>
      <c r="B5626" s="1">
        <v>45756</v>
      </c>
      <c r="C5626" t="s">
        <v>18</v>
      </c>
      <c r="D5626" t="s">
        <v>46</v>
      </c>
      <c r="E5626" t="s">
        <v>13</v>
      </c>
      <c r="F5626">
        <v>1</v>
      </c>
      <c r="G5626" t="str">
        <f>VLOOKUP(D5626,Товары!A:I,3,0)</f>
        <v>Тумба с раковиной  напол. Сохо 700 белый 2 ящика с умыв. Слим</v>
      </c>
      <c r="H5626">
        <f>VLOOKUP(D5626,Товары!A:I,6,0)</f>
        <v>85</v>
      </c>
      <c r="I5626" t="str">
        <f>VLOOKUP(C5626,Магазины!A:C,3,0)</f>
        <v>Набережные Челны</v>
      </c>
      <c r="J5626">
        <f>VLOOKUP(D5626,Товары!A:I,4,0)</f>
        <v>18405</v>
      </c>
      <c r="K5626">
        <f t="shared" si="87"/>
        <v>18405</v>
      </c>
    </row>
    <row r="5627" spans="1:11" hidden="1" x14ac:dyDescent="0.25">
      <c r="A5627">
        <v>5626</v>
      </c>
      <c r="B5627" s="1">
        <v>45749</v>
      </c>
      <c r="C5627" t="s">
        <v>35</v>
      </c>
      <c r="D5627" t="s">
        <v>71</v>
      </c>
      <c r="E5627" t="s">
        <v>13</v>
      </c>
      <c r="F5627">
        <v>3</v>
      </c>
      <c r="G5627" t="str">
        <f>VLOOKUP(D5627,Товары!A:I,3,0)</f>
        <v>Тумба с раковиной  навес. Альба 600 мята 2 ящика с умыв. Океан</v>
      </c>
      <c r="H5627">
        <f>VLOOKUP(D5627,Товары!A:I,6,0)</f>
        <v>50</v>
      </c>
      <c r="I5627" t="str">
        <f>VLOOKUP(C5627,Магазины!A:C,3,0)</f>
        <v>Набережные Челны</v>
      </c>
      <c r="J5627">
        <f>VLOOKUP(D5627,Товары!A:I,4,0)</f>
        <v>24810</v>
      </c>
      <c r="K5627">
        <f t="shared" si="87"/>
        <v>74430</v>
      </c>
    </row>
    <row r="5628" spans="1:11" hidden="1" x14ac:dyDescent="0.25">
      <c r="A5628">
        <v>5627</v>
      </c>
      <c r="B5628" s="1">
        <v>45748</v>
      </c>
      <c r="C5628" t="s">
        <v>26</v>
      </c>
      <c r="D5628" t="s">
        <v>78</v>
      </c>
      <c r="E5628" t="s">
        <v>8</v>
      </c>
      <c r="F5628">
        <v>1</v>
      </c>
      <c r="G5628" t="str">
        <f>VLOOKUP(D5628,Товары!A:I,3,0)</f>
        <v>Зеркальный шкаф Кристалл 70 со светильником правый, ручка кнопка дуб цвет Шато Азур</v>
      </c>
      <c r="H5628">
        <f>VLOOKUP(D5628,Товары!A:I,6,0)</f>
        <v>75</v>
      </c>
      <c r="I5628" t="str">
        <f>VLOOKUP(C5628,Магазины!A:C,3,0)</f>
        <v>Оренбург</v>
      </c>
      <c r="J5628">
        <f>VLOOKUP(D5628,Товары!A:I,4,0)</f>
        <v>9615</v>
      </c>
      <c r="K5628">
        <f t="shared" si="87"/>
        <v>9615</v>
      </c>
    </row>
    <row r="5629" spans="1:11" hidden="1" x14ac:dyDescent="0.25">
      <c r="A5629">
        <v>5628</v>
      </c>
      <c r="B5629" s="1">
        <v>45748</v>
      </c>
      <c r="C5629" t="s">
        <v>20</v>
      </c>
      <c r="D5629" t="s">
        <v>27</v>
      </c>
      <c r="E5629" t="s">
        <v>8</v>
      </c>
      <c r="F5629">
        <v>2</v>
      </c>
      <c r="G5629" t="str">
        <f>VLOOKUP(D5629,Товары!A:I,3,0)</f>
        <v>Тумба с раковиной  навес. Виктория 800 белый 2 ящика с умыв. Слим</v>
      </c>
      <c r="H5629">
        <f>VLOOKUP(D5629,Товары!A:I,6,0)</f>
        <v>60</v>
      </c>
      <c r="I5629" t="str">
        <f>VLOOKUP(C5629,Магазины!A:C,3,0)</f>
        <v>Оренбург</v>
      </c>
      <c r="J5629">
        <f>VLOOKUP(D5629,Товары!A:I,4,0)</f>
        <v>25290</v>
      </c>
      <c r="K5629">
        <f t="shared" si="87"/>
        <v>50580</v>
      </c>
    </row>
    <row r="5630" spans="1:11" hidden="1" x14ac:dyDescent="0.25">
      <c r="A5630">
        <v>5629</v>
      </c>
      <c r="B5630" s="1">
        <v>45755</v>
      </c>
      <c r="C5630" t="s">
        <v>18</v>
      </c>
      <c r="D5630" t="s">
        <v>62</v>
      </c>
      <c r="E5630" t="s">
        <v>13</v>
      </c>
      <c r="F5630">
        <v>2</v>
      </c>
      <c r="G5630" t="str">
        <f>VLOOKUP(D5630,Товары!A:I,3,0)</f>
        <v>Тумба с раковиной  напол. Альба 600 мята 2 ящика с умыв. Океан</v>
      </c>
      <c r="H5630">
        <f>VLOOKUP(D5630,Товары!A:I,6,0)</f>
        <v>80</v>
      </c>
      <c r="I5630" t="str">
        <f>VLOOKUP(C5630,Магазины!A:C,3,0)</f>
        <v>Набережные Челны</v>
      </c>
      <c r="J5630">
        <f>VLOOKUP(D5630,Товары!A:I,4,0)</f>
        <v>26370</v>
      </c>
      <c r="K5630">
        <f t="shared" si="87"/>
        <v>52740</v>
      </c>
    </row>
    <row r="5631" spans="1:11" hidden="1" x14ac:dyDescent="0.25">
      <c r="A5631">
        <v>5630</v>
      </c>
      <c r="B5631" s="1">
        <v>45752</v>
      </c>
      <c r="C5631" t="s">
        <v>41</v>
      </c>
      <c r="D5631" t="s">
        <v>53</v>
      </c>
      <c r="E5631" t="s">
        <v>13</v>
      </c>
      <c r="F5631">
        <v>3</v>
      </c>
      <c r="G5631" t="str">
        <f>VLOOKUP(D5631,Товары!A:I,3,0)</f>
        <v>Тумба с раковиной  напол. Кристалл 600 шато азур 2 ящика с умыв. Океан</v>
      </c>
      <c r="H5631">
        <f>VLOOKUP(D5631,Товары!A:I,6,0)</f>
        <v>85</v>
      </c>
      <c r="I5631" t="str">
        <f>VLOOKUP(C5631,Магазины!A:C,3,0)</f>
        <v>Ставрополь</v>
      </c>
      <c r="J5631">
        <f>VLOOKUP(D5631,Товары!A:I,4,0)</f>
        <v>27600</v>
      </c>
      <c r="K5631">
        <f t="shared" si="87"/>
        <v>82800</v>
      </c>
    </row>
    <row r="5632" spans="1:11" hidden="1" x14ac:dyDescent="0.25">
      <c r="A5632">
        <v>5631</v>
      </c>
      <c r="B5632" s="1">
        <v>45756</v>
      </c>
      <c r="C5632" t="s">
        <v>18</v>
      </c>
      <c r="D5632" t="s">
        <v>64</v>
      </c>
      <c r="E5632" t="s">
        <v>13</v>
      </c>
      <c r="F5632">
        <v>2</v>
      </c>
      <c r="G5632" t="str">
        <f>VLOOKUP(D5632,Товары!A:I,3,0)</f>
        <v>Тумба с раковиной  напол. Рица 800 антрацит 2 ящика с умыв. Слим</v>
      </c>
      <c r="H5632">
        <f>VLOOKUP(D5632,Товары!A:I,6,0)</f>
        <v>80</v>
      </c>
      <c r="I5632" t="str">
        <f>VLOOKUP(C5632,Магазины!A:C,3,0)</f>
        <v>Набережные Челны</v>
      </c>
      <c r="J5632">
        <f>VLOOKUP(D5632,Товары!A:I,4,0)</f>
        <v>28980</v>
      </c>
      <c r="K5632">
        <f t="shared" si="87"/>
        <v>57960</v>
      </c>
    </row>
    <row r="5633" spans="1:11" hidden="1" x14ac:dyDescent="0.25">
      <c r="A5633">
        <v>5632</v>
      </c>
      <c r="B5633" s="1">
        <v>45753</v>
      </c>
      <c r="C5633" t="s">
        <v>6</v>
      </c>
      <c r="D5633" t="s">
        <v>93</v>
      </c>
      <c r="E5633" t="s">
        <v>13</v>
      </c>
      <c r="F5633">
        <v>3</v>
      </c>
      <c r="G5633" t="str">
        <f>VLOOKUP(D5633,Товары!A:I,3,0)</f>
        <v>Тумба с раковиной  напол. Леон Риф 800 солярис/белый риф 2 ящика с умыв. Слим</v>
      </c>
      <c r="H5633">
        <f>VLOOKUP(D5633,Товары!A:I,6,0)</f>
        <v>80</v>
      </c>
      <c r="I5633" t="str">
        <f>VLOOKUP(C5633,Магазины!A:C,3,0)</f>
        <v>Оренбург</v>
      </c>
      <c r="J5633">
        <f>VLOOKUP(D5633,Товары!A:I,4,0)</f>
        <v>29340</v>
      </c>
      <c r="K5633">
        <f t="shared" si="87"/>
        <v>88020</v>
      </c>
    </row>
    <row r="5634" spans="1:11" hidden="1" x14ac:dyDescent="0.25">
      <c r="A5634">
        <v>5633</v>
      </c>
      <c r="B5634" s="1">
        <v>45750</v>
      </c>
      <c r="C5634" t="s">
        <v>111</v>
      </c>
      <c r="D5634" t="s">
        <v>42</v>
      </c>
      <c r="E5634" t="s">
        <v>13</v>
      </c>
      <c r="F5634">
        <v>3</v>
      </c>
      <c r="G5634" t="str">
        <f>VLOOKUP(D5634,Товары!A:I,3,0)</f>
        <v>Тумба под стиральную машину Леон Риф 57 подвесная 2 ящика под ст/маш, без умывальника /под Marshall 120 Солярис/Белый Риф</v>
      </c>
      <c r="H5634">
        <f>VLOOKUP(D5634,Товары!A:I,6,0)</f>
        <v>60</v>
      </c>
      <c r="I5634" t="str">
        <f>VLOOKUP(C5634,Магазины!A:C,3,0)</f>
        <v>Набережные Челны</v>
      </c>
      <c r="J5634">
        <f>VLOOKUP(D5634,Товары!A:I,4,0)</f>
        <v>15495</v>
      </c>
      <c r="K5634">
        <f t="shared" si="87"/>
        <v>46485</v>
      </c>
    </row>
    <row r="5635" spans="1:11" hidden="1" x14ac:dyDescent="0.25">
      <c r="A5635">
        <v>5634</v>
      </c>
      <c r="B5635" s="1">
        <v>45751</v>
      </c>
      <c r="C5635" t="s">
        <v>9</v>
      </c>
      <c r="D5635" t="s">
        <v>100</v>
      </c>
      <c r="E5635" t="s">
        <v>8</v>
      </c>
      <c r="F5635">
        <v>1</v>
      </c>
      <c r="G5635" t="str">
        <f>VLOOKUP(D5635,Товары!A:I,3,0)</f>
        <v>Тумба с раковиной  навес. Альба 800 мята 1 ящик с умыв. Слим</v>
      </c>
      <c r="H5635">
        <f>VLOOKUP(D5635,Товары!A:I,6,0)</f>
        <v>45</v>
      </c>
      <c r="I5635" t="str">
        <f>VLOOKUP(C5635,Магазины!A:C,3,0)</f>
        <v>Кемерово</v>
      </c>
      <c r="J5635">
        <f>VLOOKUP(D5635,Товары!A:I,4,0)</f>
        <v>21630</v>
      </c>
      <c r="K5635">
        <f t="shared" ref="K5635:K5698" si="88">J5635*F5635</f>
        <v>21630</v>
      </c>
    </row>
    <row r="5636" spans="1:11" hidden="1" x14ac:dyDescent="0.25">
      <c r="A5636">
        <v>5635</v>
      </c>
      <c r="B5636" s="1">
        <v>45756</v>
      </c>
      <c r="C5636" t="s">
        <v>57</v>
      </c>
      <c r="D5636" t="s">
        <v>79</v>
      </c>
      <c r="E5636" t="s">
        <v>8</v>
      </c>
      <c r="F5636">
        <v>1</v>
      </c>
      <c r="G5636" t="str">
        <f>VLOOKUP(D5636,Товары!A:I,3,0)</f>
        <v>Зеркальный шкаф Альба 70 со светильником правый цвет мята</v>
      </c>
      <c r="H5636">
        <f>VLOOKUP(D5636,Товары!A:I,6,0)</f>
        <v>75</v>
      </c>
      <c r="I5636" t="str">
        <f>VLOOKUP(C5636,Магазины!A:C,3,0)</f>
        <v>Оренбург</v>
      </c>
      <c r="J5636">
        <f>VLOOKUP(D5636,Товары!A:I,4,0)</f>
        <v>9615</v>
      </c>
      <c r="K5636">
        <f t="shared" si="88"/>
        <v>9615</v>
      </c>
    </row>
    <row r="5637" spans="1:11" hidden="1" x14ac:dyDescent="0.25">
      <c r="A5637">
        <v>5636</v>
      </c>
      <c r="B5637" s="1">
        <v>45755</v>
      </c>
      <c r="C5637" t="s">
        <v>6</v>
      </c>
      <c r="D5637" t="s">
        <v>116</v>
      </c>
      <c r="E5637" t="s">
        <v>13</v>
      </c>
      <c r="F5637">
        <v>1</v>
      </c>
      <c r="G5637" t="str">
        <f>VLOOKUP(D5637,Товары!A:I,3,0)</f>
        <v>Зеркало Нева 60 дуб/белый со светильником</v>
      </c>
      <c r="H5637">
        <f>VLOOKUP(D5637,Товары!A:I,6,0)</f>
        <v>80</v>
      </c>
      <c r="I5637" t="str">
        <f>VLOOKUP(C5637,Магазины!A:C,3,0)</f>
        <v>Оренбург</v>
      </c>
      <c r="J5637">
        <f>VLOOKUP(D5637,Товары!A:I,4,0)</f>
        <v>5100</v>
      </c>
      <c r="K5637">
        <f t="shared" si="88"/>
        <v>5100</v>
      </c>
    </row>
    <row r="5638" spans="1:11" hidden="1" x14ac:dyDescent="0.25">
      <c r="A5638">
        <v>5637</v>
      </c>
      <c r="B5638" s="1">
        <v>45757</v>
      </c>
      <c r="C5638" t="s">
        <v>54</v>
      </c>
      <c r="D5638" t="s">
        <v>98</v>
      </c>
      <c r="E5638" t="s">
        <v>13</v>
      </c>
      <c r="F5638">
        <v>3</v>
      </c>
      <c r="G5638" t="str">
        <f>VLOOKUP(D5638,Товары!A:I,3,0)</f>
        <v>Тумба с раковиной  напол. Рица 800 cерый/керамика 2 ящика с умыв. Слим</v>
      </c>
      <c r="H5638">
        <f>VLOOKUP(D5638,Товары!A:I,6,0)</f>
        <v>80</v>
      </c>
      <c r="I5638" t="str">
        <f>VLOOKUP(C5638,Магазины!A:C,3,0)</f>
        <v>Ставрополь</v>
      </c>
      <c r="J5638">
        <f>VLOOKUP(D5638,Товары!A:I,4,0)</f>
        <v>28980</v>
      </c>
      <c r="K5638">
        <f t="shared" si="88"/>
        <v>86940</v>
      </c>
    </row>
    <row r="5639" spans="1:11" hidden="1" x14ac:dyDescent="0.25">
      <c r="A5639">
        <v>5638</v>
      </c>
      <c r="B5639" s="1">
        <v>45750</v>
      </c>
      <c r="C5639" t="s">
        <v>14</v>
      </c>
      <c r="D5639" t="s">
        <v>17</v>
      </c>
      <c r="E5639" t="s">
        <v>8</v>
      </c>
      <c r="F5639">
        <v>2</v>
      </c>
      <c r="G5639" t="str">
        <f>VLOOKUP(D5639,Товары!A:I,3,0)</f>
        <v>Тумба с раковиной  навес. Альба 800 антрацит 1 ящик с умыв. Слим</v>
      </c>
      <c r="H5639">
        <f>VLOOKUP(D5639,Товары!A:I,6,0)</f>
        <v>45</v>
      </c>
      <c r="I5639" t="str">
        <f>VLOOKUP(C5639,Магазины!A:C,3,0)</f>
        <v>Оренбург</v>
      </c>
      <c r="J5639">
        <f>VLOOKUP(D5639,Товары!A:I,4,0)</f>
        <v>21630</v>
      </c>
      <c r="K5639">
        <f t="shared" si="88"/>
        <v>43260</v>
      </c>
    </row>
    <row r="5640" spans="1:11" hidden="1" x14ac:dyDescent="0.25">
      <c r="A5640">
        <v>5639</v>
      </c>
      <c r="B5640" s="1">
        <v>45756</v>
      </c>
      <c r="C5640" t="s">
        <v>33</v>
      </c>
      <c r="D5640" t="s">
        <v>67</v>
      </c>
      <c r="E5640" t="s">
        <v>13</v>
      </c>
      <c r="F5640">
        <v>1</v>
      </c>
      <c r="G5640" t="str">
        <f>VLOOKUP(D5640,Товары!A:I,3,0)</f>
        <v>Пенал навес./напол. Альба 350 суфле 2 двери</v>
      </c>
      <c r="H5640">
        <f>VLOOKUP(D5640,Товары!A:I,6,0)</f>
        <v>150</v>
      </c>
      <c r="I5640" t="str">
        <f>VLOOKUP(C5640,Магазины!A:C,3,0)</f>
        <v>Набережные Челны</v>
      </c>
      <c r="J5640">
        <f>VLOOKUP(D5640,Товары!A:I,4,0)</f>
        <v>11655</v>
      </c>
      <c r="K5640">
        <f t="shared" si="88"/>
        <v>11655</v>
      </c>
    </row>
    <row r="5641" spans="1:11" hidden="1" x14ac:dyDescent="0.25">
      <c r="A5641">
        <v>5640</v>
      </c>
      <c r="B5641" s="1">
        <v>45756</v>
      </c>
      <c r="C5641" t="s">
        <v>103</v>
      </c>
      <c r="D5641" t="s">
        <v>32</v>
      </c>
      <c r="E5641" t="s">
        <v>13</v>
      </c>
      <c r="F5641">
        <v>2</v>
      </c>
      <c r="G5641" t="str">
        <f>VLOOKUP(D5641,Товары!A:I,3,0)</f>
        <v>Тумба с раковиной  напол. Леон Риф 700 солярис/белый риф 2 ящика с умыв. Слим</v>
      </c>
      <c r="H5641">
        <f>VLOOKUP(D5641,Товары!A:I,6,0)</f>
        <v>85</v>
      </c>
      <c r="I5641" t="str">
        <f>VLOOKUP(C5641,Магазины!A:C,3,0)</f>
        <v>Ставрополь</v>
      </c>
      <c r="J5641">
        <f>VLOOKUP(D5641,Товары!A:I,4,0)</f>
        <v>26460</v>
      </c>
      <c r="K5641">
        <f t="shared" si="88"/>
        <v>52920</v>
      </c>
    </row>
    <row r="5642" spans="1:11" hidden="1" x14ac:dyDescent="0.25">
      <c r="A5642">
        <v>5641</v>
      </c>
      <c r="B5642" s="1">
        <v>45757</v>
      </c>
      <c r="C5642" t="s">
        <v>48</v>
      </c>
      <c r="D5642" t="s">
        <v>36</v>
      </c>
      <c r="E5642" t="s">
        <v>8</v>
      </c>
      <c r="F5642">
        <v>1</v>
      </c>
      <c r="G5642" t="str">
        <f>VLOOKUP(D5642,Товары!A:I,3,0)</f>
        <v>Тумба с раковиной  напол. Альба 800 мята 2 ящика с умыв. Слим</v>
      </c>
      <c r="H5642">
        <f>VLOOKUP(D5642,Товары!A:I,6,0)</f>
        <v>80</v>
      </c>
      <c r="I5642" t="str">
        <f>VLOOKUP(C5642,Магазины!A:C,3,0)</f>
        <v>Ставрополь</v>
      </c>
      <c r="J5642">
        <f>VLOOKUP(D5642,Товары!A:I,4,0)</f>
        <v>29340</v>
      </c>
      <c r="K5642">
        <f t="shared" si="88"/>
        <v>29340</v>
      </c>
    </row>
    <row r="5643" spans="1:11" hidden="1" x14ac:dyDescent="0.25">
      <c r="A5643">
        <v>5642</v>
      </c>
      <c r="B5643" s="1">
        <v>45752</v>
      </c>
      <c r="C5643" t="s">
        <v>48</v>
      </c>
      <c r="D5643" t="s">
        <v>115</v>
      </c>
      <c r="E5643" t="s">
        <v>8</v>
      </c>
      <c r="F5643">
        <v>2</v>
      </c>
      <c r="G5643" t="str">
        <f>VLOOKUP(D5643,Товары!A:I,3,0)</f>
        <v>Тумба под стиральную машину Куба Риф 57 напольная 2 ящика под ст/маш, без умывальника /под Marshall 120 Белый</v>
      </c>
      <c r="H5643">
        <f>VLOOKUP(D5643,Товары!A:I,6,0)</f>
        <v>85</v>
      </c>
      <c r="I5643" t="str">
        <f>VLOOKUP(C5643,Магазины!A:C,3,0)</f>
        <v>Ставрополь</v>
      </c>
      <c r="J5643">
        <f>VLOOKUP(D5643,Товары!A:I,4,0)</f>
        <v>10530</v>
      </c>
      <c r="K5643">
        <f t="shared" si="88"/>
        <v>21060</v>
      </c>
    </row>
    <row r="5644" spans="1:11" hidden="1" x14ac:dyDescent="0.25">
      <c r="A5644">
        <v>5643</v>
      </c>
      <c r="B5644" s="1">
        <v>45754</v>
      </c>
      <c r="C5644" t="s">
        <v>33</v>
      </c>
      <c r="D5644" t="s">
        <v>113</v>
      </c>
      <c r="E5644" t="s">
        <v>8</v>
      </c>
      <c r="F5644">
        <v>3</v>
      </c>
      <c r="G5644" t="str">
        <f>VLOOKUP(D5644,Товары!A:I,3,0)</f>
        <v>Зеркальный шкаф Альба 60 со светильником правый цвет мята</v>
      </c>
      <c r="H5644">
        <f>VLOOKUP(D5644,Товары!A:I,6,0)</f>
        <v>75</v>
      </c>
      <c r="I5644" t="str">
        <f>VLOOKUP(C5644,Магазины!A:C,3,0)</f>
        <v>Набережные Челны</v>
      </c>
      <c r="J5644">
        <f>VLOOKUP(D5644,Товары!A:I,4,0)</f>
        <v>8910</v>
      </c>
      <c r="K5644">
        <f t="shared" si="88"/>
        <v>26730</v>
      </c>
    </row>
    <row r="5645" spans="1:11" hidden="1" x14ac:dyDescent="0.25">
      <c r="A5645">
        <v>5644</v>
      </c>
      <c r="B5645" s="1">
        <v>45753</v>
      </c>
      <c r="C5645" t="s">
        <v>63</v>
      </c>
      <c r="D5645" t="s">
        <v>71</v>
      </c>
      <c r="E5645" t="s">
        <v>8</v>
      </c>
      <c r="F5645">
        <v>2</v>
      </c>
      <c r="G5645" t="str">
        <f>VLOOKUP(D5645,Товары!A:I,3,0)</f>
        <v>Тумба с раковиной  навес. Альба 600 мята 2 ящика с умыв. Океан</v>
      </c>
      <c r="H5645">
        <f>VLOOKUP(D5645,Товары!A:I,6,0)</f>
        <v>50</v>
      </c>
      <c r="I5645" t="str">
        <f>VLOOKUP(C5645,Магазины!A:C,3,0)</f>
        <v>Ставрополь</v>
      </c>
      <c r="J5645">
        <f>VLOOKUP(D5645,Товары!A:I,4,0)</f>
        <v>24810</v>
      </c>
      <c r="K5645">
        <f t="shared" si="88"/>
        <v>49620</v>
      </c>
    </row>
    <row r="5646" spans="1:11" hidden="1" x14ac:dyDescent="0.25">
      <c r="A5646">
        <v>5645</v>
      </c>
      <c r="B5646" s="1">
        <v>45748</v>
      </c>
      <c r="C5646" t="s">
        <v>14</v>
      </c>
      <c r="D5646" t="s">
        <v>21</v>
      </c>
      <c r="E5646" t="s">
        <v>8</v>
      </c>
      <c r="F5646">
        <v>1</v>
      </c>
      <c r="G5646" t="str">
        <f>VLOOKUP(D5646,Товары!A:I,3,0)</f>
        <v>Зеркальный шкаф Рица 60 со светильником правый цвет cерый/керамика</v>
      </c>
      <c r="H5646">
        <f>VLOOKUP(D5646,Товары!A:I,6,0)</f>
        <v>75</v>
      </c>
      <c r="I5646" t="str">
        <f>VLOOKUP(C5646,Магазины!A:C,3,0)</f>
        <v>Оренбург</v>
      </c>
      <c r="J5646">
        <f>VLOOKUP(D5646,Товары!A:I,4,0)</f>
        <v>8910</v>
      </c>
      <c r="K5646">
        <f t="shared" si="88"/>
        <v>8910</v>
      </c>
    </row>
    <row r="5647" spans="1:11" hidden="1" x14ac:dyDescent="0.25">
      <c r="A5647">
        <v>5646</v>
      </c>
      <c r="B5647" s="1">
        <v>45752</v>
      </c>
      <c r="C5647" t="s">
        <v>57</v>
      </c>
      <c r="D5647" t="s">
        <v>91</v>
      </c>
      <c r="E5647" t="s">
        <v>13</v>
      </c>
      <c r="F5647">
        <v>2</v>
      </c>
      <c r="G5647" t="str">
        <f>VLOOKUP(D5647,Товары!A:I,3,0)</f>
        <v>Пенал навес./напол. Альба 350 мята 2 двери</v>
      </c>
      <c r="H5647">
        <f>VLOOKUP(D5647,Товары!A:I,6,0)</f>
        <v>150</v>
      </c>
      <c r="I5647" t="str">
        <f>VLOOKUP(C5647,Магазины!A:C,3,0)</f>
        <v>Оренбург</v>
      </c>
      <c r="J5647">
        <f>VLOOKUP(D5647,Товары!A:I,4,0)</f>
        <v>11655</v>
      </c>
      <c r="K5647">
        <f t="shared" si="88"/>
        <v>23310</v>
      </c>
    </row>
    <row r="5648" spans="1:11" hidden="1" x14ac:dyDescent="0.25">
      <c r="A5648">
        <v>5647</v>
      </c>
      <c r="B5648" s="1">
        <v>45751</v>
      </c>
      <c r="C5648" t="s">
        <v>22</v>
      </c>
      <c r="D5648" t="s">
        <v>113</v>
      </c>
      <c r="E5648" t="s">
        <v>13</v>
      </c>
      <c r="F5648">
        <v>2</v>
      </c>
      <c r="G5648" t="str">
        <f>VLOOKUP(D5648,Товары!A:I,3,0)</f>
        <v>Зеркальный шкаф Альба 60 со светильником правый цвет мята</v>
      </c>
      <c r="H5648">
        <f>VLOOKUP(D5648,Товары!A:I,6,0)</f>
        <v>75</v>
      </c>
      <c r="I5648" t="str">
        <f>VLOOKUP(C5648,Магазины!A:C,3,0)</f>
        <v>Кемерово</v>
      </c>
      <c r="J5648">
        <f>VLOOKUP(D5648,Товары!A:I,4,0)</f>
        <v>8910</v>
      </c>
      <c r="K5648">
        <f t="shared" si="88"/>
        <v>17820</v>
      </c>
    </row>
    <row r="5649" spans="1:11" hidden="1" x14ac:dyDescent="0.25">
      <c r="A5649">
        <v>5648</v>
      </c>
      <c r="B5649" s="1">
        <v>45753</v>
      </c>
      <c r="C5649" t="s">
        <v>103</v>
      </c>
      <c r="D5649" t="s">
        <v>112</v>
      </c>
      <c r="E5649" t="s">
        <v>8</v>
      </c>
      <c r="F5649">
        <v>3</v>
      </c>
      <c r="G5649" t="str">
        <f>VLOOKUP(D5649,Товары!A:I,3,0)</f>
        <v>Тумба с раковиной  напол. Аква 560 белый 2 двери с умыв. Уют</v>
      </c>
      <c r="H5649">
        <f>VLOOKUP(D5649,Товары!A:I,6,0)</f>
        <v>85</v>
      </c>
      <c r="I5649" t="str">
        <f>VLOOKUP(C5649,Магазины!A:C,3,0)</f>
        <v>Ставрополь</v>
      </c>
      <c r="J5649">
        <f>VLOOKUP(D5649,Товары!A:I,4,0)</f>
        <v>9330</v>
      </c>
      <c r="K5649">
        <f t="shared" si="88"/>
        <v>27990</v>
      </c>
    </row>
    <row r="5650" spans="1:11" hidden="1" x14ac:dyDescent="0.25">
      <c r="A5650">
        <v>5649</v>
      </c>
      <c r="B5650" s="1">
        <v>45757</v>
      </c>
      <c r="C5650" t="s">
        <v>57</v>
      </c>
      <c r="D5650" t="s">
        <v>46</v>
      </c>
      <c r="E5650" t="s">
        <v>13</v>
      </c>
      <c r="F5650">
        <v>2</v>
      </c>
      <c r="G5650" t="str">
        <f>VLOOKUP(D5650,Товары!A:I,3,0)</f>
        <v>Тумба с раковиной  напол. Сохо 700 белый 2 ящика с умыв. Слим</v>
      </c>
      <c r="H5650">
        <f>VLOOKUP(D5650,Товары!A:I,6,0)</f>
        <v>85</v>
      </c>
      <c r="I5650" t="str">
        <f>VLOOKUP(C5650,Магазины!A:C,3,0)</f>
        <v>Оренбург</v>
      </c>
      <c r="J5650">
        <f>VLOOKUP(D5650,Товары!A:I,4,0)</f>
        <v>18405</v>
      </c>
      <c r="K5650">
        <f t="shared" si="88"/>
        <v>36810</v>
      </c>
    </row>
    <row r="5651" spans="1:11" hidden="1" x14ac:dyDescent="0.25">
      <c r="A5651">
        <v>5650</v>
      </c>
      <c r="B5651" s="1">
        <v>45756</v>
      </c>
      <c r="C5651" t="s">
        <v>6</v>
      </c>
      <c r="D5651" t="s">
        <v>59</v>
      </c>
      <c r="E5651" t="s">
        <v>8</v>
      </c>
      <c r="F5651">
        <v>3</v>
      </c>
      <c r="G5651" t="str">
        <f>VLOOKUP(D5651,Товары!A:I,3,0)</f>
        <v>Тумба с раковиной  навес. Куба Риф 600 белый 2 ящика с умыв. Океан</v>
      </c>
      <c r="H5651">
        <f>VLOOKUP(D5651,Товары!A:I,6,0)</f>
        <v>55</v>
      </c>
      <c r="I5651" t="str">
        <f>VLOOKUP(C5651,Магазины!A:C,3,0)</f>
        <v>Оренбург</v>
      </c>
      <c r="J5651">
        <f>VLOOKUP(D5651,Товары!A:I,4,0)</f>
        <v>15765</v>
      </c>
      <c r="K5651">
        <f t="shared" si="88"/>
        <v>47295</v>
      </c>
    </row>
    <row r="5652" spans="1:11" hidden="1" x14ac:dyDescent="0.25">
      <c r="A5652">
        <v>5651</v>
      </c>
      <c r="B5652" s="1">
        <v>45757</v>
      </c>
      <c r="C5652" t="s">
        <v>111</v>
      </c>
      <c r="D5652" t="s">
        <v>64</v>
      </c>
      <c r="E5652" t="s">
        <v>8</v>
      </c>
      <c r="F5652">
        <v>3</v>
      </c>
      <c r="G5652" t="str">
        <f>VLOOKUP(D5652,Товары!A:I,3,0)</f>
        <v>Тумба с раковиной  напол. Рица 800 антрацит 2 ящика с умыв. Слим</v>
      </c>
      <c r="H5652">
        <f>VLOOKUP(D5652,Товары!A:I,6,0)</f>
        <v>80</v>
      </c>
      <c r="I5652" t="str">
        <f>VLOOKUP(C5652,Магазины!A:C,3,0)</f>
        <v>Набережные Челны</v>
      </c>
      <c r="J5652">
        <f>VLOOKUP(D5652,Товары!A:I,4,0)</f>
        <v>28980</v>
      </c>
      <c r="K5652">
        <f t="shared" si="88"/>
        <v>86940</v>
      </c>
    </row>
    <row r="5653" spans="1:11" hidden="1" x14ac:dyDescent="0.25">
      <c r="A5653">
        <v>5652</v>
      </c>
      <c r="B5653" s="1">
        <v>45748</v>
      </c>
      <c r="C5653" t="s">
        <v>18</v>
      </c>
      <c r="D5653" t="s">
        <v>68</v>
      </c>
      <c r="E5653" t="s">
        <v>13</v>
      </c>
      <c r="F5653">
        <v>3</v>
      </c>
      <c r="G5653" t="str">
        <f>VLOOKUP(D5653,Товары!A:I,3,0)</f>
        <v>Тумба с раковиной  навес. Альба 600 антрацит 1 ящик с умыв. Океан</v>
      </c>
      <c r="H5653">
        <f>VLOOKUP(D5653,Товары!A:I,6,0)</f>
        <v>85</v>
      </c>
      <c r="I5653" t="str">
        <f>VLOOKUP(C5653,Магазины!A:C,3,0)</f>
        <v>Набережные Челны</v>
      </c>
      <c r="J5653">
        <f>VLOOKUP(D5653,Товары!A:I,4,0)</f>
        <v>17625</v>
      </c>
      <c r="K5653">
        <f t="shared" si="88"/>
        <v>52875</v>
      </c>
    </row>
    <row r="5654" spans="1:11" hidden="1" x14ac:dyDescent="0.25">
      <c r="A5654">
        <v>5653</v>
      </c>
      <c r="B5654" s="1">
        <v>45752</v>
      </c>
      <c r="C5654" t="s">
        <v>16</v>
      </c>
      <c r="D5654" t="s">
        <v>32</v>
      </c>
      <c r="E5654" t="s">
        <v>8</v>
      </c>
      <c r="F5654">
        <v>2</v>
      </c>
      <c r="G5654" t="str">
        <f>VLOOKUP(D5654,Товары!A:I,3,0)</f>
        <v>Тумба с раковиной  напол. Леон Риф 700 солярис/белый риф 2 ящика с умыв. Слим</v>
      </c>
      <c r="H5654">
        <f>VLOOKUP(D5654,Товары!A:I,6,0)</f>
        <v>85</v>
      </c>
      <c r="I5654" t="str">
        <f>VLOOKUP(C5654,Магазины!A:C,3,0)</f>
        <v>Оренбург</v>
      </c>
      <c r="J5654">
        <f>VLOOKUP(D5654,Товары!A:I,4,0)</f>
        <v>26460</v>
      </c>
      <c r="K5654">
        <f t="shared" si="88"/>
        <v>52920</v>
      </c>
    </row>
    <row r="5655" spans="1:11" hidden="1" x14ac:dyDescent="0.25">
      <c r="A5655">
        <v>5654</v>
      </c>
      <c r="B5655" s="1">
        <v>45750</v>
      </c>
      <c r="C5655" t="s">
        <v>16</v>
      </c>
      <c r="D5655" t="s">
        <v>85</v>
      </c>
      <c r="E5655" t="s">
        <v>8</v>
      </c>
      <c r="F5655">
        <v>3</v>
      </c>
      <c r="G5655" t="str">
        <f>VLOOKUP(D5655,Товары!A:I,3,0)</f>
        <v>Пенал напол. Аква 450 белый 2 двери + 2 ящика + корзина</v>
      </c>
      <c r="H5655">
        <f>VLOOKUP(D5655,Товары!A:I,6,0)</f>
        <v>190</v>
      </c>
      <c r="I5655" t="str">
        <f>VLOOKUP(C5655,Магазины!A:C,3,0)</f>
        <v>Оренбург</v>
      </c>
      <c r="J5655">
        <f>VLOOKUP(D5655,Товары!A:I,4,0)</f>
        <v>13335</v>
      </c>
      <c r="K5655">
        <f t="shared" si="88"/>
        <v>40005</v>
      </c>
    </row>
    <row r="5656" spans="1:11" hidden="1" x14ac:dyDescent="0.25">
      <c r="A5656">
        <v>5655</v>
      </c>
      <c r="B5656" s="1">
        <v>45755</v>
      </c>
      <c r="C5656" t="s">
        <v>6</v>
      </c>
      <c r="D5656" t="s">
        <v>87</v>
      </c>
      <c r="E5656" t="s">
        <v>8</v>
      </c>
      <c r="F5656">
        <v>1</v>
      </c>
      <c r="G5656" t="str">
        <f>VLOOKUP(D5656,Товары!A:I,3,0)</f>
        <v>Тумба с раковиной  напол. Леон 700 форест 2 ящика с умыв. Слим</v>
      </c>
      <c r="H5656">
        <f>VLOOKUP(D5656,Товары!A:I,6,0)</f>
        <v>80</v>
      </c>
      <c r="I5656" t="str">
        <f>VLOOKUP(C5656,Магазины!A:C,3,0)</f>
        <v>Оренбург</v>
      </c>
      <c r="J5656">
        <f>VLOOKUP(D5656,Товары!A:I,4,0)</f>
        <v>28380</v>
      </c>
      <c r="K5656">
        <f t="shared" si="88"/>
        <v>28380</v>
      </c>
    </row>
    <row r="5657" spans="1:11" hidden="1" x14ac:dyDescent="0.25">
      <c r="A5657">
        <v>5656</v>
      </c>
      <c r="B5657" s="1">
        <v>45751</v>
      </c>
      <c r="C5657" t="s">
        <v>14</v>
      </c>
      <c r="D5657" t="s">
        <v>73</v>
      </c>
      <c r="E5657" t="s">
        <v>13</v>
      </c>
      <c r="F5657">
        <v>3</v>
      </c>
      <c r="G5657" t="str">
        <f>VLOOKUP(D5657,Товары!A:I,3,0)</f>
        <v>Зеркальный шкаф Альба 70 со светильником правый цвет антрацит</v>
      </c>
      <c r="H5657">
        <f>VLOOKUP(D5657,Товары!A:I,6,0)</f>
        <v>75</v>
      </c>
      <c r="I5657" t="str">
        <f>VLOOKUP(C5657,Магазины!A:C,3,0)</f>
        <v>Оренбург</v>
      </c>
      <c r="J5657">
        <f>VLOOKUP(D5657,Товары!A:I,4,0)</f>
        <v>9615</v>
      </c>
      <c r="K5657">
        <f t="shared" si="88"/>
        <v>28845</v>
      </c>
    </row>
    <row r="5658" spans="1:11" hidden="1" x14ac:dyDescent="0.25">
      <c r="A5658">
        <v>5657</v>
      </c>
      <c r="B5658" s="1">
        <v>45757</v>
      </c>
      <c r="C5658" t="s">
        <v>9</v>
      </c>
      <c r="D5658" t="s">
        <v>95</v>
      </c>
      <c r="E5658" t="s">
        <v>13</v>
      </c>
      <c r="F5658">
        <v>3</v>
      </c>
      <c r="G5658" t="str">
        <f>VLOOKUP(D5658,Товары!A:I,3,0)</f>
        <v>Тумба с раковиной  напол. Рица 600 антрацит 2 ящика с умыв. Океан</v>
      </c>
      <c r="H5658">
        <f>VLOOKUP(D5658,Товары!A:I,6,0)</f>
        <v>80</v>
      </c>
      <c r="I5658" t="str">
        <f>VLOOKUP(C5658,Магазины!A:C,3,0)</f>
        <v>Кемерово</v>
      </c>
      <c r="J5658">
        <f>VLOOKUP(D5658,Товары!A:I,4,0)</f>
        <v>25560</v>
      </c>
      <c r="K5658">
        <f t="shared" si="88"/>
        <v>76680</v>
      </c>
    </row>
    <row r="5659" spans="1:11" hidden="1" x14ac:dyDescent="0.25">
      <c r="A5659">
        <v>5658</v>
      </c>
      <c r="B5659" s="1">
        <v>45756</v>
      </c>
      <c r="C5659" t="s">
        <v>11</v>
      </c>
      <c r="D5659" t="s">
        <v>110</v>
      </c>
      <c r="E5659" t="s">
        <v>13</v>
      </c>
      <c r="F5659">
        <v>1</v>
      </c>
      <c r="G5659" t="str">
        <f>VLOOKUP(D5659,Товары!A:I,3,0)</f>
        <v>Тумба с раковиной  напол. Альба 600 антрацит 2 ящика с умыв. Океан</v>
      </c>
      <c r="H5659">
        <f>VLOOKUP(D5659,Товары!A:I,6,0)</f>
        <v>80</v>
      </c>
      <c r="I5659" t="str">
        <f>VLOOKUP(C5659,Магазины!A:C,3,0)</f>
        <v>Кемерово</v>
      </c>
      <c r="J5659">
        <f>VLOOKUP(D5659,Товары!A:I,4,0)</f>
        <v>26370</v>
      </c>
      <c r="K5659">
        <f t="shared" si="88"/>
        <v>26370</v>
      </c>
    </row>
    <row r="5660" spans="1:11" hidden="1" x14ac:dyDescent="0.25">
      <c r="A5660">
        <v>5659</v>
      </c>
      <c r="B5660" s="1">
        <v>45751</v>
      </c>
      <c r="C5660" t="s">
        <v>14</v>
      </c>
      <c r="D5660" t="s">
        <v>27</v>
      </c>
      <c r="E5660" t="s">
        <v>8</v>
      </c>
      <c r="F5660">
        <v>1</v>
      </c>
      <c r="G5660" t="str">
        <f>VLOOKUP(D5660,Товары!A:I,3,0)</f>
        <v>Тумба с раковиной  навес. Виктория 800 белый 2 ящика с умыв. Слим</v>
      </c>
      <c r="H5660">
        <f>VLOOKUP(D5660,Товары!A:I,6,0)</f>
        <v>60</v>
      </c>
      <c r="I5660" t="str">
        <f>VLOOKUP(C5660,Магазины!A:C,3,0)</f>
        <v>Оренбург</v>
      </c>
      <c r="J5660">
        <f>VLOOKUP(D5660,Товары!A:I,4,0)</f>
        <v>25290</v>
      </c>
      <c r="K5660">
        <f t="shared" si="88"/>
        <v>25290</v>
      </c>
    </row>
    <row r="5661" spans="1:11" hidden="1" x14ac:dyDescent="0.25">
      <c r="A5661">
        <v>5660</v>
      </c>
      <c r="B5661" s="1">
        <v>45756</v>
      </c>
      <c r="C5661" t="s">
        <v>63</v>
      </c>
      <c r="D5661" t="s">
        <v>65</v>
      </c>
      <c r="E5661" t="s">
        <v>8</v>
      </c>
      <c r="F5661">
        <v>3</v>
      </c>
      <c r="G5661" t="str">
        <f>VLOOKUP(D5661,Товары!A:I,3,0)</f>
        <v>Тумба с раковиной  навес. Альба 800 суфле 2 ящика с умыв. Слим</v>
      </c>
      <c r="H5661">
        <f>VLOOKUP(D5661,Товары!A:I,6,0)</f>
        <v>50</v>
      </c>
      <c r="I5661" t="str">
        <f>VLOOKUP(C5661,Магазины!A:C,3,0)</f>
        <v>Ставрополь</v>
      </c>
      <c r="J5661">
        <f>VLOOKUP(D5661,Товары!A:I,4,0)</f>
        <v>26070</v>
      </c>
      <c r="K5661">
        <f t="shared" si="88"/>
        <v>78210</v>
      </c>
    </row>
    <row r="5662" spans="1:11" hidden="1" x14ac:dyDescent="0.25">
      <c r="A5662">
        <v>5661</v>
      </c>
      <c r="B5662" s="1">
        <v>45751</v>
      </c>
      <c r="C5662" t="s">
        <v>57</v>
      </c>
      <c r="D5662" t="s">
        <v>45</v>
      </c>
      <c r="E5662" t="s">
        <v>13</v>
      </c>
      <c r="F5662">
        <v>3</v>
      </c>
      <c r="G5662" t="str">
        <f>VLOOKUP(D5662,Товары!A:I,3,0)</f>
        <v>Зеркальный шкаф Рица 80 со светильником правый цвет cерый/керамика</v>
      </c>
      <c r="H5662">
        <f>VLOOKUP(D5662,Товары!A:I,6,0)</f>
        <v>75</v>
      </c>
      <c r="I5662" t="str">
        <f>VLOOKUP(C5662,Магазины!A:C,3,0)</f>
        <v>Оренбург</v>
      </c>
      <c r="J5662">
        <f>VLOOKUP(D5662,Товары!A:I,4,0)</f>
        <v>9930</v>
      </c>
      <c r="K5662">
        <f t="shared" si="88"/>
        <v>29790</v>
      </c>
    </row>
    <row r="5663" spans="1:11" hidden="1" x14ac:dyDescent="0.25">
      <c r="A5663">
        <v>5662</v>
      </c>
      <c r="B5663" s="1">
        <v>45748</v>
      </c>
      <c r="C5663" t="s">
        <v>111</v>
      </c>
      <c r="D5663" t="s">
        <v>124</v>
      </c>
      <c r="E5663" t="s">
        <v>13</v>
      </c>
      <c r="F5663">
        <v>2</v>
      </c>
      <c r="G5663" t="str">
        <f>VLOOKUP(D5663,Товары!A:I,3,0)</f>
        <v>Тумба с раковиной  напол. Леон 600 оникс 2 ящика с умыв. Океан</v>
      </c>
      <c r="H5663">
        <f>VLOOKUP(D5663,Товары!A:I,6,0)</f>
        <v>80</v>
      </c>
      <c r="I5663" t="str">
        <f>VLOOKUP(C5663,Магазины!A:C,3,0)</f>
        <v>Набережные Челны</v>
      </c>
      <c r="J5663">
        <f>VLOOKUP(D5663,Товары!A:I,4,0)</f>
        <v>25860</v>
      </c>
      <c r="K5663">
        <f t="shared" si="88"/>
        <v>51720</v>
      </c>
    </row>
    <row r="5664" spans="1:11" hidden="1" x14ac:dyDescent="0.25">
      <c r="A5664">
        <v>5663</v>
      </c>
      <c r="B5664" s="1">
        <v>45757</v>
      </c>
      <c r="C5664" t="s">
        <v>92</v>
      </c>
      <c r="D5664" t="s">
        <v>81</v>
      </c>
      <c r="E5664" t="s">
        <v>13</v>
      </c>
      <c r="F5664">
        <v>3</v>
      </c>
      <c r="G5664" t="str">
        <f>VLOOKUP(D5664,Товары!A:I,3,0)</f>
        <v>Тумба с раковиной  навес. Рица 600 cерый/керамика 1 ящик + ниша 1 с умыв. Океан</v>
      </c>
      <c r="H5664">
        <f>VLOOKUP(D5664,Товары!A:I,6,0)</f>
        <v>60</v>
      </c>
      <c r="I5664" t="str">
        <f>VLOOKUP(C5664,Магазины!A:C,3,0)</f>
        <v>Кемерово</v>
      </c>
      <c r="J5664">
        <f>VLOOKUP(D5664,Товары!A:I,4,0)</f>
        <v>18900</v>
      </c>
      <c r="K5664">
        <f t="shared" si="88"/>
        <v>56700</v>
      </c>
    </row>
    <row r="5665" spans="1:11" hidden="1" x14ac:dyDescent="0.25">
      <c r="A5665">
        <v>5664</v>
      </c>
      <c r="B5665" s="1">
        <v>45754</v>
      </c>
      <c r="C5665" t="s">
        <v>26</v>
      </c>
      <c r="D5665" t="s">
        <v>126</v>
      </c>
      <c r="E5665" t="s">
        <v>13</v>
      </c>
      <c r="F5665">
        <v>3</v>
      </c>
      <c r="G5665" t="str">
        <f>VLOOKUP(D5665,Товары!A:I,3,0)</f>
        <v>Тумба с раковиной  напол. Кристалл 800 шато азур 2 ящика с умыв. Комфорт</v>
      </c>
      <c r="H5665">
        <f>VLOOKUP(D5665,Товары!A:I,6,0)</f>
        <v>85</v>
      </c>
      <c r="I5665" t="str">
        <f>VLOOKUP(C5665,Магазины!A:C,3,0)</f>
        <v>Оренбург</v>
      </c>
      <c r="J5665">
        <f>VLOOKUP(D5665,Товары!A:I,4,0)</f>
        <v>31125</v>
      </c>
      <c r="K5665">
        <f t="shared" si="88"/>
        <v>93375</v>
      </c>
    </row>
    <row r="5666" spans="1:11" hidden="1" x14ac:dyDescent="0.25">
      <c r="A5666">
        <v>5665</v>
      </c>
      <c r="B5666" s="1">
        <v>45756</v>
      </c>
      <c r="C5666" t="s">
        <v>57</v>
      </c>
      <c r="D5666" t="s">
        <v>31</v>
      </c>
      <c r="E5666" t="s">
        <v>13</v>
      </c>
      <c r="F5666">
        <v>2</v>
      </c>
      <c r="G5666" t="str">
        <f>VLOOKUP(D5666,Товары!A:I,3,0)</f>
        <v>Пенал напол. Виктория 350 белый 2 двери</v>
      </c>
      <c r="H5666">
        <f>VLOOKUP(D5666,Товары!A:I,6,0)</f>
        <v>190</v>
      </c>
      <c r="I5666" t="str">
        <f>VLOOKUP(C5666,Магазины!A:C,3,0)</f>
        <v>Оренбург</v>
      </c>
      <c r="J5666">
        <f>VLOOKUP(D5666,Товары!A:I,4,0)</f>
        <v>14085</v>
      </c>
      <c r="K5666">
        <f t="shared" si="88"/>
        <v>28170</v>
      </c>
    </row>
    <row r="5667" spans="1:11" hidden="1" x14ac:dyDescent="0.25">
      <c r="A5667">
        <v>5666</v>
      </c>
      <c r="B5667" s="1">
        <v>45748</v>
      </c>
      <c r="C5667" t="s">
        <v>35</v>
      </c>
      <c r="D5667" t="s">
        <v>61</v>
      </c>
      <c r="E5667" t="s">
        <v>8</v>
      </c>
      <c r="F5667">
        <v>3</v>
      </c>
      <c r="G5667" t="str">
        <f>VLOOKUP(D5667,Товары!A:I,3,0)</f>
        <v>Тумба под стиральную машину Леон Риф 57 напольная 2 ящика под ст/маш, без умывальника /под Marshall 120 Солярис/Белый Риф</v>
      </c>
      <c r="H5667">
        <f>VLOOKUP(D5667,Товары!A:I,6,0)</f>
        <v>85</v>
      </c>
      <c r="I5667" t="str">
        <f>VLOOKUP(C5667,Магазины!A:C,3,0)</f>
        <v>Набережные Челны</v>
      </c>
      <c r="J5667">
        <f>VLOOKUP(D5667,Товары!A:I,4,0)</f>
        <v>17430</v>
      </c>
      <c r="K5667">
        <f t="shared" si="88"/>
        <v>52290</v>
      </c>
    </row>
    <row r="5668" spans="1:11" hidden="1" x14ac:dyDescent="0.25">
      <c r="A5668">
        <v>5667</v>
      </c>
      <c r="B5668" s="1">
        <v>45749</v>
      </c>
      <c r="C5668" t="s">
        <v>48</v>
      </c>
      <c r="D5668" t="s">
        <v>36</v>
      </c>
      <c r="E5668" t="s">
        <v>8</v>
      </c>
      <c r="F5668">
        <v>2</v>
      </c>
      <c r="G5668" t="str">
        <f>VLOOKUP(D5668,Товары!A:I,3,0)</f>
        <v>Тумба с раковиной  напол. Альба 800 мята 2 ящика с умыв. Слим</v>
      </c>
      <c r="H5668">
        <f>VLOOKUP(D5668,Товары!A:I,6,0)</f>
        <v>80</v>
      </c>
      <c r="I5668" t="str">
        <f>VLOOKUP(C5668,Магазины!A:C,3,0)</f>
        <v>Ставрополь</v>
      </c>
      <c r="J5668">
        <f>VLOOKUP(D5668,Товары!A:I,4,0)</f>
        <v>29340</v>
      </c>
      <c r="K5668">
        <f t="shared" si="88"/>
        <v>58680</v>
      </c>
    </row>
    <row r="5669" spans="1:11" hidden="1" x14ac:dyDescent="0.25">
      <c r="A5669">
        <v>5668</v>
      </c>
      <c r="B5669" s="1">
        <v>45748</v>
      </c>
      <c r="C5669" t="s">
        <v>30</v>
      </c>
      <c r="D5669" t="s">
        <v>129</v>
      </c>
      <c r="E5669" t="s">
        <v>13</v>
      </c>
      <c r="F5669">
        <v>2</v>
      </c>
      <c r="G5669" t="str">
        <f>VLOOKUP(D5669,Товары!A:I,3,0)</f>
        <v>Тумба с раковиной  напол. Альба 700 антрацит 2 ящика с умыв. Слим</v>
      </c>
      <c r="H5669">
        <f>VLOOKUP(D5669,Товары!A:I,6,0)</f>
        <v>85</v>
      </c>
      <c r="I5669" t="str">
        <f>VLOOKUP(C5669,Магазины!A:C,3,0)</f>
        <v>Кемерово</v>
      </c>
      <c r="J5669">
        <f>VLOOKUP(D5669,Товары!A:I,4,0)</f>
        <v>28695</v>
      </c>
      <c r="K5669">
        <f t="shared" si="88"/>
        <v>57390</v>
      </c>
    </row>
    <row r="5670" spans="1:11" hidden="1" x14ac:dyDescent="0.25">
      <c r="A5670">
        <v>5669</v>
      </c>
      <c r="B5670" s="1">
        <v>45754</v>
      </c>
      <c r="C5670" t="s">
        <v>30</v>
      </c>
      <c r="D5670" t="s">
        <v>131</v>
      </c>
      <c r="E5670" t="s">
        <v>8</v>
      </c>
      <c r="F5670">
        <v>2</v>
      </c>
      <c r="G5670" t="str">
        <f>VLOOKUP(D5670,Товары!A:I,3,0)</f>
        <v>Тумба с раковиной  напол. Леон 800 форест 2 ящика с умыв. Слим</v>
      </c>
      <c r="H5670">
        <f>VLOOKUP(D5670,Товары!A:I,6,0)</f>
        <v>80</v>
      </c>
      <c r="I5670" t="str">
        <f>VLOOKUP(C5670,Магазины!A:C,3,0)</f>
        <v>Кемерово</v>
      </c>
      <c r="J5670">
        <f>VLOOKUP(D5670,Товары!A:I,4,0)</f>
        <v>29400</v>
      </c>
      <c r="K5670">
        <f t="shared" si="88"/>
        <v>58800</v>
      </c>
    </row>
    <row r="5671" spans="1:11" hidden="1" x14ac:dyDescent="0.25">
      <c r="A5671">
        <v>5670</v>
      </c>
      <c r="B5671" s="1">
        <v>45752</v>
      </c>
      <c r="C5671" t="s">
        <v>18</v>
      </c>
      <c r="D5671" t="s">
        <v>130</v>
      </c>
      <c r="E5671" t="s">
        <v>8</v>
      </c>
      <c r="F5671">
        <v>3</v>
      </c>
      <c r="G5671" t="str">
        <f>VLOOKUP(D5671,Товары!A:I,3,0)</f>
        <v>Пенал напол. Леон 400 форест 2 двери + 1 ящик</v>
      </c>
      <c r="H5671">
        <f>VLOOKUP(D5671,Товары!A:I,6,0)</f>
        <v>190</v>
      </c>
      <c r="I5671" t="str">
        <f>VLOOKUP(C5671,Магазины!A:C,3,0)</f>
        <v>Набережные Челны</v>
      </c>
      <c r="J5671">
        <f>VLOOKUP(D5671,Товары!A:I,4,0)</f>
        <v>18450</v>
      </c>
      <c r="K5671">
        <f t="shared" si="88"/>
        <v>55350</v>
      </c>
    </row>
    <row r="5672" spans="1:11" hidden="1" x14ac:dyDescent="0.25">
      <c r="A5672">
        <v>5671</v>
      </c>
      <c r="B5672" s="1">
        <v>45754</v>
      </c>
      <c r="C5672" t="s">
        <v>22</v>
      </c>
      <c r="D5672" t="s">
        <v>79</v>
      </c>
      <c r="E5672" t="s">
        <v>13</v>
      </c>
      <c r="F5672">
        <v>2</v>
      </c>
      <c r="G5672" t="str">
        <f>VLOOKUP(D5672,Товары!A:I,3,0)</f>
        <v>Зеркальный шкаф Альба 70 со светильником правый цвет мята</v>
      </c>
      <c r="H5672">
        <f>VLOOKUP(D5672,Товары!A:I,6,0)</f>
        <v>75</v>
      </c>
      <c r="I5672" t="str">
        <f>VLOOKUP(C5672,Магазины!A:C,3,0)</f>
        <v>Кемерово</v>
      </c>
      <c r="J5672">
        <f>VLOOKUP(D5672,Товары!A:I,4,0)</f>
        <v>9615</v>
      </c>
      <c r="K5672">
        <f t="shared" si="88"/>
        <v>19230</v>
      </c>
    </row>
    <row r="5673" spans="1:11" hidden="1" x14ac:dyDescent="0.25">
      <c r="A5673">
        <v>5672</v>
      </c>
      <c r="B5673" s="1">
        <v>45749</v>
      </c>
      <c r="C5673" t="s">
        <v>48</v>
      </c>
      <c r="D5673" t="s">
        <v>42</v>
      </c>
      <c r="E5673" t="s">
        <v>8</v>
      </c>
      <c r="F5673">
        <v>1</v>
      </c>
      <c r="G5673" t="str">
        <f>VLOOKUP(D5673,Товары!A:I,3,0)</f>
        <v>Тумба под стиральную машину Леон Риф 57 подвесная 2 ящика под ст/маш, без умывальника /под Marshall 120 Солярис/Белый Риф</v>
      </c>
      <c r="H5673">
        <f>VLOOKUP(D5673,Товары!A:I,6,0)</f>
        <v>60</v>
      </c>
      <c r="I5673" t="str">
        <f>VLOOKUP(C5673,Магазины!A:C,3,0)</f>
        <v>Ставрополь</v>
      </c>
      <c r="J5673">
        <f>VLOOKUP(D5673,Товары!A:I,4,0)</f>
        <v>15495</v>
      </c>
      <c r="K5673">
        <f t="shared" si="88"/>
        <v>15495</v>
      </c>
    </row>
    <row r="5674" spans="1:11" hidden="1" x14ac:dyDescent="0.25">
      <c r="A5674">
        <v>5673</v>
      </c>
      <c r="B5674" s="1">
        <v>45754</v>
      </c>
      <c r="C5674" t="s">
        <v>58</v>
      </c>
      <c r="D5674" t="s">
        <v>125</v>
      </c>
      <c r="E5674" t="s">
        <v>8</v>
      </c>
      <c r="F5674">
        <v>3</v>
      </c>
      <c r="G5674" t="str">
        <f>VLOOKUP(D5674,Товары!A:I,3,0)</f>
        <v>Зеркальный шкаф Сохо 60 белый со светильником правый цвет Белый глянец</v>
      </c>
      <c r="H5674">
        <f>VLOOKUP(D5674,Товары!A:I,6,0)</f>
        <v>75</v>
      </c>
      <c r="I5674" t="str">
        <f>VLOOKUP(C5674,Магазины!A:C,3,0)</f>
        <v>Ставрополь</v>
      </c>
      <c r="J5674">
        <f>VLOOKUP(D5674,Товары!A:I,4,0)</f>
        <v>7395</v>
      </c>
      <c r="K5674">
        <f t="shared" si="88"/>
        <v>22185</v>
      </c>
    </row>
    <row r="5675" spans="1:11" hidden="1" x14ac:dyDescent="0.25">
      <c r="A5675">
        <v>5674</v>
      </c>
      <c r="B5675" s="1">
        <v>45751</v>
      </c>
      <c r="C5675" t="s">
        <v>20</v>
      </c>
      <c r="D5675" t="s">
        <v>25</v>
      </c>
      <c r="E5675" t="s">
        <v>8</v>
      </c>
      <c r="F5675">
        <v>1</v>
      </c>
      <c r="G5675" t="str">
        <f>VLOOKUP(D5675,Товары!A:I,3,0)</f>
        <v>Пенал напол. Леон 400 оникс 2 двери + 1 ящик</v>
      </c>
      <c r="H5675">
        <f>VLOOKUP(D5675,Товары!A:I,6,0)</f>
        <v>190</v>
      </c>
      <c r="I5675" t="str">
        <f>VLOOKUP(C5675,Магазины!A:C,3,0)</f>
        <v>Оренбург</v>
      </c>
      <c r="J5675">
        <f>VLOOKUP(D5675,Товары!A:I,4,0)</f>
        <v>18450</v>
      </c>
      <c r="K5675">
        <f t="shared" si="88"/>
        <v>18450</v>
      </c>
    </row>
    <row r="5676" spans="1:11" hidden="1" x14ac:dyDescent="0.25">
      <c r="A5676">
        <v>5675</v>
      </c>
      <c r="B5676" s="1">
        <v>45751</v>
      </c>
      <c r="C5676" t="s">
        <v>63</v>
      </c>
      <c r="D5676" t="s">
        <v>79</v>
      </c>
      <c r="E5676" t="s">
        <v>13</v>
      </c>
      <c r="F5676">
        <v>3</v>
      </c>
      <c r="G5676" t="str">
        <f>VLOOKUP(D5676,Товары!A:I,3,0)</f>
        <v>Зеркальный шкаф Альба 70 со светильником правый цвет мята</v>
      </c>
      <c r="H5676">
        <f>VLOOKUP(D5676,Товары!A:I,6,0)</f>
        <v>75</v>
      </c>
      <c r="I5676" t="str">
        <f>VLOOKUP(C5676,Магазины!A:C,3,0)</f>
        <v>Ставрополь</v>
      </c>
      <c r="J5676">
        <f>VLOOKUP(D5676,Товары!A:I,4,0)</f>
        <v>9615</v>
      </c>
      <c r="K5676">
        <f t="shared" si="88"/>
        <v>28845</v>
      </c>
    </row>
    <row r="5677" spans="1:11" hidden="1" x14ac:dyDescent="0.25">
      <c r="A5677">
        <v>5676</v>
      </c>
      <c r="B5677" s="1">
        <v>45756</v>
      </c>
      <c r="C5677" t="s">
        <v>48</v>
      </c>
      <c r="D5677" t="s">
        <v>7</v>
      </c>
      <c r="E5677" t="s">
        <v>8</v>
      </c>
      <c r="F5677">
        <v>1</v>
      </c>
      <c r="G5677" t="str">
        <f>VLOOKUP(D5677,Товары!A:I,3,0)</f>
        <v>Пенал напол. Леон Риф 400 солярис/белый риф 2 двери + 1 ящик</v>
      </c>
      <c r="H5677">
        <f>VLOOKUP(D5677,Товары!A:I,6,0)</f>
        <v>190</v>
      </c>
      <c r="I5677" t="str">
        <f>VLOOKUP(C5677,Магазины!A:C,3,0)</f>
        <v>Ставрополь</v>
      </c>
      <c r="J5677">
        <f>VLOOKUP(D5677,Товары!A:I,4,0)</f>
        <v>14490</v>
      </c>
      <c r="K5677">
        <f t="shared" si="88"/>
        <v>14490</v>
      </c>
    </row>
    <row r="5678" spans="1:11" hidden="1" x14ac:dyDescent="0.25">
      <c r="A5678">
        <v>5677</v>
      </c>
      <c r="B5678" s="1">
        <v>45756</v>
      </c>
      <c r="C5678" t="s">
        <v>111</v>
      </c>
      <c r="D5678" t="s">
        <v>104</v>
      </c>
      <c r="E5678" t="s">
        <v>8</v>
      </c>
      <c r="F5678">
        <v>1</v>
      </c>
      <c r="G5678" t="str">
        <f>VLOOKUP(D5678,Товары!A:I,3,0)</f>
        <v>Тумба под стиральную машину Куба Риф 57 подвесная 2 ящика под ст/маш, без умывальника /под Marshall 120 Белый</v>
      </c>
      <c r="H5678">
        <f>VLOOKUP(D5678,Товары!A:I,6,0)</f>
        <v>50</v>
      </c>
      <c r="I5678" t="str">
        <f>VLOOKUP(C5678,Магазины!A:C,3,0)</f>
        <v>Набережные Челны</v>
      </c>
      <c r="J5678">
        <f>VLOOKUP(D5678,Товары!A:I,4,0)</f>
        <v>8505</v>
      </c>
      <c r="K5678">
        <f t="shared" si="88"/>
        <v>8505</v>
      </c>
    </row>
    <row r="5679" spans="1:11" hidden="1" x14ac:dyDescent="0.25">
      <c r="A5679">
        <v>5678</v>
      </c>
      <c r="B5679" s="1">
        <v>45750</v>
      </c>
      <c r="C5679" t="s">
        <v>18</v>
      </c>
      <c r="D5679" t="s">
        <v>78</v>
      </c>
      <c r="E5679" t="s">
        <v>13</v>
      </c>
      <c r="F5679">
        <v>2</v>
      </c>
      <c r="G5679" t="str">
        <f>VLOOKUP(D5679,Товары!A:I,3,0)</f>
        <v>Зеркальный шкаф Кристалл 70 со светильником правый, ручка кнопка дуб цвет Шато Азур</v>
      </c>
      <c r="H5679">
        <f>VLOOKUP(D5679,Товары!A:I,6,0)</f>
        <v>75</v>
      </c>
      <c r="I5679" t="str">
        <f>VLOOKUP(C5679,Магазины!A:C,3,0)</f>
        <v>Набережные Челны</v>
      </c>
      <c r="J5679">
        <f>VLOOKUP(D5679,Товары!A:I,4,0)</f>
        <v>9615</v>
      </c>
      <c r="K5679">
        <f t="shared" si="88"/>
        <v>19230</v>
      </c>
    </row>
    <row r="5680" spans="1:11" hidden="1" x14ac:dyDescent="0.25">
      <c r="A5680">
        <v>5679</v>
      </c>
      <c r="B5680" s="1">
        <v>45757</v>
      </c>
      <c r="C5680" t="s">
        <v>58</v>
      </c>
      <c r="D5680" t="s">
        <v>40</v>
      </c>
      <c r="E5680" t="s">
        <v>13</v>
      </c>
      <c r="F5680">
        <v>2</v>
      </c>
      <c r="G5680" t="str">
        <f>VLOOKUP(D5680,Товары!A:I,3,0)</f>
        <v>Тумба с раковиной  навес. Рица 800 cерый/керамика 1 ящик + ниша 1 с умыв. Слим</v>
      </c>
      <c r="H5680">
        <f>VLOOKUP(D5680,Товары!A:I,6,0)</f>
        <v>60</v>
      </c>
      <c r="I5680" t="str">
        <f>VLOOKUP(C5680,Магазины!A:C,3,0)</f>
        <v>Ставрополь</v>
      </c>
      <c r="J5680">
        <f>VLOOKUP(D5680,Товары!A:I,4,0)</f>
        <v>22425</v>
      </c>
      <c r="K5680">
        <f t="shared" si="88"/>
        <v>44850</v>
      </c>
    </row>
    <row r="5681" spans="1:11" hidden="1" x14ac:dyDescent="0.25">
      <c r="A5681">
        <v>5680</v>
      </c>
      <c r="B5681" s="1">
        <v>45755</v>
      </c>
      <c r="C5681" t="s">
        <v>22</v>
      </c>
      <c r="D5681" t="s">
        <v>112</v>
      </c>
      <c r="E5681" t="s">
        <v>13</v>
      </c>
      <c r="F5681">
        <v>2</v>
      </c>
      <c r="G5681" t="str">
        <f>VLOOKUP(D5681,Товары!A:I,3,0)</f>
        <v>Тумба с раковиной  напол. Аква 560 белый 2 двери с умыв. Уют</v>
      </c>
      <c r="H5681">
        <f>VLOOKUP(D5681,Товары!A:I,6,0)</f>
        <v>85</v>
      </c>
      <c r="I5681" t="str">
        <f>VLOOKUP(C5681,Магазины!A:C,3,0)</f>
        <v>Кемерово</v>
      </c>
      <c r="J5681">
        <f>VLOOKUP(D5681,Товары!A:I,4,0)</f>
        <v>9330</v>
      </c>
      <c r="K5681">
        <f t="shared" si="88"/>
        <v>18660</v>
      </c>
    </row>
    <row r="5682" spans="1:11" hidden="1" x14ac:dyDescent="0.25">
      <c r="A5682">
        <v>5681</v>
      </c>
      <c r="B5682" s="1">
        <v>45754</v>
      </c>
      <c r="C5682" t="s">
        <v>9</v>
      </c>
      <c r="D5682" t="s">
        <v>110</v>
      </c>
      <c r="E5682" t="s">
        <v>13</v>
      </c>
      <c r="F5682">
        <v>3</v>
      </c>
      <c r="G5682" t="str">
        <f>VLOOKUP(D5682,Товары!A:I,3,0)</f>
        <v>Тумба с раковиной  напол. Альба 600 антрацит 2 ящика с умыв. Океан</v>
      </c>
      <c r="H5682">
        <f>VLOOKUP(D5682,Товары!A:I,6,0)</f>
        <v>80</v>
      </c>
      <c r="I5682" t="str">
        <f>VLOOKUP(C5682,Магазины!A:C,3,0)</f>
        <v>Кемерово</v>
      </c>
      <c r="J5682">
        <f>VLOOKUP(D5682,Товары!A:I,4,0)</f>
        <v>26370</v>
      </c>
      <c r="K5682">
        <f t="shared" si="88"/>
        <v>79110</v>
      </c>
    </row>
    <row r="5683" spans="1:11" hidden="1" x14ac:dyDescent="0.25">
      <c r="A5683">
        <v>5682</v>
      </c>
      <c r="B5683" s="1">
        <v>45755</v>
      </c>
      <c r="C5683" t="s">
        <v>6</v>
      </c>
      <c r="D5683" t="s">
        <v>98</v>
      </c>
      <c r="E5683" t="s">
        <v>13</v>
      </c>
      <c r="F5683">
        <v>1</v>
      </c>
      <c r="G5683" t="str">
        <f>VLOOKUP(D5683,Товары!A:I,3,0)</f>
        <v>Тумба с раковиной  напол. Рица 800 cерый/керамика 2 ящика с умыв. Слим</v>
      </c>
      <c r="H5683">
        <f>VLOOKUP(D5683,Товары!A:I,6,0)</f>
        <v>80</v>
      </c>
      <c r="I5683" t="str">
        <f>VLOOKUP(C5683,Магазины!A:C,3,0)</f>
        <v>Оренбург</v>
      </c>
      <c r="J5683">
        <f>VLOOKUP(D5683,Товары!A:I,4,0)</f>
        <v>28980</v>
      </c>
      <c r="K5683">
        <f t="shared" si="88"/>
        <v>28980</v>
      </c>
    </row>
    <row r="5684" spans="1:11" hidden="1" x14ac:dyDescent="0.25">
      <c r="A5684">
        <v>5683</v>
      </c>
      <c r="B5684" s="1">
        <v>45750</v>
      </c>
      <c r="C5684" t="s">
        <v>103</v>
      </c>
      <c r="D5684" t="s">
        <v>42</v>
      </c>
      <c r="E5684" t="s">
        <v>8</v>
      </c>
      <c r="F5684">
        <v>3</v>
      </c>
      <c r="G5684" t="str">
        <f>VLOOKUP(D5684,Товары!A:I,3,0)</f>
        <v>Тумба под стиральную машину Леон Риф 57 подвесная 2 ящика под ст/маш, без умывальника /под Marshall 120 Солярис/Белый Риф</v>
      </c>
      <c r="H5684">
        <f>VLOOKUP(D5684,Товары!A:I,6,0)</f>
        <v>60</v>
      </c>
      <c r="I5684" t="str">
        <f>VLOOKUP(C5684,Магазины!A:C,3,0)</f>
        <v>Ставрополь</v>
      </c>
      <c r="J5684">
        <f>VLOOKUP(D5684,Товары!A:I,4,0)</f>
        <v>15495</v>
      </c>
      <c r="K5684">
        <f t="shared" si="88"/>
        <v>46485</v>
      </c>
    </row>
    <row r="5685" spans="1:11" x14ac:dyDescent="0.25">
      <c r="A5685">
        <v>5684</v>
      </c>
      <c r="B5685" s="1">
        <v>45750</v>
      </c>
      <c r="C5685" t="s">
        <v>30</v>
      </c>
      <c r="D5685" t="s">
        <v>69</v>
      </c>
      <c r="E5685" t="s">
        <v>13</v>
      </c>
      <c r="F5685">
        <v>1</v>
      </c>
      <c r="G5685" t="str">
        <f>VLOOKUP(D5685,Товары!A:I,3,0)</f>
        <v>Пенал навес./напол. Альба 350 антрацит 2 двери</v>
      </c>
      <c r="H5685">
        <f>VLOOKUP(D5685,Товары!A:I,6,0)</f>
        <v>150</v>
      </c>
      <c r="I5685" t="str">
        <f>VLOOKUP(C5685,Магазины!A:C,3,0)</f>
        <v>Кемерово</v>
      </c>
      <c r="J5685">
        <f>VLOOKUP(D5685,Товары!A:I,4,0)</f>
        <v>11655</v>
      </c>
      <c r="K5685">
        <f t="shared" si="88"/>
        <v>11655</v>
      </c>
    </row>
    <row r="5686" spans="1:11" hidden="1" x14ac:dyDescent="0.25">
      <c r="A5686">
        <v>5685</v>
      </c>
      <c r="B5686" s="1">
        <v>45755</v>
      </c>
      <c r="C5686" t="s">
        <v>11</v>
      </c>
      <c r="D5686" t="s">
        <v>104</v>
      </c>
      <c r="E5686" t="s">
        <v>13</v>
      </c>
      <c r="F5686">
        <v>2</v>
      </c>
      <c r="G5686" t="str">
        <f>VLOOKUP(D5686,Товары!A:I,3,0)</f>
        <v>Тумба под стиральную машину Куба Риф 57 подвесная 2 ящика под ст/маш, без умывальника /под Marshall 120 Белый</v>
      </c>
      <c r="H5686">
        <f>VLOOKUP(D5686,Товары!A:I,6,0)</f>
        <v>50</v>
      </c>
      <c r="I5686" t="str">
        <f>VLOOKUP(C5686,Магазины!A:C,3,0)</f>
        <v>Кемерово</v>
      </c>
      <c r="J5686">
        <f>VLOOKUP(D5686,Товары!A:I,4,0)</f>
        <v>8505</v>
      </c>
      <c r="K5686">
        <f t="shared" si="88"/>
        <v>17010</v>
      </c>
    </row>
    <row r="5687" spans="1:11" hidden="1" x14ac:dyDescent="0.25">
      <c r="A5687">
        <v>5686</v>
      </c>
      <c r="B5687" s="1">
        <v>45756</v>
      </c>
      <c r="C5687" t="s">
        <v>63</v>
      </c>
      <c r="D5687" t="s">
        <v>115</v>
      </c>
      <c r="E5687" t="s">
        <v>8</v>
      </c>
      <c r="F5687">
        <v>2</v>
      </c>
      <c r="G5687" t="str">
        <f>VLOOKUP(D5687,Товары!A:I,3,0)</f>
        <v>Тумба под стиральную машину Куба Риф 57 напольная 2 ящика под ст/маш, без умывальника /под Marshall 120 Белый</v>
      </c>
      <c r="H5687">
        <f>VLOOKUP(D5687,Товары!A:I,6,0)</f>
        <v>85</v>
      </c>
      <c r="I5687" t="str">
        <f>VLOOKUP(C5687,Магазины!A:C,3,0)</f>
        <v>Ставрополь</v>
      </c>
      <c r="J5687">
        <f>VLOOKUP(D5687,Товары!A:I,4,0)</f>
        <v>10530</v>
      </c>
      <c r="K5687">
        <f t="shared" si="88"/>
        <v>21060</v>
      </c>
    </row>
    <row r="5688" spans="1:11" hidden="1" x14ac:dyDescent="0.25">
      <c r="A5688">
        <v>5687</v>
      </c>
      <c r="B5688" s="1">
        <v>45751</v>
      </c>
      <c r="C5688" t="s">
        <v>33</v>
      </c>
      <c r="D5688" t="s">
        <v>125</v>
      </c>
      <c r="E5688" t="s">
        <v>8</v>
      </c>
      <c r="F5688">
        <v>3</v>
      </c>
      <c r="G5688" t="str">
        <f>VLOOKUP(D5688,Товары!A:I,3,0)</f>
        <v>Зеркальный шкаф Сохо 60 белый со светильником правый цвет Белый глянец</v>
      </c>
      <c r="H5688">
        <f>VLOOKUP(D5688,Товары!A:I,6,0)</f>
        <v>75</v>
      </c>
      <c r="I5688" t="str">
        <f>VLOOKUP(C5688,Магазины!A:C,3,0)</f>
        <v>Набережные Челны</v>
      </c>
      <c r="J5688">
        <f>VLOOKUP(D5688,Товары!A:I,4,0)</f>
        <v>7395</v>
      </c>
      <c r="K5688">
        <f t="shared" si="88"/>
        <v>22185</v>
      </c>
    </row>
    <row r="5689" spans="1:11" hidden="1" x14ac:dyDescent="0.25">
      <c r="A5689">
        <v>5688</v>
      </c>
      <c r="B5689" s="1">
        <v>45751</v>
      </c>
      <c r="C5689" t="s">
        <v>54</v>
      </c>
      <c r="D5689" t="s">
        <v>17</v>
      </c>
      <c r="E5689" t="s">
        <v>13</v>
      </c>
      <c r="F5689">
        <v>1</v>
      </c>
      <c r="G5689" t="str">
        <f>VLOOKUP(D5689,Товары!A:I,3,0)</f>
        <v>Тумба с раковиной  навес. Альба 800 антрацит 1 ящик с умыв. Слим</v>
      </c>
      <c r="H5689">
        <f>VLOOKUP(D5689,Товары!A:I,6,0)</f>
        <v>45</v>
      </c>
      <c r="I5689" t="str">
        <f>VLOOKUP(C5689,Магазины!A:C,3,0)</f>
        <v>Ставрополь</v>
      </c>
      <c r="J5689">
        <f>VLOOKUP(D5689,Товары!A:I,4,0)</f>
        <v>21630</v>
      </c>
      <c r="K5689">
        <f t="shared" si="88"/>
        <v>21630</v>
      </c>
    </row>
    <row r="5690" spans="1:11" hidden="1" x14ac:dyDescent="0.25">
      <c r="A5690">
        <v>5689</v>
      </c>
      <c r="B5690" s="1">
        <v>45750</v>
      </c>
      <c r="C5690" t="s">
        <v>92</v>
      </c>
      <c r="D5690" t="s">
        <v>37</v>
      </c>
      <c r="E5690" t="s">
        <v>13</v>
      </c>
      <c r="F5690">
        <v>2</v>
      </c>
      <c r="G5690" t="str">
        <f>VLOOKUP(D5690,Товары!A:I,3,0)</f>
        <v>Зеркальный шкаф Сохо 70 белый со светильником правый цвет Белый глянец</v>
      </c>
      <c r="H5690">
        <f>VLOOKUP(D5690,Товары!A:I,6,0)</f>
        <v>75</v>
      </c>
      <c r="I5690" t="str">
        <f>VLOOKUP(C5690,Магазины!A:C,3,0)</f>
        <v>Кемерово</v>
      </c>
      <c r="J5690">
        <f>VLOOKUP(D5690,Товары!A:I,4,0)</f>
        <v>7935</v>
      </c>
      <c r="K5690">
        <f t="shared" si="88"/>
        <v>15870</v>
      </c>
    </row>
    <row r="5691" spans="1:11" hidden="1" x14ac:dyDescent="0.25">
      <c r="A5691">
        <v>5690</v>
      </c>
      <c r="B5691" s="1">
        <v>45757</v>
      </c>
      <c r="C5691" t="s">
        <v>58</v>
      </c>
      <c r="D5691" t="s">
        <v>61</v>
      </c>
      <c r="E5691" t="s">
        <v>8</v>
      </c>
      <c r="F5691">
        <v>2</v>
      </c>
      <c r="G5691" t="str">
        <f>VLOOKUP(D5691,Товары!A:I,3,0)</f>
        <v>Тумба под стиральную машину Леон Риф 57 напольная 2 ящика под ст/маш, без умывальника /под Marshall 120 Солярис/Белый Риф</v>
      </c>
      <c r="H5691">
        <f>VLOOKUP(D5691,Товары!A:I,6,0)</f>
        <v>85</v>
      </c>
      <c r="I5691" t="str">
        <f>VLOOKUP(C5691,Магазины!A:C,3,0)</f>
        <v>Ставрополь</v>
      </c>
      <c r="J5691">
        <f>VLOOKUP(D5691,Товары!A:I,4,0)</f>
        <v>17430</v>
      </c>
      <c r="K5691">
        <f t="shared" si="88"/>
        <v>34860</v>
      </c>
    </row>
    <row r="5692" spans="1:11" hidden="1" x14ac:dyDescent="0.25">
      <c r="A5692">
        <v>5691</v>
      </c>
      <c r="B5692" s="1">
        <v>45751</v>
      </c>
      <c r="C5692" t="s">
        <v>28</v>
      </c>
      <c r="D5692" t="s">
        <v>101</v>
      </c>
      <c r="E5692" t="s">
        <v>8</v>
      </c>
      <c r="F5692">
        <v>1</v>
      </c>
      <c r="G5692" t="str">
        <f>VLOOKUP(D5692,Товары!A:I,3,0)</f>
        <v>Пенал напол. Сохо 400 белый 2 двери + 1 ящик</v>
      </c>
      <c r="H5692">
        <f>VLOOKUP(D5692,Товары!A:I,6,0)</f>
        <v>190</v>
      </c>
      <c r="I5692" t="str">
        <f>VLOOKUP(C5692,Магазины!A:C,3,0)</f>
        <v>Набережные Челны</v>
      </c>
      <c r="J5692">
        <f>VLOOKUP(D5692,Товары!A:I,4,0)</f>
        <v>11040</v>
      </c>
      <c r="K5692">
        <f t="shared" si="88"/>
        <v>11040</v>
      </c>
    </row>
    <row r="5693" spans="1:11" hidden="1" x14ac:dyDescent="0.25">
      <c r="A5693">
        <v>5692</v>
      </c>
      <c r="B5693" s="1">
        <v>45757</v>
      </c>
      <c r="C5693" t="s">
        <v>20</v>
      </c>
      <c r="D5693" t="s">
        <v>56</v>
      </c>
      <c r="E5693" t="s">
        <v>13</v>
      </c>
      <c r="F5693">
        <v>2</v>
      </c>
      <c r="G5693" t="str">
        <f>VLOOKUP(D5693,Товары!A:I,3,0)</f>
        <v>Зеркальный шкаф Альба 80 со светильником правый цвет мята</v>
      </c>
      <c r="H5693">
        <f>VLOOKUP(D5693,Товары!A:I,6,0)</f>
        <v>75</v>
      </c>
      <c r="I5693" t="str">
        <f>VLOOKUP(C5693,Магазины!A:C,3,0)</f>
        <v>Оренбург</v>
      </c>
      <c r="J5693">
        <f>VLOOKUP(D5693,Товары!A:I,4,0)</f>
        <v>9930</v>
      </c>
      <c r="K5693">
        <f t="shared" si="88"/>
        <v>19860</v>
      </c>
    </row>
    <row r="5694" spans="1:11" hidden="1" x14ac:dyDescent="0.25">
      <c r="A5694">
        <v>5693</v>
      </c>
      <c r="B5694" s="1">
        <v>45749</v>
      </c>
      <c r="C5694" t="s">
        <v>92</v>
      </c>
      <c r="D5694" t="s">
        <v>106</v>
      </c>
      <c r="E5694" t="s">
        <v>13</v>
      </c>
      <c r="F5694">
        <v>2</v>
      </c>
      <c r="G5694" t="str">
        <f>VLOOKUP(D5694,Товары!A:I,3,0)</f>
        <v>Тумба с раковиной  навес. Кристалл 700 шато азур 2 ящика с умыв. Слим</v>
      </c>
      <c r="H5694">
        <f>VLOOKUP(D5694,Товары!A:I,6,0)</f>
        <v>60</v>
      </c>
      <c r="I5694" t="str">
        <f>VLOOKUP(C5694,Магазины!A:C,3,0)</f>
        <v>Кемерово</v>
      </c>
      <c r="J5694">
        <f>VLOOKUP(D5694,Товары!A:I,4,0)</f>
        <v>24150</v>
      </c>
      <c r="K5694">
        <f t="shared" si="88"/>
        <v>48300</v>
      </c>
    </row>
    <row r="5695" spans="1:11" hidden="1" x14ac:dyDescent="0.25">
      <c r="A5695">
        <v>5694</v>
      </c>
      <c r="B5695" s="1">
        <v>45756</v>
      </c>
      <c r="C5695" t="s">
        <v>103</v>
      </c>
      <c r="D5695" t="s">
        <v>68</v>
      </c>
      <c r="E5695" t="s">
        <v>8</v>
      </c>
      <c r="F5695">
        <v>1</v>
      </c>
      <c r="G5695" t="str">
        <f>VLOOKUP(D5695,Товары!A:I,3,0)</f>
        <v>Тумба с раковиной  навес. Альба 600 антрацит 1 ящик с умыв. Океан</v>
      </c>
      <c r="H5695">
        <f>VLOOKUP(D5695,Товары!A:I,6,0)</f>
        <v>85</v>
      </c>
      <c r="I5695" t="str">
        <f>VLOOKUP(C5695,Магазины!A:C,3,0)</f>
        <v>Ставрополь</v>
      </c>
      <c r="J5695">
        <f>VLOOKUP(D5695,Товары!A:I,4,0)</f>
        <v>17625</v>
      </c>
      <c r="K5695">
        <f t="shared" si="88"/>
        <v>17625</v>
      </c>
    </row>
    <row r="5696" spans="1:11" hidden="1" x14ac:dyDescent="0.25">
      <c r="A5696">
        <v>5695</v>
      </c>
      <c r="B5696" s="1">
        <v>45755</v>
      </c>
      <c r="C5696" t="s">
        <v>33</v>
      </c>
      <c r="D5696" t="s">
        <v>52</v>
      </c>
      <c r="E5696" t="s">
        <v>13</v>
      </c>
      <c r="F5696">
        <v>1</v>
      </c>
      <c r="G5696" t="str">
        <f>VLOOKUP(D5696,Товары!A:I,3,0)</f>
        <v>Тумба с раковиной  напол. Кристалл 600 суфле 2 ящика с умыв. Океан</v>
      </c>
      <c r="H5696">
        <f>VLOOKUP(D5696,Товары!A:I,6,0)</f>
        <v>80</v>
      </c>
      <c r="I5696" t="str">
        <f>VLOOKUP(C5696,Магазины!A:C,3,0)</f>
        <v>Набережные Челны</v>
      </c>
      <c r="J5696">
        <f>VLOOKUP(D5696,Товары!A:I,4,0)</f>
        <v>27600</v>
      </c>
      <c r="K5696">
        <f t="shared" si="88"/>
        <v>27600</v>
      </c>
    </row>
    <row r="5697" spans="1:11" hidden="1" x14ac:dyDescent="0.25">
      <c r="A5697">
        <v>5696</v>
      </c>
      <c r="B5697" s="1">
        <v>45756</v>
      </c>
      <c r="C5697" t="s">
        <v>43</v>
      </c>
      <c r="D5697" t="s">
        <v>116</v>
      </c>
      <c r="E5697" t="s">
        <v>13</v>
      </c>
      <c r="F5697">
        <v>3</v>
      </c>
      <c r="G5697" t="str">
        <f>VLOOKUP(D5697,Товары!A:I,3,0)</f>
        <v>Зеркало Нева 60 дуб/белый со светильником</v>
      </c>
      <c r="H5697">
        <f>VLOOKUP(D5697,Товары!A:I,6,0)</f>
        <v>80</v>
      </c>
      <c r="I5697" t="str">
        <f>VLOOKUP(C5697,Магазины!A:C,3,0)</f>
        <v>Набережные Челны</v>
      </c>
      <c r="J5697">
        <f>VLOOKUP(D5697,Товары!A:I,4,0)</f>
        <v>5100</v>
      </c>
      <c r="K5697">
        <f t="shared" si="88"/>
        <v>15300</v>
      </c>
    </row>
    <row r="5698" spans="1:11" hidden="1" x14ac:dyDescent="0.25">
      <c r="A5698">
        <v>5697</v>
      </c>
      <c r="B5698" s="1">
        <v>45748</v>
      </c>
      <c r="C5698" t="s">
        <v>26</v>
      </c>
      <c r="D5698" t="s">
        <v>83</v>
      </c>
      <c r="E5698" t="s">
        <v>8</v>
      </c>
      <c r="F5698">
        <v>1</v>
      </c>
      <c r="G5698" t="str">
        <f>VLOOKUP(D5698,Товары!A:I,3,0)</f>
        <v>Зеркальный шкаф Альба 60 со светильником правый цвет суфле</v>
      </c>
      <c r="H5698">
        <f>VLOOKUP(D5698,Товары!A:I,6,0)</f>
        <v>75</v>
      </c>
      <c r="I5698" t="str">
        <f>VLOOKUP(C5698,Магазины!A:C,3,0)</f>
        <v>Оренбург</v>
      </c>
      <c r="J5698">
        <f>VLOOKUP(D5698,Товары!A:I,4,0)</f>
        <v>8910</v>
      </c>
      <c r="K5698">
        <f t="shared" si="88"/>
        <v>8910</v>
      </c>
    </row>
    <row r="5699" spans="1:11" hidden="1" x14ac:dyDescent="0.25">
      <c r="A5699">
        <v>5698</v>
      </c>
      <c r="B5699" s="1">
        <v>45751</v>
      </c>
      <c r="C5699" t="s">
        <v>16</v>
      </c>
      <c r="D5699" t="s">
        <v>46</v>
      </c>
      <c r="E5699" t="s">
        <v>13</v>
      </c>
      <c r="F5699">
        <v>3</v>
      </c>
      <c r="G5699" t="str">
        <f>VLOOKUP(D5699,Товары!A:I,3,0)</f>
        <v>Тумба с раковиной  напол. Сохо 700 белый 2 ящика с умыв. Слим</v>
      </c>
      <c r="H5699">
        <f>VLOOKUP(D5699,Товары!A:I,6,0)</f>
        <v>85</v>
      </c>
      <c r="I5699" t="str">
        <f>VLOOKUP(C5699,Магазины!A:C,3,0)</f>
        <v>Оренбург</v>
      </c>
      <c r="J5699">
        <f>VLOOKUP(D5699,Товары!A:I,4,0)</f>
        <v>18405</v>
      </c>
      <c r="K5699">
        <f t="shared" ref="K5699:K5762" si="89">J5699*F5699</f>
        <v>55215</v>
      </c>
    </row>
    <row r="5700" spans="1:11" hidden="1" x14ac:dyDescent="0.25">
      <c r="A5700">
        <v>5699</v>
      </c>
      <c r="B5700" s="1">
        <v>45749</v>
      </c>
      <c r="C5700" t="s">
        <v>54</v>
      </c>
      <c r="D5700" t="s">
        <v>112</v>
      </c>
      <c r="E5700" t="s">
        <v>8</v>
      </c>
      <c r="F5700">
        <v>1</v>
      </c>
      <c r="G5700" t="str">
        <f>VLOOKUP(D5700,Товары!A:I,3,0)</f>
        <v>Тумба с раковиной  напол. Аква 560 белый 2 двери с умыв. Уют</v>
      </c>
      <c r="H5700">
        <f>VLOOKUP(D5700,Товары!A:I,6,0)</f>
        <v>85</v>
      </c>
      <c r="I5700" t="str">
        <f>VLOOKUP(C5700,Магазины!A:C,3,0)</f>
        <v>Ставрополь</v>
      </c>
      <c r="J5700">
        <f>VLOOKUP(D5700,Товары!A:I,4,0)</f>
        <v>9330</v>
      </c>
      <c r="K5700">
        <f t="shared" si="89"/>
        <v>9330</v>
      </c>
    </row>
    <row r="5701" spans="1:11" hidden="1" x14ac:dyDescent="0.25">
      <c r="A5701">
        <v>5700</v>
      </c>
      <c r="B5701" s="1">
        <v>45753</v>
      </c>
      <c r="C5701" t="s">
        <v>28</v>
      </c>
      <c r="D5701" t="s">
        <v>87</v>
      </c>
      <c r="E5701" t="s">
        <v>13</v>
      </c>
      <c r="F5701">
        <v>2</v>
      </c>
      <c r="G5701" t="str">
        <f>VLOOKUP(D5701,Товары!A:I,3,0)</f>
        <v>Тумба с раковиной  напол. Леон 700 форест 2 ящика с умыв. Слим</v>
      </c>
      <c r="H5701">
        <f>VLOOKUP(D5701,Товары!A:I,6,0)</f>
        <v>80</v>
      </c>
      <c r="I5701" t="str">
        <f>VLOOKUP(C5701,Магазины!A:C,3,0)</f>
        <v>Набережные Челны</v>
      </c>
      <c r="J5701">
        <f>VLOOKUP(D5701,Товары!A:I,4,0)</f>
        <v>28380</v>
      </c>
      <c r="K5701">
        <f t="shared" si="89"/>
        <v>56760</v>
      </c>
    </row>
    <row r="5702" spans="1:11" hidden="1" x14ac:dyDescent="0.25">
      <c r="A5702">
        <v>5701</v>
      </c>
      <c r="B5702" s="1">
        <v>45755</v>
      </c>
      <c r="C5702" t="s">
        <v>26</v>
      </c>
      <c r="D5702" t="s">
        <v>89</v>
      </c>
      <c r="E5702" t="s">
        <v>8</v>
      </c>
      <c r="F5702">
        <v>1</v>
      </c>
      <c r="G5702" t="str">
        <f>VLOOKUP(D5702,Товары!A:I,3,0)</f>
        <v>Тумба с раковиной  напол. Сохо 600 белый 2 двери с умыв. Океан</v>
      </c>
      <c r="H5702">
        <f>VLOOKUP(D5702,Товары!A:I,6,0)</f>
        <v>85</v>
      </c>
      <c r="I5702" t="str">
        <f>VLOOKUP(C5702,Магазины!A:C,3,0)</f>
        <v>Оренбург</v>
      </c>
      <c r="J5702">
        <f>VLOOKUP(D5702,Товары!A:I,4,0)</f>
        <v>14880</v>
      </c>
      <c r="K5702">
        <f t="shared" si="89"/>
        <v>14880</v>
      </c>
    </row>
    <row r="5703" spans="1:11" hidden="1" x14ac:dyDescent="0.25">
      <c r="A5703">
        <v>5702</v>
      </c>
      <c r="B5703" s="1">
        <v>45754</v>
      </c>
      <c r="C5703" t="s">
        <v>33</v>
      </c>
      <c r="D5703" t="s">
        <v>85</v>
      </c>
      <c r="E5703" t="s">
        <v>8</v>
      </c>
      <c r="F5703">
        <v>1</v>
      </c>
      <c r="G5703" t="str">
        <f>VLOOKUP(D5703,Товары!A:I,3,0)</f>
        <v>Пенал напол. Аква 450 белый 2 двери + 2 ящика + корзина</v>
      </c>
      <c r="H5703">
        <f>VLOOKUP(D5703,Товары!A:I,6,0)</f>
        <v>190</v>
      </c>
      <c r="I5703" t="str">
        <f>VLOOKUP(C5703,Магазины!A:C,3,0)</f>
        <v>Набережные Челны</v>
      </c>
      <c r="J5703">
        <f>VLOOKUP(D5703,Товары!A:I,4,0)</f>
        <v>13335</v>
      </c>
      <c r="K5703">
        <f t="shared" si="89"/>
        <v>13335</v>
      </c>
    </row>
    <row r="5704" spans="1:11" hidden="1" x14ac:dyDescent="0.25">
      <c r="A5704">
        <v>5703</v>
      </c>
      <c r="B5704" s="1">
        <v>45754</v>
      </c>
      <c r="C5704" t="s">
        <v>16</v>
      </c>
      <c r="D5704" t="s">
        <v>100</v>
      </c>
      <c r="E5704" t="s">
        <v>13</v>
      </c>
      <c r="F5704">
        <v>2</v>
      </c>
      <c r="G5704" t="str">
        <f>VLOOKUP(D5704,Товары!A:I,3,0)</f>
        <v>Тумба с раковиной  навес. Альба 800 мята 1 ящик с умыв. Слим</v>
      </c>
      <c r="H5704">
        <f>VLOOKUP(D5704,Товары!A:I,6,0)</f>
        <v>45</v>
      </c>
      <c r="I5704" t="str">
        <f>VLOOKUP(C5704,Магазины!A:C,3,0)</f>
        <v>Оренбург</v>
      </c>
      <c r="J5704">
        <f>VLOOKUP(D5704,Товары!A:I,4,0)</f>
        <v>21630</v>
      </c>
      <c r="K5704">
        <f t="shared" si="89"/>
        <v>43260</v>
      </c>
    </row>
    <row r="5705" spans="1:11" hidden="1" x14ac:dyDescent="0.25">
      <c r="A5705">
        <v>5704</v>
      </c>
      <c r="B5705" s="1">
        <v>45757</v>
      </c>
      <c r="C5705" t="s">
        <v>58</v>
      </c>
      <c r="D5705" t="s">
        <v>79</v>
      </c>
      <c r="E5705" t="s">
        <v>13</v>
      </c>
      <c r="F5705">
        <v>1</v>
      </c>
      <c r="G5705" t="str">
        <f>VLOOKUP(D5705,Товары!A:I,3,0)</f>
        <v>Зеркальный шкаф Альба 70 со светильником правый цвет мята</v>
      </c>
      <c r="H5705">
        <f>VLOOKUP(D5705,Товары!A:I,6,0)</f>
        <v>75</v>
      </c>
      <c r="I5705" t="str">
        <f>VLOOKUP(C5705,Магазины!A:C,3,0)</f>
        <v>Ставрополь</v>
      </c>
      <c r="J5705">
        <f>VLOOKUP(D5705,Товары!A:I,4,0)</f>
        <v>9615</v>
      </c>
      <c r="K5705">
        <f t="shared" si="89"/>
        <v>9615</v>
      </c>
    </row>
    <row r="5706" spans="1:11" hidden="1" x14ac:dyDescent="0.25">
      <c r="A5706">
        <v>5705</v>
      </c>
      <c r="B5706" s="1">
        <v>45757</v>
      </c>
      <c r="C5706" t="s">
        <v>92</v>
      </c>
      <c r="D5706" t="s">
        <v>80</v>
      </c>
      <c r="E5706" t="s">
        <v>8</v>
      </c>
      <c r="F5706">
        <v>1</v>
      </c>
      <c r="G5706" t="str">
        <f>VLOOKUP(D5706,Товары!A:I,3,0)</f>
        <v>Тумба с раковиной  навес. Сохо 600 белый 2 ящика с умыв. Океан</v>
      </c>
      <c r="H5706">
        <f>VLOOKUP(D5706,Товары!A:I,6,0)</f>
        <v>55</v>
      </c>
      <c r="I5706" t="str">
        <f>VLOOKUP(C5706,Магазины!A:C,3,0)</f>
        <v>Кемерово</v>
      </c>
      <c r="J5706">
        <f>VLOOKUP(D5706,Товары!A:I,4,0)</f>
        <v>13950</v>
      </c>
      <c r="K5706">
        <f t="shared" si="89"/>
        <v>13950</v>
      </c>
    </row>
    <row r="5707" spans="1:11" hidden="1" x14ac:dyDescent="0.25">
      <c r="A5707">
        <v>5706</v>
      </c>
      <c r="B5707" s="1">
        <v>45756</v>
      </c>
      <c r="C5707" t="s">
        <v>33</v>
      </c>
      <c r="D5707" t="s">
        <v>101</v>
      </c>
      <c r="E5707" t="s">
        <v>8</v>
      </c>
      <c r="F5707">
        <v>2</v>
      </c>
      <c r="G5707" t="str">
        <f>VLOOKUP(D5707,Товары!A:I,3,0)</f>
        <v>Пенал напол. Сохо 400 белый 2 двери + 1 ящик</v>
      </c>
      <c r="H5707">
        <f>VLOOKUP(D5707,Товары!A:I,6,0)</f>
        <v>190</v>
      </c>
      <c r="I5707" t="str">
        <f>VLOOKUP(C5707,Магазины!A:C,3,0)</f>
        <v>Набережные Челны</v>
      </c>
      <c r="J5707">
        <f>VLOOKUP(D5707,Товары!A:I,4,0)</f>
        <v>11040</v>
      </c>
      <c r="K5707">
        <f t="shared" si="89"/>
        <v>22080</v>
      </c>
    </row>
    <row r="5708" spans="1:11" hidden="1" x14ac:dyDescent="0.25">
      <c r="A5708">
        <v>5707</v>
      </c>
      <c r="B5708" s="1">
        <v>45748</v>
      </c>
      <c r="C5708" t="s">
        <v>18</v>
      </c>
      <c r="D5708" t="s">
        <v>91</v>
      </c>
      <c r="E5708" t="s">
        <v>8</v>
      </c>
      <c r="F5708">
        <v>3</v>
      </c>
      <c r="G5708" t="str">
        <f>VLOOKUP(D5708,Товары!A:I,3,0)</f>
        <v>Пенал навес./напол. Альба 350 мята 2 двери</v>
      </c>
      <c r="H5708">
        <f>VLOOKUP(D5708,Товары!A:I,6,0)</f>
        <v>150</v>
      </c>
      <c r="I5708" t="str">
        <f>VLOOKUP(C5708,Магазины!A:C,3,0)</f>
        <v>Набережные Челны</v>
      </c>
      <c r="J5708">
        <f>VLOOKUP(D5708,Товары!A:I,4,0)</f>
        <v>11655</v>
      </c>
      <c r="K5708">
        <f t="shared" si="89"/>
        <v>34965</v>
      </c>
    </row>
    <row r="5709" spans="1:11" hidden="1" x14ac:dyDescent="0.25">
      <c r="A5709">
        <v>5708</v>
      </c>
      <c r="B5709" s="1">
        <v>45751</v>
      </c>
      <c r="C5709" t="s">
        <v>26</v>
      </c>
      <c r="D5709" t="s">
        <v>122</v>
      </c>
      <c r="E5709" t="s">
        <v>13</v>
      </c>
      <c r="F5709">
        <v>3</v>
      </c>
      <c r="G5709" t="str">
        <f>VLOOKUP(D5709,Товары!A:I,3,0)</f>
        <v>Тумба с раковиной  навес. Кристалл 600 шато азур 2 ящика с умыв. Океан</v>
      </c>
      <c r="H5709">
        <f>VLOOKUP(D5709,Товары!A:I,6,0)</f>
        <v>55</v>
      </c>
      <c r="I5709" t="str">
        <f>VLOOKUP(C5709,Магазины!A:C,3,0)</f>
        <v>Оренбург</v>
      </c>
      <c r="J5709">
        <f>VLOOKUP(D5709,Товары!A:I,4,0)</f>
        <v>21960</v>
      </c>
      <c r="K5709">
        <f t="shared" si="89"/>
        <v>65880</v>
      </c>
    </row>
    <row r="5710" spans="1:11" hidden="1" x14ac:dyDescent="0.25">
      <c r="A5710">
        <v>5709</v>
      </c>
      <c r="B5710" s="1">
        <v>45751</v>
      </c>
      <c r="C5710" t="s">
        <v>20</v>
      </c>
      <c r="D5710" t="s">
        <v>61</v>
      </c>
      <c r="E5710" t="s">
        <v>8</v>
      </c>
      <c r="F5710">
        <v>1</v>
      </c>
      <c r="G5710" t="str">
        <f>VLOOKUP(D5710,Товары!A:I,3,0)</f>
        <v>Тумба под стиральную машину Леон Риф 57 напольная 2 ящика под ст/маш, без умывальника /под Marshall 120 Солярис/Белый Риф</v>
      </c>
      <c r="H5710">
        <f>VLOOKUP(D5710,Товары!A:I,6,0)</f>
        <v>85</v>
      </c>
      <c r="I5710" t="str">
        <f>VLOOKUP(C5710,Магазины!A:C,3,0)</f>
        <v>Оренбург</v>
      </c>
      <c r="J5710">
        <f>VLOOKUP(D5710,Товары!A:I,4,0)</f>
        <v>17430</v>
      </c>
      <c r="K5710">
        <f t="shared" si="89"/>
        <v>17430</v>
      </c>
    </row>
    <row r="5711" spans="1:11" hidden="1" x14ac:dyDescent="0.25">
      <c r="A5711">
        <v>5710</v>
      </c>
      <c r="B5711" s="1">
        <v>45750</v>
      </c>
      <c r="C5711" t="s">
        <v>54</v>
      </c>
      <c r="D5711" t="s">
        <v>24</v>
      </c>
      <c r="E5711" t="s">
        <v>8</v>
      </c>
      <c r="F5711">
        <v>2</v>
      </c>
      <c r="G5711" t="str">
        <f>VLOOKUP(D5711,Товары!A:I,3,0)</f>
        <v>Тумба с раковиной  напол. Леон 600 форест 2 ящика с умыв. Слим</v>
      </c>
      <c r="H5711">
        <f>VLOOKUP(D5711,Товары!A:I,6,0)</f>
        <v>80</v>
      </c>
      <c r="I5711" t="str">
        <f>VLOOKUP(C5711,Магазины!A:C,3,0)</f>
        <v>Ставрополь</v>
      </c>
      <c r="J5711">
        <f>VLOOKUP(D5711,Товары!A:I,4,0)</f>
        <v>27150</v>
      </c>
      <c r="K5711">
        <f t="shared" si="89"/>
        <v>54300</v>
      </c>
    </row>
    <row r="5712" spans="1:11" hidden="1" x14ac:dyDescent="0.25">
      <c r="A5712">
        <v>5711</v>
      </c>
      <c r="B5712" s="1">
        <v>45749</v>
      </c>
      <c r="C5712" t="s">
        <v>63</v>
      </c>
      <c r="D5712" t="s">
        <v>34</v>
      </c>
      <c r="E5712" t="s">
        <v>13</v>
      </c>
      <c r="F5712">
        <v>2</v>
      </c>
      <c r="G5712" t="str">
        <f>VLOOKUP(D5712,Товары!A:I,3,0)</f>
        <v>Тумба с раковиной  навес. Леон 700 форест 2 ящика с умыв. Слим</v>
      </c>
      <c r="H5712">
        <f>VLOOKUP(D5712,Товары!A:I,6,0)</f>
        <v>60</v>
      </c>
      <c r="I5712" t="str">
        <f>VLOOKUP(C5712,Магазины!A:C,3,0)</f>
        <v>Ставрополь</v>
      </c>
      <c r="J5712">
        <f>VLOOKUP(D5712,Товары!A:I,4,0)</f>
        <v>26220</v>
      </c>
      <c r="K5712">
        <f t="shared" si="89"/>
        <v>52440</v>
      </c>
    </row>
    <row r="5713" spans="1:11" hidden="1" x14ac:dyDescent="0.25">
      <c r="A5713">
        <v>5712</v>
      </c>
      <c r="B5713" s="1">
        <v>45749</v>
      </c>
      <c r="C5713" t="s">
        <v>9</v>
      </c>
      <c r="D5713" t="s">
        <v>86</v>
      </c>
      <c r="E5713" t="s">
        <v>8</v>
      </c>
      <c r="F5713">
        <v>1</v>
      </c>
      <c r="G5713" t="str">
        <f>VLOOKUP(D5713,Товары!A:I,3,0)</f>
        <v>Комод Аква 50 напольный 1 ящик 2 двери белый</v>
      </c>
      <c r="H5713">
        <f>VLOOKUP(D5713,Товары!A:I,6,0)</f>
        <v>90</v>
      </c>
      <c r="I5713" t="str">
        <f>VLOOKUP(C5713,Магазины!A:C,3,0)</f>
        <v>Кемерово</v>
      </c>
      <c r="J5713">
        <f>VLOOKUP(D5713,Товары!A:I,4,0)</f>
        <v>7260</v>
      </c>
      <c r="K5713">
        <f t="shared" si="89"/>
        <v>7260</v>
      </c>
    </row>
    <row r="5714" spans="1:11" hidden="1" x14ac:dyDescent="0.25">
      <c r="A5714">
        <v>5713</v>
      </c>
      <c r="B5714" s="1">
        <v>45753</v>
      </c>
      <c r="C5714" t="s">
        <v>14</v>
      </c>
      <c r="D5714" t="s">
        <v>116</v>
      </c>
      <c r="E5714" t="s">
        <v>8</v>
      </c>
      <c r="F5714">
        <v>2</v>
      </c>
      <c r="G5714" t="str">
        <f>VLOOKUP(D5714,Товары!A:I,3,0)</f>
        <v>Зеркало Нева 60 дуб/белый со светильником</v>
      </c>
      <c r="H5714">
        <f>VLOOKUP(D5714,Товары!A:I,6,0)</f>
        <v>80</v>
      </c>
      <c r="I5714" t="str">
        <f>VLOOKUP(C5714,Магазины!A:C,3,0)</f>
        <v>Оренбург</v>
      </c>
      <c r="J5714">
        <f>VLOOKUP(D5714,Товары!A:I,4,0)</f>
        <v>5100</v>
      </c>
      <c r="K5714">
        <f t="shared" si="89"/>
        <v>10200</v>
      </c>
    </row>
    <row r="5715" spans="1:11" hidden="1" x14ac:dyDescent="0.25">
      <c r="A5715">
        <v>5714</v>
      </c>
      <c r="B5715" s="1">
        <v>45750</v>
      </c>
      <c r="C5715" t="s">
        <v>54</v>
      </c>
      <c r="D5715" t="s">
        <v>70</v>
      </c>
      <c r="E5715" t="s">
        <v>8</v>
      </c>
      <c r="F5715">
        <v>3</v>
      </c>
      <c r="G5715" t="str">
        <f>VLOOKUP(D5715,Товары!A:I,3,0)</f>
        <v>Тумба с раковиной  напол. Кристалл 700 шато азур 2 ящика с умыв. Слим</v>
      </c>
      <c r="H5715">
        <f>VLOOKUP(D5715,Товары!A:I,6,0)</f>
        <v>85</v>
      </c>
      <c r="I5715" t="str">
        <f>VLOOKUP(C5715,Магазины!A:C,3,0)</f>
        <v>Ставрополь</v>
      </c>
      <c r="J5715">
        <f>VLOOKUP(D5715,Товары!A:I,4,0)</f>
        <v>29910</v>
      </c>
      <c r="K5715">
        <f t="shared" si="89"/>
        <v>89730</v>
      </c>
    </row>
    <row r="5716" spans="1:11" hidden="1" x14ac:dyDescent="0.25">
      <c r="A5716">
        <v>5715</v>
      </c>
      <c r="B5716" s="1">
        <v>45749</v>
      </c>
      <c r="C5716" t="s">
        <v>54</v>
      </c>
      <c r="D5716" t="s">
        <v>101</v>
      </c>
      <c r="E5716" t="s">
        <v>13</v>
      </c>
      <c r="F5716">
        <v>2</v>
      </c>
      <c r="G5716" t="str">
        <f>VLOOKUP(D5716,Товары!A:I,3,0)</f>
        <v>Пенал напол. Сохо 400 белый 2 двери + 1 ящик</v>
      </c>
      <c r="H5716">
        <f>VLOOKUP(D5716,Товары!A:I,6,0)</f>
        <v>190</v>
      </c>
      <c r="I5716" t="str">
        <f>VLOOKUP(C5716,Магазины!A:C,3,0)</f>
        <v>Ставрополь</v>
      </c>
      <c r="J5716">
        <f>VLOOKUP(D5716,Товары!A:I,4,0)</f>
        <v>11040</v>
      </c>
      <c r="K5716">
        <f t="shared" si="89"/>
        <v>22080</v>
      </c>
    </row>
    <row r="5717" spans="1:11" hidden="1" x14ac:dyDescent="0.25">
      <c r="A5717">
        <v>5716</v>
      </c>
      <c r="B5717" s="1">
        <v>45748</v>
      </c>
      <c r="C5717" t="s">
        <v>14</v>
      </c>
      <c r="D5717" t="s">
        <v>95</v>
      </c>
      <c r="E5717" t="s">
        <v>8</v>
      </c>
      <c r="F5717">
        <v>1</v>
      </c>
      <c r="G5717" t="str">
        <f>VLOOKUP(D5717,Товары!A:I,3,0)</f>
        <v>Тумба с раковиной  напол. Рица 600 антрацит 2 ящика с умыв. Океан</v>
      </c>
      <c r="H5717">
        <f>VLOOKUP(D5717,Товары!A:I,6,0)</f>
        <v>80</v>
      </c>
      <c r="I5717" t="str">
        <f>VLOOKUP(C5717,Магазины!A:C,3,0)</f>
        <v>Оренбург</v>
      </c>
      <c r="J5717">
        <f>VLOOKUP(D5717,Товары!A:I,4,0)</f>
        <v>25560</v>
      </c>
      <c r="K5717">
        <f t="shared" si="89"/>
        <v>25560</v>
      </c>
    </row>
    <row r="5718" spans="1:11" hidden="1" x14ac:dyDescent="0.25">
      <c r="A5718">
        <v>5717</v>
      </c>
      <c r="B5718" s="1">
        <v>45749</v>
      </c>
      <c r="C5718" t="s">
        <v>35</v>
      </c>
      <c r="D5718" t="s">
        <v>96</v>
      </c>
      <c r="E5718" t="s">
        <v>13</v>
      </c>
      <c r="F5718">
        <v>1</v>
      </c>
      <c r="G5718" t="str">
        <f>VLOOKUP(D5718,Товары!A:I,3,0)</f>
        <v>Тумба с раковиной  навес. Альба 600 мята 1 ящик с умыв. Океан</v>
      </c>
      <c r="H5718">
        <f>VLOOKUP(D5718,Товары!A:I,6,0)</f>
        <v>85</v>
      </c>
      <c r="I5718" t="str">
        <f>VLOOKUP(C5718,Магазины!A:C,3,0)</f>
        <v>Набережные Челны</v>
      </c>
      <c r="J5718">
        <f>VLOOKUP(D5718,Товары!A:I,4,0)</f>
        <v>17625</v>
      </c>
      <c r="K5718">
        <f t="shared" si="89"/>
        <v>17625</v>
      </c>
    </row>
    <row r="5719" spans="1:11" hidden="1" x14ac:dyDescent="0.25">
      <c r="A5719">
        <v>5718</v>
      </c>
      <c r="B5719" s="1">
        <v>45749</v>
      </c>
      <c r="C5719" t="s">
        <v>28</v>
      </c>
      <c r="D5719" t="s">
        <v>75</v>
      </c>
      <c r="E5719" t="s">
        <v>8</v>
      </c>
      <c r="F5719">
        <v>2</v>
      </c>
      <c r="G5719" t="str">
        <f>VLOOKUP(D5719,Товары!A:I,3,0)</f>
        <v>Тумба с раковиной  напол. Альба 600 суфле 2 ящика с умыв. Океан</v>
      </c>
      <c r="H5719">
        <f>VLOOKUP(D5719,Товары!A:I,6,0)</f>
        <v>80</v>
      </c>
      <c r="I5719" t="str">
        <f>VLOOKUP(C5719,Магазины!A:C,3,0)</f>
        <v>Набережные Челны</v>
      </c>
      <c r="J5719">
        <f>VLOOKUP(D5719,Товары!A:I,4,0)</f>
        <v>26370</v>
      </c>
      <c r="K5719">
        <f t="shared" si="89"/>
        <v>52740</v>
      </c>
    </row>
    <row r="5720" spans="1:11" hidden="1" x14ac:dyDescent="0.25">
      <c r="A5720">
        <v>5719</v>
      </c>
      <c r="B5720" s="1">
        <v>45750</v>
      </c>
      <c r="C5720" t="s">
        <v>58</v>
      </c>
      <c r="D5720" t="s">
        <v>128</v>
      </c>
      <c r="E5720" t="s">
        <v>8</v>
      </c>
      <c r="F5720">
        <v>1</v>
      </c>
      <c r="G5720" t="str">
        <f>VLOOKUP(D5720,Товары!A:I,3,0)</f>
        <v>Тумба с раковиной  напол. Куба Риф 1000 белый 2 ящика с умыв. Слим</v>
      </c>
      <c r="H5720">
        <f>VLOOKUP(D5720,Товары!A:I,6,0)</f>
        <v>85</v>
      </c>
      <c r="I5720" t="str">
        <f>VLOOKUP(C5720,Магазины!A:C,3,0)</f>
        <v>Ставрополь</v>
      </c>
      <c r="J5720">
        <f>VLOOKUP(D5720,Товары!A:I,4,0)</f>
        <v>22905</v>
      </c>
      <c r="K5720">
        <f t="shared" si="89"/>
        <v>22905</v>
      </c>
    </row>
    <row r="5721" spans="1:11" hidden="1" x14ac:dyDescent="0.25">
      <c r="A5721">
        <v>5720</v>
      </c>
      <c r="B5721" s="1">
        <v>45748</v>
      </c>
      <c r="C5721" t="s">
        <v>111</v>
      </c>
      <c r="D5721" t="s">
        <v>19</v>
      </c>
      <c r="E5721" t="s">
        <v>8</v>
      </c>
      <c r="F5721">
        <v>1</v>
      </c>
      <c r="G5721" t="str">
        <f>VLOOKUP(D5721,Товары!A:I,3,0)</f>
        <v>Тумба с раковиной  навес. Леон 800 оникс 2 ящика с умыв. Слим</v>
      </c>
      <c r="H5721">
        <f>VLOOKUP(D5721,Товары!A:I,6,0)</f>
        <v>60</v>
      </c>
      <c r="I5721" t="str">
        <f>VLOOKUP(C5721,Магазины!A:C,3,0)</f>
        <v>Набережные Челны</v>
      </c>
      <c r="J5721">
        <f>VLOOKUP(D5721,Товары!A:I,4,0)</f>
        <v>27930</v>
      </c>
      <c r="K5721">
        <f t="shared" si="89"/>
        <v>27930</v>
      </c>
    </row>
    <row r="5722" spans="1:11" hidden="1" x14ac:dyDescent="0.25">
      <c r="A5722">
        <v>5721</v>
      </c>
      <c r="B5722" s="1">
        <v>45757</v>
      </c>
      <c r="C5722" t="s">
        <v>63</v>
      </c>
      <c r="D5722" t="s">
        <v>44</v>
      </c>
      <c r="E5722" t="s">
        <v>13</v>
      </c>
      <c r="F5722">
        <v>1</v>
      </c>
      <c r="G5722" t="str">
        <f>VLOOKUP(D5722,Товары!A:I,3,0)</f>
        <v>Тумба с раковиной  навес. Кристалл 800 шато азур 2 ящика с умыв. Комфорт</v>
      </c>
      <c r="H5722">
        <f>VLOOKUP(D5722,Товары!A:I,6,0)</f>
        <v>55</v>
      </c>
      <c r="I5722" t="str">
        <f>VLOOKUP(C5722,Магазины!A:C,3,0)</f>
        <v>Ставрополь</v>
      </c>
      <c r="J5722">
        <f>VLOOKUP(D5722,Товары!A:I,4,0)</f>
        <v>25080</v>
      </c>
      <c r="K5722">
        <f t="shared" si="89"/>
        <v>25080</v>
      </c>
    </row>
    <row r="5723" spans="1:11" hidden="1" x14ac:dyDescent="0.25">
      <c r="A5723">
        <v>5722</v>
      </c>
      <c r="B5723" s="1">
        <v>45750</v>
      </c>
      <c r="C5723" t="s">
        <v>57</v>
      </c>
      <c r="D5723" t="s">
        <v>102</v>
      </c>
      <c r="E5723" t="s">
        <v>13</v>
      </c>
      <c r="F5723">
        <v>1</v>
      </c>
      <c r="G5723" t="str">
        <f>VLOOKUP(D5723,Товары!A:I,3,0)</f>
        <v>Тумба с раковиной  напол. Леон Риф 1000 солярис/белый риф 2 ящика с умыв. Слим</v>
      </c>
      <c r="H5723">
        <f>VLOOKUP(D5723,Товары!A:I,6,0)</f>
        <v>85</v>
      </c>
      <c r="I5723" t="str">
        <f>VLOOKUP(C5723,Магазины!A:C,3,0)</f>
        <v>Оренбург</v>
      </c>
      <c r="J5723">
        <f>VLOOKUP(D5723,Товары!A:I,4,0)</f>
        <v>32085</v>
      </c>
      <c r="K5723">
        <f t="shared" si="89"/>
        <v>32085</v>
      </c>
    </row>
    <row r="5724" spans="1:11" hidden="1" x14ac:dyDescent="0.25">
      <c r="A5724">
        <v>5723</v>
      </c>
      <c r="B5724" s="1">
        <v>45749</v>
      </c>
      <c r="C5724" t="s">
        <v>6</v>
      </c>
      <c r="D5724" t="s">
        <v>84</v>
      </c>
      <c r="E5724" t="s">
        <v>8</v>
      </c>
      <c r="F5724">
        <v>1</v>
      </c>
      <c r="G5724" t="str">
        <f>VLOOKUP(D5724,Товары!A:I,3,0)</f>
        <v>Тумба с раковиной  напол. Куба Риф 800 белый 3 двери с умыв. Слим</v>
      </c>
      <c r="H5724">
        <f>VLOOKUP(D5724,Товары!A:I,6,0)</f>
        <v>85</v>
      </c>
      <c r="I5724" t="str">
        <f>VLOOKUP(C5724,Магазины!A:C,3,0)</f>
        <v>Оренбург</v>
      </c>
      <c r="J5724">
        <f>VLOOKUP(D5724,Товары!A:I,4,0)</f>
        <v>19920</v>
      </c>
      <c r="K5724">
        <f t="shared" si="89"/>
        <v>19920</v>
      </c>
    </row>
    <row r="5725" spans="1:11" hidden="1" x14ac:dyDescent="0.25">
      <c r="A5725">
        <v>5724</v>
      </c>
      <c r="B5725" s="1">
        <v>45757</v>
      </c>
      <c r="C5725" t="s">
        <v>58</v>
      </c>
      <c r="D5725" t="s">
        <v>91</v>
      </c>
      <c r="E5725" t="s">
        <v>8</v>
      </c>
      <c r="F5725">
        <v>1</v>
      </c>
      <c r="G5725" t="str">
        <f>VLOOKUP(D5725,Товары!A:I,3,0)</f>
        <v>Пенал навес./напол. Альба 350 мята 2 двери</v>
      </c>
      <c r="H5725">
        <f>VLOOKUP(D5725,Товары!A:I,6,0)</f>
        <v>150</v>
      </c>
      <c r="I5725" t="str">
        <f>VLOOKUP(C5725,Магазины!A:C,3,0)</f>
        <v>Ставрополь</v>
      </c>
      <c r="J5725">
        <f>VLOOKUP(D5725,Товары!A:I,4,0)</f>
        <v>11655</v>
      </c>
      <c r="K5725">
        <f t="shared" si="89"/>
        <v>11655</v>
      </c>
    </row>
    <row r="5726" spans="1:11" hidden="1" x14ac:dyDescent="0.25">
      <c r="A5726">
        <v>5725</v>
      </c>
      <c r="B5726" s="1">
        <v>45754</v>
      </c>
      <c r="C5726" t="s">
        <v>22</v>
      </c>
      <c r="D5726" t="s">
        <v>27</v>
      </c>
      <c r="E5726" t="s">
        <v>8</v>
      </c>
      <c r="F5726">
        <v>1</v>
      </c>
      <c r="G5726" t="str">
        <f>VLOOKUP(D5726,Товары!A:I,3,0)</f>
        <v>Тумба с раковиной  навес. Виктория 800 белый 2 ящика с умыв. Слим</v>
      </c>
      <c r="H5726">
        <f>VLOOKUP(D5726,Товары!A:I,6,0)</f>
        <v>60</v>
      </c>
      <c r="I5726" t="str">
        <f>VLOOKUP(C5726,Магазины!A:C,3,0)</f>
        <v>Кемерово</v>
      </c>
      <c r="J5726">
        <f>VLOOKUP(D5726,Товары!A:I,4,0)</f>
        <v>25290</v>
      </c>
      <c r="K5726">
        <f t="shared" si="89"/>
        <v>25290</v>
      </c>
    </row>
    <row r="5727" spans="1:11" hidden="1" x14ac:dyDescent="0.25">
      <c r="A5727">
        <v>5726</v>
      </c>
      <c r="B5727" s="1">
        <v>45750</v>
      </c>
      <c r="C5727" t="s">
        <v>18</v>
      </c>
      <c r="D5727" t="s">
        <v>46</v>
      </c>
      <c r="E5727" t="s">
        <v>8</v>
      </c>
      <c r="F5727">
        <v>1</v>
      </c>
      <c r="G5727" t="str">
        <f>VLOOKUP(D5727,Товары!A:I,3,0)</f>
        <v>Тумба с раковиной  напол. Сохо 700 белый 2 ящика с умыв. Слим</v>
      </c>
      <c r="H5727">
        <f>VLOOKUP(D5727,Товары!A:I,6,0)</f>
        <v>85</v>
      </c>
      <c r="I5727" t="str">
        <f>VLOOKUP(C5727,Магазины!A:C,3,0)</f>
        <v>Набережные Челны</v>
      </c>
      <c r="J5727">
        <f>VLOOKUP(D5727,Товары!A:I,4,0)</f>
        <v>18405</v>
      </c>
      <c r="K5727">
        <f t="shared" si="89"/>
        <v>18405</v>
      </c>
    </row>
    <row r="5728" spans="1:11" hidden="1" x14ac:dyDescent="0.25">
      <c r="A5728">
        <v>5727</v>
      </c>
      <c r="B5728" s="1">
        <v>45750</v>
      </c>
      <c r="C5728" t="s">
        <v>48</v>
      </c>
      <c r="D5728" t="s">
        <v>119</v>
      </c>
      <c r="E5728" t="s">
        <v>13</v>
      </c>
      <c r="F5728">
        <v>1</v>
      </c>
      <c r="G5728" t="str">
        <f>VLOOKUP(D5728,Товары!A:I,3,0)</f>
        <v>Пенал навес./напол. Рица 350 cерый/керамика 2 двери</v>
      </c>
      <c r="H5728">
        <f>VLOOKUP(D5728,Товары!A:I,6,0)</f>
        <v>160</v>
      </c>
      <c r="I5728" t="str">
        <f>VLOOKUP(C5728,Магазины!A:C,3,0)</f>
        <v>Ставрополь</v>
      </c>
      <c r="J5728">
        <f>VLOOKUP(D5728,Товары!A:I,4,0)</f>
        <v>11250</v>
      </c>
      <c r="K5728">
        <f t="shared" si="89"/>
        <v>11250</v>
      </c>
    </row>
    <row r="5729" spans="1:11" hidden="1" x14ac:dyDescent="0.25">
      <c r="A5729">
        <v>5728</v>
      </c>
      <c r="B5729" s="1">
        <v>45750</v>
      </c>
      <c r="C5729" t="s">
        <v>33</v>
      </c>
      <c r="D5729" t="s">
        <v>56</v>
      </c>
      <c r="E5729" t="s">
        <v>8</v>
      </c>
      <c r="F5729">
        <v>3</v>
      </c>
      <c r="G5729" t="str">
        <f>VLOOKUP(D5729,Товары!A:I,3,0)</f>
        <v>Зеркальный шкаф Альба 80 со светильником правый цвет мята</v>
      </c>
      <c r="H5729">
        <f>VLOOKUP(D5729,Товары!A:I,6,0)</f>
        <v>75</v>
      </c>
      <c r="I5729" t="str">
        <f>VLOOKUP(C5729,Магазины!A:C,3,0)</f>
        <v>Набережные Челны</v>
      </c>
      <c r="J5729">
        <f>VLOOKUP(D5729,Товары!A:I,4,0)</f>
        <v>9930</v>
      </c>
      <c r="K5729">
        <f t="shared" si="89"/>
        <v>29790</v>
      </c>
    </row>
    <row r="5730" spans="1:11" hidden="1" x14ac:dyDescent="0.25">
      <c r="A5730">
        <v>5729</v>
      </c>
      <c r="B5730" s="1">
        <v>45752</v>
      </c>
      <c r="C5730" t="s">
        <v>43</v>
      </c>
      <c r="D5730" t="s">
        <v>107</v>
      </c>
      <c r="E5730" t="s">
        <v>8</v>
      </c>
      <c r="F5730">
        <v>1</v>
      </c>
      <c r="G5730" t="str">
        <f>VLOOKUP(D5730,Товары!A:I,3,0)</f>
        <v>Комод Аква 35 напольный 1 дверь белый правый</v>
      </c>
      <c r="H5730">
        <f>VLOOKUP(D5730,Товары!A:I,6,0)</f>
        <v>90</v>
      </c>
      <c r="I5730" t="str">
        <f>VLOOKUP(C5730,Магазины!A:C,3,0)</f>
        <v>Набережные Челны</v>
      </c>
      <c r="J5730">
        <f>VLOOKUP(D5730,Товары!A:I,4,0)</f>
        <v>6705</v>
      </c>
      <c r="K5730">
        <f t="shared" si="89"/>
        <v>6705</v>
      </c>
    </row>
    <row r="5731" spans="1:11" hidden="1" x14ac:dyDescent="0.25">
      <c r="A5731">
        <v>5730</v>
      </c>
      <c r="B5731" s="1">
        <v>45749</v>
      </c>
      <c r="C5731" t="s">
        <v>92</v>
      </c>
      <c r="D5731" t="s">
        <v>32</v>
      </c>
      <c r="E5731" t="s">
        <v>13</v>
      </c>
      <c r="F5731">
        <v>3</v>
      </c>
      <c r="G5731" t="str">
        <f>VLOOKUP(D5731,Товары!A:I,3,0)</f>
        <v>Тумба с раковиной  напол. Леон Риф 700 солярис/белый риф 2 ящика с умыв. Слим</v>
      </c>
      <c r="H5731">
        <f>VLOOKUP(D5731,Товары!A:I,6,0)</f>
        <v>85</v>
      </c>
      <c r="I5731" t="str">
        <f>VLOOKUP(C5731,Магазины!A:C,3,0)</f>
        <v>Кемерово</v>
      </c>
      <c r="J5731">
        <f>VLOOKUP(D5731,Товары!A:I,4,0)</f>
        <v>26460</v>
      </c>
      <c r="K5731">
        <f t="shared" si="89"/>
        <v>79380</v>
      </c>
    </row>
    <row r="5732" spans="1:11" hidden="1" x14ac:dyDescent="0.25">
      <c r="A5732">
        <v>5731</v>
      </c>
      <c r="B5732" s="1">
        <v>45755</v>
      </c>
      <c r="C5732" t="s">
        <v>54</v>
      </c>
      <c r="D5732" t="s">
        <v>46</v>
      </c>
      <c r="E5732" t="s">
        <v>8</v>
      </c>
      <c r="F5732">
        <v>3</v>
      </c>
      <c r="G5732" t="str">
        <f>VLOOKUP(D5732,Товары!A:I,3,0)</f>
        <v>Тумба с раковиной  напол. Сохо 700 белый 2 ящика с умыв. Слим</v>
      </c>
      <c r="H5732">
        <f>VLOOKUP(D5732,Товары!A:I,6,0)</f>
        <v>85</v>
      </c>
      <c r="I5732" t="str">
        <f>VLOOKUP(C5732,Магазины!A:C,3,0)</f>
        <v>Ставрополь</v>
      </c>
      <c r="J5732">
        <f>VLOOKUP(D5732,Товары!A:I,4,0)</f>
        <v>18405</v>
      </c>
      <c r="K5732">
        <f t="shared" si="89"/>
        <v>55215</v>
      </c>
    </row>
    <row r="5733" spans="1:11" hidden="1" x14ac:dyDescent="0.25">
      <c r="A5733">
        <v>5732</v>
      </c>
      <c r="B5733" s="1">
        <v>45753</v>
      </c>
      <c r="C5733" t="s">
        <v>33</v>
      </c>
      <c r="D5733" t="s">
        <v>89</v>
      </c>
      <c r="E5733" t="s">
        <v>13</v>
      </c>
      <c r="F5733">
        <v>3</v>
      </c>
      <c r="G5733" t="str">
        <f>VLOOKUP(D5733,Товары!A:I,3,0)</f>
        <v>Тумба с раковиной  напол. Сохо 600 белый 2 двери с умыв. Океан</v>
      </c>
      <c r="H5733">
        <f>VLOOKUP(D5733,Товары!A:I,6,0)</f>
        <v>85</v>
      </c>
      <c r="I5733" t="str">
        <f>VLOOKUP(C5733,Магазины!A:C,3,0)</f>
        <v>Набережные Челны</v>
      </c>
      <c r="J5733">
        <f>VLOOKUP(D5733,Товары!A:I,4,0)</f>
        <v>14880</v>
      </c>
      <c r="K5733">
        <f t="shared" si="89"/>
        <v>44640</v>
      </c>
    </row>
    <row r="5734" spans="1:11" hidden="1" x14ac:dyDescent="0.25">
      <c r="A5734">
        <v>5733</v>
      </c>
      <c r="B5734" s="1">
        <v>45750</v>
      </c>
      <c r="C5734" t="s">
        <v>20</v>
      </c>
      <c r="D5734" t="s">
        <v>96</v>
      </c>
      <c r="E5734" t="s">
        <v>13</v>
      </c>
      <c r="F5734">
        <v>2</v>
      </c>
      <c r="G5734" t="str">
        <f>VLOOKUP(D5734,Товары!A:I,3,0)</f>
        <v>Тумба с раковиной  навес. Альба 600 мята 1 ящик с умыв. Океан</v>
      </c>
      <c r="H5734">
        <f>VLOOKUP(D5734,Товары!A:I,6,0)</f>
        <v>85</v>
      </c>
      <c r="I5734" t="str">
        <f>VLOOKUP(C5734,Магазины!A:C,3,0)</f>
        <v>Оренбург</v>
      </c>
      <c r="J5734">
        <f>VLOOKUP(D5734,Товары!A:I,4,0)</f>
        <v>17625</v>
      </c>
      <c r="K5734">
        <f t="shared" si="89"/>
        <v>35250</v>
      </c>
    </row>
    <row r="5735" spans="1:11" hidden="1" x14ac:dyDescent="0.25">
      <c r="A5735">
        <v>5734</v>
      </c>
      <c r="B5735" s="1">
        <v>45755</v>
      </c>
      <c r="C5735" t="s">
        <v>48</v>
      </c>
      <c r="D5735" t="s">
        <v>19</v>
      </c>
      <c r="E5735" t="s">
        <v>8</v>
      </c>
      <c r="F5735">
        <v>1</v>
      </c>
      <c r="G5735" t="str">
        <f>VLOOKUP(D5735,Товары!A:I,3,0)</f>
        <v>Тумба с раковиной  навес. Леон 800 оникс 2 ящика с умыв. Слим</v>
      </c>
      <c r="H5735">
        <f>VLOOKUP(D5735,Товары!A:I,6,0)</f>
        <v>60</v>
      </c>
      <c r="I5735" t="str">
        <f>VLOOKUP(C5735,Магазины!A:C,3,0)</f>
        <v>Ставрополь</v>
      </c>
      <c r="J5735">
        <f>VLOOKUP(D5735,Товары!A:I,4,0)</f>
        <v>27930</v>
      </c>
      <c r="K5735">
        <f t="shared" si="89"/>
        <v>27930</v>
      </c>
    </row>
    <row r="5736" spans="1:11" hidden="1" x14ac:dyDescent="0.25">
      <c r="A5736">
        <v>5735</v>
      </c>
      <c r="B5736" s="1">
        <v>45753</v>
      </c>
      <c r="C5736" t="s">
        <v>92</v>
      </c>
      <c r="D5736" t="s">
        <v>53</v>
      </c>
      <c r="E5736" t="s">
        <v>8</v>
      </c>
      <c r="F5736">
        <v>2</v>
      </c>
      <c r="G5736" t="str">
        <f>VLOOKUP(D5736,Товары!A:I,3,0)</f>
        <v>Тумба с раковиной  напол. Кристалл 600 шато азур 2 ящика с умыв. Океан</v>
      </c>
      <c r="H5736">
        <f>VLOOKUP(D5736,Товары!A:I,6,0)</f>
        <v>85</v>
      </c>
      <c r="I5736" t="str">
        <f>VLOOKUP(C5736,Магазины!A:C,3,0)</f>
        <v>Кемерово</v>
      </c>
      <c r="J5736">
        <f>VLOOKUP(D5736,Товары!A:I,4,0)</f>
        <v>27600</v>
      </c>
      <c r="K5736">
        <f t="shared" si="89"/>
        <v>55200</v>
      </c>
    </row>
    <row r="5737" spans="1:11" hidden="1" x14ac:dyDescent="0.25">
      <c r="A5737">
        <v>5736</v>
      </c>
      <c r="B5737" s="1">
        <v>45757</v>
      </c>
      <c r="C5737" t="s">
        <v>26</v>
      </c>
      <c r="D5737" t="s">
        <v>109</v>
      </c>
      <c r="E5737" t="s">
        <v>13</v>
      </c>
      <c r="F5737">
        <v>3</v>
      </c>
      <c r="G5737" t="str">
        <f>VLOOKUP(D5737,Товары!A:I,3,0)</f>
        <v>Тумба с раковиной  навес. Альба 600 антрацит 2 ящика с умыв. Океан</v>
      </c>
      <c r="H5737">
        <f>VLOOKUP(D5737,Товары!A:I,6,0)</f>
        <v>50</v>
      </c>
      <c r="I5737" t="str">
        <f>VLOOKUP(C5737,Магазины!A:C,3,0)</f>
        <v>Оренбург</v>
      </c>
      <c r="J5737">
        <f>VLOOKUP(D5737,Товары!A:I,4,0)</f>
        <v>24810</v>
      </c>
      <c r="K5737">
        <f t="shared" si="89"/>
        <v>74430</v>
      </c>
    </row>
    <row r="5738" spans="1:11" hidden="1" x14ac:dyDescent="0.25">
      <c r="A5738">
        <v>5737</v>
      </c>
      <c r="B5738" s="1">
        <v>45748</v>
      </c>
      <c r="C5738" t="s">
        <v>48</v>
      </c>
      <c r="D5738" t="s">
        <v>107</v>
      </c>
      <c r="E5738" t="s">
        <v>8</v>
      </c>
      <c r="F5738">
        <v>2</v>
      </c>
      <c r="G5738" t="str">
        <f>VLOOKUP(D5738,Товары!A:I,3,0)</f>
        <v>Комод Аква 35 напольный 1 дверь белый правый</v>
      </c>
      <c r="H5738">
        <f>VLOOKUP(D5738,Товары!A:I,6,0)</f>
        <v>90</v>
      </c>
      <c r="I5738" t="str">
        <f>VLOOKUP(C5738,Магазины!A:C,3,0)</f>
        <v>Ставрополь</v>
      </c>
      <c r="J5738">
        <f>VLOOKUP(D5738,Товары!A:I,4,0)</f>
        <v>6705</v>
      </c>
      <c r="K5738">
        <f t="shared" si="89"/>
        <v>13410</v>
      </c>
    </row>
    <row r="5739" spans="1:11" hidden="1" x14ac:dyDescent="0.25">
      <c r="A5739">
        <v>5738</v>
      </c>
      <c r="B5739" s="1">
        <v>45750</v>
      </c>
      <c r="C5739" t="s">
        <v>22</v>
      </c>
      <c r="D5739" t="s">
        <v>21</v>
      </c>
      <c r="E5739" t="s">
        <v>8</v>
      </c>
      <c r="F5739">
        <v>2</v>
      </c>
      <c r="G5739" t="str">
        <f>VLOOKUP(D5739,Товары!A:I,3,0)</f>
        <v>Зеркальный шкаф Рица 60 со светильником правый цвет cерый/керамика</v>
      </c>
      <c r="H5739">
        <f>VLOOKUP(D5739,Товары!A:I,6,0)</f>
        <v>75</v>
      </c>
      <c r="I5739" t="str">
        <f>VLOOKUP(C5739,Магазины!A:C,3,0)</f>
        <v>Кемерово</v>
      </c>
      <c r="J5739">
        <f>VLOOKUP(D5739,Товары!A:I,4,0)</f>
        <v>8910</v>
      </c>
      <c r="K5739">
        <f t="shared" si="89"/>
        <v>17820</v>
      </c>
    </row>
    <row r="5740" spans="1:11" hidden="1" x14ac:dyDescent="0.25">
      <c r="A5740">
        <v>5739</v>
      </c>
      <c r="B5740" s="1">
        <v>45753</v>
      </c>
      <c r="C5740" t="s">
        <v>6</v>
      </c>
      <c r="D5740" t="s">
        <v>55</v>
      </c>
      <c r="E5740" t="s">
        <v>8</v>
      </c>
      <c r="F5740">
        <v>1</v>
      </c>
      <c r="G5740" t="str">
        <f>VLOOKUP(D5740,Товары!A:I,3,0)</f>
        <v>Тумба с раковиной  напол. Рица 600 cерый/керамика 2 ящика с умыв. Океан</v>
      </c>
      <c r="H5740">
        <f>VLOOKUP(D5740,Товары!A:I,6,0)</f>
        <v>80</v>
      </c>
      <c r="I5740" t="str">
        <f>VLOOKUP(C5740,Магазины!A:C,3,0)</f>
        <v>Оренбург</v>
      </c>
      <c r="J5740">
        <f>VLOOKUP(D5740,Товары!A:I,4,0)</f>
        <v>25560</v>
      </c>
      <c r="K5740">
        <f t="shared" si="89"/>
        <v>25560</v>
      </c>
    </row>
    <row r="5741" spans="1:11" hidden="1" x14ac:dyDescent="0.25">
      <c r="A5741">
        <v>5740</v>
      </c>
      <c r="B5741" s="1">
        <v>45757</v>
      </c>
      <c r="C5741" t="s">
        <v>57</v>
      </c>
      <c r="D5741" t="s">
        <v>128</v>
      </c>
      <c r="E5741" t="s">
        <v>13</v>
      </c>
      <c r="F5741">
        <v>3</v>
      </c>
      <c r="G5741" t="str">
        <f>VLOOKUP(D5741,Товары!A:I,3,0)</f>
        <v>Тумба с раковиной  напол. Куба Риф 1000 белый 2 ящика с умыв. Слим</v>
      </c>
      <c r="H5741">
        <f>VLOOKUP(D5741,Товары!A:I,6,0)</f>
        <v>85</v>
      </c>
      <c r="I5741" t="str">
        <f>VLOOKUP(C5741,Магазины!A:C,3,0)</f>
        <v>Оренбург</v>
      </c>
      <c r="J5741">
        <f>VLOOKUP(D5741,Товары!A:I,4,0)</f>
        <v>22905</v>
      </c>
      <c r="K5741">
        <f t="shared" si="89"/>
        <v>68715</v>
      </c>
    </row>
    <row r="5742" spans="1:11" hidden="1" x14ac:dyDescent="0.25">
      <c r="A5742">
        <v>5741</v>
      </c>
      <c r="B5742" s="1">
        <v>45751</v>
      </c>
      <c r="C5742" t="s">
        <v>43</v>
      </c>
      <c r="D5742" t="s">
        <v>78</v>
      </c>
      <c r="E5742" t="s">
        <v>8</v>
      </c>
      <c r="F5742">
        <v>1</v>
      </c>
      <c r="G5742" t="str">
        <f>VLOOKUP(D5742,Товары!A:I,3,0)</f>
        <v>Зеркальный шкаф Кристалл 70 со светильником правый, ручка кнопка дуб цвет Шато Азур</v>
      </c>
      <c r="H5742">
        <f>VLOOKUP(D5742,Товары!A:I,6,0)</f>
        <v>75</v>
      </c>
      <c r="I5742" t="str">
        <f>VLOOKUP(C5742,Магазины!A:C,3,0)</f>
        <v>Набережные Челны</v>
      </c>
      <c r="J5742">
        <f>VLOOKUP(D5742,Товары!A:I,4,0)</f>
        <v>9615</v>
      </c>
      <c r="K5742">
        <f t="shared" si="89"/>
        <v>9615</v>
      </c>
    </row>
    <row r="5743" spans="1:11" hidden="1" x14ac:dyDescent="0.25">
      <c r="A5743">
        <v>5742</v>
      </c>
      <c r="B5743" s="1">
        <v>45749</v>
      </c>
      <c r="C5743" t="s">
        <v>41</v>
      </c>
      <c r="D5743" t="s">
        <v>87</v>
      </c>
      <c r="E5743" t="s">
        <v>13</v>
      </c>
      <c r="F5743">
        <v>2</v>
      </c>
      <c r="G5743" t="str">
        <f>VLOOKUP(D5743,Товары!A:I,3,0)</f>
        <v>Тумба с раковиной  напол. Леон 700 форест 2 ящика с умыв. Слим</v>
      </c>
      <c r="H5743">
        <f>VLOOKUP(D5743,Товары!A:I,6,0)</f>
        <v>80</v>
      </c>
      <c r="I5743" t="str">
        <f>VLOOKUP(C5743,Магазины!A:C,3,0)</f>
        <v>Ставрополь</v>
      </c>
      <c r="J5743">
        <f>VLOOKUP(D5743,Товары!A:I,4,0)</f>
        <v>28380</v>
      </c>
      <c r="K5743">
        <f t="shared" si="89"/>
        <v>56760</v>
      </c>
    </row>
    <row r="5744" spans="1:11" hidden="1" x14ac:dyDescent="0.25">
      <c r="A5744">
        <v>5743</v>
      </c>
      <c r="B5744" s="1">
        <v>45753</v>
      </c>
      <c r="C5744" t="s">
        <v>16</v>
      </c>
      <c r="D5744" t="s">
        <v>71</v>
      </c>
      <c r="E5744" t="s">
        <v>13</v>
      </c>
      <c r="F5744">
        <v>3</v>
      </c>
      <c r="G5744" t="str">
        <f>VLOOKUP(D5744,Товары!A:I,3,0)</f>
        <v>Тумба с раковиной  навес. Альба 600 мята 2 ящика с умыв. Океан</v>
      </c>
      <c r="H5744">
        <f>VLOOKUP(D5744,Товары!A:I,6,0)</f>
        <v>50</v>
      </c>
      <c r="I5744" t="str">
        <f>VLOOKUP(C5744,Магазины!A:C,3,0)</f>
        <v>Оренбург</v>
      </c>
      <c r="J5744">
        <f>VLOOKUP(D5744,Товары!A:I,4,0)</f>
        <v>24810</v>
      </c>
      <c r="K5744">
        <f t="shared" si="89"/>
        <v>74430</v>
      </c>
    </row>
    <row r="5745" spans="1:11" hidden="1" x14ac:dyDescent="0.25">
      <c r="A5745">
        <v>5744</v>
      </c>
      <c r="B5745" s="1">
        <v>45757</v>
      </c>
      <c r="C5745" t="s">
        <v>16</v>
      </c>
      <c r="D5745" t="s">
        <v>64</v>
      </c>
      <c r="E5745" t="s">
        <v>13</v>
      </c>
      <c r="F5745">
        <v>1</v>
      </c>
      <c r="G5745" t="str">
        <f>VLOOKUP(D5745,Товары!A:I,3,0)</f>
        <v>Тумба с раковиной  напол. Рица 800 антрацит 2 ящика с умыв. Слим</v>
      </c>
      <c r="H5745">
        <f>VLOOKUP(D5745,Товары!A:I,6,0)</f>
        <v>80</v>
      </c>
      <c r="I5745" t="str">
        <f>VLOOKUP(C5745,Магазины!A:C,3,0)</f>
        <v>Оренбург</v>
      </c>
      <c r="J5745">
        <f>VLOOKUP(D5745,Товары!A:I,4,0)</f>
        <v>28980</v>
      </c>
      <c r="K5745">
        <f t="shared" si="89"/>
        <v>28980</v>
      </c>
    </row>
    <row r="5746" spans="1:11" hidden="1" x14ac:dyDescent="0.25">
      <c r="A5746">
        <v>5745</v>
      </c>
      <c r="B5746" s="1">
        <v>45754</v>
      </c>
      <c r="C5746" t="s">
        <v>14</v>
      </c>
      <c r="D5746" t="s">
        <v>76</v>
      </c>
      <c r="E5746" t="s">
        <v>8</v>
      </c>
      <c r="F5746">
        <v>2</v>
      </c>
      <c r="G5746" t="str">
        <f>VLOOKUP(D5746,Товары!A:I,3,0)</f>
        <v>Тумба с раковиной  напол. Леон 600 оникс 2 ящика с умыв. Слим</v>
      </c>
      <c r="H5746">
        <f>VLOOKUP(D5746,Товары!A:I,6,0)</f>
        <v>80</v>
      </c>
      <c r="I5746" t="str">
        <f>VLOOKUP(C5746,Магазины!A:C,3,0)</f>
        <v>Оренбург</v>
      </c>
      <c r="J5746">
        <f>VLOOKUP(D5746,Товары!A:I,4,0)</f>
        <v>25860</v>
      </c>
      <c r="K5746">
        <f t="shared" si="89"/>
        <v>51720</v>
      </c>
    </row>
    <row r="5747" spans="1:11" hidden="1" x14ac:dyDescent="0.25">
      <c r="A5747">
        <v>5746</v>
      </c>
      <c r="B5747" s="1">
        <v>45753</v>
      </c>
      <c r="C5747" t="s">
        <v>28</v>
      </c>
      <c r="D5747" t="s">
        <v>40</v>
      </c>
      <c r="E5747" t="s">
        <v>8</v>
      </c>
      <c r="F5747">
        <v>2</v>
      </c>
      <c r="G5747" t="str">
        <f>VLOOKUP(D5747,Товары!A:I,3,0)</f>
        <v>Тумба с раковиной  навес. Рица 800 cерый/керамика 1 ящик + ниша 1 с умыв. Слим</v>
      </c>
      <c r="H5747">
        <f>VLOOKUP(D5747,Товары!A:I,6,0)</f>
        <v>60</v>
      </c>
      <c r="I5747" t="str">
        <f>VLOOKUP(C5747,Магазины!A:C,3,0)</f>
        <v>Набережные Челны</v>
      </c>
      <c r="J5747">
        <f>VLOOKUP(D5747,Товары!A:I,4,0)</f>
        <v>22425</v>
      </c>
      <c r="K5747">
        <f t="shared" si="89"/>
        <v>44850</v>
      </c>
    </row>
    <row r="5748" spans="1:11" hidden="1" x14ac:dyDescent="0.25">
      <c r="A5748">
        <v>5747</v>
      </c>
      <c r="B5748" s="1">
        <v>45757</v>
      </c>
      <c r="C5748" t="s">
        <v>28</v>
      </c>
      <c r="D5748" t="s">
        <v>83</v>
      </c>
      <c r="E5748" t="s">
        <v>8</v>
      </c>
      <c r="F5748">
        <v>2</v>
      </c>
      <c r="G5748" t="str">
        <f>VLOOKUP(D5748,Товары!A:I,3,0)</f>
        <v>Зеркальный шкаф Альба 60 со светильником правый цвет суфле</v>
      </c>
      <c r="H5748">
        <f>VLOOKUP(D5748,Товары!A:I,6,0)</f>
        <v>75</v>
      </c>
      <c r="I5748" t="str">
        <f>VLOOKUP(C5748,Магазины!A:C,3,0)</f>
        <v>Набережные Челны</v>
      </c>
      <c r="J5748">
        <f>VLOOKUP(D5748,Товары!A:I,4,0)</f>
        <v>8910</v>
      </c>
      <c r="K5748">
        <f t="shared" si="89"/>
        <v>17820</v>
      </c>
    </row>
    <row r="5749" spans="1:11" hidden="1" x14ac:dyDescent="0.25">
      <c r="A5749">
        <v>5748</v>
      </c>
      <c r="B5749" s="1">
        <v>45752</v>
      </c>
      <c r="C5749" t="s">
        <v>41</v>
      </c>
      <c r="D5749" t="s">
        <v>55</v>
      </c>
      <c r="E5749" t="s">
        <v>8</v>
      </c>
      <c r="F5749">
        <v>2</v>
      </c>
      <c r="G5749" t="str">
        <f>VLOOKUP(D5749,Товары!A:I,3,0)</f>
        <v>Тумба с раковиной  напол. Рица 600 cерый/керамика 2 ящика с умыв. Океан</v>
      </c>
      <c r="H5749">
        <f>VLOOKUP(D5749,Товары!A:I,6,0)</f>
        <v>80</v>
      </c>
      <c r="I5749" t="str">
        <f>VLOOKUP(C5749,Магазины!A:C,3,0)</f>
        <v>Ставрополь</v>
      </c>
      <c r="J5749">
        <f>VLOOKUP(D5749,Товары!A:I,4,0)</f>
        <v>25560</v>
      </c>
      <c r="K5749">
        <f t="shared" si="89"/>
        <v>51120</v>
      </c>
    </row>
    <row r="5750" spans="1:11" hidden="1" x14ac:dyDescent="0.25">
      <c r="A5750">
        <v>5749</v>
      </c>
      <c r="B5750" s="1">
        <v>45754</v>
      </c>
      <c r="C5750" t="s">
        <v>33</v>
      </c>
      <c r="D5750" t="s">
        <v>38</v>
      </c>
      <c r="E5750" t="s">
        <v>8</v>
      </c>
      <c r="F5750">
        <v>2</v>
      </c>
      <c r="G5750" t="str">
        <f>VLOOKUP(D5750,Товары!A:I,3,0)</f>
        <v>Тумба с раковиной  навес. Куба Риф 600 белый 2 ящика с умыв. Como</v>
      </c>
      <c r="H5750">
        <f>VLOOKUP(D5750,Товары!A:I,6,0)</f>
        <v>55</v>
      </c>
      <c r="I5750" t="str">
        <f>VLOOKUP(C5750,Магазины!A:C,3,0)</f>
        <v>Набережные Челны</v>
      </c>
      <c r="J5750">
        <f>VLOOKUP(D5750,Товары!A:I,4,0)</f>
        <v>14265</v>
      </c>
      <c r="K5750">
        <f t="shared" si="89"/>
        <v>28530</v>
      </c>
    </row>
    <row r="5751" spans="1:11" hidden="1" x14ac:dyDescent="0.25">
      <c r="A5751">
        <v>5750</v>
      </c>
      <c r="B5751" s="1">
        <v>45753</v>
      </c>
      <c r="C5751" t="s">
        <v>41</v>
      </c>
      <c r="D5751" t="s">
        <v>45</v>
      </c>
      <c r="E5751" t="s">
        <v>8</v>
      </c>
      <c r="F5751">
        <v>2</v>
      </c>
      <c r="G5751" t="str">
        <f>VLOOKUP(D5751,Товары!A:I,3,0)</f>
        <v>Зеркальный шкаф Рица 80 со светильником правый цвет cерый/керамика</v>
      </c>
      <c r="H5751">
        <f>VLOOKUP(D5751,Товары!A:I,6,0)</f>
        <v>75</v>
      </c>
      <c r="I5751" t="str">
        <f>VLOOKUP(C5751,Магазины!A:C,3,0)</f>
        <v>Ставрополь</v>
      </c>
      <c r="J5751">
        <f>VLOOKUP(D5751,Товары!A:I,4,0)</f>
        <v>9930</v>
      </c>
      <c r="K5751">
        <f t="shared" si="89"/>
        <v>19860</v>
      </c>
    </row>
    <row r="5752" spans="1:11" hidden="1" x14ac:dyDescent="0.25">
      <c r="A5752">
        <v>5751</v>
      </c>
      <c r="B5752" s="1">
        <v>45754</v>
      </c>
      <c r="C5752" t="s">
        <v>28</v>
      </c>
      <c r="D5752" t="s">
        <v>74</v>
      </c>
      <c r="E5752" t="s">
        <v>13</v>
      </c>
      <c r="F5752">
        <v>1</v>
      </c>
      <c r="G5752" t="str">
        <f>VLOOKUP(D5752,Товары!A:I,3,0)</f>
        <v>Тумба с раковиной  напол. Альба 800 суфле 2 ящика с умыв. Слим</v>
      </c>
      <c r="H5752">
        <f>VLOOKUP(D5752,Товары!A:I,6,0)</f>
        <v>80</v>
      </c>
      <c r="I5752" t="str">
        <f>VLOOKUP(C5752,Магазины!A:C,3,0)</f>
        <v>Набережные Челны</v>
      </c>
      <c r="J5752">
        <f>VLOOKUP(D5752,Товары!A:I,4,0)</f>
        <v>29340</v>
      </c>
      <c r="K5752">
        <f t="shared" si="89"/>
        <v>29340</v>
      </c>
    </row>
    <row r="5753" spans="1:11" hidden="1" x14ac:dyDescent="0.25">
      <c r="A5753">
        <v>5752</v>
      </c>
      <c r="B5753" s="1">
        <v>45754</v>
      </c>
      <c r="C5753" t="s">
        <v>63</v>
      </c>
      <c r="D5753" t="s">
        <v>80</v>
      </c>
      <c r="E5753" t="s">
        <v>8</v>
      </c>
      <c r="F5753">
        <v>3</v>
      </c>
      <c r="G5753" t="str">
        <f>VLOOKUP(D5753,Товары!A:I,3,0)</f>
        <v>Тумба с раковиной  навес. Сохо 600 белый 2 ящика с умыв. Океан</v>
      </c>
      <c r="H5753">
        <f>VLOOKUP(D5753,Товары!A:I,6,0)</f>
        <v>55</v>
      </c>
      <c r="I5753" t="str">
        <f>VLOOKUP(C5753,Магазины!A:C,3,0)</f>
        <v>Ставрополь</v>
      </c>
      <c r="J5753">
        <f>VLOOKUP(D5753,Товары!A:I,4,0)</f>
        <v>13950</v>
      </c>
      <c r="K5753">
        <f t="shared" si="89"/>
        <v>41850</v>
      </c>
    </row>
    <row r="5754" spans="1:11" hidden="1" x14ac:dyDescent="0.25">
      <c r="A5754">
        <v>5753</v>
      </c>
      <c r="B5754" s="1">
        <v>45755</v>
      </c>
      <c r="C5754" t="s">
        <v>35</v>
      </c>
      <c r="D5754" t="s">
        <v>49</v>
      </c>
      <c r="E5754" t="s">
        <v>13</v>
      </c>
      <c r="F5754">
        <v>1</v>
      </c>
      <c r="G5754" t="str">
        <f>VLOOKUP(D5754,Товары!A:I,3,0)</f>
        <v>Тумба с раковиной  напол. Леон 700 оникс 2 ящика с умыв. Слим</v>
      </c>
      <c r="H5754">
        <f>VLOOKUP(D5754,Товары!A:I,6,0)</f>
        <v>80</v>
      </c>
      <c r="I5754" t="str">
        <f>VLOOKUP(C5754,Магазины!A:C,3,0)</f>
        <v>Набережные Челны</v>
      </c>
      <c r="J5754">
        <f>VLOOKUP(D5754,Товары!A:I,4,0)</f>
        <v>28380</v>
      </c>
      <c r="K5754">
        <f t="shared" si="89"/>
        <v>28380</v>
      </c>
    </row>
    <row r="5755" spans="1:11" hidden="1" x14ac:dyDescent="0.25">
      <c r="A5755">
        <v>5754</v>
      </c>
      <c r="B5755" s="1">
        <v>45748</v>
      </c>
      <c r="C5755" t="s">
        <v>35</v>
      </c>
      <c r="D5755" t="s">
        <v>120</v>
      </c>
      <c r="E5755" t="s">
        <v>8</v>
      </c>
      <c r="F5755">
        <v>2</v>
      </c>
      <c r="G5755" t="str">
        <f>VLOOKUP(D5755,Товары!A:I,3,0)</f>
        <v>Зеркальный шкаф Альба 60 со светильником правый цвет антрацит</v>
      </c>
      <c r="H5755">
        <f>VLOOKUP(D5755,Товары!A:I,6,0)</f>
        <v>75</v>
      </c>
      <c r="I5755" t="str">
        <f>VLOOKUP(C5755,Магазины!A:C,3,0)</f>
        <v>Набережные Челны</v>
      </c>
      <c r="J5755">
        <f>VLOOKUP(D5755,Товары!A:I,4,0)</f>
        <v>8910</v>
      </c>
      <c r="K5755">
        <f t="shared" si="89"/>
        <v>17820</v>
      </c>
    </row>
    <row r="5756" spans="1:11" hidden="1" x14ac:dyDescent="0.25">
      <c r="A5756">
        <v>5755</v>
      </c>
      <c r="B5756" s="1">
        <v>45753</v>
      </c>
      <c r="C5756" t="s">
        <v>11</v>
      </c>
      <c r="D5756" t="s">
        <v>113</v>
      </c>
      <c r="E5756" t="s">
        <v>8</v>
      </c>
      <c r="F5756">
        <v>1</v>
      </c>
      <c r="G5756" t="str">
        <f>VLOOKUP(D5756,Товары!A:I,3,0)</f>
        <v>Зеркальный шкаф Альба 60 со светильником правый цвет мята</v>
      </c>
      <c r="H5756">
        <f>VLOOKUP(D5756,Товары!A:I,6,0)</f>
        <v>75</v>
      </c>
      <c r="I5756" t="str">
        <f>VLOOKUP(C5756,Магазины!A:C,3,0)</f>
        <v>Кемерово</v>
      </c>
      <c r="J5756">
        <f>VLOOKUP(D5756,Товары!A:I,4,0)</f>
        <v>8910</v>
      </c>
      <c r="K5756">
        <f t="shared" si="89"/>
        <v>8910</v>
      </c>
    </row>
    <row r="5757" spans="1:11" hidden="1" x14ac:dyDescent="0.25">
      <c r="A5757">
        <v>5756</v>
      </c>
      <c r="B5757" s="1">
        <v>45748</v>
      </c>
      <c r="C5757" t="s">
        <v>16</v>
      </c>
      <c r="D5757" t="s">
        <v>117</v>
      </c>
      <c r="E5757" t="s">
        <v>13</v>
      </c>
      <c r="F5757">
        <v>1</v>
      </c>
      <c r="G5757" t="str">
        <f>VLOOKUP(D5757,Товары!A:I,3,0)</f>
        <v>Тумба с раковиной  навес. Альба 700 антрацит 2 ящика с умыв. Слим</v>
      </c>
      <c r="H5757">
        <f>VLOOKUP(D5757,Товары!A:I,6,0)</f>
        <v>60</v>
      </c>
      <c r="I5757" t="str">
        <f>VLOOKUP(C5757,Магазины!A:C,3,0)</f>
        <v>Оренбург</v>
      </c>
      <c r="J5757">
        <f>VLOOKUP(D5757,Товары!A:I,4,0)</f>
        <v>25095</v>
      </c>
      <c r="K5757">
        <f t="shared" si="89"/>
        <v>25095</v>
      </c>
    </row>
    <row r="5758" spans="1:11" hidden="1" x14ac:dyDescent="0.25">
      <c r="A5758">
        <v>5757</v>
      </c>
      <c r="B5758" s="1">
        <v>45752</v>
      </c>
      <c r="C5758" t="s">
        <v>11</v>
      </c>
      <c r="D5758" t="s">
        <v>78</v>
      </c>
      <c r="E5758" t="s">
        <v>8</v>
      </c>
      <c r="F5758">
        <v>1</v>
      </c>
      <c r="G5758" t="str">
        <f>VLOOKUP(D5758,Товары!A:I,3,0)</f>
        <v>Зеркальный шкаф Кристалл 70 со светильником правый, ручка кнопка дуб цвет Шато Азур</v>
      </c>
      <c r="H5758">
        <f>VLOOKUP(D5758,Товары!A:I,6,0)</f>
        <v>75</v>
      </c>
      <c r="I5758" t="str">
        <f>VLOOKUP(C5758,Магазины!A:C,3,0)</f>
        <v>Кемерово</v>
      </c>
      <c r="J5758">
        <f>VLOOKUP(D5758,Товары!A:I,4,0)</f>
        <v>9615</v>
      </c>
      <c r="K5758">
        <f t="shared" si="89"/>
        <v>9615</v>
      </c>
    </row>
    <row r="5759" spans="1:11" hidden="1" x14ac:dyDescent="0.25">
      <c r="A5759">
        <v>5758</v>
      </c>
      <c r="B5759" s="1">
        <v>45757</v>
      </c>
      <c r="C5759" t="s">
        <v>11</v>
      </c>
      <c r="D5759" t="s">
        <v>116</v>
      </c>
      <c r="E5759" t="s">
        <v>13</v>
      </c>
      <c r="F5759">
        <v>1</v>
      </c>
      <c r="G5759" t="str">
        <f>VLOOKUP(D5759,Товары!A:I,3,0)</f>
        <v>Зеркало Нева 60 дуб/белый со светильником</v>
      </c>
      <c r="H5759">
        <f>VLOOKUP(D5759,Товары!A:I,6,0)</f>
        <v>80</v>
      </c>
      <c r="I5759" t="str">
        <f>VLOOKUP(C5759,Магазины!A:C,3,0)</f>
        <v>Кемерово</v>
      </c>
      <c r="J5759">
        <f>VLOOKUP(D5759,Товары!A:I,4,0)</f>
        <v>5100</v>
      </c>
      <c r="K5759">
        <f t="shared" si="89"/>
        <v>5100</v>
      </c>
    </row>
    <row r="5760" spans="1:11" hidden="1" x14ac:dyDescent="0.25">
      <c r="A5760">
        <v>5759</v>
      </c>
      <c r="B5760" s="1">
        <v>45750</v>
      </c>
      <c r="C5760" t="s">
        <v>35</v>
      </c>
      <c r="D5760" t="s">
        <v>91</v>
      </c>
      <c r="E5760" t="s">
        <v>13</v>
      </c>
      <c r="F5760">
        <v>1</v>
      </c>
      <c r="G5760" t="str">
        <f>VLOOKUP(D5760,Товары!A:I,3,0)</f>
        <v>Пенал навес./напол. Альба 350 мята 2 двери</v>
      </c>
      <c r="H5760">
        <f>VLOOKUP(D5760,Товары!A:I,6,0)</f>
        <v>150</v>
      </c>
      <c r="I5760" t="str">
        <f>VLOOKUP(C5760,Магазины!A:C,3,0)</f>
        <v>Набережные Челны</v>
      </c>
      <c r="J5760">
        <f>VLOOKUP(D5760,Товары!A:I,4,0)</f>
        <v>11655</v>
      </c>
      <c r="K5760">
        <f t="shared" si="89"/>
        <v>11655</v>
      </c>
    </row>
    <row r="5761" spans="1:11" hidden="1" x14ac:dyDescent="0.25">
      <c r="A5761">
        <v>5760</v>
      </c>
      <c r="B5761" s="1">
        <v>45752</v>
      </c>
      <c r="C5761" t="s">
        <v>35</v>
      </c>
      <c r="D5761" t="s">
        <v>65</v>
      </c>
      <c r="E5761" t="s">
        <v>13</v>
      </c>
      <c r="F5761">
        <v>3</v>
      </c>
      <c r="G5761" t="str">
        <f>VLOOKUP(D5761,Товары!A:I,3,0)</f>
        <v>Тумба с раковиной  навес. Альба 800 суфле 2 ящика с умыв. Слим</v>
      </c>
      <c r="H5761">
        <f>VLOOKUP(D5761,Товары!A:I,6,0)</f>
        <v>50</v>
      </c>
      <c r="I5761" t="str">
        <f>VLOOKUP(C5761,Магазины!A:C,3,0)</f>
        <v>Набережные Челны</v>
      </c>
      <c r="J5761">
        <f>VLOOKUP(D5761,Товары!A:I,4,0)</f>
        <v>26070</v>
      </c>
      <c r="K5761">
        <f t="shared" si="89"/>
        <v>78210</v>
      </c>
    </row>
    <row r="5762" spans="1:11" hidden="1" x14ac:dyDescent="0.25">
      <c r="A5762">
        <v>5761</v>
      </c>
      <c r="B5762" s="1">
        <v>45749</v>
      </c>
      <c r="C5762" t="s">
        <v>11</v>
      </c>
      <c r="D5762" t="s">
        <v>88</v>
      </c>
      <c r="E5762" t="s">
        <v>13</v>
      </c>
      <c r="F5762">
        <v>2</v>
      </c>
      <c r="G5762" t="str">
        <f>VLOOKUP(D5762,Товары!A:I,3,0)</f>
        <v>Тумба с раковиной  навес. Альба 800 антрацит 2 ящика с умыв. Слим</v>
      </c>
      <c r="H5762">
        <f>VLOOKUP(D5762,Товары!A:I,6,0)</f>
        <v>50</v>
      </c>
      <c r="I5762" t="str">
        <f>VLOOKUP(C5762,Магазины!A:C,3,0)</f>
        <v>Кемерово</v>
      </c>
      <c r="J5762">
        <f>VLOOKUP(D5762,Товары!A:I,4,0)</f>
        <v>26070</v>
      </c>
      <c r="K5762">
        <f t="shared" si="89"/>
        <v>52140</v>
      </c>
    </row>
    <row r="5763" spans="1:11" hidden="1" x14ac:dyDescent="0.25">
      <c r="A5763">
        <v>5762</v>
      </c>
      <c r="B5763" s="1">
        <v>45755</v>
      </c>
      <c r="C5763" t="s">
        <v>41</v>
      </c>
      <c r="D5763" t="s">
        <v>32</v>
      </c>
      <c r="E5763" t="s">
        <v>13</v>
      </c>
      <c r="F5763">
        <v>1</v>
      </c>
      <c r="G5763" t="str">
        <f>VLOOKUP(D5763,Товары!A:I,3,0)</f>
        <v>Тумба с раковиной  напол. Леон Риф 700 солярис/белый риф 2 ящика с умыв. Слим</v>
      </c>
      <c r="H5763">
        <f>VLOOKUP(D5763,Товары!A:I,6,0)</f>
        <v>85</v>
      </c>
      <c r="I5763" t="str">
        <f>VLOOKUP(C5763,Магазины!A:C,3,0)</f>
        <v>Ставрополь</v>
      </c>
      <c r="J5763">
        <f>VLOOKUP(D5763,Товары!A:I,4,0)</f>
        <v>26460</v>
      </c>
      <c r="K5763">
        <f t="shared" ref="K5763:K5826" si="90">J5763*F5763</f>
        <v>26460</v>
      </c>
    </row>
    <row r="5764" spans="1:11" hidden="1" x14ac:dyDescent="0.25">
      <c r="A5764">
        <v>5763</v>
      </c>
      <c r="B5764" s="1">
        <v>45752</v>
      </c>
      <c r="C5764" t="s">
        <v>48</v>
      </c>
      <c r="D5764" t="s">
        <v>19</v>
      </c>
      <c r="E5764" t="s">
        <v>13</v>
      </c>
      <c r="F5764">
        <v>3</v>
      </c>
      <c r="G5764" t="str">
        <f>VLOOKUP(D5764,Товары!A:I,3,0)</f>
        <v>Тумба с раковиной  навес. Леон 800 оникс 2 ящика с умыв. Слим</v>
      </c>
      <c r="H5764">
        <f>VLOOKUP(D5764,Товары!A:I,6,0)</f>
        <v>60</v>
      </c>
      <c r="I5764" t="str">
        <f>VLOOKUP(C5764,Магазины!A:C,3,0)</f>
        <v>Ставрополь</v>
      </c>
      <c r="J5764">
        <f>VLOOKUP(D5764,Товары!A:I,4,0)</f>
        <v>27930</v>
      </c>
      <c r="K5764">
        <f t="shared" si="90"/>
        <v>83790</v>
      </c>
    </row>
    <row r="5765" spans="1:11" hidden="1" x14ac:dyDescent="0.25">
      <c r="A5765">
        <v>5764</v>
      </c>
      <c r="B5765" s="1">
        <v>45752</v>
      </c>
      <c r="C5765" t="s">
        <v>20</v>
      </c>
      <c r="D5765" t="s">
        <v>129</v>
      </c>
      <c r="E5765" t="s">
        <v>13</v>
      </c>
      <c r="F5765">
        <v>1</v>
      </c>
      <c r="G5765" t="str">
        <f>VLOOKUP(D5765,Товары!A:I,3,0)</f>
        <v>Тумба с раковиной  напол. Альба 700 антрацит 2 ящика с умыв. Слим</v>
      </c>
      <c r="H5765">
        <f>VLOOKUP(D5765,Товары!A:I,6,0)</f>
        <v>85</v>
      </c>
      <c r="I5765" t="str">
        <f>VLOOKUP(C5765,Магазины!A:C,3,0)</f>
        <v>Оренбург</v>
      </c>
      <c r="J5765">
        <f>VLOOKUP(D5765,Товары!A:I,4,0)</f>
        <v>28695</v>
      </c>
      <c r="K5765">
        <f t="shared" si="90"/>
        <v>28695</v>
      </c>
    </row>
    <row r="5766" spans="1:11" hidden="1" x14ac:dyDescent="0.25">
      <c r="A5766">
        <v>5765</v>
      </c>
      <c r="B5766" s="1">
        <v>45756</v>
      </c>
      <c r="C5766" t="s">
        <v>111</v>
      </c>
      <c r="D5766" t="s">
        <v>37</v>
      </c>
      <c r="E5766" t="s">
        <v>13</v>
      </c>
      <c r="F5766">
        <v>1</v>
      </c>
      <c r="G5766" t="str">
        <f>VLOOKUP(D5766,Товары!A:I,3,0)</f>
        <v>Зеркальный шкаф Сохо 70 белый со светильником правый цвет Белый глянец</v>
      </c>
      <c r="H5766">
        <f>VLOOKUP(D5766,Товары!A:I,6,0)</f>
        <v>75</v>
      </c>
      <c r="I5766" t="str">
        <f>VLOOKUP(C5766,Магазины!A:C,3,0)</f>
        <v>Набережные Челны</v>
      </c>
      <c r="J5766">
        <f>VLOOKUP(D5766,Товары!A:I,4,0)</f>
        <v>7935</v>
      </c>
      <c r="K5766">
        <f t="shared" si="90"/>
        <v>7935</v>
      </c>
    </row>
    <row r="5767" spans="1:11" hidden="1" x14ac:dyDescent="0.25">
      <c r="A5767">
        <v>5766</v>
      </c>
      <c r="B5767" s="1">
        <v>45753</v>
      </c>
      <c r="C5767" t="s">
        <v>58</v>
      </c>
      <c r="D5767" t="s">
        <v>32</v>
      </c>
      <c r="E5767" t="s">
        <v>8</v>
      </c>
      <c r="F5767">
        <v>1</v>
      </c>
      <c r="G5767" t="str">
        <f>VLOOKUP(D5767,Товары!A:I,3,0)</f>
        <v>Тумба с раковиной  напол. Леон Риф 700 солярис/белый риф 2 ящика с умыв. Слим</v>
      </c>
      <c r="H5767">
        <f>VLOOKUP(D5767,Товары!A:I,6,0)</f>
        <v>85</v>
      </c>
      <c r="I5767" t="str">
        <f>VLOOKUP(C5767,Магазины!A:C,3,0)</f>
        <v>Ставрополь</v>
      </c>
      <c r="J5767">
        <f>VLOOKUP(D5767,Товары!A:I,4,0)</f>
        <v>26460</v>
      </c>
      <c r="K5767">
        <f t="shared" si="90"/>
        <v>26460</v>
      </c>
    </row>
    <row r="5768" spans="1:11" hidden="1" x14ac:dyDescent="0.25">
      <c r="A5768">
        <v>5767</v>
      </c>
      <c r="B5768" s="1">
        <v>45752</v>
      </c>
      <c r="C5768" t="s">
        <v>11</v>
      </c>
      <c r="D5768" t="s">
        <v>78</v>
      </c>
      <c r="E5768" t="s">
        <v>13</v>
      </c>
      <c r="F5768">
        <v>1</v>
      </c>
      <c r="G5768" t="str">
        <f>VLOOKUP(D5768,Товары!A:I,3,0)</f>
        <v>Зеркальный шкаф Кристалл 70 со светильником правый, ручка кнопка дуб цвет Шато Азур</v>
      </c>
      <c r="H5768">
        <f>VLOOKUP(D5768,Товары!A:I,6,0)</f>
        <v>75</v>
      </c>
      <c r="I5768" t="str">
        <f>VLOOKUP(C5768,Магазины!A:C,3,0)</f>
        <v>Кемерово</v>
      </c>
      <c r="J5768">
        <f>VLOOKUP(D5768,Товары!A:I,4,0)</f>
        <v>9615</v>
      </c>
      <c r="K5768">
        <f t="shared" si="90"/>
        <v>9615</v>
      </c>
    </row>
    <row r="5769" spans="1:11" hidden="1" x14ac:dyDescent="0.25">
      <c r="A5769">
        <v>5768</v>
      </c>
      <c r="B5769" s="1">
        <v>45749</v>
      </c>
      <c r="C5769" t="s">
        <v>20</v>
      </c>
      <c r="D5769" t="s">
        <v>21</v>
      </c>
      <c r="E5769" t="s">
        <v>8</v>
      </c>
      <c r="F5769">
        <v>3</v>
      </c>
      <c r="G5769" t="str">
        <f>VLOOKUP(D5769,Товары!A:I,3,0)</f>
        <v>Зеркальный шкаф Рица 60 со светильником правый цвет cерый/керамика</v>
      </c>
      <c r="H5769">
        <f>VLOOKUP(D5769,Товары!A:I,6,0)</f>
        <v>75</v>
      </c>
      <c r="I5769" t="str">
        <f>VLOOKUP(C5769,Магазины!A:C,3,0)</f>
        <v>Оренбург</v>
      </c>
      <c r="J5769">
        <f>VLOOKUP(D5769,Товары!A:I,4,0)</f>
        <v>8910</v>
      </c>
      <c r="K5769">
        <f t="shared" si="90"/>
        <v>26730</v>
      </c>
    </row>
    <row r="5770" spans="1:11" hidden="1" x14ac:dyDescent="0.25">
      <c r="A5770">
        <v>5769</v>
      </c>
      <c r="B5770" s="1">
        <v>45750</v>
      </c>
      <c r="C5770" t="s">
        <v>92</v>
      </c>
      <c r="D5770" t="s">
        <v>102</v>
      </c>
      <c r="E5770" t="s">
        <v>8</v>
      </c>
      <c r="F5770">
        <v>1</v>
      </c>
      <c r="G5770" t="str">
        <f>VLOOKUP(D5770,Товары!A:I,3,0)</f>
        <v>Тумба с раковиной  напол. Леон Риф 1000 солярис/белый риф 2 ящика с умыв. Слим</v>
      </c>
      <c r="H5770">
        <f>VLOOKUP(D5770,Товары!A:I,6,0)</f>
        <v>85</v>
      </c>
      <c r="I5770" t="str">
        <f>VLOOKUP(C5770,Магазины!A:C,3,0)</f>
        <v>Кемерово</v>
      </c>
      <c r="J5770">
        <f>VLOOKUP(D5770,Товары!A:I,4,0)</f>
        <v>32085</v>
      </c>
      <c r="K5770">
        <f t="shared" si="90"/>
        <v>32085</v>
      </c>
    </row>
    <row r="5771" spans="1:11" hidden="1" x14ac:dyDescent="0.25">
      <c r="A5771">
        <v>5770</v>
      </c>
      <c r="B5771" s="1">
        <v>45752</v>
      </c>
      <c r="C5771" t="s">
        <v>35</v>
      </c>
      <c r="D5771" t="s">
        <v>36</v>
      </c>
      <c r="E5771" t="s">
        <v>13</v>
      </c>
      <c r="F5771">
        <v>2</v>
      </c>
      <c r="G5771" t="str">
        <f>VLOOKUP(D5771,Товары!A:I,3,0)</f>
        <v>Тумба с раковиной  напол. Альба 800 мята 2 ящика с умыв. Слим</v>
      </c>
      <c r="H5771">
        <f>VLOOKUP(D5771,Товары!A:I,6,0)</f>
        <v>80</v>
      </c>
      <c r="I5771" t="str">
        <f>VLOOKUP(C5771,Магазины!A:C,3,0)</f>
        <v>Набережные Челны</v>
      </c>
      <c r="J5771">
        <f>VLOOKUP(D5771,Товары!A:I,4,0)</f>
        <v>29340</v>
      </c>
      <c r="K5771">
        <f t="shared" si="90"/>
        <v>58680</v>
      </c>
    </row>
    <row r="5772" spans="1:11" hidden="1" x14ac:dyDescent="0.25">
      <c r="A5772">
        <v>5771</v>
      </c>
      <c r="B5772" s="1">
        <v>45751</v>
      </c>
      <c r="C5772" t="s">
        <v>9</v>
      </c>
      <c r="D5772" t="s">
        <v>78</v>
      </c>
      <c r="E5772" t="s">
        <v>13</v>
      </c>
      <c r="F5772">
        <v>3</v>
      </c>
      <c r="G5772" t="str">
        <f>VLOOKUP(D5772,Товары!A:I,3,0)</f>
        <v>Зеркальный шкаф Кристалл 70 со светильником правый, ручка кнопка дуб цвет Шато Азур</v>
      </c>
      <c r="H5772">
        <f>VLOOKUP(D5772,Товары!A:I,6,0)</f>
        <v>75</v>
      </c>
      <c r="I5772" t="str">
        <f>VLOOKUP(C5772,Магазины!A:C,3,0)</f>
        <v>Кемерово</v>
      </c>
      <c r="J5772">
        <f>VLOOKUP(D5772,Товары!A:I,4,0)</f>
        <v>9615</v>
      </c>
      <c r="K5772">
        <f t="shared" si="90"/>
        <v>28845</v>
      </c>
    </row>
    <row r="5773" spans="1:11" hidden="1" x14ac:dyDescent="0.25">
      <c r="A5773">
        <v>5772</v>
      </c>
      <c r="B5773" s="1">
        <v>45753</v>
      </c>
      <c r="C5773" t="s">
        <v>6</v>
      </c>
      <c r="D5773" t="s">
        <v>10</v>
      </c>
      <c r="E5773" t="s">
        <v>13</v>
      </c>
      <c r="F5773">
        <v>2</v>
      </c>
      <c r="G5773" t="str">
        <f>VLOOKUP(D5773,Товары!A:I,3,0)</f>
        <v>Тумба с раковиной  навес. Альба 700 антрацит 1 ящик с умыв. Слим</v>
      </c>
      <c r="H5773">
        <f>VLOOKUP(D5773,Товары!A:I,6,0)</f>
        <v>45</v>
      </c>
      <c r="I5773" t="str">
        <f>VLOOKUP(C5773,Магазины!A:C,3,0)</f>
        <v>Оренбург</v>
      </c>
      <c r="J5773">
        <f>VLOOKUP(D5773,Товары!A:I,4,0)</f>
        <v>20130</v>
      </c>
      <c r="K5773">
        <f t="shared" si="90"/>
        <v>40260</v>
      </c>
    </row>
    <row r="5774" spans="1:11" hidden="1" x14ac:dyDescent="0.25">
      <c r="A5774">
        <v>5773</v>
      </c>
      <c r="B5774" s="1">
        <v>45750</v>
      </c>
      <c r="C5774" t="s">
        <v>43</v>
      </c>
      <c r="D5774" t="s">
        <v>42</v>
      </c>
      <c r="E5774" t="s">
        <v>13</v>
      </c>
      <c r="F5774">
        <v>3</v>
      </c>
      <c r="G5774" t="str">
        <f>VLOOKUP(D5774,Товары!A:I,3,0)</f>
        <v>Тумба под стиральную машину Леон Риф 57 подвесная 2 ящика под ст/маш, без умывальника /под Marshall 120 Солярис/Белый Риф</v>
      </c>
      <c r="H5774">
        <f>VLOOKUP(D5774,Товары!A:I,6,0)</f>
        <v>60</v>
      </c>
      <c r="I5774" t="str">
        <f>VLOOKUP(C5774,Магазины!A:C,3,0)</f>
        <v>Набережные Челны</v>
      </c>
      <c r="J5774">
        <f>VLOOKUP(D5774,Товары!A:I,4,0)</f>
        <v>15495</v>
      </c>
      <c r="K5774">
        <f t="shared" si="90"/>
        <v>46485</v>
      </c>
    </row>
    <row r="5775" spans="1:11" hidden="1" x14ac:dyDescent="0.25">
      <c r="A5775">
        <v>5774</v>
      </c>
      <c r="B5775" s="1">
        <v>45752</v>
      </c>
      <c r="C5775" t="s">
        <v>54</v>
      </c>
      <c r="D5775" t="s">
        <v>126</v>
      </c>
      <c r="E5775" t="s">
        <v>13</v>
      </c>
      <c r="F5775">
        <v>2</v>
      </c>
      <c r="G5775" t="str">
        <f>VLOOKUP(D5775,Товары!A:I,3,0)</f>
        <v>Тумба с раковиной  напол. Кристалл 800 шато азур 2 ящика с умыв. Комфорт</v>
      </c>
      <c r="H5775">
        <f>VLOOKUP(D5775,Товары!A:I,6,0)</f>
        <v>85</v>
      </c>
      <c r="I5775" t="str">
        <f>VLOOKUP(C5775,Магазины!A:C,3,0)</f>
        <v>Ставрополь</v>
      </c>
      <c r="J5775">
        <f>VLOOKUP(D5775,Товары!A:I,4,0)</f>
        <v>31125</v>
      </c>
      <c r="K5775">
        <f t="shared" si="90"/>
        <v>62250</v>
      </c>
    </row>
    <row r="5776" spans="1:11" hidden="1" x14ac:dyDescent="0.25">
      <c r="A5776">
        <v>5775</v>
      </c>
      <c r="B5776" s="1">
        <v>45752</v>
      </c>
      <c r="C5776" t="s">
        <v>18</v>
      </c>
      <c r="D5776" t="s">
        <v>112</v>
      </c>
      <c r="E5776" t="s">
        <v>13</v>
      </c>
      <c r="F5776">
        <v>2</v>
      </c>
      <c r="G5776" t="str">
        <f>VLOOKUP(D5776,Товары!A:I,3,0)</f>
        <v>Тумба с раковиной  напол. Аква 560 белый 2 двери с умыв. Уют</v>
      </c>
      <c r="H5776">
        <f>VLOOKUP(D5776,Товары!A:I,6,0)</f>
        <v>85</v>
      </c>
      <c r="I5776" t="str">
        <f>VLOOKUP(C5776,Магазины!A:C,3,0)</f>
        <v>Набережные Челны</v>
      </c>
      <c r="J5776">
        <f>VLOOKUP(D5776,Товары!A:I,4,0)</f>
        <v>9330</v>
      </c>
      <c r="K5776">
        <f t="shared" si="90"/>
        <v>18660</v>
      </c>
    </row>
    <row r="5777" spans="1:11" hidden="1" x14ac:dyDescent="0.25">
      <c r="A5777">
        <v>5776</v>
      </c>
      <c r="B5777" s="1">
        <v>45752</v>
      </c>
      <c r="C5777" t="s">
        <v>9</v>
      </c>
      <c r="D5777" t="s">
        <v>59</v>
      </c>
      <c r="E5777" t="s">
        <v>8</v>
      </c>
      <c r="F5777">
        <v>1</v>
      </c>
      <c r="G5777" t="str">
        <f>VLOOKUP(D5777,Товары!A:I,3,0)</f>
        <v>Тумба с раковиной  навес. Куба Риф 600 белый 2 ящика с умыв. Океан</v>
      </c>
      <c r="H5777">
        <f>VLOOKUP(D5777,Товары!A:I,6,0)</f>
        <v>55</v>
      </c>
      <c r="I5777" t="str">
        <f>VLOOKUP(C5777,Магазины!A:C,3,0)</f>
        <v>Кемерово</v>
      </c>
      <c r="J5777">
        <f>VLOOKUP(D5777,Товары!A:I,4,0)</f>
        <v>15765</v>
      </c>
      <c r="K5777">
        <f t="shared" si="90"/>
        <v>15765</v>
      </c>
    </row>
    <row r="5778" spans="1:11" hidden="1" x14ac:dyDescent="0.25">
      <c r="A5778">
        <v>5777</v>
      </c>
      <c r="B5778" s="1">
        <v>45748</v>
      </c>
      <c r="C5778" t="s">
        <v>111</v>
      </c>
      <c r="D5778" t="s">
        <v>124</v>
      </c>
      <c r="E5778" t="s">
        <v>8</v>
      </c>
      <c r="F5778">
        <v>3</v>
      </c>
      <c r="G5778" t="str">
        <f>VLOOKUP(D5778,Товары!A:I,3,0)</f>
        <v>Тумба с раковиной  напол. Леон 600 оникс 2 ящика с умыв. Океан</v>
      </c>
      <c r="H5778">
        <f>VLOOKUP(D5778,Товары!A:I,6,0)</f>
        <v>80</v>
      </c>
      <c r="I5778" t="str">
        <f>VLOOKUP(C5778,Магазины!A:C,3,0)</f>
        <v>Набережные Челны</v>
      </c>
      <c r="J5778">
        <f>VLOOKUP(D5778,Товары!A:I,4,0)</f>
        <v>25860</v>
      </c>
      <c r="K5778">
        <f t="shared" si="90"/>
        <v>77580</v>
      </c>
    </row>
    <row r="5779" spans="1:11" hidden="1" x14ac:dyDescent="0.25">
      <c r="A5779">
        <v>5778</v>
      </c>
      <c r="B5779" s="1">
        <v>45752</v>
      </c>
      <c r="C5779" t="s">
        <v>111</v>
      </c>
      <c r="D5779" t="s">
        <v>115</v>
      </c>
      <c r="E5779" t="s">
        <v>8</v>
      </c>
      <c r="F5779">
        <v>2</v>
      </c>
      <c r="G5779" t="str">
        <f>VLOOKUP(D5779,Товары!A:I,3,0)</f>
        <v>Тумба под стиральную машину Куба Риф 57 напольная 2 ящика под ст/маш, без умывальника /под Marshall 120 Белый</v>
      </c>
      <c r="H5779">
        <f>VLOOKUP(D5779,Товары!A:I,6,0)</f>
        <v>85</v>
      </c>
      <c r="I5779" t="str">
        <f>VLOOKUP(C5779,Магазины!A:C,3,0)</f>
        <v>Набережные Челны</v>
      </c>
      <c r="J5779">
        <f>VLOOKUP(D5779,Товары!A:I,4,0)</f>
        <v>10530</v>
      </c>
      <c r="K5779">
        <f t="shared" si="90"/>
        <v>21060</v>
      </c>
    </row>
    <row r="5780" spans="1:11" hidden="1" x14ac:dyDescent="0.25">
      <c r="A5780">
        <v>5779</v>
      </c>
      <c r="B5780" s="1">
        <v>45748</v>
      </c>
      <c r="C5780" t="s">
        <v>58</v>
      </c>
      <c r="D5780" t="s">
        <v>65</v>
      </c>
      <c r="E5780" t="s">
        <v>8</v>
      </c>
      <c r="F5780">
        <v>3</v>
      </c>
      <c r="G5780" t="str">
        <f>VLOOKUP(D5780,Товары!A:I,3,0)</f>
        <v>Тумба с раковиной  навес. Альба 800 суфле 2 ящика с умыв. Слим</v>
      </c>
      <c r="H5780">
        <f>VLOOKUP(D5780,Товары!A:I,6,0)</f>
        <v>50</v>
      </c>
      <c r="I5780" t="str">
        <f>VLOOKUP(C5780,Магазины!A:C,3,0)</f>
        <v>Ставрополь</v>
      </c>
      <c r="J5780">
        <f>VLOOKUP(D5780,Товары!A:I,4,0)</f>
        <v>26070</v>
      </c>
      <c r="K5780">
        <f t="shared" si="90"/>
        <v>78210</v>
      </c>
    </row>
    <row r="5781" spans="1:11" hidden="1" x14ac:dyDescent="0.25">
      <c r="A5781">
        <v>5780</v>
      </c>
      <c r="B5781" s="1">
        <v>45748</v>
      </c>
      <c r="C5781" t="s">
        <v>28</v>
      </c>
      <c r="D5781" t="s">
        <v>47</v>
      </c>
      <c r="E5781" t="s">
        <v>13</v>
      </c>
      <c r="F5781">
        <v>2</v>
      </c>
      <c r="G5781" t="str">
        <f>VLOOKUP(D5781,Товары!A:I,3,0)</f>
        <v>Пенал напол. Кристалл 350 шато азур 2 двери</v>
      </c>
      <c r="H5781">
        <f>VLOOKUP(D5781,Товары!A:I,6,0)</f>
        <v>190</v>
      </c>
      <c r="I5781" t="str">
        <f>VLOOKUP(C5781,Магазины!A:C,3,0)</f>
        <v>Набережные Челны</v>
      </c>
      <c r="J5781">
        <f>VLOOKUP(D5781,Товары!A:I,4,0)</f>
        <v>15810</v>
      </c>
      <c r="K5781">
        <f t="shared" si="90"/>
        <v>31620</v>
      </c>
    </row>
    <row r="5782" spans="1:11" hidden="1" x14ac:dyDescent="0.25">
      <c r="A5782">
        <v>5781</v>
      </c>
      <c r="B5782" s="1">
        <v>45750</v>
      </c>
      <c r="C5782" t="s">
        <v>103</v>
      </c>
      <c r="D5782" t="s">
        <v>87</v>
      </c>
      <c r="E5782" t="s">
        <v>13</v>
      </c>
      <c r="F5782">
        <v>2</v>
      </c>
      <c r="G5782" t="str">
        <f>VLOOKUP(D5782,Товары!A:I,3,0)</f>
        <v>Тумба с раковиной  напол. Леон 700 форест 2 ящика с умыв. Слим</v>
      </c>
      <c r="H5782">
        <f>VLOOKUP(D5782,Товары!A:I,6,0)</f>
        <v>80</v>
      </c>
      <c r="I5782" t="str">
        <f>VLOOKUP(C5782,Магазины!A:C,3,0)</f>
        <v>Ставрополь</v>
      </c>
      <c r="J5782">
        <f>VLOOKUP(D5782,Товары!A:I,4,0)</f>
        <v>28380</v>
      </c>
      <c r="K5782">
        <f t="shared" si="90"/>
        <v>56760</v>
      </c>
    </row>
    <row r="5783" spans="1:11" hidden="1" x14ac:dyDescent="0.25">
      <c r="A5783">
        <v>5782</v>
      </c>
      <c r="B5783" s="1">
        <v>45754</v>
      </c>
      <c r="C5783" t="s">
        <v>41</v>
      </c>
      <c r="D5783" t="s">
        <v>40</v>
      </c>
      <c r="E5783" t="s">
        <v>13</v>
      </c>
      <c r="F5783">
        <v>2</v>
      </c>
      <c r="G5783" t="str">
        <f>VLOOKUP(D5783,Товары!A:I,3,0)</f>
        <v>Тумба с раковиной  навес. Рица 800 cерый/керамика 1 ящик + ниша 1 с умыв. Слим</v>
      </c>
      <c r="H5783">
        <f>VLOOKUP(D5783,Товары!A:I,6,0)</f>
        <v>60</v>
      </c>
      <c r="I5783" t="str">
        <f>VLOOKUP(C5783,Магазины!A:C,3,0)</f>
        <v>Ставрополь</v>
      </c>
      <c r="J5783">
        <f>VLOOKUP(D5783,Товары!A:I,4,0)</f>
        <v>22425</v>
      </c>
      <c r="K5783">
        <f t="shared" si="90"/>
        <v>44850</v>
      </c>
    </row>
    <row r="5784" spans="1:11" hidden="1" x14ac:dyDescent="0.25">
      <c r="A5784">
        <v>5783</v>
      </c>
      <c r="B5784" s="1">
        <v>45753</v>
      </c>
      <c r="C5784" t="s">
        <v>11</v>
      </c>
      <c r="D5784" t="s">
        <v>68</v>
      </c>
      <c r="E5784" t="s">
        <v>8</v>
      </c>
      <c r="F5784">
        <v>3</v>
      </c>
      <c r="G5784" t="str">
        <f>VLOOKUP(D5784,Товары!A:I,3,0)</f>
        <v>Тумба с раковиной  навес. Альба 600 антрацит 1 ящик с умыв. Океан</v>
      </c>
      <c r="H5784">
        <f>VLOOKUP(D5784,Товары!A:I,6,0)</f>
        <v>85</v>
      </c>
      <c r="I5784" t="str">
        <f>VLOOKUP(C5784,Магазины!A:C,3,0)</f>
        <v>Кемерово</v>
      </c>
      <c r="J5784">
        <f>VLOOKUP(D5784,Товары!A:I,4,0)</f>
        <v>17625</v>
      </c>
      <c r="K5784">
        <f t="shared" si="90"/>
        <v>52875</v>
      </c>
    </row>
    <row r="5785" spans="1:11" hidden="1" x14ac:dyDescent="0.25">
      <c r="A5785">
        <v>5784</v>
      </c>
      <c r="B5785" s="1">
        <v>45753</v>
      </c>
      <c r="C5785" t="s">
        <v>16</v>
      </c>
      <c r="D5785" t="s">
        <v>12</v>
      </c>
      <c r="E5785" t="s">
        <v>13</v>
      </c>
      <c r="F5785">
        <v>1</v>
      </c>
      <c r="G5785" t="str">
        <f>VLOOKUP(D5785,Товары!A:I,3,0)</f>
        <v>Тумба с раковиной  напол. Сохо 700 белый 2 двери с умыв. Слим</v>
      </c>
      <c r="H5785">
        <f>VLOOKUP(D5785,Товары!A:I,6,0)</f>
        <v>85</v>
      </c>
      <c r="I5785" t="str">
        <f>VLOOKUP(C5785,Магазины!A:C,3,0)</f>
        <v>Оренбург</v>
      </c>
      <c r="J5785">
        <f>VLOOKUP(D5785,Товары!A:I,4,0)</f>
        <v>17160</v>
      </c>
      <c r="K5785">
        <f t="shared" si="90"/>
        <v>17160</v>
      </c>
    </row>
    <row r="5786" spans="1:11" hidden="1" x14ac:dyDescent="0.25">
      <c r="A5786">
        <v>5785</v>
      </c>
      <c r="B5786" s="1">
        <v>45749</v>
      </c>
      <c r="C5786" t="s">
        <v>54</v>
      </c>
      <c r="D5786" t="s">
        <v>31</v>
      </c>
      <c r="E5786" t="s">
        <v>8</v>
      </c>
      <c r="F5786">
        <v>3</v>
      </c>
      <c r="G5786" t="str">
        <f>VLOOKUP(D5786,Товары!A:I,3,0)</f>
        <v>Пенал напол. Виктория 350 белый 2 двери</v>
      </c>
      <c r="H5786">
        <f>VLOOKUP(D5786,Товары!A:I,6,0)</f>
        <v>190</v>
      </c>
      <c r="I5786" t="str">
        <f>VLOOKUP(C5786,Магазины!A:C,3,0)</f>
        <v>Ставрополь</v>
      </c>
      <c r="J5786">
        <f>VLOOKUP(D5786,Товары!A:I,4,0)</f>
        <v>14085</v>
      </c>
      <c r="K5786">
        <f t="shared" si="90"/>
        <v>42255</v>
      </c>
    </row>
    <row r="5787" spans="1:11" hidden="1" x14ac:dyDescent="0.25">
      <c r="A5787">
        <v>5786</v>
      </c>
      <c r="B5787" s="1">
        <v>45755</v>
      </c>
      <c r="C5787" t="s">
        <v>26</v>
      </c>
      <c r="D5787" t="s">
        <v>42</v>
      </c>
      <c r="E5787" t="s">
        <v>8</v>
      </c>
      <c r="F5787">
        <v>3</v>
      </c>
      <c r="G5787" t="str">
        <f>VLOOKUP(D5787,Товары!A:I,3,0)</f>
        <v>Тумба под стиральную машину Леон Риф 57 подвесная 2 ящика под ст/маш, без умывальника /под Marshall 120 Солярис/Белый Риф</v>
      </c>
      <c r="H5787">
        <f>VLOOKUP(D5787,Товары!A:I,6,0)</f>
        <v>60</v>
      </c>
      <c r="I5787" t="str">
        <f>VLOOKUP(C5787,Магазины!A:C,3,0)</f>
        <v>Оренбург</v>
      </c>
      <c r="J5787">
        <f>VLOOKUP(D5787,Товары!A:I,4,0)</f>
        <v>15495</v>
      </c>
      <c r="K5787">
        <f t="shared" si="90"/>
        <v>46485</v>
      </c>
    </row>
    <row r="5788" spans="1:11" hidden="1" x14ac:dyDescent="0.25">
      <c r="A5788">
        <v>5787</v>
      </c>
      <c r="B5788" s="1">
        <v>45753</v>
      </c>
      <c r="C5788" t="s">
        <v>58</v>
      </c>
      <c r="D5788" t="s">
        <v>130</v>
      </c>
      <c r="E5788" t="s">
        <v>8</v>
      </c>
      <c r="F5788">
        <v>3</v>
      </c>
      <c r="G5788" t="str">
        <f>VLOOKUP(D5788,Товары!A:I,3,0)</f>
        <v>Пенал напол. Леон 400 форест 2 двери + 1 ящик</v>
      </c>
      <c r="H5788">
        <f>VLOOKUP(D5788,Товары!A:I,6,0)</f>
        <v>190</v>
      </c>
      <c r="I5788" t="str">
        <f>VLOOKUP(C5788,Магазины!A:C,3,0)</f>
        <v>Ставрополь</v>
      </c>
      <c r="J5788">
        <f>VLOOKUP(D5788,Товары!A:I,4,0)</f>
        <v>18450</v>
      </c>
      <c r="K5788">
        <f t="shared" si="90"/>
        <v>55350</v>
      </c>
    </row>
    <row r="5789" spans="1:11" hidden="1" x14ac:dyDescent="0.25">
      <c r="A5789">
        <v>5788</v>
      </c>
      <c r="B5789" s="1">
        <v>45755</v>
      </c>
      <c r="C5789" t="s">
        <v>14</v>
      </c>
      <c r="D5789" t="s">
        <v>52</v>
      </c>
      <c r="E5789" t="s">
        <v>13</v>
      </c>
      <c r="F5789">
        <v>1</v>
      </c>
      <c r="G5789" t="str">
        <f>VLOOKUP(D5789,Товары!A:I,3,0)</f>
        <v>Тумба с раковиной  напол. Кристалл 600 суфле 2 ящика с умыв. Океан</v>
      </c>
      <c r="H5789">
        <f>VLOOKUP(D5789,Товары!A:I,6,0)</f>
        <v>80</v>
      </c>
      <c r="I5789" t="str">
        <f>VLOOKUP(C5789,Магазины!A:C,3,0)</f>
        <v>Оренбург</v>
      </c>
      <c r="J5789">
        <f>VLOOKUP(D5789,Товары!A:I,4,0)</f>
        <v>27600</v>
      </c>
      <c r="K5789">
        <f t="shared" si="90"/>
        <v>27600</v>
      </c>
    </row>
    <row r="5790" spans="1:11" hidden="1" x14ac:dyDescent="0.25">
      <c r="A5790">
        <v>5789</v>
      </c>
      <c r="B5790" s="1">
        <v>45750</v>
      </c>
      <c r="C5790" t="s">
        <v>48</v>
      </c>
      <c r="D5790" t="s">
        <v>104</v>
      </c>
      <c r="E5790" t="s">
        <v>8</v>
      </c>
      <c r="F5790">
        <v>1</v>
      </c>
      <c r="G5790" t="str">
        <f>VLOOKUP(D5790,Товары!A:I,3,0)</f>
        <v>Тумба под стиральную машину Куба Риф 57 подвесная 2 ящика под ст/маш, без умывальника /под Marshall 120 Белый</v>
      </c>
      <c r="H5790">
        <f>VLOOKUP(D5790,Товары!A:I,6,0)</f>
        <v>50</v>
      </c>
      <c r="I5790" t="str">
        <f>VLOOKUP(C5790,Магазины!A:C,3,0)</f>
        <v>Ставрополь</v>
      </c>
      <c r="J5790">
        <f>VLOOKUP(D5790,Товары!A:I,4,0)</f>
        <v>8505</v>
      </c>
      <c r="K5790">
        <f t="shared" si="90"/>
        <v>8505</v>
      </c>
    </row>
    <row r="5791" spans="1:11" hidden="1" x14ac:dyDescent="0.25">
      <c r="A5791">
        <v>5790</v>
      </c>
      <c r="B5791" s="1">
        <v>45754</v>
      </c>
      <c r="C5791" t="s">
        <v>35</v>
      </c>
      <c r="D5791" t="s">
        <v>101</v>
      </c>
      <c r="E5791" t="s">
        <v>8</v>
      </c>
      <c r="F5791">
        <v>2</v>
      </c>
      <c r="G5791" t="str">
        <f>VLOOKUP(D5791,Товары!A:I,3,0)</f>
        <v>Пенал напол. Сохо 400 белый 2 двери + 1 ящик</v>
      </c>
      <c r="H5791">
        <f>VLOOKUP(D5791,Товары!A:I,6,0)</f>
        <v>190</v>
      </c>
      <c r="I5791" t="str">
        <f>VLOOKUP(C5791,Магазины!A:C,3,0)</f>
        <v>Набережные Челны</v>
      </c>
      <c r="J5791">
        <f>VLOOKUP(D5791,Товары!A:I,4,0)</f>
        <v>11040</v>
      </c>
      <c r="K5791">
        <f t="shared" si="90"/>
        <v>22080</v>
      </c>
    </row>
    <row r="5792" spans="1:11" hidden="1" x14ac:dyDescent="0.25">
      <c r="A5792">
        <v>5791</v>
      </c>
      <c r="B5792" s="1">
        <v>45748</v>
      </c>
      <c r="C5792" t="s">
        <v>16</v>
      </c>
      <c r="D5792" t="s">
        <v>61</v>
      </c>
      <c r="E5792" t="s">
        <v>8</v>
      </c>
      <c r="F5792">
        <v>3</v>
      </c>
      <c r="G5792" t="str">
        <f>VLOOKUP(D5792,Товары!A:I,3,0)</f>
        <v>Тумба под стиральную машину Леон Риф 57 напольная 2 ящика под ст/маш, без умывальника /под Marshall 120 Солярис/Белый Риф</v>
      </c>
      <c r="H5792">
        <f>VLOOKUP(D5792,Товары!A:I,6,0)</f>
        <v>85</v>
      </c>
      <c r="I5792" t="str">
        <f>VLOOKUP(C5792,Магазины!A:C,3,0)</f>
        <v>Оренбург</v>
      </c>
      <c r="J5792">
        <f>VLOOKUP(D5792,Товары!A:I,4,0)</f>
        <v>17430</v>
      </c>
      <c r="K5792">
        <f t="shared" si="90"/>
        <v>52290</v>
      </c>
    </row>
    <row r="5793" spans="1:11" hidden="1" x14ac:dyDescent="0.25">
      <c r="A5793">
        <v>5792</v>
      </c>
      <c r="B5793" s="1">
        <v>45752</v>
      </c>
      <c r="C5793" t="s">
        <v>33</v>
      </c>
      <c r="D5793" t="s">
        <v>67</v>
      </c>
      <c r="E5793" t="s">
        <v>13</v>
      </c>
      <c r="F5793">
        <v>3</v>
      </c>
      <c r="G5793" t="str">
        <f>VLOOKUP(D5793,Товары!A:I,3,0)</f>
        <v>Пенал навес./напол. Альба 350 суфле 2 двери</v>
      </c>
      <c r="H5793">
        <f>VLOOKUP(D5793,Товары!A:I,6,0)</f>
        <v>150</v>
      </c>
      <c r="I5793" t="str">
        <f>VLOOKUP(C5793,Магазины!A:C,3,0)</f>
        <v>Набережные Челны</v>
      </c>
      <c r="J5793">
        <f>VLOOKUP(D5793,Товары!A:I,4,0)</f>
        <v>11655</v>
      </c>
      <c r="K5793">
        <f t="shared" si="90"/>
        <v>34965</v>
      </c>
    </row>
    <row r="5794" spans="1:11" hidden="1" x14ac:dyDescent="0.25">
      <c r="A5794">
        <v>5793</v>
      </c>
      <c r="B5794" s="1">
        <v>45751</v>
      </c>
      <c r="C5794" t="s">
        <v>43</v>
      </c>
      <c r="D5794" t="s">
        <v>110</v>
      </c>
      <c r="E5794" t="s">
        <v>13</v>
      </c>
      <c r="F5794">
        <v>2</v>
      </c>
      <c r="G5794" t="str">
        <f>VLOOKUP(D5794,Товары!A:I,3,0)</f>
        <v>Тумба с раковиной  напол. Альба 600 антрацит 2 ящика с умыв. Океан</v>
      </c>
      <c r="H5794">
        <f>VLOOKUP(D5794,Товары!A:I,6,0)</f>
        <v>80</v>
      </c>
      <c r="I5794" t="str">
        <f>VLOOKUP(C5794,Магазины!A:C,3,0)</f>
        <v>Набережные Челны</v>
      </c>
      <c r="J5794">
        <f>VLOOKUP(D5794,Товары!A:I,4,0)</f>
        <v>26370</v>
      </c>
      <c r="K5794">
        <f t="shared" si="90"/>
        <v>52740</v>
      </c>
    </row>
    <row r="5795" spans="1:11" hidden="1" x14ac:dyDescent="0.25">
      <c r="A5795">
        <v>5794</v>
      </c>
      <c r="B5795" s="1">
        <v>45757</v>
      </c>
      <c r="C5795" t="s">
        <v>16</v>
      </c>
      <c r="D5795" t="s">
        <v>68</v>
      </c>
      <c r="E5795" t="s">
        <v>8</v>
      </c>
      <c r="F5795">
        <v>3</v>
      </c>
      <c r="G5795" t="str">
        <f>VLOOKUP(D5795,Товары!A:I,3,0)</f>
        <v>Тумба с раковиной  навес. Альба 600 антрацит 1 ящик с умыв. Океан</v>
      </c>
      <c r="H5795">
        <f>VLOOKUP(D5795,Товары!A:I,6,0)</f>
        <v>85</v>
      </c>
      <c r="I5795" t="str">
        <f>VLOOKUP(C5795,Магазины!A:C,3,0)</f>
        <v>Оренбург</v>
      </c>
      <c r="J5795">
        <f>VLOOKUP(D5795,Товары!A:I,4,0)</f>
        <v>17625</v>
      </c>
      <c r="K5795">
        <f t="shared" si="90"/>
        <v>52875</v>
      </c>
    </row>
    <row r="5796" spans="1:11" hidden="1" x14ac:dyDescent="0.25">
      <c r="A5796">
        <v>5795</v>
      </c>
      <c r="B5796" s="1">
        <v>45752</v>
      </c>
      <c r="C5796" t="s">
        <v>11</v>
      </c>
      <c r="D5796" t="s">
        <v>15</v>
      </c>
      <c r="E5796" t="s">
        <v>8</v>
      </c>
      <c r="F5796">
        <v>1</v>
      </c>
      <c r="G5796" t="str">
        <f>VLOOKUP(D5796,Товары!A:I,3,0)</f>
        <v>Зеркальный шкаф Кристалл 60 со светильником правый, ручка кнопка дуб цвет Шато Азур</v>
      </c>
      <c r="H5796">
        <f>VLOOKUP(D5796,Товары!A:I,6,0)</f>
        <v>75</v>
      </c>
      <c r="I5796" t="str">
        <f>VLOOKUP(C5796,Магазины!A:C,3,0)</f>
        <v>Кемерово</v>
      </c>
      <c r="J5796">
        <f>VLOOKUP(D5796,Товары!A:I,4,0)</f>
        <v>9195</v>
      </c>
      <c r="K5796">
        <f t="shared" si="90"/>
        <v>9195</v>
      </c>
    </row>
    <row r="5797" spans="1:11" hidden="1" x14ac:dyDescent="0.25">
      <c r="A5797">
        <v>5796</v>
      </c>
      <c r="B5797" s="1">
        <v>45749</v>
      </c>
      <c r="C5797" t="s">
        <v>43</v>
      </c>
      <c r="D5797" t="s">
        <v>124</v>
      </c>
      <c r="E5797" t="s">
        <v>13</v>
      </c>
      <c r="F5797">
        <v>1</v>
      </c>
      <c r="G5797" t="str">
        <f>VLOOKUP(D5797,Товары!A:I,3,0)</f>
        <v>Тумба с раковиной  напол. Леон 600 оникс 2 ящика с умыв. Океан</v>
      </c>
      <c r="H5797">
        <f>VLOOKUP(D5797,Товары!A:I,6,0)</f>
        <v>80</v>
      </c>
      <c r="I5797" t="str">
        <f>VLOOKUP(C5797,Магазины!A:C,3,0)</f>
        <v>Набережные Челны</v>
      </c>
      <c r="J5797">
        <f>VLOOKUP(D5797,Товары!A:I,4,0)</f>
        <v>25860</v>
      </c>
      <c r="K5797">
        <f t="shared" si="90"/>
        <v>25860</v>
      </c>
    </row>
    <row r="5798" spans="1:11" hidden="1" x14ac:dyDescent="0.25">
      <c r="A5798">
        <v>5797</v>
      </c>
      <c r="B5798" s="1">
        <v>45749</v>
      </c>
      <c r="C5798" t="s">
        <v>92</v>
      </c>
      <c r="D5798" t="s">
        <v>77</v>
      </c>
      <c r="E5798" t="s">
        <v>8</v>
      </c>
      <c r="F5798">
        <v>3</v>
      </c>
      <c r="G5798" t="str">
        <f>VLOOKUP(D5798,Товары!A:I,3,0)</f>
        <v>Тумба с раковиной  напол. Куба Риф 600 белый 2 ящика с умыв. Como</v>
      </c>
      <c r="H5798">
        <f>VLOOKUP(D5798,Товары!A:I,6,0)</f>
        <v>85</v>
      </c>
      <c r="I5798" t="str">
        <f>VLOOKUP(C5798,Магазины!A:C,3,0)</f>
        <v>Кемерово</v>
      </c>
      <c r="J5798">
        <f>VLOOKUP(D5798,Товары!A:I,4,0)</f>
        <v>15660</v>
      </c>
      <c r="K5798">
        <f t="shared" si="90"/>
        <v>46980</v>
      </c>
    </row>
    <row r="5799" spans="1:11" hidden="1" x14ac:dyDescent="0.25">
      <c r="A5799">
        <v>5798</v>
      </c>
      <c r="B5799" s="1">
        <v>45751</v>
      </c>
      <c r="C5799" t="s">
        <v>11</v>
      </c>
      <c r="D5799" t="s">
        <v>7</v>
      </c>
      <c r="E5799" t="s">
        <v>8</v>
      </c>
      <c r="F5799">
        <v>2</v>
      </c>
      <c r="G5799" t="str">
        <f>VLOOKUP(D5799,Товары!A:I,3,0)</f>
        <v>Пенал напол. Леон Риф 400 солярис/белый риф 2 двери + 1 ящик</v>
      </c>
      <c r="H5799">
        <f>VLOOKUP(D5799,Товары!A:I,6,0)</f>
        <v>190</v>
      </c>
      <c r="I5799" t="str">
        <f>VLOOKUP(C5799,Магазины!A:C,3,0)</f>
        <v>Кемерово</v>
      </c>
      <c r="J5799">
        <f>VLOOKUP(D5799,Товары!A:I,4,0)</f>
        <v>14490</v>
      </c>
      <c r="K5799">
        <f t="shared" si="90"/>
        <v>28980</v>
      </c>
    </row>
    <row r="5800" spans="1:11" hidden="1" x14ac:dyDescent="0.25">
      <c r="A5800">
        <v>5799</v>
      </c>
      <c r="B5800" s="1">
        <v>45752</v>
      </c>
      <c r="C5800" t="s">
        <v>58</v>
      </c>
      <c r="D5800" t="s">
        <v>21</v>
      </c>
      <c r="E5800" t="s">
        <v>8</v>
      </c>
      <c r="F5800">
        <v>3</v>
      </c>
      <c r="G5800" t="str">
        <f>VLOOKUP(D5800,Товары!A:I,3,0)</f>
        <v>Зеркальный шкаф Рица 60 со светильником правый цвет cерый/керамика</v>
      </c>
      <c r="H5800">
        <f>VLOOKUP(D5800,Товары!A:I,6,0)</f>
        <v>75</v>
      </c>
      <c r="I5800" t="str">
        <f>VLOOKUP(C5800,Магазины!A:C,3,0)</f>
        <v>Ставрополь</v>
      </c>
      <c r="J5800">
        <f>VLOOKUP(D5800,Товары!A:I,4,0)</f>
        <v>8910</v>
      </c>
      <c r="K5800">
        <f t="shared" si="90"/>
        <v>26730</v>
      </c>
    </row>
    <row r="5801" spans="1:11" hidden="1" x14ac:dyDescent="0.25">
      <c r="A5801">
        <v>5800</v>
      </c>
      <c r="B5801" s="1">
        <v>45749</v>
      </c>
      <c r="C5801" t="s">
        <v>20</v>
      </c>
      <c r="D5801" t="s">
        <v>97</v>
      </c>
      <c r="E5801" t="s">
        <v>13</v>
      </c>
      <c r="F5801">
        <v>1</v>
      </c>
      <c r="G5801" t="str">
        <f>VLOOKUP(D5801,Товары!A:I,3,0)</f>
        <v>Пенал напол. Кристалл 350 суфле 2 двери</v>
      </c>
      <c r="H5801">
        <f>VLOOKUP(D5801,Товары!A:I,6,0)</f>
        <v>190</v>
      </c>
      <c r="I5801" t="str">
        <f>VLOOKUP(C5801,Магазины!A:C,3,0)</f>
        <v>Оренбург</v>
      </c>
      <c r="J5801">
        <f>VLOOKUP(D5801,Товары!A:I,4,0)</f>
        <v>15810</v>
      </c>
      <c r="K5801">
        <f t="shared" si="90"/>
        <v>15810</v>
      </c>
    </row>
    <row r="5802" spans="1:11" hidden="1" x14ac:dyDescent="0.25">
      <c r="A5802">
        <v>5801</v>
      </c>
      <c r="B5802" s="1">
        <v>45749</v>
      </c>
      <c r="C5802" t="s">
        <v>9</v>
      </c>
      <c r="D5802" t="s">
        <v>87</v>
      </c>
      <c r="E5802" t="s">
        <v>13</v>
      </c>
      <c r="F5802">
        <v>1</v>
      </c>
      <c r="G5802" t="str">
        <f>VLOOKUP(D5802,Товары!A:I,3,0)</f>
        <v>Тумба с раковиной  напол. Леон 700 форест 2 ящика с умыв. Слим</v>
      </c>
      <c r="H5802">
        <f>VLOOKUP(D5802,Товары!A:I,6,0)</f>
        <v>80</v>
      </c>
      <c r="I5802" t="str">
        <f>VLOOKUP(C5802,Магазины!A:C,3,0)</f>
        <v>Кемерово</v>
      </c>
      <c r="J5802">
        <f>VLOOKUP(D5802,Товары!A:I,4,0)</f>
        <v>28380</v>
      </c>
      <c r="K5802">
        <f t="shared" si="90"/>
        <v>28380</v>
      </c>
    </row>
    <row r="5803" spans="1:11" hidden="1" x14ac:dyDescent="0.25">
      <c r="A5803">
        <v>5802</v>
      </c>
      <c r="B5803" s="1">
        <v>45748</v>
      </c>
      <c r="C5803" t="s">
        <v>57</v>
      </c>
      <c r="D5803" t="s">
        <v>110</v>
      </c>
      <c r="E5803" t="s">
        <v>8</v>
      </c>
      <c r="F5803">
        <v>1</v>
      </c>
      <c r="G5803" t="str">
        <f>VLOOKUP(D5803,Товары!A:I,3,0)</f>
        <v>Тумба с раковиной  напол. Альба 600 антрацит 2 ящика с умыв. Океан</v>
      </c>
      <c r="H5803">
        <f>VLOOKUP(D5803,Товары!A:I,6,0)</f>
        <v>80</v>
      </c>
      <c r="I5803" t="str">
        <f>VLOOKUP(C5803,Магазины!A:C,3,0)</f>
        <v>Оренбург</v>
      </c>
      <c r="J5803">
        <f>VLOOKUP(D5803,Товары!A:I,4,0)</f>
        <v>26370</v>
      </c>
      <c r="K5803">
        <f t="shared" si="90"/>
        <v>26370</v>
      </c>
    </row>
    <row r="5804" spans="1:11" hidden="1" x14ac:dyDescent="0.25">
      <c r="A5804">
        <v>5803</v>
      </c>
      <c r="B5804" s="1">
        <v>45754</v>
      </c>
      <c r="C5804" t="s">
        <v>54</v>
      </c>
      <c r="D5804" t="s">
        <v>131</v>
      </c>
      <c r="E5804" t="s">
        <v>13</v>
      </c>
      <c r="F5804">
        <v>1</v>
      </c>
      <c r="G5804" t="str">
        <f>VLOOKUP(D5804,Товары!A:I,3,0)</f>
        <v>Тумба с раковиной  напол. Леон 800 форест 2 ящика с умыв. Слим</v>
      </c>
      <c r="H5804">
        <f>VLOOKUP(D5804,Товары!A:I,6,0)</f>
        <v>80</v>
      </c>
      <c r="I5804" t="str">
        <f>VLOOKUP(C5804,Магазины!A:C,3,0)</f>
        <v>Ставрополь</v>
      </c>
      <c r="J5804">
        <f>VLOOKUP(D5804,Товары!A:I,4,0)</f>
        <v>29400</v>
      </c>
      <c r="K5804">
        <f t="shared" si="90"/>
        <v>29400</v>
      </c>
    </row>
    <row r="5805" spans="1:11" hidden="1" x14ac:dyDescent="0.25">
      <c r="A5805">
        <v>5804</v>
      </c>
      <c r="B5805" s="1">
        <v>45750</v>
      </c>
      <c r="C5805" t="s">
        <v>22</v>
      </c>
      <c r="D5805" t="s">
        <v>104</v>
      </c>
      <c r="E5805" t="s">
        <v>13</v>
      </c>
      <c r="F5805">
        <v>3</v>
      </c>
      <c r="G5805" t="str">
        <f>VLOOKUP(D5805,Товары!A:I,3,0)</f>
        <v>Тумба под стиральную машину Куба Риф 57 подвесная 2 ящика под ст/маш, без умывальника /под Marshall 120 Белый</v>
      </c>
      <c r="H5805">
        <f>VLOOKUP(D5805,Товары!A:I,6,0)</f>
        <v>50</v>
      </c>
      <c r="I5805" t="str">
        <f>VLOOKUP(C5805,Магазины!A:C,3,0)</f>
        <v>Кемерово</v>
      </c>
      <c r="J5805">
        <f>VLOOKUP(D5805,Товары!A:I,4,0)</f>
        <v>8505</v>
      </c>
      <c r="K5805">
        <f t="shared" si="90"/>
        <v>25515</v>
      </c>
    </row>
    <row r="5806" spans="1:11" hidden="1" x14ac:dyDescent="0.25">
      <c r="A5806">
        <v>5805</v>
      </c>
      <c r="B5806" s="1">
        <v>45754</v>
      </c>
      <c r="C5806" t="s">
        <v>58</v>
      </c>
      <c r="D5806" t="s">
        <v>104</v>
      </c>
      <c r="E5806" t="s">
        <v>13</v>
      </c>
      <c r="F5806">
        <v>1</v>
      </c>
      <c r="G5806" t="str">
        <f>VLOOKUP(D5806,Товары!A:I,3,0)</f>
        <v>Тумба под стиральную машину Куба Риф 57 подвесная 2 ящика под ст/маш, без умывальника /под Marshall 120 Белый</v>
      </c>
      <c r="H5806">
        <f>VLOOKUP(D5806,Товары!A:I,6,0)</f>
        <v>50</v>
      </c>
      <c r="I5806" t="str">
        <f>VLOOKUP(C5806,Магазины!A:C,3,0)</f>
        <v>Ставрополь</v>
      </c>
      <c r="J5806">
        <f>VLOOKUP(D5806,Товары!A:I,4,0)</f>
        <v>8505</v>
      </c>
      <c r="K5806">
        <f t="shared" si="90"/>
        <v>8505</v>
      </c>
    </row>
    <row r="5807" spans="1:11" hidden="1" x14ac:dyDescent="0.25">
      <c r="A5807">
        <v>5806</v>
      </c>
      <c r="B5807" s="1">
        <v>45750</v>
      </c>
      <c r="C5807" t="s">
        <v>111</v>
      </c>
      <c r="D5807" t="s">
        <v>120</v>
      </c>
      <c r="E5807" t="s">
        <v>8</v>
      </c>
      <c r="F5807">
        <v>3</v>
      </c>
      <c r="G5807" t="str">
        <f>VLOOKUP(D5807,Товары!A:I,3,0)</f>
        <v>Зеркальный шкаф Альба 60 со светильником правый цвет антрацит</v>
      </c>
      <c r="H5807">
        <f>VLOOKUP(D5807,Товары!A:I,6,0)</f>
        <v>75</v>
      </c>
      <c r="I5807" t="str">
        <f>VLOOKUP(C5807,Магазины!A:C,3,0)</f>
        <v>Набережные Челны</v>
      </c>
      <c r="J5807">
        <f>VLOOKUP(D5807,Товары!A:I,4,0)</f>
        <v>8910</v>
      </c>
      <c r="K5807">
        <f t="shared" si="90"/>
        <v>26730</v>
      </c>
    </row>
    <row r="5808" spans="1:11" hidden="1" x14ac:dyDescent="0.25">
      <c r="A5808">
        <v>5807</v>
      </c>
      <c r="B5808" s="1">
        <v>45751</v>
      </c>
      <c r="C5808" t="s">
        <v>54</v>
      </c>
      <c r="D5808" t="s">
        <v>129</v>
      </c>
      <c r="E5808" t="s">
        <v>8</v>
      </c>
      <c r="F5808">
        <v>1</v>
      </c>
      <c r="G5808" t="str">
        <f>VLOOKUP(D5808,Товары!A:I,3,0)</f>
        <v>Тумба с раковиной  напол. Альба 700 антрацит 2 ящика с умыв. Слим</v>
      </c>
      <c r="H5808">
        <f>VLOOKUP(D5808,Товары!A:I,6,0)</f>
        <v>85</v>
      </c>
      <c r="I5808" t="str">
        <f>VLOOKUP(C5808,Магазины!A:C,3,0)</f>
        <v>Ставрополь</v>
      </c>
      <c r="J5808">
        <f>VLOOKUP(D5808,Товары!A:I,4,0)</f>
        <v>28695</v>
      </c>
      <c r="K5808">
        <f t="shared" si="90"/>
        <v>28695</v>
      </c>
    </row>
    <row r="5809" spans="1:11" hidden="1" x14ac:dyDescent="0.25">
      <c r="A5809">
        <v>5808</v>
      </c>
      <c r="B5809" s="1">
        <v>45756</v>
      </c>
      <c r="C5809" t="s">
        <v>35</v>
      </c>
      <c r="D5809" t="s">
        <v>93</v>
      </c>
      <c r="E5809" t="s">
        <v>13</v>
      </c>
      <c r="F5809">
        <v>3</v>
      </c>
      <c r="G5809" t="str">
        <f>VLOOKUP(D5809,Товары!A:I,3,0)</f>
        <v>Тумба с раковиной  напол. Леон Риф 800 солярис/белый риф 2 ящика с умыв. Слим</v>
      </c>
      <c r="H5809">
        <f>VLOOKUP(D5809,Товары!A:I,6,0)</f>
        <v>80</v>
      </c>
      <c r="I5809" t="str">
        <f>VLOOKUP(C5809,Магазины!A:C,3,0)</f>
        <v>Набережные Челны</v>
      </c>
      <c r="J5809">
        <f>VLOOKUP(D5809,Товары!A:I,4,0)</f>
        <v>29340</v>
      </c>
      <c r="K5809">
        <f t="shared" si="90"/>
        <v>88020</v>
      </c>
    </row>
    <row r="5810" spans="1:11" hidden="1" x14ac:dyDescent="0.25">
      <c r="A5810">
        <v>5809</v>
      </c>
      <c r="B5810" s="1">
        <v>45754</v>
      </c>
      <c r="C5810" t="s">
        <v>57</v>
      </c>
      <c r="D5810" t="s">
        <v>68</v>
      </c>
      <c r="E5810" t="s">
        <v>8</v>
      </c>
      <c r="F5810">
        <v>2</v>
      </c>
      <c r="G5810" t="str">
        <f>VLOOKUP(D5810,Товары!A:I,3,0)</f>
        <v>Тумба с раковиной  навес. Альба 600 антрацит 1 ящик с умыв. Океан</v>
      </c>
      <c r="H5810">
        <f>VLOOKUP(D5810,Товары!A:I,6,0)</f>
        <v>85</v>
      </c>
      <c r="I5810" t="str">
        <f>VLOOKUP(C5810,Магазины!A:C,3,0)</f>
        <v>Оренбург</v>
      </c>
      <c r="J5810">
        <f>VLOOKUP(D5810,Товары!A:I,4,0)</f>
        <v>17625</v>
      </c>
      <c r="K5810">
        <f t="shared" si="90"/>
        <v>35250</v>
      </c>
    </row>
    <row r="5811" spans="1:11" hidden="1" x14ac:dyDescent="0.25">
      <c r="A5811">
        <v>5810</v>
      </c>
      <c r="B5811" s="1">
        <v>45752</v>
      </c>
      <c r="C5811" t="s">
        <v>30</v>
      </c>
      <c r="D5811" t="s">
        <v>96</v>
      </c>
      <c r="E5811" t="s">
        <v>13</v>
      </c>
      <c r="F5811">
        <v>1</v>
      </c>
      <c r="G5811" t="str">
        <f>VLOOKUP(D5811,Товары!A:I,3,0)</f>
        <v>Тумба с раковиной  навес. Альба 600 мята 1 ящик с умыв. Океан</v>
      </c>
      <c r="H5811">
        <f>VLOOKUP(D5811,Товары!A:I,6,0)</f>
        <v>85</v>
      </c>
      <c r="I5811" t="str">
        <f>VLOOKUP(C5811,Магазины!A:C,3,0)</f>
        <v>Кемерово</v>
      </c>
      <c r="J5811">
        <f>VLOOKUP(D5811,Товары!A:I,4,0)</f>
        <v>17625</v>
      </c>
      <c r="K5811">
        <f t="shared" si="90"/>
        <v>17625</v>
      </c>
    </row>
    <row r="5812" spans="1:11" hidden="1" x14ac:dyDescent="0.25">
      <c r="A5812">
        <v>5811</v>
      </c>
      <c r="B5812" s="1">
        <v>45753</v>
      </c>
      <c r="C5812" t="s">
        <v>48</v>
      </c>
      <c r="D5812" t="s">
        <v>82</v>
      </c>
      <c r="E5812" t="s">
        <v>13</v>
      </c>
      <c r="F5812">
        <v>2</v>
      </c>
      <c r="G5812" t="str">
        <f>VLOOKUP(D5812,Товары!A:I,3,0)</f>
        <v>Тумба с раковиной  навес. Леон 800 форест 2 ящика с умыв. Слим</v>
      </c>
      <c r="H5812">
        <f>VLOOKUP(D5812,Товары!A:I,6,0)</f>
        <v>60</v>
      </c>
      <c r="I5812" t="str">
        <f>VLOOKUP(C5812,Магазины!A:C,3,0)</f>
        <v>Ставрополь</v>
      </c>
      <c r="J5812">
        <f>VLOOKUP(D5812,Товары!A:I,4,0)</f>
        <v>27930</v>
      </c>
      <c r="K5812">
        <f t="shared" si="90"/>
        <v>55860</v>
      </c>
    </row>
    <row r="5813" spans="1:11" hidden="1" x14ac:dyDescent="0.25">
      <c r="A5813">
        <v>5812</v>
      </c>
      <c r="B5813" s="1">
        <v>45751</v>
      </c>
      <c r="C5813" t="s">
        <v>26</v>
      </c>
      <c r="D5813" t="s">
        <v>129</v>
      </c>
      <c r="E5813" t="s">
        <v>8</v>
      </c>
      <c r="F5813">
        <v>1</v>
      </c>
      <c r="G5813" t="str">
        <f>VLOOKUP(D5813,Товары!A:I,3,0)</f>
        <v>Тумба с раковиной  напол. Альба 700 антрацит 2 ящика с умыв. Слим</v>
      </c>
      <c r="H5813">
        <f>VLOOKUP(D5813,Товары!A:I,6,0)</f>
        <v>85</v>
      </c>
      <c r="I5813" t="str">
        <f>VLOOKUP(C5813,Магазины!A:C,3,0)</f>
        <v>Оренбург</v>
      </c>
      <c r="J5813">
        <f>VLOOKUP(D5813,Товары!A:I,4,0)</f>
        <v>28695</v>
      </c>
      <c r="K5813">
        <f t="shared" si="90"/>
        <v>28695</v>
      </c>
    </row>
    <row r="5814" spans="1:11" hidden="1" x14ac:dyDescent="0.25">
      <c r="A5814">
        <v>5813</v>
      </c>
      <c r="B5814" s="1">
        <v>45753</v>
      </c>
      <c r="C5814" t="s">
        <v>28</v>
      </c>
      <c r="D5814" t="s">
        <v>117</v>
      </c>
      <c r="E5814" t="s">
        <v>8</v>
      </c>
      <c r="F5814">
        <v>3</v>
      </c>
      <c r="G5814" t="str">
        <f>VLOOKUP(D5814,Товары!A:I,3,0)</f>
        <v>Тумба с раковиной  навес. Альба 700 антрацит 2 ящика с умыв. Слим</v>
      </c>
      <c r="H5814">
        <f>VLOOKUP(D5814,Товары!A:I,6,0)</f>
        <v>60</v>
      </c>
      <c r="I5814" t="str">
        <f>VLOOKUP(C5814,Магазины!A:C,3,0)</f>
        <v>Набережные Челны</v>
      </c>
      <c r="J5814">
        <f>VLOOKUP(D5814,Товары!A:I,4,0)</f>
        <v>25095</v>
      </c>
      <c r="K5814">
        <f t="shared" si="90"/>
        <v>75285</v>
      </c>
    </row>
    <row r="5815" spans="1:11" hidden="1" x14ac:dyDescent="0.25">
      <c r="A5815">
        <v>5814</v>
      </c>
      <c r="B5815" s="1">
        <v>45752</v>
      </c>
      <c r="C5815" t="s">
        <v>14</v>
      </c>
      <c r="D5815" t="s">
        <v>106</v>
      </c>
      <c r="E5815" t="s">
        <v>8</v>
      </c>
      <c r="F5815">
        <v>1</v>
      </c>
      <c r="G5815" t="str">
        <f>VLOOKUP(D5815,Товары!A:I,3,0)</f>
        <v>Тумба с раковиной  навес. Кристалл 700 шато азур 2 ящика с умыв. Слим</v>
      </c>
      <c r="H5815">
        <f>VLOOKUP(D5815,Товары!A:I,6,0)</f>
        <v>60</v>
      </c>
      <c r="I5815" t="str">
        <f>VLOOKUP(C5815,Магазины!A:C,3,0)</f>
        <v>Оренбург</v>
      </c>
      <c r="J5815">
        <f>VLOOKUP(D5815,Товары!A:I,4,0)</f>
        <v>24150</v>
      </c>
      <c r="K5815">
        <f t="shared" si="90"/>
        <v>24150</v>
      </c>
    </row>
    <row r="5816" spans="1:11" hidden="1" x14ac:dyDescent="0.25">
      <c r="A5816">
        <v>5815</v>
      </c>
      <c r="B5816" s="1">
        <v>45756</v>
      </c>
      <c r="C5816" t="s">
        <v>103</v>
      </c>
      <c r="D5816" t="s">
        <v>55</v>
      </c>
      <c r="E5816" t="s">
        <v>8</v>
      </c>
      <c r="F5816">
        <v>3</v>
      </c>
      <c r="G5816" t="str">
        <f>VLOOKUP(D5816,Товары!A:I,3,0)</f>
        <v>Тумба с раковиной  напол. Рица 600 cерый/керамика 2 ящика с умыв. Океан</v>
      </c>
      <c r="H5816">
        <f>VLOOKUP(D5816,Товары!A:I,6,0)</f>
        <v>80</v>
      </c>
      <c r="I5816" t="str">
        <f>VLOOKUP(C5816,Магазины!A:C,3,0)</f>
        <v>Ставрополь</v>
      </c>
      <c r="J5816">
        <f>VLOOKUP(D5816,Товары!A:I,4,0)</f>
        <v>25560</v>
      </c>
      <c r="K5816">
        <f t="shared" si="90"/>
        <v>76680</v>
      </c>
    </row>
    <row r="5817" spans="1:11" hidden="1" x14ac:dyDescent="0.25">
      <c r="A5817">
        <v>5816</v>
      </c>
      <c r="B5817" s="1">
        <v>45748</v>
      </c>
      <c r="C5817" t="s">
        <v>48</v>
      </c>
      <c r="D5817" t="s">
        <v>32</v>
      </c>
      <c r="E5817" t="s">
        <v>13</v>
      </c>
      <c r="F5817">
        <v>3</v>
      </c>
      <c r="G5817" t="str">
        <f>VLOOKUP(D5817,Товары!A:I,3,0)</f>
        <v>Тумба с раковиной  напол. Леон Риф 700 солярис/белый риф 2 ящика с умыв. Слим</v>
      </c>
      <c r="H5817">
        <f>VLOOKUP(D5817,Товары!A:I,6,0)</f>
        <v>85</v>
      </c>
      <c r="I5817" t="str">
        <f>VLOOKUP(C5817,Магазины!A:C,3,0)</f>
        <v>Ставрополь</v>
      </c>
      <c r="J5817">
        <f>VLOOKUP(D5817,Товары!A:I,4,0)</f>
        <v>26460</v>
      </c>
      <c r="K5817">
        <f t="shared" si="90"/>
        <v>79380</v>
      </c>
    </row>
    <row r="5818" spans="1:11" hidden="1" x14ac:dyDescent="0.25">
      <c r="A5818">
        <v>5817</v>
      </c>
      <c r="B5818" s="1">
        <v>45756</v>
      </c>
      <c r="C5818" t="s">
        <v>111</v>
      </c>
      <c r="D5818" t="s">
        <v>27</v>
      </c>
      <c r="E5818" t="s">
        <v>13</v>
      </c>
      <c r="F5818">
        <v>3</v>
      </c>
      <c r="G5818" t="str">
        <f>VLOOKUP(D5818,Товары!A:I,3,0)</f>
        <v>Тумба с раковиной  навес. Виктория 800 белый 2 ящика с умыв. Слим</v>
      </c>
      <c r="H5818">
        <f>VLOOKUP(D5818,Товары!A:I,6,0)</f>
        <v>60</v>
      </c>
      <c r="I5818" t="str">
        <f>VLOOKUP(C5818,Магазины!A:C,3,0)</f>
        <v>Набережные Челны</v>
      </c>
      <c r="J5818">
        <f>VLOOKUP(D5818,Товары!A:I,4,0)</f>
        <v>25290</v>
      </c>
      <c r="K5818">
        <f t="shared" si="90"/>
        <v>75870</v>
      </c>
    </row>
    <row r="5819" spans="1:11" hidden="1" x14ac:dyDescent="0.25">
      <c r="A5819">
        <v>5818</v>
      </c>
      <c r="B5819" s="1">
        <v>45749</v>
      </c>
      <c r="C5819" t="s">
        <v>16</v>
      </c>
      <c r="D5819" t="s">
        <v>27</v>
      </c>
      <c r="E5819" t="s">
        <v>13</v>
      </c>
      <c r="F5819">
        <v>2</v>
      </c>
      <c r="G5819" t="str">
        <f>VLOOKUP(D5819,Товары!A:I,3,0)</f>
        <v>Тумба с раковиной  навес. Виктория 800 белый 2 ящика с умыв. Слим</v>
      </c>
      <c r="H5819">
        <f>VLOOKUP(D5819,Товары!A:I,6,0)</f>
        <v>60</v>
      </c>
      <c r="I5819" t="str">
        <f>VLOOKUP(C5819,Магазины!A:C,3,0)</f>
        <v>Оренбург</v>
      </c>
      <c r="J5819">
        <f>VLOOKUP(D5819,Товары!A:I,4,0)</f>
        <v>25290</v>
      </c>
      <c r="K5819">
        <f t="shared" si="90"/>
        <v>50580</v>
      </c>
    </row>
    <row r="5820" spans="1:11" hidden="1" x14ac:dyDescent="0.25">
      <c r="A5820">
        <v>5819</v>
      </c>
      <c r="B5820" s="1">
        <v>45754</v>
      </c>
      <c r="C5820" t="s">
        <v>63</v>
      </c>
      <c r="D5820" t="s">
        <v>78</v>
      </c>
      <c r="E5820" t="s">
        <v>13</v>
      </c>
      <c r="F5820">
        <v>2</v>
      </c>
      <c r="G5820" t="str">
        <f>VLOOKUP(D5820,Товары!A:I,3,0)</f>
        <v>Зеркальный шкаф Кристалл 70 со светильником правый, ручка кнопка дуб цвет Шато Азур</v>
      </c>
      <c r="H5820">
        <f>VLOOKUP(D5820,Товары!A:I,6,0)</f>
        <v>75</v>
      </c>
      <c r="I5820" t="str">
        <f>VLOOKUP(C5820,Магазины!A:C,3,0)</f>
        <v>Ставрополь</v>
      </c>
      <c r="J5820">
        <f>VLOOKUP(D5820,Товары!A:I,4,0)</f>
        <v>9615</v>
      </c>
      <c r="K5820">
        <f t="shared" si="90"/>
        <v>19230</v>
      </c>
    </row>
    <row r="5821" spans="1:11" hidden="1" x14ac:dyDescent="0.25">
      <c r="A5821">
        <v>5820</v>
      </c>
      <c r="B5821" s="1">
        <v>45750</v>
      </c>
      <c r="C5821" t="s">
        <v>35</v>
      </c>
      <c r="D5821" t="s">
        <v>34</v>
      </c>
      <c r="E5821" t="s">
        <v>8</v>
      </c>
      <c r="F5821">
        <v>1</v>
      </c>
      <c r="G5821" t="str">
        <f>VLOOKUP(D5821,Товары!A:I,3,0)</f>
        <v>Тумба с раковиной  навес. Леон 700 форест 2 ящика с умыв. Слим</v>
      </c>
      <c r="H5821">
        <f>VLOOKUP(D5821,Товары!A:I,6,0)</f>
        <v>60</v>
      </c>
      <c r="I5821" t="str">
        <f>VLOOKUP(C5821,Магазины!A:C,3,0)</f>
        <v>Набережные Челны</v>
      </c>
      <c r="J5821">
        <f>VLOOKUP(D5821,Товары!A:I,4,0)</f>
        <v>26220</v>
      </c>
      <c r="K5821">
        <f t="shared" si="90"/>
        <v>26220</v>
      </c>
    </row>
    <row r="5822" spans="1:11" hidden="1" x14ac:dyDescent="0.25">
      <c r="A5822">
        <v>5821</v>
      </c>
      <c r="B5822" s="1">
        <v>45751</v>
      </c>
      <c r="C5822" t="s">
        <v>33</v>
      </c>
      <c r="D5822" t="s">
        <v>12</v>
      </c>
      <c r="E5822" t="s">
        <v>8</v>
      </c>
      <c r="F5822">
        <v>2</v>
      </c>
      <c r="G5822" t="str">
        <f>VLOOKUP(D5822,Товары!A:I,3,0)</f>
        <v>Тумба с раковиной  напол. Сохо 700 белый 2 двери с умыв. Слим</v>
      </c>
      <c r="H5822">
        <f>VLOOKUP(D5822,Товары!A:I,6,0)</f>
        <v>85</v>
      </c>
      <c r="I5822" t="str">
        <f>VLOOKUP(C5822,Магазины!A:C,3,0)</f>
        <v>Набережные Челны</v>
      </c>
      <c r="J5822">
        <f>VLOOKUP(D5822,Товары!A:I,4,0)</f>
        <v>17160</v>
      </c>
      <c r="K5822">
        <f t="shared" si="90"/>
        <v>34320</v>
      </c>
    </row>
    <row r="5823" spans="1:11" hidden="1" x14ac:dyDescent="0.25">
      <c r="A5823">
        <v>5822</v>
      </c>
      <c r="B5823" s="1">
        <v>45749</v>
      </c>
      <c r="C5823" t="s">
        <v>6</v>
      </c>
      <c r="D5823" t="s">
        <v>81</v>
      </c>
      <c r="E5823" t="s">
        <v>8</v>
      </c>
      <c r="F5823">
        <v>2</v>
      </c>
      <c r="G5823" t="str">
        <f>VLOOKUP(D5823,Товары!A:I,3,0)</f>
        <v>Тумба с раковиной  навес. Рица 600 cерый/керамика 1 ящик + ниша 1 с умыв. Океан</v>
      </c>
      <c r="H5823">
        <f>VLOOKUP(D5823,Товары!A:I,6,0)</f>
        <v>60</v>
      </c>
      <c r="I5823" t="str">
        <f>VLOOKUP(C5823,Магазины!A:C,3,0)</f>
        <v>Оренбург</v>
      </c>
      <c r="J5823">
        <f>VLOOKUP(D5823,Товары!A:I,4,0)</f>
        <v>18900</v>
      </c>
      <c r="K5823">
        <f t="shared" si="90"/>
        <v>37800</v>
      </c>
    </row>
    <row r="5824" spans="1:11" hidden="1" x14ac:dyDescent="0.25">
      <c r="A5824">
        <v>5823</v>
      </c>
      <c r="B5824" s="1">
        <v>45750</v>
      </c>
      <c r="C5824" t="s">
        <v>14</v>
      </c>
      <c r="D5824" t="s">
        <v>120</v>
      </c>
      <c r="E5824" t="s">
        <v>13</v>
      </c>
      <c r="F5824">
        <v>3</v>
      </c>
      <c r="G5824" t="str">
        <f>VLOOKUP(D5824,Товары!A:I,3,0)</f>
        <v>Зеркальный шкаф Альба 60 со светильником правый цвет антрацит</v>
      </c>
      <c r="H5824">
        <f>VLOOKUP(D5824,Товары!A:I,6,0)</f>
        <v>75</v>
      </c>
      <c r="I5824" t="str">
        <f>VLOOKUP(C5824,Магазины!A:C,3,0)</f>
        <v>Оренбург</v>
      </c>
      <c r="J5824">
        <f>VLOOKUP(D5824,Товары!A:I,4,0)</f>
        <v>8910</v>
      </c>
      <c r="K5824">
        <f t="shared" si="90"/>
        <v>26730</v>
      </c>
    </row>
    <row r="5825" spans="1:11" hidden="1" x14ac:dyDescent="0.25">
      <c r="A5825">
        <v>5824</v>
      </c>
      <c r="B5825" s="1">
        <v>45749</v>
      </c>
      <c r="C5825" t="s">
        <v>41</v>
      </c>
      <c r="D5825" t="s">
        <v>61</v>
      </c>
      <c r="E5825" t="s">
        <v>13</v>
      </c>
      <c r="F5825">
        <v>1</v>
      </c>
      <c r="G5825" t="str">
        <f>VLOOKUP(D5825,Товары!A:I,3,0)</f>
        <v>Тумба под стиральную машину Леон Риф 57 напольная 2 ящика под ст/маш, без умывальника /под Marshall 120 Солярис/Белый Риф</v>
      </c>
      <c r="H5825">
        <f>VLOOKUP(D5825,Товары!A:I,6,0)</f>
        <v>85</v>
      </c>
      <c r="I5825" t="str">
        <f>VLOOKUP(C5825,Магазины!A:C,3,0)</f>
        <v>Ставрополь</v>
      </c>
      <c r="J5825">
        <f>VLOOKUP(D5825,Товары!A:I,4,0)</f>
        <v>17430</v>
      </c>
      <c r="K5825">
        <f t="shared" si="90"/>
        <v>17430</v>
      </c>
    </row>
    <row r="5826" spans="1:11" hidden="1" x14ac:dyDescent="0.25">
      <c r="A5826">
        <v>5825</v>
      </c>
      <c r="B5826" s="1">
        <v>45753</v>
      </c>
      <c r="C5826" t="s">
        <v>111</v>
      </c>
      <c r="D5826" t="s">
        <v>52</v>
      </c>
      <c r="E5826" t="s">
        <v>13</v>
      </c>
      <c r="F5826">
        <v>1</v>
      </c>
      <c r="G5826" t="str">
        <f>VLOOKUP(D5826,Товары!A:I,3,0)</f>
        <v>Тумба с раковиной  напол. Кристалл 600 суфле 2 ящика с умыв. Океан</v>
      </c>
      <c r="H5826">
        <f>VLOOKUP(D5826,Товары!A:I,6,0)</f>
        <v>80</v>
      </c>
      <c r="I5826" t="str">
        <f>VLOOKUP(C5826,Магазины!A:C,3,0)</f>
        <v>Набережные Челны</v>
      </c>
      <c r="J5826">
        <f>VLOOKUP(D5826,Товары!A:I,4,0)</f>
        <v>27600</v>
      </c>
      <c r="K5826">
        <f t="shared" si="90"/>
        <v>27600</v>
      </c>
    </row>
    <row r="5827" spans="1:11" hidden="1" x14ac:dyDescent="0.25">
      <c r="A5827">
        <v>5826</v>
      </c>
      <c r="B5827" s="1">
        <v>45755</v>
      </c>
      <c r="C5827" t="s">
        <v>30</v>
      </c>
      <c r="D5827" t="s">
        <v>12</v>
      </c>
      <c r="E5827" t="s">
        <v>8</v>
      </c>
      <c r="F5827">
        <v>3</v>
      </c>
      <c r="G5827" t="str">
        <f>VLOOKUP(D5827,Товары!A:I,3,0)</f>
        <v>Тумба с раковиной  напол. Сохо 700 белый 2 двери с умыв. Слим</v>
      </c>
      <c r="H5827">
        <f>VLOOKUP(D5827,Товары!A:I,6,0)</f>
        <v>85</v>
      </c>
      <c r="I5827" t="str">
        <f>VLOOKUP(C5827,Магазины!A:C,3,0)</f>
        <v>Кемерово</v>
      </c>
      <c r="J5827">
        <f>VLOOKUP(D5827,Товары!A:I,4,0)</f>
        <v>17160</v>
      </c>
      <c r="K5827">
        <f t="shared" ref="K5827:K5890" si="91">J5827*F5827</f>
        <v>51480</v>
      </c>
    </row>
    <row r="5828" spans="1:11" hidden="1" x14ac:dyDescent="0.25">
      <c r="A5828">
        <v>5827</v>
      </c>
      <c r="B5828" s="1">
        <v>45752</v>
      </c>
      <c r="C5828" t="s">
        <v>14</v>
      </c>
      <c r="D5828" t="s">
        <v>87</v>
      </c>
      <c r="E5828" t="s">
        <v>8</v>
      </c>
      <c r="F5828">
        <v>1</v>
      </c>
      <c r="G5828" t="str">
        <f>VLOOKUP(D5828,Товары!A:I,3,0)</f>
        <v>Тумба с раковиной  напол. Леон 700 форест 2 ящика с умыв. Слим</v>
      </c>
      <c r="H5828">
        <f>VLOOKUP(D5828,Товары!A:I,6,0)</f>
        <v>80</v>
      </c>
      <c r="I5828" t="str">
        <f>VLOOKUP(C5828,Магазины!A:C,3,0)</f>
        <v>Оренбург</v>
      </c>
      <c r="J5828">
        <f>VLOOKUP(D5828,Товары!A:I,4,0)</f>
        <v>28380</v>
      </c>
      <c r="K5828">
        <f t="shared" si="91"/>
        <v>28380</v>
      </c>
    </row>
    <row r="5829" spans="1:11" hidden="1" x14ac:dyDescent="0.25">
      <c r="A5829">
        <v>5828</v>
      </c>
      <c r="B5829" s="1">
        <v>45757</v>
      </c>
      <c r="C5829" t="s">
        <v>14</v>
      </c>
      <c r="D5829" t="s">
        <v>51</v>
      </c>
      <c r="E5829" t="s">
        <v>13</v>
      </c>
      <c r="F5829">
        <v>2</v>
      </c>
      <c r="G5829" t="str">
        <f>VLOOKUP(D5829,Товары!A:I,3,0)</f>
        <v>Зеркальный шкаф Альба 80 со светильником правый цвет суфле</v>
      </c>
      <c r="H5829">
        <f>VLOOKUP(D5829,Товары!A:I,6,0)</f>
        <v>75</v>
      </c>
      <c r="I5829" t="str">
        <f>VLOOKUP(C5829,Магазины!A:C,3,0)</f>
        <v>Оренбург</v>
      </c>
      <c r="J5829">
        <f>VLOOKUP(D5829,Товары!A:I,4,0)</f>
        <v>9930</v>
      </c>
      <c r="K5829">
        <f t="shared" si="91"/>
        <v>19860</v>
      </c>
    </row>
    <row r="5830" spans="1:11" hidden="1" x14ac:dyDescent="0.25">
      <c r="A5830">
        <v>5829</v>
      </c>
      <c r="B5830" s="1">
        <v>45756</v>
      </c>
      <c r="C5830" t="s">
        <v>22</v>
      </c>
      <c r="D5830" t="s">
        <v>21</v>
      </c>
      <c r="E5830" t="s">
        <v>8</v>
      </c>
      <c r="F5830">
        <v>1</v>
      </c>
      <c r="G5830" t="str">
        <f>VLOOKUP(D5830,Товары!A:I,3,0)</f>
        <v>Зеркальный шкаф Рица 60 со светильником правый цвет cерый/керамика</v>
      </c>
      <c r="H5830">
        <f>VLOOKUP(D5830,Товары!A:I,6,0)</f>
        <v>75</v>
      </c>
      <c r="I5830" t="str">
        <f>VLOOKUP(C5830,Магазины!A:C,3,0)</f>
        <v>Кемерово</v>
      </c>
      <c r="J5830">
        <f>VLOOKUP(D5830,Товары!A:I,4,0)</f>
        <v>8910</v>
      </c>
      <c r="K5830">
        <f t="shared" si="91"/>
        <v>8910</v>
      </c>
    </row>
    <row r="5831" spans="1:11" hidden="1" x14ac:dyDescent="0.25">
      <c r="A5831">
        <v>5830</v>
      </c>
      <c r="B5831" s="1">
        <v>45749</v>
      </c>
      <c r="C5831" t="s">
        <v>28</v>
      </c>
      <c r="D5831" t="s">
        <v>119</v>
      </c>
      <c r="E5831" t="s">
        <v>8</v>
      </c>
      <c r="F5831">
        <v>3</v>
      </c>
      <c r="G5831" t="str">
        <f>VLOOKUP(D5831,Товары!A:I,3,0)</f>
        <v>Пенал навес./напол. Рица 350 cерый/керамика 2 двери</v>
      </c>
      <c r="H5831">
        <f>VLOOKUP(D5831,Товары!A:I,6,0)</f>
        <v>160</v>
      </c>
      <c r="I5831" t="str">
        <f>VLOOKUP(C5831,Магазины!A:C,3,0)</f>
        <v>Набережные Челны</v>
      </c>
      <c r="J5831">
        <f>VLOOKUP(D5831,Товары!A:I,4,0)</f>
        <v>11250</v>
      </c>
      <c r="K5831">
        <f t="shared" si="91"/>
        <v>33750</v>
      </c>
    </row>
    <row r="5832" spans="1:11" hidden="1" x14ac:dyDescent="0.25">
      <c r="A5832">
        <v>5831</v>
      </c>
      <c r="B5832" s="1">
        <v>45751</v>
      </c>
      <c r="C5832" t="s">
        <v>41</v>
      </c>
      <c r="D5832" t="s">
        <v>112</v>
      </c>
      <c r="E5832" t="s">
        <v>13</v>
      </c>
      <c r="F5832">
        <v>3</v>
      </c>
      <c r="G5832" t="str">
        <f>VLOOKUP(D5832,Товары!A:I,3,0)</f>
        <v>Тумба с раковиной  напол. Аква 560 белый 2 двери с умыв. Уют</v>
      </c>
      <c r="H5832">
        <f>VLOOKUP(D5832,Товары!A:I,6,0)</f>
        <v>85</v>
      </c>
      <c r="I5832" t="str">
        <f>VLOOKUP(C5832,Магазины!A:C,3,0)</f>
        <v>Ставрополь</v>
      </c>
      <c r="J5832">
        <f>VLOOKUP(D5832,Товары!A:I,4,0)</f>
        <v>9330</v>
      </c>
      <c r="K5832">
        <f t="shared" si="91"/>
        <v>27990</v>
      </c>
    </row>
    <row r="5833" spans="1:11" hidden="1" x14ac:dyDescent="0.25">
      <c r="A5833">
        <v>5832</v>
      </c>
      <c r="B5833" s="1">
        <v>45755</v>
      </c>
      <c r="C5833" t="s">
        <v>28</v>
      </c>
      <c r="D5833" t="s">
        <v>76</v>
      </c>
      <c r="E5833" t="s">
        <v>13</v>
      </c>
      <c r="F5833">
        <v>1</v>
      </c>
      <c r="G5833" t="str">
        <f>VLOOKUP(D5833,Товары!A:I,3,0)</f>
        <v>Тумба с раковиной  напол. Леон 600 оникс 2 ящика с умыв. Слим</v>
      </c>
      <c r="H5833">
        <f>VLOOKUP(D5833,Товары!A:I,6,0)</f>
        <v>80</v>
      </c>
      <c r="I5833" t="str">
        <f>VLOOKUP(C5833,Магазины!A:C,3,0)</f>
        <v>Набережные Челны</v>
      </c>
      <c r="J5833">
        <f>VLOOKUP(D5833,Товары!A:I,4,0)</f>
        <v>25860</v>
      </c>
      <c r="K5833">
        <f t="shared" si="91"/>
        <v>25860</v>
      </c>
    </row>
    <row r="5834" spans="1:11" hidden="1" x14ac:dyDescent="0.25">
      <c r="A5834">
        <v>5833</v>
      </c>
      <c r="B5834" s="1">
        <v>45756</v>
      </c>
      <c r="C5834" t="s">
        <v>54</v>
      </c>
      <c r="D5834" t="s">
        <v>104</v>
      </c>
      <c r="E5834" t="s">
        <v>8</v>
      </c>
      <c r="F5834">
        <v>1</v>
      </c>
      <c r="G5834" t="str">
        <f>VLOOKUP(D5834,Товары!A:I,3,0)</f>
        <v>Тумба под стиральную машину Куба Риф 57 подвесная 2 ящика под ст/маш, без умывальника /под Marshall 120 Белый</v>
      </c>
      <c r="H5834">
        <f>VLOOKUP(D5834,Товары!A:I,6,0)</f>
        <v>50</v>
      </c>
      <c r="I5834" t="str">
        <f>VLOOKUP(C5834,Магазины!A:C,3,0)</f>
        <v>Ставрополь</v>
      </c>
      <c r="J5834">
        <f>VLOOKUP(D5834,Товары!A:I,4,0)</f>
        <v>8505</v>
      </c>
      <c r="K5834">
        <f t="shared" si="91"/>
        <v>8505</v>
      </c>
    </row>
    <row r="5835" spans="1:11" hidden="1" x14ac:dyDescent="0.25">
      <c r="A5835">
        <v>5834</v>
      </c>
      <c r="B5835" s="1">
        <v>45748</v>
      </c>
      <c r="C5835" t="s">
        <v>18</v>
      </c>
      <c r="D5835" t="s">
        <v>86</v>
      </c>
      <c r="E5835" t="s">
        <v>13</v>
      </c>
      <c r="F5835">
        <v>3</v>
      </c>
      <c r="G5835" t="str">
        <f>VLOOKUP(D5835,Товары!A:I,3,0)</f>
        <v>Комод Аква 50 напольный 1 ящик 2 двери белый</v>
      </c>
      <c r="H5835">
        <f>VLOOKUP(D5835,Товары!A:I,6,0)</f>
        <v>90</v>
      </c>
      <c r="I5835" t="str">
        <f>VLOOKUP(C5835,Магазины!A:C,3,0)</f>
        <v>Набережные Челны</v>
      </c>
      <c r="J5835">
        <f>VLOOKUP(D5835,Товары!A:I,4,0)</f>
        <v>7260</v>
      </c>
      <c r="K5835">
        <f t="shared" si="91"/>
        <v>21780</v>
      </c>
    </row>
    <row r="5836" spans="1:11" hidden="1" x14ac:dyDescent="0.25">
      <c r="A5836">
        <v>5835</v>
      </c>
      <c r="B5836" s="1">
        <v>45751</v>
      </c>
      <c r="C5836" t="s">
        <v>26</v>
      </c>
      <c r="D5836" t="s">
        <v>70</v>
      </c>
      <c r="E5836" t="s">
        <v>8</v>
      </c>
      <c r="F5836">
        <v>2</v>
      </c>
      <c r="G5836" t="str">
        <f>VLOOKUP(D5836,Товары!A:I,3,0)</f>
        <v>Тумба с раковиной  напол. Кристалл 700 шато азур 2 ящика с умыв. Слим</v>
      </c>
      <c r="H5836">
        <f>VLOOKUP(D5836,Товары!A:I,6,0)</f>
        <v>85</v>
      </c>
      <c r="I5836" t="str">
        <f>VLOOKUP(C5836,Магазины!A:C,3,0)</f>
        <v>Оренбург</v>
      </c>
      <c r="J5836">
        <f>VLOOKUP(D5836,Товары!A:I,4,0)</f>
        <v>29910</v>
      </c>
      <c r="K5836">
        <f t="shared" si="91"/>
        <v>59820</v>
      </c>
    </row>
    <row r="5837" spans="1:11" hidden="1" x14ac:dyDescent="0.25">
      <c r="A5837">
        <v>5836</v>
      </c>
      <c r="B5837" s="1">
        <v>45755</v>
      </c>
      <c r="C5837" t="s">
        <v>18</v>
      </c>
      <c r="D5837" t="s">
        <v>61</v>
      </c>
      <c r="E5837" t="s">
        <v>8</v>
      </c>
      <c r="F5837">
        <v>1</v>
      </c>
      <c r="G5837" t="str">
        <f>VLOOKUP(D5837,Товары!A:I,3,0)</f>
        <v>Тумба под стиральную машину Леон Риф 57 напольная 2 ящика под ст/маш, без умывальника /под Marshall 120 Солярис/Белый Риф</v>
      </c>
      <c r="H5837">
        <f>VLOOKUP(D5837,Товары!A:I,6,0)</f>
        <v>85</v>
      </c>
      <c r="I5837" t="str">
        <f>VLOOKUP(C5837,Магазины!A:C,3,0)</f>
        <v>Набережные Челны</v>
      </c>
      <c r="J5837">
        <f>VLOOKUP(D5837,Товары!A:I,4,0)</f>
        <v>17430</v>
      </c>
      <c r="K5837">
        <f t="shared" si="91"/>
        <v>17430</v>
      </c>
    </row>
    <row r="5838" spans="1:11" hidden="1" x14ac:dyDescent="0.25">
      <c r="A5838">
        <v>5837</v>
      </c>
      <c r="B5838" s="1">
        <v>45749</v>
      </c>
      <c r="C5838" t="s">
        <v>22</v>
      </c>
      <c r="D5838" t="s">
        <v>101</v>
      </c>
      <c r="E5838" t="s">
        <v>8</v>
      </c>
      <c r="F5838">
        <v>1</v>
      </c>
      <c r="G5838" t="str">
        <f>VLOOKUP(D5838,Товары!A:I,3,0)</f>
        <v>Пенал напол. Сохо 400 белый 2 двери + 1 ящик</v>
      </c>
      <c r="H5838">
        <f>VLOOKUP(D5838,Товары!A:I,6,0)</f>
        <v>190</v>
      </c>
      <c r="I5838" t="str">
        <f>VLOOKUP(C5838,Магазины!A:C,3,0)</f>
        <v>Кемерово</v>
      </c>
      <c r="J5838">
        <f>VLOOKUP(D5838,Товары!A:I,4,0)</f>
        <v>11040</v>
      </c>
      <c r="K5838">
        <f t="shared" si="91"/>
        <v>11040</v>
      </c>
    </row>
    <row r="5839" spans="1:11" hidden="1" x14ac:dyDescent="0.25">
      <c r="A5839">
        <v>5838</v>
      </c>
      <c r="B5839" s="1">
        <v>45750</v>
      </c>
      <c r="C5839" t="s">
        <v>16</v>
      </c>
      <c r="D5839" t="s">
        <v>119</v>
      </c>
      <c r="E5839" t="s">
        <v>13</v>
      </c>
      <c r="F5839">
        <v>3</v>
      </c>
      <c r="G5839" t="str">
        <f>VLOOKUP(D5839,Товары!A:I,3,0)</f>
        <v>Пенал навес./напол. Рица 350 cерый/керамика 2 двери</v>
      </c>
      <c r="H5839">
        <f>VLOOKUP(D5839,Товары!A:I,6,0)</f>
        <v>160</v>
      </c>
      <c r="I5839" t="str">
        <f>VLOOKUP(C5839,Магазины!A:C,3,0)</f>
        <v>Оренбург</v>
      </c>
      <c r="J5839">
        <f>VLOOKUP(D5839,Товары!A:I,4,0)</f>
        <v>11250</v>
      </c>
      <c r="K5839">
        <f t="shared" si="91"/>
        <v>33750</v>
      </c>
    </row>
    <row r="5840" spans="1:11" hidden="1" x14ac:dyDescent="0.25">
      <c r="A5840">
        <v>5839</v>
      </c>
      <c r="B5840" s="1">
        <v>45752</v>
      </c>
      <c r="C5840" t="s">
        <v>43</v>
      </c>
      <c r="D5840" t="s">
        <v>71</v>
      </c>
      <c r="E5840" t="s">
        <v>13</v>
      </c>
      <c r="F5840">
        <v>2</v>
      </c>
      <c r="G5840" t="str">
        <f>VLOOKUP(D5840,Товары!A:I,3,0)</f>
        <v>Тумба с раковиной  навес. Альба 600 мята 2 ящика с умыв. Океан</v>
      </c>
      <c r="H5840">
        <f>VLOOKUP(D5840,Товары!A:I,6,0)</f>
        <v>50</v>
      </c>
      <c r="I5840" t="str">
        <f>VLOOKUP(C5840,Магазины!A:C,3,0)</f>
        <v>Набережные Челны</v>
      </c>
      <c r="J5840">
        <f>VLOOKUP(D5840,Товары!A:I,4,0)</f>
        <v>24810</v>
      </c>
      <c r="K5840">
        <f t="shared" si="91"/>
        <v>49620</v>
      </c>
    </row>
    <row r="5841" spans="1:11" hidden="1" x14ac:dyDescent="0.25">
      <c r="A5841">
        <v>5840</v>
      </c>
      <c r="B5841" s="1">
        <v>45750</v>
      </c>
      <c r="C5841" t="s">
        <v>63</v>
      </c>
      <c r="D5841" t="s">
        <v>12</v>
      </c>
      <c r="E5841" t="s">
        <v>13</v>
      </c>
      <c r="F5841">
        <v>1</v>
      </c>
      <c r="G5841" t="str">
        <f>VLOOKUP(D5841,Товары!A:I,3,0)</f>
        <v>Тумба с раковиной  напол. Сохо 700 белый 2 двери с умыв. Слим</v>
      </c>
      <c r="H5841">
        <f>VLOOKUP(D5841,Товары!A:I,6,0)</f>
        <v>85</v>
      </c>
      <c r="I5841" t="str">
        <f>VLOOKUP(C5841,Магазины!A:C,3,0)</f>
        <v>Ставрополь</v>
      </c>
      <c r="J5841">
        <f>VLOOKUP(D5841,Товары!A:I,4,0)</f>
        <v>17160</v>
      </c>
      <c r="K5841">
        <f t="shared" si="91"/>
        <v>17160</v>
      </c>
    </row>
    <row r="5842" spans="1:11" hidden="1" x14ac:dyDescent="0.25">
      <c r="A5842">
        <v>5841</v>
      </c>
      <c r="B5842" s="1">
        <v>45757</v>
      </c>
      <c r="C5842" t="s">
        <v>33</v>
      </c>
      <c r="D5842" t="s">
        <v>24</v>
      </c>
      <c r="E5842" t="s">
        <v>8</v>
      </c>
      <c r="F5842">
        <v>3</v>
      </c>
      <c r="G5842" t="str">
        <f>VLOOKUP(D5842,Товары!A:I,3,0)</f>
        <v>Тумба с раковиной  напол. Леон 600 форест 2 ящика с умыв. Слим</v>
      </c>
      <c r="H5842">
        <f>VLOOKUP(D5842,Товары!A:I,6,0)</f>
        <v>80</v>
      </c>
      <c r="I5842" t="str">
        <f>VLOOKUP(C5842,Магазины!A:C,3,0)</f>
        <v>Набережные Челны</v>
      </c>
      <c r="J5842">
        <f>VLOOKUP(D5842,Товары!A:I,4,0)</f>
        <v>27150</v>
      </c>
      <c r="K5842">
        <f t="shared" si="91"/>
        <v>81450</v>
      </c>
    </row>
    <row r="5843" spans="1:11" hidden="1" x14ac:dyDescent="0.25">
      <c r="A5843">
        <v>5842</v>
      </c>
      <c r="B5843" s="1">
        <v>45756</v>
      </c>
      <c r="C5843" t="s">
        <v>20</v>
      </c>
      <c r="D5843" t="s">
        <v>107</v>
      </c>
      <c r="E5843" t="s">
        <v>13</v>
      </c>
      <c r="F5843">
        <v>3</v>
      </c>
      <c r="G5843" t="str">
        <f>VLOOKUP(D5843,Товары!A:I,3,0)</f>
        <v>Комод Аква 35 напольный 1 дверь белый правый</v>
      </c>
      <c r="H5843">
        <f>VLOOKUP(D5843,Товары!A:I,6,0)</f>
        <v>90</v>
      </c>
      <c r="I5843" t="str">
        <f>VLOOKUP(C5843,Магазины!A:C,3,0)</f>
        <v>Оренбург</v>
      </c>
      <c r="J5843">
        <f>VLOOKUP(D5843,Товары!A:I,4,0)</f>
        <v>6705</v>
      </c>
      <c r="K5843">
        <f t="shared" si="91"/>
        <v>20115</v>
      </c>
    </row>
    <row r="5844" spans="1:11" hidden="1" x14ac:dyDescent="0.25">
      <c r="A5844">
        <v>5843</v>
      </c>
      <c r="B5844" s="1">
        <v>45748</v>
      </c>
      <c r="C5844" t="s">
        <v>16</v>
      </c>
      <c r="D5844" t="s">
        <v>109</v>
      </c>
      <c r="E5844" t="s">
        <v>13</v>
      </c>
      <c r="F5844">
        <v>3</v>
      </c>
      <c r="G5844" t="str">
        <f>VLOOKUP(D5844,Товары!A:I,3,0)</f>
        <v>Тумба с раковиной  навес. Альба 600 антрацит 2 ящика с умыв. Океан</v>
      </c>
      <c r="H5844">
        <f>VLOOKUP(D5844,Товары!A:I,6,0)</f>
        <v>50</v>
      </c>
      <c r="I5844" t="str">
        <f>VLOOKUP(C5844,Магазины!A:C,3,0)</f>
        <v>Оренбург</v>
      </c>
      <c r="J5844">
        <f>VLOOKUP(D5844,Товары!A:I,4,0)</f>
        <v>24810</v>
      </c>
      <c r="K5844">
        <f t="shared" si="91"/>
        <v>74430</v>
      </c>
    </row>
    <row r="5845" spans="1:11" hidden="1" x14ac:dyDescent="0.25">
      <c r="A5845">
        <v>5844</v>
      </c>
      <c r="B5845" s="1">
        <v>45756</v>
      </c>
      <c r="C5845" t="s">
        <v>63</v>
      </c>
      <c r="D5845" t="s">
        <v>97</v>
      </c>
      <c r="E5845" t="s">
        <v>8</v>
      </c>
      <c r="F5845">
        <v>1</v>
      </c>
      <c r="G5845" t="str">
        <f>VLOOKUP(D5845,Товары!A:I,3,0)</f>
        <v>Пенал напол. Кристалл 350 суфле 2 двери</v>
      </c>
      <c r="H5845">
        <f>VLOOKUP(D5845,Товары!A:I,6,0)</f>
        <v>190</v>
      </c>
      <c r="I5845" t="str">
        <f>VLOOKUP(C5845,Магазины!A:C,3,0)</f>
        <v>Ставрополь</v>
      </c>
      <c r="J5845">
        <f>VLOOKUP(D5845,Товары!A:I,4,0)</f>
        <v>15810</v>
      </c>
      <c r="K5845">
        <f t="shared" si="91"/>
        <v>15810</v>
      </c>
    </row>
    <row r="5846" spans="1:11" hidden="1" x14ac:dyDescent="0.25">
      <c r="A5846">
        <v>5845</v>
      </c>
      <c r="B5846" s="1">
        <v>45748</v>
      </c>
      <c r="C5846" t="s">
        <v>48</v>
      </c>
      <c r="D5846" t="s">
        <v>125</v>
      </c>
      <c r="E5846" t="s">
        <v>8</v>
      </c>
      <c r="F5846">
        <v>2</v>
      </c>
      <c r="G5846" t="str">
        <f>VLOOKUP(D5846,Товары!A:I,3,0)</f>
        <v>Зеркальный шкаф Сохо 60 белый со светильником правый цвет Белый глянец</v>
      </c>
      <c r="H5846">
        <f>VLOOKUP(D5846,Товары!A:I,6,0)</f>
        <v>75</v>
      </c>
      <c r="I5846" t="str">
        <f>VLOOKUP(C5846,Магазины!A:C,3,0)</f>
        <v>Ставрополь</v>
      </c>
      <c r="J5846">
        <f>VLOOKUP(D5846,Товары!A:I,4,0)</f>
        <v>7395</v>
      </c>
      <c r="K5846">
        <f t="shared" si="91"/>
        <v>14790</v>
      </c>
    </row>
    <row r="5847" spans="1:11" hidden="1" x14ac:dyDescent="0.25">
      <c r="A5847">
        <v>5846</v>
      </c>
      <c r="B5847" s="1">
        <v>45748</v>
      </c>
      <c r="C5847" t="s">
        <v>41</v>
      </c>
      <c r="D5847" t="s">
        <v>10</v>
      </c>
      <c r="E5847" t="s">
        <v>13</v>
      </c>
      <c r="F5847">
        <v>1</v>
      </c>
      <c r="G5847" t="str">
        <f>VLOOKUP(D5847,Товары!A:I,3,0)</f>
        <v>Тумба с раковиной  навес. Альба 700 антрацит 1 ящик с умыв. Слим</v>
      </c>
      <c r="H5847">
        <f>VLOOKUP(D5847,Товары!A:I,6,0)</f>
        <v>45</v>
      </c>
      <c r="I5847" t="str">
        <f>VLOOKUP(C5847,Магазины!A:C,3,0)</f>
        <v>Ставрополь</v>
      </c>
      <c r="J5847">
        <f>VLOOKUP(D5847,Товары!A:I,4,0)</f>
        <v>20130</v>
      </c>
      <c r="K5847">
        <f t="shared" si="91"/>
        <v>20130</v>
      </c>
    </row>
    <row r="5848" spans="1:11" hidden="1" x14ac:dyDescent="0.25">
      <c r="A5848">
        <v>5847</v>
      </c>
      <c r="B5848" s="1">
        <v>45748</v>
      </c>
      <c r="C5848" t="s">
        <v>111</v>
      </c>
      <c r="D5848" t="s">
        <v>71</v>
      </c>
      <c r="E5848" t="s">
        <v>8</v>
      </c>
      <c r="F5848">
        <v>1</v>
      </c>
      <c r="G5848" t="str">
        <f>VLOOKUP(D5848,Товары!A:I,3,0)</f>
        <v>Тумба с раковиной  навес. Альба 600 мята 2 ящика с умыв. Океан</v>
      </c>
      <c r="H5848">
        <f>VLOOKUP(D5848,Товары!A:I,6,0)</f>
        <v>50</v>
      </c>
      <c r="I5848" t="str">
        <f>VLOOKUP(C5848,Магазины!A:C,3,0)</f>
        <v>Набережные Челны</v>
      </c>
      <c r="J5848">
        <f>VLOOKUP(D5848,Товары!A:I,4,0)</f>
        <v>24810</v>
      </c>
      <c r="K5848">
        <f t="shared" si="91"/>
        <v>24810</v>
      </c>
    </row>
    <row r="5849" spans="1:11" hidden="1" x14ac:dyDescent="0.25">
      <c r="A5849">
        <v>5848</v>
      </c>
      <c r="B5849" s="1">
        <v>45753</v>
      </c>
      <c r="C5849" t="s">
        <v>18</v>
      </c>
      <c r="D5849" t="s">
        <v>39</v>
      </c>
      <c r="E5849" t="s">
        <v>13</v>
      </c>
      <c r="F5849">
        <v>1</v>
      </c>
      <c r="G5849" t="str">
        <f>VLOOKUP(D5849,Товары!A:I,3,0)</f>
        <v>Тумба с раковиной  напол. Альба 700 мята 2 ящика с умыв. Слим</v>
      </c>
      <c r="H5849">
        <f>VLOOKUP(D5849,Товары!A:I,6,0)</f>
        <v>85</v>
      </c>
      <c r="I5849" t="str">
        <f>VLOOKUP(C5849,Магазины!A:C,3,0)</f>
        <v>Набережные Челны</v>
      </c>
      <c r="J5849">
        <f>VLOOKUP(D5849,Товары!A:I,4,0)</f>
        <v>28695</v>
      </c>
      <c r="K5849">
        <f t="shared" si="91"/>
        <v>28695</v>
      </c>
    </row>
    <row r="5850" spans="1:11" hidden="1" x14ac:dyDescent="0.25">
      <c r="A5850">
        <v>5849</v>
      </c>
      <c r="B5850" s="1">
        <v>45757</v>
      </c>
      <c r="C5850" t="s">
        <v>11</v>
      </c>
      <c r="D5850" t="s">
        <v>7</v>
      </c>
      <c r="E5850" t="s">
        <v>8</v>
      </c>
      <c r="F5850">
        <v>1</v>
      </c>
      <c r="G5850" t="str">
        <f>VLOOKUP(D5850,Товары!A:I,3,0)</f>
        <v>Пенал напол. Леон Риф 400 солярис/белый риф 2 двери + 1 ящик</v>
      </c>
      <c r="H5850">
        <f>VLOOKUP(D5850,Товары!A:I,6,0)</f>
        <v>190</v>
      </c>
      <c r="I5850" t="str">
        <f>VLOOKUP(C5850,Магазины!A:C,3,0)</f>
        <v>Кемерово</v>
      </c>
      <c r="J5850">
        <f>VLOOKUP(D5850,Товары!A:I,4,0)</f>
        <v>14490</v>
      </c>
      <c r="K5850">
        <f t="shared" si="91"/>
        <v>14490</v>
      </c>
    </row>
    <row r="5851" spans="1:11" hidden="1" x14ac:dyDescent="0.25">
      <c r="A5851">
        <v>5850</v>
      </c>
      <c r="B5851" s="1">
        <v>45748</v>
      </c>
      <c r="C5851" t="s">
        <v>111</v>
      </c>
      <c r="D5851" t="s">
        <v>15</v>
      </c>
      <c r="E5851" t="s">
        <v>13</v>
      </c>
      <c r="F5851">
        <v>3</v>
      </c>
      <c r="G5851" t="str">
        <f>VLOOKUP(D5851,Товары!A:I,3,0)</f>
        <v>Зеркальный шкаф Кристалл 60 со светильником правый, ручка кнопка дуб цвет Шато Азур</v>
      </c>
      <c r="H5851">
        <f>VLOOKUP(D5851,Товары!A:I,6,0)</f>
        <v>75</v>
      </c>
      <c r="I5851" t="str">
        <f>VLOOKUP(C5851,Магазины!A:C,3,0)</f>
        <v>Набережные Челны</v>
      </c>
      <c r="J5851">
        <f>VLOOKUP(D5851,Товары!A:I,4,0)</f>
        <v>9195</v>
      </c>
      <c r="K5851">
        <f t="shared" si="91"/>
        <v>27585</v>
      </c>
    </row>
    <row r="5852" spans="1:11" hidden="1" x14ac:dyDescent="0.25">
      <c r="A5852">
        <v>5851</v>
      </c>
      <c r="B5852" s="1">
        <v>45755</v>
      </c>
      <c r="C5852" t="s">
        <v>48</v>
      </c>
      <c r="D5852" t="s">
        <v>110</v>
      </c>
      <c r="E5852" t="s">
        <v>8</v>
      </c>
      <c r="F5852">
        <v>3</v>
      </c>
      <c r="G5852" t="str">
        <f>VLOOKUP(D5852,Товары!A:I,3,0)</f>
        <v>Тумба с раковиной  напол. Альба 600 антрацит 2 ящика с умыв. Океан</v>
      </c>
      <c r="H5852">
        <f>VLOOKUP(D5852,Товары!A:I,6,0)</f>
        <v>80</v>
      </c>
      <c r="I5852" t="str">
        <f>VLOOKUP(C5852,Магазины!A:C,3,0)</f>
        <v>Ставрополь</v>
      </c>
      <c r="J5852">
        <f>VLOOKUP(D5852,Товары!A:I,4,0)</f>
        <v>26370</v>
      </c>
      <c r="K5852">
        <f t="shared" si="91"/>
        <v>79110</v>
      </c>
    </row>
    <row r="5853" spans="1:11" hidden="1" x14ac:dyDescent="0.25">
      <c r="A5853">
        <v>5852</v>
      </c>
      <c r="B5853" s="1">
        <v>45751</v>
      </c>
      <c r="C5853" t="s">
        <v>30</v>
      </c>
      <c r="D5853" t="s">
        <v>67</v>
      </c>
      <c r="E5853" t="s">
        <v>8</v>
      </c>
      <c r="F5853">
        <v>1</v>
      </c>
      <c r="G5853" t="str">
        <f>VLOOKUP(D5853,Товары!A:I,3,0)</f>
        <v>Пенал навес./напол. Альба 350 суфле 2 двери</v>
      </c>
      <c r="H5853">
        <f>VLOOKUP(D5853,Товары!A:I,6,0)</f>
        <v>150</v>
      </c>
      <c r="I5853" t="str">
        <f>VLOOKUP(C5853,Магазины!A:C,3,0)</f>
        <v>Кемерово</v>
      </c>
      <c r="J5853">
        <f>VLOOKUP(D5853,Товары!A:I,4,0)</f>
        <v>11655</v>
      </c>
      <c r="K5853">
        <f t="shared" si="91"/>
        <v>11655</v>
      </c>
    </row>
    <row r="5854" spans="1:11" hidden="1" x14ac:dyDescent="0.25">
      <c r="A5854">
        <v>5853</v>
      </c>
      <c r="B5854" s="1">
        <v>45754</v>
      </c>
      <c r="C5854" t="s">
        <v>41</v>
      </c>
      <c r="D5854" t="s">
        <v>130</v>
      </c>
      <c r="E5854" t="s">
        <v>8</v>
      </c>
      <c r="F5854">
        <v>2</v>
      </c>
      <c r="G5854" t="str">
        <f>VLOOKUP(D5854,Товары!A:I,3,0)</f>
        <v>Пенал напол. Леон 400 форест 2 двери + 1 ящик</v>
      </c>
      <c r="H5854">
        <f>VLOOKUP(D5854,Товары!A:I,6,0)</f>
        <v>190</v>
      </c>
      <c r="I5854" t="str">
        <f>VLOOKUP(C5854,Магазины!A:C,3,0)</f>
        <v>Ставрополь</v>
      </c>
      <c r="J5854">
        <f>VLOOKUP(D5854,Товары!A:I,4,0)</f>
        <v>18450</v>
      </c>
      <c r="K5854">
        <f t="shared" si="91"/>
        <v>36900</v>
      </c>
    </row>
    <row r="5855" spans="1:11" hidden="1" x14ac:dyDescent="0.25">
      <c r="A5855">
        <v>5854</v>
      </c>
      <c r="B5855" s="1">
        <v>45756</v>
      </c>
      <c r="C5855" t="s">
        <v>20</v>
      </c>
      <c r="D5855" t="s">
        <v>105</v>
      </c>
      <c r="E5855" t="s">
        <v>8</v>
      </c>
      <c r="F5855">
        <v>3</v>
      </c>
      <c r="G5855" t="str">
        <f>VLOOKUP(D5855,Товары!A:I,3,0)</f>
        <v>Тумба с раковиной  напол. Нева 600 белый 2 двери + 1 ящик с умыв. Como</v>
      </c>
      <c r="H5855">
        <f>VLOOKUP(D5855,Товары!A:I,6,0)</f>
        <v>80</v>
      </c>
      <c r="I5855" t="str">
        <f>VLOOKUP(C5855,Магазины!A:C,3,0)</f>
        <v>Оренбург</v>
      </c>
      <c r="J5855">
        <f>VLOOKUP(D5855,Товары!A:I,4,0)</f>
        <v>13470</v>
      </c>
      <c r="K5855">
        <f t="shared" si="91"/>
        <v>40410</v>
      </c>
    </row>
    <row r="5856" spans="1:11" hidden="1" x14ac:dyDescent="0.25">
      <c r="A5856">
        <v>5855</v>
      </c>
      <c r="B5856" s="1">
        <v>45750</v>
      </c>
      <c r="C5856" t="s">
        <v>26</v>
      </c>
      <c r="D5856" t="s">
        <v>116</v>
      </c>
      <c r="E5856" t="s">
        <v>13</v>
      </c>
      <c r="F5856">
        <v>3</v>
      </c>
      <c r="G5856" t="str">
        <f>VLOOKUP(D5856,Товары!A:I,3,0)</f>
        <v>Зеркало Нева 60 дуб/белый со светильником</v>
      </c>
      <c r="H5856">
        <f>VLOOKUP(D5856,Товары!A:I,6,0)</f>
        <v>80</v>
      </c>
      <c r="I5856" t="str">
        <f>VLOOKUP(C5856,Магазины!A:C,3,0)</f>
        <v>Оренбург</v>
      </c>
      <c r="J5856">
        <f>VLOOKUP(D5856,Товары!A:I,4,0)</f>
        <v>5100</v>
      </c>
      <c r="K5856">
        <f t="shared" si="91"/>
        <v>15300</v>
      </c>
    </row>
    <row r="5857" spans="1:11" hidden="1" x14ac:dyDescent="0.25">
      <c r="A5857">
        <v>5856</v>
      </c>
      <c r="B5857" s="1">
        <v>45756</v>
      </c>
      <c r="C5857" t="s">
        <v>41</v>
      </c>
      <c r="D5857" t="s">
        <v>122</v>
      </c>
      <c r="E5857" t="s">
        <v>8</v>
      </c>
      <c r="F5857">
        <v>1</v>
      </c>
      <c r="G5857" t="str">
        <f>VLOOKUP(D5857,Товары!A:I,3,0)</f>
        <v>Тумба с раковиной  навес. Кристалл 600 шато азур 2 ящика с умыв. Океан</v>
      </c>
      <c r="H5857">
        <f>VLOOKUP(D5857,Товары!A:I,6,0)</f>
        <v>55</v>
      </c>
      <c r="I5857" t="str">
        <f>VLOOKUP(C5857,Магазины!A:C,3,0)</f>
        <v>Ставрополь</v>
      </c>
      <c r="J5857">
        <f>VLOOKUP(D5857,Товары!A:I,4,0)</f>
        <v>21960</v>
      </c>
      <c r="K5857">
        <f t="shared" si="91"/>
        <v>21960</v>
      </c>
    </row>
    <row r="5858" spans="1:11" hidden="1" x14ac:dyDescent="0.25">
      <c r="A5858">
        <v>5857</v>
      </c>
      <c r="B5858" s="1">
        <v>45750</v>
      </c>
      <c r="C5858" t="s">
        <v>9</v>
      </c>
      <c r="D5858" t="s">
        <v>88</v>
      </c>
      <c r="E5858" t="s">
        <v>13</v>
      </c>
      <c r="F5858">
        <v>1</v>
      </c>
      <c r="G5858" t="str">
        <f>VLOOKUP(D5858,Товары!A:I,3,0)</f>
        <v>Тумба с раковиной  навес. Альба 800 антрацит 2 ящика с умыв. Слим</v>
      </c>
      <c r="H5858">
        <f>VLOOKUP(D5858,Товары!A:I,6,0)</f>
        <v>50</v>
      </c>
      <c r="I5858" t="str">
        <f>VLOOKUP(C5858,Магазины!A:C,3,0)</f>
        <v>Кемерово</v>
      </c>
      <c r="J5858">
        <f>VLOOKUP(D5858,Товары!A:I,4,0)</f>
        <v>26070</v>
      </c>
      <c r="K5858">
        <f t="shared" si="91"/>
        <v>26070</v>
      </c>
    </row>
    <row r="5859" spans="1:11" hidden="1" x14ac:dyDescent="0.25">
      <c r="A5859">
        <v>5858</v>
      </c>
      <c r="B5859" s="1">
        <v>45757</v>
      </c>
      <c r="C5859" t="s">
        <v>58</v>
      </c>
      <c r="D5859" t="s">
        <v>37</v>
      </c>
      <c r="E5859" t="s">
        <v>8</v>
      </c>
      <c r="F5859">
        <v>2</v>
      </c>
      <c r="G5859" t="str">
        <f>VLOOKUP(D5859,Товары!A:I,3,0)</f>
        <v>Зеркальный шкаф Сохо 70 белый со светильником правый цвет Белый глянец</v>
      </c>
      <c r="H5859">
        <f>VLOOKUP(D5859,Товары!A:I,6,0)</f>
        <v>75</v>
      </c>
      <c r="I5859" t="str">
        <f>VLOOKUP(C5859,Магазины!A:C,3,0)</f>
        <v>Ставрополь</v>
      </c>
      <c r="J5859">
        <f>VLOOKUP(D5859,Товары!A:I,4,0)</f>
        <v>7935</v>
      </c>
      <c r="K5859">
        <f t="shared" si="91"/>
        <v>15870</v>
      </c>
    </row>
    <row r="5860" spans="1:11" hidden="1" x14ac:dyDescent="0.25">
      <c r="A5860">
        <v>5859</v>
      </c>
      <c r="B5860" s="1">
        <v>45757</v>
      </c>
      <c r="C5860" t="s">
        <v>57</v>
      </c>
      <c r="D5860" t="s">
        <v>64</v>
      </c>
      <c r="E5860" t="s">
        <v>13</v>
      </c>
      <c r="F5860">
        <v>1</v>
      </c>
      <c r="G5860" t="str">
        <f>VLOOKUP(D5860,Товары!A:I,3,0)</f>
        <v>Тумба с раковиной  напол. Рица 800 антрацит 2 ящика с умыв. Слим</v>
      </c>
      <c r="H5860">
        <f>VLOOKUP(D5860,Товары!A:I,6,0)</f>
        <v>80</v>
      </c>
      <c r="I5860" t="str">
        <f>VLOOKUP(C5860,Магазины!A:C,3,0)</f>
        <v>Оренбург</v>
      </c>
      <c r="J5860">
        <f>VLOOKUP(D5860,Товары!A:I,4,0)</f>
        <v>28980</v>
      </c>
      <c r="K5860">
        <f t="shared" si="91"/>
        <v>28980</v>
      </c>
    </row>
    <row r="5861" spans="1:11" hidden="1" x14ac:dyDescent="0.25">
      <c r="A5861">
        <v>5860</v>
      </c>
      <c r="B5861" s="1">
        <v>45756</v>
      </c>
      <c r="C5861" t="s">
        <v>57</v>
      </c>
      <c r="D5861" t="s">
        <v>106</v>
      </c>
      <c r="E5861" t="s">
        <v>8</v>
      </c>
      <c r="F5861">
        <v>3</v>
      </c>
      <c r="G5861" t="str">
        <f>VLOOKUP(D5861,Товары!A:I,3,0)</f>
        <v>Тумба с раковиной  навес. Кристалл 700 шато азур 2 ящика с умыв. Слим</v>
      </c>
      <c r="H5861">
        <f>VLOOKUP(D5861,Товары!A:I,6,0)</f>
        <v>60</v>
      </c>
      <c r="I5861" t="str">
        <f>VLOOKUP(C5861,Магазины!A:C,3,0)</f>
        <v>Оренбург</v>
      </c>
      <c r="J5861">
        <f>VLOOKUP(D5861,Товары!A:I,4,0)</f>
        <v>24150</v>
      </c>
      <c r="K5861">
        <f t="shared" si="91"/>
        <v>72450</v>
      </c>
    </row>
    <row r="5862" spans="1:11" hidden="1" x14ac:dyDescent="0.25">
      <c r="A5862">
        <v>5861</v>
      </c>
      <c r="B5862" s="1">
        <v>45755</v>
      </c>
      <c r="C5862" t="s">
        <v>11</v>
      </c>
      <c r="D5862" t="s">
        <v>125</v>
      </c>
      <c r="E5862" t="s">
        <v>8</v>
      </c>
      <c r="F5862">
        <v>1</v>
      </c>
      <c r="G5862" t="str">
        <f>VLOOKUP(D5862,Товары!A:I,3,0)</f>
        <v>Зеркальный шкаф Сохо 60 белый со светильником правый цвет Белый глянец</v>
      </c>
      <c r="H5862">
        <f>VLOOKUP(D5862,Товары!A:I,6,0)</f>
        <v>75</v>
      </c>
      <c r="I5862" t="str">
        <f>VLOOKUP(C5862,Магазины!A:C,3,0)</f>
        <v>Кемерово</v>
      </c>
      <c r="J5862">
        <f>VLOOKUP(D5862,Товары!A:I,4,0)</f>
        <v>7395</v>
      </c>
      <c r="K5862">
        <f t="shared" si="91"/>
        <v>7395</v>
      </c>
    </row>
    <row r="5863" spans="1:11" hidden="1" x14ac:dyDescent="0.25">
      <c r="A5863">
        <v>5862</v>
      </c>
      <c r="B5863" s="1">
        <v>45749</v>
      </c>
      <c r="C5863" t="s">
        <v>33</v>
      </c>
      <c r="D5863" t="s">
        <v>59</v>
      </c>
      <c r="E5863" t="s">
        <v>13</v>
      </c>
      <c r="F5863">
        <v>1</v>
      </c>
      <c r="G5863" t="str">
        <f>VLOOKUP(D5863,Товары!A:I,3,0)</f>
        <v>Тумба с раковиной  навес. Куба Риф 600 белый 2 ящика с умыв. Океан</v>
      </c>
      <c r="H5863">
        <f>VLOOKUP(D5863,Товары!A:I,6,0)</f>
        <v>55</v>
      </c>
      <c r="I5863" t="str">
        <f>VLOOKUP(C5863,Магазины!A:C,3,0)</f>
        <v>Набережные Челны</v>
      </c>
      <c r="J5863">
        <f>VLOOKUP(D5863,Товары!A:I,4,0)</f>
        <v>15765</v>
      </c>
      <c r="K5863">
        <f t="shared" si="91"/>
        <v>15765</v>
      </c>
    </row>
    <row r="5864" spans="1:11" hidden="1" x14ac:dyDescent="0.25">
      <c r="A5864">
        <v>5863</v>
      </c>
      <c r="B5864" s="1">
        <v>45752</v>
      </c>
      <c r="C5864" t="s">
        <v>41</v>
      </c>
      <c r="D5864" t="s">
        <v>115</v>
      </c>
      <c r="E5864" t="s">
        <v>13</v>
      </c>
      <c r="F5864">
        <v>2</v>
      </c>
      <c r="G5864" t="str">
        <f>VLOOKUP(D5864,Товары!A:I,3,0)</f>
        <v>Тумба под стиральную машину Куба Риф 57 напольная 2 ящика под ст/маш, без умывальника /под Marshall 120 Белый</v>
      </c>
      <c r="H5864">
        <f>VLOOKUP(D5864,Товары!A:I,6,0)</f>
        <v>85</v>
      </c>
      <c r="I5864" t="str">
        <f>VLOOKUP(C5864,Магазины!A:C,3,0)</f>
        <v>Ставрополь</v>
      </c>
      <c r="J5864">
        <f>VLOOKUP(D5864,Товары!A:I,4,0)</f>
        <v>10530</v>
      </c>
      <c r="K5864">
        <f t="shared" si="91"/>
        <v>21060</v>
      </c>
    </row>
    <row r="5865" spans="1:11" hidden="1" x14ac:dyDescent="0.25">
      <c r="A5865">
        <v>5864</v>
      </c>
      <c r="B5865" s="1">
        <v>45750</v>
      </c>
      <c r="C5865" t="s">
        <v>28</v>
      </c>
      <c r="D5865" t="s">
        <v>27</v>
      </c>
      <c r="E5865" t="s">
        <v>13</v>
      </c>
      <c r="F5865">
        <v>3</v>
      </c>
      <c r="G5865" t="str">
        <f>VLOOKUP(D5865,Товары!A:I,3,0)</f>
        <v>Тумба с раковиной  навес. Виктория 800 белый 2 ящика с умыв. Слим</v>
      </c>
      <c r="H5865">
        <f>VLOOKUP(D5865,Товары!A:I,6,0)</f>
        <v>60</v>
      </c>
      <c r="I5865" t="str">
        <f>VLOOKUP(C5865,Магазины!A:C,3,0)</f>
        <v>Набережные Челны</v>
      </c>
      <c r="J5865">
        <f>VLOOKUP(D5865,Товары!A:I,4,0)</f>
        <v>25290</v>
      </c>
      <c r="K5865">
        <f t="shared" si="91"/>
        <v>75870</v>
      </c>
    </row>
    <row r="5866" spans="1:11" hidden="1" x14ac:dyDescent="0.25">
      <c r="A5866">
        <v>5865</v>
      </c>
      <c r="B5866" s="1">
        <v>45756</v>
      </c>
      <c r="C5866" t="s">
        <v>18</v>
      </c>
      <c r="D5866" t="s">
        <v>29</v>
      </c>
      <c r="E5866" t="s">
        <v>13</v>
      </c>
      <c r="F5866">
        <v>2</v>
      </c>
      <c r="G5866" t="str">
        <f>VLOOKUP(D5866,Товары!A:I,3,0)</f>
        <v>Тумба с раковиной  напол. Леон Риф 600 солярис/белый риф 2 ящика с умыв. Океан</v>
      </c>
      <c r="H5866">
        <f>VLOOKUP(D5866,Товары!A:I,6,0)</f>
        <v>80</v>
      </c>
      <c r="I5866" t="str">
        <f>VLOOKUP(C5866,Магазины!A:C,3,0)</f>
        <v>Набережные Челны</v>
      </c>
      <c r="J5866">
        <f>VLOOKUP(D5866,Товары!A:I,4,0)</f>
        <v>24150</v>
      </c>
      <c r="K5866">
        <f t="shared" si="91"/>
        <v>48300</v>
      </c>
    </row>
    <row r="5867" spans="1:11" hidden="1" x14ac:dyDescent="0.25">
      <c r="A5867">
        <v>5866</v>
      </c>
      <c r="B5867" s="1">
        <v>45750</v>
      </c>
      <c r="C5867" t="s">
        <v>33</v>
      </c>
      <c r="D5867" t="s">
        <v>123</v>
      </c>
      <c r="E5867" t="s">
        <v>8</v>
      </c>
      <c r="F5867">
        <v>3</v>
      </c>
      <c r="G5867" t="str">
        <f>VLOOKUP(D5867,Товары!A:I,3,0)</f>
        <v>Тумба с раковиной  напол. Кристалл 800 суфле 2 ящика с умыв. Слим</v>
      </c>
      <c r="H5867">
        <f>VLOOKUP(D5867,Товары!A:I,6,0)</f>
        <v>80</v>
      </c>
      <c r="I5867" t="str">
        <f>VLOOKUP(C5867,Магазины!A:C,3,0)</f>
        <v>Набережные Челны</v>
      </c>
      <c r="J5867">
        <f>VLOOKUP(D5867,Товары!A:I,4,0)</f>
        <v>31125</v>
      </c>
      <c r="K5867">
        <f t="shared" si="91"/>
        <v>93375</v>
      </c>
    </row>
    <row r="5868" spans="1:11" hidden="1" x14ac:dyDescent="0.25">
      <c r="A5868">
        <v>5867</v>
      </c>
      <c r="B5868" s="1">
        <v>45749</v>
      </c>
      <c r="C5868" t="s">
        <v>18</v>
      </c>
      <c r="D5868" t="s">
        <v>70</v>
      </c>
      <c r="E5868" t="s">
        <v>13</v>
      </c>
      <c r="F5868">
        <v>3</v>
      </c>
      <c r="G5868" t="str">
        <f>VLOOKUP(D5868,Товары!A:I,3,0)</f>
        <v>Тумба с раковиной  напол. Кристалл 700 шато азур 2 ящика с умыв. Слим</v>
      </c>
      <c r="H5868">
        <f>VLOOKUP(D5868,Товары!A:I,6,0)</f>
        <v>85</v>
      </c>
      <c r="I5868" t="str">
        <f>VLOOKUP(C5868,Магазины!A:C,3,0)</f>
        <v>Набережные Челны</v>
      </c>
      <c r="J5868">
        <f>VLOOKUP(D5868,Товары!A:I,4,0)</f>
        <v>29910</v>
      </c>
      <c r="K5868">
        <f t="shared" si="91"/>
        <v>89730</v>
      </c>
    </row>
    <row r="5869" spans="1:11" hidden="1" x14ac:dyDescent="0.25">
      <c r="A5869">
        <v>5868</v>
      </c>
      <c r="B5869" s="1">
        <v>45751</v>
      </c>
      <c r="C5869" t="s">
        <v>6</v>
      </c>
      <c r="D5869" t="s">
        <v>112</v>
      </c>
      <c r="E5869" t="s">
        <v>13</v>
      </c>
      <c r="F5869">
        <v>2</v>
      </c>
      <c r="G5869" t="str">
        <f>VLOOKUP(D5869,Товары!A:I,3,0)</f>
        <v>Тумба с раковиной  напол. Аква 560 белый 2 двери с умыв. Уют</v>
      </c>
      <c r="H5869">
        <f>VLOOKUP(D5869,Товары!A:I,6,0)</f>
        <v>85</v>
      </c>
      <c r="I5869" t="str">
        <f>VLOOKUP(C5869,Магазины!A:C,3,0)</f>
        <v>Оренбург</v>
      </c>
      <c r="J5869">
        <f>VLOOKUP(D5869,Товары!A:I,4,0)</f>
        <v>9330</v>
      </c>
      <c r="K5869">
        <f t="shared" si="91"/>
        <v>18660</v>
      </c>
    </row>
    <row r="5870" spans="1:11" hidden="1" x14ac:dyDescent="0.25">
      <c r="A5870">
        <v>5869</v>
      </c>
      <c r="B5870" s="1">
        <v>45748</v>
      </c>
      <c r="C5870" t="s">
        <v>57</v>
      </c>
      <c r="D5870" t="s">
        <v>130</v>
      </c>
      <c r="E5870" t="s">
        <v>13</v>
      </c>
      <c r="F5870">
        <v>3</v>
      </c>
      <c r="G5870" t="str">
        <f>VLOOKUP(D5870,Товары!A:I,3,0)</f>
        <v>Пенал напол. Леон 400 форест 2 двери + 1 ящик</v>
      </c>
      <c r="H5870">
        <f>VLOOKUP(D5870,Товары!A:I,6,0)</f>
        <v>190</v>
      </c>
      <c r="I5870" t="str">
        <f>VLOOKUP(C5870,Магазины!A:C,3,0)</f>
        <v>Оренбург</v>
      </c>
      <c r="J5870">
        <f>VLOOKUP(D5870,Товары!A:I,4,0)</f>
        <v>18450</v>
      </c>
      <c r="K5870">
        <f t="shared" si="91"/>
        <v>55350</v>
      </c>
    </row>
    <row r="5871" spans="1:11" hidden="1" x14ac:dyDescent="0.25">
      <c r="A5871">
        <v>5870</v>
      </c>
      <c r="B5871" s="1">
        <v>45750</v>
      </c>
      <c r="C5871" t="s">
        <v>63</v>
      </c>
      <c r="D5871" t="s">
        <v>114</v>
      </c>
      <c r="E5871" t="s">
        <v>8</v>
      </c>
      <c r="F5871">
        <v>1</v>
      </c>
      <c r="G5871" t="str">
        <f>VLOOKUP(D5871,Товары!A:I,3,0)</f>
        <v>Тумба с раковиной  навес. Альба 700 мята 2 ящика с умыв. Слим</v>
      </c>
      <c r="H5871">
        <f>VLOOKUP(D5871,Товары!A:I,6,0)</f>
        <v>60</v>
      </c>
      <c r="I5871" t="str">
        <f>VLOOKUP(C5871,Магазины!A:C,3,0)</f>
        <v>Ставрополь</v>
      </c>
      <c r="J5871">
        <f>VLOOKUP(D5871,Товары!A:I,4,0)</f>
        <v>25095</v>
      </c>
      <c r="K5871">
        <f t="shared" si="91"/>
        <v>25095</v>
      </c>
    </row>
    <row r="5872" spans="1:11" hidden="1" x14ac:dyDescent="0.25">
      <c r="A5872">
        <v>5871</v>
      </c>
      <c r="B5872" s="1">
        <v>45755</v>
      </c>
      <c r="C5872" t="s">
        <v>58</v>
      </c>
      <c r="D5872" t="s">
        <v>45</v>
      </c>
      <c r="E5872" t="s">
        <v>8</v>
      </c>
      <c r="F5872">
        <v>3</v>
      </c>
      <c r="G5872" t="str">
        <f>VLOOKUP(D5872,Товары!A:I,3,0)</f>
        <v>Зеркальный шкаф Рица 80 со светильником правый цвет cерый/керамика</v>
      </c>
      <c r="H5872">
        <f>VLOOKUP(D5872,Товары!A:I,6,0)</f>
        <v>75</v>
      </c>
      <c r="I5872" t="str">
        <f>VLOOKUP(C5872,Магазины!A:C,3,0)</f>
        <v>Ставрополь</v>
      </c>
      <c r="J5872">
        <f>VLOOKUP(D5872,Товары!A:I,4,0)</f>
        <v>9930</v>
      </c>
      <c r="K5872">
        <f t="shared" si="91"/>
        <v>29790</v>
      </c>
    </row>
    <row r="5873" spans="1:11" hidden="1" x14ac:dyDescent="0.25">
      <c r="A5873">
        <v>5872</v>
      </c>
      <c r="B5873" s="1">
        <v>45750</v>
      </c>
      <c r="C5873" t="s">
        <v>30</v>
      </c>
      <c r="D5873" t="s">
        <v>125</v>
      </c>
      <c r="E5873" t="s">
        <v>13</v>
      </c>
      <c r="F5873">
        <v>3</v>
      </c>
      <c r="G5873" t="str">
        <f>VLOOKUP(D5873,Товары!A:I,3,0)</f>
        <v>Зеркальный шкаф Сохо 60 белый со светильником правый цвет Белый глянец</v>
      </c>
      <c r="H5873">
        <f>VLOOKUP(D5873,Товары!A:I,6,0)</f>
        <v>75</v>
      </c>
      <c r="I5873" t="str">
        <f>VLOOKUP(C5873,Магазины!A:C,3,0)</f>
        <v>Кемерово</v>
      </c>
      <c r="J5873">
        <f>VLOOKUP(D5873,Товары!A:I,4,0)</f>
        <v>7395</v>
      </c>
      <c r="K5873">
        <f t="shared" si="91"/>
        <v>22185</v>
      </c>
    </row>
    <row r="5874" spans="1:11" hidden="1" x14ac:dyDescent="0.25">
      <c r="A5874">
        <v>5873</v>
      </c>
      <c r="B5874" s="1">
        <v>45753</v>
      </c>
      <c r="C5874" t="s">
        <v>11</v>
      </c>
      <c r="D5874" t="s">
        <v>51</v>
      </c>
      <c r="E5874" t="s">
        <v>8</v>
      </c>
      <c r="F5874">
        <v>2</v>
      </c>
      <c r="G5874" t="str">
        <f>VLOOKUP(D5874,Товары!A:I,3,0)</f>
        <v>Зеркальный шкаф Альба 80 со светильником правый цвет суфле</v>
      </c>
      <c r="H5874">
        <f>VLOOKUP(D5874,Товары!A:I,6,0)</f>
        <v>75</v>
      </c>
      <c r="I5874" t="str">
        <f>VLOOKUP(C5874,Магазины!A:C,3,0)</f>
        <v>Кемерово</v>
      </c>
      <c r="J5874">
        <f>VLOOKUP(D5874,Товары!A:I,4,0)</f>
        <v>9930</v>
      </c>
      <c r="K5874">
        <f t="shared" si="91"/>
        <v>19860</v>
      </c>
    </row>
    <row r="5875" spans="1:11" hidden="1" x14ac:dyDescent="0.25">
      <c r="A5875">
        <v>5874</v>
      </c>
      <c r="B5875" s="1">
        <v>45757</v>
      </c>
      <c r="C5875" t="s">
        <v>63</v>
      </c>
      <c r="D5875" t="s">
        <v>49</v>
      </c>
      <c r="E5875" t="s">
        <v>8</v>
      </c>
      <c r="F5875">
        <v>2</v>
      </c>
      <c r="G5875" t="str">
        <f>VLOOKUP(D5875,Товары!A:I,3,0)</f>
        <v>Тумба с раковиной  напол. Леон 700 оникс 2 ящика с умыв. Слим</v>
      </c>
      <c r="H5875">
        <f>VLOOKUP(D5875,Товары!A:I,6,0)</f>
        <v>80</v>
      </c>
      <c r="I5875" t="str">
        <f>VLOOKUP(C5875,Магазины!A:C,3,0)</f>
        <v>Ставрополь</v>
      </c>
      <c r="J5875">
        <f>VLOOKUP(D5875,Товары!A:I,4,0)</f>
        <v>28380</v>
      </c>
      <c r="K5875">
        <f t="shared" si="91"/>
        <v>56760</v>
      </c>
    </row>
    <row r="5876" spans="1:11" hidden="1" x14ac:dyDescent="0.25">
      <c r="A5876">
        <v>5875</v>
      </c>
      <c r="B5876" s="1">
        <v>45751</v>
      </c>
      <c r="C5876" t="s">
        <v>58</v>
      </c>
      <c r="D5876" t="s">
        <v>85</v>
      </c>
      <c r="E5876" t="s">
        <v>8</v>
      </c>
      <c r="F5876">
        <v>3</v>
      </c>
      <c r="G5876" t="str">
        <f>VLOOKUP(D5876,Товары!A:I,3,0)</f>
        <v>Пенал напол. Аква 450 белый 2 двери + 2 ящика + корзина</v>
      </c>
      <c r="H5876">
        <f>VLOOKUP(D5876,Товары!A:I,6,0)</f>
        <v>190</v>
      </c>
      <c r="I5876" t="str">
        <f>VLOOKUP(C5876,Магазины!A:C,3,0)</f>
        <v>Ставрополь</v>
      </c>
      <c r="J5876">
        <f>VLOOKUP(D5876,Товары!A:I,4,0)</f>
        <v>13335</v>
      </c>
      <c r="K5876">
        <f t="shared" si="91"/>
        <v>40005</v>
      </c>
    </row>
    <row r="5877" spans="1:11" hidden="1" x14ac:dyDescent="0.25">
      <c r="A5877">
        <v>5876</v>
      </c>
      <c r="B5877" s="1">
        <v>45750</v>
      </c>
      <c r="C5877" t="s">
        <v>18</v>
      </c>
      <c r="D5877" t="s">
        <v>25</v>
      </c>
      <c r="E5877" t="s">
        <v>13</v>
      </c>
      <c r="F5877">
        <v>3</v>
      </c>
      <c r="G5877" t="str">
        <f>VLOOKUP(D5877,Товары!A:I,3,0)</f>
        <v>Пенал напол. Леон 400 оникс 2 двери + 1 ящик</v>
      </c>
      <c r="H5877">
        <f>VLOOKUP(D5877,Товары!A:I,6,0)</f>
        <v>190</v>
      </c>
      <c r="I5877" t="str">
        <f>VLOOKUP(C5877,Магазины!A:C,3,0)</f>
        <v>Набережные Челны</v>
      </c>
      <c r="J5877">
        <f>VLOOKUP(D5877,Товары!A:I,4,0)</f>
        <v>18450</v>
      </c>
      <c r="K5877">
        <f t="shared" si="91"/>
        <v>55350</v>
      </c>
    </row>
    <row r="5878" spans="1:11" hidden="1" x14ac:dyDescent="0.25">
      <c r="A5878">
        <v>5877</v>
      </c>
      <c r="B5878" s="1">
        <v>45756</v>
      </c>
      <c r="C5878" t="s">
        <v>43</v>
      </c>
      <c r="D5878" t="s">
        <v>112</v>
      </c>
      <c r="E5878" t="s">
        <v>8</v>
      </c>
      <c r="F5878">
        <v>3</v>
      </c>
      <c r="G5878" t="str">
        <f>VLOOKUP(D5878,Товары!A:I,3,0)</f>
        <v>Тумба с раковиной  напол. Аква 560 белый 2 двери с умыв. Уют</v>
      </c>
      <c r="H5878">
        <f>VLOOKUP(D5878,Товары!A:I,6,0)</f>
        <v>85</v>
      </c>
      <c r="I5878" t="str">
        <f>VLOOKUP(C5878,Магазины!A:C,3,0)</f>
        <v>Набережные Челны</v>
      </c>
      <c r="J5878">
        <f>VLOOKUP(D5878,Товары!A:I,4,0)</f>
        <v>9330</v>
      </c>
      <c r="K5878">
        <f t="shared" si="91"/>
        <v>27990</v>
      </c>
    </row>
    <row r="5879" spans="1:11" hidden="1" x14ac:dyDescent="0.25">
      <c r="A5879">
        <v>5878</v>
      </c>
      <c r="B5879" s="1">
        <v>45754</v>
      </c>
      <c r="C5879" t="s">
        <v>92</v>
      </c>
      <c r="D5879" t="s">
        <v>126</v>
      </c>
      <c r="E5879" t="s">
        <v>8</v>
      </c>
      <c r="F5879">
        <v>1</v>
      </c>
      <c r="G5879" t="str">
        <f>VLOOKUP(D5879,Товары!A:I,3,0)</f>
        <v>Тумба с раковиной  напол. Кристалл 800 шато азур 2 ящика с умыв. Комфорт</v>
      </c>
      <c r="H5879">
        <f>VLOOKUP(D5879,Товары!A:I,6,0)</f>
        <v>85</v>
      </c>
      <c r="I5879" t="str">
        <f>VLOOKUP(C5879,Магазины!A:C,3,0)</f>
        <v>Кемерово</v>
      </c>
      <c r="J5879">
        <f>VLOOKUP(D5879,Товары!A:I,4,0)</f>
        <v>31125</v>
      </c>
      <c r="K5879">
        <f t="shared" si="91"/>
        <v>31125</v>
      </c>
    </row>
    <row r="5880" spans="1:11" hidden="1" x14ac:dyDescent="0.25">
      <c r="A5880">
        <v>5879</v>
      </c>
      <c r="B5880" s="1">
        <v>45752</v>
      </c>
      <c r="C5880" t="s">
        <v>9</v>
      </c>
      <c r="D5880" t="s">
        <v>94</v>
      </c>
      <c r="E5880" t="s">
        <v>13</v>
      </c>
      <c r="F5880">
        <v>1</v>
      </c>
      <c r="G5880" t="str">
        <f>VLOOKUP(D5880,Товары!A:I,3,0)</f>
        <v>Зеркальный шкаф Альба 80 со светильником правый цвет антрацит</v>
      </c>
      <c r="H5880">
        <f>VLOOKUP(D5880,Товары!A:I,6,0)</f>
        <v>75</v>
      </c>
      <c r="I5880" t="str">
        <f>VLOOKUP(C5880,Магазины!A:C,3,0)</f>
        <v>Кемерово</v>
      </c>
      <c r="J5880">
        <f>VLOOKUP(D5880,Товары!A:I,4,0)</f>
        <v>9930</v>
      </c>
      <c r="K5880">
        <f t="shared" si="91"/>
        <v>9930</v>
      </c>
    </row>
    <row r="5881" spans="1:11" hidden="1" x14ac:dyDescent="0.25">
      <c r="A5881">
        <v>5880</v>
      </c>
      <c r="B5881" s="1">
        <v>45756</v>
      </c>
      <c r="C5881" t="s">
        <v>92</v>
      </c>
      <c r="D5881" t="s">
        <v>127</v>
      </c>
      <c r="E5881" t="s">
        <v>8</v>
      </c>
      <c r="F5881">
        <v>3</v>
      </c>
      <c r="G5881" t="str">
        <f>VLOOKUP(D5881,Товары!A:I,3,0)</f>
        <v>Тумба с раковиной  навес. Альба 700 мята 1 ящик с умыв. Слим</v>
      </c>
      <c r="H5881">
        <f>VLOOKUP(D5881,Товары!A:I,6,0)</f>
        <v>45</v>
      </c>
      <c r="I5881" t="str">
        <f>VLOOKUP(C5881,Магазины!A:C,3,0)</f>
        <v>Кемерово</v>
      </c>
      <c r="J5881">
        <f>VLOOKUP(D5881,Товары!A:I,4,0)</f>
        <v>20130</v>
      </c>
      <c r="K5881">
        <f t="shared" si="91"/>
        <v>60390</v>
      </c>
    </row>
    <row r="5882" spans="1:11" hidden="1" x14ac:dyDescent="0.25">
      <c r="A5882">
        <v>5881</v>
      </c>
      <c r="B5882" s="1">
        <v>45756</v>
      </c>
      <c r="C5882" t="s">
        <v>33</v>
      </c>
      <c r="D5882" t="s">
        <v>49</v>
      </c>
      <c r="E5882" t="s">
        <v>8</v>
      </c>
      <c r="F5882">
        <v>2</v>
      </c>
      <c r="G5882" t="str">
        <f>VLOOKUP(D5882,Товары!A:I,3,0)</f>
        <v>Тумба с раковиной  напол. Леон 700 оникс 2 ящика с умыв. Слим</v>
      </c>
      <c r="H5882">
        <f>VLOOKUP(D5882,Товары!A:I,6,0)</f>
        <v>80</v>
      </c>
      <c r="I5882" t="str">
        <f>VLOOKUP(C5882,Магазины!A:C,3,0)</f>
        <v>Набережные Челны</v>
      </c>
      <c r="J5882">
        <f>VLOOKUP(D5882,Товары!A:I,4,0)</f>
        <v>28380</v>
      </c>
      <c r="K5882">
        <f t="shared" si="91"/>
        <v>56760</v>
      </c>
    </row>
    <row r="5883" spans="1:11" hidden="1" x14ac:dyDescent="0.25">
      <c r="A5883">
        <v>5882</v>
      </c>
      <c r="B5883" s="1">
        <v>45757</v>
      </c>
      <c r="C5883" t="s">
        <v>14</v>
      </c>
      <c r="D5883" t="s">
        <v>47</v>
      </c>
      <c r="E5883" t="s">
        <v>13</v>
      </c>
      <c r="F5883">
        <v>3</v>
      </c>
      <c r="G5883" t="str">
        <f>VLOOKUP(D5883,Товары!A:I,3,0)</f>
        <v>Пенал напол. Кристалл 350 шато азур 2 двери</v>
      </c>
      <c r="H5883">
        <f>VLOOKUP(D5883,Товары!A:I,6,0)</f>
        <v>190</v>
      </c>
      <c r="I5883" t="str">
        <f>VLOOKUP(C5883,Магазины!A:C,3,0)</f>
        <v>Оренбург</v>
      </c>
      <c r="J5883">
        <f>VLOOKUP(D5883,Товары!A:I,4,0)</f>
        <v>15810</v>
      </c>
      <c r="K5883">
        <f t="shared" si="91"/>
        <v>47430</v>
      </c>
    </row>
    <row r="5884" spans="1:11" hidden="1" x14ac:dyDescent="0.25">
      <c r="A5884">
        <v>5883</v>
      </c>
      <c r="B5884" s="1">
        <v>45757</v>
      </c>
      <c r="C5884" t="s">
        <v>18</v>
      </c>
      <c r="D5884" t="s">
        <v>107</v>
      </c>
      <c r="E5884" t="s">
        <v>13</v>
      </c>
      <c r="F5884">
        <v>2</v>
      </c>
      <c r="G5884" t="str">
        <f>VLOOKUP(D5884,Товары!A:I,3,0)</f>
        <v>Комод Аква 35 напольный 1 дверь белый правый</v>
      </c>
      <c r="H5884">
        <f>VLOOKUP(D5884,Товары!A:I,6,0)</f>
        <v>90</v>
      </c>
      <c r="I5884" t="str">
        <f>VLOOKUP(C5884,Магазины!A:C,3,0)</f>
        <v>Набережные Челны</v>
      </c>
      <c r="J5884">
        <f>VLOOKUP(D5884,Товары!A:I,4,0)</f>
        <v>6705</v>
      </c>
      <c r="K5884">
        <f t="shared" si="91"/>
        <v>13410</v>
      </c>
    </row>
    <row r="5885" spans="1:11" hidden="1" x14ac:dyDescent="0.25">
      <c r="A5885">
        <v>5884</v>
      </c>
      <c r="B5885" s="1">
        <v>45754</v>
      </c>
      <c r="C5885" t="s">
        <v>103</v>
      </c>
      <c r="D5885" t="s">
        <v>120</v>
      </c>
      <c r="E5885" t="s">
        <v>13</v>
      </c>
      <c r="F5885">
        <v>2</v>
      </c>
      <c r="G5885" t="str">
        <f>VLOOKUP(D5885,Товары!A:I,3,0)</f>
        <v>Зеркальный шкаф Альба 60 со светильником правый цвет антрацит</v>
      </c>
      <c r="H5885">
        <f>VLOOKUP(D5885,Товары!A:I,6,0)</f>
        <v>75</v>
      </c>
      <c r="I5885" t="str">
        <f>VLOOKUP(C5885,Магазины!A:C,3,0)</f>
        <v>Ставрополь</v>
      </c>
      <c r="J5885">
        <f>VLOOKUP(D5885,Товары!A:I,4,0)</f>
        <v>8910</v>
      </c>
      <c r="K5885">
        <f t="shared" si="91"/>
        <v>17820</v>
      </c>
    </row>
    <row r="5886" spans="1:11" hidden="1" x14ac:dyDescent="0.25">
      <c r="A5886">
        <v>5885</v>
      </c>
      <c r="B5886" s="1">
        <v>45749</v>
      </c>
      <c r="C5886" t="s">
        <v>111</v>
      </c>
      <c r="D5886" t="s">
        <v>79</v>
      </c>
      <c r="E5886" t="s">
        <v>8</v>
      </c>
      <c r="F5886">
        <v>3</v>
      </c>
      <c r="G5886" t="str">
        <f>VLOOKUP(D5886,Товары!A:I,3,0)</f>
        <v>Зеркальный шкаф Альба 70 со светильником правый цвет мята</v>
      </c>
      <c r="H5886">
        <f>VLOOKUP(D5886,Товары!A:I,6,0)</f>
        <v>75</v>
      </c>
      <c r="I5886" t="str">
        <f>VLOOKUP(C5886,Магазины!A:C,3,0)</f>
        <v>Набережные Челны</v>
      </c>
      <c r="J5886">
        <f>VLOOKUP(D5886,Товары!A:I,4,0)</f>
        <v>9615</v>
      </c>
      <c r="K5886">
        <f t="shared" si="91"/>
        <v>28845</v>
      </c>
    </row>
    <row r="5887" spans="1:11" hidden="1" x14ac:dyDescent="0.25">
      <c r="A5887">
        <v>5886</v>
      </c>
      <c r="B5887" s="1">
        <v>45756</v>
      </c>
      <c r="C5887" t="s">
        <v>58</v>
      </c>
      <c r="D5887" t="s">
        <v>69</v>
      </c>
      <c r="E5887" t="s">
        <v>13</v>
      </c>
      <c r="F5887">
        <v>3</v>
      </c>
      <c r="G5887" t="str">
        <f>VLOOKUP(D5887,Товары!A:I,3,0)</f>
        <v>Пенал навес./напол. Альба 350 антрацит 2 двери</v>
      </c>
      <c r="H5887">
        <f>VLOOKUP(D5887,Товары!A:I,6,0)</f>
        <v>150</v>
      </c>
      <c r="I5887" t="str">
        <f>VLOOKUP(C5887,Магазины!A:C,3,0)</f>
        <v>Ставрополь</v>
      </c>
      <c r="J5887">
        <f>VLOOKUP(D5887,Товары!A:I,4,0)</f>
        <v>11655</v>
      </c>
      <c r="K5887">
        <f t="shared" si="91"/>
        <v>34965</v>
      </c>
    </row>
    <row r="5888" spans="1:11" hidden="1" x14ac:dyDescent="0.25">
      <c r="A5888">
        <v>5887</v>
      </c>
      <c r="B5888" s="1">
        <v>45753</v>
      </c>
      <c r="C5888" t="s">
        <v>63</v>
      </c>
      <c r="D5888" t="s">
        <v>100</v>
      </c>
      <c r="E5888" t="s">
        <v>8</v>
      </c>
      <c r="F5888">
        <v>3</v>
      </c>
      <c r="G5888" t="str">
        <f>VLOOKUP(D5888,Товары!A:I,3,0)</f>
        <v>Тумба с раковиной  навес. Альба 800 мята 1 ящик с умыв. Слим</v>
      </c>
      <c r="H5888">
        <f>VLOOKUP(D5888,Товары!A:I,6,0)</f>
        <v>45</v>
      </c>
      <c r="I5888" t="str">
        <f>VLOOKUP(C5888,Магазины!A:C,3,0)</f>
        <v>Ставрополь</v>
      </c>
      <c r="J5888">
        <f>VLOOKUP(D5888,Товары!A:I,4,0)</f>
        <v>21630</v>
      </c>
      <c r="K5888">
        <f t="shared" si="91"/>
        <v>64890</v>
      </c>
    </row>
    <row r="5889" spans="1:11" hidden="1" x14ac:dyDescent="0.25">
      <c r="A5889">
        <v>5888</v>
      </c>
      <c r="B5889" s="1">
        <v>45756</v>
      </c>
      <c r="C5889" t="s">
        <v>18</v>
      </c>
      <c r="D5889" t="s">
        <v>112</v>
      </c>
      <c r="E5889" t="s">
        <v>8</v>
      </c>
      <c r="F5889">
        <v>3</v>
      </c>
      <c r="G5889" t="str">
        <f>VLOOKUP(D5889,Товары!A:I,3,0)</f>
        <v>Тумба с раковиной  напол. Аква 560 белый 2 двери с умыв. Уют</v>
      </c>
      <c r="H5889">
        <f>VLOOKUP(D5889,Товары!A:I,6,0)</f>
        <v>85</v>
      </c>
      <c r="I5889" t="str">
        <f>VLOOKUP(C5889,Магазины!A:C,3,0)</f>
        <v>Набережные Челны</v>
      </c>
      <c r="J5889">
        <f>VLOOKUP(D5889,Товары!A:I,4,0)</f>
        <v>9330</v>
      </c>
      <c r="K5889">
        <f t="shared" si="91"/>
        <v>27990</v>
      </c>
    </row>
    <row r="5890" spans="1:11" hidden="1" x14ac:dyDescent="0.25">
      <c r="A5890">
        <v>5889</v>
      </c>
      <c r="B5890" s="1">
        <v>45749</v>
      </c>
      <c r="C5890" t="s">
        <v>11</v>
      </c>
      <c r="D5890" t="s">
        <v>60</v>
      </c>
      <c r="E5890" t="s">
        <v>8</v>
      </c>
      <c r="F5890">
        <v>2</v>
      </c>
      <c r="G5890" t="str">
        <f>VLOOKUP(D5890,Товары!A:I,3,0)</f>
        <v>Пенал навес. Куба Риф 350 белый 2 двери</v>
      </c>
      <c r="H5890">
        <f>VLOOKUP(D5890,Товары!A:I,6,0)</f>
        <v>150</v>
      </c>
      <c r="I5890" t="str">
        <f>VLOOKUP(C5890,Магазины!A:C,3,0)</f>
        <v>Кемерово</v>
      </c>
      <c r="J5890">
        <f>VLOOKUP(D5890,Товары!A:I,4,0)</f>
        <v>9720</v>
      </c>
      <c r="K5890">
        <f t="shared" si="91"/>
        <v>19440</v>
      </c>
    </row>
    <row r="5891" spans="1:11" hidden="1" x14ac:dyDescent="0.25">
      <c r="A5891">
        <v>5890</v>
      </c>
      <c r="B5891" s="1">
        <v>45756</v>
      </c>
      <c r="C5891" t="s">
        <v>57</v>
      </c>
      <c r="D5891" t="s">
        <v>93</v>
      </c>
      <c r="E5891" t="s">
        <v>13</v>
      </c>
      <c r="F5891">
        <v>1</v>
      </c>
      <c r="G5891" t="str">
        <f>VLOOKUP(D5891,Товары!A:I,3,0)</f>
        <v>Тумба с раковиной  напол. Леон Риф 800 солярис/белый риф 2 ящика с умыв. Слим</v>
      </c>
      <c r="H5891">
        <f>VLOOKUP(D5891,Товары!A:I,6,0)</f>
        <v>80</v>
      </c>
      <c r="I5891" t="str">
        <f>VLOOKUP(C5891,Магазины!A:C,3,0)</f>
        <v>Оренбург</v>
      </c>
      <c r="J5891">
        <f>VLOOKUP(D5891,Товары!A:I,4,0)</f>
        <v>29340</v>
      </c>
      <c r="K5891">
        <f t="shared" ref="K5891:K5954" si="92">J5891*F5891</f>
        <v>29340</v>
      </c>
    </row>
    <row r="5892" spans="1:11" hidden="1" x14ac:dyDescent="0.25">
      <c r="A5892">
        <v>5891</v>
      </c>
      <c r="B5892" s="1">
        <v>45757</v>
      </c>
      <c r="C5892" t="s">
        <v>63</v>
      </c>
      <c r="D5892" t="s">
        <v>23</v>
      </c>
      <c r="E5892" t="s">
        <v>13</v>
      </c>
      <c r="F5892">
        <v>2</v>
      </c>
      <c r="G5892" t="str">
        <f>VLOOKUP(D5892,Товары!A:I,3,0)</f>
        <v>Тумба с раковиной  напол. Альба 800 антрацит 2 ящика с умыв. Слим</v>
      </c>
      <c r="H5892">
        <f>VLOOKUP(D5892,Товары!A:I,6,0)</f>
        <v>80</v>
      </c>
      <c r="I5892" t="str">
        <f>VLOOKUP(C5892,Магазины!A:C,3,0)</f>
        <v>Ставрополь</v>
      </c>
      <c r="J5892">
        <f>VLOOKUP(D5892,Товары!A:I,4,0)</f>
        <v>29340</v>
      </c>
      <c r="K5892">
        <f t="shared" si="92"/>
        <v>58680</v>
      </c>
    </row>
    <row r="5893" spans="1:11" hidden="1" x14ac:dyDescent="0.25">
      <c r="A5893">
        <v>5892</v>
      </c>
      <c r="B5893" s="1">
        <v>45749</v>
      </c>
      <c r="C5893" t="s">
        <v>111</v>
      </c>
      <c r="D5893" t="s">
        <v>52</v>
      </c>
      <c r="E5893" t="s">
        <v>8</v>
      </c>
      <c r="F5893">
        <v>3</v>
      </c>
      <c r="G5893" t="str">
        <f>VLOOKUP(D5893,Товары!A:I,3,0)</f>
        <v>Тумба с раковиной  напол. Кристалл 600 суфле 2 ящика с умыв. Океан</v>
      </c>
      <c r="H5893">
        <f>VLOOKUP(D5893,Товары!A:I,6,0)</f>
        <v>80</v>
      </c>
      <c r="I5893" t="str">
        <f>VLOOKUP(C5893,Магазины!A:C,3,0)</f>
        <v>Набережные Челны</v>
      </c>
      <c r="J5893">
        <f>VLOOKUP(D5893,Товары!A:I,4,0)</f>
        <v>27600</v>
      </c>
      <c r="K5893">
        <f t="shared" si="92"/>
        <v>82800</v>
      </c>
    </row>
    <row r="5894" spans="1:11" hidden="1" x14ac:dyDescent="0.25">
      <c r="A5894">
        <v>5893</v>
      </c>
      <c r="B5894" s="1">
        <v>45749</v>
      </c>
      <c r="C5894" t="s">
        <v>18</v>
      </c>
      <c r="D5894" t="s">
        <v>96</v>
      </c>
      <c r="E5894" t="s">
        <v>13</v>
      </c>
      <c r="F5894">
        <v>3</v>
      </c>
      <c r="G5894" t="str">
        <f>VLOOKUP(D5894,Товары!A:I,3,0)</f>
        <v>Тумба с раковиной  навес. Альба 600 мята 1 ящик с умыв. Океан</v>
      </c>
      <c r="H5894">
        <f>VLOOKUP(D5894,Товары!A:I,6,0)</f>
        <v>85</v>
      </c>
      <c r="I5894" t="str">
        <f>VLOOKUP(C5894,Магазины!A:C,3,0)</f>
        <v>Набережные Челны</v>
      </c>
      <c r="J5894">
        <f>VLOOKUP(D5894,Товары!A:I,4,0)</f>
        <v>17625</v>
      </c>
      <c r="K5894">
        <f t="shared" si="92"/>
        <v>52875</v>
      </c>
    </row>
    <row r="5895" spans="1:11" hidden="1" x14ac:dyDescent="0.25">
      <c r="A5895">
        <v>5894</v>
      </c>
      <c r="B5895" s="1">
        <v>45754</v>
      </c>
      <c r="C5895" t="s">
        <v>14</v>
      </c>
      <c r="D5895" t="s">
        <v>125</v>
      </c>
      <c r="E5895" t="s">
        <v>8</v>
      </c>
      <c r="F5895">
        <v>1</v>
      </c>
      <c r="G5895" t="str">
        <f>VLOOKUP(D5895,Товары!A:I,3,0)</f>
        <v>Зеркальный шкаф Сохо 60 белый со светильником правый цвет Белый глянец</v>
      </c>
      <c r="H5895">
        <f>VLOOKUP(D5895,Товары!A:I,6,0)</f>
        <v>75</v>
      </c>
      <c r="I5895" t="str">
        <f>VLOOKUP(C5895,Магазины!A:C,3,0)</f>
        <v>Оренбург</v>
      </c>
      <c r="J5895">
        <f>VLOOKUP(D5895,Товары!A:I,4,0)</f>
        <v>7395</v>
      </c>
      <c r="K5895">
        <f t="shared" si="92"/>
        <v>7395</v>
      </c>
    </row>
    <row r="5896" spans="1:11" hidden="1" x14ac:dyDescent="0.25">
      <c r="A5896">
        <v>5895</v>
      </c>
      <c r="B5896" s="1">
        <v>45748</v>
      </c>
      <c r="C5896" t="s">
        <v>9</v>
      </c>
      <c r="D5896" t="s">
        <v>99</v>
      </c>
      <c r="E5896" t="s">
        <v>13</v>
      </c>
      <c r="F5896">
        <v>3</v>
      </c>
      <c r="G5896" t="str">
        <f>VLOOKUP(D5896,Товары!A:I,3,0)</f>
        <v>Тумба с раковиной  навес. Леон 600 оникс 2 ящика с умыв. Слим</v>
      </c>
      <c r="H5896">
        <f>VLOOKUP(D5896,Товары!A:I,6,0)</f>
        <v>60</v>
      </c>
      <c r="I5896" t="str">
        <f>VLOOKUP(C5896,Магазины!A:C,3,0)</f>
        <v>Кемерово</v>
      </c>
      <c r="J5896">
        <f>VLOOKUP(D5896,Товары!A:I,4,0)</f>
        <v>25125</v>
      </c>
      <c r="K5896">
        <f t="shared" si="92"/>
        <v>75375</v>
      </c>
    </row>
    <row r="5897" spans="1:11" hidden="1" x14ac:dyDescent="0.25">
      <c r="A5897">
        <v>5896</v>
      </c>
      <c r="B5897" s="1">
        <v>45755</v>
      </c>
      <c r="C5897" t="s">
        <v>92</v>
      </c>
      <c r="D5897" t="s">
        <v>106</v>
      </c>
      <c r="E5897" t="s">
        <v>13</v>
      </c>
      <c r="F5897">
        <v>1</v>
      </c>
      <c r="G5897" t="str">
        <f>VLOOKUP(D5897,Товары!A:I,3,0)</f>
        <v>Тумба с раковиной  навес. Кристалл 700 шато азур 2 ящика с умыв. Слим</v>
      </c>
      <c r="H5897">
        <f>VLOOKUP(D5897,Товары!A:I,6,0)</f>
        <v>60</v>
      </c>
      <c r="I5897" t="str">
        <f>VLOOKUP(C5897,Магазины!A:C,3,0)</f>
        <v>Кемерово</v>
      </c>
      <c r="J5897">
        <f>VLOOKUP(D5897,Товары!A:I,4,0)</f>
        <v>24150</v>
      </c>
      <c r="K5897">
        <f t="shared" si="92"/>
        <v>24150</v>
      </c>
    </row>
    <row r="5898" spans="1:11" hidden="1" x14ac:dyDescent="0.25">
      <c r="A5898">
        <v>5897</v>
      </c>
      <c r="B5898" s="1">
        <v>45753</v>
      </c>
      <c r="C5898" t="s">
        <v>58</v>
      </c>
      <c r="D5898" t="s">
        <v>60</v>
      </c>
      <c r="E5898" t="s">
        <v>13</v>
      </c>
      <c r="F5898">
        <v>2</v>
      </c>
      <c r="G5898" t="str">
        <f>VLOOKUP(D5898,Товары!A:I,3,0)</f>
        <v>Пенал навес. Куба Риф 350 белый 2 двери</v>
      </c>
      <c r="H5898">
        <f>VLOOKUP(D5898,Товары!A:I,6,0)</f>
        <v>150</v>
      </c>
      <c r="I5898" t="str">
        <f>VLOOKUP(C5898,Магазины!A:C,3,0)</f>
        <v>Ставрополь</v>
      </c>
      <c r="J5898">
        <f>VLOOKUP(D5898,Товары!A:I,4,0)</f>
        <v>9720</v>
      </c>
      <c r="K5898">
        <f t="shared" si="92"/>
        <v>19440</v>
      </c>
    </row>
    <row r="5899" spans="1:11" hidden="1" x14ac:dyDescent="0.25">
      <c r="A5899">
        <v>5898</v>
      </c>
      <c r="B5899" s="1">
        <v>45754</v>
      </c>
      <c r="C5899" t="s">
        <v>41</v>
      </c>
      <c r="D5899" t="s">
        <v>83</v>
      </c>
      <c r="E5899" t="s">
        <v>8</v>
      </c>
      <c r="F5899">
        <v>3</v>
      </c>
      <c r="G5899" t="str">
        <f>VLOOKUP(D5899,Товары!A:I,3,0)</f>
        <v>Зеркальный шкаф Альба 60 со светильником правый цвет суфле</v>
      </c>
      <c r="H5899">
        <f>VLOOKUP(D5899,Товары!A:I,6,0)</f>
        <v>75</v>
      </c>
      <c r="I5899" t="str">
        <f>VLOOKUP(C5899,Магазины!A:C,3,0)</f>
        <v>Ставрополь</v>
      </c>
      <c r="J5899">
        <f>VLOOKUP(D5899,Товары!A:I,4,0)</f>
        <v>8910</v>
      </c>
      <c r="K5899">
        <f t="shared" si="92"/>
        <v>26730</v>
      </c>
    </row>
    <row r="5900" spans="1:11" hidden="1" x14ac:dyDescent="0.25">
      <c r="A5900">
        <v>5899</v>
      </c>
      <c r="B5900" s="1">
        <v>45754</v>
      </c>
      <c r="C5900" t="s">
        <v>26</v>
      </c>
      <c r="D5900" t="s">
        <v>113</v>
      </c>
      <c r="E5900" t="s">
        <v>13</v>
      </c>
      <c r="F5900">
        <v>2</v>
      </c>
      <c r="G5900" t="str">
        <f>VLOOKUP(D5900,Товары!A:I,3,0)</f>
        <v>Зеркальный шкаф Альба 60 со светильником правый цвет мята</v>
      </c>
      <c r="H5900">
        <f>VLOOKUP(D5900,Товары!A:I,6,0)</f>
        <v>75</v>
      </c>
      <c r="I5900" t="str">
        <f>VLOOKUP(C5900,Магазины!A:C,3,0)</f>
        <v>Оренбург</v>
      </c>
      <c r="J5900">
        <f>VLOOKUP(D5900,Товары!A:I,4,0)</f>
        <v>8910</v>
      </c>
      <c r="K5900">
        <f t="shared" si="92"/>
        <v>17820</v>
      </c>
    </row>
    <row r="5901" spans="1:11" hidden="1" x14ac:dyDescent="0.25">
      <c r="A5901">
        <v>5900</v>
      </c>
      <c r="B5901" s="1">
        <v>45757</v>
      </c>
      <c r="C5901" t="s">
        <v>58</v>
      </c>
      <c r="D5901" t="s">
        <v>59</v>
      </c>
      <c r="E5901" t="s">
        <v>8</v>
      </c>
      <c r="F5901">
        <v>3</v>
      </c>
      <c r="G5901" t="str">
        <f>VLOOKUP(D5901,Товары!A:I,3,0)</f>
        <v>Тумба с раковиной  навес. Куба Риф 600 белый 2 ящика с умыв. Океан</v>
      </c>
      <c r="H5901">
        <f>VLOOKUP(D5901,Товары!A:I,6,0)</f>
        <v>55</v>
      </c>
      <c r="I5901" t="str">
        <f>VLOOKUP(C5901,Магазины!A:C,3,0)</f>
        <v>Ставрополь</v>
      </c>
      <c r="J5901">
        <f>VLOOKUP(D5901,Товары!A:I,4,0)</f>
        <v>15765</v>
      </c>
      <c r="K5901">
        <f t="shared" si="92"/>
        <v>47295</v>
      </c>
    </row>
    <row r="5902" spans="1:11" hidden="1" x14ac:dyDescent="0.25">
      <c r="A5902">
        <v>5901</v>
      </c>
      <c r="B5902" s="1">
        <v>45748</v>
      </c>
      <c r="C5902" t="s">
        <v>33</v>
      </c>
      <c r="D5902" t="s">
        <v>59</v>
      </c>
      <c r="E5902" t="s">
        <v>13</v>
      </c>
      <c r="F5902">
        <v>2</v>
      </c>
      <c r="G5902" t="str">
        <f>VLOOKUP(D5902,Товары!A:I,3,0)</f>
        <v>Тумба с раковиной  навес. Куба Риф 600 белый 2 ящика с умыв. Океан</v>
      </c>
      <c r="H5902">
        <f>VLOOKUP(D5902,Товары!A:I,6,0)</f>
        <v>55</v>
      </c>
      <c r="I5902" t="str">
        <f>VLOOKUP(C5902,Магазины!A:C,3,0)</f>
        <v>Набережные Челны</v>
      </c>
      <c r="J5902">
        <f>VLOOKUP(D5902,Товары!A:I,4,0)</f>
        <v>15765</v>
      </c>
      <c r="K5902">
        <f t="shared" si="92"/>
        <v>31530</v>
      </c>
    </row>
    <row r="5903" spans="1:11" hidden="1" x14ac:dyDescent="0.25">
      <c r="A5903">
        <v>5902</v>
      </c>
      <c r="B5903" s="1">
        <v>45754</v>
      </c>
      <c r="C5903" t="s">
        <v>16</v>
      </c>
      <c r="D5903" t="s">
        <v>24</v>
      </c>
      <c r="E5903" t="s">
        <v>8</v>
      </c>
      <c r="F5903">
        <v>2</v>
      </c>
      <c r="G5903" t="str">
        <f>VLOOKUP(D5903,Товары!A:I,3,0)</f>
        <v>Тумба с раковиной  напол. Леон 600 форест 2 ящика с умыв. Слим</v>
      </c>
      <c r="H5903">
        <f>VLOOKUP(D5903,Товары!A:I,6,0)</f>
        <v>80</v>
      </c>
      <c r="I5903" t="str">
        <f>VLOOKUP(C5903,Магазины!A:C,3,0)</f>
        <v>Оренбург</v>
      </c>
      <c r="J5903">
        <f>VLOOKUP(D5903,Товары!A:I,4,0)</f>
        <v>27150</v>
      </c>
      <c r="K5903">
        <f t="shared" si="92"/>
        <v>54300</v>
      </c>
    </row>
    <row r="5904" spans="1:11" hidden="1" x14ac:dyDescent="0.25">
      <c r="A5904">
        <v>5903</v>
      </c>
      <c r="B5904" s="1">
        <v>45751</v>
      </c>
      <c r="C5904" t="s">
        <v>33</v>
      </c>
      <c r="D5904" t="s">
        <v>45</v>
      </c>
      <c r="E5904" t="s">
        <v>8</v>
      </c>
      <c r="F5904">
        <v>2</v>
      </c>
      <c r="G5904" t="str">
        <f>VLOOKUP(D5904,Товары!A:I,3,0)</f>
        <v>Зеркальный шкаф Рица 80 со светильником правый цвет cерый/керамика</v>
      </c>
      <c r="H5904">
        <f>VLOOKUP(D5904,Товары!A:I,6,0)</f>
        <v>75</v>
      </c>
      <c r="I5904" t="str">
        <f>VLOOKUP(C5904,Магазины!A:C,3,0)</f>
        <v>Набережные Челны</v>
      </c>
      <c r="J5904">
        <f>VLOOKUP(D5904,Товары!A:I,4,0)</f>
        <v>9930</v>
      </c>
      <c r="K5904">
        <f t="shared" si="92"/>
        <v>19860</v>
      </c>
    </row>
    <row r="5905" spans="1:11" hidden="1" x14ac:dyDescent="0.25">
      <c r="A5905">
        <v>5904</v>
      </c>
      <c r="B5905" s="1">
        <v>45752</v>
      </c>
      <c r="C5905" t="s">
        <v>9</v>
      </c>
      <c r="D5905" t="s">
        <v>40</v>
      </c>
      <c r="E5905" t="s">
        <v>13</v>
      </c>
      <c r="F5905">
        <v>1</v>
      </c>
      <c r="G5905" t="str">
        <f>VLOOKUP(D5905,Товары!A:I,3,0)</f>
        <v>Тумба с раковиной  навес. Рица 800 cерый/керамика 1 ящик + ниша 1 с умыв. Слим</v>
      </c>
      <c r="H5905">
        <f>VLOOKUP(D5905,Товары!A:I,6,0)</f>
        <v>60</v>
      </c>
      <c r="I5905" t="str">
        <f>VLOOKUP(C5905,Магазины!A:C,3,0)</f>
        <v>Кемерово</v>
      </c>
      <c r="J5905">
        <f>VLOOKUP(D5905,Товары!A:I,4,0)</f>
        <v>22425</v>
      </c>
      <c r="K5905">
        <f t="shared" si="92"/>
        <v>22425</v>
      </c>
    </row>
    <row r="5906" spans="1:11" hidden="1" x14ac:dyDescent="0.25">
      <c r="A5906">
        <v>5905</v>
      </c>
      <c r="B5906" s="1">
        <v>45754</v>
      </c>
      <c r="C5906" t="s">
        <v>6</v>
      </c>
      <c r="D5906" t="s">
        <v>21</v>
      </c>
      <c r="E5906" t="s">
        <v>13</v>
      </c>
      <c r="F5906">
        <v>1</v>
      </c>
      <c r="G5906" t="str">
        <f>VLOOKUP(D5906,Товары!A:I,3,0)</f>
        <v>Зеркальный шкаф Рица 60 со светильником правый цвет cерый/керамика</v>
      </c>
      <c r="H5906">
        <f>VLOOKUP(D5906,Товары!A:I,6,0)</f>
        <v>75</v>
      </c>
      <c r="I5906" t="str">
        <f>VLOOKUP(C5906,Магазины!A:C,3,0)</f>
        <v>Оренбург</v>
      </c>
      <c r="J5906">
        <f>VLOOKUP(D5906,Товары!A:I,4,0)</f>
        <v>8910</v>
      </c>
      <c r="K5906">
        <f t="shared" si="92"/>
        <v>8910</v>
      </c>
    </row>
    <row r="5907" spans="1:11" hidden="1" x14ac:dyDescent="0.25">
      <c r="A5907">
        <v>5906</v>
      </c>
      <c r="B5907" s="1">
        <v>45754</v>
      </c>
      <c r="C5907" t="s">
        <v>92</v>
      </c>
      <c r="D5907" t="s">
        <v>81</v>
      </c>
      <c r="E5907" t="s">
        <v>13</v>
      </c>
      <c r="F5907">
        <v>1</v>
      </c>
      <c r="G5907" t="str">
        <f>VLOOKUP(D5907,Товары!A:I,3,0)</f>
        <v>Тумба с раковиной  навес. Рица 600 cерый/керамика 1 ящик + ниша 1 с умыв. Океан</v>
      </c>
      <c r="H5907">
        <f>VLOOKUP(D5907,Товары!A:I,6,0)</f>
        <v>60</v>
      </c>
      <c r="I5907" t="str">
        <f>VLOOKUP(C5907,Магазины!A:C,3,0)</f>
        <v>Кемерово</v>
      </c>
      <c r="J5907">
        <f>VLOOKUP(D5907,Товары!A:I,4,0)</f>
        <v>18900</v>
      </c>
      <c r="K5907">
        <f t="shared" si="92"/>
        <v>18900</v>
      </c>
    </row>
    <row r="5908" spans="1:11" hidden="1" x14ac:dyDescent="0.25">
      <c r="A5908">
        <v>5907</v>
      </c>
      <c r="B5908" s="1">
        <v>45754</v>
      </c>
      <c r="C5908" t="s">
        <v>9</v>
      </c>
      <c r="D5908" t="s">
        <v>123</v>
      </c>
      <c r="E5908" t="s">
        <v>8</v>
      </c>
      <c r="F5908">
        <v>1</v>
      </c>
      <c r="G5908" t="str">
        <f>VLOOKUP(D5908,Товары!A:I,3,0)</f>
        <v>Тумба с раковиной  напол. Кристалл 800 суфле 2 ящика с умыв. Слим</v>
      </c>
      <c r="H5908">
        <f>VLOOKUP(D5908,Товары!A:I,6,0)</f>
        <v>80</v>
      </c>
      <c r="I5908" t="str">
        <f>VLOOKUP(C5908,Магазины!A:C,3,0)</f>
        <v>Кемерово</v>
      </c>
      <c r="J5908">
        <f>VLOOKUP(D5908,Товары!A:I,4,0)</f>
        <v>31125</v>
      </c>
      <c r="K5908">
        <f t="shared" si="92"/>
        <v>31125</v>
      </c>
    </row>
    <row r="5909" spans="1:11" hidden="1" x14ac:dyDescent="0.25">
      <c r="A5909">
        <v>5908</v>
      </c>
      <c r="B5909" s="1">
        <v>45749</v>
      </c>
      <c r="C5909" t="s">
        <v>57</v>
      </c>
      <c r="D5909" t="s">
        <v>51</v>
      </c>
      <c r="E5909" t="s">
        <v>8</v>
      </c>
      <c r="F5909">
        <v>2</v>
      </c>
      <c r="G5909" t="str">
        <f>VLOOKUP(D5909,Товары!A:I,3,0)</f>
        <v>Зеркальный шкаф Альба 80 со светильником правый цвет суфле</v>
      </c>
      <c r="H5909">
        <f>VLOOKUP(D5909,Товары!A:I,6,0)</f>
        <v>75</v>
      </c>
      <c r="I5909" t="str">
        <f>VLOOKUP(C5909,Магазины!A:C,3,0)</f>
        <v>Оренбург</v>
      </c>
      <c r="J5909">
        <f>VLOOKUP(D5909,Товары!A:I,4,0)</f>
        <v>9930</v>
      </c>
      <c r="K5909">
        <f t="shared" si="92"/>
        <v>19860</v>
      </c>
    </row>
    <row r="5910" spans="1:11" hidden="1" x14ac:dyDescent="0.25">
      <c r="A5910">
        <v>5909</v>
      </c>
      <c r="B5910" s="1">
        <v>45757</v>
      </c>
      <c r="C5910" t="s">
        <v>103</v>
      </c>
      <c r="D5910" t="s">
        <v>102</v>
      </c>
      <c r="E5910" t="s">
        <v>8</v>
      </c>
      <c r="F5910">
        <v>3</v>
      </c>
      <c r="G5910" t="str">
        <f>VLOOKUP(D5910,Товары!A:I,3,0)</f>
        <v>Тумба с раковиной  напол. Леон Риф 1000 солярис/белый риф 2 ящика с умыв. Слим</v>
      </c>
      <c r="H5910">
        <f>VLOOKUP(D5910,Товары!A:I,6,0)</f>
        <v>85</v>
      </c>
      <c r="I5910" t="str">
        <f>VLOOKUP(C5910,Магазины!A:C,3,0)</f>
        <v>Ставрополь</v>
      </c>
      <c r="J5910">
        <f>VLOOKUP(D5910,Товары!A:I,4,0)</f>
        <v>32085</v>
      </c>
      <c r="K5910">
        <f t="shared" si="92"/>
        <v>96255</v>
      </c>
    </row>
    <row r="5911" spans="1:11" hidden="1" x14ac:dyDescent="0.25">
      <c r="A5911">
        <v>5910</v>
      </c>
      <c r="B5911" s="1">
        <v>45755</v>
      </c>
      <c r="C5911" t="s">
        <v>30</v>
      </c>
      <c r="D5911" t="s">
        <v>15</v>
      </c>
      <c r="E5911" t="s">
        <v>8</v>
      </c>
      <c r="F5911">
        <v>3</v>
      </c>
      <c r="G5911" t="str">
        <f>VLOOKUP(D5911,Товары!A:I,3,0)</f>
        <v>Зеркальный шкаф Кристалл 60 со светильником правый, ручка кнопка дуб цвет Шато Азур</v>
      </c>
      <c r="H5911">
        <f>VLOOKUP(D5911,Товары!A:I,6,0)</f>
        <v>75</v>
      </c>
      <c r="I5911" t="str">
        <f>VLOOKUP(C5911,Магазины!A:C,3,0)</f>
        <v>Кемерово</v>
      </c>
      <c r="J5911">
        <f>VLOOKUP(D5911,Товары!A:I,4,0)</f>
        <v>9195</v>
      </c>
      <c r="K5911">
        <f t="shared" si="92"/>
        <v>27585</v>
      </c>
    </row>
    <row r="5912" spans="1:11" hidden="1" x14ac:dyDescent="0.25">
      <c r="A5912">
        <v>5911</v>
      </c>
      <c r="B5912" s="1">
        <v>45749</v>
      </c>
      <c r="C5912" t="s">
        <v>92</v>
      </c>
      <c r="D5912" t="s">
        <v>68</v>
      </c>
      <c r="E5912" t="s">
        <v>13</v>
      </c>
      <c r="F5912">
        <v>3</v>
      </c>
      <c r="G5912" t="str">
        <f>VLOOKUP(D5912,Товары!A:I,3,0)</f>
        <v>Тумба с раковиной  навес. Альба 600 антрацит 1 ящик с умыв. Океан</v>
      </c>
      <c r="H5912">
        <f>VLOOKUP(D5912,Товары!A:I,6,0)</f>
        <v>85</v>
      </c>
      <c r="I5912" t="str">
        <f>VLOOKUP(C5912,Магазины!A:C,3,0)</f>
        <v>Кемерово</v>
      </c>
      <c r="J5912">
        <f>VLOOKUP(D5912,Товары!A:I,4,0)</f>
        <v>17625</v>
      </c>
      <c r="K5912">
        <f t="shared" si="92"/>
        <v>52875</v>
      </c>
    </row>
    <row r="5913" spans="1:11" hidden="1" x14ac:dyDescent="0.25">
      <c r="A5913">
        <v>5912</v>
      </c>
      <c r="B5913" s="1">
        <v>45757</v>
      </c>
      <c r="C5913" t="s">
        <v>41</v>
      </c>
      <c r="D5913" t="s">
        <v>44</v>
      </c>
      <c r="E5913" t="s">
        <v>8</v>
      </c>
      <c r="F5913">
        <v>3</v>
      </c>
      <c r="G5913" t="str">
        <f>VLOOKUP(D5913,Товары!A:I,3,0)</f>
        <v>Тумба с раковиной  навес. Кристалл 800 шато азур 2 ящика с умыв. Комфорт</v>
      </c>
      <c r="H5913">
        <f>VLOOKUP(D5913,Товары!A:I,6,0)</f>
        <v>55</v>
      </c>
      <c r="I5913" t="str">
        <f>VLOOKUP(C5913,Магазины!A:C,3,0)</f>
        <v>Ставрополь</v>
      </c>
      <c r="J5913">
        <f>VLOOKUP(D5913,Товары!A:I,4,0)</f>
        <v>25080</v>
      </c>
      <c r="K5913">
        <f t="shared" si="92"/>
        <v>75240</v>
      </c>
    </row>
    <row r="5914" spans="1:11" hidden="1" x14ac:dyDescent="0.25">
      <c r="A5914">
        <v>5913</v>
      </c>
      <c r="B5914" s="1">
        <v>45748</v>
      </c>
      <c r="C5914" t="s">
        <v>22</v>
      </c>
      <c r="D5914" t="s">
        <v>82</v>
      </c>
      <c r="E5914" t="s">
        <v>8</v>
      </c>
      <c r="F5914">
        <v>3</v>
      </c>
      <c r="G5914" t="str">
        <f>VLOOKUP(D5914,Товары!A:I,3,0)</f>
        <v>Тумба с раковиной  навес. Леон 800 форест 2 ящика с умыв. Слим</v>
      </c>
      <c r="H5914">
        <f>VLOOKUP(D5914,Товары!A:I,6,0)</f>
        <v>60</v>
      </c>
      <c r="I5914" t="str">
        <f>VLOOKUP(C5914,Магазины!A:C,3,0)</f>
        <v>Кемерово</v>
      </c>
      <c r="J5914">
        <f>VLOOKUP(D5914,Товары!A:I,4,0)</f>
        <v>27930</v>
      </c>
      <c r="K5914">
        <f t="shared" si="92"/>
        <v>83790</v>
      </c>
    </row>
    <row r="5915" spans="1:11" hidden="1" x14ac:dyDescent="0.25">
      <c r="A5915">
        <v>5914</v>
      </c>
      <c r="B5915" s="1">
        <v>45757</v>
      </c>
      <c r="C5915" t="s">
        <v>30</v>
      </c>
      <c r="D5915" t="s">
        <v>21</v>
      </c>
      <c r="E5915" t="s">
        <v>8</v>
      </c>
      <c r="F5915">
        <v>2</v>
      </c>
      <c r="G5915" t="str">
        <f>VLOOKUP(D5915,Товары!A:I,3,0)</f>
        <v>Зеркальный шкаф Рица 60 со светильником правый цвет cерый/керамика</v>
      </c>
      <c r="H5915">
        <f>VLOOKUP(D5915,Товары!A:I,6,0)</f>
        <v>75</v>
      </c>
      <c r="I5915" t="str">
        <f>VLOOKUP(C5915,Магазины!A:C,3,0)</f>
        <v>Кемерово</v>
      </c>
      <c r="J5915">
        <f>VLOOKUP(D5915,Товары!A:I,4,0)</f>
        <v>8910</v>
      </c>
      <c r="K5915">
        <f t="shared" si="92"/>
        <v>17820</v>
      </c>
    </row>
    <row r="5916" spans="1:11" hidden="1" x14ac:dyDescent="0.25">
      <c r="A5916">
        <v>5915</v>
      </c>
      <c r="B5916" s="1">
        <v>45751</v>
      </c>
      <c r="C5916" t="s">
        <v>14</v>
      </c>
      <c r="D5916" t="s">
        <v>31</v>
      </c>
      <c r="E5916" t="s">
        <v>8</v>
      </c>
      <c r="F5916">
        <v>3</v>
      </c>
      <c r="G5916" t="str">
        <f>VLOOKUP(D5916,Товары!A:I,3,0)</f>
        <v>Пенал напол. Виктория 350 белый 2 двери</v>
      </c>
      <c r="H5916">
        <f>VLOOKUP(D5916,Товары!A:I,6,0)</f>
        <v>190</v>
      </c>
      <c r="I5916" t="str">
        <f>VLOOKUP(C5916,Магазины!A:C,3,0)</f>
        <v>Оренбург</v>
      </c>
      <c r="J5916">
        <f>VLOOKUP(D5916,Товары!A:I,4,0)</f>
        <v>14085</v>
      </c>
      <c r="K5916">
        <f t="shared" si="92"/>
        <v>42255</v>
      </c>
    </row>
    <row r="5917" spans="1:11" hidden="1" x14ac:dyDescent="0.25">
      <c r="A5917">
        <v>5916</v>
      </c>
      <c r="B5917" s="1">
        <v>45755</v>
      </c>
      <c r="C5917" t="s">
        <v>63</v>
      </c>
      <c r="D5917" t="s">
        <v>23</v>
      </c>
      <c r="E5917" t="s">
        <v>8</v>
      </c>
      <c r="F5917">
        <v>3</v>
      </c>
      <c r="G5917" t="str">
        <f>VLOOKUP(D5917,Товары!A:I,3,0)</f>
        <v>Тумба с раковиной  напол. Альба 800 антрацит 2 ящика с умыв. Слим</v>
      </c>
      <c r="H5917">
        <f>VLOOKUP(D5917,Товары!A:I,6,0)</f>
        <v>80</v>
      </c>
      <c r="I5917" t="str">
        <f>VLOOKUP(C5917,Магазины!A:C,3,0)</f>
        <v>Ставрополь</v>
      </c>
      <c r="J5917">
        <f>VLOOKUP(D5917,Товары!A:I,4,0)</f>
        <v>29340</v>
      </c>
      <c r="K5917">
        <f t="shared" si="92"/>
        <v>88020</v>
      </c>
    </row>
    <row r="5918" spans="1:11" hidden="1" x14ac:dyDescent="0.25">
      <c r="A5918">
        <v>5917</v>
      </c>
      <c r="B5918" s="1">
        <v>45752</v>
      </c>
      <c r="C5918" t="s">
        <v>28</v>
      </c>
      <c r="D5918" t="s">
        <v>50</v>
      </c>
      <c r="E5918" t="s">
        <v>8</v>
      </c>
      <c r="F5918">
        <v>2</v>
      </c>
      <c r="G5918" t="str">
        <f>VLOOKUP(D5918,Товары!A:I,3,0)</f>
        <v>Тумба с раковиной  напол. Леон 800 оникс 2 ящика с умыв. Слим</v>
      </c>
      <c r="H5918">
        <f>VLOOKUP(D5918,Товары!A:I,6,0)</f>
        <v>80</v>
      </c>
      <c r="I5918" t="str">
        <f>VLOOKUP(C5918,Магазины!A:C,3,0)</f>
        <v>Набережные Челны</v>
      </c>
      <c r="J5918">
        <f>VLOOKUP(D5918,Товары!A:I,4,0)</f>
        <v>29400</v>
      </c>
      <c r="K5918">
        <f t="shared" si="92"/>
        <v>58800</v>
      </c>
    </row>
    <row r="5919" spans="1:11" hidden="1" x14ac:dyDescent="0.25">
      <c r="A5919">
        <v>5918</v>
      </c>
      <c r="B5919" s="1">
        <v>45749</v>
      </c>
      <c r="C5919" t="s">
        <v>33</v>
      </c>
      <c r="D5919" t="s">
        <v>79</v>
      </c>
      <c r="E5919" t="s">
        <v>13</v>
      </c>
      <c r="F5919">
        <v>1</v>
      </c>
      <c r="G5919" t="str">
        <f>VLOOKUP(D5919,Товары!A:I,3,0)</f>
        <v>Зеркальный шкаф Альба 70 со светильником правый цвет мята</v>
      </c>
      <c r="H5919">
        <f>VLOOKUP(D5919,Товары!A:I,6,0)</f>
        <v>75</v>
      </c>
      <c r="I5919" t="str">
        <f>VLOOKUP(C5919,Магазины!A:C,3,0)</f>
        <v>Набережные Челны</v>
      </c>
      <c r="J5919">
        <f>VLOOKUP(D5919,Товары!A:I,4,0)</f>
        <v>9615</v>
      </c>
      <c r="K5919">
        <f t="shared" si="92"/>
        <v>9615</v>
      </c>
    </row>
    <row r="5920" spans="1:11" hidden="1" x14ac:dyDescent="0.25">
      <c r="A5920">
        <v>5919</v>
      </c>
      <c r="B5920" s="1">
        <v>45748</v>
      </c>
      <c r="C5920" t="s">
        <v>30</v>
      </c>
      <c r="D5920" t="s">
        <v>93</v>
      </c>
      <c r="E5920" t="s">
        <v>13</v>
      </c>
      <c r="F5920">
        <v>3</v>
      </c>
      <c r="G5920" t="str">
        <f>VLOOKUP(D5920,Товары!A:I,3,0)</f>
        <v>Тумба с раковиной  напол. Леон Риф 800 солярис/белый риф 2 ящика с умыв. Слим</v>
      </c>
      <c r="H5920">
        <f>VLOOKUP(D5920,Товары!A:I,6,0)</f>
        <v>80</v>
      </c>
      <c r="I5920" t="str">
        <f>VLOOKUP(C5920,Магазины!A:C,3,0)</f>
        <v>Кемерово</v>
      </c>
      <c r="J5920">
        <f>VLOOKUP(D5920,Товары!A:I,4,0)</f>
        <v>29340</v>
      </c>
      <c r="K5920">
        <f t="shared" si="92"/>
        <v>88020</v>
      </c>
    </row>
    <row r="5921" spans="1:11" hidden="1" x14ac:dyDescent="0.25">
      <c r="A5921">
        <v>5920</v>
      </c>
      <c r="B5921" s="1">
        <v>45757</v>
      </c>
      <c r="C5921" t="s">
        <v>35</v>
      </c>
      <c r="D5921" t="s">
        <v>21</v>
      </c>
      <c r="E5921" t="s">
        <v>8</v>
      </c>
      <c r="F5921">
        <v>2</v>
      </c>
      <c r="G5921" t="str">
        <f>VLOOKUP(D5921,Товары!A:I,3,0)</f>
        <v>Зеркальный шкаф Рица 60 со светильником правый цвет cерый/керамика</v>
      </c>
      <c r="H5921">
        <f>VLOOKUP(D5921,Товары!A:I,6,0)</f>
        <v>75</v>
      </c>
      <c r="I5921" t="str">
        <f>VLOOKUP(C5921,Магазины!A:C,3,0)</f>
        <v>Набережные Челны</v>
      </c>
      <c r="J5921">
        <f>VLOOKUP(D5921,Товары!A:I,4,0)</f>
        <v>8910</v>
      </c>
      <c r="K5921">
        <f t="shared" si="92"/>
        <v>17820</v>
      </c>
    </row>
    <row r="5922" spans="1:11" hidden="1" x14ac:dyDescent="0.25">
      <c r="A5922">
        <v>5921</v>
      </c>
      <c r="B5922" s="1">
        <v>45757</v>
      </c>
      <c r="C5922" t="s">
        <v>35</v>
      </c>
      <c r="D5922" t="s">
        <v>59</v>
      </c>
      <c r="E5922" t="s">
        <v>13</v>
      </c>
      <c r="F5922">
        <v>3</v>
      </c>
      <c r="G5922" t="str">
        <f>VLOOKUP(D5922,Товары!A:I,3,0)</f>
        <v>Тумба с раковиной  навес. Куба Риф 600 белый 2 ящика с умыв. Океан</v>
      </c>
      <c r="H5922">
        <f>VLOOKUP(D5922,Товары!A:I,6,0)</f>
        <v>55</v>
      </c>
      <c r="I5922" t="str">
        <f>VLOOKUP(C5922,Магазины!A:C,3,0)</f>
        <v>Набережные Челны</v>
      </c>
      <c r="J5922">
        <f>VLOOKUP(D5922,Товары!A:I,4,0)</f>
        <v>15765</v>
      </c>
      <c r="K5922">
        <f t="shared" si="92"/>
        <v>47295</v>
      </c>
    </row>
    <row r="5923" spans="1:11" hidden="1" x14ac:dyDescent="0.25">
      <c r="A5923">
        <v>5922</v>
      </c>
      <c r="B5923" s="1">
        <v>45756</v>
      </c>
      <c r="C5923" t="s">
        <v>6</v>
      </c>
      <c r="D5923" t="s">
        <v>83</v>
      </c>
      <c r="E5923" t="s">
        <v>13</v>
      </c>
      <c r="F5923">
        <v>3</v>
      </c>
      <c r="G5923" t="str">
        <f>VLOOKUP(D5923,Товары!A:I,3,0)</f>
        <v>Зеркальный шкаф Альба 60 со светильником правый цвет суфле</v>
      </c>
      <c r="H5923">
        <f>VLOOKUP(D5923,Товары!A:I,6,0)</f>
        <v>75</v>
      </c>
      <c r="I5923" t="str">
        <f>VLOOKUP(C5923,Магазины!A:C,3,0)</f>
        <v>Оренбург</v>
      </c>
      <c r="J5923">
        <f>VLOOKUP(D5923,Товары!A:I,4,0)</f>
        <v>8910</v>
      </c>
      <c r="K5923">
        <f t="shared" si="92"/>
        <v>26730</v>
      </c>
    </row>
    <row r="5924" spans="1:11" hidden="1" x14ac:dyDescent="0.25">
      <c r="A5924">
        <v>5923</v>
      </c>
      <c r="B5924" s="1">
        <v>45756</v>
      </c>
      <c r="C5924" t="s">
        <v>14</v>
      </c>
      <c r="D5924" t="s">
        <v>37</v>
      </c>
      <c r="E5924" t="s">
        <v>8</v>
      </c>
      <c r="F5924">
        <v>3</v>
      </c>
      <c r="G5924" t="str">
        <f>VLOOKUP(D5924,Товары!A:I,3,0)</f>
        <v>Зеркальный шкаф Сохо 70 белый со светильником правый цвет Белый глянец</v>
      </c>
      <c r="H5924">
        <f>VLOOKUP(D5924,Товары!A:I,6,0)</f>
        <v>75</v>
      </c>
      <c r="I5924" t="str">
        <f>VLOOKUP(C5924,Магазины!A:C,3,0)</f>
        <v>Оренбург</v>
      </c>
      <c r="J5924">
        <f>VLOOKUP(D5924,Товары!A:I,4,0)</f>
        <v>7935</v>
      </c>
      <c r="K5924">
        <f t="shared" si="92"/>
        <v>23805</v>
      </c>
    </row>
    <row r="5925" spans="1:11" hidden="1" x14ac:dyDescent="0.25">
      <c r="A5925">
        <v>5924</v>
      </c>
      <c r="B5925" s="1">
        <v>45753</v>
      </c>
      <c r="C5925" t="s">
        <v>33</v>
      </c>
      <c r="D5925" t="s">
        <v>80</v>
      </c>
      <c r="E5925" t="s">
        <v>13</v>
      </c>
      <c r="F5925">
        <v>1</v>
      </c>
      <c r="G5925" t="str">
        <f>VLOOKUP(D5925,Товары!A:I,3,0)</f>
        <v>Тумба с раковиной  навес. Сохо 600 белый 2 ящика с умыв. Океан</v>
      </c>
      <c r="H5925">
        <f>VLOOKUP(D5925,Товары!A:I,6,0)</f>
        <v>55</v>
      </c>
      <c r="I5925" t="str">
        <f>VLOOKUP(C5925,Магазины!A:C,3,0)</f>
        <v>Набережные Челны</v>
      </c>
      <c r="J5925">
        <f>VLOOKUP(D5925,Товары!A:I,4,0)</f>
        <v>13950</v>
      </c>
      <c r="K5925">
        <f t="shared" si="92"/>
        <v>13950</v>
      </c>
    </row>
    <row r="5926" spans="1:11" hidden="1" x14ac:dyDescent="0.25">
      <c r="A5926">
        <v>5925</v>
      </c>
      <c r="B5926" s="1">
        <v>45751</v>
      </c>
      <c r="C5926" t="s">
        <v>9</v>
      </c>
      <c r="D5926" t="s">
        <v>65</v>
      </c>
      <c r="E5926" t="s">
        <v>8</v>
      </c>
      <c r="F5926">
        <v>1</v>
      </c>
      <c r="G5926" t="str">
        <f>VLOOKUP(D5926,Товары!A:I,3,0)</f>
        <v>Тумба с раковиной  навес. Альба 800 суфле 2 ящика с умыв. Слим</v>
      </c>
      <c r="H5926">
        <f>VLOOKUP(D5926,Товары!A:I,6,0)</f>
        <v>50</v>
      </c>
      <c r="I5926" t="str">
        <f>VLOOKUP(C5926,Магазины!A:C,3,0)</f>
        <v>Кемерово</v>
      </c>
      <c r="J5926">
        <f>VLOOKUP(D5926,Товары!A:I,4,0)</f>
        <v>26070</v>
      </c>
      <c r="K5926">
        <f t="shared" si="92"/>
        <v>26070</v>
      </c>
    </row>
    <row r="5927" spans="1:11" hidden="1" x14ac:dyDescent="0.25">
      <c r="A5927">
        <v>5926</v>
      </c>
      <c r="B5927" s="1">
        <v>45750</v>
      </c>
      <c r="C5927" t="s">
        <v>54</v>
      </c>
      <c r="D5927" t="s">
        <v>71</v>
      </c>
      <c r="E5927" t="s">
        <v>8</v>
      </c>
      <c r="F5927">
        <v>2</v>
      </c>
      <c r="G5927" t="str">
        <f>VLOOKUP(D5927,Товары!A:I,3,0)</f>
        <v>Тумба с раковиной  навес. Альба 600 мята 2 ящика с умыв. Океан</v>
      </c>
      <c r="H5927">
        <f>VLOOKUP(D5927,Товары!A:I,6,0)</f>
        <v>50</v>
      </c>
      <c r="I5927" t="str">
        <f>VLOOKUP(C5927,Магазины!A:C,3,0)</f>
        <v>Ставрополь</v>
      </c>
      <c r="J5927">
        <f>VLOOKUP(D5927,Товары!A:I,4,0)</f>
        <v>24810</v>
      </c>
      <c r="K5927">
        <f t="shared" si="92"/>
        <v>49620</v>
      </c>
    </row>
    <row r="5928" spans="1:11" hidden="1" x14ac:dyDescent="0.25">
      <c r="A5928">
        <v>5927</v>
      </c>
      <c r="B5928" s="1">
        <v>45753</v>
      </c>
      <c r="C5928" t="s">
        <v>6</v>
      </c>
      <c r="D5928" t="s">
        <v>71</v>
      </c>
      <c r="E5928" t="s">
        <v>13</v>
      </c>
      <c r="F5928">
        <v>1</v>
      </c>
      <c r="G5928" t="str">
        <f>VLOOKUP(D5928,Товары!A:I,3,0)</f>
        <v>Тумба с раковиной  навес. Альба 600 мята 2 ящика с умыв. Океан</v>
      </c>
      <c r="H5928">
        <f>VLOOKUP(D5928,Товары!A:I,6,0)</f>
        <v>50</v>
      </c>
      <c r="I5928" t="str">
        <f>VLOOKUP(C5928,Магазины!A:C,3,0)</f>
        <v>Оренбург</v>
      </c>
      <c r="J5928">
        <f>VLOOKUP(D5928,Товары!A:I,4,0)</f>
        <v>24810</v>
      </c>
      <c r="K5928">
        <f t="shared" si="92"/>
        <v>24810</v>
      </c>
    </row>
    <row r="5929" spans="1:11" hidden="1" x14ac:dyDescent="0.25">
      <c r="A5929">
        <v>5928</v>
      </c>
      <c r="B5929" s="1">
        <v>45753</v>
      </c>
      <c r="C5929" t="s">
        <v>63</v>
      </c>
      <c r="D5929" t="s">
        <v>109</v>
      </c>
      <c r="E5929" t="s">
        <v>8</v>
      </c>
      <c r="F5929">
        <v>2</v>
      </c>
      <c r="G5929" t="str">
        <f>VLOOKUP(D5929,Товары!A:I,3,0)</f>
        <v>Тумба с раковиной  навес. Альба 600 антрацит 2 ящика с умыв. Океан</v>
      </c>
      <c r="H5929">
        <f>VLOOKUP(D5929,Товары!A:I,6,0)</f>
        <v>50</v>
      </c>
      <c r="I5929" t="str">
        <f>VLOOKUP(C5929,Магазины!A:C,3,0)</f>
        <v>Ставрополь</v>
      </c>
      <c r="J5929">
        <f>VLOOKUP(D5929,Товары!A:I,4,0)</f>
        <v>24810</v>
      </c>
      <c r="K5929">
        <f t="shared" si="92"/>
        <v>49620</v>
      </c>
    </row>
    <row r="5930" spans="1:11" hidden="1" x14ac:dyDescent="0.25">
      <c r="A5930">
        <v>5929</v>
      </c>
      <c r="B5930" s="1">
        <v>45757</v>
      </c>
      <c r="C5930" t="s">
        <v>58</v>
      </c>
      <c r="D5930" t="s">
        <v>97</v>
      </c>
      <c r="E5930" t="s">
        <v>8</v>
      </c>
      <c r="F5930">
        <v>1</v>
      </c>
      <c r="G5930" t="str">
        <f>VLOOKUP(D5930,Товары!A:I,3,0)</f>
        <v>Пенал напол. Кристалл 350 суфле 2 двери</v>
      </c>
      <c r="H5930">
        <f>VLOOKUP(D5930,Товары!A:I,6,0)</f>
        <v>190</v>
      </c>
      <c r="I5930" t="str">
        <f>VLOOKUP(C5930,Магазины!A:C,3,0)</f>
        <v>Ставрополь</v>
      </c>
      <c r="J5930">
        <f>VLOOKUP(D5930,Товары!A:I,4,0)</f>
        <v>15810</v>
      </c>
      <c r="K5930">
        <f t="shared" si="92"/>
        <v>15810</v>
      </c>
    </row>
    <row r="5931" spans="1:11" hidden="1" x14ac:dyDescent="0.25">
      <c r="A5931">
        <v>5930</v>
      </c>
      <c r="B5931" s="1">
        <v>45753</v>
      </c>
      <c r="C5931" t="s">
        <v>33</v>
      </c>
      <c r="D5931" t="s">
        <v>15</v>
      </c>
      <c r="E5931" t="s">
        <v>8</v>
      </c>
      <c r="F5931">
        <v>3</v>
      </c>
      <c r="G5931" t="str">
        <f>VLOOKUP(D5931,Товары!A:I,3,0)</f>
        <v>Зеркальный шкаф Кристалл 60 со светильником правый, ручка кнопка дуб цвет Шато Азур</v>
      </c>
      <c r="H5931">
        <f>VLOOKUP(D5931,Товары!A:I,6,0)</f>
        <v>75</v>
      </c>
      <c r="I5931" t="str">
        <f>VLOOKUP(C5931,Магазины!A:C,3,0)</f>
        <v>Набережные Челны</v>
      </c>
      <c r="J5931">
        <f>VLOOKUP(D5931,Товары!A:I,4,0)</f>
        <v>9195</v>
      </c>
      <c r="K5931">
        <f t="shared" si="92"/>
        <v>27585</v>
      </c>
    </row>
    <row r="5932" spans="1:11" hidden="1" x14ac:dyDescent="0.25">
      <c r="A5932">
        <v>5931</v>
      </c>
      <c r="B5932" s="1">
        <v>45756</v>
      </c>
      <c r="C5932" t="s">
        <v>14</v>
      </c>
      <c r="D5932" t="s">
        <v>101</v>
      </c>
      <c r="E5932" t="s">
        <v>8</v>
      </c>
      <c r="F5932">
        <v>2</v>
      </c>
      <c r="G5932" t="str">
        <f>VLOOKUP(D5932,Товары!A:I,3,0)</f>
        <v>Пенал напол. Сохо 400 белый 2 двери + 1 ящик</v>
      </c>
      <c r="H5932">
        <f>VLOOKUP(D5932,Товары!A:I,6,0)</f>
        <v>190</v>
      </c>
      <c r="I5932" t="str">
        <f>VLOOKUP(C5932,Магазины!A:C,3,0)</f>
        <v>Оренбург</v>
      </c>
      <c r="J5932">
        <f>VLOOKUP(D5932,Товары!A:I,4,0)</f>
        <v>11040</v>
      </c>
      <c r="K5932">
        <f t="shared" si="92"/>
        <v>22080</v>
      </c>
    </row>
    <row r="5933" spans="1:11" hidden="1" x14ac:dyDescent="0.25">
      <c r="A5933">
        <v>5932</v>
      </c>
      <c r="B5933" s="1">
        <v>45753</v>
      </c>
      <c r="C5933" t="s">
        <v>92</v>
      </c>
      <c r="D5933" t="s">
        <v>42</v>
      </c>
      <c r="E5933" t="s">
        <v>13</v>
      </c>
      <c r="F5933">
        <v>3</v>
      </c>
      <c r="G5933" t="str">
        <f>VLOOKUP(D5933,Товары!A:I,3,0)</f>
        <v>Тумба под стиральную машину Леон Риф 57 подвесная 2 ящика под ст/маш, без умывальника /под Marshall 120 Солярис/Белый Риф</v>
      </c>
      <c r="H5933">
        <f>VLOOKUP(D5933,Товары!A:I,6,0)</f>
        <v>60</v>
      </c>
      <c r="I5933" t="str">
        <f>VLOOKUP(C5933,Магазины!A:C,3,0)</f>
        <v>Кемерово</v>
      </c>
      <c r="J5933">
        <f>VLOOKUP(D5933,Товары!A:I,4,0)</f>
        <v>15495</v>
      </c>
      <c r="K5933">
        <f t="shared" si="92"/>
        <v>46485</v>
      </c>
    </row>
    <row r="5934" spans="1:11" hidden="1" x14ac:dyDescent="0.25">
      <c r="A5934">
        <v>5933</v>
      </c>
      <c r="B5934" s="1">
        <v>45756</v>
      </c>
      <c r="C5934" t="s">
        <v>48</v>
      </c>
      <c r="D5934" t="s">
        <v>66</v>
      </c>
      <c r="E5934" t="s">
        <v>13</v>
      </c>
      <c r="F5934">
        <v>2</v>
      </c>
      <c r="G5934" t="str">
        <f>VLOOKUP(D5934,Товары!A:I,3,0)</f>
        <v>Тумба с раковиной  навес. Альба 800 мята 2 ящика с умыв. Слим</v>
      </c>
      <c r="H5934">
        <f>VLOOKUP(D5934,Товары!A:I,6,0)</f>
        <v>50</v>
      </c>
      <c r="I5934" t="str">
        <f>VLOOKUP(C5934,Магазины!A:C,3,0)</f>
        <v>Ставрополь</v>
      </c>
      <c r="J5934">
        <f>VLOOKUP(D5934,Товары!A:I,4,0)</f>
        <v>26070</v>
      </c>
      <c r="K5934">
        <f t="shared" si="92"/>
        <v>52140</v>
      </c>
    </row>
    <row r="5935" spans="1:11" hidden="1" x14ac:dyDescent="0.25">
      <c r="A5935">
        <v>5934</v>
      </c>
      <c r="B5935" s="1">
        <v>45751</v>
      </c>
      <c r="C5935" t="s">
        <v>18</v>
      </c>
      <c r="D5935" t="s">
        <v>101</v>
      </c>
      <c r="E5935" t="s">
        <v>13</v>
      </c>
      <c r="F5935">
        <v>3</v>
      </c>
      <c r="G5935" t="str">
        <f>VLOOKUP(D5935,Товары!A:I,3,0)</f>
        <v>Пенал напол. Сохо 400 белый 2 двери + 1 ящик</v>
      </c>
      <c r="H5935">
        <f>VLOOKUP(D5935,Товары!A:I,6,0)</f>
        <v>190</v>
      </c>
      <c r="I5935" t="str">
        <f>VLOOKUP(C5935,Магазины!A:C,3,0)</f>
        <v>Набережные Челны</v>
      </c>
      <c r="J5935">
        <f>VLOOKUP(D5935,Товары!A:I,4,0)</f>
        <v>11040</v>
      </c>
      <c r="K5935">
        <f t="shared" si="92"/>
        <v>33120</v>
      </c>
    </row>
    <row r="5936" spans="1:11" hidden="1" x14ac:dyDescent="0.25">
      <c r="A5936">
        <v>5935</v>
      </c>
      <c r="B5936" s="1">
        <v>45754</v>
      </c>
      <c r="C5936" t="s">
        <v>92</v>
      </c>
      <c r="D5936" t="s">
        <v>40</v>
      </c>
      <c r="E5936" t="s">
        <v>13</v>
      </c>
      <c r="F5936">
        <v>3</v>
      </c>
      <c r="G5936" t="str">
        <f>VLOOKUP(D5936,Товары!A:I,3,0)</f>
        <v>Тумба с раковиной  навес. Рица 800 cерый/керамика 1 ящик + ниша 1 с умыв. Слим</v>
      </c>
      <c r="H5936">
        <f>VLOOKUP(D5936,Товары!A:I,6,0)</f>
        <v>60</v>
      </c>
      <c r="I5936" t="str">
        <f>VLOOKUP(C5936,Магазины!A:C,3,0)</f>
        <v>Кемерово</v>
      </c>
      <c r="J5936">
        <f>VLOOKUP(D5936,Товары!A:I,4,0)</f>
        <v>22425</v>
      </c>
      <c r="K5936">
        <f t="shared" si="92"/>
        <v>67275</v>
      </c>
    </row>
    <row r="5937" spans="1:11" hidden="1" x14ac:dyDescent="0.25">
      <c r="A5937">
        <v>5936</v>
      </c>
      <c r="B5937" s="1">
        <v>45748</v>
      </c>
      <c r="C5937" t="s">
        <v>54</v>
      </c>
      <c r="D5937" t="s">
        <v>113</v>
      </c>
      <c r="E5937" t="s">
        <v>13</v>
      </c>
      <c r="F5937">
        <v>2</v>
      </c>
      <c r="G5937" t="str">
        <f>VLOOKUP(D5937,Товары!A:I,3,0)</f>
        <v>Зеркальный шкаф Альба 60 со светильником правый цвет мята</v>
      </c>
      <c r="H5937">
        <f>VLOOKUP(D5937,Товары!A:I,6,0)</f>
        <v>75</v>
      </c>
      <c r="I5937" t="str">
        <f>VLOOKUP(C5937,Магазины!A:C,3,0)</f>
        <v>Ставрополь</v>
      </c>
      <c r="J5937">
        <f>VLOOKUP(D5937,Товары!A:I,4,0)</f>
        <v>8910</v>
      </c>
      <c r="K5937">
        <f t="shared" si="92"/>
        <v>17820</v>
      </c>
    </row>
    <row r="5938" spans="1:11" hidden="1" x14ac:dyDescent="0.25">
      <c r="A5938">
        <v>5937</v>
      </c>
      <c r="B5938" s="1">
        <v>45752</v>
      </c>
      <c r="C5938" t="s">
        <v>63</v>
      </c>
      <c r="D5938" t="s">
        <v>98</v>
      </c>
      <c r="E5938" t="s">
        <v>8</v>
      </c>
      <c r="F5938">
        <v>1</v>
      </c>
      <c r="G5938" t="str">
        <f>VLOOKUP(D5938,Товары!A:I,3,0)</f>
        <v>Тумба с раковиной  напол. Рица 800 cерый/керамика 2 ящика с умыв. Слим</v>
      </c>
      <c r="H5938">
        <f>VLOOKUP(D5938,Товары!A:I,6,0)</f>
        <v>80</v>
      </c>
      <c r="I5938" t="str">
        <f>VLOOKUP(C5938,Магазины!A:C,3,0)</f>
        <v>Ставрополь</v>
      </c>
      <c r="J5938">
        <f>VLOOKUP(D5938,Товары!A:I,4,0)</f>
        <v>28980</v>
      </c>
      <c r="K5938">
        <f t="shared" si="92"/>
        <v>28980</v>
      </c>
    </row>
    <row r="5939" spans="1:11" hidden="1" x14ac:dyDescent="0.25">
      <c r="A5939">
        <v>5938</v>
      </c>
      <c r="B5939" s="1">
        <v>45754</v>
      </c>
      <c r="C5939" t="s">
        <v>22</v>
      </c>
      <c r="D5939" t="s">
        <v>104</v>
      </c>
      <c r="E5939" t="s">
        <v>13</v>
      </c>
      <c r="F5939">
        <v>2</v>
      </c>
      <c r="G5939" t="str">
        <f>VLOOKUP(D5939,Товары!A:I,3,0)</f>
        <v>Тумба под стиральную машину Куба Риф 57 подвесная 2 ящика под ст/маш, без умывальника /под Marshall 120 Белый</v>
      </c>
      <c r="H5939">
        <f>VLOOKUP(D5939,Товары!A:I,6,0)</f>
        <v>50</v>
      </c>
      <c r="I5939" t="str">
        <f>VLOOKUP(C5939,Магазины!A:C,3,0)</f>
        <v>Кемерово</v>
      </c>
      <c r="J5939">
        <f>VLOOKUP(D5939,Товары!A:I,4,0)</f>
        <v>8505</v>
      </c>
      <c r="K5939">
        <f t="shared" si="92"/>
        <v>17010</v>
      </c>
    </row>
    <row r="5940" spans="1:11" hidden="1" x14ac:dyDescent="0.25">
      <c r="A5940">
        <v>5939</v>
      </c>
      <c r="B5940" s="1">
        <v>45752</v>
      </c>
      <c r="C5940" t="s">
        <v>9</v>
      </c>
      <c r="D5940" t="s">
        <v>32</v>
      </c>
      <c r="E5940" t="s">
        <v>13</v>
      </c>
      <c r="F5940">
        <v>1</v>
      </c>
      <c r="G5940" t="str">
        <f>VLOOKUP(D5940,Товары!A:I,3,0)</f>
        <v>Тумба с раковиной  напол. Леон Риф 700 солярис/белый риф 2 ящика с умыв. Слим</v>
      </c>
      <c r="H5940">
        <f>VLOOKUP(D5940,Товары!A:I,6,0)</f>
        <v>85</v>
      </c>
      <c r="I5940" t="str">
        <f>VLOOKUP(C5940,Магазины!A:C,3,0)</f>
        <v>Кемерово</v>
      </c>
      <c r="J5940">
        <f>VLOOKUP(D5940,Товары!A:I,4,0)</f>
        <v>26460</v>
      </c>
      <c r="K5940">
        <f t="shared" si="92"/>
        <v>26460</v>
      </c>
    </row>
    <row r="5941" spans="1:11" hidden="1" x14ac:dyDescent="0.25">
      <c r="A5941">
        <v>5940</v>
      </c>
      <c r="B5941" s="1">
        <v>45752</v>
      </c>
      <c r="C5941" t="s">
        <v>14</v>
      </c>
      <c r="D5941" t="s">
        <v>125</v>
      </c>
      <c r="E5941" t="s">
        <v>8</v>
      </c>
      <c r="F5941">
        <v>2</v>
      </c>
      <c r="G5941" t="str">
        <f>VLOOKUP(D5941,Товары!A:I,3,0)</f>
        <v>Зеркальный шкаф Сохо 60 белый со светильником правый цвет Белый глянец</v>
      </c>
      <c r="H5941">
        <f>VLOOKUP(D5941,Товары!A:I,6,0)</f>
        <v>75</v>
      </c>
      <c r="I5941" t="str">
        <f>VLOOKUP(C5941,Магазины!A:C,3,0)</f>
        <v>Оренбург</v>
      </c>
      <c r="J5941">
        <f>VLOOKUP(D5941,Товары!A:I,4,0)</f>
        <v>7395</v>
      </c>
      <c r="K5941">
        <f t="shared" si="92"/>
        <v>14790</v>
      </c>
    </row>
    <row r="5942" spans="1:11" hidden="1" x14ac:dyDescent="0.25">
      <c r="A5942">
        <v>5941</v>
      </c>
      <c r="B5942" s="1">
        <v>45755</v>
      </c>
      <c r="C5942" t="s">
        <v>9</v>
      </c>
      <c r="D5942" t="s">
        <v>98</v>
      </c>
      <c r="E5942" t="s">
        <v>13</v>
      </c>
      <c r="F5942">
        <v>1</v>
      </c>
      <c r="G5942" t="str">
        <f>VLOOKUP(D5942,Товары!A:I,3,0)</f>
        <v>Тумба с раковиной  напол. Рица 800 cерый/керамика 2 ящика с умыв. Слим</v>
      </c>
      <c r="H5942">
        <f>VLOOKUP(D5942,Товары!A:I,6,0)</f>
        <v>80</v>
      </c>
      <c r="I5942" t="str">
        <f>VLOOKUP(C5942,Магазины!A:C,3,0)</f>
        <v>Кемерово</v>
      </c>
      <c r="J5942">
        <f>VLOOKUP(D5942,Товары!A:I,4,0)</f>
        <v>28980</v>
      </c>
      <c r="K5942">
        <f t="shared" si="92"/>
        <v>28980</v>
      </c>
    </row>
    <row r="5943" spans="1:11" hidden="1" x14ac:dyDescent="0.25">
      <c r="A5943">
        <v>5942</v>
      </c>
      <c r="B5943" s="1">
        <v>45755</v>
      </c>
      <c r="C5943" t="s">
        <v>43</v>
      </c>
      <c r="D5943" t="s">
        <v>87</v>
      </c>
      <c r="E5943" t="s">
        <v>8</v>
      </c>
      <c r="F5943">
        <v>3</v>
      </c>
      <c r="G5943" t="str">
        <f>VLOOKUP(D5943,Товары!A:I,3,0)</f>
        <v>Тумба с раковиной  напол. Леон 700 форест 2 ящика с умыв. Слим</v>
      </c>
      <c r="H5943">
        <f>VLOOKUP(D5943,Товары!A:I,6,0)</f>
        <v>80</v>
      </c>
      <c r="I5943" t="str">
        <f>VLOOKUP(C5943,Магазины!A:C,3,0)</f>
        <v>Набережные Челны</v>
      </c>
      <c r="J5943">
        <f>VLOOKUP(D5943,Товары!A:I,4,0)</f>
        <v>28380</v>
      </c>
      <c r="K5943">
        <f t="shared" si="92"/>
        <v>85140</v>
      </c>
    </row>
    <row r="5944" spans="1:11" hidden="1" x14ac:dyDescent="0.25">
      <c r="A5944">
        <v>5943</v>
      </c>
      <c r="B5944" s="1">
        <v>45750</v>
      </c>
      <c r="C5944" t="s">
        <v>54</v>
      </c>
      <c r="D5944" t="s">
        <v>96</v>
      </c>
      <c r="E5944" t="s">
        <v>13</v>
      </c>
      <c r="F5944">
        <v>2</v>
      </c>
      <c r="G5944" t="str">
        <f>VLOOKUP(D5944,Товары!A:I,3,0)</f>
        <v>Тумба с раковиной  навес. Альба 600 мята 1 ящик с умыв. Океан</v>
      </c>
      <c r="H5944">
        <f>VLOOKUP(D5944,Товары!A:I,6,0)</f>
        <v>85</v>
      </c>
      <c r="I5944" t="str">
        <f>VLOOKUP(C5944,Магазины!A:C,3,0)</f>
        <v>Ставрополь</v>
      </c>
      <c r="J5944">
        <f>VLOOKUP(D5944,Товары!A:I,4,0)</f>
        <v>17625</v>
      </c>
      <c r="K5944">
        <f t="shared" si="92"/>
        <v>35250</v>
      </c>
    </row>
    <row r="5945" spans="1:11" hidden="1" x14ac:dyDescent="0.25">
      <c r="A5945">
        <v>5944</v>
      </c>
      <c r="B5945" s="1">
        <v>45750</v>
      </c>
      <c r="C5945" t="s">
        <v>9</v>
      </c>
      <c r="D5945" t="s">
        <v>129</v>
      </c>
      <c r="E5945" t="s">
        <v>8</v>
      </c>
      <c r="F5945">
        <v>2</v>
      </c>
      <c r="G5945" t="str">
        <f>VLOOKUP(D5945,Товары!A:I,3,0)</f>
        <v>Тумба с раковиной  напол. Альба 700 антрацит 2 ящика с умыв. Слим</v>
      </c>
      <c r="H5945">
        <f>VLOOKUP(D5945,Товары!A:I,6,0)</f>
        <v>85</v>
      </c>
      <c r="I5945" t="str">
        <f>VLOOKUP(C5945,Магазины!A:C,3,0)</f>
        <v>Кемерово</v>
      </c>
      <c r="J5945">
        <f>VLOOKUP(D5945,Товары!A:I,4,0)</f>
        <v>28695</v>
      </c>
      <c r="K5945">
        <f t="shared" si="92"/>
        <v>57390</v>
      </c>
    </row>
    <row r="5946" spans="1:11" hidden="1" x14ac:dyDescent="0.25">
      <c r="A5946">
        <v>5945</v>
      </c>
      <c r="B5946" s="1">
        <v>45750</v>
      </c>
      <c r="C5946" t="s">
        <v>18</v>
      </c>
      <c r="D5946" t="s">
        <v>93</v>
      </c>
      <c r="E5946" t="s">
        <v>8</v>
      </c>
      <c r="F5946">
        <v>1</v>
      </c>
      <c r="G5946" t="str">
        <f>VLOOKUP(D5946,Товары!A:I,3,0)</f>
        <v>Тумба с раковиной  напол. Леон Риф 800 солярис/белый риф 2 ящика с умыв. Слим</v>
      </c>
      <c r="H5946">
        <f>VLOOKUP(D5946,Товары!A:I,6,0)</f>
        <v>80</v>
      </c>
      <c r="I5946" t="str">
        <f>VLOOKUP(C5946,Магазины!A:C,3,0)</f>
        <v>Набережные Челны</v>
      </c>
      <c r="J5946">
        <f>VLOOKUP(D5946,Товары!A:I,4,0)</f>
        <v>29340</v>
      </c>
      <c r="K5946">
        <f t="shared" si="92"/>
        <v>29340</v>
      </c>
    </row>
    <row r="5947" spans="1:11" hidden="1" x14ac:dyDescent="0.25">
      <c r="A5947">
        <v>5946</v>
      </c>
      <c r="B5947" s="1">
        <v>45749</v>
      </c>
      <c r="C5947" t="s">
        <v>11</v>
      </c>
      <c r="D5947" t="s">
        <v>119</v>
      </c>
      <c r="E5947" t="s">
        <v>8</v>
      </c>
      <c r="F5947">
        <v>1</v>
      </c>
      <c r="G5947" t="str">
        <f>VLOOKUP(D5947,Товары!A:I,3,0)</f>
        <v>Пенал навес./напол. Рица 350 cерый/керамика 2 двери</v>
      </c>
      <c r="H5947">
        <f>VLOOKUP(D5947,Товары!A:I,6,0)</f>
        <v>160</v>
      </c>
      <c r="I5947" t="str">
        <f>VLOOKUP(C5947,Магазины!A:C,3,0)</f>
        <v>Кемерово</v>
      </c>
      <c r="J5947">
        <f>VLOOKUP(D5947,Товары!A:I,4,0)</f>
        <v>11250</v>
      </c>
      <c r="K5947">
        <f t="shared" si="92"/>
        <v>11250</v>
      </c>
    </row>
    <row r="5948" spans="1:11" hidden="1" x14ac:dyDescent="0.25">
      <c r="A5948">
        <v>5947</v>
      </c>
      <c r="B5948" s="1">
        <v>45748</v>
      </c>
      <c r="C5948" t="s">
        <v>30</v>
      </c>
      <c r="D5948" t="s">
        <v>102</v>
      </c>
      <c r="E5948" t="s">
        <v>13</v>
      </c>
      <c r="F5948">
        <v>3</v>
      </c>
      <c r="G5948" t="str">
        <f>VLOOKUP(D5948,Товары!A:I,3,0)</f>
        <v>Тумба с раковиной  напол. Леон Риф 1000 солярис/белый риф 2 ящика с умыв. Слим</v>
      </c>
      <c r="H5948">
        <f>VLOOKUP(D5948,Товары!A:I,6,0)</f>
        <v>85</v>
      </c>
      <c r="I5948" t="str">
        <f>VLOOKUP(C5948,Магазины!A:C,3,0)</f>
        <v>Кемерово</v>
      </c>
      <c r="J5948">
        <f>VLOOKUP(D5948,Товары!A:I,4,0)</f>
        <v>32085</v>
      </c>
      <c r="K5948">
        <f t="shared" si="92"/>
        <v>96255</v>
      </c>
    </row>
    <row r="5949" spans="1:11" hidden="1" x14ac:dyDescent="0.25">
      <c r="A5949">
        <v>5948</v>
      </c>
      <c r="B5949" s="1">
        <v>45750</v>
      </c>
      <c r="C5949" t="s">
        <v>18</v>
      </c>
      <c r="D5949" t="s">
        <v>79</v>
      </c>
      <c r="E5949" t="s">
        <v>8</v>
      </c>
      <c r="F5949">
        <v>3</v>
      </c>
      <c r="G5949" t="str">
        <f>VLOOKUP(D5949,Товары!A:I,3,0)</f>
        <v>Зеркальный шкаф Альба 70 со светильником правый цвет мята</v>
      </c>
      <c r="H5949">
        <f>VLOOKUP(D5949,Товары!A:I,6,0)</f>
        <v>75</v>
      </c>
      <c r="I5949" t="str">
        <f>VLOOKUP(C5949,Магазины!A:C,3,0)</f>
        <v>Набережные Челны</v>
      </c>
      <c r="J5949">
        <f>VLOOKUP(D5949,Товары!A:I,4,0)</f>
        <v>9615</v>
      </c>
      <c r="K5949">
        <f t="shared" si="92"/>
        <v>28845</v>
      </c>
    </row>
    <row r="5950" spans="1:11" hidden="1" x14ac:dyDescent="0.25">
      <c r="A5950">
        <v>5949</v>
      </c>
      <c r="B5950" s="1">
        <v>45750</v>
      </c>
      <c r="C5950" t="s">
        <v>26</v>
      </c>
      <c r="D5950" t="s">
        <v>126</v>
      </c>
      <c r="E5950" t="s">
        <v>8</v>
      </c>
      <c r="F5950">
        <v>1</v>
      </c>
      <c r="G5950" t="str">
        <f>VLOOKUP(D5950,Товары!A:I,3,0)</f>
        <v>Тумба с раковиной  напол. Кристалл 800 шато азур 2 ящика с умыв. Комфорт</v>
      </c>
      <c r="H5950">
        <f>VLOOKUP(D5950,Товары!A:I,6,0)</f>
        <v>85</v>
      </c>
      <c r="I5950" t="str">
        <f>VLOOKUP(C5950,Магазины!A:C,3,0)</f>
        <v>Оренбург</v>
      </c>
      <c r="J5950">
        <f>VLOOKUP(D5950,Товары!A:I,4,0)</f>
        <v>31125</v>
      </c>
      <c r="K5950">
        <f t="shared" si="92"/>
        <v>31125</v>
      </c>
    </row>
    <row r="5951" spans="1:11" hidden="1" x14ac:dyDescent="0.25">
      <c r="A5951">
        <v>5950</v>
      </c>
      <c r="B5951" s="1">
        <v>45756</v>
      </c>
      <c r="C5951" t="s">
        <v>18</v>
      </c>
      <c r="D5951" t="s">
        <v>24</v>
      </c>
      <c r="E5951" t="s">
        <v>13</v>
      </c>
      <c r="F5951">
        <v>2</v>
      </c>
      <c r="G5951" t="str">
        <f>VLOOKUP(D5951,Товары!A:I,3,0)</f>
        <v>Тумба с раковиной  напол. Леон 600 форест 2 ящика с умыв. Слим</v>
      </c>
      <c r="H5951">
        <f>VLOOKUP(D5951,Товары!A:I,6,0)</f>
        <v>80</v>
      </c>
      <c r="I5951" t="str">
        <f>VLOOKUP(C5951,Магазины!A:C,3,0)</f>
        <v>Набережные Челны</v>
      </c>
      <c r="J5951">
        <f>VLOOKUP(D5951,Товары!A:I,4,0)</f>
        <v>27150</v>
      </c>
      <c r="K5951">
        <f t="shared" si="92"/>
        <v>54300</v>
      </c>
    </row>
    <row r="5952" spans="1:11" hidden="1" x14ac:dyDescent="0.25">
      <c r="A5952">
        <v>5951</v>
      </c>
      <c r="B5952" s="1">
        <v>45753</v>
      </c>
      <c r="C5952" t="s">
        <v>33</v>
      </c>
      <c r="D5952" t="s">
        <v>59</v>
      </c>
      <c r="E5952" t="s">
        <v>8</v>
      </c>
      <c r="F5952">
        <v>3</v>
      </c>
      <c r="G5952" t="str">
        <f>VLOOKUP(D5952,Товары!A:I,3,0)</f>
        <v>Тумба с раковиной  навес. Куба Риф 600 белый 2 ящика с умыв. Океан</v>
      </c>
      <c r="H5952">
        <f>VLOOKUP(D5952,Товары!A:I,6,0)</f>
        <v>55</v>
      </c>
      <c r="I5952" t="str">
        <f>VLOOKUP(C5952,Магазины!A:C,3,0)</f>
        <v>Набережные Челны</v>
      </c>
      <c r="J5952">
        <f>VLOOKUP(D5952,Товары!A:I,4,0)</f>
        <v>15765</v>
      </c>
      <c r="K5952">
        <f t="shared" si="92"/>
        <v>47295</v>
      </c>
    </row>
    <row r="5953" spans="1:11" hidden="1" x14ac:dyDescent="0.25">
      <c r="A5953">
        <v>5952</v>
      </c>
      <c r="B5953" s="1">
        <v>45752</v>
      </c>
      <c r="C5953" t="s">
        <v>54</v>
      </c>
      <c r="D5953" t="s">
        <v>86</v>
      </c>
      <c r="E5953" t="s">
        <v>8</v>
      </c>
      <c r="F5953">
        <v>3</v>
      </c>
      <c r="G5953" t="str">
        <f>VLOOKUP(D5953,Товары!A:I,3,0)</f>
        <v>Комод Аква 50 напольный 1 ящик 2 двери белый</v>
      </c>
      <c r="H5953">
        <f>VLOOKUP(D5953,Товары!A:I,6,0)</f>
        <v>90</v>
      </c>
      <c r="I5953" t="str">
        <f>VLOOKUP(C5953,Магазины!A:C,3,0)</f>
        <v>Ставрополь</v>
      </c>
      <c r="J5953">
        <f>VLOOKUP(D5953,Товары!A:I,4,0)</f>
        <v>7260</v>
      </c>
      <c r="K5953">
        <f t="shared" si="92"/>
        <v>21780</v>
      </c>
    </row>
    <row r="5954" spans="1:11" hidden="1" x14ac:dyDescent="0.25">
      <c r="A5954">
        <v>5953</v>
      </c>
      <c r="B5954" s="1">
        <v>45748</v>
      </c>
      <c r="C5954" t="s">
        <v>22</v>
      </c>
      <c r="D5954" t="s">
        <v>83</v>
      </c>
      <c r="E5954" t="s">
        <v>8</v>
      </c>
      <c r="F5954">
        <v>3</v>
      </c>
      <c r="G5954" t="str">
        <f>VLOOKUP(D5954,Товары!A:I,3,0)</f>
        <v>Зеркальный шкаф Альба 60 со светильником правый цвет суфле</v>
      </c>
      <c r="H5954">
        <f>VLOOKUP(D5954,Товары!A:I,6,0)</f>
        <v>75</v>
      </c>
      <c r="I5954" t="str">
        <f>VLOOKUP(C5954,Магазины!A:C,3,0)</f>
        <v>Кемерово</v>
      </c>
      <c r="J5954">
        <f>VLOOKUP(D5954,Товары!A:I,4,0)</f>
        <v>8910</v>
      </c>
      <c r="K5954">
        <f t="shared" si="92"/>
        <v>26730</v>
      </c>
    </row>
    <row r="5955" spans="1:11" hidden="1" x14ac:dyDescent="0.25">
      <c r="A5955">
        <v>5954</v>
      </c>
      <c r="B5955" s="1">
        <v>45749</v>
      </c>
      <c r="C5955" t="s">
        <v>22</v>
      </c>
      <c r="D5955" t="s">
        <v>51</v>
      </c>
      <c r="E5955" t="s">
        <v>8</v>
      </c>
      <c r="F5955">
        <v>2</v>
      </c>
      <c r="G5955" t="str">
        <f>VLOOKUP(D5955,Товары!A:I,3,0)</f>
        <v>Зеркальный шкаф Альба 80 со светильником правый цвет суфле</v>
      </c>
      <c r="H5955">
        <f>VLOOKUP(D5955,Товары!A:I,6,0)</f>
        <v>75</v>
      </c>
      <c r="I5955" t="str">
        <f>VLOOKUP(C5955,Магазины!A:C,3,0)</f>
        <v>Кемерово</v>
      </c>
      <c r="J5955">
        <f>VLOOKUP(D5955,Товары!A:I,4,0)</f>
        <v>9930</v>
      </c>
      <c r="K5955">
        <f t="shared" ref="K5955:K6018" si="93">J5955*F5955</f>
        <v>19860</v>
      </c>
    </row>
    <row r="5956" spans="1:11" hidden="1" x14ac:dyDescent="0.25">
      <c r="A5956">
        <v>5955</v>
      </c>
      <c r="B5956" s="1">
        <v>45748</v>
      </c>
      <c r="C5956" t="s">
        <v>58</v>
      </c>
      <c r="D5956" t="s">
        <v>72</v>
      </c>
      <c r="E5956" t="s">
        <v>8</v>
      </c>
      <c r="F5956">
        <v>3</v>
      </c>
      <c r="G5956" t="str">
        <f>VLOOKUP(D5956,Товары!A:I,3,0)</f>
        <v>Тумба с раковиной  напол. Сохо 600 белый 2 ящика с умыв. Океан</v>
      </c>
      <c r="H5956">
        <f>VLOOKUP(D5956,Товары!A:I,6,0)</f>
        <v>85</v>
      </c>
      <c r="I5956" t="str">
        <f>VLOOKUP(C5956,Магазины!A:C,3,0)</f>
        <v>Ставрополь</v>
      </c>
      <c r="J5956">
        <f>VLOOKUP(D5956,Товары!A:I,4,0)</f>
        <v>16140</v>
      </c>
      <c r="K5956">
        <f t="shared" si="93"/>
        <v>48420</v>
      </c>
    </row>
    <row r="5957" spans="1:11" hidden="1" x14ac:dyDescent="0.25">
      <c r="A5957">
        <v>5956</v>
      </c>
      <c r="B5957" s="1">
        <v>45755</v>
      </c>
      <c r="C5957" t="s">
        <v>20</v>
      </c>
      <c r="D5957" t="s">
        <v>50</v>
      </c>
      <c r="E5957" t="s">
        <v>13</v>
      </c>
      <c r="F5957">
        <v>1</v>
      </c>
      <c r="G5957" t="str">
        <f>VLOOKUP(D5957,Товары!A:I,3,0)</f>
        <v>Тумба с раковиной  напол. Леон 800 оникс 2 ящика с умыв. Слим</v>
      </c>
      <c r="H5957">
        <f>VLOOKUP(D5957,Товары!A:I,6,0)</f>
        <v>80</v>
      </c>
      <c r="I5957" t="str">
        <f>VLOOKUP(C5957,Магазины!A:C,3,0)</f>
        <v>Оренбург</v>
      </c>
      <c r="J5957">
        <f>VLOOKUP(D5957,Товары!A:I,4,0)</f>
        <v>29400</v>
      </c>
      <c r="K5957">
        <f t="shared" si="93"/>
        <v>29400</v>
      </c>
    </row>
    <row r="5958" spans="1:11" hidden="1" x14ac:dyDescent="0.25">
      <c r="A5958">
        <v>5957</v>
      </c>
      <c r="B5958" s="1">
        <v>45755</v>
      </c>
      <c r="C5958" t="s">
        <v>43</v>
      </c>
      <c r="D5958" t="s">
        <v>27</v>
      </c>
      <c r="E5958" t="s">
        <v>13</v>
      </c>
      <c r="F5958">
        <v>1</v>
      </c>
      <c r="G5958" t="str">
        <f>VLOOKUP(D5958,Товары!A:I,3,0)</f>
        <v>Тумба с раковиной  навес. Виктория 800 белый 2 ящика с умыв. Слим</v>
      </c>
      <c r="H5958">
        <f>VLOOKUP(D5958,Товары!A:I,6,0)</f>
        <v>60</v>
      </c>
      <c r="I5958" t="str">
        <f>VLOOKUP(C5958,Магазины!A:C,3,0)</f>
        <v>Набережные Челны</v>
      </c>
      <c r="J5958">
        <f>VLOOKUP(D5958,Товары!A:I,4,0)</f>
        <v>25290</v>
      </c>
      <c r="K5958">
        <f t="shared" si="93"/>
        <v>25290</v>
      </c>
    </row>
    <row r="5959" spans="1:11" hidden="1" x14ac:dyDescent="0.25">
      <c r="A5959">
        <v>5958</v>
      </c>
      <c r="B5959" s="1">
        <v>45748</v>
      </c>
      <c r="C5959" t="s">
        <v>33</v>
      </c>
      <c r="D5959" t="s">
        <v>105</v>
      </c>
      <c r="E5959" t="s">
        <v>13</v>
      </c>
      <c r="F5959">
        <v>3</v>
      </c>
      <c r="G5959" t="str">
        <f>VLOOKUP(D5959,Товары!A:I,3,0)</f>
        <v>Тумба с раковиной  напол. Нева 600 белый 2 двери + 1 ящик с умыв. Como</v>
      </c>
      <c r="H5959">
        <f>VLOOKUP(D5959,Товары!A:I,6,0)</f>
        <v>80</v>
      </c>
      <c r="I5959" t="str">
        <f>VLOOKUP(C5959,Магазины!A:C,3,0)</f>
        <v>Набережные Челны</v>
      </c>
      <c r="J5959">
        <f>VLOOKUP(D5959,Товары!A:I,4,0)</f>
        <v>13470</v>
      </c>
      <c r="K5959">
        <f t="shared" si="93"/>
        <v>40410</v>
      </c>
    </row>
    <row r="5960" spans="1:11" hidden="1" x14ac:dyDescent="0.25">
      <c r="A5960">
        <v>5959</v>
      </c>
      <c r="B5960" s="1">
        <v>45750</v>
      </c>
      <c r="C5960" t="s">
        <v>63</v>
      </c>
      <c r="D5960" t="s">
        <v>131</v>
      </c>
      <c r="E5960" t="s">
        <v>13</v>
      </c>
      <c r="F5960">
        <v>1</v>
      </c>
      <c r="G5960" t="str">
        <f>VLOOKUP(D5960,Товары!A:I,3,0)</f>
        <v>Тумба с раковиной  напол. Леон 800 форест 2 ящика с умыв. Слим</v>
      </c>
      <c r="H5960">
        <f>VLOOKUP(D5960,Товары!A:I,6,0)</f>
        <v>80</v>
      </c>
      <c r="I5960" t="str">
        <f>VLOOKUP(C5960,Магазины!A:C,3,0)</f>
        <v>Ставрополь</v>
      </c>
      <c r="J5960">
        <f>VLOOKUP(D5960,Товары!A:I,4,0)</f>
        <v>29400</v>
      </c>
      <c r="K5960">
        <f t="shared" si="93"/>
        <v>29400</v>
      </c>
    </row>
    <row r="5961" spans="1:11" hidden="1" x14ac:dyDescent="0.25">
      <c r="A5961">
        <v>5960</v>
      </c>
      <c r="B5961" s="1">
        <v>45755</v>
      </c>
      <c r="C5961" t="s">
        <v>28</v>
      </c>
      <c r="D5961" t="s">
        <v>102</v>
      </c>
      <c r="E5961" t="s">
        <v>8</v>
      </c>
      <c r="F5961">
        <v>2</v>
      </c>
      <c r="G5961" t="str">
        <f>VLOOKUP(D5961,Товары!A:I,3,0)</f>
        <v>Тумба с раковиной  напол. Леон Риф 1000 солярис/белый риф 2 ящика с умыв. Слим</v>
      </c>
      <c r="H5961">
        <f>VLOOKUP(D5961,Товары!A:I,6,0)</f>
        <v>85</v>
      </c>
      <c r="I5961" t="str">
        <f>VLOOKUP(C5961,Магазины!A:C,3,0)</f>
        <v>Набережные Челны</v>
      </c>
      <c r="J5961">
        <f>VLOOKUP(D5961,Товары!A:I,4,0)</f>
        <v>32085</v>
      </c>
      <c r="K5961">
        <f t="shared" si="93"/>
        <v>64170</v>
      </c>
    </row>
    <row r="5962" spans="1:11" hidden="1" x14ac:dyDescent="0.25">
      <c r="A5962">
        <v>5961</v>
      </c>
      <c r="B5962" s="1">
        <v>45753</v>
      </c>
      <c r="C5962" t="s">
        <v>103</v>
      </c>
      <c r="D5962" t="s">
        <v>60</v>
      </c>
      <c r="E5962" t="s">
        <v>13</v>
      </c>
      <c r="F5962">
        <v>3</v>
      </c>
      <c r="G5962" t="str">
        <f>VLOOKUP(D5962,Товары!A:I,3,0)</f>
        <v>Пенал навес. Куба Риф 350 белый 2 двери</v>
      </c>
      <c r="H5962">
        <f>VLOOKUP(D5962,Товары!A:I,6,0)</f>
        <v>150</v>
      </c>
      <c r="I5962" t="str">
        <f>VLOOKUP(C5962,Магазины!A:C,3,0)</f>
        <v>Ставрополь</v>
      </c>
      <c r="J5962">
        <f>VLOOKUP(D5962,Товары!A:I,4,0)</f>
        <v>9720</v>
      </c>
      <c r="K5962">
        <f t="shared" si="93"/>
        <v>29160</v>
      </c>
    </row>
    <row r="5963" spans="1:11" hidden="1" x14ac:dyDescent="0.25">
      <c r="A5963">
        <v>5962</v>
      </c>
      <c r="B5963" s="1">
        <v>45754</v>
      </c>
      <c r="C5963" t="s">
        <v>6</v>
      </c>
      <c r="D5963" t="s">
        <v>99</v>
      </c>
      <c r="E5963" t="s">
        <v>13</v>
      </c>
      <c r="F5963">
        <v>3</v>
      </c>
      <c r="G5963" t="str">
        <f>VLOOKUP(D5963,Товары!A:I,3,0)</f>
        <v>Тумба с раковиной  навес. Леон 600 оникс 2 ящика с умыв. Слим</v>
      </c>
      <c r="H5963">
        <f>VLOOKUP(D5963,Товары!A:I,6,0)</f>
        <v>60</v>
      </c>
      <c r="I5963" t="str">
        <f>VLOOKUP(C5963,Магазины!A:C,3,0)</f>
        <v>Оренбург</v>
      </c>
      <c r="J5963">
        <f>VLOOKUP(D5963,Товары!A:I,4,0)</f>
        <v>25125</v>
      </c>
      <c r="K5963">
        <f t="shared" si="93"/>
        <v>75375</v>
      </c>
    </row>
    <row r="5964" spans="1:11" hidden="1" x14ac:dyDescent="0.25">
      <c r="A5964">
        <v>5963</v>
      </c>
      <c r="B5964" s="1">
        <v>45750</v>
      </c>
      <c r="C5964" t="s">
        <v>6</v>
      </c>
      <c r="D5964" t="s">
        <v>88</v>
      </c>
      <c r="E5964" t="s">
        <v>13</v>
      </c>
      <c r="F5964">
        <v>2</v>
      </c>
      <c r="G5964" t="str">
        <f>VLOOKUP(D5964,Товары!A:I,3,0)</f>
        <v>Тумба с раковиной  навес. Альба 800 антрацит 2 ящика с умыв. Слим</v>
      </c>
      <c r="H5964">
        <f>VLOOKUP(D5964,Товары!A:I,6,0)</f>
        <v>50</v>
      </c>
      <c r="I5964" t="str">
        <f>VLOOKUP(C5964,Магазины!A:C,3,0)</f>
        <v>Оренбург</v>
      </c>
      <c r="J5964">
        <f>VLOOKUP(D5964,Товары!A:I,4,0)</f>
        <v>26070</v>
      </c>
      <c r="K5964">
        <f t="shared" si="93"/>
        <v>52140</v>
      </c>
    </row>
    <row r="5965" spans="1:11" hidden="1" x14ac:dyDescent="0.25">
      <c r="A5965">
        <v>5964</v>
      </c>
      <c r="B5965" s="1">
        <v>45757</v>
      </c>
      <c r="C5965" t="s">
        <v>111</v>
      </c>
      <c r="D5965" t="s">
        <v>21</v>
      </c>
      <c r="E5965" t="s">
        <v>13</v>
      </c>
      <c r="F5965">
        <v>3</v>
      </c>
      <c r="G5965" t="str">
        <f>VLOOKUP(D5965,Товары!A:I,3,0)</f>
        <v>Зеркальный шкаф Рица 60 со светильником правый цвет cерый/керамика</v>
      </c>
      <c r="H5965">
        <f>VLOOKUP(D5965,Товары!A:I,6,0)</f>
        <v>75</v>
      </c>
      <c r="I5965" t="str">
        <f>VLOOKUP(C5965,Магазины!A:C,3,0)</f>
        <v>Набережные Челны</v>
      </c>
      <c r="J5965">
        <f>VLOOKUP(D5965,Товары!A:I,4,0)</f>
        <v>8910</v>
      </c>
      <c r="K5965">
        <f t="shared" si="93"/>
        <v>26730</v>
      </c>
    </row>
    <row r="5966" spans="1:11" hidden="1" x14ac:dyDescent="0.25">
      <c r="A5966">
        <v>5965</v>
      </c>
      <c r="B5966" s="1">
        <v>45753</v>
      </c>
      <c r="C5966" t="s">
        <v>28</v>
      </c>
      <c r="D5966" t="s">
        <v>110</v>
      </c>
      <c r="E5966" t="s">
        <v>8</v>
      </c>
      <c r="F5966">
        <v>2</v>
      </c>
      <c r="G5966" t="str">
        <f>VLOOKUP(D5966,Товары!A:I,3,0)</f>
        <v>Тумба с раковиной  напол. Альба 600 антрацит 2 ящика с умыв. Океан</v>
      </c>
      <c r="H5966">
        <f>VLOOKUP(D5966,Товары!A:I,6,0)</f>
        <v>80</v>
      </c>
      <c r="I5966" t="str">
        <f>VLOOKUP(C5966,Магазины!A:C,3,0)</f>
        <v>Набережные Челны</v>
      </c>
      <c r="J5966">
        <f>VLOOKUP(D5966,Товары!A:I,4,0)</f>
        <v>26370</v>
      </c>
      <c r="K5966">
        <f t="shared" si="93"/>
        <v>52740</v>
      </c>
    </row>
    <row r="5967" spans="1:11" hidden="1" x14ac:dyDescent="0.25">
      <c r="A5967">
        <v>5966</v>
      </c>
      <c r="B5967" s="1">
        <v>45749</v>
      </c>
      <c r="C5967" t="s">
        <v>33</v>
      </c>
      <c r="D5967" t="s">
        <v>114</v>
      </c>
      <c r="E5967" t="s">
        <v>8</v>
      </c>
      <c r="F5967">
        <v>3</v>
      </c>
      <c r="G5967" t="str">
        <f>VLOOKUP(D5967,Товары!A:I,3,0)</f>
        <v>Тумба с раковиной  навес. Альба 700 мята 2 ящика с умыв. Слим</v>
      </c>
      <c r="H5967">
        <f>VLOOKUP(D5967,Товары!A:I,6,0)</f>
        <v>60</v>
      </c>
      <c r="I5967" t="str">
        <f>VLOOKUP(C5967,Магазины!A:C,3,0)</f>
        <v>Набережные Челны</v>
      </c>
      <c r="J5967">
        <f>VLOOKUP(D5967,Товары!A:I,4,0)</f>
        <v>25095</v>
      </c>
      <c r="K5967">
        <f t="shared" si="93"/>
        <v>75285</v>
      </c>
    </row>
    <row r="5968" spans="1:11" hidden="1" x14ac:dyDescent="0.25">
      <c r="A5968">
        <v>5967</v>
      </c>
      <c r="B5968" s="1">
        <v>45749</v>
      </c>
      <c r="C5968" t="s">
        <v>6</v>
      </c>
      <c r="D5968" t="s">
        <v>70</v>
      </c>
      <c r="E5968" t="s">
        <v>8</v>
      </c>
      <c r="F5968">
        <v>2</v>
      </c>
      <c r="G5968" t="str">
        <f>VLOOKUP(D5968,Товары!A:I,3,0)</f>
        <v>Тумба с раковиной  напол. Кристалл 700 шато азур 2 ящика с умыв. Слим</v>
      </c>
      <c r="H5968">
        <f>VLOOKUP(D5968,Товары!A:I,6,0)</f>
        <v>85</v>
      </c>
      <c r="I5968" t="str">
        <f>VLOOKUP(C5968,Магазины!A:C,3,0)</f>
        <v>Оренбург</v>
      </c>
      <c r="J5968">
        <f>VLOOKUP(D5968,Товары!A:I,4,0)</f>
        <v>29910</v>
      </c>
      <c r="K5968">
        <f t="shared" si="93"/>
        <v>59820</v>
      </c>
    </row>
    <row r="5969" spans="1:11" hidden="1" x14ac:dyDescent="0.25">
      <c r="A5969">
        <v>5968</v>
      </c>
      <c r="B5969" s="1">
        <v>45755</v>
      </c>
      <c r="C5969" t="s">
        <v>43</v>
      </c>
      <c r="D5969" t="s">
        <v>23</v>
      </c>
      <c r="E5969" t="s">
        <v>8</v>
      </c>
      <c r="F5969">
        <v>3</v>
      </c>
      <c r="G5969" t="str">
        <f>VLOOKUP(D5969,Товары!A:I,3,0)</f>
        <v>Тумба с раковиной  напол. Альба 800 антрацит 2 ящика с умыв. Слим</v>
      </c>
      <c r="H5969">
        <f>VLOOKUP(D5969,Товары!A:I,6,0)</f>
        <v>80</v>
      </c>
      <c r="I5969" t="str">
        <f>VLOOKUP(C5969,Магазины!A:C,3,0)</f>
        <v>Набережные Челны</v>
      </c>
      <c r="J5969">
        <f>VLOOKUP(D5969,Товары!A:I,4,0)</f>
        <v>29340</v>
      </c>
      <c r="K5969">
        <f t="shared" si="93"/>
        <v>88020</v>
      </c>
    </row>
    <row r="5970" spans="1:11" hidden="1" x14ac:dyDescent="0.25">
      <c r="A5970">
        <v>5969</v>
      </c>
      <c r="B5970" s="1">
        <v>45755</v>
      </c>
      <c r="C5970" t="s">
        <v>63</v>
      </c>
      <c r="D5970" t="s">
        <v>52</v>
      </c>
      <c r="E5970" t="s">
        <v>8</v>
      </c>
      <c r="F5970">
        <v>2</v>
      </c>
      <c r="G5970" t="str">
        <f>VLOOKUP(D5970,Товары!A:I,3,0)</f>
        <v>Тумба с раковиной  напол. Кристалл 600 суфле 2 ящика с умыв. Океан</v>
      </c>
      <c r="H5970">
        <f>VLOOKUP(D5970,Товары!A:I,6,0)</f>
        <v>80</v>
      </c>
      <c r="I5970" t="str">
        <f>VLOOKUP(C5970,Магазины!A:C,3,0)</f>
        <v>Ставрополь</v>
      </c>
      <c r="J5970">
        <f>VLOOKUP(D5970,Товары!A:I,4,0)</f>
        <v>27600</v>
      </c>
      <c r="K5970">
        <f t="shared" si="93"/>
        <v>55200</v>
      </c>
    </row>
    <row r="5971" spans="1:11" hidden="1" x14ac:dyDescent="0.25">
      <c r="A5971">
        <v>5970</v>
      </c>
      <c r="B5971" s="1">
        <v>45757</v>
      </c>
      <c r="C5971" t="s">
        <v>16</v>
      </c>
      <c r="D5971" t="s">
        <v>99</v>
      </c>
      <c r="E5971" t="s">
        <v>8</v>
      </c>
      <c r="F5971">
        <v>2</v>
      </c>
      <c r="G5971" t="str">
        <f>VLOOKUP(D5971,Товары!A:I,3,0)</f>
        <v>Тумба с раковиной  навес. Леон 600 оникс 2 ящика с умыв. Слим</v>
      </c>
      <c r="H5971">
        <f>VLOOKUP(D5971,Товары!A:I,6,0)</f>
        <v>60</v>
      </c>
      <c r="I5971" t="str">
        <f>VLOOKUP(C5971,Магазины!A:C,3,0)</f>
        <v>Оренбург</v>
      </c>
      <c r="J5971">
        <f>VLOOKUP(D5971,Товары!A:I,4,0)</f>
        <v>25125</v>
      </c>
      <c r="K5971">
        <f t="shared" si="93"/>
        <v>50250</v>
      </c>
    </row>
    <row r="5972" spans="1:11" hidden="1" x14ac:dyDescent="0.25">
      <c r="A5972">
        <v>5971</v>
      </c>
      <c r="B5972" s="1">
        <v>45749</v>
      </c>
      <c r="C5972" t="s">
        <v>33</v>
      </c>
      <c r="D5972" t="s">
        <v>55</v>
      </c>
      <c r="E5972" t="s">
        <v>8</v>
      </c>
      <c r="F5972">
        <v>2</v>
      </c>
      <c r="G5972" t="str">
        <f>VLOOKUP(D5972,Товары!A:I,3,0)</f>
        <v>Тумба с раковиной  напол. Рица 600 cерый/керамика 2 ящика с умыв. Океан</v>
      </c>
      <c r="H5972">
        <f>VLOOKUP(D5972,Товары!A:I,6,0)</f>
        <v>80</v>
      </c>
      <c r="I5972" t="str">
        <f>VLOOKUP(C5972,Магазины!A:C,3,0)</f>
        <v>Набережные Челны</v>
      </c>
      <c r="J5972">
        <f>VLOOKUP(D5972,Товары!A:I,4,0)</f>
        <v>25560</v>
      </c>
      <c r="K5972">
        <f t="shared" si="93"/>
        <v>51120</v>
      </c>
    </row>
    <row r="5973" spans="1:11" hidden="1" x14ac:dyDescent="0.25">
      <c r="A5973">
        <v>5972</v>
      </c>
      <c r="B5973" s="1">
        <v>45757</v>
      </c>
      <c r="C5973" t="s">
        <v>9</v>
      </c>
      <c r="D5973" t="s">
        <v>52</v>
      </c>
      <c r="E5973" t="s">
        <v>13</v>
      </c>
      <c r="F5973">
        <v>1</v>
      </c>
      <c r="G5973" t="str">
        <f>VLOOKUP(D5973,Товары!A:I,3,0)</f>
        <v>Тумба с раковиной  напол. Кристалл 600 суфле 2 ящика с умыв. Океан</v>
      </c>
      <c r="H5973">
        <f>VLOOKUP(D5973,Товары!A:I,6,0)</f>
        <v>80</v>
      </c>
      <c r="I5973" t="str">
        <f>VLOOKUP(C5973,Магазины!A:C,3,0)</f>
        <v>Кемерово</v>
      </c>
      <c r="J5973">
        <f>VLOOKUP(D5973,Товары!A:I,4,0)</f>
        <v>27600</v>
      </c>
      <c r="K5973">
        <f t="shared" si="93"/>
        <v>27600</v>
      </c>
    </row>
    <row r="5974" spans="1:11" hidden="1" x14ac:dyDescent="0.25">
      <c r="A5974">
        <v>5973</v>
      </c>
      <c r="B5974" s="1">
        <v>45751</v>
      </c>
      <c r="C5974" t="s">
        <v>54</v>
      </c>
      <c r="D5974" t="s">
        <v>62</v>
      </c>
      <c r="E5974" t="s">
        <v>13</v>
      </c>
      <c r="F5974">
        <v>1</v>
      </c>
      <c r="G5974" t="str">
        <f>VLOOKUP(D5974,Товары!A:I,3,0)</f>
        <v>Тумба с раковиной  напол. Альба 600 мята 2 ящика с умыв. Океан</v>
      </c>
      <c r="H5974">
        <f>VLOOKUP(D5974,Товары!A:I,6,0)</f>
        <v>80</v>
      </c>
      <c r="I5974" t="str">
        <f>VLOOKUP(C5974,Магазины!A:C,3,0)</f>
        <v>Ставрополь</v>
      </c>
      <c r="J5974">
        <f>VLOOKUP(D5974,Товары!A:I,4,0)</f>
        <v>26370</v>
      </c>
      <c r="K5974">
        <f t="shared" si="93"/>
        <v>26370</v>
      </c>
    </row>
    <row r="5975" spans="1:11" hidden="1" x14ac:dyDescent="0.25">
      <c r="A5975">
        <v>5974</v>
      </c>
      <c r="B5975" s="1">
        <v>45753</v>
      </c>
      <c r="C5975" t="s">
        <v>6</v>
      </c>
      <c r="D5975" t="s">
        <v>79</v>
      </c>
      <c r="E5975" t="s">
        <v>8</v>
      </c>
      <c r="F5975">
        <v>1</v>
      </c>
      <c r="G5975" t="str">
        <f>VLOOKUP(D5975,Товары!A:I,3,0)</f>
        <v>Зеркальный шкаф Альба 70 со светильником правый цвет мята</v>
      </c>
      <c r="H5975">
        <f>VLOOKUP(D5975,Товары!A:I,6,0)</f>
        <v>75</v>
      </c>
      <c r="I5975" t="str">
        <f>VLOOKUP(C5975,Магазины!A:C,3,0)</f>
        <v>Оренбург</v>
      </c>
      <c r="J5975">
        <f>VLOOKUP(D5975,Товары!A:I,4,0)</f>
        <v>9615</v>
      </c>
      <c r="K5975">
        <f t="shared" si="93"/>
        <v>9615</v>
      </c>
    </row>
    <row r="5976" spans="1:11" hidden="1" x14ac:dyDescent="0.25">
      <c r="A5976">
        <v>5975</v>
      </c>
      <c r="B5976" s="1">
        <v>45751</v>
      </c>
      <c r="C5976" t="s">
        <v>30</v>
      </c>
      <c r="D5976" t="s">
        <v>76</v>
      </c>
      <c r="E5976" t="s">
        <v>8</v>
      </c>
      <c r="F5976">
        <v>1</v>
      </c>
      <c r="G5976" t="str">
        <f>VLOOKUP(D5976,Товары!A:I,3,0)</f>
        <v>Тумба с раковиной  напол. Леон 600 оникс 2 ящика с умыв. Слим</v>
      </c>
      <c r="H5976">
        <f>VLOOKUP(D5976,Товары!A:I,6,0)</f>
        <v>80</v>
      </c>
      <c r="I5976" t="str">
        <f>VLOOKUP(C5976,Магазины!A:C,3,0)</f>
        <v>Кемерово</v>
      </c>
      <c r="J5976">
        <f>VLOOKUP(D5976,Товары!A:I,4,0)</f>
        <v>25860</v>
      </c>
      <c r="K5976">
        <f t="shared" si="93"/>
        <v>25860</v>
      </c>
    </row>
    <row r="5977" spans="1:11" hidden="1" x14ac:dyDescent="0.25">
      <c r="A5977">
        <v>5976</v>
      </c>
      <c r="B5977" s="1">
        <v>45749</v>
      </c>
      <c r="C5977" t="s">
        <v>18</v>
      </c>
      <c r="D5977" t="s">
        <v>50</v>
      </c>
      <c r="E5977" t="s">
        <v>8</v>
      </c>
      <c r="F5977">
        <v>1</v>
      </c>
      <c r="G5977" t="str">
        <f>VLOOKUP(D5977,Товары!A:I,3,0)</f>
        <v>Тумба с раковиной  напол. Леон 800 оникс 2 ящика с умыв. Слим</v>
      </c>
      <c r="H5977">
        <f>VLOOKUP(D5977,Товары!A:I,6,0)</f>
        <v>80</v>
      </c>
      <c r="I5977" t="str">
        <f>VLOOKUP(C5977,Магазины!A:C,3,0)</f>
        <v>Набережные Челны</v>
      </c>
      <c r="J5977">
        <f>VLOOKUP(D5977,Товары!A:I,4,0)</f>
        <v>29400</v>
      </c>
      <c r="K5977">
        <f t="shared" si="93"/>
        <v>29400</v>
      </c>
    </row>
    <row r="5978" spans="1:11" hidden="1" x14ac:dyDescent="0.25">
      <c r="A5978">
        <v>5977</v>
      </c>
      <c r="B5978" s="1">
        <v>45753</v>
      </c>
      <c r="C5978" t="s">
        <v>54</v>
      </c>
      <c r="D5978" t="s">
        <v>45</v>
      </c>
      <c r="E5978" t="s">
        <v>13</v>
      </c>
      <c r="F5978">
        <v>2</v>
      </c>
      <c r="G5978" t="str">
        <f>VLOOKUP(D5978,Товары!A:I,3,0)</f>
        <v>Зеркальный шкаф Рица 80 со светильником правый цвет cерый/керамика</v>
      </c>
      <c r="H5978">
        <f>VLOOKUP(D5978,Товары!A:I,6,0)</f>
        <v>75</v>
      </c>
      <c r="I5978" t="str">
        <f>VLOOKUP(C5978,Магазины!A:C,3,0)</f>
        <v>Ставрополь</v>
      </c>
      <c r="J5978">
        <f>VLOOKUP(D5978,Товары!A:I,4,0)</f>
        <v>9930</v>
      </c>
      <c r="K5978">
        <f t="shared" si="93"/>
        <v>19860</v>
      </c>
    </row>
    <row r="5979" spans="1:11" hidden="1" x14ac:dyDescent="0.25">
      <c r="A5979">
        <v>5978</v>
      </c>
      <c r="B5979" s="1">
        <v>45749</v>
      </c>
      <c r="C5979" t="s">
        <v>26</v>
      </c>
      <c r="D5979" t="s">
        <v>125</v>
      </c>
      <c r="E5979" t="s">
        <v>8</v>
      </c>
      <c r="F5979">
        <v>2</v>
      </c>
      <c r="G5979" t="str">
        <f>VLOOKUP(D5979,Товары!A:I,3,0)</f>
        <v>Зеркальный шкаф Сохо 60 белый со светильником правый цвет Белый глянец</v>
      </c>
      <c r="H5979">
        <f>VLOOKUP(D5979,Товары!A:I,6,0)</f>
        <v>75</v>
      </c>
      <c r="I5979" t="str">
        <f>VLOOKUP(C5979,Магазины!A:C,3,0)</f>
        <v>Оренбург</v>
      </c>
      <c r="J5979">
        <f>VLOOKUP(D5979,Товары!A:I,4,0)</f>
        <v>7395</v>
      </c>
      <c r="K5979">
        <f t="shared" si="93"/>
        <v>14790</v>
      </c>
    </row>
    <row r="5980" spans="1:11" hidden="1" x14ac:dyDescent="0.25">
      <c r="A5980">
        <v>5979</v>
      </c>
      <c r="B5980" s="1">
        <v>45755</v>
      </c>
      <c r="C5980" t="s">
        <v>35</v>
      </c>
      <c r="D5980" t="s">
        <v>117</v>
      </c>
      <c r="E5980" t="s">
        <v>8</v>
      </c>
      <c r="F5980">
        <v>3</v>
      </c>
      <c r="G5980" t="str">
        <f>VLOOKUP(D5980,Товары!A:I,3,0)</f>
        <v>Тумба с раковиной  навес. Альба 700 антрацит 2 ящика с умыв. Слим</v>
      </c>
      <c r="H5980">
        <f>VLOOKUP(D5980,Товары!A:I,6,0)</f>
        <v>60</v>
      </c>
      <c r="I5980" t="str">
        <f>VLOOKUP(C5980,Магазины!A:C,3,0)</f>
        <v>Набережные Челны</v>
      </c>
      <c r="J5980">
        <f>VLOOKUP(D5980,Товары!A:I,4,0)</f>
        <v>25095</v>
      </c>
      <c r="K5980">
        <f t="shared" si="93"/>
        <v>75285</v>
      </c>
    </row>
    <row r="5981" spans="1:11" hidden="1" x14ac:dyDescent="0.25">
      <c r="A5981">
        <v>5980</v>
      </c>
      <c r="B5981" s="1">
        <v>45751</v>
      </c>
      <c r="C5981" t="s">
        <v>22</v>
      </c>
      <c r="D5981" t="s">
        <v>52</v>
      </c>
      <c r="E5981" t="s">
        <v>13</v>
      </c>
      <c r="F5981">
        <v>1</v>
      </c>
      <c r="G5981" t="str">
        <f>VLOOKUP(D5981,Товары!A:I,3,0)</f>
        <v>Тумба с раковиной  напол. Кристалл 600 суфле 2 ящика с умыв. Океан</v>
      </c>
      <c r="H5981">
        <f>VLOOKUP(D5981,Товары!A:I,6,0)</f>
        <v>80</v>
      </c>
      <c r="I5981" t="str">
        <f>VLOOKUP(C5981,Магазины!A:C,3,0)</f>
        <v>Кемерово</v>
      </c>
      <c r="J5981">
        <f>VLOOKUP(D5981,Товары!A:I,4,0)</f>
        <v>27600</v>
      </c>
      <c r="K5981">
        <f t="shared" si="93"/>
        <v>27600</v>
      </c>
    </row>
    <row r="5982" spans="1:11" hidden="1" x14ac:dyDescent="0.25">
      <c r="A5982">
        <v>5981</v>
      </c>
      <c r="B5982" s="1">
        <v>45751</v>
      </c>
      <c r="C5982" t="s">
        <v>22</v>
      </c>
      <c r="D5982" t="s">
        <v>52</v>
      </c>
      <c r="E5982" t="s">
        <v>8</v>
      </c>
      <c r="F5982">
        <v>1</v>
      </c>
      <c r="G5982" t="str">
        <f>VLOOKUP(D5982,Товары!A:I,3,0)</f>
        <v>Тумба с раковиной  напол. Кристалл 600 суфле 2 ящика с умыв. Океан</v>
      </c>
      <c r="H5982">
        <f>VLOOKUP(D5982,Товары!A:I,6,0)</f>
        <v>80</v>
      </c>
      <c r="I5982" t="str">
        <f>VLOOKUP(C5982,Магазины!A:C,3,0)</f>
        <v>Кемерово</v>
      </c>
      <c r="J5982">
        <f>VLOOKUP(D5982,Товары!A:I,4,0)</f>
        <v>27600</v>
      </c>
      <c r="K5982">
        <f t="shared" si="93"/>
        <v>27600</v>
      </c>
    </row>
    <row r="5983" spans="1:11" hidden="1" x14ac:dyDescent="0.25">
      <c r="A5983">
        <v>5982</v>
      </c>
      <c r="B5983" s="1">
        <v>45754</v>
      </c>
      <c r="C5983" t="s">
        <v>20</v>
      </c>
      <c r="D5983" t="s">
        <v>72</v>
      </c>
      <c r="E5983" t="s">
        <v>13</v>
      </c>
      <c r="F5983">
        <v>1</v>
      </c>
      <c r="G5983" t="str">
        <f>VLOOKUP(D5983,Товары!A:I,3,0)</f>
        <v>Тумба с раковиной  напол. Сохо 600 белый 2 ящика с умыв. Океан</v>
      </c>
      <c r="H5983">
        <f>VLOOKUP(D5983,Товары!A:I,6,0)</f>
        <v>85</v>
      </c>
      <c r="I5983" t="str">
        <f>VLOOKUP(C5983,Магазины!A:C,3,0)</f>
        <v>Оренбург</v>
      </c>
      <c r="J5983">
        <f>VLOOKUP(D5983,Товары!A:I,4,0)</f>
        <v>16140</v>
      </c>
      <c r="K5983">
        <f t="shared" si="93"/>
        <v>16140</v>
      </c>
    </row>
    <row r="5984" spans="1:11" hidden="1" x14ac:dyDescent="0.25">
      <c r="A5984">
        <v>5983</v>
      </c>
      <c r="B5984" s="1">
        <v>45755</v>
      </c>
      <c r="C5984" t="s">
        <v>6</v>
      </c>
      <c r="D5984" t="s">
        <v>40</v>
      </c>
      <c r="E5984" t="s">
        <v>8</v>
      </c>
      <c r="F5984">
        <v>3</v>
      </c>
      <c r="G5984" t="str">
        <f>VLOOKUP(D5984,Товары!A:I,3,0)</f>
        <v>Тумба с раковиной  навес. Рица 800 cерый/керамика 1 ящик + ниша 1 с умыв. Слим</v>
      </c>
      <c r="H5984">
        <f>VLOOKUP(D5984,Товары!A:I,6,0)</f>
        <v>60</v>
      </c>
      <c r="I5984" t="str">
        <f>VLOOKUP(C5984,Магазины!A:C,3,0)</f>
        <v>Оренбург</v>
      </c>
      <c r="J5984">
        <f>VLOOKUP(D5984,Товары!A:I,4,0)</f>
        <v>22425</v>
      </c>
      <c r="K5984">
        <f t="shared" si="93"/>
        <v>67275</v>
      </c>
    </row>
    <row r="5985" spans="1:11" hidden="1" x14ac:dyDescent="0.25">
      <c r="A5985">
        <v>5984</v>
      </c>
      <c r="B5985" s="1">
        <v>45757</v>
      </c>
      <c r="C5985" t="s">
        <v>22</v>
      </c>
      <c r="D5985" t="s">
        <v>97</v>
      </c>
      <c r="E5985" t="s">
        <v>8</v>
      </c>
      <c r="F5985">
        <v>2</v>
      </c>
      <c r="G5985" t="str">
        <f>VLOOKUP(D5985,Товары!A:I,3,0)</f>
        <v>Пенал напол. Кристалл 350 суфле 2 двери</v>
      </c>
      <c r="H5985">
        <f>VLOOKUP(D5985,Товары!A:I,6,0)</f>
        <v>190</v>
      </c>
      <c r="I5985" t="str">
        <f>VLOOKUP(C5985,Магазины!A:C,3,0)</f>
        <v>Кемерово</v>
      </c>
      <c r="J5985">
        <f>VLOOKUP(D5985,Товары!A:I,4,0)</f>
        <v>15810</v>
      </c>
      <c r="K5985">
        <f t="shared" si="93"/>
        <v>31620</v>
      </c>
    </row>
    <row r="5986" spans="1:11" hidden="1" x14ac:dyDescent="0.25">
      <c r="A5986">
        <v>5985</v>
      </c>
      <c r="B5986" s="1">
        <v>45755</v>
      </c>
      <c r="C5986" t="s">
        <v>92</v>
      </c>
      <c r="D5986" t="s">
        <v>74</v>
      </c>
      <c r="E5986" t="s">
        <v>8</v>
      </c>
      <c r="F5986">
        <v>2</v>
      </c>
      <c r="G5986" t="str">
        <f>VLOOKUP(D5986,Товары!A:I,3,0)</f>
        <v>Тумба с раковиной  напол. Альба 800 суфле 2 ящика с умыв. Слим</v>
      </c>
      <c r="H5986">
        <f>VLOOKUP(D5986,Товары!A:I,6,0)</f>
        <v>80</v>
      </c>
      <c r="I5986" t="str">
        <f>VLOOKUP(C5986,Магазины!A:C,3,0)</f>
        <v>Кемерово</v>
      </c>
      <c r="J5986">
        <f>VLOOKUP(D5986,Товары!A:I,4,0)</f>
        <v>29340</v>
      </c>
      <c r="K5986">
        <f t="shared" si="93"/>
        <v>58680</v>
      </c>
    </row>
    <row r="5987" spans="1:11" hidden="1" x14ac:dyDescent="0.25">
      <c r="A5987">
        <v>5986</v>
      </c>
      <c r="B5987" s="1">
        <v>45752</v>
      </c>
      <c r="C5987" t="s">
        <v>6</v>
      </c>
      <c r="D5987" t="s">
        <v>94</v>
      </c>
      <c r="E5987" t="s">
        <v>8</v>
      </c>
      <c r="F5987">
        <v>2</v>
      </c>
      <c r="G5987" t="str">
        <f>VLOOKUP(D5987,Товары!A:I,3,0)</f>
        <v>Зеркальный шкаф Альба 80 со светильником правый цвет антрацит</v>
      </c>
      <c r="H5987">
        <f>VLOOKUP(D5987,Товары!A:I,6,0)</f>
        <v>75</v>
      </c>
      <c r="I5987" t="str">
        <f>VLOOKUP(C5987,Магазины!A:C,3,0)</f>
        <v>Оренбург</v>
      </c>
      <c r="J5987">
        <f>VLOOKUP(D5987,Товары!A:I,4,0)</f>
        <v>9930</v>
      </c>
      <c r="K5987">
        <f t="shared" si="93"/>
        <v>19860</v>
      </c>
    </row>
    <row r="5988" spans="1:11" hidden="1" x14ac:dyDescent="0.25">
      <c r="A5988">
        <v>5987</v>
      </c>
      <c r="B5988" s="1">
        <v>45756</v>
      </c>
      <c r="C5988" t="s">
        <v>41</v>
      </c>
      <c r="D5988" t="s">
        <v>75</v>
      </c>
      <c r="E5988" t="s">
        <v>13</v>
      </c>
      <c r="F5988">
        <v>1</v>
      </c>
      <c r="G5988" t="str">
        <f>VLOOKUP(D5988,Товары!A:I,3,0)</f>
        <v>Тумба с раковиной  напол. Альба 600 суфле 2 ящика с умыв. Океан</v>
      </c>
      <c r="H5988">
        <f>VLOOKUP(D5988,Товары!A:I,6,0)</f>
        <v>80</v>
      </c>
      <c r="I5988" t="str">
        <f>VLOOKUP(C5988,Магазины!A:C,3,0)</f>
        <v>Ставрополь</v>
      </c>
      <c r="J5988">
        <f>VLOOKUP(D5988,Товары!A:I,4,0)</f>
        <v>26370</v>
      </c>
      <c r="K5988">
        <f t="shared" si="93"/>
        <v>26370</v>
      </c>
    </row>
    <row r="5989" spans="1:11" hidden="1" x14ac:dyDescent="0.25">
      <c r="A5989">
        <v>5988</v>
      </c>
      <c r="B5989" s="1">
        <v>45753</v>
      </c>
      <c r="C5989" t="s">
        <v>26</v>
      </c>
      <c r="D5989" t="s">
        <v>21</v>
      </c>
      <c r="E5989" t="s">
        <v>8</v>
      </c>
      <c r="F5989">
        <v>3</v>
      </c>
      <c r="G5989" t="str">
        <f>VLOOKUP(D5989,Товары!A:I,3,0)</f>
        <v>Зеркальный шкаф Рица 60 со светильником правый цвет cерый/керамика</v>
      </c>
      <c r="H5989">
        <f>VLOOKUP(D5989,Товары!A:I,6,0)</f>
        <v>75</v>
      </c>
      <c r="I5989" t="str">
        <f>VLOOKUP(C5989,Магазины!A:C,3,0)</f>
        <v>Оренбург</v>
      </c>
      <c r="J5989">
        <f>VLOOKUP(D5989,Товары!A:I,4,0)</f>
        <v>8910</v>
      </c>
      <c r="K5989">
        <f t="shared" si="93"/>
        <v>26730</v>
      </c>
    </row>
    <row r="5990" spans="1:11" hidden="1" x14ac:dyDescent="0.25">
      <c r="A5990">
        <v>5989</v>
      </c>
      <c r="B5990" s="1">
        <v>45754</v>
      </c>
      <c r="C5990" t="s">
        <v>30</v>
      </c>
      <c r="D5990" t="s">
        <v>130</v>
      </c>
      <c r="E5990" t="s">
        <v>8</v>
      </c>
      <c r="F5990">
        <v>3</v>
      </c>
      <c r="G5990" t="str">
        <f>VLOOKUP(D5990,Товары!A:I,3,0)</f>
        <v>Пенал напол. Леон 400 форест 2 двери + 1 ящик</v>
      </c>
      <c r="H5990">
        <f>VLOOKUP(D5990,Товары!A:I,6,0)</f>
        <v>190</v>
      </c>
      <c r="I5990" t="str">
        <f>VLOOKUP(C5990,Магазины!A:C,3,0)</f>
        <v>Кемерово</v>
      </c>
      <c r="J5990">
        <f>VLOOKUP(D5990,Товары!A:I,4,0)</f>
        <v>18450</v>
      </c>
      <c r="K5990">
        <f t="shared" si="93"/>
        <v>55350</v>
      </c>
    </row>
    <row r="5991" spans="1:11" hidden="1" x14ac:dyDescent="0.25">
      <c r="A5991">
        <v>5990</v>
      </c>
      <c r="B5991" s="1">
        <v>45757</v>
      </c>
      <c r="C5991" t="s">
        <v>57</v>
      </c>
      <c r="D5991" t="s">
        <v>37</v>
      </c>
      <c r="E5991" t="s">
        <v>8</v>
      </c>
      <c r="F5991">
        <v>1</v>
      </c>
      <c r="G5991" t="str">
        <f>VLOOKUP(D5991,Товары!A:I,3,0)</f>
        <v>Зеркальный шкаф Сохо 70 белый со светильником правый цвет Белый глянец</v>
      </c>
      <c r="H5991">
        <f>VLOOKUP(D5991,Товары!A:I,6,0)</f>
        <v>75</v>
      </c>
      <c r="I5991" t="str">
        <f>VLOOKUP(C5991,Магазины!A:C,3,0)</f>
        <v>Оренбург</v>
      </c>
      <c r="J5991">
        <f>VLOOKUP(D5991,Товары!A:I,4,0)</f>
        <v>7935</v>
      </c>
      <c r="K5991">
        <f t="shared" si="93"/>
        <v>7935</v>
      </c>
    </row>
    <row r="5992" spans="1:11" hidden="1" x14ac:dyDescent="0.25">
      <c r="A5992">
        <v>5991</v>
      </c>
      <c r="B5992" s="1">
        <v>45754</v>
      </c>
      <c r="C5992" t="s">
        <v>30</v>
      </c>
      <c r="D5992" t="s">
        <v>85</v>
      </c>
      <c r="E5992" t="s">
        <v>8</v>
      </c>
      <c r="F5992">
        <v>3</v>
      </c>
      <c r="G5992" t="str">
        <f>VLOOKUP(D5992,Товары!A:I,3,0)</f>
        <v>Пенал напол. Аква 450 белый 2 двери + 2 ящика + корзина</v>
      </c>
      <c r="H5992">
        <f>VLOOKUP(D5992,Товары!A:I,6,0)</f>
        <v>190</v>
      </c>
      <c r="I5992" t="str">
        <f>VLOOKUP(C5992,Магазины!A:C,3,0)</f>
        <v>Кемерово</v>
      </c>
      <c r="J5992">
        <f>VLOOKUP(D5992,Товары!A:I,4,0)</f>
        <v>13335</v>
      </c>
      <c r="K5992">
        <f t="shared" si="93"/>
        <v>40005</v>
      </c>
    </row>
    <row r="5993" spans="1:11" hidden="1" x14ac:dyDescent="0.25">
      <c r="A5993">
        <v>5992</v>
      </c>
      <c r="B5993" s="1">
        <v>45748</v>
      </c>
      <c r="C5993" t="s">
        <v>14</v>
      </c>
      <c r="D5993" t="s">
        <v>55</v>
      </c>
      <c r="E5993" t="s">
        <v>13</v>
      </c>
      <c r="F5993">
        <v>1</v>
      </c>
      <c r="G5993" t="str">
        <f>VLOOKUP(D5993,Товары!A:I,3,0)</f>
        <v>Тумба с раковиной  напол. Рица 600 cерый/керамика 2 ящика с умыв. Океан</v>
      </c>
      <c r="H5993">
        <f>VLOOKUP(D5993,Товары!A:I,6,0)</f>
        <v>80</v>
      </c>
      <c r="I5993" t="str">
        <f>VLOOKUP(C5993,Магазины!A:C,3,0)</f>
        <v>Оренбург</v>
      </c>
      <c r="J5993">
        <f>VLOOKUP(D5993,Товары!A:I,4,0)</f>
        <v>25560</v>
      </c>
      <c r="K5993">
        <f t="shared" si="93"/>
        <v>25560</v>
      </c>
    </row>
    <row r="5994" spans="1:11" hidden="1" x14ac:dyDescent="0.25">
      <c r="A5994">
        <v>5993</v>
      </c>
      <c r="B5994" s="1">
        <v>45757</v>
      </c>
      <c r="C5994" t="s">
        <v>41</v>
      </c>
      <c r="D5994" t="s">
        <v>45</v>
      </c>
      <c r="E5994" t="s">
        <v>13</v>
      </c>
      <c r="F5994">
        <v>3</v>
      </c>
      <c r="G5994" t="str">
        <f>VLOOKUP(D5994,Товары!A:I,3,0)</f>
        <v>Зеркальный шкаф Рица 80 со светильником правый цвет cерый/керамика</v>
      </c>
      <c r="H5994">
        <f>VLOOKUP(D5994,Товары!A:I,6,0)</f>
        <v>75</v>
      </c>
      <c r="I5994" t="str">
        <f>VLOOKUP(C5994,Магазины!A:C,3,0)</f>
        <v>Ставрополь</v>
      </c>
      <c r="J5994">
        <f>VLOOKUP(D5994,Товары!A:I,4,0)</f>
        <v>9930</v>
      </c>
      <c r="K5994">
        <f t="shared" si="93"/>
        <v>29790</v>
      </c>
    </row>
    <row r="5995" spans="1:11" hidden="1" x14ac:dyDescent="0.25">
      <c r="A5995">
        <v>5994</v>
      </c>
      <c r="B5995" s="1">
        <v>45749</v>
      </c>
      <c r="C5995" t="s">
        <v>22</v>
      </c>
      <c r="D5995" t="s">
        <v>126</v>
      </c>
      <c r="E5995" t="s">
        <v>13</v>
      </c>
      <c r="F5995">
        <v>2</v>
      </c>
      <c r="G5995" t="str">
        <f>VLOOKUP(D5995,Товары!A:I,3,0)</f>
        <v>Тумба с раковиной  напол. Кристалл 800 шато азур 2 ящика с умыв. Комфорт</v>
      </c>
      <c r="H5995">
        <f>VLOOKUP(D5995,Товары!A:I,6,0)</f>
        <v>85</v>
      </c>
      <c r="I5995" t="str">
        <f>VLOOKUP(C5995,Магазины!A:C,3,0)</f>
        <v>Кемерово</v>
      </c>
      <c r="J5995">
        <f>VLOOKUP(D5995,Товары!A:I,4,0)</f>
        <v>31125</v>
      </c>
      <c r="K5995">
        <f t="shared" si="93"/>
        <v>62250</v>
      </c>
    </row>
    <row r="5996" spans="1:11" hidden="1" x14ac:dyDescent="0.25">
      <c r="A5996">
        <v>5995</v>
      </c>
      <c r="B5996" s="1">
        <v>45750</v>
      </c>
      <c r="C5996" t="s">
        <v>18</v>
      </c>
      <c r="D5996" t="s">
        <v>87</v>
      </c>
      <c r="E5996" t="s">
        <v>8</v>
      </c>
      <c r="F5996">
        <v>3</v>
      </c>
      <c r="G5996" t="str">
        <f>VLOOKUP(D5996,Товары!A:I,3,0)</f>
        <v>Тумба с раковиной  напол. Леон 700 форест 2 ящика с умыв. Слим</v>
      </c>
      <c r="H5996">
        <f>VLOOKUP(D5996,Товары!A:I,6,0)</f>
        <v>80</v>
      </c>
      <c r="I5996" t="str">
        <f>VLOOKUP(C5996,Магазины!A:C,3,0)</f>
        <v>Набережные Челны</v>
      </c>
      <c r="J5996">
        <f>VLOOKUP(D5996,Товары!A:I,4,0)</f>
        <v>28380</v>
      </c>
      <c r="K5996">
        <f t="shared" si="93"/>
        <v>85140</v>
      </c>
    </row>
    <row r="5997" spans="1:11" hidden="1" x14ac:dyDescent="0.25">
      <c r="A5997">
        <v>5996</v>
      </c>
      <c r="B5997" s="1">
        <v>45751</v>
      </c>
      <c r="C5997" t="s">
        <v>30</v>
      </c>
      <c r="D5997" t="s">
        <v>119</v>
      </c>
      <c r="E5997" t="s">
        <v>8</v>
      </c>
      <c r="F5997">
        <v>3</v>
      </c>
      <c r="G5997" t="str">
        <f>VLOOKUP(D5997,Товары!A:I,3,0)</f>
        <v>Пенал навес./напол. Рица 350 cерый/керамика 2 двери</v>
      </c>
      <c r="H5997">
        <f>VLOOKUP(D5997,Товары!A:I,6,0)</f>
        <v>160</v>
      </c>
      <c r="I5997" t="str">
        <f>VLOOKUP(C5997,Магазины!A:C,3,0)</f>
        <v>Кемерово</v>
      </c>
      <c r="J5997">
        <f>VLOOKUP(D5997,Товары!A:I,4,0)</f>
        <v>11250</v>
      </c>
      <c r="K5997">
        <f t="shared" si="93"/>
        <v>33750</v>
      </c>
    </row>
    <row r="5998" spans="1:11" hidden="1" x14ac:dyDescent="0.25">
      <c r="A5998">
        <v>5997</v>
      </c>
      <c r="B5998" s="1">
        <v>45748</v>
      </c>
      <c r="C5998" t="s">
        <v>16</v>
      </c>
      <c r="D5998" t="s">
        <v>127</v>
      </c>
      <c r="E5998" t="s">
        <v>8</v>
      </c>
      <c r="F5998">
        <v>1</v>
      </c>
      <c r="G5998" t="str">
        <f>VLOOKUP(D5998,Товары!A:I,3,0)</f>
        <v>Тумба с раковиной  навес. Альба 700 мята 1 ящик с умыв. Слим</v>
      </c>
      <c r="H5998">
        <f>VLOOKUP(D5998,Товары!A:I,6,0)</f>
        <v>45</v>
      </c>
      <c r="I5998" t="str">
        <f>VLOOKUP(C5998,Магазины!A:C,3,0)</f>
        <v>Оренбург</v>
      </c>
      <c r="J5998">
        <f>VLOOKUP(D5998,Товары!A:I,4,0)</f>
        <v>20130</v>
      </c>
      <c r="K5998">
        <f t="shared" si="93"/>
        <v>20130</v>
      </c>
    </row>
    <row r="5999" spans="1:11" hidden="1" x14ac:dyDescent="0.25">
      <c r="A5999">
        <v>5998</v>
      </c>
      <c r="B5999" s="1">
        <v>45748</v>
      </c>
      <c r="C5999" t="s">
        <v>58</v>
      </c>
      <c r="D5999" t="s">
        <v>66</v>
      </c>
      <c r="E5999" t="s">
        <v>13</v>
      </c>
      <c r="F5999">
        <v>3</v>
      </c>
      <c r="G5999" t="str">
        <f>VLOOKUP(D5999,Товары!A:I,3,0)</f>
        <v>Тумба с раковиной  навес. Альба 800 мята 2 ящика с умыв. Слим</v>
      </c>
      <c r="H5999">
        <f>VLOOKUP(D5999,Товары!A:I,6,0)</f>
        <v>50</v>
      </c>
      <c r="I5999" t="str">
        <f>VLOOKUP(C5999,Магазины!A:C,3,0)</f>
        <v>Ставрополь</v>
      </c>
      <c r="J5999">
        <f>VLOOKUP(D5999,Товары!A:I,4,0)</f>
        <v>26070</v>
      </c>
      <c r="K5999">
        <f t="shared" si="93"/>
        <v>78210</v>
      </c>
    </row>
    <row r="6000" spans="1:11" hidden="1" x14ac:dyDescent="0.25">
      <c r="A6000">
        <v>5999</v>
      </c>
      <c r="B6000" s="1">
        <v>45748</v>
      </c>
      <c r="C6000" t="s">
        <v>48</v>
      </c>
      <c r="D6000" t="s">
        <v>71</v>
      </c>
      <c r="E6000" t="s">
        <v>13</v>
      </c>
      <c r="F6000">
        <v>1</v>
      </c>
      <c r="G6000" t="str">
        <f>VLOOKUP(D6000,Товары!A:I,3,0)</f>
        <v>Тумба с раковиной  навес. Альба 600 мята 2 ящика с умыв. Океан</v>
      </c>
      <c r="H6000">
        <f>VLOOKUP(D6000,Товары!A:I,6,0)</f>
        <v>50</v>
      </c>
      <c r="I6000" t="str">
        <f>VLOOKUP(C6000,Магазины!A:C,3,0)</f>
        <v>Ставрополь</v>
      </c>
      <c r="J6000">
        <f>VLOOKUP(D6000,Товары!A:I,4,0)</f>
        <v>24810</v>
      </c>
      <c r="K6000">
        <f t="shared" si="93"/>
        <v>24810</v>
      </c>
    </row>
    <row r="6001" spans="1:11" hidden="1" x14ac:dyDescent="0.25">
      <c r="A6001">
        <v>6000</v>
      </c>
      <c r="B6001" s="1">
        <v>45750</v>
      </c>
      <c r="C6001" t="s">
        <v>111</v>
      </c>
      <c r="D6001" t="s">
        <v>37</v>
      </c>
      <c r="E6001" t="s">
        <v>8</v>
      </c>
      <c r="F6001">
        <v>1</v>
      </c>
      <c r="G6001" t="str">
        <f>VLOOKUP(D6001,Товары!A:I,3,0)</f>
        <v>Зеркальный шкаф Сохо 70 белый со светильником правый цвет Белый глянец</v>
      </c>
      <c r="H6001">
        <f>VLOOKUP(D6001,Товары!A:I,6,0)</f>
        <v>75</v>
      </c>
      <c r="I6001" t="str">
        <f>VLOOKUP(C6001,Магазины!A:C,3,0)</f>
        <v>Набережные Челны</v>
      </c>
      <c r="J6001">
        <f>VLOOKUP(D6001,Товары!A:I,4,0)</f>
        <v>7935</v>
      </c>
      <c r="K6001">
        <f t="shared" si="93"/>
        <v>7935</v>
      </c>
    </row>
    <row r="6002" spans="1:11" hidden="1" x14ac:dyDescent="0.25">
      <c r="A6002">
        <v>6001</v>
      </c>
      <c r="B6002" s="1">
        <v>45757</v>
      </c>
      <c r="C6002" t="s">
        <v>54</v>
      </c>
      <c r="D6002" t="s">
        <v>85</v>
      </c>
      <c r="E6002" t="s">
        <v>8</v>
      </c>
      <c r="F6002">
        <v>2</v>
      </c>
      <c r="G6002" t="str">
        <f>VLOOKUP(D6002,Товары!A:I,3,0)</f>
        <v>Пенал напол. Аква 450 белый 2 двери + 2 ящика + корзина</v>
      </c>
      <c r="H6002">
        <f>VLOOKUP(D6002,Товары!A:I,6,0)</f>
        <v>190</v>
      </c>
      <c r="I6002" t="str">
        <f>VLOOKUP(C6002,Магазины!A:C,3,0)</f>
        <v>Ставрополь</v>
      </c>
      <c r="J6002">
        <f>VLOOKUP(D6002,Товары!A:I,4,0)</f>
        <v>13335</v>
      </c>
      <c r="K6002">
        <f t="shared" si="93"/>
        <v>26670</v>
      </c>
    </row>
    <row r="6003" spans="1:11" hidden="1" x14ac:dyDescent="0.25">
      <c r="A6003">
        <v>6002</v>
      </c>
      <c r="B6003" s="1">
        <v>45754</v>
      </c>
      <c r="C6003" t="s">
        <v>18</v>
      </c>
      <c r="D6003" t="s">
        <v>27</v>
      </c>
      <c r="E6003" t="s">
        <v>13</v>
      </c>
      <c r="F6003">
        <v>2</v>
      </c>
      <c r="G6003" t="str">
        <f>VLOOKUP(D6003,Товары!A:I,3,0)</f>
        <v>Тумба с раковиной  навес. Виктория 800 белый 2 ящика с умыв. Слим</v>
      </c>
      <c r="H6003">
        <f>VLOOKUP(D6003,Товары!A:I,6,0)</f>
        <v>60</v>
      </c>
      <c r="I6003" t="str">
        <f>VLOOKUP(C6003,Магазины!A:C,3,0)</f>
        <v>Набережные Челны</v>
      </c>
      <c r="J6003">
        <f>VLOOKUP(D6003,Товары!A:I,4,0)</f>
        <v>25290</v>
      </c>
      <c r="K6003">
        <f t="shared" si="93"/>
        <v>50580</v>
      </c>
    </row>
    <row r="6004" spans="1:11" hidden="1" x14ac:dyDescent="0.25">
      <c r="A6004">
        <v>6003</v>
      </c>
      <c r="B6004" s="1">
        <v>45753</v>
      </c>
      <c r="C6004" t="s">
        <v>26</v>
      </c>
      <c r="D6004" t="s">
        <v>121</v>
      </c>
      <c r="E6004" t="s">
        <v>13</v>
      </c>
      <c r="F6004">
        <v>1</v>
      </c>
      <c r="G6004" t="str">
        <f>VLOOKUP(D6004,Товары!A:I,3,0)</f>
        <v>Тумба с раковиной  напол. Куба Риф 600 белый 2 двери с умыв. Como</v>
      </c>
      <c r="H6004">
        <f>VLOOKUP(D6004,Товары!A:I,6,0)</f>
        <v>85</v>
      </c>
      <c r="I6004" t="str">
        <f>VLOOKUP(C6004,Магазины!A:C,3,0)</f>
        <v>Оренбург</v>
      </c>
      <c r="J6004">
        <f>VLOOKUP(D6004,Товары!A:I,4,0)</f>
        <v>13695</v>
      </c>
      <c r="K6004">
        <f t="shared" si="93"/>
        <v>13695</v>
      </c>
    </row>
    <row r="6005" spans="1:11" hidden="1" x14ac:dyDescent="0.25">
      <c r="A6005">
        <v>6004</v>
      </c>
      <c r="B6005" s="1">
        <v>45751</v>
      </c>
      <c r="C6005" t="s">
        <v>20</v>
      </c>
      <c r="D6005" t="s">
        <v>51</v>
      </c>
      <c r="E6005" t="s">
        <v>8</v>
      </c>
      <c r="F6005">
        <v>1</v>
      </c>
      <c r="G6005" t="str">
        <f>VLOOKUP(D6005,Товары!A:I,3,0)</f>
        <v>Зеркальный шкаф Альба 80 со светильником правый цвет суфле</v>
      </c>
      <c r="H6005">
        <f>VLOOKUP(D6005,Товары!A:I,6,0)</f>
        <v>75</v>
      </c>
      <c r="I6005" t="str">
        <f>VLOOKUP(C6005,Магазины!A:C,3,0)</f>
        <v>Оренбург</v>
      </c>
      <c r="J6005">
        <f>VLOOKUP(D6005,Товары!A:I,4,0)</f>
        <v>9930</v>
      </c>
      <c r="K6005">
        <f t="shared" si="93"/>
        <v>9930</v>
      </c>
    </row>
    <row r="6006" spans="1:11" hidden="1" x14ac:dyDescent="0.25">
      <c r="A6006">
        <v>6005</v>
      </c>
      <c r="B6006" s="1">
        <v>45756</v>
      </c>
      <c r="C6006" t="s">
        <v>92</v>
      </c>
      <c r="D6006" t="s">
        <v>91</v>
      </c>
      <c r="E6006" t="s">
        <v>13</v>
      </c>
      <c r="F6006">
        <v>1</v>
      </c>
      <c r="G6006" t="str">
        <f>VLOOKUP(D6006,Товары!A:I,3,0)</f>
        <v>Пенал навес./напол. Альба 350 мята 2 двери</v>
      </c>
      <c r="H6006">
        <f>VLOOKUP(D6006,Товары!A:I,6,0)</f>
        <v>150</v>
      </c>
      <c r="I6006" t="str">
        <f>VLOOKUP(C6006,Магазины!A:C,3,0)</f>
        <v>Кемерово</v>
      </c>
      <c r="J6006">
        <f>VLOOKUP(D6006,Товары!A:I,4,0)</f>
        <v>11655</v>
      </c>
      <c r="K6006">
        <f t="shared" si="93"/>
        <v>11655</v>
      </c>
    </row>
    <row r="6007" spans="1:11" hidden="1" x14ac:dyDescent="0.25">
      <c r="A6007">
        <v>6006</v>
      </c>
      <c r="B6007" s="1">
        <v>45749</v>
      </c>
      <c r="C6007" t="s">
        <v>20</v>
      </c>
      <c r="D6007" t="s">
        <v>94</v>
      </c>
      <c r="E6007" t="s">
        <v>13</v>
      </c>
      <c r="F6007">
        <v>2</v>
      </c>
      <c r="G6007" t="str">
        <f>VLOOKUP(D6007,Товары!A:I,3,0)</f>
        <v>Зеркальный шкаф Альба 80 со светильником правый цвет антрацит</v>
      </c>
      <c r="H6007">
        <f>VLOOKUP(D6007,Товары!A:I,6,0)</f>
        <v>75</v>
      </c>
      <c r="I6007" t="str">
        <f>VLOOKUP(C6007,Магазины!A:C,3,0)</f>
        <v>Оренбург</v>
      </c>
      <c r="J6007">
        <f>VLOOKUP(D6007,Товары!A:I,4,0)</f>
        <v>9930</v>
      </c>
      <c r="K6007">
        <f t="shared" si="93"/>
        <v>19860</v>
      </c>
    </row>
    <row r="6008" spans="1:11" hidden="1" x14ac:dyDescent="0.25">
      <c r="A6008">
        <v>6007</v>
      </c>
      <c r="B6008" s="1">
        <v>45750</v>
      </c>
      <c r="C6008" t="s">
        <v>92</v>
      </c>
      <c r="D6008" t="s">
        <v>81</v>
      </c>
      <c r="E6008" t="s">
        <v>8</v>
      </c>
      <c r="F6008">
        <v>2</v>
      </c>
      <c r="G6008" t="str">
        <f>VLOOKUP(D6008,Товары!A:I,3,0)</f>
        <v>Тумба с раковиной  навес. Рица 600 cерый/керамика 1 ящик + ниша 1 с умыв. Океан</v>
      </c>
      <c r="H6008">
        <f>VLOOKUP(D6008,Товары!A:I,6,0)</f>
        <v>60</v>
      </c>
      <c r="I6008" t="str">
        <f>VLOOKUP(C6008,Магазины!A:C,3,0)</f>
        <v>Кемерово</v>
      </c>
      <c r="J6008">
        <f>VLOOKUP(D6008,Товары!A:I,4,0)</f>
        <v>18900</v>
      </c>
      <c r="K6008">
        <f t="shared" si="93"/>
        <v>37800</v>
      </c>
    </row>
    <row r="6009" spans="1:11" hidden="1" x14ac:dyDescent="0.25">
      <c r="A6009">
        <v>6008</v>
      </c>
      <c r="B6009" s="1">
        <v>45753</v>
      </c>
      <c r="C6009" t="s">
        <v>54</v>
      </c>
      <c r="D6009" t="s">
        <v>72</v>
      </c>
      <c r="E6009" t="s">
        <v>8</v>
      </c>
      <c r="F6009">
        <v>3</v>
      </c>
      <c r="G6009" t="str">
        <f>VLOOKUP(D6009,Товары!A:I,3,0)</f>
        <v>Тумба с раковиной  напол. Сохо 600 белый 2 ящика с умыв. Океан</v>
      </c>
      <c r="H6009">
        <f>VLOOKUP(D6009,Товары!A:I,6,0)</f>
        <v>85</v>
      </c>
      <c r="I6009" t="str">
        <f>VLOOKUP(C6009,Магазины!A:C,3,0)</f>
        <v>Ставрополь</v>
      </c>
      <c r="J6009">
        <f>VLOOKUP(D6009,Товары!A:I,4,0)</f>
        <v>16140</v>
      </c>
      <c r="K6009">
        <f t="shared" si="93"/>
        <v>48420</v>
      </c>
    </row>
    <row r="6010" spans="1:11" hidden="1" x14ac:dyDescent="0.25">
      <c r="A6010">
        <v>6009</v>
      </c>
      <c r="B6010" s="1">
        <v>45749</v>
      </c>
      <c r="C6010" t="s">
        <v>9</v>
      </c>
      <c r="D6010" t="s">
        <v>119</v>
      </c>
      <c r="E6010" t="s">
        <v>8</v>
      </c>
      <c r="F6010">
        <v>1</v>
      </c>
      <c r="G6010" t="str">
        <f>VLOOKUP(D6010,Товары!A:I,3,0)</f>
        <v>Пенал навес./напол. Рица 350 cерый/керамика 2 двери</v>
      </c>
      <c r="H6010">
        <f>VLOOKUP(D6010,Товары!A:I,6,0)</f>
        <v>160</v>
      </c>
      <c r="I6010" t="str">
        <f>VLOOKUP(C6010,Магазины!A:C,3,0)</f>
        <v>Кемерово</v>
      </c>
      <c r="J6010">
        <f>VLOOKUP(D6010,Товары!A:I,4,0)</f>
        <v>11250</v>
      </c>
      <c r="K6010">
        <f t="shared" si="93"/>
        <v>11250</v>
      </c>
    </row>
    <row r="6011" spans="1:11" hidden="1" x14ac:dyDescent="0.25">
      <c r="A6011">
        <v>6010</v>
      </c>
      <c r="B6011" s="1">
        <v>45751</v>
      </c>
      <c r="C6011" t="s">
        <v>35</v>
      </c>
      <c r="D6011" t="s">
        <v>50</v>
      </c>
      <c r="E6011" t="s">
        <v>13</v>
      </c>
      <c r="F6011">
        <v>2</v>
      </c>
      <c r="G6011" t="str">
        <f>VLOOKUP(D6011,Товары!A:I,3,0)</f>
        <v>Тумба с раковиной  напол. Леон 800 оникс 2 ящика с умыв. Слим</v>
      </c>
      <c r="H6011">
        <f>VLOOKUP(D6011,Товары!A:I,6,0)</f>
        <v>80</v>
      </c>
      <c r="I6011" t="str">
        <f>VLOOKUP(C6011,Магазины!A:C,3,0)</f>
        <v>Набережные Челны</v>
      </c>
      <c r="J6011">
        <f>VLOOKUP(D6011,Товары!A:I,4,0)</f>
        <v>29400</v>
      </c>
      <c r="K6011">
        <f t="shared" si="93"/>
        <v>58800</v>
      </c>
    </row>
    <row r="6012" spans="1:11" hidden="1" x14ac:dyDescent="0.25">
      <c r="A6012">
        <v>6011</v>
      </c>
      <c r="B6012" s="1">
        <v>45754</v>
      </c>
      <c r="C6012" t="s">
        <v>26</v>
      </c>
      <c r="D6012" t="s">
        <v>122</v>
      </c>
      <c r="E6012" t="s">
        <v>13</v>
      </c>
      <c r="F6012">
        <v>2</v>
      </c>
      <c r="G6012" t="str">
        <f>VLOOKUP(D6012,Товары!A:I,3,0)</f>
        <v>Тумба с раковиной  навес. Кристалл 600 шато азур 2 ящика с умыв. Океан</v>
      </c>
      <c r="H6012">
        <f>VLOOKUP(D6012,Товары!A:I,6,0)</f>
        <v>55</v>
      </c>
      <c r="I6012" t="str">
        <f>VLOOKUP(C6012,Магазины!A:C,3,0)</f>
        <v>Оренбург</v>
      </c>
      <c r="J6012">
        <f>VLOOKUP(D6012,Товары!A:I,4,0)</f>
        <v>21960</v>
      </c>
      <c r="K6012">
        <f t="shared" si="93"/>
        <v>43920</v>
      </c>
    </row>
    <row r="6013" spans="1:11" hidden="1" x14ac:dyDescent="0.25">
      <c r="A6013">
        <v>6012</v>
      </c>
      <c r="B6013" s="1">
        <v>45751</v>
      </c>
      <c r="C6013" t="s">
        <v>58</v>
      </c>
      <c r="D6013" t="s">
        <v>100</v>
      </c>
      <c r="E6013" t="s">
        <v>8</v>
      </c>
      <c r="F6013">
        <v>1</v>
      </c>
      <c r="G6013" t="str">
        <f>VLOOKUP(D6013,Товары!A:I,3,0)</f>
        <v>Тумба с раковиной  навес. Альба 800 мята 1 ящик с умыв. Слим</v>
      </c>
      <c r="H6013">
        <f>VLOOKUP(D6013,Товары!A:I,6,0)</f>
        <v>45</v>
      </c>
      <c r="I6013" t="str">
        <f>VLOOKUP(C6013,Магазины!A:C,3,0)</f>
        <v>Ставрополь</v>
      </c>
      <c r="J6013">
        <f>VLOOKUP(D6013,Товары!A:I,4,0)</f>
        <v>21630</v>
      </c>
      <c r="K6013">
        <f t="shared" si="93"/>
        <v>21630</v>
      </c>
    </row>
    <row r="6014" spans="1:11" hidden="1" x14ac:dyDescent="0.25">
      <c r="A6014">
        <v>6013</v>
      </c>
      <c r="B6014" s="1">
        <v>45755</v>
      </c>
      <c r="C6014" t="s">
        <v>48</v>
      </c>
      <c r="D6014" t="s">
        <v>50</v>
      </c>
      <c r="E6014" t="s">
        <v>13</v>
      </c>
      <c r="F6014">
        <v>2</v>
      </c>
      <c r="G6014" t="str">
        <f>VLOOKUP(D6014,Товары!A:I,3,0)</f>
        <v>Тумба с раковиной  напол. Леон 800 оникс 2 ящика с умыв. Слим</v>
      </c>
      <c r="H6014">
        <f>VLOOKUP(D6014,Товары!A:I,6,0)</f>
        <v>80</v>
      </c>
      <c r="I6014" t="str">
        <f>VLOOKUP(C6014,Магазины!A:C,3,0)</f>
        <v>Ставрополь</v>
      </c>
      <c r="J6014">
        <f>VLOOKUP(D6014,Товары!A:I,4,0)</f>
        <v>29400</v>
      </c>
      <c r="K6014">
        <f t="shared" si="93"/>
        <v>58800</v>
      </c>
    </row>
    <row r="6015" spans="1:11" hidden="1" x14ac:dyDescent="0.25">
      <c r="A6015">
        <v>6014</v>
      </c>
      <c r="B6015" s="1">
        <v>45757</v>
      </c>
      <c r="C6015" t="s">
        <v>18</v>
      </c>
      <c r="D6015" t="s">
        <v>75</v>
      </c>
      <c r="E6015" t="s">
        <v>13</v>
      </c>
      <c r="F6015">
        <v>1</v>
      </c>
      <c r="G6015" t="str">
        <f>VLOOKUP(D6015,Товары!A:I,3,0)</f>
        <v>Тумба с раковиной  напол. Альба 600 суфле 2 ящика с умыв. Океан</v>
      </c>
      <c r="H6015">
        <f>VLOOKUP(D6015,Товары!A:I,6,0)</f>
        <v>80</v>
      </c>
      <c r="I6015" t="str">
        <f>VLOOKUP(C6015,Магазины!A:C,3,0)</f>
        <v>Набережные Челны</v>
      </c>
      <c r="J6015">
        <f>VLOOKUP(D6015,Товары!A:I,4,0)</f>
        <v>26370</v>
      </c>
      <c r="K6015">
        <f t="shared" si="93"/>
        <v>26370</v>
      </c>
    </row>
    <row r="6016" spans="1:11" hidden="1" x14ac:dyDescent="0.25">
      <c r="A6016">
        <v>6015</v>
      </c>
      <c r="B6016" s="1">
        <v>45752</v>
      </c>
      <c r="C6016" t="s">
        <v>9</v>
      </c>
      <c r="D6016" t="s">
        <v>87</v>
      </c>
      <c r="E6016" t="s">
        <v>8</v>
      </c>
      <c r="F6016">
        <v>2</v>
      </c>
      <c r="G6016" t="str">
        <f>VLOOKUP(D6016,Товары!A:I,3,0)</f>
        <v>Тумба с раковиной  напол. Леон 700 форест 2 ящика с умыв. Слим</v>
      </c>
      <c r="H6016">
        <f>VLOOKUP(D6016,Товары!A:I,6,0)</f>
        <v>80</v>
      </c>
      <c r="I6016" t="str">
        <f>VLOOKUP(C6016,Магазины!A:C,3,0)</f>
        <v>Кемерово</v>
      </c>
      <c r="J6016">
        <f>VLOOKUP(D6016,Товары!A:I,4,0)</f>
        <v>28380</v>
      </c>
      <c r="K6016">
        <f t="shared" si="93"/>
        <v>56760</v>
      </c>
    </row>
    <row r="6017" spans="1:11" hidden="1" x14ac:dyDescent="0.25">
      <c r="A6017">
        <v>6016</v>
      </c>
      <c r="B6017" s="1">
        <v>45757</v>
      </c>
      <c r="C6017" t="s">
        <v>35</v>
      </c>
      <c r="D6017" t="s">
        <v>40</v>
      </c>
      <c r="E6017" t="s">
        <v>8</v>
      </c>
      <c r="F6017">
        <v>3</v>
      </c>
      <c r="G6017" t="str">
        <f>VLOOKUP(D6017,Товары!A:I,3,0)</f>
        <v>Тумба с раковиной  навес. Рица 800 cерый/керамика 1 ящик + ниша 1 с умыв. Слим</v>
      </c>
      <c r="H6017">
        <f>VLOOKUP(D6017,Товары!A:I,6,0)</f>
        <v>60</v>
      </c>
      <c r="I6017" t="str">
        <f>VLOOKUP(C6017,Магазины!A:C,3,0)</f>
        <v>Набережные Челны</v>
      </c>
      <c r="J6017">
        <f>VLOOKUP(D6017,Товары!A:I,4,0)</f>
        <v>22425</v>
      </c>
      <c r="K6017">
        <f t="shared" si="93"/>
        <v>67275</v>
      </c>
    </row>
    <row r="6018" spans="1:11" hidden="1" x14ac:dyDescent="0.25">
      <c r="A6018">
        <v>6017</v>
      </c>
      <c r="B6018" s="1">
        <v>45752</v>
      </c>
      <c r="C6018" t="s">
        <v>26</v>
      </c>
      <c r="D6018" t="s">
        <v>120</v>
      </c>
      <c r="E6018" t="s">
        <v>13</v>
      </c>
      <c r="F6018">
        <v>1</v>
      </c>
      <c r="G6018" t="str">
        <f>VLOOKUP(D6018,Товары!A:I,3,0)</f>
        <v>Зеркальный шкаф Альба 60 со светильником правый цвет антрацит</v>
      </c>
      <c r="H6018">
        <f>VLOOKUP(D6018,Товары!A:I,6,0)</f>
        <v>75</v>
      </c>
      <c r="I6018" t="str">
        <f>VLOOKUP(C6018,Магазины!A:C,3,0)</f>
        <v>Оренбург</v>
      </c>
      <c r="J6018">
        <f>VLOOKUP(D6018,Товары!A:I,4,0)</f>
        <v>8910</v>
      </c>
      <c r="K6018">
        <f t="shared" si="93"/>
        <v>8910</v>
      </c>
    </row>
    <row r="6019" spans="1:11" hidden="1" x14ac:dyDescent="0.25">
      <c r="A6019">
        <v>6018</v>
      </c>
      <c r="B6019" s="1">
        <v>45753</v>
      </c>
      <c r="C6019" t="s">
        <v>20</v>
      </c>
      <c r="D6019" t="s">
        <v>68</v>
      </c>
      <c r="E6019" t="s">
        <v>13</v>
      </c>
      <c r="F6019">
        <v>3</v>
      </c>
      <c r="G6019" t="str">
        <f>VLOOKUP(D6019,Товары!A:I,3,0)</f>
        <v>Тумба с раковиной  навес. Альба 600 антрацит 1 ящик с умыв. Океан</v>
      </c>
      <c r="H6019">
        <f>VLOOKUP(D6019,Товары!A:I,6,0)</f>
        <v>85</v>
      </c>
      <c r="I6019" t="str">
        <f>VLOOKUP(C6019,Магазины!A:C,3,0)</f>
        <v>Оренбург</v>
      </c>
      <c r="J6019">
        <f>VLOOKUP(D6019,Товары!A:I,4,0)</f>
        <v>17625</v>
      </c>
      <c r="K6019">
        <f t="shared" ref="K6019:K6082" si="94">J6019*F6019</f>
        <v>52875</v>
      </c>
    </row>
    <row r="6020" spans="1:11" hidden="1" x14ac:dyDescent="0.25">
      <c r="A6020">
        <v>6019</v>
      </c>
      <c r="B6020" s="1">
        <v>45749</v>
      </c>
      <c r="C6020" t="s">
        <v>22</v>
      </c>
      <c r="D6020" t="s">
        <v>99</v>
      </c>
      <c r="E6020" t="s">
        <v>8</v>
      </c>
      <c r="F6020">
        <v>3</v>
      </c>
      <c r="G6020" t="str">
        <f>VLOOKUP(D6020,Товары!A:I,3,0)</f>
        <v>Тумба с раковиной  навес. Леон 600 оникс 2 ящика с умыв. Слим</v>
      </c>
      <c r="H6020">
        <f>VLOOKUP(D6020,Товары!A:I,6,0)</f>
        <v>60</v>
      </c>
      <c r="I6020" t="str">
        <f>VLOOKUP(C6020,Магазины!A:C,3,0)</f>
        <v>Кемерово</v>
      </c>
      <c r="J6020">
        <f>VLOOKUP(D6020,Товары!A:I,4,0)</f>
        <v>25125</v>
      </c>
      <c r="K6020">
        <f t="shared" si="94"/>
        <v>75375</v>
      </c>
    </row>
    <row r="6021" spans="1:11" hidden="1" x14ac:dyDescent="0.25">
      <c r="A6021">
        <v>6020</v>
      </c>
      <c r="B6021" s="1">
        <v>45754</v>
      </c>
      <c r="C6021" t="s">
        <v>103</v>
      </c>
      <c r="D6021" t="s">
        <v>117</v>
      </c>
      <c r="E6021" t="s">
        <v>8</v>
      </c>
      <c r="F6021">
        <v>3</v>
      </c>
      <c r="G6021" t="str">
        <f>VLOOKUP(D6021,Товары!A:I,3,0)</f>
        <v>Тумба с раковиной  навес. Альба 700 антрацит 2 ящика с умыв. Слим</v>
      </c>
      <c r="H6021">
        <f>VLOOKUP(D6021,Товары!A:I,6,0)</f>
        <v>60</v>
      </c>
      <c r="I6021" t="str">
        <f>VLOOKUP(C6021,Магазины!A:C,3,0)</f>
        <v>Ставрополь</v>
      </c>
      <c r="J6021">
        <f>VLOOKUP(D6021,Товары!A:I,4,0)</f>
        <v>25095</v>
      </c>
      <c r="K6021">
        <f t="shared" si="94"/>
        <v>75285</v>
      </c>
    </row>
    <row r="6022" spans="1:11" hidden="1" x14ac:dyDescent="0.25">
      <c r="A6022">
        <v>6021</v>
      </c>
      <c r="B6022" s="1">
        <v>45757</v>
      </c>
      <c r="C6022" t="s">
        <v>26</v>
      </c>
      <c r="D6022" t="s">
        <v>53</v>
      </c>
      <c r="E6022" t="s">
        <v>13</v>
      </c>
      <c r="F6022">
        <v>3</v>
      </c>
      <c r="G6022" t="str">
        <f>VLOOKUP(D6022,Товары!A:I,3,0)</f>
        <v>Тумба с раковиной  напол. Кристалл 600 шато азур 2 ящика с умыв. Океан</v>
      </c>
      <c r="H6022">
        <f>VLOOKUP(D6022,Товары!A:I,6,0)</f>
        <v>85</v>
      </c>
      <c r="I6022" t="str">
        <f>VLOOKUP(C6022,Магазины!A:C,3,0)</f>
        <v>Оренбург</v>
      </c>
      <c r="J6022">
        <f>VLOOKUP(D6022,Товары!A:I,4,0)</f>
        <v>27600</v>
      </c>
      <c r="K6022">
        <f t="shared" si="94"/>
        <v>82800</v>
      </c>
    </row>
    <row r="6023" spans="1:11" hidden="1" x14ac:dyDescent="0.25">
      <c r="A6023">
        <v>6022</v>
      </c>
      <c r="B6023" s="1">
        <v>45754</v>
      </c>
      <c r="C6023" t="s">
        <v>33</v>
      </c>
      <c r="D6023" t="s">
        <v>126</v>
      </c>
      <c r="E6023" t="s">
        <v>8</v>
      </c>
      <c r="F6023">
        <v>3</v>
      </c>
      <c r="G6023" t="str">
        <f>VLOOKUP(D6023,Товары!A:I,3,0)</f>
        <v>Тумба с раковиной  напол. Кристалл 800 шато азур 2 ящика с умыв. Комфорт</v>
      </c>
      <c r="H6023">
        <f>VLOOKUP(D6023,Товары!A:I,6,0)</f>
        <v>85</v>
      </c>
      <c r="I6023" t="str">
        <f>VLOOKUP(C6023,Магазины!A:C,3,0)</f>
        <v>Набережные Челны</v>
      </c>
      <c r="J6023">
        <f>VLOOKUP(D6023,Товары!A:I,4,0)</f>
        <v>31125</v>
      </c>
      <c r="K6023">
        <f t="shared" si="94"/>
        <v>93375</v>
      </c>
    </row>
    <row r="6024" spans="1:11" hidden="1" x14ac:dyDescent="0.25">
      <c r="A6024">
        <v>6023</v>
      </c>
      <c r="B6024" s="1">
        <v>45756</v>
      </c>
      <c r="C6024" t="s">
        <v>41</v>
      </c>
      <c r="D6024" t="s">
        <v>85</v>
      </c>
      <c r="E6024" t="s">
        <v>13</v>
      </c>
      <c r="F6024">
        <v>2</v>
      </c>
      <c r="G6024" t="str">
        <f>VLOOKUP(D6024,Товары!A:I,3,0)</f>
        <v>Пенал напол. Аква 450 белый 2 двери + 2 ящика + корзина</v>
      </c>
      <c r="H6024">
        <f>VLOOKUP(D6024,Товары!A:I,6,0)</f>
        <v>190</v>
      </c>
      <c r="I6024" t="str">
        <f>VLOOKUP(C6024,Магазины!A:C,3,0)</f>
        <v>Ставрополь</v>
      </c>
      <c r="J6024">
        <f>VLOOKUP(D6024,Товары!A:I,4,0)</f>
        <v>13335</v>
      </c>
      <c r="K6024">
        <f t="shared" si="94"/>
        <v>26670</v>
      </c>
    </row>
    <row r="6025" spans="1:11" hidden="1" x14ac:dyDescent="0.25">
      <c r="A6025">
        <v>6024</v>
      </c>
      <c r="B6025" s="1">
        <v>45752</v>
      </c>
      <c r="C6025" t="s">
        <v>48</v>
      </c>
      <c r="D6025" t="s">
        <v>98</v>
      </c>
      <c r="E6025" t="s">
        <v>8</v>
      </c>
      <c r="F6025">
        <v>1</v>
      </c>
      <c r="G6025" t="str">
        <f>VLOOKUP(D6025,Товары!A:I,3,0)</f>
        <v>Тумба с раковиной  напол. Рица 800 cерый/керамика 2 ящика с умыв. Слим</v>
      </c>
      <c r="H6025">
        <f>VLOOKUP(D6025,Товары!A:I,6,0)</f>
        <v>80</v>
      </c>
      <c r="I6025" t="str">
        <f>VLOOKUP(C6025,Магазины!A:C,3,0)</f>
        <v>Ставрополь</v>
      </c>
      <c r="J6025">
        <f>VLOOKUP(D6025,Товары!A:I,4,0)</f>
        <v>28980</v>
      </c>
      <c r="K6025">
        <f t="shared" si="94"/>
        <v>28980</v>
      </c>
    </row>
    <row r="6026" spans="1:11" hidden="1" x14ac:dyDescent="0.25">
      <c r="A6026">
        <v>6025</v>
      </c>
      <c r="B6026" s="1">
        <v>45749</v>
      </c>
      <c r="C6026" t="s">
        <v>41</v>
      </c>
      <c r="D6026" t="s">
        <v>56</v>
      </c>
      <c r="E6026" t="s">
        <v>8</v>
      </c>
      <c r="F6026">
        <v>1</v>
      </c>
      <c r="G6026" t="str">
        <f>VLOOKUP(D6026,Товары!A:I,3,0)</f>
        <v>Зеркальный шкаф Альба 80 со светильником правый цвет мята</v>
      </c>
      <c r="H6026">
        <f>VLOOKUP(D6026,Товары!A:I,6,0)</f>
        <v>75</v>
      </c>
      <c r="I6026" t="str">
        <f>VLOOKUP(C6026,Магазины!A:C,3,0)</f>
        <v>Ставрополь</v>
      </c>
      <c r="J6026">
        <f>VLOOKUP(D6026,Товары!A:I,4,0)</f>
        <v>9930</v>
      </c>
      <c r="K6026">
        <f t="shared" si="94"/>
        <v>9930</v>
      </c>
    </row>
    <row r="6027" spans="1:11" hidden="1" x14ac:dyDescent="0.25">
      <c r="A6027">
        <v>6026</v>
      </c>
      <c r="B6027" s="1">
        <v>45757</v>
      </c>
      <c r="C6027" t="s">
        <v>20</v>
      </c>
      <c r="D6027" t="s">
        <v>53</v>
      </c>
      <c r="E6027" t="s">
        <v>8</v>
      </c>
      <c r="F6027">
        <v>1</v>
      </c>
      <c r="G6027" t="str">
        <f>VLOOKUP(D6027,Товары!A:I,3,0)</f>
        <v>Тумба с раковиной  напол. Кристалл 600 шато азур 2 ящика с умыв. Океан</v>
      </c>
      <c r="H6027">
        <f>VLOOKUP(D6027,Товары!A:I,6,0)</f>
        <v>85</v>
      </c>
      <c r="I6027" t="str">
        <f>VLOOKUP(C6027,Магазины!A:C,3,0)</f>
        <v>Оренбург</v>
      </c>
      <c r="J6027">
        <f>VLOOKUP(D6027,Товары!A:I,4,0)</f>
        <v>27600</v>
      </c>
      <c r="K6027">
        <f t="shared" si="94"/>
        <v>27600</v>
      </c>
    </row>
    <row r="6028" spans="1:11" hidden="1" x14ac:dyDescent="0.25">
      <c r="A6028">
        <v>6027</v>
      </c>
      <c r="B6028" s="1">
        <v>45753</v>
      </c>
      <c r="C6028" t="s">
        <v>28</v>
      </c>
      <c r="D6028" t="s">
        <v>12</v>
      </c>
      <c r="E6028" t="s">
        <v>8</v>
      </c>
      <c r="F6028">
        <v>2</v>
      </c>
      <c r="G6028" t="str">
        <f>VLOOKUP(D6028,Товары!A:I,3,0)</f>
        <v>Тумба с раковиной  напол. Сохо 700 белый 2 двери с умыв. Слим</v>
      </c>
      <c r="H6028">
        <f>VLOOKUP(D6028,Товары!A:I,6,0)</f>
        <v>85</v>
      </c>
      <c r="I6028" t="str">
        <f>VLOOKUP(C6028,Магазины!A:C,3,0)</f>
        <v>Набережные Челны</v>
      </c>
      <c r="J6028">
        <f>VLOOKUP(D6028,Товары!A:I,4,0)</f>
        <v>17160</v>
      </c>
      <c r="K6028">
        <f t="shared" si="94"/>
        <v>34320</v>
      </c>
    </row>
    <row r="6029" spans="1:11" hidden="1" x14ac:dyDescent="0.25">
      <c r="A6029">
        <v>6028</v>
      </c>
      <c r="B6029" s="1">
        <v>45756</v>
      </c>
      <c r="C6029" t="s">
        <v>57</v>
      </c>
      <c r="D6029" t="s">
        <v>102</v>
      </c>
      <c r="E6029" t="s">
        <v>8</v>
      </c>
      <c r="F6029">
        <v>2</v>
      </c>
      <c r="G6029" t="str">
        <f>VLOOKUP(D6029,Товары!A:I,3,0)</f>
        <v>Тумба с раковиной  напол. Леон Риф 1000 солярис/белый риф 2 ящика с умыв. Слим</v>
      </c>
      <c r="H6029">
        <f>VLOOKUP(D6029,Товары!A:I,6,0)</f>
        <v>85</v>
      </c>
      <c r="I6029" t="str">
        <f>VLOOKUP(C6029,Магазины!A:C,3,0)</f>
        <v>Оренбург</v>
      </c>
      <c r="J6029">
        <f>VLOOKUP(D6029,Товары!A:I,4,0)</f>
        <v>32085</v>
      </c>
      <c r="K6029">
        <f t="shared" si="94"/>
        <v>64170</v>
      </c>
    </row>
    <row r="6030" spans="1:11" hidden="1" x14ac:dyDescent="0.25">
      <c r="A6030">
        <v>6029</v>
      </c>
      <c r="B6030" s="1">
        <v>45753</v>
      </c>
      <c r="C6030" t="s">
        <v>103</v>
      </c>
      <c r="D6030" t="s">
        <v>84</v>
      </c>
      <c r="E6030" t="s">
        <v>8</v>
      </c>
      <c r="F6030">
        <v>2</v>
      </c>
      <c r="G6030" t="str">
        <f>VLOOKUP(D6030,Товары!A:I,3,0)</f>
        <v>Тумба с раковиной  напол. Куба Риф 800 белый 3 двери с умыв. Слим</v>
      </c>
      <c r="H6030">
        <f>VLOOKUP(D6030,Товары!A:I,6,0)</f>
        <v>85</v>
      </c>
      <c r="I6030" t="str">
        <f>VLOOKUP(C6030,Магазины!A:C,3,0)</f>
        <v>Ставрополь</v>
      </c>
      <c r="J6030">
        <f>VLOOKUP(D6030,Товары!A:I,4,0)</f>
        <v>19920</v>
      </c>
      <c r="K6030">
        <f t="shared" si="94"/>
        <v>39840</v>
      </c>
    </row>
    <row r="6031" spans="1:11" hidden="1" x14ac:dyDescent="0.25">
      <c r="A6031">
        <v>6030</v>
      </c>
      <c r="B6031" s="1">
        <v>45748</v>
      </c>
      <c r="C6031" t="s">
        <v>35</v>
      </c>
      <c r="D6031" t="s">
        <v>80</v>
      </c>
      <c r="E6031" t="s">
        <v>8</v>
      </c>
      <c r="F6031">
        <v>2</v>
      </c>
      <c r="G6031" t="str">
        <f>VLOOKUP(D6031,Товары!A:I,3,0)</f>
        <v>Тумба с раковиной  навес. Сохо 600 белый 2 ящика с умыв. Океан</v>
      </c>
      <c r="H6031">
        <f>VLOOKUP(D6031,Товары!A:I,6,0)</f>
        <v>55</v>
      </c>
      <c r="I6031" t="str">
        <f>VLOOKUP(C6031,Магазины!A:C,3,0)</f>
        <v>Набережные Челны</v>
      </c>
      <c r="J6031">
        <f>VLOOKUP(D6031,Товары!A:I,4,0)</f>
        <v>13950</v>
      </c>
      <c r="K6031">
        <f t="shared" si="94"/>
        <v>27900</v>
      </c>
    </row>
    <row r="6032" spans="1:11" hidden="1" x14ac:dyDescent="0.25">
      <c r="A6032">
        <v>6031</v>
      </c>
      <c r="B6032" s="1">
        <v>45749</v>
      </c>
      <c r="C6032" t="s">
        <v>6</v>
      </c>
      <c r="D6032" t="s">
        <v>101</v>
      </c>
      <c r="E6032" t="s">
        <v>8</v>
      </c>
      <c r="F6032">
        <v>2</v>
      </c>
      <c r="G6032" t="str">
        <f>VLOOKUP(D6032,Товары!A:I,3,0)</f>
        <v>Пенал напол. Сохо 400 белый 2 двери + 1 ящик</v>
      </c>
      <c r="H6032">
        <f>VLOOKUP(D6032,Товары!A:I,6,0)</f>
        <v>190</v>
      </c>
      <c r="I6032" t="str">
        <f>VLOOKUP(C6032,Магазины!A:C,3,0)</f>
        <v>Оренбург</v>
      </c>
      <c r="J6032">
        <f>VLOOKUP(D6032,Товары!A:I,4,0)</f>
        <v>11040</v>
      </c>
      <c r="K6032">
        <f t="shared" si="94"/>
        <v>22080</v>
      </c>
    </row>
    <row r="6033" spans="1:11" hidden="1" x14ac:dyDescent="0.25">
      <c r="A6033">
        <v>6032</v>
      </c>
      <c r="B6033" s="1">
        <v>45752</v>
      </c>
      <c r="C6033" t="s">
        <v>92</v>
      </c>
      <c r="D6033" t="s">
        <v>98</v>
      </c>
      <c r="E6033" t="s">
        <v>8</v>
      </c>
      <c r="F6033">
        <v>1</v>
      </c>
      <c r="G6033" t="str">
        <f>VLOOKUP(D6033,Товары!A:I,3,0)</f>
        <v>Тумба с раковиной  напол. Рица 800 cерый/керамика 2 ящика с умыв. Слим</v>
      </c>
      <c r="H6033">
        <f>VLOOKUP(D6033,Товары!A:I,6,0)</f>
        <v>80</v>
      </c>
      <c r="I6033" t="str">
        <f>VLOOKUP(C6033,Магазины!A:C,3,0)</f>
        <v>Кемерово</v>
      </c>
      <c r="J6033">
        <f>VLOOKUP(D6033,Товары!A:I,4,0)</f>
        <v>28980</v>
      </c>
      <c r="K6033">
        <f t="shared" si="94"/>
        <v>28980</v>
      </c>
    </row>
    <row r="6034" spans="1:11" hidden="1" x14ac:dyDescent="0.25">
      <c r="A6034">
        <v>6033</v>
      </c>
      <c r="B6034" s="1">
        <v>45752</v>
      </c>
      <c r="C6034" t="s">
        <v>14</v>
      </c>
      <c r="D6034" t="s">
        <v>109</v>
      </c>
      <c r="E6034" t="s">
        <v>13</v>
      </c>
      <c r="F6034">
        <v>2</v>
      </c>
      <c r="G6034" t="str">
        <f>VLOOKUP(D6034,Товары!A:I,3,0)</f>
        <v>Тумба с раковиной  навес. Альба 600 антрацит 2 ящика с умыв. Океан</v>
      </c>
      <c r="H6034">
        <f>VLOOKUP(D6034,Товары!A:I,6,0)</f>
        <v>50</v>
      </c>
      <c r="I6034" t="str">
        <f>VLOOKUP(C6034,Магазины!A:C,3,0)</f>
        <v>Оренбург</v>
      </c>
      <c r="J6034">
        <f>VLOOKUP(D6034,Товары!A:I,4,0)</f>
        <v>24810</v>
      </c>
      <c r="K6034">
        <f t="shared" si="94"/>
        <v>49620</v>
      </c>
    </row>
    <row r="6035" spans="1:11" hidden="1" x14ac:dyDescent="0.25">
      <c r="A6035">
        <v>6034</v>
      </c>
      <c r="B6035" s="1">
        <v>45751</v>
      </c>
      <c r="C6035" t="s">
        <v>103</v>
      </c>
      <c r="D6035" t="s">
        <v>118</v>
      </c>
      <c r="E6035" t="s">
        <v>13</v>
      </c>
      <c r="F6035">
        <v>3</v>
      </c>
      <c r="G6035" t="str">
        <f>VLOOKUP(D6035,Товары!A:I,3,0)</f>
        <v>Тумба с раковиной  напол. Сохо 800 белый 2 ящика с умыв. Слим</v>
      </c>
      <c r="H6035">
        <f>VLOOKUP(D6035,Товары!A:I,6,0)</f>
        <v>85</v>
      </c>
      <c r="I6035" t="str">
        <f>VLOOKUP(C6035,Магазины!A:C,3,0)</f>
        <v>Ставрополь</v>
      </c>
      <c r="J6035">
        <f>VLOOKUP(D6035,Товары!A:I,4,0)</f>
        <v>19575</v>
      </c>
      <c r="K6035">
        <f t="shared" si="94"/>
        <v>58725</v>
      </c>
    </row>
    <row r="6036" spans="1:11" hidden="1" x14ac:dyDescent="0.25">
      <c r="A6036">
        <v>6035</v>
      </c>
      <c r="B6036" s="1">
        <v>45755</v>
      </c>
      <c r="C6036" t="s">
        <v>43</v>
      </c>
      <c r="D6036" t="s">
        <v>34</v>
      </c>
      <c r="E6036" t="s">
        <v>8</v>
      </c>
      <c r="F6036">
        <v>2</v>
      </c>
      <c r="G6036" t="str">
        <f>VLOOKUP(D6036,Товары!A:I,3,0)</f>
        <v>Тумба с раковиной  навес. Леон 700 форест 2 ящика с умыв. Слим</v>
      </c>
      <c r="H6036">
        <f>VLOOKUP(D6036,Товары!A:I,6,0)</f>
        <v>60</v>
      </c>
      <c r="I6036" t="str">
        <f>VLOOKUP(C6036,Магазины!A:C,3,0)</f>
        <v>Набережные Челны</v>
      </c>
      <c r="J6036">
        <f>VLOOKUP(D6036,Товары!A:I,4,0)</f>
        <v>26220</v>
      </c>
      <c r="K6036">
        <f t="shared" si="94"/>
        <v>52440</v>
      </c>
    </row>
    <row r="6037" spans="1:11" hidden="1" x14ac:dyDescent="0.25">
      <c r="A6037">
        <v>6036</v>
      </c>
      <c r="B6037" s="1">
        <v>45750</v>
      </c>
      <c r="C6037" t="s">
        <v>111</v>
      </c>
      <c r="D6037" t="s">
        <v>93</v>
      </c>
      <c r="E6037" t="s">
        <v>13</v>
      </c>
      <c r="F6037">
        <v>1</v>
      </c>
      <c r="G6037" t="str">
        <f>VLOOKUP(D6037,Товары!A:I,3,0)</f>
        <v>Тумба с раковиной  напол. Леон Риф 800 солярис/белый риф 2 ящика с умыв. Слим</v>
      </c>
      <c r="H6037">
        <f>VLOOKUP(D6037,Товары!A:I,6,0)</f>
        <v>80</v>
      </c>
      <c r="I6037" t="str">
        <f>VLOOKUP(C6037,Магазины!A:C,3,0)</f>
        <v>Набережные Челны</v>
      </c>
      <c r="J6037">
        <f>VLOOKUP(D6037,Товары!A:I,4,0)</f>
        <v>29340</v>
      </c>
      <c r="K6037">
        <f t="shared" si="94"/>
        <v>29340</v>
      </c>
    </row>
    <row r="6038" spans="1:11" hidden="1" x14ac:dyDescent="0.25">
      <c r="A6038">
        <v>6037</v>
      </c>
      <c r="B6038" s="1">
        <v>45750</v>
      </c>
      <c r="C6038" t="s">
        <v>9</v>
      </c>
      <c r="D6038" t="s">
        <v>56</v>
      </c>
      <c r="E6038" t="s">
        <v>8</v>
      </c>
      <c r="F6038">
        <v>3</v>
      </c>
      <c r="G6038" t="str">
        <f>VLOOKUP(D6038,Товары!A:I,3,0)</f>
        <v>Зеркальный шкаф Альба 80 со светильником правый цвет мята</v>
      </c>
      <c r="H6038">
        <f>VLOOKUP(D6038,Товары!A:I,6,0)</f>
        <v>75</v>
      </c>
      <c r="I6038" t="str">
        <f>VLOOKUP(C6038,Магазины!A:C,3,0)</f>
        <v>Кемерово</v>
      </c>
      <c r="J6038">
        <f>VLOOKUP(D6038,Товары!A:I,4,0)</f>
        <v>9930</v>
      </c>
      <c r="K6038">
        <f t="shared" si="94"/>
        <v>29790</v>
      </c>
    </row>
    <row r="6039" spans="1:11" hidden="1" x14ac:dyDescent="0.25">
      <c r="A6039">
        <v>6038</v>
      </c>
      <c r="B6039" s="1">
        <v>45750</v>
      </c>
      <c r="C6039" t="s">
        <v>22</v>
      </c>
      <c r="D6039" t="s">
        <v>108</v>
      </c>
      <c r="E6039" t="s">
        <v>8</v>
      </c>
      <c r="F6039">
        <v>2</v>
      </c>
      <c r="G6039" t="str">
        <f>VLOOKUP(D6039,Товары!A:I,3,0)</f>
        <v>Тумба с раковиной  навес. Виктория 1000 белый 2 ящика с умыв. Слим</v>
      </c>
      <c r="H6039">
        <f>VLOOKUP(D6039,Товары!A:I,6,0)</f>
        <v>60</v>
      </c>
      <c r="I6039" t="str">
        <f>VLOOKUP(C6039,Магазины!A:C,3,0)</f>
        <v>Кемерово</v>
      </c>
      <c r="J6039">
        <f>VLOOKUP(D6039,Товары!A:I,4,0)</f>
        <v>29205</v>
      </c>
      <c r="K6039">
        <f t="shared" si="94"/>
        <v>58410</v>
      </c>
    </row>
    <row r="6040" spans="1:11" hidden="1" x14ac:dyDescent="0.25">
      <c r="A6040">
        <v>6039</v>
      </c>
      <c r="B6040" s="1">
        <v>45757</v>
      </c>
      <c r="C6040" t="s">
        <v>48</v>
      </c>
      <c r="D6040" t="s">
        <v>51</v>
      </c>
      <c r="E6040" t="s">
        <v>8</v>
      </c>
      <c r="F6040">
        <v>3</v>
      </c>
      <c r="G6040" t="str">
        <f>VLOOKUP(D6040,Товары!A:I,3,0)</f>
        <v>Зеркальный шкаф Альба 80 со светильником правый цвет суфле</v>
      </c>
      <c r="H6040">
        <f>VLOOKUP(D6040,Товары!A:I,6,0)</f>
        <v>75</v>
      </c>
      <c r="I6040" t="str">
        <f>VLOOKUP(C6040,Магазины!A:C,3,0)</f>
        <v>Ставрополь</v>
      </c>
      <c r="J6040">
        <f>VLOOKUP(D6040,Товары!A:I,4,0)</f>
        <v>9930</v>
      </c>
      <c r="K6040">
        <f t="shared" si="94"/>
        <v>29790</v>
      </c>
    </row>
    <row r="6041" spans="1:11" hidden="1" x14ac:dyDescent="0.25">
      <c r="A6041">
        <v>6040</v>
      </c>
      <c r="B6041" s="1">
        <v>45757</v>
      </c>
      <c r="C6041" t="s">
        <v>22</v>
      </c>
      <c r="D6041" t="s">
        <v>100</v>
      </c>
      <c r="E6041" t="s">
        <v>8</v>
      </c>
      <c r="F6041">
        <v>3</v>
      </c>
      <c r="G6041" t="str">
        <f>VLOOKUP(D6041,Товары!A:I,3,0)</f>
        <v>Тумба с раковиной  навес. Альба 800 мята 1 ящик с умыв. Слим</v>
      </c>
      <c r="H6041">
        <f>VLOOKUP(D6041,Товары!A:I,6,0)</f>
        <v>45</v>
      </c>
      <c r="I6041" t="str">
        <f>VLOOKUP(C6041,Магазины!A:C,3,0)</f>
        <v>Кемерово</v>
      </c>
      <c r="J6041">
        <f>VLOOKUP(D6041,Товары!A:I,4,0)</f>
        <v>21630</v>
      </c>
      <c r="K6041">
        <f t="shared" si="94"/>
        <v>64890</v>
      </c>
    </row>
    <row r="6042" spans="1:11" hidden="1" x14ac:dyDescent="0.25">
      <c r="A6042">
        <v>6041</v>
      </c>
      <c r="B6042" s="1">
        <v>45749</v>
      </c>
      <c r="C6042" t="s">
        <v>92</v>
      </c>
      <c r="D6042" t="s">
        <v>90</v>
      </c>
      <c r="E6042" t="s">
        <v>8</v>
      </c>
      <c r="F6042">
        <v>3</v>
      </c>
      <c r="G6042" t="str">
        <f>VLOOKUP(D6042,Товары!A:I,3,0)</f>
        <v>Пенал напол. Аква 350 белый 2 двери + 2 ящика</v>
      </c>
      <c r="H6042">
        <f>VLOOKUP(D6042,Товары!A:I,6,0)</f>
        <v>190</v>
      </c>
      <c r="I6042" t="str">
        <f>VLOOKUP(C6042,Магазины!A:C,3,0)</f>
        <v>Кемерово</v>
      </c>
      <c r="J6042">
        <f>VLOOKUP(D6042,Товары!A:I,4,0)</f>
        <v>10650</v>
      </c>
      <c r="K6042">
        <f t="shared" si="94"/>
        <v>31950</v>
      </c>
    </row>
    <row r="6043" spans="1:11" hidden="1" x14ac:dyDescent="0.25">
      <c r="A6043">
        <v>6042</v>
      </c>
      <c r="B6043" s="1">
        <v>45757</v>
      </c>
      <c r="C6043" t="s">
        <v>43</v>
      </c>
      <c r="D6043" t="s">
        <v>93</v>
      </c>
      <c r="E6043" t="s">
        <v>13</v>
      </c>
      <c r="F6043">
        <v>2</v>
      </c>
      <c r="G6043" t="str">
        <f>VLOOKUP(D6043,Товары!A:I,3,0)</f>
        <v>Тумба с раковиной  напол. Леон Риф 800 солярис/белый риф 2 ящика с умыв. Слим</v>
      </c>
      <c r="H6043">
        <f>VLOOKUP(D6043,Товары!A:I,6,0)</f>
        <v>80</v>
      </c>
      <c r="I6043" t="str">
        <f>VLOOKUP(C6043,Магазины!A:C,3,0)</f>
        <v>Набережные Челны</v>
      </c>
      <c r="J6043">
        <f>VLOOKUP(D6043,Товары!A:I,4,0)</f>
        <v>29340</v>
      </c>
      <c r="K6043">
        <f t="shared" si="94"/>
        <v>58680</v>
      </c>
    </row>
    <row r="6044" spans="1:11" hidden="1" x14ac:dyDescent="0.25">
      <c r="A6044">
        <v>6043</v>
      </c>
      <c r="B6044" s="1">
        <v>45756</v>
      </c>
      <c r="C6044" t="s">
        <v>9</v>
      </c>
      <c r="D6044" t="s">
        <v>59</v>
      </c>
      <c r="E6044" t="s">
        <v>8</v>
      </c>
      <c r="F6044">
        <v>2</v>
      </c>
      <c r="G6044" t="str">
        <f>VLOOKUP(D6044,Товары!A:I,3,0)</f>
        <v>Тумба с раковиной  навес. Куба Риф 600 белый 2 ящика с умыв. Океан</v>
      </c>
      <c r="H6044">
        <f>VLOOKUP(D6044,Товары!A:I,6,0)</f>
        <v>55</v>
      </c>
      <c r="I6044" t="str">
        <f>VLOOKUP(C6044,Магазины!A:C,3,0)</f>
        <v>Кемерово</v>
      </c>
      <c r="J6044">
        <f>VLOOKUP(D6044,Товары!A:I,4,0)</f>
        <v>15765</v>
      </c>
      <c r="K6044">
        <f t="shared" si="94"/>
        <v>31530</v>
      </c>
    </row>
    <row r="6045" spans="1:11" hidden="1" x14ac:dyDescent="0.25">
      <c r="A6045">
        <v>6044</v>
      </c>
      <c r="B6045" s="1">
        <v>45748</v>
      </c>
      <c r="C6045" t="s">
        <v>41</v>
      </c>
      <c r="D6045" t="s">
        <v>105</v>
      </c>
      <c r="E6045" t="s">
        <v>8</v>
      </c>
      <c r="F6045">
        <v>2</v>
      </c>
      <c r="G6045" t="str">
        <f>VLOOKUP(D6045,Товары!A:I,3,0)</f>
        <v>Тумба с раковиной  напол. Нева 600 белый 2 двери + 1 ящик с умыв. Como</v>
      </c>
      <c r="H6045">
        <f>VLOOKUP(D6045,Товары!A:I,6,0)</f>
        <v>80</v>
      </c>
      <c r="I6045" t="str">
        <f>VLOOKUP(C6045,Магазины!A:C,3,0)</f>
        <v>Ставрополь</v>
      </c>
      <c r="J6045">
        <f>VLOOKUP(D6045,Товары!A:I,4,0)</f>
        <v>13470</v>
      </c>
      <c r="K6045">
        <f t="shared" si="94"/>
        <v>26940</v>
      </c>
    </row>
    <row r="6046" spans="1:11" hidden="1" x14ac:dyDescent="0.25">
      <c r="A6046">
        <v>6045</v>
      </c>
      <c r="B6046" s="1">
        <v>45756</v>
      </c>
      <c r="C6046" t="s">
        <v>26</v>
      </c>
      <c r="D6046" t="s">
        <v>76</v>
      </c>
      <c r="E6046" t="s">
        <v>8</v>
      </c>
      <c r="F6046">
        <v>3</v>
      </c>
      <c r="G6046" t="str">
        <f>VLOOKUP(D6046,Товары!A:I,3,0)</f>
        <v>Тумба с раковиной  напол. Леон 600 оникс 2 ящика с умыв. Слим</v>
      </c>
      <c r="H6046">
        <f>VLOOKUP(D6046,Товары!A:I,6,0)</f>
        <v>80</v>
      </c>
      <c r="I6046" t="str">
        <f>VLOOKUP(C6046,Магазины!A:C,3,0)</f>
        <v>Оренбург</v>
      </c>
      <c r="J6046">
        <f>VLOOKUP(D6046,Товары!A:I,4,0)</f>
        <v>25860</v>
      </c>
      <c r="K6046">
        <f t="shared" si="94"/>
        <v>77580</v>
      </c>
    </row>
    <row r="6047" spans="1:11" hidden="1" x14ac:dyDescent="0.25">
      <c r="A6047">
        <v>6046</v>
      </c>
      <c r="B6047" s="1">
        <v>45757</v>
      </c>
      <c r="C6047" t="s">
        <v>111</v>
      </c>
      <c r="D6047" t="s">
        <v>104</v>
      </c>
      <c r="E6047" t="s">
        <v>8</v>
      </c>
      <c r="F6047">
        <v>2</v>
      </c>
      <c r="G6047" t="str">
        <f>VLOOKUP(D6047,Товары!A:I,3,0)</f>
        <v>Тумба под стиральную машину Куба Риф 57 подвесная 2 ящика под ст/маш, без умывальника /под Marshall 120 Белый</v>
      </c>
      <c r="H6047">
        <f>VLOOKUP(D6047,Товары!A:I,6,0)</f>
        <v>50</v>
      </c>
      <c r="I6047" t="str">
        <f>VLOOKUP(C6047,Магазины!A:C,3,0)</f>
        <v>Набережные Челны</v>
      </c>
      <c r="J6047">
        <f>VLOOKUP(D6047,Товары!A:I,4,0)</f>
        <v>8505</v>
      </c>
      <c r="K6047">
        <f t="shared" si="94"/>
        <v>17010</v>
      </c>
    </row>
    <row r="6048" spans="1:11" hidden="1" x14ac:dyDescent="0.25">
      <c r="A6048">
        <v>6047</v>
      </c>
      <c r="B6048" s="1">
        <v>45755</v>
      </c>
      <c r="C6048" t="s">
        <v>6</v>
      </c>
      <c r="D6048" t="s">
        <v>7</v>
      </c>
      <c r="E6048" t="s">
        <v>13</v>
      </c>
      <c r="F6048">
        <v>3</v>
      </c>
      <c r="G6048" t="str">
        <f>VLOOKUP(D6048,Товары!A:I,3,0)</f>
        <v>Пенал напол. Леон Риф 400 солярис/белый риф 2 двери + 1 ящик</v>
      </c>
      <c r="H6048">
        <f>VLOOKUP(D6048,Товары!A:I,6,0)</f>
        <v>190</v>
      </c>
      <c r="I6048" t="str">
        <f>VLOOKUP(C6048,Магазины!A:C,3,0)</f>
        <v>Оренбург</v>
      </c>
      <c r="J6048">
        <f>VLOOKUP(D6048,Товары!A:I,4,0)</f>
        <v>14490</v>
      </c>
      <c r="K6048">
        <f t="shared" si="94"/>
        <v>43470</v>
      </c>
    </row>
    <row r="6049" spans="1:11" hidden="1" x14ac:dyDescent="0.25">
      <c r="A6049">
        <v>6048</v>
      </c>
      <c r="B6049" s="1">
        <v>45748</v>
      </c>
      <c r="C6049" t="s">
        <v>28</v>
      </c>
      <c r="D6049" t="s">
        <v>12</v>
      </c>
      <c r="E6049" t="s">
        <v>8</v>
      </c>
      <c r="F6049">
        <v>3</v>
      </c>
      <c r="G6049" t="str">
        <f>VLOOKUP(D6049,Товары!A:I,3,0)</f>
        <v>Тумба с раковиной  напол. Сохо 700 белый 2 двери с умыв. Слим</v>
      </c>
      <c r="H6049">
        <f>VLOOKUP(D6049,Товары!A:I,6,0)</f>
        <v>85</v>
      </c>
      <c r="I6049" t="str">
        <f>VLOOKUP(C6049,Магазины!A:C,3,0)</f>
        <v>Набережные Челны</v>
      </c>
      <c r="J6049">
        <f>VLOOKUP(D6049,Товары!A:I,4,0)</f>
        <v>17160</v>
      </c>
      <c r="K6049">
        <f t="shared" si="94"/>
        <v>51480</v>
      </c>
    </row>
    <row r="6050" spans="1:11" hidden="1" x14ac:dyDescent="0.25">
      <c r="A6050">
        <v>6049</v>
      </c>
      <c r="B6050" s="1">
        <v>45749</v>
      </c>
      <c r="C6050" t="s">
        <v>35</v>
      </c>
      <c r="D6050" t="s">
        <v>51</v>
      </c>
      <c r="E6050" t="s">
        <v>13</v>
      </c>
      <c r="F6050">
        <v>3</v>
      </c>
      <c r="G6050" t="str">
        <f>VLOOKUP(D6050,Товары!A:I,3,0)</f>
        <v>Зеркальный шкаф Альба 80 со светильником правый цвет суфле</v>
      </c>
      <c r="H6050">
        <f>VLOOKUP(D6050,Товары!A:I,6,0)</f>
        <v>75</v>
      </c>
      <c r="I6050" t="str">
        <f>VLOOKUP(C6050,Магазины!A:C,3,0)</f>
        <v>Набережные Челны</v>
      </c>
      <c r="J6050">
        <f>VLOOKUP(D6050,Товары!A:I,4,0)</f>
        <v>9930</v>
      </c>
      <c r="K6050">
        <f t="shared" si="94"/>
        <v>29790</v>
      </c>
    </row>
    <row r="6051" spans="1:11" hidden="1" x14ac:dyDescent="0.25">
      <c r="A6051">
        <v>6050</v>
      </c>
      <c r="B6051" s="1">
        <v>45750</v>
      </c>
      <c r="C6051" t="s">
        <v>30</v>
      </c>
      <c r="D6051" t="s">
        <v>59</v>
      </c>
      <c r="E6051" t="s">
        <v>8</v>
      </c>
      <c r="F6051">
        <v>3</v>
      </c>
      <c r="G6051" t="str">
        <f>VLOOKUP(D6051,Товары!A:I,3,0)</f>
        <v>Тумба с раковиной  навес. Куба Риф 600 белый 2 ящика с умыв. Океан</v>
      </c>
      <c r="H6051">
        <f>VLOOKUP(D6051,Товары!A:I,6,0)</f>
        <v>55</v>
      </c>
      <c r="I6051" t="str">
        <f>VLOOKUP(C6051,Магазины!A:C,3,0)</f>
        <v>Кемерово</v>
      </c>
      <c r="J6051">
        <f>VLOOKUP(D6051,Товары!A:I,4,0)</f>
        <v>15765</v>
      </c>
      <c r="K6051">
        <f t="shared" si="94"/>
        <v>47295</v>
      </c>
    </row>
    <row r="6052" spans="1:11" hidden="1" x14ac:dyDescent="0.25">
      <c r="A6052">
        <v>6051</v>
      </c>
      <c r="B6052" s="1">
        <v>45751</v>
      </c>
      <c r="C6052" t="s">
        <v>54</v>
      </c>
      <c r="D6052" t="s">
        <v>84</v>
      </c>
      <c r="E6052" t="s">
        <v>13</v>
      </c>
      <c r="F6052">
        <v>2</v>
      </c>
      <c r="G6052" t="str">
        <f>VLOOKUP(D6052,Товары!A:I,3,0)</f>
        <v>Тумба с раковиной  напол. Куба Риф 800 белый 3 двери с умыв. Слим</v>
      </c>
      <c r="H6052">
        <f>VLOOKUP(D6052,Товары!A:I,6,0)</f>
        <v>85</v>
      </c>
      <c r="I6052" t="str">
        <f>VLOOKUP(C6052,Магазины!A:C,3,0)</f>
        <v>Ставрополь</v>
      </c>
      <c r="J6052">
        <f>VLOOKUP(D6052,Товары!A:I,4,0)</f>
        <v>19920</v>
      </c>
      <c r="K6052">
        <f t="shared" si="94"/>
        <v>39840</v>
      </c>
    </row>
    <row r="6053" spans="1:11" hidden="1" x14ac:dyDescent="0.25">
      <c r="A6053">
        <v>6052</v>
      </c>
      <c r="B6053" s="1">
        <v>45752</v>
      </c>
      <c r="C6053" t="s">
        <v>20</v>
      </c>
      <c r="D6053" t="s">
        <v>10</v>
      </c>
      <c r="E6053" t="s">
        <v>13</v>
      </c>
      <c r="F6053">
        <v>2</v>
      </c>
      <c r="G6053" t="str">
        <f>VLOOKUP(D6053,Товары!A:I,3,0)</f>
        <v>Тумба с раковиной  навес. Альба 700 антрацит 1 ящик с умыв. Слим</v>
      </c>
      <c r="H6053">
        <f>VLOOKUP(D6053,Товары!A:I,6,0)</f>
        <v>45</v>
      </c>
      <c r="I6053" t="str">
        <f>VLOOKUP(C6053,Магазины!A:C,3,0)</f>
        <v>Оренбург</v>
      </c>
      <c r="J6053">
        <f>VLOOKUP(D6053,Товары!A:I,4,0)</f>
        <v>20130</v>
      </c>
      <c r="K6053">
        <f t="shared" si="94"/>
        <v>40260</v>
      </c>
    </row>
    <row r="6054" spans="1:11" hidden="1" x14ac:dyDescent="0.25">
      <c r="A6054">
        <v>6053</v>
      </c>
      <c r="B6054" s="1">
        <v>45748</v>
      </c>
      <c r="C6054" t="s">
        <v>103</v>
      </c>
      <c r="D6054" t="s">
        <v>100</v>
      </c>
      <c r="E6054" t="s">
        <v>8</v>
      </c>
      <c r="F6054">
        <v>1</v>
      </c>
      <c r="G6054" t="str">
        <f>VLOOKUP(D6054,Товары!A:I,3,0)</f>
        <v>Тумба с раковиной  навес. Альба 800 мята 1 ящик с умыв. Слим</v>
      </c>
      <c r="H6054">
        <f>VLOOKUP(D6054,Товары!A:I,6,0)</f>
        <v>45</v>
      </c>
      <c r="I6054" t="str">
        <f>VLOOKUP(C6054,Магазины!A:C,3,0)</f>
        <v>Ставрополь</v>
      </c>
      <c r="J6054">
        <f>VLOOKUP(D6054,Товары!A:I,4,0)</f>
        <v>21630</v>
      </c>
      <c r="K6054">
        <f t="shared" si="94"/>
        <v>21630</v>
      </c>
    </row>
    <row r="6055" spans="1:11" hidden="1" x14ac:dyDescent="0.25">
      <c r="A6055">
        <v>6054</v>
      </c>
      <c r="B6055" s="1">
        <v>45750</v>
      </c>
      <c r="C6055" t="s">
        <v>35</v>
      </c>
      <c r="D6055" t="s">
        <v>106</v>
      </c>
      <c r="E6055" t="s">
        <v>8</v>
      </c>
      <c r="F6055">
        <v>1</v>
      </c>
      <c r="G6055" t="str">
        <f>VLOOKUP(D6055,Товары!A:I,3,0)</f>
        <v>Тумба с раковиной  навес. Кристалл 700 шато азур 2 ящика с умыв. Слим</v>
      </c>
      <c r="H6055">
        <f>VLOOKUP(D6055,Товары!A:I,6,0)</f>
        <v>60</v>
      </c>
      <c r="I6055" t="str">
        <f>VLOOKUP(C6055,Магазины!A:C,3,0)</f>
        <v>Набережные Челны</v>
      </c>
      <c r="J6055">
        <f>VLOOKUP(D6055,Товары!A:I,4,0)</f>
        <v>24150</v>
      </c>
      <c r="K6055">
        <f t="shared" si="94"/>
        <v>24150</v>
      </c>
    </row>
    <row r="6056" spans="1:11" hidden="1" x14ac:dyDescent="0.25">
      <c r="A6056">
        <v>6055</v>
      </c>
      <c r="B6056" s="1">
        <v>45752</v>
      </c>
      <c r="C6056" t="s">
        <v>26</v>
      </c>
      <c r="D6056" t="s">
        <v>114</v>
      </c>
      <c r="E6056" t="s">
        <v>8</v>
      </c>
      <c r="F6056">
        <v>2</v>
      </c>
      <c r="G6056" t="str">
        <f>VLOOKUP(D6056,Товары!A:I,3,0)</f>
        <v>Тумба с раковиной  навес. Альба 700 мята 2 ящика с умыв. Слим</v>
      </c>
      <c r="H6056">
        <f>VLOOKUP(D6056,Товары!A:I,6,0)</f>
        <v>60</v>
      </c>
      <c r="I6056" t="str">
        <f>VLOOKUP(C6056,Магазины!A:C,3,0)</f>
        <v>Оренбург</v>
      </c>
      <c r="J6056">
        <f>VLOOKUP(D6056,Товары!A:I,4,0)</f>
        <v>25095</v>
      </c>
      <c r="K6056">
        <f t="shared" si="94"/>
        <v>50190</v>
      </c>
    </row>
    <row r="6057" spans="1:11" hidden="1" x14ac:dyDescent="0.25">
      <c r="A6057">
        <v>6056</v>
      </c>
      <c r="B6057" s="1">
        <v>45755</v>
      </c>
      <c r="C6057" t="s">
        <v>103</v>
      </c>
      <c r="D6057" t="s">
        <v>122</v>
      </c>
      <c r="E6057" t="s">
        <v>13</v>
      </c>
      <c r="F6057">
        <v>2</v>
      </c>
      <c r="G6057" t="str">
        <f>VLOOKUP(D6057,Товары!A:I,3,0)</f>
        <v>Тумба с раковиной  навес. Кристалл 600 шато азур 2 ящика с умыв. Океан</v>
      </c>
      <c r="H6057">
        <f>VLOOKUP(D6057,Товары!A:I,6,0)</f>
        <v>55</v>
      </c>
      <c r="I6057" t="str">
        <f>VLOOKUP(C6057,Магазины!A:C,3,0)</f>
        <v>Ставрополь</v>
      </c>
      <c r="J6057">
        <f>VLOOKUP(D6057,Товары!A:I,4,0)</f>
        <v>21960</v>
      </c>
      <c r="K6057">
        <f t="shared" si="94"/>
        <v>43920</v>
      </c>
    </row>
    <row r="6058" spans="1:11" hidden="1" x14ac:dyDescent="0.25">
      <c r="A6058">
        <v>6057</v>
      </c>
      <c r="B6058" s="1">
        <v>45748</v>
      </c>
      <c r="C6058" t="s">
        <v>63</v>
      </c>
      <c r="D6058" t="s">
        <v>131</v>
      </c>
      <c r="E6058" t="s">
        <v>8</v>
      </c>
      <c r="F6058">
        <v>3</v>
      </c>
      <c r="G6058" t="str">
        <f>VLOOKUP(D6058,Товары!A:I,3,0)</f>
        <v>Тумба с раковиной  напол. Леон 800 форест 2 ящика с умыв. Слим</v>
      </c>
      <c r="H6058">
        <f>VLOOKUP(D6058,Товары!A:I,6,0)</f>
        <v>80</v>
      </c>
      <c r="I6058" t="str">
        <f>VLOOKUP(C6058,Магазины!A:C,3,0)</f>
        <v>Ставрополь</v>
      </c>
      <c r="J6058">
        <f>VLOOKUP(D6058,Товары!A:I,4,0)</f>
        <v>29400</v>
      </c>
      <c r="K6058">
        <f t="shared" si="94"/>
        <v>88200</v>
      </c>
    </row>
    <row r="6059" spans="1:11" hidden="1" x14ac:dyDescent="0.25">
      <c r="A6059">
        <v>6058</v>
      </c>
      <c r="B6059" s="1">
        <v>45755</v>
      </c>
      <c r="C6059" t="s">
        <v>30</v>
      </c>
      <c r="D6059" t="s">
        <v>10</v>
      </c>
      <c r="E6059" t="s">
        <v>13</v>
      </c>
      <c r="F6059">
        <v>2</v>
      </c>
      <c r="G6059" t="str">
        <f>VLOOKUP(D6059,Товары!A:I,3,0)</f>
        <v>Тумба с раковиной  навес. Альба 700 антрацит 1 ящик с умыв. Слим</v>
      </c>
      <c r="H6059">
        <f>VLOOKUP(D6059,Товары!A:I,6,0)</f>
        <v>45</v>
      </c>
      <c r="I6059" t="str">
        <f>VLOOKUP(C6059,Магазины!A:C,3,0)</f>
        <v>Кемерово</v>
      </c>
      <c r="J6059">
        <f>VLOOKUP(D6059,Товары!A:I,4,0)</f>
        <v>20130</v>
      </c>
      <c r="K6059">
        <f t="shared" si="94"/>
        <v>40260</v>
      </c>
    </row>
    <row r="6060" spans="1:11" hidden="1" x14ac:dyDescent="0.25">
      <c r="A6060">
        <v>6059</v>
      </c>
      <c r="B6060" s="1">
        <v>45756</v>
      </c>
      <c r="C6060" t="s">
        <v>92</v>
      </c>
      <c r="D6060" t="s">
        <v>47</v>
      </c>
      <c r="E6060" t="s">
        <v>8</v>
      </c>
      <c r="F6060">
        <v>3</v>
      </c>
      <c r="G6060" t="str">
        <f>VLOOKUP(D6060,Товары!A:I,3,0)</f>
        <v>Пенал напол. Кристалл 350 шато азур 2 двери</v>
      </c>
      <c r="H6060">
        <f>VLOOKUP(D6060,Товары!A:I,6,0)</f>
        <v>190</v>
      </c>
      <c r="I6060" t="str">
        <f>VLOOKUP(C6060,Магазины!A:C,3,0)</f>
        <v>Кемерово</v>
      </c>
      <c r="J6060">
        <f>VLOOKUP(D6060,Товары!A:I,4,0)</f>
        <v>15810</v>
      </c>
      <c r="K6060">
        <f t="shared" si="94"/>
        <v>47430</v>
      </c>
    </row>
    <row r="6061" spans="1:11" hidden="1" x14ac:dyDescent="0.25">
      <c r="A6061">
        <v>6060</v>
      </c>
      <c r="B6061" s="1">
        <v>45756</v>
      </c>
      <c r="C6061" t="s">
        <v>58</v>
      </c>
      <c r="D6061" t="s">
        <v>23</v>
      </c>
      <c r="E6061" t="s">
        <v>13</v>
      </c>
      <c r="F6061">
        <v>3</v>
      </c>
      <c r="G6061" t="str">
        <f>VLOOKUP(D6061,Товары!A:I,3,0)</f>
        <v>Тумба с раковиной  напол. Альба 800 антрацит 2 ящика с умыв. Слим</v>
      </c>
      <c r="H6061">
        <f>VLOOKUP(D6061,Товары!A:I,6,0)</f>
        <v>80</v>
      </c>
      <c r="I6061" t="str">
        <f>VLOOKUP(C6061,Магазины!A:C,3,0)</f>
        <v>Ставрополь</v>
      </c>
      <c r="J6061">
        <f>VLOOKUP(D6061,Товары!A:I,4,0)</f>
        <v>29340</v>
      </c>
      <c r="K6061">
        <f t="shared" si="94"/>
        <v>88020</v>
      </c>
    </row>
    <row r="6062" spans="1:11" hidden="1" x14ac:dyDescent="0.25">
      <c r="A6062">
        <v>6061</v>
      </c>
      <c r="B6062" s="1">
        <v>45749</v>
      </c>
      <c r="C6062" t="s">
        <v>35</v>
      </c>
      <c r="D6062" t="s">
        <v>94</v>
      </c>
      <c r="E6062" t="s">
        <v>8</v>
      </c>
      <c r="F6062">
        <v>2</v>
      </c>
      <c r="G6062" t="str">
        <f>VLOOKUP(D6062,Товары!A:I,3,0)</f>
        <v>Зеркальный шкаф Альба 80 со светильником правый цвет антрацит</v>
      </c>
      <c r="H6062">
        <f>VLOOKUP(D6062,Товары!A:I,6,0)</f>
        <v>75</v>
      </c>
      <c r="I6062" t="str">
        <f>VLOOKUP(C6062,Магазины!A:C,3,0)</f>
        <v>Набережные Челны</v>
      </c>
      <c r="J6062">
        <f>VLOOKUP(D6062,Товары!A:I,4,0)</f>
        <v>9930</v>
      </c>
      <c r="K6062">
        <f t="shared" si="94"/>
        <v>19860</v>
      </c>
    </row>
    <row r="6063" spans="1:11" hidden="1" x14ac:dyDescent="0.25">
      <c r="A6063">
        <v>6062</v>
      </c>
      <c r="B6063" s="1">
        <v>45757</v>
      </c>
      <c r="C6063" t="s">
        <v>9</v>
      </c>
      <c r="D6063" t="s">
        <v>107</v>
      </c>
      <c r="E6063" t="s">
        <v>8</v>
      </c>
      <c r="F6063">
        <v>1</v>
      </c>
      <c r="G6063" t="str">
        <f>VLOOKUP(D6063,Товары!A:I,3,0)</f>
        <v>Комод Аква 35 напольный 1 дверь белый правый</v>
      </c>
      <c r="H6063">
        <f>VLOOKUP(D6063,Товары!A:I,6,0)</f>
        <v>90</v>
      </c>
      <c r="I6063" t="str">
        <f>VLOOKUP(C6063,Магазины!A:C,3,0)</f>
        <v>Кемерово</v>
      </c>
      <c r="J6063">
        <f>VLOOKUP(D6063,Товары!A:I,4,0)</f>
        <v>6705</v>
      </c>
      <c r="K6063">
        <f t="shared" si="94"/>
        <v>6705</v>
      </c>
    </row>
    <row r="6064" spans="1:11" hidden="1" x14ac:dyDescent="0.25">
      <c r="A6064">
        <v>6063</v>
      </c>
      <c r="B6064" s="1">
        <v>45754</v>
      </c>
      <c r="C6064" t="s">
        <v>111</v>
      </c>
      <c r="D6064" t="s">
        <v>127</v>
      </c>
      <c r="E6064" t="s">
        <v>13</v>
      </c>
      <c r="F6064">
        <v>1</v>
      </c>
      <c r="G6064" t="str">
        <f>VLOOKUP(D6064,Товары!A:I,3,0)</f>
        <v>Тумба с раковиной  навес. Альба 700 мята 1 ящик с умыв. Слим</v>
      </c>
      <c r="H6064">
        <f>VLOOKUP(D6064,Товары!A:I,6,0)</f>
        <v>45</v>
      </c>
      <c r="I6064" t="str">
        <f>VLOOKUP(C6064,Магазины!A:C,3,0)</f>
        <v>Набережные Челны</v>
      </c>
      <c r="J6064">
        <f>VLOOKUP(D6064,Товары!A:I,4,0)</f>
        <v>20130</v>
      </c>
      <c r="K6064">
        <f t="shared" si="94"/>
        <v>20130</v>
      </c>
    </row>
    <row r="6065" spans="1:11" hidden="1" x14ac:dyDescent="0.25">
      <c r="A6065">
        <v>6064</v>
      </c>
      <c r="B6065" s="1">
        <v>45748</v>
      </c>
      <c r="C6065" t="s">
        <v>6</v>
      </c>
      <c r="D6065" t="s">
        <v>102</v>
      </c>
      <c r="E6065" t="s">
        <v>13</v>
      </c>
      <c r="F6065">
        <v>1</v>
      </c>
      <c r="G6065" t="str">
        <f>VLOOKUP(D6065,Товары!A:I,3,0)</f>
        <v>Тумба с раковиной  напол. Леон Риф 1000 солярис/белый риф 2 ящика с умыв. Слим</v>
      </c>
      <c r="H6065">
        <f>VLOOKUP(D6065,Товары!A:I,6,0)</f>
        <v>85</v>
      </c>
      <c r="I6065" t="str">
        <f>VLOOKUP(C6065,Магазины!A:C,3,0)</f>
        <v>Оренбург</v>
      </c>
      <c r="J6065">
        <f>VLOOKUP(D6065,Товары!A:I,4,0)</f>
        <v>32085</v>
      </c>
      <c r="K6065">
        <f t="shared" si="94"/>
        <v>32085</v>
      </c>
    </row>
    <row r="6066" spans="1:11" hidden="1" x14ac:dyDescent="0.25">
      <c r="A6066">
        <v>6065</v>
      </c>
      <c r="B6066" s="1">
        <v>45750</v>
      </c>
      <c r="C6066" t="s">
        <v>11</v>
      </c>
      <c r="D6066" t="s">
        <v>131</v>
      </c>
      <c r="E6066" t="s">
        <v>13</v>
      </c>
      <c r="F6066">
        <v>3</v>
      </c>
      <c r="G6066" t="str">
        <f>VLOOKUP(D6066,Товары!A:I,3,0)</f>
        <v>Тумба с раковиной  напол. Леон 800 форест 2 ящика с умыв. Слим</v>
      </c>
      <c r="H6066">
        <f>VLOOKUP(D6066,Товары!A:I,6,0)</f>
        <v>80</v>
      </c>
      <c r="I6066" t="str">
        <f>VLOOKUP(C6066,Магазины!A:C,3,0)</f>
        <v>Кемерово</v>
      </c>
      <c r="J6066">
        <f>VLOOKUP(D6066,Товары!A:I,4,0)</f>
        <v>29400</v>
      </c>
      <c r="K6066">
        <f t="shared" si="94"/>
        <v>88200</v>
      </c>
    </row>
    <row r="6067" spans="1:11" hidden="1" x14ac:dyDescent="0.25">
      <c r="A6067">
        <v>6066</v>
      </c>
      <c r="B6067" s="1">
        <v>45751</v>
      </c>
      <c r="C6067" t="s">
        <v>103</v>
      </c>
      <c r="D6067" t="s">
        <v>85</v>
      </c>
      <c r="E6067" t="s">
        <v>8</v>
      </c>
      <c r="F6067">
        <v>1</v>
      </c>
      <c r="G6067" t="str">
        <f>VLOOKUP(D6067,Товары!A:I,3,0)</f>
        <v>Пенал напол. Аква 450 белый 2 двери + 2 ящика + корзина</v>
      </c>
      <c r="H6067">
        <f>VLOOKUP(D6067,Товары!A:I,6,0)</f>
        <v>190</v>
      </c>
      <c r="I6067" t="str">
        <f>VLOOKUP(C6067,Магазины!A:C,3,0)</f>
        <v>Ставрополь</v>
      </c>
      <c r="J6067">
        <f>VLOOKUP(D6067,Товары!A:I,4,0)</f>
        <v>13335</v>
      </c>
      <c r="K6067">
        <f t="shared" si="94"/>
        <v>13335</v>
      </c>
    </row>
    <row r="6068" spans="1:11" hidden="1" x14ac:dyDescent="0.25">
      <c r="A6068">
        <v>6067</v>
      </c>
      <c r="B6068" s="1">
        <v>45750</v>
      </c>
      <c r="C6068" t="s">
        <v>43</v>
      </c>
      <c r="D6068" t="s">
        <v>117</v>
      </c>
      <c r="E6068" t="s">
        <v>8</v>
      </c>
      <c r="F6068">
        <v>3</v>
      </c>
      <c r="G6068" t="str">
        <f>VLOOKUP(D6068,Товары!A:I,3,0)</f>
        <v>Тумба с раковиной  навес. Альба 700 антрацит 2 ящика с умыв. Слим</v>
      </c>
      <c r="H6068">
        <f>VLOOKUP(D6068,Товары!A:I,6,0)</f>
        <v>60</v>
      </c>
      <c r="I6068" t="str">
        <f>VLOOKUP(C6068,Магазины!A:C,3,0)</f>
        <v>Набережные Челны</v>
      </c>
      <c r="J6068">
        <f>VLOOKUP(D6068,Товары!A:I,4,0)</f>
        <v>25095</v>
      </c>
      <c r="K6068">
        <f t="shared" si="94"/>
        <v>75285</v>
      </c>
    </row>
    <row r="6069" spans="1:11" hidden="1" x14ac:dyDescent="0.25">
      <c r="A6069">
        <v>6068</v>
      </c>
      <c r="B6069" s="1">
        <v>45753</v>
      </c>
      <c r="C6069" t="s">
        <v>30</v>
      </c>
      <c r="D6069" t="s">
        <v>7</v>
      </c>
      <c r="E6069" t="s">
        <v>13</v>
      </c>
      <c r="F6069">
        <v>2</v>
      </c>
      <c r="G6069" t="str">
        <f>VLOOKUP(D6069,Товары!A:I,3,0)</f>
        <v>Пенал напол. Леон Риф 400 солярис/белый риф 2 двери + 1 ящик</v>
      </c>
      <c r="H6069">
        <f>VLOOKUP(D6069,Товары!A:I,6,0)</f>
        <v>190</v>
      </c>
      <c r="I6069" t="str">
        <f>VLOOKUP(C6069,Магазины!A:C,3,0)</f>
        <v>Кемерово</v>
      </c>
      <c r="J6069">
        <f>VLOOKUP(D6069,Товары!A:I,4,0)</f>
        <v>14490</v>
      </c>
      <c r="K6069">
        <f t="shared" si="94"/>
        <v>28980</v>
      </c>
    </row>
    <row r="6070" spans="1:11" hidden="1" x14ac:dyDescent="0.25">
      <c r="A6070">
        <v>6069</v>
      </c>
      <c r="B6070" s="1">
        <v>45751</v>
      </c>
      <c r="C6070" t="s">
        <v>43</v>
      </c>
      <c r="D6070" t="s">
        <v>51</v>
      </c>
      <c r="E6070" t="s">
        <v>8</v>
      </c>
      <c r="F6070">
        <v>3</v>
      </c>
      <c r="G6070" t="str">
        <f>VLOOKUP(D6070,Товары!A:I,3,0)</f>
        <v>Зеркальный шкаф Альба 80 со светильником правый цвет суфле</v>
      </c>
      <c r="H6070">
        <f>VLOOKUP(D6070,Товары!A:I,6,0)</f>
        <v>75</v>
      </c>
      <c r="I6070" t="str">
        <f>VLOOKUP(C6070,Магазины!A:C,3,0)</f>
        <v>Набережные Челны</v>
      </c>
      <c r="J6070">
        <f>VLOOKUP(D6070,Товары!A:I,4,0)</f>
        <v>9930</v>
      </c>
      <c r="K6070">
        <f t="shared" si="94"/>
        <v>29790</v>
      </c>
    </row>
    <row r="6071" spans="1:11" hidden="1" x14ac:dyDescent="0.25">
      <c r="A6071">
        <v>6070</v>
      </c>
      <c r="B6071" s="1">
        <v>45755</v>
      </c>
      <c r="C6071" t="s">
        <v>43</v>
      </c>
      <c r="D6071" t="s">
        <v>19</v>
      </c>
      <c r="E6071" t="s">
        <v>8</v>
      </c>
      <c r="F6071">
        <v>3</v>
      </c>
      <c r="G6071" t="str">
        <f>VLOOKUP(D6071,Товары!A:I,3,0)</f>
        <v>Тумба с раковиной  навес. Леон 800 оникс 2 ящика с умыв. Слим</v>
      </c>
      <c r="H6071">
        <f>VLOOKUP(D6071,Товары!A:I,6,0)</f>
        <v>60</v>
      </c>
      <c r="I6071" t="str">
        <f>VLOOKUP(C6071,Магазины!A:C,3,0)</f>
        <v>Набережные Челны</v>
      </c>
      <c r="J6071">
        <f>VLOOKUP(D6071,Товары!A:I,4,0)</f>
        <v>27930</v>
      </c>
      <c r="K6071">
        <f t="shared" si="94"/>
        <v>83790</v>
      </c>
    </row>
    <row r="6072" spans="1:11" hidden="1" x14ac:dyDescent="0.25">
      <c r="A6072">
        <v>6071</v>
      </c>
      <c r="B6072" s="1">
        <v>45757</v>
      </c>
      <c r="C6072" t="s">
        <v>92</v>
      </c>
      <c r="D6072" t="s">
        <v>66</v>
      </c>
      <c r="E6072" t="s">
        <v>8</v>
      </c>
      <c r="F6072">
        <v>3</v>
      </c>
      <c r="G6072" t="str">
        <f>VLOOKUP(D6072,Товары!A:I,3,0)</f>
        <v>Тумба с раковиной  навес. Альба 800 мята 2 ящика с умыв. Слим</v>
      </c>
      <c r="H6072">
        <f>VLOOKUP(D6072,Товары!A:I,6,0)</f>
        <v>50</v>
      </c>
      <c r="I6072" t="str">
        <f>VLOOKUP(C6072,Магазины!A:C,3,0)</f>
        <v>Кемерово</v>
      </c>
      <c r="J6072">
        <f>VLOOKUP(D6072,Товары!A:I,4,0)</f>
        <v>26070</v>
      </c>
      <c r="K6072">
        <f t="shared" si="94"/>
        <v>78210</v>
      </c>
    </row>
    <row r="6073" spans="1:11" hidden="1" x14ac:dyDescent="0.25">
      <c r="A6073">
        <v>6072</v>
      </c>
      <c r="B6073" s="1">
        <v>45754</v>
      </c>
      <c r="C6073" t="s">
        <v>41</v>
      </c>
      <c r="D6073" t="s">
        <v>62</v>
      </c>
      <c r="E6073" t="s">
        <v>13</v>
      </c>
      <c r="F6073">
        <v>3</v>
      </c>
      <c r="G6073" t="str">
        <f>VLOOKUP(D6073,Товары!A:I,3,0)</f>
        <v>Тумба с раковиной  напол. Альба 600 мята 2 ящика с умыв. Океан</v>
      </c>
      <c r="H6073">
        <f>VLOOKUP(D6073,Товары!A:I,6,0)</f>
        <v>80</v>
      </c>
      <c r="I6073" t="str">
        <f>VLOOKUP(C6073,Магазины!A:C,3,0)</f>
        <v>Ставрополь</v>
      </c>
      <c r="J6073">
        <f>VLOOKUP(D6073,Товары!A:I,4,0)</f>
        <v>26370</v>
      </c>
      <c r="K6073">
        <f t="shared" si="94"/>
        <v>79110</v>
      </c>
    </row>
    <row r="6074" spans="1:11" hidden="1" x14ac:dyDescent="0.25">
      <c r="A6074">
        <v>6073</v>
      </c>
      <c r="B6074" s="1">
        <v>45748</v>
      </c>
      <c r="C6074" t="s">
        <v>103</v>
      </c>
      <c r="D6074" t="s">
        <v>74</v>
      </c>
      <c r="E6074" t="s">
        <v>8</v>
      </c>
      <c r="F6074">
        <v>1</v>
      </c>
      <c r="G6074" t="str">
        <f>VLOOKUP(D6074,Товары!A:I,3,0)</f>
        <v>Тумба с раковиной  напол. Альба 800 суфле 2 ящика с умыв. Слим</v>
      </c>
      <c r="H6074">
        <f>VLOOKUP(D6074,Товары!A:I,6,0)</f>
        <v>80</v>
      </c>
      <c r="I6074" t="str">
        <f>VLOOKUP(C6074,Магазины!A:C,3,0)</f>
        <v>Ставрополь</v>
      </c>
      <c r="J6074">
        <f>VLOOKUP(D6074,Товары!A:I,4,0)</f>
        <v>29340</v>
      </c>
      <c r="K6074">
        <f t="shared" si="94"/>
        <v>29340</v>
      </c>
    </row>
    <row r="6075" spans="1:11" hidden="1" x14ac:dyDescent="0.25">
      <c r="A6075">
        <v>6074</v>
      </c>
      <c r="B6075" s="1">
        <v>45750</v>
      </c>
      <c r="C6075" t="s">
        <v>58</v>
      </c>
      <c r="D6075" t="s">
        <v>129</v>
      </c>
      <c r="E6075" t="s">
        <v>8</v>
      </c>
      <c r="F6075">
        <v>2</v>
      </c>
      <c r="G6075" t="str">
        <f>VLOOKUP(D6075,Товары!A:I,3,0)</f>
        <v>Тумба с раковиной  напол. Альба 700 антрацит 2 ящика с умыв. Слим</v>
      </c>
      <c r="H6075">
        <f>VLOOKUP(D6075,Товары!A:I,6,0)</f>
        <v>85</v>
      </c>
      <c r="I6075" t="str">
        <f>VLOOKUP(C6075,Магазины!A:C,3,0)</f>
        <v>Ставрополь</v>
      </c>
      <c r="J6075">
        <f>VLOOKUP(D6075,Товары!A:I,4,0)</f>
        <v>28695</v>
      </c>
      <c r="K6075">
        <f t="shared" si="94"/>
        <v>57390</v>
      </c>
    </row>
    <row r="6076" spans="1:11" hidden="1" x14ac:dyDescent="0.25">
      <c r="A6076">
        <v>6075</v>
      </c>
      <c r="B6076" s="1">
        <v>45751</v>
      </c>
      <c r="C6076" t="s">
        <v>48</v>
      </c>
      <c r="D6076" t="s">
        <v>59</v>
      </c>
      <c r="E6076" t="s">
        <v>8</v>
      </c>
      <c r="F6076">
        <v>2</v>
      </c>
      <c r="G6076" t="str">
        <f>VLOOKUP(D6076,Товары!A:I,3,0)</f>
        <v>Тумба с раковиной  навес. Куба Риф 600 белый 2 ящика с умыв. Океан</v>
      </c>
      <c r="H6076">
        <f>VLOOKUP(D6076,Товары!A:I,6,0)</f>
        <v>55</v>
      </c>
      <c r="I6076" t="str">
        <f>VLOOKUP(C6076,Магазины!A:C,3,0)</f>
        <v>Ставрополь</v>
      </c>
      <c r="J6076">
        <f>VLOOKUP(D6076,Товары!A:I,4,0)</f>
        <v>15765</v>
      </c>
      <c r="K6076">
        <f t="shared" si="94"/>
        <v>31530</v>
      </c>
    </row>
    <row r="6077" spans="1:11" hidden="1" x14ac:dyDescent="0.25">
      <c r="A6077">
        <v>6076</v>
      </c>
      <c r="B6077" s="1">
        <v>45753</v>
      </c>
      <c r="C6077" t="s">
        <v>103</v>
      </c>
      <c r="D6077" t="s">
        <v>115</v>
      </c>
      <c r="E6077" t="s">
        <v>8</v>
      </c>
      <c r="F6077">
        <v>3</v>
      </c>
      <c r="G6077" t="str">
        <f>VLOOKUP(D6077,Товары!A:I,3,0)</f>
        <v>Тумба под стиральную машину Куба Риф 57 напольная 2 ящика под ст/маш, без умывальника /под Marshall 120 Белый</v>
      </c>
      <c r="H6077">
        <f>VLOOKUP(D6077,Товары!A:I,6,0)</f>
        <v>85</v>
      </c>
      <c r="I6077" t="str">
        <f>VLOOKUP(C6077,Магазины!A:C,3,0)</f>
        <v>Ставрополь</v>
      </c>
      <c r="J6077">
        <f>VLOOKUP(D6077,Товары!A:I,4,0)</f>
        <v>10530</v>
      </c>
      <c r="K6077">
        <f t="shared" si="94"/>
        <v>31590</v>
      </c>
    </row>
    <row r="6078" spans="1:11" hidden="1" x14ac:dyDescent="0.25">
      <c r="A6078">
        <v>6077</v>
      </c>
      <c r="B6078" s="1">
        <v>45753</v>
      </c>
      <c r="C6078" t="s">
        <v>14</v>
      </c>
      <c r="D6078" t="s">
        <v>36</v>
      </c>
      <c r="E6078" t="s">
        <v>13</v>
      </c>
      <c r="F6078">
        <v>2</v>
      </c>
      <c r="G6078" t="str">
        <f>VLOOKUP(D6078,Товары!A:I,3,0)</f>
        <v>Тумба с раковиной  напол. Альба 800 мята 2 ящика с умыв. Слим</v>
      </c>
      <c r="H6078">
        <f>VLOOKUP(D6078,Товары!A:I,6,0)</f>
        <v>80</v>
      </c>
      <c r="I6078" t="str">
        <f>VLOOKUP(C6078,Магазины!A:C,3,0)</f>
        <v>Оренбург</v>
      </c>
      <c r="J6078">
        <f>VLOOKUP(D6078,Товары!A:I,4,0)</f>
        <v>29340</v>
      </c>
      <c r="K6078">
        <f t="shared" si="94"/>
        <v>58680</v>
      </c>
    </row>
    <row r="6079" spans="1:11" hidden="1" x14ac:dyDescent="0.25">
      <c r="A6079">
        <v>6078</v>
      </c>
      <c r="B6079" s="1">
        <v>45754</v>
      </c>
      <c r="C6079" t="s">
        <v>48</v>
      </c>
      <c r="D6079" t="s">
        <v>70</v>
      </c>
      <c r="E6079" t="s">
        <v>13</v>
      </c>
      <c r="F6079">
        <v>2</v>
      </c>
      <c r="G6079" t="str">
        <f>VLOOKUP(D6079,Товары!A:I,3,0)</f>
        <v>Тумба с раковиной  напол. Кристалл 700 шато азур 2 ящика с умыв. Слим</v>
      </c>
      <c r="H6079">
        <f>VLOOKUP(D6079,Товары!A:I,6,0)</f>
        <v>85</v>
      </c>
      <c r="I6079" t="str">
        <f>VLOOKUP(C6079,Магазины!A:C,3,0)</f>
        <v>Ставрополь</v>
      </c>
      <c r="J6079">
        <f>VLOOKUP(D6079,Товары!A:I,4,0)</f>
        <v>29910</v>
      </c>
      <c r="K6079">
        <f t="shared" si="94"/>
        <v>59820</v>
      </c>
    </row>
    <row r="6080" spans="1:11" hidden="1" x14ac:dyDescent="0.25">
      <c r="A6080">
        <v>6079</v>
      </c>
      <c r="B6080" s="1">
        <v>45753</v>
      </c>
      <c r="C6080" t="s">
        <v>16</v>
      </c>
      <c r="D6080" t="s">
        <v>116</v>
      </c>
      <c r="E6080" t="s">
        <v>8</v>
      </c>
      <c r="F6080">
        <v>3</v>
      </c>
      <c r="G6080" t="str">
        <f>VLOOKUP(D6080,Товары!A:I,3,0)</f>
        <v>Зеркало Нева 60 дуб/белый со светильником</v>
      </c>
      <c r="H6080">
        <f>VLOOKUP(D6080,Товары!A:I,6,0)</f>
        <v>80</v>
      </c>
      <c r="I6080" t="str">
        <f>VLOOKUP(C6080,Магазины!A:C,3,0)</f>
        <v>Оренбург</v>
      </c>
      <c r="J6080">
        <f>VLOOKUP(D6080,Товары!A:I,4,0)</f>
        <v>5100</v>
      </c>
      <c r="K6080">
        <f t="shared" si="94"/>
        <v>15300</v>
      </c>
    </row>
    <row r="6081" spans="1:11" hidden="1" x14ac:dyDescent="0.25">
      <c r="A6081">
        <v>6080</v>
      </c>
      <c r="B6081" s="1">
        <v>45757</v>
      </c>
      <c r="C6081" t="s">
        <v>57</v>
      </c>
      <c r="D6081" t="s">
        <v>65</v>
      </c>
      <c r="E6081" t="s">
        <v>8</v>
      </c>
      <c r="F6081">
        <v>1</v>
      </c>
      <c r="G6081" t="str">
        <f>VLOOKUP(D6081,Товары!A:I,3,0)</f>
        <v>Тумба с раковиной  навес. Альба 800 суфле 2 ящика с умыв. Слим</v>
      </c>
      <c r="H6081">
        <f>VLOOKUP(D6081,Товары!A:I,6,0)</f>
        <v>50</v>
      </c>
      <c r="I6081" t="str">
        <f>VLOOKUP(C6081,Магазины!A:C,3,0)</f>
        <v>Оренбург</v>
      </c>
      <c r="J6081">
        <f>VLOOKUP(D6081,Товары!A:I,4,0)</f>
        <v>26070</v>
      </c>
      <c r="K6081">
        <f t="shared" si="94"/>
        <v>26070</v>
      </c>
    </row>
    <row r="6082" spans="1:11" hidden="1" x14ac:dyDescent="0.25">
      <c r="A6082">
        <v>6081</v>
      </c>
      <c r="B6082" s="1">
        <v>45752</v>
      </c>
      <c r="C6082" t="s">
        <v>20</v>
      </c>
      <c r="D6082" t="s">
        <v>122</v>
      </c>
      <c r="E6082" t="s">
        <v>8</v>
      </c>
      <c r="F6082">
        <v>1</v>
      </c>
      <c r="G6082" t="str">
        <f>VLOOKUP(D6082,Товары!A:I,3,0)</f>
        <v>Тумба с раковиной  навес. Кристалл 600 шато азур 2 ящика с умыв. Океан</v>
      </c>
      <c r="H6082">
        <f>VLOOKUP(D6082,Товары!A:I,6,0)</f>
        <v>55</v>
      </c>
      <c r="I6082" t="str">
        <f>VLOOKUP(C6082,Магазины!A:C,3,0)</f>
        <v>Оренбург</v>
      </c>
      <c r="J6082">
        <f>VLOOKUP(D6082,Товары!A:I,4,0)</f>
        <v>21960</v>
      </c>
      <c r="K6082">
        <f t="shared" si="94"/>
        <v>21960</v>
      </c>
    </row>
    <row r="6083" spans="1:11" hidden="1" x14ac:dyDescent="0.25">
      <c r="A6083">
        <v>6082</v>
      </c>
      <c r="B6083" s="1">
        <v>45749</v>
      </c>
      <c r="C6083" t="s">
        <v>63</v>
      </c>
      <c r="D6083" t="s">
        <v>37</v>
      </c>
      <c r="E6083" t="s">
        <v>8</v>
      </c>
      <c r="F6083">
        <v>3</v>
      </c>
      <c r="G6083" t="str">
        <f>VLOOKUP(D6083,Товары!A:I,3,0)</f>
        <v>Зеркальный шкаф Сохо 70 белый со светильником правый цвет Белый глянец</v>
      </c>
      <c r="H6083">
        <f>VLOOKUP(D6083,Товары!A:I,6,0)</f>
        <v>75</v>
      </c>
      <c r="I6083" t="str">
        <f>VLOOKUP(C6083,Магазины!A:C,3,0)</f>
        <v>Ставрополь</v>
      </c>
      <c r="J6083">
        <f>VLOOKUP(D6083,Товары!A:I,4,0)</f>
        <v>7935</v>
      </c>
      <c r="K6083">
        <f t="shared" ref="K6083:K6146" si="95">J6083*F6083</f>
        <v>23805</v>
      </c>
    </row>
    <row r="6084" spans="1:11" hidden="1" x14ac:dyDescent="0.25">
      <c r="A6084">
        <v>6083</v>
      </c>
      <c r="B6084" s="1">
        <v>45750</v>
      </c>
      <c r="C6084" t="s">
        <v>41</v>
      </c>
      <c r="D6084" t="s">
        <v>79</v>
      </c>
      <c r="E6084" t="s">
        <v>8</v>
      </c>
      <c r="F6084">
        <v>1</v>
      </c>
      <c r="G6084" t="str">
        <f>VLOOKUP(D6084,Товары!A:I,3,0)</f>
        <v>Зеркальный шкаф Альба 70 со светильником правый цвет мята</v>
      </c>
      <c r="H6084">
        <f>VLOOKUP(D6084,Товары!A:I,6,0)</f>
        <v>75</v>
      </c>
      <c r="I6084" t="str">
        <f>VLOOKUP(C6084,Магазины!A:C,3,0)</f>
        <v>Ставрополь</v>
      </c>
      <c r="J6084">
        <f>VLOOKUP(D6084,Товары!A:I,4,0)</f>
        <v>9615</v>
      </c>
      <c r="K6084">
        <f t="shared" si="95"/>
        <v>9615</v>
      </c>
    </row>
    <row r="6085" spans="1:11" hidden="1" x14ac:dyDescent="0.25">
      <c r="A6085">
        <v>6084</v>
      </c>
      <c r="B6085" s="1">
        <v>45753</v>
      </c>
      <c r="C6085" t="s">
        <v>33</v>
      </c>
      <c r="D6085" t="s">
        <v>88</v>
      </c>
      <c r="E6085" t="s">
        <v>13</v>
      </c>
      <c r="F6085">
        <v>3</v>
      </c>
      <c r="G6085" t="str">
        <f>VLOOKUP(D6085,Товары!A:I,3,0)</f>
        <v>Тумба с раковиной  навес. Альба 800 антрацит 2 ящика с умыв. Слим</v>
      </c>
      <c r="H6085">
        <f>VLOOKUP(D6085,Товары!A:I,6,0)</f>
        <v>50</v>
      </c>
      <c r="I6085" t="str">
        <f>VLOOKUP(C6085,Магазины!A:C,3,0)</f>
        <v>Набережные Челны</v>
      </c>
      <c r="J6085">
        <f>VLOOKUP(D6085,Товары!A:I,4,0)</f>
        <v>26070</v>
      </c>
      <c r="K6085">
        <f t="shared" si="95"/>
        <v>78210</v>
      </c>
    </row>
    <row r="6086" spans="1:11" hidden="1" x14ac:dyDescent="0.25">
      <c r="A6086">
        <v>6085</v>
      </c>
      <c r="B6086" s="1">
        <v>45757</v>
      </c>
      <c r="C6086" t="s">
        <v>35</v>
      </c>
      <c r="D6086" t="s">
        <v>75</v>
      </c>
      <c r="E6086" t="s">
        <v>13</v>
      </c>
      <c r="F6086">
        <v>1</v>
      </c>
      <c r="G6086" t="str">
        <f>VLOOKUP(D6086,Товары!A:I,3,0)</f>
        <v>Тумба с раковиной  напол. Альба 600 суфле 2 ящика с умыв. Океан</v>
      </c>
      <c r="H6086">
        <f>VLOOKUP(D6086,Товары!A:I,6,0)</f>
        <v>80</v>
      </c>
      <c r="I6086" t="str">
        <f>VLOOKUP(C6086,Магазины!A:C,3,0)</f>
        <v>Набережные Челны</v>
      </c>
      <c r="J6086">
        <f>VLOOKUP(D6086,Товары!A:I,4,0)</f>
        <v>26370</v>
      </c>
      <c r="K6086">
        <f t="shared" si="95"/>
        <v>26370</v>
      </c>
    </row>
    <row r="6087" spans="1:11" hidden="1" x14ac:dyDescent="0.25">
      <c r="A6087">
        <v>6086</v>
      </c>
      <c r="B6087" s="1">
        <v>45753</v>
      </c>
      <c r="C6087" t="s">
        <v>57</v>
      </c>
      <c r="D6087" t="s">
        <v>120</v>
      </c>
      <c r="E6087" t="s">
        <v>13</v>
      </c>
      <c r="F6087">
        <v>2</v>
      </c>
      <c r="G6087" t="str">
        <f>VLOOKUP(D6087,Товары!A:I,3,0)</f>
        <v>Зеркальный шкаф Альба 60 со светильником правый цвет антрацит</v>
      </c>
      <c r="H6087">
        <f>VLOOKUP(D6087,Товары!A:I,6,0)</f>
        <v>75</v>
      </c>
      <c r="I6087" t="str">
        <f>VLOOKUP(C6087,Магазины!A:C,3,0)</f>
        <v>Оренбург</v>
      </c>
      <c r="J6087">
        <f>VLOOKUP(D6087,Товары!A:I,4,0)</f>
        <v>8910</v>
      </c>
      <c r="K6087">
        <f t="shared" si="95"/>
        <v>17820</v>
      </c>
    </row>
    <row r="6088" spans="1:11" hidden="1" x14ac:dyDescent="0.25">
      <c r="A6088">
        <v>6087</v>
      </c>
      <c r="B6088" s="1">
        <v>45756</v>
      </c>
      <c r="C6088" t="s">
        <v>6</v>
      </c>
      <c r="D6088" t="s">
        <v>93</v>
      </c>
      <c r="E6088" t="s">
        <v>13</v>
      </c>
      <c r="F6088">
        <v>3</v>
      </c>
      <c r="G6088" t="str">
        <f>VLOOKUP(D6088,Товары!A:I,3,0)</f>
        <v>Тумба с раковиной  напол. Леон Риф 800 солярис/белый риф 2 ящика с умыв. Слим</v>
      </c>
      <c r="H6088">
        <f>VLOOKUP(D6088,Товары!A:I,6,0)</f>
        <v>80</v>
      </c>
      <c r="I6088" t="str">
        <f>VLOOKUP(C6088,Магазины!A:C,3,0)</f>
        <v>Оренбург</v>
      </c>
      <c r="J6088">
        <f>VLOOKUP(D6088,Товары!A:I,4,0)</f>
        <v>29340</v>
      </c>
      <c r="K6088">
        <f t="shared" si="95"/>
        <v>88020</v>
      </c>
    </row>
    <row r="6089" spans="1:11" hidden="1" x14ac:dyDescent="0.25">
      <c r="A6089">
        <v>6088</v>
      </c>
      <c r="B6089" s="1">
        <v>45752</v>
      </c>
      <c r="C6089" t="s">
        <v>92</v>
      </c>
      <c r="D6089" t="s">
        <v>101</v>
      </c>
      <c r="E6089" t="s">
        <v>8</v>
      </c>
      <c r="F6089">
        <v>2</v>
      </c>
      <c r="G6089" t="str">
        <f>VLOOKUP(D6089,Товары!A:I,3,0)</f>
        <v>Пенал напол. Сохо 400 белый 2 двери + 1 ящик</v>
      </c>
      <c r="H6089">
        <f>VLOOKUP(D6089,Товары!A:I,6,0)</f>
        <v>190</v>
      </c>
      <c r="I6089" t="str">
        <f>VLOOKUP(C6089,Магазины!A:C,3,0)</f>
        <v>Кемерово</v>
      </c>
      <c r="J6089">
        <f>VLOOKUP(D6089,Товары!A:I,4,0)</f>
        <v>11040</v>
      </c>
      <c r="K6089">
        <f t="shared" si="95"/>
        <v>22080</v>
      </c>
    </row>
    <row r="6090" spans="1:11" hidden="1" x14ac:dyDescent="0.25">
      <c r="A6090">
        <v>6089</v>
      </c>
      <c r="B6090" s="1">
        <v>45756</v>
      </c>
      <c r="C6090" t="s">
        <v>20</v>
      </c>
      <c r="D6090" t="s">
        <v>21</v>
      </c>
      <c r="E6090" t="s">
        <v>8</v>
      </c>
      <c r="F6090">
        <v>1</v>
      </c>
      <c r="G6090" t="str">
        <f>VLOOKUP(D6090,Товары!A:I,3,0)</f>
        <v>Зеркальный шкаф Рица 60 со светильником правый цвет cерый/керамика</v>
      </c>
      <c r="H6090">
        <f>VLOOKUP(D6090,Товары!A:I,6,0)</f>
        <v>75</v>
      </c>
      <c r="I6090" t="str">
        <f>VLOOKUP(C6090,Магазины!A:C,3,0)</f>
        <v>Оренбург</v>
      </c>
      <c r="J6090">
        <f>VLOOKUP(D6090,Товары!A:I,4,0)</f>
        <v>8910</v>
      </c>
      <c r="K6090">
        <f t="shared" si="95"/>
        <v>8910</v>
      </c>
    </row>
    <row r="6091" spans="1:11" hidden="1" x14ac:dyDescent="0.25">
      <c r="A6091">
        <v>6090</v>
      </c>
      <c r="B6091" s="1">
        <v>45751</v>
      </c>
      <c r="C6091" t="s">
        <v>26</v>
      </c>
      <c r="D6091" t="s">
        <v>113</v>
      </c>
      <c r="E6091" t="s">
        <v>8</v>
      </c>
      <c r="F6091">
        <v>3</v>
      </c>
      <c r="G6091" t="str">
        <f>VLOOKUP(D6091,Товары!A:I,3,0)</f>
        <v>Зеркальный шкаф Альба 60 со светильником правый цвет мята</v>
      </c>
      <c r="H6091">
        <f>VLOOKUP(D6091,Товары!A:I,6,0)</f>
        <v>75</v>
      </c>
      <c r="I6091" t="str">
        <f>VLOOKUP(C6091,Магазины!A:C,3,0)</f>
        <v>Оренбург</v>
      </c>
      <c r="J6091">
        <f>VLOOKUP(D6091,Товары!A:I,4,0)</f>
        <v>8910</v>
      </c>
      <c r="K6091">
        <f t="shared" si="95"/>
        <v>26730</v>
      </c>
    </row>
    <row r="6092" spans="1:11" hidden="1" x14ac:dyDescent="0.25">
      <c r="A6092">
        <v>6091</v>
      </c>
      <c r="B6092" s="1">
        <v>45750</v>
      </c>
      <c r="C6092" t="s">
        <v>43</v>
      </c>
      <c r="D6092" t="s">
        <v>87</v>
      </c>
      <c r="E6092" t="s">
        <v>8</v>
      </c>
      <c r="F6092">
        <v>2</v>
      </c>
      <c r="G6092" t="str">
        <f>VLOOKUP(D6092,Товары!A:I,3,0)</f>
        <v>Тумба с раковиной  напол. Леон 700 форест 2 ящика с умыв. Слим</v>
      </c>
      <c r="H6092">
        <f>VLOOKUP(D6092,Товары!A:I,6,0)</f>
        <v>80</v>
      </c>
      <c r="I6092" t="str">
        <f>VLOOKUP(C6092,Магазины!A:C,3,0)</f>
        <v>Набережные Челны</v>
      </c>
      <c r="J6092">
        <f>VLOOKUP(D6092,Товары!A:I,4,0)</f>
        <v>28380</v>
      </c>
      <c r="K6092">
        <f t="shared" si="95"/>
        <v>56760</v>
      </c>
    </row>
    <row r="6093" spans="1:11" hidden="1" x14ac:dyDescent="0.25">
      <c r="A6093">
        <v>6092</v>
      </c>
      <c r="B6093" s="1">
        <v>45752</v>
      </c>
      <c r="C6093" t="s">
        <v>11</v>
      </c>
      <c r="D6093" t="s">
        <v>62</v>
      </c>
      <c r="E6093" t="s">
        <v>8</v>
      </c>
      <c r="F6093">
        <v>2</v>
      </c>
      <c r="G6093" t="str">
        <f>VLOOKUP(D6093,Товары!A:I,3,0)</f>
        <v>Тумба с раковиной  напол. Альба 600 мята 2 ящика с умыв. Океан</v>
      </c>
      <c r="H6093">
        <f>VLOOKUP(D6093,Товары!A:I,6,0)</f>
        <v>80</v>
      </c>
      <c r="I6093" t="str">
        <f>VLOOKUP(C6093,Магазины!A:C,3,0)</f>
        <v>Кемерово</v>
      </c>
      <c r="J6093">
        <f>VLOOKUP(D6093,Товары!A:I,4,0)</f>
        <v>26370</v>
      </c>
      <c r="K6093">
        <f t="shared" si="95"/>
        <v>52740</v>
      </c>
    </row>
    <row r="6094" spans="1:11" hidden="1" x14ac:dyDescent="0.25">
      <c r="A6094">
        <v>6093</v>
      </c>
      <c r="B6094" s="1">
        <v>45753</v>
      </c>
      <c r="C6094" t="s">
        <v>48</v>
      </c>
      <c r="D6094" t="s">
        <v>76</v>
      </c>
      <c r="E6094" t="s">
        <v>13</v>
      </c>
      <c r="F6094">
        <v>2</v>
      </c>
      <c r="G6094" t="str">
        <f>VLOOKUP(D6094,Товары!A:I,3,0)</f>
        <v>Тумба с раковиной  напол. Леон 600 оникс 2 ящика с умыв. Слим</v>
      </c>
      <c r="H6094">
        <f>VLOOKUP(D6094,Товары!A:I,6,0)</f>
        <v>80</v>
      </c>
      <c r="I6094" t="str">
        <f>VLOOKUP(C6094,Магазины!A:C,3,0)</f>
        <v>Ставрополь</v>
      </c>
      <c r="J6094">
        <f>VLOOKUP(D6094,Товары!A:I,4,0)</f>
        <v>25860</v>
      </c>
      <c r="K6094">
        <f t="shared" si="95"/>
        <v>51720</v>
      </c>
    </row>
    <row r="6095" spans="1:11" hidden="1" x14ac:dyDescent="0.25">
      <c r="A6095">
        <v>6094</v>
      </c>
      <c r="B6095" s="1">
        <v>45752</v>
      </c>
      <c r="C6095" t="s">
        <v>6</v>
      </c>
      <c r="D6095" t="s">
        <v>109</v>
      </c>
      <c r="E6095" t="s">
        <v>8</v>
      </c>
      <c r="F6095">
        <v>2</v>
      </c>
      <c r="G6095" t="str">
        <f>VLOOKUP(D6095,Товары!A:I,3,0)</f>
        <v>Тумба с раковиной  навес. Альба 600 антрацит 2 ящика с умыв. Океан</v>
      </c>
      <c r="H6095">
        <f>VLOOKUP(D6095,Товары!A:I,6,0)</f>
        <v>50</v>
      </c>
      <c r="I6095" t="str">
        <f>VLOOKUP(C6095,Магазины!A:C,3,0)</f>
        <v>Оренбург</v>
      </c>
      <c r="J6095">
        <f>VLOOKUP(D6095,Товары!A:I,4,0)</f>
        <v>24810</v>
      </c>
      <c r="K6095">
        <f t="shared" si="95"/>
        <v>49620</v>
      </c>
    </row>
    <row r="6096" spans="1:11" hidden="1" x14ac:dyDescent="0.25">
      <c r="A6096">
        <v>6095</v>
      </c>
      <c r="B6096" s="1">
        <v>45757</v>
      </c>
      <c r="C6096" t="s">
        <v>6</v>
      </c>
      <c r="D6096" t="s">
        <v>64</v>
      </c>
      <c r="E6096" t="s">
        <v>8</v>
      </c>
      <c r="F6096">
        <v>2</v>
      </c>
      <c r="G6096" t="str">
        <f>VLOOKUP(D6096,Товары!A:I,3,0)</f>
        <v>Тумба с раковиной  напол. Рица 800 антрацит 2 ящика с умыв. Слим</v>
      </c>
      <c r="H6096">
        <f>VLOOKUP(D6096,Товары!A:I,6,0)</f>
        <v>80</v>
      </c>
      <c r="I6096" t="str">
        <f>VLOOKUP(C6096,Магазины!A:C,3,0)</f>
        <v>Оренбург</v>
      </c>
      <c r="J6096">
        <f>VLOOKUP(D6096,Товары!A:I,4,0)</f>
        <v>28980</v>
      </c>
      <c r="K6096">
        <f t="shared" si="95"/>
        <v>57960</v>
      </c>
    </row>
    <row r="6097" spans="1:11" hidden="1" x14ac:dyDescent="0.25">
      <c r="A6097">
        <v>6096</v>
      </c>
      <c r="B6097" s="1">
        <v>45756</v>
      </c>
      <c r="C6097" t="s">
        <v>22</v>
      </c>
      <c r="D6097" t="s">
        <v>86</v>
      </c>
      <c r="E6097" t="s">
        <v>13</v>
      </c>
      <c r="F6097">
        <v>3</v>
      </c>
      <c r="G6097" t="str">
        <f>VLOOKUP(D6097,Товары!A:I,3,0)</f>
        <v>Комод Аква 50 напольный 1 ящик 2 двери белый</v>
      </c>
      <c r="H6097">
        <f>VLOOKUP(D6097,Товары!A:I,6,0)</f>
        <v>90</v>
      </c>
      <c r="I6097" t="str">
        <f>VLOOKUP(C6097,Магазины!A:C,3,0)</f>
        <v>Кемерово</v>
      </c>
      <c r="J6097">
        <f>VLOOKUP(D6097,Товары!A:I,4,0)</f>
        <v>7260</v>
      </c>
      <c r="K6097">
        <f t="shared" si="95"/>
        <v>21780</v>
      </c>
    </row>
    <row r="6098" spans="1:11" hidden="1" x14ac:dyDescent="0.25">
      <c r="A6098">
        <v>6097</v>
      </c>
      <c r="B6098" s="1">
        <v>45751</v>
      </c>
      <c r="C6098" t="s">
        <v>30</v>
      </c>
      <c r="D6098" t="s">
        <v>110</v>
      </c>
      <c r="E6098" t="s">
        <v>13</v>
      </c>
      <c r="F6098">
        <v>2</v>
      </c>
      <c r="G6098" t="str">
        <f>VLOOKUP(D6098,Товары!A:I,3,0)</f>
        <v>Тумба с раковиной  напол. Альба 600 антрацит 2 ящика с умыв. Океан</v>
      </c>
      <c r="H6098">
        <f>VLOOKUP(D6098,Товары!A:I,6,0)</f>
        <v>80</v>
      </c>
      <c r="I6098" t="str">
        <f>VLOOKUP(C6098,Магазины!A:C,3,0)</f>
        <v>Кемерово</v>
      </c>
      <c r="J6098">
        <f>VLOOKUP(D6098,Товары!A:I,4,0)</f>
        <v>26370</v>
      </c>
      <c r="K6098">
        <f t="shared" si="95"/>
        <v>52740</v>
      </c>
    </row>
    <row r="6099" spans="1:11" hidden="1" x14ac:dyDescent="0.25">
      <c r="A6099">
        <v>6098</v>
      </c>
      <c r="B6099" s="1">
        <v>45751</v>
      </c>
      <c r="C6099" t="s">
        <v>33</v>
      </c>
      <c r="D6099" t="s">
        <v>72</v>
      </c>
      <c r="E6099" t="s">
        <v>8</v>
      </c>
      <c r="F6099">
        <v>3</v>
      </c>
      <c r="G6099" t="str">
        <f>VLOOKUP(D6099,Товары!A:I,3,0)</f>
        <v>Тумба с раковиной  напол. Сохо 600 белый 2 ящика с умыв. Океан</v>
      </c>
      <c r="H6099">
        <f>VLOOKUP(D6099,Товары!A:I,6,0)</f>
        <v>85</v>
      </c>
      <c r="I6099" t="str">
        <f>VLOOKUP(C6099,Магазины!A:C,3,0)</f>
        <v>Набережные Челны</v>
      </c>
      <c r="J6099">
        <f>VLOOKUP(D6099,Товары!A:I,4,0)</f>
        <v>16140</v>
      </c>
      <c r="K6099">
        <f t="shared" si="95"/>
        <v>48420</v>
      </c>
    </row>
    <row r="6100" spans="1:11" hidden="1" x14ac:dyDescent="0.25">
      <c r="A6100">
        <v>6099</v>
      </c>
      <c r="B6100" s="1">
        <v>45750</v>
      </c>
      <c r="C6100" t="s">
        <v>22</v>
      </c>
      <c r="D6100" t="s">
        <v>112</v>
      </c>
      <c r="E6100" t="s">
        <v>8</v>
      </c>
      <c r="F6100">
        <v>2</v>
      </c>
      <c r="G6100" t="str">
        <f>VLOOKUP(D6100,Товары!A:I,3,0)</f>
        <v>Тумба с раковиной  напол. Аква 560 белый 2 двери с умыв. Уют</v>
      </c>
      <c r="H6100">
        <f>VLOOKUP(D6100,Товары!A:I,6,0)</f>
        <v>85</v>
      </c>
      <c r="I6100" t="str">
        <f>VLOOKUP(C6100,Магазины!A:C,3,0)</f>
        <v>Кемерово</v>
      </c>
      <c r="J6100">
        <f>VLOOKUP(D6100,Товары!A:I,4,0)</f>
        <v>9330</v>
      </c>
      <c r="K6100">
        <f t="shared" si="95"/>
        <v>18660</v>
      </c>
    </row>
    <row r="6101" spans="1:11" hidden="1" x14ac:dyDescent="0.25">
      <c r="A6101">
        <v>6100</v>
      </c>
      <c r="B6101" s="1">
        <v>45751</v>
      </c>
      <c r="C6101" t="s">
        <v>35</v>
      </c>
      <c r="D6101" t="s">
        <v>120</v>
      </c>
      <c r="E6101" t="s">
        <v>8</v>
      </c>
      <c r="F6101">
        <v>2</v>
      </c>
      <c r="G6101" t="str">
        <f>VLOOKUP(D6101,Товары!A:I,3,0)</f>
        <v>Зеркальный шкаф Альба 60 со светильником правый цвет антрацит</v>
      </c>
      <c r="H6101">
        <f>VLOOKUP(D6101,Товары!A:I,6,0)</f>
        <v>75</v>
      </c>
      <c r="I6101" t="str">
        <f>VLOOKUP(C6101,Магазины!A:C,3,0)</f>
        <v>Набережные Челны</v>
      </c>
      <c r="J6101">
        <f>VLOOKUP(D6101,Товары!A:I,4,0)</f>
        <v>8910</v>
      </c>
      <c r="K6101">
        <f t="shared" si="95"/>
        <v>17820</v>
      </c>
    </row>
    <row r="6102" spans="1:11" hidden="1" x14ac:dyDescent="0.25">
      <c r="A6102">
        <v>6101</v>
      </c>
      <c r="B6102" s="1">
        <v>45752</v>
      </c>
      <c r="C6102" t="s">
        <v>28</v>
      </c>
      <c r="D6102" t="s">
        <v>37</v>
      </c>
      <c r="E6102" t="s">
        <v>13</v>
      </c>
      <c r="F6102">
        <v>3</v>
      </c>
      <c r="G6102" t="str">
        <f>VLOOKUP(D6102,Товары!A:I,3,0)</f>
        <v>Зеркальный шкаф Сохо 70 белый со светильником правый цвет Белый глянец</v>
      </c>
      <c r="H6102">
        <f>VLOOKUP(D6102,Товары!A:I,6,0)</f>
        <v>75</v>
      </c>
      <c r="I6102" t="str">
        <f>VLOOKUP(C6102,Магазины!A:C,3,0)</f>
        <v>Набережные Челны</v>
      </c>
      <c r="J6102">
        <f>VLOOKUP(D6102,Товары!A:I,4,0)</f>
        <v>7935</v>
      </c>
      <c r="K6102">
        <f t="shared" si="95"/>
        <v>23805</v>
      </c>
    </row>
    <row r="6103" spans="1:11" hidden="1" x14ac:dyDescent="0.25">
      <c r="A6103">
        <v>6102</v>
      </c>
      <c r="B6103" s="1">
        <v>45749</v>
      </c>
      <c r="C6103" t="s">
        <v>41</v>
      </c>
      <c r="D6103" t="s">
        <v>74</v>
      </c>
      <c r="E6103" t="s">
        <v>13</v>
      </c>
      <c r="F6103">
        <v>1</v>
      </c>
      <c r="G6103" t="str">
        <f>VLOOKUP(D6103,Товары!A:I,3,0)</f>
        <v>Тумба с раковиной  напол. Альба 800 суфле 2 ящика с умыв. Слим</v>
      </c>
      <c r="H6103">
        <f>VLOOKUP(D6103,Товары!A:I,6,0)</f>
        <v>80</v>
      </c>
      <c r="I6103" t="str">
        <f>VLOOKUP(C6103,Магазины!A:C,3,0)</f>
        <v>Ставрополь</v>
      </c>
      <c r="J6103">
        <f>VLOOKUP(D6103,Товары!A:I,4,0)</f>
        <v>29340</v>
      </c>
      <c r="K6103">
        <f t="shared" si="95"/>
        <v>29340</v>
      </c>
    </row>
    <row r="6104" spans="1:11" hidden="1" x14ac:dyDescent="0.25">
      <c r="A6104">
        <v>6103</v>
      </c>
      <c r="B6104" s="1">
        <v>45756</v>
      </c>
      <c r="C6104" t="s">
        <v>9</v>
      </c>
      <c r="D6104" t="s">
        <v>44</v>
      </c>
      <c r="E6104" t="s">
        <v>8</v>
      </c>
      <c r="F6104">
        <v>3</v>
      </c>
      <c r="G6104" t="str">
        <f>VLOOKUP(D6104,Товары!A:I,3,0)</f>
        <v>Тумба с раковиной  навес. Кристалл 800 шато азур 2 ящика с умыв. Комфорт</v>
      </c>
      <c r="H6104">
        <f>VLOOKUP(D6104,Товары!A:I,6,0)</f>
        <v>55</v>
      </c>
      <c r="I6104" t="str">
        <f>VLOOKUP(C6104,Магазины!A:C,3,0)</f>
        <v>Кемерово</v>
      </c>
      <c r="J6104">
        <f>VLOOKUP(D6104,Товары!A:I,4,0)</f>
        <v>25080</v>
      </c>
      <c r="K6104">
        <f t="shared" si="95"/>
        <v>75240</v>
      </c>
    </row>
    <row r="6105" spans="1:11" hidden="1" x14ac:dyDescent="0.25">
      <c r="A6105">
        <v>6104</v>
      </c>
      <c r="B6105" s="1">
        <v>45753</v>
      </c>
      <c r="C6105" t="s">
        <v>63</v>
      </c>
      <c r="D6105" t="s">
        <v>80</v>
      </c>
      <c r="E6105" t="s">
        <v>8</v>
      </c>
      <c r="F6105">
        <v>2</v>
      </c>
      <c r="G6105" t="str">
        <f>VLOOKUP(D6105,Товары!A:I,3,0)</f>
        <v>Тумба с раковиной  навес. Сохо 600 белый 2 ящика с умыв. Океан</v>
      </c>
      <c r="H6105">
        <f>VLOOKUP(D6105,Товары!A:I,6,0)</f>
        <v>55</v>
      </c>
      <c r="I6105" t="str">
        <f>VLOOKUP(C6105,Магазины!A:C,3,0)</f>
        <v>Ставрополь</v>
      </c>
      <c r="J6105">
        <f>VLOOKUP(D6105,Товары!A:I,4,0)</f>
        <v>13950</v>
      </c>
      <c r="K6105">
        <f t="shared" si="95"/>
        <v>27900</v>
      </c>
    </row>
    <row r="6106" spans="1:11" hidden="1" x14ac:dyDescent="0.25">
      <c r="A6106">
        <v>6105</v>
      </c>
      <c r="B6106" s="1">
        <v>45752</v>
      </c>
      <c r="C6106" t="s">
        <v>58</v>
      </c>
      <c r="D6106" t="s">
        <v>24</v>
      </c>
      <c r="E6106" t="s">
        <v>13</v>
      </c>
      <c r="F6106">
        <v>3</v>
      </c>
      <c r="G6106" t="str">
        <f>VLOOKUP(D6106,Товары!A:I,3,0)</f>
        <v>Тумба с раковиной  напол. Леон 600 форест 2 ящика с умыв. Слим</v>
      </c>
      <c r="H6106">
        <f>VLOOKUP(D6106,Товары!A:I,6,0)</f>
        <v>80</v>
      </c>
      <c r="I6106" t="str">
        <f>VLOOKUP(C6106,Магазины!A:C,3,0)</f>
        <v>Ставрополь</v>
      </c>
      <c r="J6106">
        <f>VLOOKUP(D6106,Товары!A:I,4,0)</f>
        <v>27150</v>
      </c>
      <c r="K6106">
        <f t="shared" si="95"/>
        <v>81450</v>
      </c>
    </row>
    <row r="6107" spans="1:11" hidden="1" x14ac:dyDescent="0.25">
      <c r="A6107">
        <v>6106</v>
      </c>
      <c r="B6107" s="1">
        <v>45756</v>
      </c>
      <c r="C6107" t="s">
        <v>16</v>
      </c>
      <c r="D6107" t="s">
        <v>122</v>
      </c>
      <c r="E6107" t="s">
        <v>13</v>
      </c>
      <c r="F6107">
        <v>1</v>
      </c>
      <c r="G6107" t="str">
        <f>VLOOKUP(D6107,Товары!A:I,3,0)</f>
        <v>Тумба с раковиной  навес. Кристалл 600 шато азур 2 ящика с умыв. Океан</v>
      </c>
      <c r="H6107">
        <f>VLOOKUP(D6107,Товары!A:I,6,0)</f>
        <v>55</v>
      </c>
      <c r="I6107" t="str">
        <f>VLOOKUP(C6107,Магазины!A:C,3,0)</f>
        <v>Оренбург</v>
      </c>
      <c r="J6107">
        <f>VLOOKUP(D6107,Товары!A:I,4,0)</f>
        <v>21960</v>
      </c>
      <c r="K6107">
        <f t="shared" si="95"/>
        <v>21960</v>
      </c>
    </row>
    <row r="6108" spans="1:11" hidden="1" x14ac:dyDescent="0.25">
      <c r="A6108">
        <v>6107</v>
      </c>
      <c r="B6108" s="1">
        <v>45752</v>
      </c>
      <c r="C6108" t="s">
        <v>28</v>
      </c>
      <c r="D6108" t="s">
        <v>38</v>
      </c>
      <c r="E6108" t="s">
        <v>13</v>
      </c>
      <c r="F6108">
        <v>3</v>
      </c>
      <c r="G6108" t="str">
        <f>VLOOKUP(D6108,Товары!A:I,3,0)</f>
        <v>Тумба с раковиной  навес. Куба Риф 600 белый 2 ящика с умыв. Como</v>
      </c>
      <c r="H6108">
        <f>VLOOKUP(D6108,Товары!A:I,6,0)</f>
        <v>55</v>
      </c>
      <c r="I6108" t="str">
        <f>VLOOKUP(C6108,Магазины!A:C,3,0)</f>
        <v>Набережные Челны</v>
      </c>
      <c r="J6108">
        <f>VLOOKUP(D6108,Товары!A:I,4,0)</f>
        <v>14265</v>
      </c>
      <c r="K6108">
        <f t="shared" si="95"/>
        <v>42795</v>
      </c>
    </row>
    <row r="6109" spans="1:11" hidden="1" x14ac:dyDescent="0.25">
      <c r="A6109">
        <v>6108</v>
      </c>
      <c r="B6109" s="1">
        <v>45750</v>
      </c>
      <c r="C6109" t="s">
        <v>35</v>
      </c>
      <c r="D6109" t="s">
        <v>66</v>
      </c>
      <c r="E6109" t="s">
        <v>13</v>
      </c>
      <c r="F6109">
        <v>1</v>
      </c>
      <c r="G6109" t="str">
        <f>VLOOKUP(D6109,Товары!A:I,3,0)</f>
        <v>Тумба с раковиной  навес. Альба 800 мята 2 ящика с умыв. Слим</v>
      </c>
      <c r="H6109">
        <f>VLOOKUP(D6109,Товары!A:I,6,0)</f>
        <v>50</v>
      </c>
      <c r="I6109" t="str">
        <f>VLOOKUP(C6109,Магазины!A:C,3,0)</f>
        <v>Набережные Челны</v>
      </c>
      <c r="J6109">
        <f>VLOOKUP(D6109,Товары!A:I,4,0)</f>
        <v>26070</v>
      </c>
      <c r="K6109">
        <f t="shared" si="95"/>
        <v>26070</v>
      </c>
    </row>
    <row r="6110" spans="1:11" hidden="1" x14ac:dyDescent="0.25">
      <c r="A6110">
        <v>6109</v>
      </c>
      <c r="B6110" s="1">
        <v>45754</v>
      </c>
      <c r="C6110" t="s">
        <v>41</v>
      </c>
      <c r="D6110" t="s">
        <v>36</v>
      </c>
      <c r="E6110" t="s">
        <v>8</v>
      </c>
      <c r="F6110">
        <v>3</v>
      </c>
      <c r="G6110" t="str">
        <f>VLOOKUP(D6110,Товары!A:I,3,0)</f>
        <v>Тумба с раковиной  напол. Альба 800 мята 2 ящика с умыв. Слим</v>
      </c>
      <c r="H6110">
        <f>VLOOKUP(D6110,Товары!A:I,6,0)</f>
        <v>80</v>
      </c>
      <c r="I6110" t="str">
        <f>VLOOKUP(C6110,Магазины!A:C,3,0)</f>
        <v>Ставрополь</v>
      </c>
      <c r="J6110">
        <f>VLOOKUP(D6110,Товары!A:I,4,0)</f>
        <v>29340</v>
      </c>
      <c r="K6110">
        <f t="shared" si="95"/>
        <v>88020</v>
      </c>
    </row>
    <row r="6111" spans="1:11" hidden="1" x14ac:dyDescent="0.25">
      <c r="A6111">
        <v>6110</v>
      </c>
      <c r="B6111" s="1">
        <v>45753</v>
      </c>
      <c r="C6111" t="s">
        <v>41</v>
      </c>
      <c r="D6111" t="s">
        <v>98</v>
      </c>
      <c r="E6111" t="s">
        <v>8</v>
      </c>
      <c r="F6111">
        <v>1</v>
      </c>
      <c r="G6111" t="str">
        <f>VLOOKUP(D6111,Товары!A:I,3,0)</f>
        <v>Тумба с раковиной  напол. Рица 800 cерый/керамика 2 ящика с умыв. Слим</v>
      </c>
      <c r="H6111">
        <f>VLOOKUP(D6111,Товары!A:I,6,0)</f>
        <v>80</v>
      </c>
      <c r="I6111" t="str">
        <f>VLOOKUP(C6111,Магазины!A:C,3,0)</f>
        <v>Ставрополь</v>
      </c>
      <c r="J6111">
        <f>VLOOKUP(D6111,Товары!A:I,4,0)</f>
        <v>28980</v>
      </c>
      <c r="K6111">
        <f t="shared" si="95"/>
        <v>28980</v>
      </c>
    </row>
    <row r="6112" spans="1:11" hidden="1" x14ac:dyDescent="0.25">
      <c r="A6112">
        <v>6111</v>
      </c>
      <c r="B6112" s="1">
        <v>45752</v>
      </c>
      <c r="C6112" t="s">
        <v>92</v>
      </c>
      <c r="D6112" t="s">
        <v>124</v>
      </c>
      <c r="E6112" t="s">
        <v>8</v>
      </c>
      <c r="F6112">
        <v>3</v>
      </c>
      <c r="G6112" t="str">
        <f>VLOOKUP(D6112,Товары!A:I,3,0)</f>
        <v>Тумба с раковиной  напол. Леон 600 оникс 2 ящика с умыв. Океан</v>
      </c>
      <c r="H6112">
        <f>VLOOKUP(D6112,Товары!A:I,6,0)</f>
        <v>80</v>
      </c>
      <c r="I6112" t="str">
        <f>VLOOKUP(C6112,Магазины!A:C,3,0)</f>
        <v>Кемерово</v>
      </c>
      <c r="J6112">
        <f>VLOOKUP(D6112,Товары!A:I,4,0)</f>
        <v>25860</v>
      </c>
      <c r="K6112">
        <f t="shared" si="95"/>
        <v>77580</v>
      </c>
    </row>
    <row r="6113" spans="1:11" hidden="1" x14ac:dyDescent="0.25">
      <c r="A6113">
        <v>6112</v>
      </c>
      <c r="B6113" s="1">
        <v>45755</v>
      </c>
      <c r="C6113" t="s">
        <v>48</v>
      </c>
      <c r="D6113" t="s">
        <v>38</v>
      </c>
      <c r="E6113" t="s">
        <v>8</v>
      </c>
      <c r="F6113">
        <v>2</v>
      </c>
      <c r="G6113" t="str">
        <f>VLOOKUP(D6113,Товары!A:I,3,0)</f>
        <v>Тумба с раковиной  навес. Куба Риф 600 белый 2 ящика с умыв. Como</v>
      </c>
      <c r="H6113">
        <f>VLOOKUP(D6113,Товары!A:I,6,0)</f>
        <v>55</v>
      </c>
      <c r="I6113" t="str">
        <f>VLOOKUP(C6113,Магазины!A:C,3,0)</f>
        <v>Ставрополь</v>
      </c>
      <c r="J6113">
        <f>VLOOKUP(D6113,Товары!A:I,4,0)</f>
        <v>14265</v>
      </c>
      <c r="K6113">
        <f t="shared" si="95"/>
        <v>28530</v>
      </c>
    </row>
    <row r="6114" spans="1:11" hidden="1" x14ac:dyDescent="0.25">
      <c r="A6114">
        <v>6113</v>
      </c>
      <c r="B6114" s="1">
        <v>45750</v>
      </c>
      <c r="C6114" t="s">
        <v>58</v>
      </c>
      <c r="D6114" t="s">
        <v>78</v>
      </c>
      <c r="E6114" t="s">
        <v>13</v>
      </c>
      <c r="F6114">
        <v>3</v>
      </c>
      <c r="G6114" t="str">
        <f>VLOOKUP(D6114,Товары!A:I,3,0)</f>
        <v>Зеркальный шкаф Кристалл 70 со светильником правый, ручка кнопка дуб цвет Шато Азур</v>
      </c>
      <c r="H6114">
        <f>VLOOKUP(D6114,Товары!A:I,6,0)</f>
        <v>75</v>
      </c>
      <c r="I6114" t="str">
        <f>VLOOKUP(C6114,Магазины!A:C,3,0)</f>
        <v>Ставрополь</v>
      </c>
      <c r="J6114">
        <f>VLOOKUP(D6114,Товары!A:I,4,0)</f>
        <v>9615</v>
      </c>
      <c r="K6114">
        <f t="shared" si="95"/>
        <v>28845</v>
      </c>
    </row>
    <row r="6115" spans="1:11" hidden="1" x14ac:dyDescent="0.25">
      <c r="A6115">
        <v>6114</v>
      </c>
      <c r="B6115" s="1">
        <v>45752</v>
      </c>
      <c r="C6115" t="s">
        <v>33</v>
      </c>
      <c r="D6115" t="s">
        <v>71</v>
      </c>
      <c r="E6115" t="s">
        <v>13</v>
      </c>
      <c r="F6115">
        <v>1</v>
      </c>
      <c r="G6115" t="str">
        <f>VLOOKUP(D6115,Товары!A:I,3,0)</f>
        <v>Тумба с раковиной  навес. Альба 600 мята 2 ящика с умыв. Океан</v>
      </c>
      <c r="H6115">
        <f>VLOOKUP(D6115,Товары!A:I,6,0)</f>
        <v>50</v>
      </c>
      <c r="I6115" t="str">
        <f>VLOOKUP(C6115,Магазины!A:C,3,0)</f>
        <v>Набережные Челны</v>
      </c>
      <c r="J6115">
        <f>VLOOKUP(D6115,Товары!A:I,4,0)</f>
        <v>24810</v>
      </c>
      <c r="K6115">
        <f t="shared" si="95"/>
        <v>24810</v>
      </c>
    </row>
    <row r="6116" spans="1:11" hidden="1" x14ac:dyDescent="0.25">
      <c r="A6116">
        <v>6115</v>
      </c>
      <c r="B6116" s="1">
        <v>45749</v>
      </c>
      <c r="C6116" t="s">
        <v>57</v>
      </c>
      <c r="D6116" t="s">
        <v>112</v>
      </c>
      <c r="E6116" t="s">
        <v>13</v>
      </c>
      <c r="F6116">
        <v>3</v>
      </c>
      <c r="G6116" t="str">
        <f>VLOOKUP(D6116,Товары!A:I,3,0)</f>
        <v>Тумба с раковиной  напол. Аква 560 белый 2 двери с умыв. Уют</v>
      </c>
      <c r="H6116">
        <f>VLOOKUP(D6116,Товары!A:I,6,0)</f>
        <v>85</v>
      </c>
      <c r="I6116" t="str">
        <f>VLOOKUP(C6116,Магазины!A:C,3,0)</f>
        <v>Оренбург</v>
      </c>
      <c r="J6116">
        <f>VLOOKUP(D6116,Товары!A:I,4,0)</f>
        <v>9330</v>
      </c>
      <c r="K6116">
        <f t="shared" si="95"/>
        <v>27990</v>
      </c>
    </row>
    <row r="6117" spans="1:11" hidden="1" x14ac:dyDescent="0.25">
      <c r="A6117">
        <v>6116</v>
      </c>
      <c r="B6117" s="1">
        <v>45750</v>
      </c>
      <c r="C6117" t="s">
        <v>28</v>
      </c>
      <c r="D6117" t="s">
        <v>40</v>
      </c>
      <c r="E6117" t="s">
        <v>8</v>
      </c>
      <c r="F6117">
        <v>1</v>
      </c>
      <c r="G6117" t="str">
        <f>VLOOKUP(D6117,Товары!A:I,3,0)</f>
        <v>Тумба с раковиной  навес. Рица 800 cерый/керамика 1 ящик + ниша 1 с умыв. Слим</v>
      </c>
      <c r="H6117">
        <f>VLOOKUP(D6117,Товары!A:I,6,0)</f>
        <v>60</v>
      </c>
      <c r="I6117" t="str">
        <f>VLOOKUP(C6117,Магазины!A:C,3,0)</f>
        <v>Набережные Челны</v>
      </c>
      <c r="J6117">
        <f>VLOOKUP(D6117,Товары!A:I,4,0)</f>
        <v>22425</v>
      </c>
      <c r="K6117">
        <f t="shared" si="95"/>
        <v>22425</v>
      </c>
    </row>
    <row r="6118" spans="1:11" hidden="1" x14ac:dyDescent="0.25">
      <c r="A6118">
        <v>6117</v>
      </c>
      <c r="B6118" s="1">
        <v>45752</v>
      </c>
      <c r="C6118" t="s">
        <v>18</v>
      </c>
      <c r="D6118" t="s">
        <v>107</v>
      </c>
      <c r="E6118" t="s">
        <v>8</v>
      </c>
      <c r="F6118">
        <v>2</v>
      </c>
      <c r="G6118" t="str">
        <f>VLOOKUP(D6118,Товары!A:I,3,0)</f>
        <v>Комод Аква 35 напольный 1 дверь белый правый</v>
      </c>
      <c r="H6118">
        <f>VLOOKUP(D6118,Товары!A:I,6,0)</f>
        <v>90</v>
      </c>
      <c r="I6118" t="str">
        <f>VLOOKUP(C6118,Магазины!A:C,3,0)</f>
        <v>Набережные Челны</v>
      </c>
      <c r="J6118">
        <f>VLOOKUP(D6118,Товары!A:I,4,0)</f>
        <v>6705</v>
      </c>
      <c r="K6118">
        <f t="shared" si="95"/>
        <v>13410</v>
      </c>
    </row>
    <row r="6119" spans="1:11" hidden="1" x14ac:dyDescent="0.25">
      <c r="A6119">
        <v>6118</v>
      </c>
      <c r="B6119" s="1">
        <v>45751</v>
      </c>
      <c r="C6119" t="s">
        <v>18</v>
      </c>
      <c r="D6119" t="s">
        <v>108</v>
      </c>
      <c r="E6119" t="s">
        <v>8</v>
      </c>
      <c r="F6119">
        <v>1</v>
      </c>
      <c r="G6119" t="str">
        <f>VLOOKUP(D6119,Товары!A:I,3,0)</f>
        <v>Тумба с раковиной  навес. Виктория 1000 белый 2 ящика с умыв. Слим</v>
      </c>
      <c r="H6119">
        <f>VLOOKUP(D6119,Товары!A:I,6,0)</f>
        <v>60</v>
      </c>
      <c r="I6119" t="str">
        <f>VLOOKUP(C6119,Магазины!A:C,3,0)</f>
        <v>Набережные Челны</v>
      </c>
      <c r="J6119">
        <f>VLOOKUP(D6119,Товары!A:I,4,0)</f>
        <v>29205</v>
      </c>
      <c r="K6119">
        <f t="shared" si="95"/>
        <v>29205</v>
      </c>
    </row>
    <row r="6120" spans="1:11" hidden="1" x14ac:dyDescent="0.25">
      <c r="A6120">
        <v>6119</v>
      </c>
      <c r="B6120" s="1">
        <v>45750</v>
      </c>
      <c r="C6120" t="s">
        <v>6</v>
      </c>
      <c r="D6120" t="s">
        <v>83</v>
      </c>
      <c r="E6120" t="s">
        <v>8</v>
      </c>
      <c r="F6120">
        <v>2</v>
      </c>
      <c r="G6120" t="str">
        <f>VLOOKUP(D6120,Товары!A:I,3,0)</f>
        <v>Зеркальный шкаф Альба 60 со светильником правый цвет суфле</v>
      </c>
      <c r="H6120">
        <f>VLOOKUP(D6120,Товары!A:I,6,0)</f>
        <v>75</v>
      </c>
      <c r="I6120" t="str">
        <f>VLOOKUP(C6120,Магазины!A:C,3,0)</f>
        <v>Оренбург</v>
      </c>
      <c r="J6120">
        <f>VLOOKUP(D6120,Товары!A:I,4,0)</f>
        <v>8910</v>
      </c>
      <c r="K6120">
        <f t="shared" si="95"/>
        <v>17820</v>
      </c>
    </row>
    <row r="6121" spans="1:11" hidden="1" x14ac:dyDescent="0.25">
      <c r="A6121">
        <v>6120</v>
      </c>
      <c r="B6121" s="1">
        <v>45754</v>
      </c>
      <c r="C6121" t="s">
        <v>103</v>
      </c>
      <c r="D6121" t="s">
        <v>66</v>
      </c>
      <c r="E6121" t="s">
        <v>8</v>
      </c>
      <c r="F6121">
        <v>2</v>
      </c>
      <c r="G6121" t="str">
        <f>VLOOKUP(D6121,Товары!A:I,3,0)</f>
        <v>Тумба с раковиной  навес. Альба 800 мята 2 ящика с умыв. Слим</v>
      </c>
      <c r="H6121">
        <f>VLOOKUP(D6121,Товары!A:I,6,0)</f>
        <v>50</v>
      </c>
      <c r="I6121" t="str">
        <f>VLOOKUP(C6121,Магазины!A:C,3,0)</f>
        <v>Ставрополь</v>
      </c>
      <c r="J6121">
        <f>VLOOKUP(D6121,Товары!A:I,4,0)</f>
        <v>26070</v>
      </c>
      <c r="K6121">
        <f t="shared" si="95"/>
        <v>52140</v>
      </c>
    </row>
    <row r="6122" spans="1:11" hidden="1" x14ac:dyDescent="0.25">
      <c r="A6122">
        <v>6121</v>
      </c>
      <c r="B6122" s="1">
        <v>45756</v>
      </c>
      <c r="C6122" t="s">
        <v>6</v>
      </c>
      <c r="D6122" t="s">
        <v>130</v>
      </c>
      <c r="E6122" t="s">
        <v>8</v>
      </c>
      <c r="F6122">
        <v>2</v>
      </c>
      <c r="G6122" t="str">
        <f>VLOOKUP(D6122,Товары!A:I,3,0)</f>
        <v>Пенал напол. Леон 400 форест 2 двери + 1 ящик</v>
      </c>
      <c r="H6122">
        <f>VLOOKUP(D6122,Товары!A:I,6,0)</f>
        <v>190</v>
      </c>
      <c r="I6122" t="str">
        <f>VLOOKUP(C6122,Магазины!A:C,3,0)</f>
        <v>Оренбург</v>
      </c>
      <c r="J6122">
        <f>VLOOKUP(D6122,Товары!A:I,4,0)</f>
        <v>18450</v>
      </c>
      <c r="K6122">
        <f t="shared" si="95"/>
        <v>36900</v>
      </c>
    </row>
    <row r="6123" spans="1:11" hidden="1" x14ac:dyDescent="0.25">
      <c r="A6123">
        <v>6122</v>
      </c>
      <c r="B6123" s="1">
        <v>45753</v>
      </c>
      <c r="C6123" t="s">
        <v>28</v>
      </c>
      <c r="D6123" t="s">
        <v>51</v>
      </c>
      <c r="E6123" t="s">
        <v>13</v>
      </c>
      <c r="F6123">
        <v>1</v>
      </c>
      <c r="G6123" t="str">
        <f>VLOOKUP(D6123,Товары!A:I,3,0)</f>
        <v>Зеркальный шкаф Альба 80 со светильником правый цвет суфле</v>
      </c>
      <c r="H6123">
        <f>VLOOKUP(D6123,Товары!A:I,6,0)</f>
        <v>75</v>
      </c>
      <c r="I6123" t="str">
        <f>VLOOKUP(C6123,Магазины!A:C,3,0)</f>
        <v>Набережные Челны</v>
      </c>
      <c r="J6123">
        <f>VLOOKUP(D6123,Товары!A:I,4,0)</f>
        <v>9930</v>
      </c>
      <c r="K6123">
        <f t="shared" si="95"/>
        <v>9930</v>
      </c>
    </row>
    <row r="6124" spans="1:11" hidden="1" x14ac:dyDescent="0.25">
      <c r="A6124">
        <v>6123</v>
      </c>
      <c r="B6124" s="1">
        <v>45755</v>
      </c>
      <c r="C6124" t="s">
        <v>41</v>
      </c>
      <c r="D6124" t="s">
        <v>32</v>
      </c>
      <c r="E6124" t="s">
        <v>13</v>
      </c>
      <c r="F6124">
        <v>2</v>
      </c>
      <c r="G6124" t="str">
        <f>VLOOKUP(D6124,Товары!A:I,3,0)</f>
        <v>Тумба с раковиной  напол. Леон Риф 700 солярис/белый риф 2 ящика с умыв. Слим</v>
      </c>
      <c r="H6124">
        <f>VLOOKUP(D6124,Товары!A:I,6,0)</f>
        <v>85</v>
      </c>
      <c r="I6124" t="str">
        <f>VLOOKUP(C6124,Магазины!A:C,3,0)</f>
        <v>Ставрополь</v>
      </c>
      <c r="J6124">
        <f>VLOOKUP(D6124,Товары!A:I,4,0)</f>
        <v>26460</v>
      </c>
      <c r="K6124">
        <f t="shared" si="95"/>
        <v>52920</v>
      </c>
    </row>
    <row r="6125" spans="1:11" hidden="1" x14ac:dyDescent="0.25">
      <c r="A6125">
        <v>6124</v>
      </c>
      <c r="B6125" s="1">
        <v>45751</v>
      </c>
      <c r="C6125" t="s">
        <v>33</v>
      </c>
      <c r="D6125" t="s">
        <v>87</v>
      </c>
      <c r="E6125" t="s">
        <v>13</v>
      </c>
      <c r="F6125">
        <v>2</v>
      </c>
      <c r="G6125" t="str">
        <f>VLOOKUP(D6125,Товары!A:I,3,0)</f>
        <v>Тумба с раковиной  напол. Леон 700 форест 2 ящика с умыв. Слим</v>
      </c>
      <c r="H6125">
        <f>VLOOKUP(D6125,Товары!A:I,6,0)</f>
        <v>80</v>
      </c>
      <c r="I6125" t="str">
        <f>VLOOKUP(C6125,Магазины!A:C,3,0)</f>
        <v>Набережные Челны</v>
      </c>
      <c r="J6125">
        <f>VLOOKUP(D6125,Товары!A:I,4,0)</f>
        <v>28380</v>
      </c>
      <c r="K6125">
        <f t="shared" si="95"/>
        <v>56760</v>
      </c>
    </row>
    <row r="6126" spans="1:11" hidden="1" x14ac:dyDescent="0.25">
      <c r="A6126">
        <v>6125</v>
      </c>
      <c r="B6126" s="1">
        <v>45752</v>
      </c>
      <c r="C6126" t="s">
        <v>92</v>
      </c>
      <c r="D6126" t="s">
        <v>118</v>
      </c>
      <c r="E6126" t="s">
        <v>8</v>
      </c>
      <c r="F6126">
        <v>3</v>
      </c>
      <c r="G6126" t="str">
        <f>VLOOKUP(D6126,Товары!A:I,3,0)</f>
        <v>Тумба с раковиной  напол. Сохо 800 белый 2 ящика с умыв. Слим</v>
      </c>
      <c r="H6126">
        <f>VLOOKUP(D6126,Товары!A:I,6,0)</f>
        <v>85</v>
      </c>
      <c r="I6126" t="str">
        <f>VLOOKUP(C6126,Магазины!A:C,3,0)</f>
        <v>Кемерово</v>
      </c>
      <c r="J6126">
        <f>VLOOKUP(D6126,Товары!A:I,4,0)</f>
        <v>19575</v>
      </c>
      <c r="K6126">
        <f t="shared" si="95"/>
        <v>58725</v>
      </c>
    </row>
    <row r="6127" spans="1:11" hidden="1" x14ac:dyDescent="0.25">
      <c r="A6127">
        <v>6126</v>
      </c>
      <c r="B6127" s="1">
        <v>45755</v>
      </c>
      <c r="C6127" t="s">
        <v>41</v>
      </c>
      <c r="D6127" t="s">
        <v>87</v>
      </c>
      <c r="E6127" t="s">
        <v>8</v>
      </c>
      <c r="F6127">
        <v>3</v>
      </c>
      <c r="G6127" t="str">
        <f>VLOOKUP(D6127,Товары!A:I,3,0)</f>
        <v>Тумба с раковиной  напол. Леон 700 форест 2 ящика с умыв. Слим</v>
      </c>
      <c r="H6127">
        <f>VLOOKUP(D6127,Товары!A:I,6,0)</f>
        <v>80</v>
      </c>
      <c r="I6127" t="str">
        <f>VLOOKUP(C6127,Магазины!A:C,3,0)</f>
        <v>Ставрополь</v>
      </c>
      <c r="J6127">
        <f>VLOOKUP(D6127,Товары!A:I,4,0)</f>
        <v>28380</v>
      </c>
      <c r="K6127">
        <f t="shared" si="95"/>
        <v>85140</v>
      </c>
    </row>
    <row r="6128" spans="1:11" hidden="1" x14ac:dyDescent="0.25">
      <c r="A6128">
        <v>6127</v>
      </c>
      <c r="B6128" s="1">
        <v>45752</v>
      </c>
      <c r="C6128" t="s">
        <v>111</v>
      </c>
      <c r="D6128" t="s">
        <v>114</v>
      </c>
      <c r="E6128" t="s">
        <v>13</v>
      </c>
      <c r="F6128">
        <v>3</v>
      </c>
      <c r="G6128" t="str">
        <f>VLOOKUP(D6128,Товары!A:I,3,0)</f>
        <v>Тумба с раковиной  навес. Альба 700 мята 2 ящика с умыв. Слим</v>
      </c>
      <c r="H6128">
        <f>VLOOKUP(D6128,Товары!A:I,6,0)</f>
        <v>60</v>
      </c>
      <c r="I6128" t="str">
        <f>VLOOKUP(C6128,Магазины!A:C,3,0)</f>
        <v>Набережные Челны</v>
      </c>
      <c r="J6128">
        <f>VLOOKUP(D6128,Товары!A:I,4,0)</f>
        <v>25095</v>
      </c>
      <c r="K6128">
        <f t="shared" si="95"/>
        <v>75285</v>
      </c>
    </row>
    <row r="6129" spans="1:11" hidden="1" x14ac:dyDescent="0.25">
      <c r="A6129">
        <v>6128</v>
      </c>
      <c r="B6129" s="1">
        <v>45750</v>
      </c>
      <c r="C6129" t="s">
        <v>22</v>
      </c>
      <c r="D6129" t="s">
        <v>113</v>
      </c>
      <c r="E6129" t="s">
        <v>8</v>
      </c>
      <c r="F6129">
        <v>3</v>
      </c>
      <c r="G6129" t="str">
        <f>VLOOKUP(D6129,Товары!A:I,3,0)</f>
        <v>Зеркальный шкаф Альба 60 со светильником правый цвет мята</v>
      </c>
      <c r="H6129">
        <f>VLOOKUP(D6129,Товары!A:I,6,0)</f>
        <v>75</v>
      </c>
      <c r="I6129" t="str">
        <f>VLOOKUP(C6129,Магазины!A:C,3,0)</f>
        <v>Кемерово</v>
      </c>
      <c r="J6129">
        <f>VLOOKUP(D6129,Товары!A:I,4,0)</f>
        <v>8910</v>
      </c>
      <c r="K6129">
        <f t="shared" si="95"/>
        <v>26730</v>
      </c>
    </row>
    <row r="6130" spans="1:11" hidden="1" x14ac:dyDescent="0.25">
      <c r="A6130">
        <v>6129</v>
      </c>
      <c r="B6130" s="1">
        <v>45748</v>
      </c>
      <c r="C6130" t="s">
        <v>30</v>
      </c>
      <c r="D6130" t="s">
        <v>83</v>
      </c>
      <c r="E6130" t="s">
        <v>8</v>
      </c>
      <c r="F6130">
        <v>2</v>
      </c>
      <c r="G6130" t="str">
        <f>VLOOKUP(D6130,Товары!A:I,3,0)</f>
        <v>Зеркальный шкаф Альба 60 со светильником правый цвет суфле</v>
      </c>
      <c r="H6130">
        <f>VLOOKUP(D6130,Товары!A:I,6,0)</f>
        <v>75</v>
      </c>
      <c r="I6130" t="str">
        <f>VLOOKUP(C6130,Магазины!A:C,3,0)</f>
        <v>Кемерово</v>
      </c>
      <c r="J6130">
        <f>VLOOKUP(D6130,Товары!A:I,4,0)</f>
        <v>8910</v>
      </c>
      <c r="K6130">
        <f t="shared" si="95"/>
        <v>17820</v>
      </c>
    </row>
    <row r="6131" spans="1:11" hidden="1" x14ac:dyDescent="0.25">
      <c r="A6131">
        <v>6130</v>
      </c>
      <c r="B6131" s="1">
        <v>45755</v>
      </c>
      <c r="C6131" t="s">
        <v>14</v>
      </c>
      <c r="D6131" t="s">
        <v>52</v>
      </c>
      <c r="E6131" t="s">
        <v>13</v>
      </c>
      <c r="F6131">
        <v>3</v>
      </c>
      <c r="G6131" t="str">
        <f>VLOOKUP(D6131,Товары!A:I,3,0)</f>
        <v>Тумба с раковиной  напол. Кристалл 600 суфле 2 ящика с умыв. Океан</v>
      </c>
      <c r="H6131">
        <f>VLOOKUP(D6131,Товары!A:I,6,0)</f>
        <v>80</v>
      </c>
      <c r="I6131" t="str">
        <f>VLOOKUP(C6131,Магазины!A:C,3,0)</f>
        <v>Оренбург</v>
      </c>
      <c r="J6131">
        <f>VLOOKUP(D6131,Товары!A:I,4,0)</f>
        <v>27600</v>
      </c>
      <c r="K6131">
        <f t="shared" si="95"/>
        <v>82800</v>
      </c>
    </row>
    <row r="6132" spans="1:11" hidden="1" x14ac:dyDescent="0.25">
      <c r="A6132">
        <v>6131</v>
      </c>
      <c r="B6132" s="1">
        <v>45753</v>
      </c>
      <c r="C6132" t="s">
        <v>26</v>
      </c>
      <c r="D6132" t="s">
        <v>90</v>
      </c>
      <c r="E6132" t="s">
        <v>8</v>
      </c>
      <c r="F6132">
        <v>2</v>
      </c>
      <c r="G6132" t="str">
        <f>VLOOKUP(D6132,Товары!A:I,3,0)</f>
        <v>Пенал напол. Аква 350 белый 2 двери + 2 ящика</v>
      </c>
      <c r="H6132">
        <f>VLOOKUP(D6132,Товары!A:I,6,0)</f>
        <v>190</v>
      </c>
      <c r="I6132" t="str">
        <f>VLOOKUP(C6132,Магазины!A:C,3,0)</f>
        <v>Оренбург</v>
      </c>
      <c r="J6132">
        <f>VLOOKUP(D6132,Товары!A:I,4,0)</f>
        <v>10650</v>
      </c>
      <c r="K6132">
        <f t="shared" si="95"/>
        <v>21300</v>
      </c>
    </row>
    <row r="6133" spans="1:11" hidden="1" x14ac:dyDescent="0.25">
      <c r="A6133">
        <v>6132</v>
      </c>
      <c r="B6133" s="1">
        <v>45755</v>
      </c>
      <c r="C6133" t="s">
        <v>9</v>
      </c>
      <c r="D6133" t="s">
        <v>66</v>
      </c>
      <c r="E6133" t="s">
        <v>8</v>
      </c>
      <c r="F6133">
        <v>3</v>
      </c>
      <c r="G6133" t="str">
        <f>VLOOKUP(D6133,Товары!A:I,3,0)</f>
        <v>Тумба с раковиной  навес. Альба 800 мята 2 ящика с умыв. Слим</v>
      </c>
      <c r="H6133">
        <f>VLOOKUP(D6133,Товары!A:I,6,0)</f>
        <v>50</v>
      </c>
      <c r="I6133" t="str">
        <f>VLOOKUP(C6133,Магазины!A:C,3,0)</f>
        <v>Кемерово</v>
      </c>
      <c r="J6133">
        <f>VLOOKUP(D6133,Товары!A:I,4,0)</f>
        <v>26070</v>
      </c>
      <c r="K6133">
        <f t="shared" si="95"/>
        <v>78210</v>
      </c>
    </row>
    <row r="6134" spans="1:11" hidden="1" x14ac:dyDescent="0.25">
      <c r="A6134">
        <v>6133</v>
      </c>
      <c r="B6134" s="1">
        <v>45753</v>
      </c>
      <c r="C6134" t="s">
        <v>111</v>
      </c>
      <c r="D6134" t="s">
        <v>32</v>
      </c>
      <c r="E6134" t="s">
        <v>8</v>
      </c>
      <c r="F6134">
        <v>3</v>
      </c>
      <c r="G6134" t="str">
        <f>VLOOKUP(D6134,Товары!A:I,3,0)</f>
        <v>Тумба с раковиной  напол. Леон Риф 700 солярис/белый риф 2 ящика с умыв. Слим</v>
      </c>
      <c r="H6134">
        <f>VLOOKUP(D6134,Товары!A:I,6,0)</f>
        <v>85</v>
      </c>
      <c r="I6134" t="str">
        <f>VLOOKUP(C6134,Магазины!A:C,3,0)</f>
        <v>Набережные Челны</v>
      </c>
      <c r="J6134">
        <f>VLOOKUP(D6134,Товары!A:I,4,0)</f>
        <v>26460</v>
      </c>
      <c r="K6134">
        <f t="shared" si="95"/>
        <v>79380</v>
      </c>
    </row>
    <row r="6135" spans="1:11" hidden="1" x14ac:dyDescent="0.25">
      <c r="A6135">
        <v>6134</v>
      </c>
      <c r="B6135" s="1">
        <v>45757</v>
      </c>
      <c r="C6135" t="s">
        <v>35</v>
      </c>
      <c r="D6135" t="s">
        <v>126</v>
      </c>
      <c r="E6135" t="s">
        <v>13</v>
      </c>
      <c r="F6135">
        <v>3</v>
      </c>
      <c r="G6135" t="str">
        <f>VLOOKUP(D6135,Товары!A:I,3,0)</f>
        <v>Тумба с раковиной  напол. Кристалл 800 шато азур 2 ящика с умыв. Комфорт</v>
      </c>
      <c r="H6135">
        <f>VLOOKUP(D6135,Товары!A:I,6,0)</f>
        <v>85</v>
      </c>
      <c r="I6135" t="str">
        <f>VLOOKUP(C6135,Магазины!A:C,3,0)</f>
        <v>Набережные Челны</v>
      </c>
      <c r="J6135">
        <f>VLOOKUP(D6135,Товары!A:I,4,0)</f>
        <v>31125</v>
      </c>
      <c r="K6135">
        <f t="shared" si="95"/>
        <v>93375</v>
      </c>
    </row>
    <row r="6136" spans="1:11" hidden="1" x14ac:dyDescent="0.25">
      <c r="A6136">
        <v>6135</v>
      </c>
      <c r="B6136" s="1">
        <v>45755</v>
      </c>
      <c r="C6136" t="s">
        <v>43</v>
      </c>
      <c r="D6136" t="s">
        <v>125</v>
      </c>
      <c r="E6136" t="s">
        <v>8</v>
      </c>
      <c r="F6136">
        <v>2</v>
      </c>
      <c r="G6136" t="str">
        <f>VLOOKUP(D6136,Товары!A:I,3,0)</f>
        <v>Зеркальный шкаф Сохо 60 белый со светильником правый цвет Белый глянец</v>
      </c>
      <c r="H6136">
        <f>VLOOKUP(D6136,Товары!A:I,6,0)</f>
        <v>75</v>
      </c>
      <c r="I6136" t="str">
        <f>VLOOKUP(C6136,Магазины!A:C,3,0)</f>
        <v>Набережные Челны</v>
      </c>
      <c r="J6136">
        <f>VLOOKUP(D6136,Товары!A:I,4,0)</f>
        <v>7395</v>
      </c>
      <c r="K6136">
        <f t="shared" si="95"/>
        <v>14790</v>
      </c>
    </row>
    <row r="6137" spans="1:11" hidden="1" x14ac:dyDescent="0.25">
      <c r="A6137">
        <v>6136</v>
      </c>
      <c r="B6137" s="1">
        <v>45757</v>
      </c>
      <c r="C6137" t="s">
        <v>43</v>
      </c>
      <c r="D6137" t="s">
        <v>72</v>
      </c>
      <c r="E6137" t="s">
        <v>13</v>
      </c>
      <c r="F6137">
        <v>3</v>
      </c>
      <c r="G6137" t="str">
        <f>VLOOKUP(D6137,Товары!A:I,3,0)</f>
        <v>Тумба с раковиной  напол. Сохо 600 белый 2 ящика с умыв. Океан</v>
      </c>
      <c r="H6137">
        <f>VLOOKUP(D6137,Товары!A:I,6,0)</f>
        <v>85</v>
      </c>
      <c r="I6137" t="str">
        <f>VLOOKUP(C6137,Магазины!A:C,3,0)</f>
        <v>Набережные Челны</v>
      </c>
      <c r="J6137">
        <f>VLOOKUP(D6137,Товары!A:I,4,0)</f>
        <v>16140</v>
      </c>
      <c r="K6137">
        <f t="shared" si="95"/>
        <v>48420</v>
      </c>
    </row>
    <row r="6138" spans="1:11" hidden="1" x14ac:dyDescent="0.25">
      <c r="A6138">
        <v>6137</v>
      </c>
      <c r="B6138" s="1">
        <v>45755</v>
      </c>
      <c r="C6138" t="s">
        <v>33</v>
      </c>
      <c r="D6138" t="s">
        <v>116</v>
      </c>
      <c r="E6138" t="s">
        <v>13</v>
      </c>
      <c r="F6138">
        <v>3</v>
      </c>
      <c r="G6138" t="str">
        <f>VLOOKUP(D6138,Товары!A:I,3,0)</f>
        <v>Зеркало Нева 60 дуб/белый со светильником</v>
      </c>
      <c r="H6138">
        <f>VLOOKUP(D6138,Товары!A:I,6,0)</f>
        <v>80</v>
      </c>
      <c r="I6138" t="str">
        <f>VLOOKUP(C6138,Магазины!A:C,3,0)</f>
        <v>Набережные Челны</v>
      </c>
      <c r="J6138">
        <f>VLOOKUP(D6138,Товары!A:I,4,0)</f>
        <v>5100</v>
      </c>
      <c r="K6138">
        <f t="shared" si="95"/>
        <v>15300</v>
      </c>
    </row>
    <row r="6139" spans="1:11" hidden="1" x14ac:dyDescent="0.25">
      <c r="A6139">
        <v>6138</v>
      </c>
      <c r="B6139" s="1">
        <v>45754</v>
      </c>
      <c r="C6139" t="s">
        <v>35</v>
      </c>
      <c r="D6139" t="s">
        <v>77</v>
      </c>
      <c r="E6139" t="s">
        <v>13</v>
      </c>
      <c r="F6139">
        <v>3</v>
      </c>
      <c r="G6139" t="str">
        <f>VLOOKUP(D6139,Товары!A:I,3,0)</f>
        <v>Тумба с раковиной  напол. Куба Риф 600 белый 2 ящика с умыв. Como</v>
      </c>
      <c r="H6139">
        <f>VLOOKUP(D6139,Товары!A:I,6,0)</f>
        <v>85</v>
      </c>
      <c r="I6139" t="str">
        <f>VLOOKUP(C6139,Магазины!A:C,3,0)</f>
        <v>Набережные Челны</v>
      </c>
      <c r="J6139">
        <f>VLOOKUP(D6139,Товары!A:I,4,0)</f>
        <v>15660</v>
      </c>
      <c r="K6139">
        <f t="shared" si="95"/>
        <v>46980</v>
      </c>
    </row>
    <row r="6140" spans="1:11" hidden="1" x14ac:dyDescent="0.25">
      <c r="A6140">
        <v>6139</v>
      </c>
      <c r="B6140" s="1">
        <v>45748</v>
      </c>
      <c r="C6140" t="s">
        <v>48</v>
      </c>
      <c r="D6140" t="s">
        <v>99</v>
      </c>
      <c r="E6140" t="s">
        <v>13</v>
      </c>
      <c r="F6140">
        <v>2</v>
      </c>
      <c r="G6140" t="str">
        <f>VLOOKUP(D6140,Товары!A:I,3,0)</f>
        <v>Тумба с раковиной  навес. Леон 600 оникс 2 ящика с умыв. Слим</v>
      </c>
      <c r="H6140">
        <f>VLOOKUP(D6140,Товары!A:I,6,0)</f>
        <v>60</v>
      </c>
      <c r="I6140" t="str">
        <f>VLOOKUP(C6140,Магазины!A:C,3,0)</f>
        <v>Ставрополь</v>
      </c>
      <c r="J6140">
        <f>VLOOKUP(D6140,Товары!A:I,4,0)</f>
        <v>25125</v>
      </c>
      <c r="K6140">
        <f t="shared" si="95"/>
        <v>50250</v>
      </c>
    </row>
    <row r="6141" spans="1:11" hidden="1" x14ac:dyDescent="0.25">
      <c r="A6141">
        <v>6140</v>
      </c>
      <c r="B6141" s="1">
        <v>45757</v>
      </c>
      <c r="C6141" t="s">
        <v>6</v>
      </c>
      <c r="D6141" t="s">
        <v>124</v>
      </c>
      <c r="E6141" t="s">
        <v>8</v>
      </c>
      <c r="F6141">
        <v>3</v>
      </c>
      <c r="G6141" t="str">
        <f>VLOOKUP(D6141,Товары!A:I,3,0)</f>
        <v>Тумба с раковиной  напол. Леон 600 оникс 2 ящика с умыв. Океан</v>
      </c>
      <c r="H6141">
        <f>VLOOKUP(D6141,Товары!A:I,6,0)</f>
        <v>80</v>
      </c>
      <c r="I6141" t="str">
        <f>VLOOKUP(C6141,Магазины!A:C,3,0)</f>
        <v>Оренбург</v>
      </c>
      <c r="J6141">
        <f>VLOOKUP(D6141,Товары!A:I,4,0)</f>
        <v>25860</v>
      </c>
      <c r="K6141">
        <f t="shared" si="95"/>
        <v>77580</v>
      </c>
    </row>
    <row r="6142" spans="1:11" hidden="1" x14ac:dyDescent="0.25">
      <c r="A6142">
        <v>6141</v>
      </c>
      <c r="B6142" s="1">
        <v>45752</v>
      </c>
      <c r="C6142" t="s">
        <v>26</v>
      </c>
      <c r="D6142" t="s">
        <v>36</v>
      </c>
      <c r="E6142" t="s">
        <v>8</v>
      </c>
      <c r="F6142">
        <v>2</v>
      </c>
      <c r="G6142" t="str">
        <f>VLOOKUP(D6142,Товары!A:I,3,0)</f>
        <v>Тумба с раковиной  напол. Альба 800 мята 2 ящика с умыв. Слим</v>
      </c>
      <c r="H6142">
        <f>VLOOKUP(D6142,Товары!A:I,6,0)</f>
        <v>80</v>
      </c>
      <c r="I6142" t="str">
        <f>VLOOKUP(C6142,Магазины!A:C,3,0)</f>
        <v>Оренбург</v>
      </c>
      <c r="J6142">
        <f>VLOOKUP(D6142,Товары!A:I,4,0)</f>
        <v>29340</v>
      </c>
      <c r="K6142">
        <f t="shared" si="95"/>
        <v>58680</v>
      </c>
    </row>
    <row r="6143" spans="1:11" hidden="1" x14ac:dyDescent="0.25">
      <c r="A6143">
        <v>6142</v>
      </c>
      <c r="B6143" s="1">
        <v>45757</v>
      </c>
      <c r="C6143" t="s">
        <v>57</v>
      </c>
      <c r="D6143" t="s">
        <v>98</v>
      </c>
      <c r="E6143" t="s">
        <v>13</v>
      </c>
      <c r="F6143">
        <v>2</v>
      </c>
      <c r="G6143" t="str">
        <f>VLOOKUP(D6143,Товары!A:I,3,0)</f>
        <v>Тумба с раковиной  напол. Рица 800 cерый/керамика 2 ящика с умыв. Слим</v>
      </c>
      <c r="H6143">
        <f>VLOOKUP(D6143,Товары!A:I,6,0)</f>
        <v>80</v>
      </c>
      <c r="I6143" t="str">
        <f>VLOOKUP(C6143,Магазины!A:C,3,0)</f>
        <v>Оренбург</v>
      </c>
      <c r="J6143">
        <f>VLOOKUP(D6143,Товары!A:I,4,0)</f>
        <v>28980</v>
      </c>
      <c r="K6143">
        <f t="shared" si="95"/>
        <v>57960</v>
      </c>
    </row>
    <row r="6144" spans="1:11" hidden="1" x14ac:dyDescent="0.25">
      <c r="A6144">
        <v>6143</v>
      </c>
      <c r="B6144" s="1">
        <v>45753</v>
      </c>
      <c r="C6144" t="s">
        <v>103</v>
      </c>
      <c r="D6144" t="s">
        <v>56</v>
      </c>
      <c r="E6144" t="s">
        <v>13</v>
      </c>
      <c r="F6144">
        <v>2</v>
      </c>
      <c r="G6144" t="str">
        <f>VLOOKUP(D6144,Товары!A:I,3,0)</f>
        <v>Зеркальный шкаф Альба 80 со светильником правый цвет мята</v>
      </c>
      <c r="H6144">
        <f>VLOOKUP(D6144,Товары!A:I,6,0)</f>
        <v>75</v>
      </c>
      <c r="I6144" t="str">
        <f>VLOOKUP(C6144,Магазины!A:C,3,0)</f>
        <v>Ставрополь</v>
      </c>
      <c r="J6144">
        <f>VLOOKUP(D6144,Товары!A:I,4,0)</f>
        <v>9930</v>
      </c>
      <c r="K6144">
        <f t="shared" si="95"/>
        <v>19860</v>
      </c>
    </row>
    <row r="6145" spans="1:11" hidden="1" x14ac:dyDescent="0.25">
      <c r="A6145">
        <v>6144</v>
      </c>
      <c r="B6145" s="1">
        <v>45756</v>
      </c>
      <c r="C6145" t="s">
        <v>54</v>
      </c>
      <c r="D6145" t="s">
        <v>106</v>
      </c>
      <c r="E6145" t="s">
        <v>13</v>
      </c>
      <c r="F6145">
        <v>2</v>
      </c>
      <c r="G6145" t="str">
        <f>VLOOKUP(D6145,Товары!A:I,3,0)</f>
        <v>Тумба с раковиной  навес. Кристалл 700 шато азур 2 ящика с умыв. Слим</v>
      </c>
      <c r="H6145">
        <f>VLOOKUP(D6145,Товары!A:I,6,0)</f>
        <v>60</v>
      </c>
      <c r="I6145" t="str">
        <f>VLOOKUP(C6145,Магазины!A:C,3,0)</f>
        <v>Ставрополь</v>
      </c>
      <c r="J6145">
        <f>VLOOKUP(D6145,Товары!A:I,4,0)</f>
        <v>24150</v>
      </c>
      <c r="K6145">
        <f t="shared" si="95"/>
        <v>48300</v>
      </c>
    </row>
    <row r="6146" spans="1:11" hidden="1" x14ac:dyDescent="0.25">
      <c r="A6146">
        <v>6145</v>
      </c>
      <c r="B6146" s="1">
        <v>45753</v>
      </c>
      <c r="C6146" t="s">
        <v>20</v>
      </c>
      <c r="D6146" t="s">
        <v>83</v>
      </c>
      <c r="E6146" t="s">
        <v>13</v>
      </c>
      <c r="F6146">
        <v>1</v>
      </c>
      <c r="G6146" t="str">
        <f>VLOOKUP(D6146,Товары!A:I,3,0)</f>
        <v>Зеркальный шкаф Альба 60 со светильником правый цвет суфле</v>
      </c>
      <c r="H6146">
        <f>VLOOKUP(D6146,Товары!A:I,6,0)</f>
        <v>75</v>
      </c>
      <c r="I6146" t="str">
        <f>VLOOKUP(C6146,Магазины!A:C,3,0)</f>
        <v>Оренбург</v>
      </c>
      <c r="J6146">
        <f>VLOOKUP(D6146,Товары!A:I,4,0)</f>
        <v>8910</v>
      </c>
      <c r="K6146">
        <f t="shared" si="95"/>
        <v>8910</v>
      </c>
    </row>
    <row r="6147" spans="1:11" hidden="1" x14ac:dyDescent="0.25">
      <c r="A6147">
        <v>6146</v>
      </c>
      <c r="B6147" s="1">
        <v>45751</v>
      </c>
      <c r="C6147" t="s">
        <v>111</v>
      </c>
      <c r="D6147" t="s">
        <v>90</v>
      </c>
      <c r="E6147" t="s">
        <v>8</v>
      </c>
      <c r="F6147">
        <v>2</v>
      </c>
      <c r="G6147" t="str">
        <f>VLOOKUP(D6147,Товары!A:I,3,0)</f>
        <v>Пенал напол. Аква 350 белый 2 двери + 2 ящика</v>
      </c>
      <c r="H6147">
        <f>VLOOKUP(D6147,Товары!A:I,6,0)</f>
        <v>190</v>
      </c>
      <c r="I6147" t="str">
        <f>VLOOKUP(C6147,Магазины!A:C,3,0)</f>
        <v>Набережные Челны</v>
      </c>
      <c r="J6147">
        <f>VLOOKUP(D6147,Товары!A:I,4,0)</f>
        <v>10650</v>
      </c>
      <c r="K6147">
        <f t="shared" ref="K6147:K6210" si="96">J6147*F6147</f>
        <v>21300</v>
      </c>
    </row>
    <row r="6148" spans="1:11" hidden="1" x14ac:dyDescent="0.25">
      <c r="A6148">
        <v>6147</v>
      </c>
      <c r="B6148" s="1">
        <v>45751</v>
      </c>
      <c r="C6148" t="s">
        <v>14</v>
      </c>
      <c r="D6148" t="s">
        <v>68</v>
      </c>
      <c r="E6148" t="s">
        <v>8</v>
      </c>
      <c r="F6148">
        <v>3</v>
      </c>
      <c r="G6148" t="str">
        <f>VLOOKUP(D6148,Товары!A:I,3,0)</f>
        <v>Тумба с раковиной  навес. Альба 600 антрацит 1 ящик с умыв. Океан</v>
      </c>
      <c r="H6148">
        <f>VLOOKUP(D6148,Товары!A:I,6,0)</f>
        <v>85</v>
      </c>
      <c r="I6148" t="str">
        <f>VLOOKUP(C6148,Магазины!A:C,3,0)</f>
        <v>Оренбург</v>
      </c>
      <c r="J6148">
        <f>VLOOKUP(D6148,Товары!A:I,4,0)</f>
        <v>17625</v>
      </c>
      <c r="K6148">
        <f t="shared" si="96"/>
        <v>52875</v>
      </c>
    </row>
    <row r="6149" spans="1:11" hidden="1" x14ac:dyDescent="0.25">
      <c r="A6149">
        <v>6148</v>
      </c>
      <c r="B6149" s="1">
        <v>45748</v>
      </c>
      <c r="C6149" t="s">
        <v>11</v>
      </c>
      <c r="D6149" t="s">
        <v>74</v>
      </c>
      <c r="E6149" t="s">
        <v>8</v>
      </c>
      <c r="F6149">
        <v>3</v>
      </c>
      <c r="G6149" t="str">
        <f>VLOOKUP(D6149,Товары!A:I,3,0)</f>
        <v>Тумба с раковиной  напол. Альба 800 суфле 2 ящика с умыв. Слим</v>
      </c>
      <c r="H6149">
        <f>VLOOKUP(D6149,Товары!A:I,6,0)</f>
        <v>80</v>
      </c>
      <c r="I6149" t="str">
        <f>VLOOKUP(C6149,Магазины!A:C,3,0)</f>
        <v>Кемерово</v>
      </c>
      <c r="J6149">
        <f>VLOOKUP(D6149,Товары!A:I,4,0)</f>
        <v>29340</v>
      </c>
      <c r="K6149">
        <f t="shared" si="96"/>
        <v>88020</v>
      </c>
    </row>
    <row r="6150" spans="1:11" hidden="1" x14ac:dyDescent="0.25">
      <c r="A6150">
        <v>6149</v>
      </c>
      <c r="B6150" s="1">
        <v>45755</v>
      </c>
      <c r="C6150" t="s">
        <v>26</v>
      </c>
      <c r="D6150" t="s">
        <v>40</v>
      </c>
      <c r="E6150" t="s">
        <v>13</v>
      </c>
      <c r="F6150">
        <v>3</v>
      </c>
      <c r="G6150" t="str">
        <f>VLOOKUP(D6150,Товары!A:I,3,0)</f>
        <v>Тумба с раковиной  навес. Рица 800 cерый/керамика 1 ящик + ниша 1 с умыв. Слим</v>
      </c>
      <c r="H6150">
        <f>VLOOKUP(D6150,Товары!A:I,6,0)</f>
        <v>60</v>
      </c>
      <c r="I6150" t="str">
        <f>VLOOKUP(C6150,Магазины!A:C,3,0)</f>
        <v>Оренбург</v>
      </c>
      <c r="J6150">
        <f>VLOOKUP(D6150,Товары!A:I,4,0)</f>
        <v>22425</v>
      </c>
      <c r="K6150">
        <f t="shared" si="96"/>
        <v>67275</v>
      </c>
    </row>
    <row r="6151" spans="1:11" hidden="1" x14ac:dyDescent="0.25">
      <c r="A6151">
        <v>6150</v>
      </c>
      <c r="B6151" s="1">
        <v>45750</v>
      </c>
      <c r="C6151" t="s">
        <v>30</v>
      </c>
      <c r="D6151" t="s">
        <v>90</v>
      </c>
      <c r="E6151" t="s">
        <v>13</v>
      </c>
      <c r="F6151">
        <v>2</v>
      </c>
      <c r="G6151" t="str">
        <f>VLOOKUP(D6151,Товары!A:I,3,0)</f>
        <v>Пенал напол. Аква 350 белый 2 двери + 2 ящика</v>
      </c>
      <c r="H6151">
        <f>VLOOKUP(D6151,Товары!A:I,6,0)</f>
        <v>190</v>
      </c>
      <c r="I6151" t="str">
        <f>VLOOKUP(C6151,Магазины!A:C,3,0)</f>
        <v>Кемерово</v>
      </c>
      <c r="J6151">
        <f>VLOOKUP(D6151,Товары!A:I,4,0)</f>
        <v>10650</v>
      </c>
      <c r="K6151">
        <f t="shared" si="96"/>
        <v>21300</v>
      </c>
    </row>
    <row r="6152" spans="1:11" hidden="1" x14ac:dyDescent="0.25">
      <c r="A6152">
        <v>6151</v>
      </c>
      <c r="B6152" s="1">
        <v>45749</v>
      </c>
      <c r="C6152" t="s">
        <v>33</v>
      </c>
      <c r="D6152" t="s">
        <v>94</v>
      </c>
      <c r="E6152" t="s">
        <v>13</v>
      </c>
      <c r="F6152">
        <v>3</v>
      </c>
      <c r="G6152" t="str">
        <f>VLOOKUP(D6152,Товары!A:I,3,0)</f>
        <v>Зеркальный шкаф Альба 80 со светильником правый цвет антрацит</v>
      </c>
      <c r="H6152">
        <f>VLOOKUP(D6152,Товары!A:I,6,0)</f>
        <v>75</v>
      </c>
      <c r="I6152" t="str">
        <f>VLOOKUP(C6152,Магазины!A:C,3,0)</f>
        <v>Набережные Челны</v>
      </c>
      <c r="J6152">
        <f>VLOOKUP(D6152,Товары!A:I,4,0)</f>
        <v>9930</v>
      </c>
      <c r="K6152">
        <f t="shared" si="96"/>
        <v>29790</v>
      </c>
    </row>
    <row r="6153" spans="1:11" hidden="1" x14ac:dyDescent="0.25">
      <c r="A6153">
        <v>6152</v>
      </c>
      <c r="B6153" s="1">
        <v>45755</v>
      </c>
      <c r="C6153" t="s">
        <v>14</v>
      </c>
      <c r="D6153" t="s">
        <v>76</v>
      </c>
      <c r="E6153" t="s">
        <v>8</v>
      </c>
      <c r="F6153">
        <v>2</v>
      </c>
      <c r="G6153" t="str">
        <f>VLOOKUP(D6153,Товары!A:I,3,0)</f>
        <v>Тумба с раковиной  напол. Леон 600 оникс 2 ящика с умыв. Слим</v>
      </c>
      <c r="H6153">
        <f>VLOOKUP(D6153,Товары!A:I,6,0)</f>
        <v>80</v>
      </c>
      <c r="I6153" t="str">
        <f>VLOOKUP(C6153,Магазины!A:C,3,0)</f>
        <v>Оренбург</v>
      </c>
      <c r="J6153">
        <f>VLOOKUP(D6153,Товары!A:I,4,0)</f>
        <v>25860</v>
      </c>
      <c r="K6153">
        <f t="shared" si="96"/>
        <v>51720</v>
      </c>
    </row>
    <row r="6154" spans="1:11" hidden="1" x14ac:dyDescent="0.25">
      <c r="A6154">
        <v>6153</v>
      </c>
      <c r="B6154" s="1">
        <v>45752</v>
      </c>
      <c r="C6154" t="s">
        <v>35</v>
      </c>
      <c r="D6154" t="s">
        <v>113</v>
      </c>
      <c r="E6154" t="s">
        <v>13</v>
      </c>
      <c r="F6154">
        <v>1</v>
      </c>
      <c r="G6154" t="str">
        <f>VLOOKUP(D6154,Товары!A:I,3,0)</f>
        <v>Зеркальный шкаф Альба 60 со светильником правый цвет мята</v>
      </c>
      <c r="H6154">
        <f>VLOOKUP(D6154,Товары!A:I,6,0)</f>
        <v>75</v>
      </c>
      <c r="I6154" t="str">
        <f>VLOOKUP(C6154,Магазины!A:C,3,0)</f>
        <v>Набережные Челны</v>
      </c>
      <c r="J6154">
        <f>VLOOKUP(D6154,Товары!A:I,4,0)</f>
        <v>8910</v>
      </c>
      <c r="K6154">
        <f t="shared" si="96"/>
        <v>8910</v>
      </c>
    </row>
    <row r="6155" spans="1:11" hidden="1" x14ac:dyDescent="0.25">
      <c r="A6155">
        <v>6154</v>
      </c>
      <c r="B6155" s="1">
        <v>45753</v>
      </c>
      <c r="C6155" t="s">
        <v>57</v>
      </c>
      <c r="D6155" t="s">
        <v>81</v>
      </c>
      <c r="E6155" t="s">
        <v>8</v>
      </c>
      <c r="F6155">
        <v>3</v>
      </c>
      <c r="G6155" t="str">
        <f>VLOOKUP(D6155,Товары!A:I,3,0)</f>
        <v>Тумба с раковиной  навес. Рица 600 cерый/керамика 1 ящик + ниша 1 с умыв. Океан</v>
      </c>
      <c r="H6155">
        <f>VLOOKUP(D6155,Товары!A:I,6,0)</f>
        <v>60</v>
      </c>
      <c r="I6155" t="str">
        <f>VLOOKUP(C6155,Магазины!A:C,3,0)</f>
        <v>Оренбург</v>
      </c>
      <c r="J6155">
        <f>VLOOKUP(D6155,Товары!A:I,4,0)</f>
        <v>18900</v>
      </c>
      <c r="K6155">
        <f t="shared" si="96"/>
        <v>56700</v>
      </c>
    </row>
    <row r="6156" spans="1:11" hidden="1" x14ac:dyDescent="0.25">
      <c r="A6156">
        <v>6155</v>
      </c>
      <c r="B6156" s="1">
        <v>45756</v>
      </c>
      <c r="C6156" t="s">
        <v>35</v>
      </c>
      <c r="D6156" t="s">
        <v>128</v>
      </c>
      <c r="E6156" t="s">
        <v>13</v>
      </c>
      <c r="F6156">
        <v>2</v>
      </c>
      <c r="G6156" t="str">
        <f>VLOOKUP(D6156,Товары!A:I,3,0)</f>
        <v>Тумба с раковиной  напол. Куба Риф 1000 белый 2 ящика с умыв. Слим</v>
      </c>
      <c r="H6156">
        <f>VLOOKUP(D6156,Товары!A:I,6,0)</f>
        <v>85</v>
      </c>
      <c r="I6156" t="str">
        <f>VLOOKUP(C6156,Магазины!A:C,3,0)</f>
        <v>Набережные Челны</v>
      </c>
      <c r="J6156">
        <f>VLOOKUP(D6156,Товары!A:I,4,0)</f>
        <v>22905</v>
      </c>
      <c r="K6156">
        <f t="shared" si="96"/>
        <v>45810</v>
      </c>
    </row>
    <row r="6157" spans="1:11" hidden="1" x14ac:dyDescent="0.25">
      <c r="A6157">
        <v>6156</v>
      </c>
      <c r="B6157" s="1">
        <v>45749</v>
      </c>
      <c r="C6157" t="s">
        <v>33</v>
      </c>
      <c r="D6157" t="s">
        <v>38</v>
      </c>
      <c r="E6157" t="s">
        <v>8</v>
      </c>
      <c r="F6157">
        <v>1</v>
      </c>
      <c r="G6157" t="str">
        <f>VLOOKUP(D6157,Товары!A:I,3,0)</f>
        <v>Тумба с раковиной  навес. Куба Риф 600 белый 2 ящика с умыв. Como</v>
      </c>
      <c r="H6157">
        <f>VLOOKUP(D6157,Товары!A:I,6,0)</f>
        <v>55</v>
      </c>
      <c r="I6157" t="str">
        <f>VLOOKUP(C6157,Магазины!A:C,3,0)</f>
        <v>Набережные Челны</v>
      </c>
      <c r="J6157">
        <f>VLOOKUP(D6157,Товары!A:I,4,0)</f>
        <v>14265</v>
      </c>
      <c r="K6157">
        <f t="shared" si="96"/>
        <v>14265</v>
      </c>
    </row>
    <row r="6158" spans="1:11" hidden="1" x14ac:dyDescent="0.25">
      <c r="A6158">
        <v>6157</v>
      </c>
      <c r="B6158" s="1">
        <v>45752</v>
      </c>
      <c r="C6158" t="s">
        <v>20</v>
      </c>
      <c r="D6158" t="s">
        <v>94</v>
      </c>
      <c r="E6158" t="s">
        <v>13</v>
      </c>
      <c r="F6158">
        <v>2</v>
      </c>
      <c r="G6158" t="str">
        <f>VLOOKUP(D6158,Товары!A:I,3,0)</f>
        <v>Зеркальный шкаф Альба 80 со светильником правый цвет антрацит</v>
      </c>
      <c r="H6158">
        <f>VLOOKUP(D6158,Товары!A:I,6,0)</f>
        <v>75</v>
      </c>
      <c r="I6158" t="str">
        <f>VLOOKUP(C6158,Магазины!A:C,3,0)</f>
        <v>Оренбург</v>
      </c>
      <c r="J6158">
        <f>VLOOKUP(D6158,Товары!A:I,4,0)</f>
        <v>9930</v>
      </c>
      <c r="K6158">
        <f t="shared" si="96"/>
        <v>19860</v>
      </c>
    </row>
    <row r="6159" spans="1:11" hidden="1" x14ac:dyDescent="0.25">
      <c r="A6159">
        <v>6158</v>
      </c>
      <c r="B6159" s="1">
        <v>45756</v>
      </c>
      <c r="C6159" t="s">
        <v>103</v>
      </c>
      <c r="D6159" t="s">
        <v>52</v>
      </c>
      <c r="E6159" t="s">
        <v>13</v>
      </c>
      <c r="F6159">
        <v>2</v>
      </c>
      <c r="G6159" t="str">
        <f>VLOOKUP(D6159,Товары!A:I,3,0)</f>
        <v>Тумба с раковиной  напол. Кристалл 600 суфле 2 ящика с умыв. Океан</v>
      </c>
      <c r="H6159">
        <f>VLOOKUP(D6159,Товары!A:I,6,0)</f>
        <v>80</v>
      </c>
      <c r="I6159" t="str">
        <f>VLOOKUP(C6159,Магазины!A:C,3,0)</f>
        <v>Ставрополь</v>
      </c>
      <c r="J6159">
        <f>VLOOKUP(D6159,Товары!A:I,4,0)</f>
        <v>27600</v>
      </c>
      <c r="K6159">
        <f t="shared" si="96"/>
        <v>55200</v>
      </c>
    </row>
    <row r="6160" spans="1:11" hidden="1" x14ac:dyDescent="0.25">
      <c r="A6160">
        <v>6159</v>
      </c>
      <c r="B6160" s="1">
        <v>45754</v>
      </c>
      <c r="C6160" t="s">
        <v>28</v>
      </c>
      <c r="D6160" t="s">
        <v>131</v>
      </c>
      <c r="E6160" t="s">
        <v>13</v>
      </c>
      <c r="F6160">
        <v>3</v>
      </c>
      <c r="G6160" t="str">
        <f>VLOOKUP(D6160,Товары!A:I,3,0)</f>
        <v>Тумба с раковиной  напол. Леон 800 форест 2 ящика с умыв. Слим</v>
      </c>
      <c r="H6160">
        <f>VLOOKUP(D6160,Товары!A:I,6,0)</f>
        <v>80</v>
      </c>
      <c r="I6160" t="str">
        <f>VLOOKUP(C6160,Магазины!A:C,3,0)</f>
        <v>Набережные Челны</v>
      </c>
      <c r="J6160">
        <f>VLOOKUP(D6160,Товары!A:I,4,0)</f>
        <v>29400</v>
      </c>
      <c r="K6160">
        <f t="shared" si="96"/>
        <v>88200</v>
      </c>
    </row>
    <row r="6161" spans="1:11" hidden="1" x14ac:dyDescent="0.25">
      <c r="A6161">
        <v>6160</v>
      </c>
      <c r="B6161" s="1">
        <v>45750</v>
      </c>
      <c r="C6161" t="s">
        <v>16</v>
      </c>
      <c r="D6161" t="s">
        <v>40</v>
      </c>
      <c r="E6161" t="s">
        <v>13</v>
      </c>
      <c r="F6161">
        <v>2</v>
      </c>
      <c r="G6161" t="str">
        <f>VLOOKUP(D6161,Товары!A:I,3,0)</f>
        <v>Тумба с раковиной  навес. Рица 800 cерый/керамика 1 ящик + ниша 1 с умыв. Слим</v>
      </c>
      <c r="H6161">
        <f>VLOOKUP(D6161,Товары!A:I,6,0)</f>
        <v>60</v>
      </c>
      <c r="I6161" t="str">
        <f>VLOOKUP(C6161,Магазины!A:C,3,0)</f>
        <v>Оренбург</v>
      </c>
      <c r="J6161">
        <f>VLOOKUP(D6161,Товары!A:I,4,0)</f>
        <v>22425</v>
      </c>
      <c r="K6161">
        <f t="shared" si="96"/>
        <v>44850</v>
      </c>
    </row>
    <row r="6162" spans="1:11" hidden="1" x14ac:dyDescent="0.25">
      <c r="A6162">
        <v>6161</v>
      </c>
      <c r="B6162" s="1">
        <v>45750</v>
      </c>
      <c r="C6162" t="s">
        <v>58</v>
      </c>
      <c r="D6162" t="s">
        <v>109</v>
      </c>
      <c r="E6162" t="s">
        <v>13</v>
      </c>
      <c r="F6162">
        <v>1</v>
      </c>
      <c r="G6162" t="str">
        <f>VLOOKUP(D6162,Товары!A:I,3,0)</f>
        <v>Тумба с раковиной  навес. Альба 600 антрацит 2 ящика с умыв. Океан</v>
      </c>
      <c r="H6162">
        <f>VLOOKUP(D6162,Товары!A:I,6,0)</f>
        <v>50</v>
      </c>
      <c r="I6162" t="str">
        <f>VLOOKUP(C6162,Магазины!A:C,3,0)</f>
        <v>Ставрополь</v>
      </c>
      <c r="J6162">
        <f>VLOOKUP(D6162,Товары!A:I,4,0)</f>
        <v>24810</v>
      </c>
      <c r="K6162">
        <f t="shared" si="96"/>
        <v>24810</v>
      </c>
    </row>
    <row r="6163" spans="1:11" hidden="1" x14ac:dyDescent="0.25">
      <c r="A6163">
        <v>6162</v>
      </c>
      <c r="B6163" s="1">
        <v>45756</v>
      </c>
      <c r="C6163" t="s">
        <v>63</v>
      </c>
      <c r="D6163" t="s">
        <v>81</v>
      </c>
      <c r="E6163" t="s">
        <v>13</v>
      </c>
      <c r="F6163">
        <v>2</v>
      </c>
      <c r="G6163" t="str">
        <f>VLOOKUP(D6163,Товары!A:I,3,0)</f>
        <v>Тумба с раковиной  навес. Рица 600 cерый/керамика 1 ящик + ниша 1 с умыв. Океан</v>
      </c>
      <c r="H6163">
        <f>VLOOKUP(D6163,Товары!A:I,6,0)</f>
        <v>60</v>
      </c>
      <c r="I6163" t="str">
        <f>VLOOKUP(C6163,Магазины!A:C,3,0)</f>
        <v>Ставрополь</v>
      </c>
      <c r="J6163">
        <f>VLOOKUP(D6163,Товары!A:I,4,0)</f>
        <v>18900</v>
      </c>
      <c r="K6163">
        <f t="shared" si="96"/>
        <v>37800</v>
      </c>
    </row>
    <row r="6164" spans="1:11" hidden="1" x14ac:dyDescent="0.25">
      <c r="A6164">
        <v>6163</v>
      </c>
      <c r="B6164" s="1">
        <v>45757</v>
      </c>
      <c r="C6164" t="s">
        <v>33</v>
      </c>
      <c r="D6164" t="s">
        <v>101</v>
      </c>
      <c r="E6164" t="s">
        <v>13</v>
      </c>
      <c r="F6164">
        <v>1</v>
      </c>
      <c r="G6164" t="str">
        <f>VLOOKUP(D6164,Товары!A:I,3,0)</f>
        <v>Пенал напол. Сохо 400 белый 2 двери + 1 ящик</v>
      </c>
      <c r="H6164">
        <f>VLOOKUP(D6164,Товары!A:I,6,0)</f>
        <v>190</v>
      </c>
      <c r="I6164" t="str">
        <f>VLOOKUP(C6164,Магазины!A:C,3,0)</f>
        <v>Набережные Челны</v>
      </c>
      <c r="J6164">
        <f>VLOOKUP(D6164,Товары!A:I,4,0)</f>
        <v>11040</v>
      </c>
      <c r="K6164">
        <f t="shared" si="96"/>
        <v>11040</v>
      </c>
    </row>
    <row r="6165" spans="1:11" hidden="1" x14ac:dyDescent="0.25">
      <c r="A6165">
        <v>6164</v>
      </c>
      <c r="B6165" s="1">
        <v>45757</v>
      </c>
      <c r="C6165" t="s">
        <v>18</v>
      </c>
      <c r="D6165" t="s">
        <v>74</v>
      </c>
      <c r="E6165" t="s">
        <v>13</v>
      </c>
      <c r="F6165">
        <v>1</v>
      </c>
      <c r="G6165" t="str">
        <f>VLOOKUP(D6165,Товары!A:I,3,0)</f>
        <v>Тумба с раковиной  напол. Альба 800 суфле 2 ящика с умыв. Слим</v>
      </c>
      <c r="H6165">
        <f>VLOOKUP(D6165,Товары!A:I,6,0)</f>
        <v>80</v>
      </c>
      <c r="I6165" t="str">
        <f>VLOOKUP(C6165,Магазины!A:C,3,0)</f>
        <v>Набережные Челны</v>
      </c>
      <c r="J6165">
        <f>VLOOKUP(D6165,Товары!A:I,4,0)</f>
        <v>29340</v>
      </c>
      <c r="K6165">
        <f t="shared" si="96"/>
        <v>29340</v>
      </c>
    </row>
    <row r="6166" spans="1:11" hidden="1" x14ac:dyDescent="0.25">
      <c r="A6166">
        <v>6165</v>
      </c>
      <c r="B6166" s="1">
        <v>45756</v>
      </c>
      <c r="C6166" t="s">
        <v>20</v>
      </c>
      <c r="D6166" t="s">
        <v>105</v>
      </c>
      <c r="E6166" t="s">
        <v>8</v>
      </c>
      <c r="F6166">
        <v>3</v>
      </c>
      <c r="G6166" t="str">
        <f>VLOOKUP(D6166,Товары!A:I,3,0)</f>
        <v>Тумба с раковиной  напол. Нева 600 белый 2 двери + 1 ящик с умыв. Como</v>
      </c>
      <c r="H6166">
        <f>VLOOKUP(D6166,Товары!A:I,6,0)</f>
        <v>80</v>
      </c>
      <c r="I6166" t="str">
        <f>VLOOKUP(C6166,Магазины!A:C,3,0)</f>
        <v>Оренбург</v>
      </c>
      <c r="J6166">
        <f>VLOOKUP(D6166,Товары!A:I,4,0)</f>
        <v>13470</v>
      </c>
      <c r="K6166">
        <f t="shared" si="96"/>
        <v>40410</v>
      </c>
    </row>
    <row r="6167" spans="1:11" hidden="1" x14ac:dyDescent="0.25">
      <c r="A6167">
        <v>6166</v>
      </c>
      <c r="B6167" s="1">
        <v>45754</v>
      </c>
      <c r="C6167" t="s">
        <v>14</v>
      </c>
      <c r="D6167" t="s">
        <v>117</v>
      </c>
      <c r="E6167" t="s">
        <v>8</v>
      </c>
      <c r="F6167">
        <v>3</v>
      </c>
      <c r="G6167" t="str">
        <f>VLOOKUP(D6167,Товары!A:I,3,0)</f>
        <v>Тумба с раковиной  навес. Альба 700 антрацит 2 ящика с умыв. Слим</v>
      </c>
      <c r="H6167">
        <f>VLOOKUP(D6167,Товары!A:I,6,0)</f>
        <v>60</v>
      </c>
      <c r="I6167" t="str">
        <f>VLOOKUP(C6167,Магазины!A:C,3,0)</f>
        <v>Оренбург</v>
      </c>
      <c r="J6167">
        <f>VLOOKUP(D6167,Товары!A:I,4,0)</f>
        <v>25095</v>
      </c>
      <c r="K6167">
        <f t="shared" si="96"/>
        <v>75285</v>
      </c>
    </row>
    <row r="6168" spans="1:11" hidden="1" x14ac:dyDescent="0.25">
      <c r="A6168">
        <v>6167</v>
      </c>
      <c r="B6168" s="1">
        <v>45749</v>
      </c>
      <c r="C6168" t="s">
        <v>35</v>
      </c>
      <c r="D6168" t="s">
        <v>55</v>
      </c>
      <c r="E6168" t="s">
        <v>13</v>
      </c>
      <c r="F6168">
        <v>2</v>
      </c>
      <c r="G6168" t="str">
        <f>VLOOKUP(D6168,Товары!A:I,3,0)</f>
        <v>Тумба с раковиной  напол. Рица 600 cерый/керамика 2 ящика с умыв. Океан</v>
      </c>
      <c r="H6168">
        <f>VLOOKUP(D6168,Товары!A:I,6,0)</f>
        <v>80</v>
      </c>
      <c r="I6168" t="str">
        <f>VLOOKUP(C6168,Магазины!A:C,3,0)</f>
        <v>Набережные Челны</v>
      </c>
      <c r="J6168">
        <f>VLOOKUP(D6168,Товары!A:I,4,0)</f>
        <v>25560</v>
      </c>
      <c r="K6168">
        <f t="shared" si="96"/>
        <v>51120</v>
      </c>
    </row>
    <row r="6169" spans="1:11" hidden="1" x14ac:dyDescent="0.25">
      <c r="A6169">
        <v>6168</v>
      </c>
      <c r="B6169" s="1">
        <v>45755</v>
      </c>
      <c r="C6169" t="s">
        <v>111</v>
      </c>
      <c r="D6169" t="s">
        <v>37</v>
      </c>
      <c r="E6169" t="s">
        <v>13</v>
      </c>
      <c r="F6169">
        <v>2</v>
      </c>
      <c r="G6169" t="str">
        <f>VLOOKUP(D6169,Товары!A:I,3,0)</f>
        <v>Зеркальный шкаф Сохо 70 белый со светильником правый цвет Белый глянец</v>
      </c>
      <c r="H6169">
        <f>VLOOKUP(D6169,Товары!A:I,6,0)</f>
        <v>75</v>
      </c>
      <c r="I6169" t="str">
        <f>VLOOKUP(C6169,Магазины!A:C,3,0)</f>
        <v>Набережные Челны</v>
      </c>
      <c r="J6169">
        <f>VLOOKUP(D6169,Товары!A:I,4,0)</f>
        <v>7935</v>
      </c>
      <c r="K6169">
        <f t="shared" si="96"/>
        <v>15870</v>
      </c>
    </row>
    <row r="6170" spans="1:11" x14ac:dyDescent="0.25">
      <c r="A6170">
        <v>6169</v>
      </c>
      <c r="B6170" s="1">
        <v>45751</v>
      </c>
      <c r="C6170" t="s">
        <v>9</v>
      </c>
      <c r="D6170" t="s">
        <v>91</v>
      </c>
      <c r="E6170" t="s">
        <v>13</v>
      </c>
      <c r="F6170">
        <v>3</v>
      </c>
      <c r="G6170" t="str">
        <f>VLOOKUP(D6170,Товары!A:I,3,0)</f>
        <v>Пенал навес./напол. Альба 350 мята 2 двери</v>
      </c>
      <c r="H6170">
        <f>VLOOKUP(D6170,Товары!A:I,6,0)</f>
        <v>150</v>
      </c>
      <c r="I6170" t="str">
        <f>VLOOKUP(C6170,Магазины!A:C,3,0)</f>
        <v>Кемерово</v>
      </c>
      <c r="J6170">
        <f>VLOOKUP(D6170,Товары!A:I,4,0)</f>
        <v>11655</v>
      </c>
      <c r="K6170">
        <f t="shared" si="96"/>
        <v>34965</v>
      </c>
    </row>
    <row r="6171" spans="1:11" hidden="1" x14ac:dyDescent="0.25">
      <c r="A6171">
        <v>6170</v>
      </c>
      <c r="B6171" s="1">
        <v>45749</v>
      </c>
      <c r="C6171" t="s">
        <v>30</v>
      </c>
      <c r="D6171" t="s">
        <v>125</v>
      </c>
      <c r="E6171" t="s">
        <v>8</v>
      </c>
      <c r="F6171">
        <v>2</v>
      </c>
      <c r="G6171" t="str">
        <f>VLOOKUP(D6171,Товары!A:I,3,0)</f>
        <v>Зеркальный шкаф Сохо 60 белый со светильником правый цвет Белый глянец</v>
      </c>
      <c r="H6171">
        <f>VLOOKUP(D6171,Товары!A:I,6,0)</f>
        <v>75</v>
      </c>
      <c r="I6171" t="str">
        <f>VLOOKUP(C6171,Магазины!A:C,3,0)</f>
        <v>Кемерово</v>
      </c>
      <c r="J6171">
        <f>VLOOKUP(D6171,Товары!A:I,4,0)</f>
        <v>7395</v>
      </c>
      <c r="K6171">
        <f t="shared" si="96"/>
        <v>14790</v>
      </c>
    </row>
    <row r="6172" spans="1:11" hidden="1" x14ac:dyDescent="0.25">
      <c r="A6172">
        <v>6171</v>
      </c>
      <c r="B6172" s="1">
        <v>45757</v>
      </c>
      <c r="C6172" t="s">
        <v>57</v>
      </c>
      <c r="D6172" t="s">
        <v>113</v>
      </c>
      <c r="E6172" t="s">
        <v>13</v>
      </c>
      <c r="F6172">
        <v>2</v>
      </c>
      <c r="G6172" t="str">
        <f>VLOOKUP(D6172,Товары!A:I,3,0)</f>
        <v>Зеркальный шкаф Альба 60 со светильником правый цвет мята</v>
      </c>
      <c r="H6172">
        <f>VLOOKUP(D6172,Товары!A:I,6,0)</f>
        <v>75</v>
      </c>
      <c r="I6172" t="str">
        <f>VLOOKUP(C6172,Магазины!A:C,3,0)</f>
        <v>Оренбург</v>
      </c>
      <c r="J6172">
        <f>VLOOKUP(D6172,Товары!A:I,4,0)</f>
        <v>8910</v>
      </c>
      <c r="K6172">
        <f t="shared" si="96"/>
        <v>17820</v>
      </c>
    </row>
    <row r="6173" spans="1:11" hidden="1" x14ac:dyDescent="0.25">
      <c r="A6173">
        <v>6172</v>
      </c>
      <c r="B6173" s="1">
        <v>45757</v>
      </c>
      <c r="C6173" t="s">
        <v>35</v>
      </c>
      <c r="D6173" t="s">
        <v>85</v>
      </c>
      <c r="E6173" t="s">
        <v>8</v>
      </c>
      <c r="F6173">
        <v>3</v>
      </c>
      <c r="G6173" t="str">
        <f>VLOOKUP(D6173,Товары!A:I,3,0)</f>
        <v>Пенал напол. Аква 450 белый 2 двери + 2 ящика + корзина</v>
      </c>
      <c r="H6173">
        <f>VLOOKUP(D6173,Товары!A:I,6,0)</f>
        <v>190</v>
      </c>
      <c r="I6173" t="str">
        <f>VLOOKUP(C6173,Магазины!A:C,3,0)</f>
        <v>Набережные Челны</v>
      </c>
      <c r="J6173">
        <f>VLOOKUP(D6173,Товары!A:I,4,0)</f>
        <v>13335</v>
      </c>
      <c r="K6173">
        <f t="shared" si="96"/>
        <v>40005</v>
      </c>
    </row>
    <row r="6174" spans="1:11" hidden="1" x14ac:dyDescent="0.25">
      <c r="A6174">
        <v>6173</v>
      </c>
      <c r="B6174" s="1">
        <v>45750</v>
      </c>
      <c r="C6174" t="s">
        <v>33</v>
      </c>
      <c r="D6174" t="s">
        <v>107</v>
      </c>
      <c r="E6174" t="s">
        <v>8</v>
      </c>
      <c r="F6174">
        <v>1</v>
      </c>
      <c r="G6174" t="str">
        <f>VLOOKUP(D6174,Товары!A:I,3,0)</f>
        <v>Комод Аква 35 напольный 1 дверь белый правый</v>
      </c>
      <c r="H6174">
        <f>VLOOKUP(D6174,Товары!A:I,6,0)</f>
        <v>90</v>
      </c>
      <c r="I6174" t="str">
        <f>VLOOKUP(C6174,Магазины!A:C,3,0)</f>
        <v>Набережные Челны</v>
      </c>
      <c r="J6174">
        <f>VLOOKUP(D6174,Товары!A:I,4,0)</f>
        <v>6705</v>
      </c>
      <c r="K6174">
        <f t="shared" si="96"/>
        <v>6705</v>
      </c>
    </row>
    <row r="6175" spans="1:11" hidden="1" x14ac:dyDescent="0.25">
      <c r="A6175">
        <v>6174</v>
      </c>
      <c r="B6175" s="1">
        <v>45753</v>
      </c>
      <c r="C6175" t="s">
        <v>18</v>
      </c>
      <c r="D6175" t="s">
        <v>94</v>
      </c>
      <c r="E6175" t="s">
        <v>13</v>
      </c>
      <c r="F6175">
        <v>3</v>
      </c>
      <c r="G6175" t="str">
        <f>VLOOKUP(D6175,Товары!A:I,3,0)</f>
        <v>Зеркальный шкаф Альба 80 со светильником правый цвет антрацит</v>
      </c>
      <c r="H6175">
        <f>VLOOKUP(D6175,Товары!A:I,6,0)</f>
        <v>75</v>
      </c>
      <c r="I6175" t="str">
        <f>VLOOKUP(C6175,Магазины!A:C,3,0)</f>
        <v>Набережные Челны</v>
      </c>
      <c r="J6175">
        <f>VLOOKUP(D6175,Товары!A:I,4,0)</f>
        <v>9930</v>
      </c>
      <c r="K6175">
        <f t="shared" si="96"/>
        <v>29790</v>
      </c>
    </row>
    <row r="6176" spans="1:11" hidden="1" x14ac:dyDescent="0.25">
      <c r="A6176">
        <v>6175</v>
      </c>
      <c r="B6176" s="1">
        <v>45754</v>
      </c>
      <c r="C6176" t="s">
        <v>18</v>
      </c>
      <c r="D6176" t="s">
        <v>52</v>
      </c>
      <c r="E6176" t="s">
        <v>8</v>
      </c>
      <c r="F6176">
        <v>3</v>
      </c>
      <c r="G6176" t="str">
        <f>VLOOKUP(D6176,Товары!A:I,3,0)</f>
        <v>Тумба с раковиной  напол. Кристалл 600 суфле 2 ящика с умыв. Океан</v>
      </c>
      <c r="H6176">
        <f>VLOOKUP(D6176,Товары!A:I,6,0)</f>
        <v>80</v>
      </c>
      <c r="I6176" t="str">
        <f>VLOOKUP(C6176,Магазины!A:C,3,0)</f>
        <v>Набережные Челны</v>
      </c>
      <c r="J6176">
        <f>VLOOKUP(D6176,Товары!A:I,4,0)</f>
        <v>27600</v>
      </c>
      <c r="K6176">
        <f t="shared" si="96"/>
        <v>82800</v>
      </c>
    </row>
    <row r="6177" spans="1:11" hidden="1" x14ac:dyDescent="0.25">
      <c r="A6177">
        <v>6176</v>
      </c>
      <c r="B6177" s="1">
        <v>45757</v>
      </c>
      <c r="C6177" t="s">
        <v>18</v>
      </c>
      <c r="D6177" t="s">
        <v>40</v>
      </c>
      <c r="E6177" t="s">
        <v>13</v>
      </c>
      <c r="F6177">
        <v>2</v>
      </c>
      <c r="G6177" t="str">
        <f>VLOOKUP(D6177,Товары!A:I,3,0)</f>
        <v>Тумба с раковиной  навес. Рица 800 cерый/керамика 1 ящик + ниша 1 с умыв. Слим</v>
      </c>
      <c r="H6177">
        <f>VLOOKUP(D6177,Товары!A:I,6,0)</f>
        <v>60</v>
      </c>
      <c r="I6177" t="str">
        <f>VLOOKUP(C6177,Магазины!A:C,3,0)</f>
        <v>Набережные Челны</v>
      </c>
      <c r="J6177">
        <f>VLOOKUP(D6177,Товары!A:I,4,0)</f>
        <v>22425</v>
      </c>
      <c r="K6177">
        <f t="shared" si="96"/>
        <v>44850</v>
      </c>
    </row>
    <row r="6178" spans="1:11" hidden="1" x14ac:dyDescent="0.25">
      <c r="A6178">
        <v>6177</v>
      </c>
      <c r="B6178" s="1">
        <v>45756</v>
      </c>
      <c r="C6178" t="s">
        <v>103</v>
      </c>
      <c r="D6178" t="s">
        <v>112</v>
      </c>
      <c r="E6178" t="s">
        <v>13</v>
      </c>
      <c r="F6178">
        <v>2</v>
      </c>
      <c r="G6178" t="str">
        <f>VLOOKUP(D6178,Товары!A:I,3,0)</f>
        <v>Тумба с раковиной  напол. Аква 560 белый 2 двери с умыв. Уют</v>
      </c>
      <c r="H6178">
        <f>VLOOKUP(D6178,Товары!A:I,6,0)</f>
        <v>85</v>
      </c>
      <c r="I6178" t="str">
        <f>VLOOKUP(C6178,Магазины!A:C,3,0)</f>
        <v>Ставрополь</v>
      </c>
      <c r="J6178">
        <f>VLOOKUP(D6178,Товары!A:I,4,0)</f>
        <v>9330</v>
      </c>
      <c r="K6178">
        <f t="shared" si="96"/>
        <v>18660</v>
      </c>
    </row>
    <row r="6179" spans="1:11" hidden="1" x14ac:dyDescent="0.25">
      <c r="A6179">
        <v>6178</v>
      </c>
      <c r="B6179" s="1">
        <v>45754</v>
      </c>
      <c r="C6179" t="s">
        <v>54</v>
      </c>
      <c r="D6179" t="s">
        <v>125</v>
      </c>
      <c r="E6179" t="s">
        <v>8</v>
      </c>
      <c r="F6179">
        <v>2</v>
      </c>
      <c r="G6179" t="str">
        <f>VLOOKUP(D6179,Товары!A:I,3,0)</f>
        <v>Зеркальный шкаф Сохо 60 белый со светильником правый цвет Белый глянец</v>
      </c>
      <c r="H6179">
        <f>VLOOKUP(D6179,Товары!A:I,6,0)</f>
        <v>75</v>
      </c>
      <c r="I6179" t="str">
        <f>VLOOKUP(C6179,Магазины!A:C,3,0)</f>
        <v>Ставрополь</v>
      </c>
      <c r="J6179">
        <f>VLOOKUP(D6179,Товары!A:I,4,0)</f>
        <v>7395</v>
      </c>
      <c r="K6179">
        <f t="shared" si="96"/>
        <v>14790</v>
      </c>
    </row>
    <row r="6180" spans="1:11" hidden="1" x14ac:dyDescent="0.25">
      <c r="A6180">
        <v>6179</v>
      </c>
      <c r="B6180" s="1">
        <v>45757</v>
      </c>
      <c r="C6180" t="s">
        <v>28</v>
      </c>
      <c r="D6180" t="s">
        <v>25</v>
      </c>
      <c r="E6180" t="s">
        <v>13</v>
      </c>
      <c r="F6180">
        <v>3</v>
      </c>
      <c r="G6180" t="str">
        <f>VLOOKUP(D6180,Товары!A:I,3,0)</f>
        <v>Пенал напол. Леон 400 оникс 2 двери + 1 ящик</v>
      </c>
      <c r="H6180">
        <f>VLOOKUP(D6180,Товары!A:I,6,0)</f>
        <v>190</v>
      </c>
      <c r="I6180" t="str">
        <f>VLOOKUP(C6180,Магазины!A:C,3,0)</f>
        <v>Набережные Челны</v>
      </c>
      <c r="J6180">
        <f>VLOOKUP(D6180,Товары!A:I,4,0)</f>
        <v>18450</v>
      </c>
      <c r="K6180">
        <f t="shared" si="96"/>
        <v>55350</v>
      </c>
    </row>
    <row r="6181" spans="1:11" hidden="1" x14ac:dyDescent="0.25">
      <c r="A6181">
        <v>6180</v>
      </c>
      <c r="B6181" s="1">
        <v>45752</v>
      </c>
      <c r="C6181" t="s">
        <v>63</v>
      </c>
      <c r="D6181" t="s">
        <v>15</v>
      </c>
      <c r="E6181" t="s">
        <v>8</v>
      </c>
      <c r="F6181">
        <v>2</v>
      </c>
      <c r="G6181" t="str">
        <f>VLOOKUP(D6181,Товары!A:I,3,0)</f>
        <v>Зеркальный шкаф Кристалл 60 со светильником правый, ручка кнопка дуб цвет Шато Азур</v>
      </c>
      <c r="H6181">
        <f>VLOOKUP(D6181,Товары!A:I,6,0)</f>
        <v>75</v>
      </c>
      <c r="I6181" t="str">
        <f>VLOOKUP(C6181,Магазины!A:C,3,0)</f>
        <v>Ставрополь</v>
      </c>
      <c r="J6181">
        <f>VLOOKUP(D6181,Товары!A:I,4,0)</f>
        <v>9195</v>
      </c>
      <c r="K6181">
        <f t="shared" si="96"/>
        <v>18390</v>
      </c>
    </row>
    <row r="6182" spans="1:11" hidden="1" x14ac:dyDescent="0.25">
      <c r="A6182">
        <v>6181</v>
      </c>
      <c r="B6182" s="1">
        <v>45756</v>
      </c>
      <c r="C6182" t="s">
        <v>14</v>
      </c>
      <c r="D6182" t="s">
        <v>76</v>
      </c>
      <c r="E6182" t="s">
        <v>8</v>
      </c>
      <c r="F6182">
        <v>1</v>
      </c>
      <c r="G6182" t="str">
        <f>VLOOKUP(D6182,Товары!A:I,3,0)</f>
        <v>Тумба с раковиной  напол. Леон 600 оникс 2 ящика с умыв. Слим</v>
      </c>
      <c r="H6182">
        <f>VLOOKUP(D6182,Товары!A:I,6,0)</f>
        <v>80</v>
      </c>
      <c r="I6182" t="str">
        <f>VLOOKUP(C6182,Магазины!A:C,3,0)</f>
        <v>Оренбург</v>
      </c>
      <c r="J6182">
        <f>VLOOKUP(D6182,Товары!A:I,4,0)</f>
        <v>25860</v>
      </c>
      <c r="K6182">
        <f t="shared" si="96"/>
        <v>25860</v>
      </c>
    </row>
    <row r="6183" spans="1:11" hidden="1" x14ac:dyDescent="0.25">
      <c r="A6183">
        <v>6182</v>
      </c>
      <c r="B6183" s="1">
        <v>45757</v>
      </c>
      <c r="C6183" t="s">
        <v>26</v>
      </c>
      <c r="D6183" t="s">
        <v>60</v>
      </c>
      <c r="E6183" t="s">
        <v>8</v>
      </c>
      <c r="F6183">
        <v>2</v>
      </c>
      <c r="G6183" t="str">
        <f>VLOOKUP(D6183,Товары!A:I,3,0)</f>
        <v>Пенал навес. Куба Риф 350 белый 2 двери</v>
      </c>
      <c r="H6183">
        <f>VLOOKUP(D6183,Товары!A:I,6,0)</f>
        <v>150</v>
      </c>
      <c r="I6183" t="str">
        <f>VLOOKUP(C6183,Магазины!A:C,3,0)</f>
        <v>Оренбург</v>
      </c>
      <c r="J6183">
        <f>VLOOKUP(D6183,Товары!A:I,4,0)</f>
        <v>9720</v>
      </c>
      <c r="K6183">
        <f t="shared" si="96"/>
        <v>19440</v>
      </c>
    </row>
    <row r="6184" spans="1:11" hidden="1" x14ac:dyDescent="0.25">
      <c r="A6184">
        <v>6183</v>
      </c>
      <c r="B6184" s="1">
        <v>45755</v>
      </c>
      <c r="C6184" t="s">
        <v>28</v>
      </c>
      <c r="D6184" t="s">
        <v>89</v>
      </c>
      <c r="E6184" t="s">
        <v>13</v>
      </c>
      <c r="F6184">
        <v>1</v>
      </c>
      <c r="G6184" t="str">
        <f>VLOOKUP(D6184,Товары!A:I,3,0)</f>
        <v>Тумба с раковиной  напол. Сохо 600 белый 2 двери с умыв. Океан</v>
      </c>
      <c r="H6184">
        <f>VLOOKUP(D6184,Товары!A:I,6,0)</f>
        <v>85</v>
      </c>
      <c r="I6184" t="str">
        <f>VLOOKUP(C6184,Магазины!A:C,3,0)</f>
        <v>Набережные Челны</v>
      </c>
      <c r="J6184">
        <f>VLOOKUP(D6184,Товары!A:I,4,0)</f>
        <v>14880</v>
      </c>
      <c r="K6184">
        <f t="shared" si="96"/>
        <v>14880</v>
      </c>
    </row>
    <row r="6185" spans="1:11" hidden="1" x14ac:dyDescent="0.25">
      <c r="A6185">
        <v>6184</v>
      </c>
      <c r="B6185" s="1">
        <v>45752</v>
      </c>
      <c r="C6185" t="s">
        <v>22</v>
      </c>
      <c r="D6185" t="s">
        <v>84</v>
      </c>
      <c r="E6185" t="s">
        <v>13</v>
      </c>
      <c r="F6185">
        <v>3</v>
      </c>
      <c r="G6185" t="str">
        <f>VLOOKUP(D6185,Товары!A:I,3,0)</f>
        <v>Тумба с раковиной  напол. Куба Риф 800 белый 3 двери с умыв. Слим</v>
      </c>
      <c r="H6185">
        <f>VLOOKUP(D6185,Товары!A:I,6,0)</f>
        <v>85</v>
      </c>
      <c r="I6185" t="str">
        <f>VLOOKUP(C6185,Магазины!A:C,3,0)</f>
        <v>Кемерово</v>
      </c>
      <c r="J6185">
        <f>VLOOKUP(D6185,Товары!A:I,4,0)</f>
        <v>19920</v>
      </c>
      <c r="K6185">
        <f t="shared" si="96"/>
        <v>59760</v>
      </c>
    </row>
    <row r="6186" spans="1:11" hidden="1" x14ac:dyDescent="0.25">
      <c r="A6186">
        <v>6185</v>
      </c>
      <c r="B6186" s="1">
        <v>45749</v>
      </c>
      <c r="C6186" t="s">
        <v>58</v>
      </c>
      <c r="D6186" t="s">
        <v>56</v>
      </c>
      <c r="E6186" t="s">
        <v>13</v>
      </c>
      <c r="F6186">
        <v>3</v>
      </c>
      <c r="G6186" t="str">
        <f>VLOOKUP(D6186,Товары!A:I,3,0)</f>
        <v>Зеркальный шкаф Альба 80 со светильником правый цвет мята</v>
      </c>
      <c r="H6186">
        <f>VLOOKUP(D6186,Товары!A:I,6,0)</f>
        <v>75</v>
      </c>
      <c r="I6186" t="str">
        <f>VLOOKUP(C6186,Магазины!A:C,3,0)</f>
        <v>Ставрополь</v>
      </c>
      <c r="J6186">
        <f>VLOOKUP(D6186,Товары!A:I,4,0)</f>
        <v>9930</v>
      </c>
      <c r="K6186">
        <f t="shared" si="96"/>
        <v>29790</v>
      </c>
    </row>
    <row r="6187" spans="1:11" hidden="1" x14ac:dyDescent="0.25">
      <c r="A6187">
        <v>6186</v>
      </c>
      <c r="B6187" s="1">
        <v>45752</v>
      </c>
      <c r="C6187" t="s">
        <v>14</v>
      </c>
      <c r="D6187" t="s">
        <v>7</v>
      </c>
      <c r="E6187" t="s">
        <v>13</v>
      </c>
      <c r="F6187">
        <v>1</v>
      </c>
      <c r="G6187" t="str">
        <f>VLOOKUP(D6187,Товары!A:I,3,0)</f>
        <v>Пенал напол. Леон Риф 400 солярис/белый риф 2 двери + 1 ящик</v>
      </c>
      <c r="H6187">
        <f>VLOOKUP(D6187,Товары!A:I,6,0)</f>
        <v>190</v>
      </c>
      <c r="I6187" t="str">
        <f>VLOOKUP(C6187,Магазины!A:C,3,0)</f>
        <v>Оренбург</v>
      </c>
      <c r="J6187">
        <f>VLOOKUP(D6187,Товары!A:I,4,0)</f>
        <v>14490</v>
      </c>
      <c r="K6187">
        <f t="shared" si="96"/>
        <v>14490</v>
      </c>
    </row>
    <row r="6188" spans="1:11" hidden="1" x14ac:dyDescent="0.25">
      <c r="A6188">
        <v>6187</v>
      </c>
      <c r="B6188" s="1">
        <v>45756</v>
      </c>
      <c r="C6188" t="s">
        <v>41</v>
      </c>
      <c r="D6188" t="s">
        <v>29</v>
      </c>
      <c r="E6188" t="s">
        <v>8</v>
      </c>
      <c r="F6188">
        <v>3</v>
      </c>
      <c r="G6188" t="str">
        <f>VLOOKUP(D6188,Товары!A:I,3,0)</f>
        <v>Тумба с раковиной  напол. Леон Риф 600 солярис/белый риф 2 ящика с умыв. Океан</v>
      </c>
      <c r="H6188">
        <f>VLOOKUP(D6188,Товары!A:I,6,0)</f>
        <v>80</v>
      </c>
      <c r="I6188" t="str">
        <f>VLOOKUP(C6188,Магазины!A:C,3,0)</f>
        <v>Ставрополь</v>
      </c>
      <c r="J6188">
        <f>VLOOKUP(D6188,Товары!A:I,4,0)</f>
        <v>24150</v>
      </c>
      <c r="K6188">
        <f t="shared" si="96"/>
        <v>72450</v>
      </c>
    </row>
    <row r="6189" spans="1:11" hidden="1" x14ac:dyDescent="0.25">
      <c r="A6189">
        <v>6188</v>
      </c>
      <c r="B6189" s="1">
        <v>45751</v>
      </c>
      <c r="C6189" t="s">
        <v>54</v>
      </c>
      <c r="D6189" t="s">
        <v>114</v>
      </c>
      <c r="E6189" t="s">
        <v>8</v>
      </c>
      <c r="F6189">
        <v>1</v>
      </c>
      <c r="G6189" t="str">
        <f>VLOOKUP(D6189,Товары!A:I,3,0)</f>
        <v>Тумба с раковиной  навес. Альба 700 мята 2 ящика с умыв. Слим</v>
      </c>
      <c r="H6189">
        <f>VLOOKUP(D6189,Товары!A:I,6,0)</f>
        <v>60</v>
      </c>
      <c r="I6189" t="str">
        <f>VLOOKUP(C6189,Магазины!A:C,3,0)</f>
        <v>Ставрополь</v>
      </c>
      <c r="J6189">
        <f>VLOOKUP(D6189,Товары!A:I,4,0)</f>
        <v>25095</v>
      </c>
      <c r="K6189">
        <f t="shared" si="96"/>
        <v>25095</v>
      </c>
    </row>
    <row r="6190" spans="1:11" hidden="1" x14ac:dyDescent="0.25">
      <c r="A6190">
        <v>6189</v>
      </c>
      <c r="B6190" s="1">
        <v>45748</v>
      </c>
      <c r="C6190" t="s">
        <v>92</v>
      </c>
      <c r="D6190" t="s">
        <v>17</v>
      </c>
      <c r="E6190" t="s">
        <v>8</v>
      </c>
      <c r="F6190">
        <v>2</v>
      </c>
      <c r="G6190" t="str">
        <f>VLOOKUP(D6190,Товары!A:I,3,0)</f>
        <v>Тумба с раковиной  навес. Альба 800 антрацит 1 ящик с умыв. Слим</v>
      </c>
      <c r="H6190">
        <f>VLOOKUP(D6190,Товары!A:I,6,0)</f>
        <v>45</v>
      </c>
      <c r="I6190" t="str">
        <f>VLOOKUP(C6190,Магазины!A:C,3,0)</f>
        <v>Кемерово</v>
      </c>
      <c r="J6190">
        <f>VLOOKUP(D6190,Товары!A:I,4,0)</f>
        <v>21630</v>
      </c>
      <c r="K6190">
        <f t="shared" si="96"/>
        <v>43260</v>
      </c>
    </row>
    <row r="6191" spans="1:11" hidden="1" x14ac:dyDescent="0.25">
      <c r="A6191">
        <v>6190</v>
      </c>
      <c r="B6191" s="1">
        <v>45755</v>
      </c>
      <c r="C6191" t="s">
        <v>63</v>
      </c>
      <c r="D6191" t="s">
        <v>109</v>
      </c>
      <c r="E6191" t="s">
        <v>13</v>
      </c>
      <c r="F6191">
        <v>3</v>
      </c>
      <c r="G6191" t="str">
        <f>VLOOKUP(D6191,Товары!A:I,3,0)</f>
        <v>Тумба с раковиной  навес. Альба 600 антрацит 2 ящика с умыв. Океан</v>
      </c>
      <c r="H6191">
        <f>VLOOKUP(D6191,Товары!A:I,6,0)</f>
        <v>50</v>
      </c>
      <c r="I6191" t="str">
        <f>VLOOKUP(C6191,Магазины!A:C,3,0)</f>
        <v>Ставрополь</v>
      </c>
      <c r="J6191">
        <f>VLOOKUP(D6191,Товары!A:I,4,0)</f>
        <v>24810</v>
      </c>
      <c r="K6191">
        <f t="shared" si="96"/>
        <v>74430</v>
      </c>
    </row>
    <row r="6192" spans="1:11" hidden="1" x14ac:dyDescent="0.25">
      <c r="A6192">
        <v>6191</v>
      </c>
      <c r="B6192" s="1">
        <v>45751</v>
      </c>
      <c r="C6192" t="s">
        <v>103</v>
      </c>
      <c r="D6192" t="s">
        <v>42</v>
      </c>
      <c r="E6192" t="s">
        <v>13</v>
      </c>
      <c r="F6192">
        <v>2</v>
      </c>
      <c r="G6192" t="str">
        <f>VLOOKUP(D6192,Товары!A:I,3,0)</f>
        <v>Тумба под стиральную машину Леон Риф 57 подвесная 2 ящика под ст/маш, без умывальника /под Marshall 120 Солярис/Белый Риф</v>
      </c>
      <c r="H6192">
        <f>VLOOKUP(D6192,Товары!A:I,6,0)</f>
        <v>60</v>
      </c>
      <c r="I6192" t="str">
        <f>VLOOKUP(C6192,Магазины!A:C,3,0)</f>
        <v>Ставрополь</v>
      </c>
      <c r="J6192">
        <f>VLOOKUP(D6192,Товары!A:I,4,0)</f>
        <v>15495</v>
      </c>
      <c r="K6192">
        <f t="shared" si="96"/>
        <v>30990</v>
      </c>
    </row>
    <row r="6193" spans="1:11" hidden="1" x14ac:dyDescent="0.25">
      <c r="A6193">
        <v>6192</v>
      </c>
      <c r="B6193" s="1">
        <v>45752</v>
      </c>
      <c r="C6193" t="s">
        <v>33</v>
      </c>
      <c r="D6193" t="s">
        <v>82</v>
      </c>
      <c r="E6193" t="s">
        <v>8</v>
      </c>
      <c r="F6193">
        <v>3</v>
      </c>
      <c r="G6193" t="str">
        <f>VLOOKUP(D6193,Товары!A:I,3,0)</f>
        <v>Тумба с раковиной  навес. Леон 800 форест 2 ящика с умыв. Слим</v>
      </c>
      <c r="H6193">
        <f>VLOOKUP(D6193,Товары!A:I,6,0)</f>
        <v>60</v>
      </c>
      <c r="I6193" t="str">
        <f>VLOOKUP(C6193,Магазины!A:C,3,0)</f>
        <v>Набережные Челны</v>
      </c>
      <c r="J6193">
        <f>VLOOKUP(D6193,Товары!A:I,4,0)</f>
        <v>27930</v>
      </c>
      <c r="K6193">
        <f t="shared" si="96"/>
        <v>83790</v>
      </c>
    </row>
    <row r="6194" spans="1:11" hidden="1" x14ac:dyDescent="0.25">
      <c r="A6194">
        <v>6193</v>
      </c>
      <c r="B6194" s="1">
        <v>45754</v>
      </c>
      <c r="C6194" t="s">
        <v>6</v>
      </c>
      <c r="D6194" t="s">
        <v>83</v>
      </c>
      <c r="E6194" t="s">
        <v>8</v>
      </c>
      <c r="F6194">
        <v>1</v>
      </c>
      <c r="G6194" t="str">
        <f>VLOOKUP(D6194,Товары!A:I,3,0)</f>
        <v>Зеркальный шкаф Альба 60 со светильником правый цвет суфле</v>
      </c>
      <c r="H6194">
        <f>VLOOKUP(D6194,Товары!A:I,6,0)</f>
        <v>75</v>
      </c>
      <c r="I6194" t="str">
        <f>VLOOKUP(C6194,Магазины!A:C,3,0)</f>
        <v>Оренбург</v>
      </c>
      <c r="J6194">
        <f>VLOOKUP(D6194,Товары!A:I,4,0)</f>
        <v>8910</v>
      </c>
      <c r="K6194">
        <f t="shared" si="96"/>
        <v>8910</v>
      </c>
    </row>
    <row r="6195" spans="1:11" hidden="1" x14ac:dyDescent="0.25">
      <c r="A6195">
        <v>6194</v>
      </c>
      <c r="B6195" s="1">
        <v>45755</v>
      </c>
      <c r="C6195" t="s">
        <v>26</v>
      </c>
      <c r="D6195" t="s">
        <v>101</v>
      </c>
      <c r="E6195" t="s">
        <v>8</v>
      </c>
      <c r="F6195">
        <v>2</v>
      </c>
      <c r="G6195" t="str">
        <f>VLOOKUP(D6195,Товары!A:I,3,0)</f>
        <v>Пенал напол. Сохо 400 белый 2 двери + 1 ящик</v>
      </c>
      <c r="H6195">
        <f>VLOOKUP(D6195,Товары!A:I,6,0)</f>
        <v>190</v>
      </c>
      <c r="I6195" t="str">
        <f>VLOOKUP(C6195,Магазины!A:C,3,0)</f>
        <v>Оренбург</v>
      </c>
      <c r="J6195">
        <f>VLOOKUP(D6195,Товары!A:I,4,0)</f>
        <v>11040</v>
      </c>
      <c r="K6195">
        <f t="shared" si="96"/>
        <v>22080</v>
      </c>
    </row>
    <row r="6196" spans="1:11" hidden="1" x14ac:dyDescent="0.25">
      <c r="A6196">
        <v>6195</v>
      </c>
      <c r="B6196" s="1">
        <v>45753</v>
      </c>
      <c r="C6196" t="s">
        <v>54</v>
      </c>
      <c r="D6196" t="s">
        <v>51</v>
      </c>
      <c r="E6196" t="s">
        <v>13</v>
      </c>
      <c r="F6196">
        <v>3</v>
      </c>
      <c r="G6196" t="str">
        <f>VLOOKUP(D6196,Товары!A:I,3,0)</f>
        <v>Зеркальный шкаф Альба 80 со светильником правый цвет суфле</v>
      </c>
      <c r="H6196">
        <f>VLOOKUP(D6196,Товары!A:I,6,0)</f>
        <v>75</v>
      </c>
      <c r="I6196" t="str">
        <f>VLOOKUP(C6196,Магазины!A:C,3,0)</f>
        <v>Ставрополь</v>
      </c>
      <c r="J6196">
        <f>VLOOKUP(D6196,Товары!A:I,4,0)</f>
        <v>9930</v>
      </c>
      <c r="K6196">
        <f t="shared" si="96"/>
        <v>29790</v>
      </c>
    </row>
    <row r="6197" spans="1:11" hidden="1" x14ac:dyDescent="0.25">
      <c r="A6197">
        <v>6196</v>
      </c>
      <c r="B6197" s="1">
        <v>45754</v>
      </c>
      <c r="C6197" t="s">
        <v>20</v>
      </c>
      <c r="D6197" t="s">
        <v>56</v>
      </c>
      <c r="E6197" t="s">
        <v>8</v>
      </c>
      <c r="F6197">
        <v>3</v>
      </c>
      <c r="G6197" t="str">
        <f>VLOOKUP(D6197,Товары!A:I,3,0)</f>
        <v>Зеркальный шкаф Альба 80 со светильником правый цвет мята</v>
      </c>
      <c r="H6197">
        <f>VLOOKUP(D6197,Товары!A:I,6,0)</f>
        <v>75</v>
      </c>
      <c r="I6197" t="str">
        <f>VLOOKUP(C6197,Магазины!A:C,3,0)</f>
        <v>Оренбург</v>
      </c>
      <c r="J6197">
        <f>VLOOKUP(D6197,Товары!A:I,4,0)</f>
        <v>9930</v>
      </c>
      <c r="K6197">
        <f t="shared" si="96"/>
        <v>29790</v>
      </c>
    </row>
    <row r="6198" spans="1:11" hidden="1" x14ac:dyDescent="0.25">
      <c r="A6198">
        <v>6197</v>
      </c>
      <c r="B6198" s="1">
        <v>45757</v>
      </c>
      <c r="C6198" t="s">
        <v>14</v>
      </c>
      <c r="D6198" t="s">
        <v>123</v>
      </c>
      <c r="E6198" t="s">
        <v>8</v>
      </c>
      <c r="F6198">
        <v>2</v>
      </c>
      <c r="G6198" t="str">
        <f>VLOOKUP(D6198,Товары!A:I,3,0)</f>
        <v>Тумба с раковиной  напол. Кристалл 800 суфле 2 ящика с умыв. Слим</v>
      </c>
      <c r="H6198">
        <f>VLOOKUP(D6198,Товары!A:I,6,0)</f>
        <v>80</v>
      </c>
      <c r="I6198" t="str">
        <f>VLOOKUP(C6198,Магазины!A:C,3,0)</f>
        <v>Оренбург</v>
      </c>
      <c r="J6198">
        <f>VLOOKUP(D6198,Товары!A:I,4,0)</f>
        <v>31125</v>
      </c>
      <c r="K6198">
        <f t="shared" si="96"/>
        <v>62250</v>
      </c>
    </row>
    <row r="6199" spans="1:11" hidden="1" x14ac:dyDescent="0.25">
      <c r="A6199">
        <v>6198</v>
      </c>
      <c r="B6199" s="1">
        <v>45748</v>
      </c>
      <c r="C6199" t="s">
        <v>41</v>
      </c>
      <c r="D6199" t="s">
        <v>44</v>
      </c>
      <c r="E6199" t="s">
        <v>8</v>
      </c>
      <c r="F6199">
        <v>3</v>
      </c>
      <c r="G6199" t="str">
        <f>VLOOKUP(D6199,Товары!A:I,3,0)</f>
        <v>Тумба с раковиной  навес. Кристалл 800 шато азур 2 ящика с умыв. Комфорт</v>
      </c>
      <c r="H6199">
        <f>VLOOKUP(D6199,Товары!A:I,6,0)</f>
        <v>55</v>
      </c>
      <c r="I6199" t="str">
        <f>VLOOKUP(C6199,Магазины!A:C,3,0)</f>
        <v>Ставрополь</v>
      </c>
      <c r="J6199">
        <f>VLOOKUP(D6199,Товары!A:I,4,0)</f>
        <v>25080</v>
      </c>
      <c r="K6199">
        <f t="shared" si="96"/>
        <v>75240</v>
      </c>
    </row>
    <row r="6200" spans="1:11" hidden="1" x14ac:dyDescent="0.25">
      <c r="A6200">
        <v>6199</v>
      </c>
      <c r="B6200" s="1">
        <v>45755</v>
      </c>
      <c r="C6200" t="s">
        <v>20</v>
      </c>
      <c r="D6200" t="s">
        <v>81</v>
      </c>
      <c r="E6200" t="s">
        <v>13</v>
      </c>
      <c r="F6200">
        <v>1</v>
      </c>
      <c r="G6200" t="str">
        <f>VLOOKUP(D6200,Товары!A:I,3,0)</f>
        <v>Тумба с раковиной  навес. Рица 600 cерый/керамика 1 ящик + ниша 1 с умыв. Океан</v>
      </c>
      <c r="H6200">
        <f>VLOOKUP(D6200,Товары!A:I,6,0)</f>
        <v>60</v>
      </c>
      <c r="I6200" t="str">
        <f>VLOOKUP(C6200,Магазины!A:C,3,0)</f>
        <v>Оренбург</v>
      </c>
      <c r="J6200">
        <f>VLOOKUP(D6200,Товары!A:I,4,0)</f>
        <v>18900</v>
      </c>
      <c r="K6200">
        <f t="shared" si="96"/>
        <v>18900</v>
      </c>
    </row>
    <row r="6201" spans="1:11" hidden="1" x14ac:dyDescent="0.25">
      <c r="A6201">
        <v>6200</v>
      </c>
      <c r="B6201" s="1">
        <v>45755</v>
      </c>
      <c r="C6201" t="s">
        <v>22</v>
      </c>
      <c r="D6201" t="s">
        <v>60</v>
      </c>
      <c r="E6201" t="s">
        <v>8</v>
      </c>
      <c r="F6201">
        <v>3</v>
      </c>
      <c r="G6201" t="str">
        <f>VLOOKUP(D6201,Товары!A:I,3,0)</f>
        <v>Пенал навес. Куба Риф 350 белый 2 двери</v>
      </c>
      <c r="H6201">
        <f>VLOOKUP(D6201,Товары!A:I,6,0)</f>
        <v>150</v>
      </c>
      <c r="I6201" t="str">
        <f>VLOOKUP(C6201,Магазины!A:C,3,0)</f>
        <v>Кемерово</v>
      </c>
      <c r="J6201">
        <f>VLOOKUP(D6201,Товары!A:I,4,0)</f>
        <v>9720</v>
      </c>
      <c r="K6201">
        <f t="shared" si="96"/>
        <v>29160</v>
      </c>
    </row>
    <row r="6202" spans="1:11" hidden="1" x14ac:dyDescent="0.25">
      <c r="A6202">
        <v>6201</v>
      </c>
      <c r="B6202" s="1">
        <v>45755</v>
      </c>
      <c r="C6202" t="s">
        <v>33</v>
      </c>
      <c r="D6202" t="s">
        <v>97</v>
      </c>
      <c r="E6202" t="s">
        <v>8</v>
      </c>
      <c r="F6202">
        <v>2</v>
      </c>
      <c r="G6202" t="str">
        <f>VLOOKUP(D6202,Товары!A:I,3,0)</f>
        <v>Пенал напол. Кристалл 350 суфле 2 двери</v>
      </c>
      <c r="H6202">
        <f>VLOOKUP(D6202,Товары!A:I,6,0)</f>
        <v>190</v>
      </c>
      <c r="I6202" t="str">
        <f>VLOOKUP(C6202,Магазины!A:C,3,0)</f>
        <v>Набережные Челны</v>
      </c>
      <c r="J6202">
        <f>VLOOKUP(D6202,Товары!A:I,4,0)</f>
        <v>15810</v>
      </c>
      <c r="K6202">
        <f t="shared" si="96"/>
        <v>31620</v>
      </c>
    </row>
    <row r="6203" spans="1:11" hidden="1" x14ac:dyDescent="0.25">
      <c r="A6203">
        <v>6202</v>
      </c>
      <c r="B6203" s="1">
        <v>45757</v>
      </c>
      <c r="C6203" t="s">
        <v>111</v>
      </c>
      <c r="D6203" t="s">
        <v>108</v>
      </c>
      <c r="E6203" t="s">
        <v>8</v>
      </c>
      <c r="F6203">
        <v>3</v>
      </c>
      <c r="G6203" t="str">
        <f>VLOOKUP(D6203,Товары!A:I,3,0)</f>
        <v>Тумба с раковиной  навес. Виктория 1000 белый 2 ящика с умыв. Слим</v>
      </c>
      <c r="H6203">
        <f>VLOOKUP(D6203,Товары!A:I,6,0)</f>
        <v>60</v>
      </c>
      <c r="I6203" t="str">
        <f>VLOOKUP(C6203,Магазины!A:C,3,0)</f>
        <v>Набережные Челны</v>
      </c>
      <c r="J6203">
        <f>VLOOKUP(D6203,Товары!A:I,4,0)</f>
        <v>29205</v>
      </c>
      <c r="K6203">
        <f t="shared" si="96"/>
        <v>87615</v>
      </c>
    </row>
    <row r="6204" spans="1:11" hidden="1" x14ac:dyDescent="0.25">
      <c r="A6204">
        <v>6203</v>
      </c>
      <c r="B6204" s="1">
        <v>45755</v>
      </c>
      <c r="C6204" t="s">
        <v>43</v>
      </c>
      <c r="D6204" t="s">
        <v>89</v>
      </c>
      <c r="E6204" t="s">
        <v>13</v>
      </c>
      <c r="F6204">
        <v>2</v>
      </c>
      <c r="G6204" t="str">
        <f>VLOOKUP(D6204,Товары!A:I,3,0)</f>
        <v>Тумба с раковиной  напол. Сохо 600 белый 2 двери с умыв. Океан</v>
      </c>
      <c r="H6204">
        <f>VLOOKUP(D6204,Товары!A:I,6,0)</f>
        <v>85</v>
      </c>
      <c r="I6204" t="str">
        <f>VLOOKUP(C6204,Магазины!A:C,3,0)</f>
        <v>Набережные Челны</v>
      </c>
      <c r="J6204">
        <f>VLOOKUP(D6204,Товары!A:I,4,0)</f>
        <v>14880</v>
      </c>
      <c r="K6204">
        <f t="shared" si="96"/>
        <v>29760</v>
      </c>
    </row>
    <row r="6205" spans="1:11" hidden="1" x14ac:dyDescent="0.25">
      <c r="A6205">
        <v>6204</v>
      </c>
      <c r="B6205" s="1">
        <v>45749</v>
      </c>
      <c r="C6205" t="s">
        <v>9</v>
      </c>
      <c r="D6205" t="s">
        <v>122</v>
      </c>
      <c r="E6205" t="s">
        <v>8</v>
      </c>
      <c r="F6205">
        <v>2</v>
      </c>
      <c r="G6205" t="str">
        <f>VLOOKUP(D6205,Товары!A:I,3,0)</f>
        <v>Тумба с раковиной  навес. Кристалл 600 шато азур 2 ящика с умыв. Океан</v>
      </c>
      <c r="H6205">
        <f>VLOOKUP(D6205,Товары!A:I,6,0)</f>
        <v>55</v>
      </c>
      <c r="I6205" t="str">
        <f>VLOOKUP(C6205,Магазины!A:C,3,0)</f>
        <v>Кемерово</v>
      </c>
      <c r="J6205">
        <f>VLOOKUP(D6205,Товары!A:I,4,0)</f>
        <v>21960</v>
      </c>
      <c r="K6205">
        <f t="shared" si="96"/>
        <v>43920</v>
      </c>
    </row>
    <row r="6206" spans="1:11" hidden="1" x14ac:dyDescent="0.25">
      <c r="A6206">
        <v>6205</v>
      </c>
      <c r="B6206" s="1">
        <v>45749</v>
      </c>
      <c r="C6206" t="s">
        <v>22</v>
      </c>
      <c r="D6206" t="s">
        <v>124</v>
      </c>
      <c r="E6206" t="s">
        <v>13</v>
      </c>
      <c r="F6206">
        <v>3</v>
      </c>
      <c r="G6206" t="str">
        <f>VLOOKUP(D6206,Товары!A:I,3,0)</f>
        <v>Тумба с раковиной  напол. Леон 600 оникс 2 ящика с умыв. Океан</v>
      </c>
      <c r="H6206">
        <f>VLOOKUP(D6206,Товары!A:I,6,0)</f>
        <v>80</v>
      </c>
      <c r="I6206" t="str">
        <f>VLOOKUP(C6206,Магазины!A:C,3,0)</f>
        <v>Кемерово</v>
      </c>
      <c r="J6206">
        <f>VLOOKUP(D6206,Товары!A:I,4,0)</f>
        <v>25860</v>
      </c>
      <c r="K6206">
        <f t="shared" si="96"/>
        <v>77580</v>
      </c>
    </row>
    <row r="6207" spans="1:11" hidden="1" x14ac:dyDescent="0.25">
      <c r="A6207">
        <v>6206</v>
      </c>
      <c r="B6207" s="1">
        <v>45751</v>
      </c>
      <c r="C6207" t="s">
        <v>103</v>
      </c>
      <c r="D6207" t="s">
        <v>10</v>
      </c>
      <c r="E6207" t="s">
        <v>13</v>
      </c>
      <c r="F6207">
        <v>2</v>
      </c>
      <c r="G6207" t="str">
        <f>VLOOKUP(D6207,Товары!A:I,3,0)</f>
        <v>Тумба с раковиной  навес. Альба 700 антрацит 1 ящик с умыв. Слим</v>
      </c>
      <c r="H6207">
        <f>VLOOKUP(D6207,Товары!A:I,6,0)</f>
        <v>45</v>
      </c>
      <c r="I6207" t="str">
        <f>VLOOKUP(C6207,Магазины!A:C,3,0)</f>
        <v>Ставрополь</v>
      </c>
      <c r="J6207">
        <f>VLOOKUP(D6207,Товары!A:I,4,0)</f>
        <v>20130</v>
      </c>
      <c r="K6207">
        <f t="shared" si="96"/>
        <v>40260</v>
      </c>
    </row>
    <row r="6208" spans="1:11" hidden="1" x14ac:dyDescent="0.25">
      <c r="A6208">
        <v>6207</v>
      </c>
      <c r="B6208" s="1">
        <v>45755</v>
      </c>
      <c r="C6208" t="s">
        <v>54</v>
      </c>
      <c r="D6208" t="s">
        <v>78</v>
      </c>
      <c r="E6208" t="s">
        <v>8</v>
      </c>
      <c r="F6208">
        <v>3</v>
      </c>
      <c r="G6208" t="str">
        <f>VLOOKUP(D6208,Товары!A:I,3,0)</f>
        <v>Зеркальный шкаф Кристалл 70 со светильником правый, ручка кнопка дуб цвет Шато Азур</v>
      </c>
      <c r="H6208">
        <f>VLOOKUP(D6208,Товары!A:I,6,0)</f>
        <v>75</v>
      </c>
      <c r="I6208" t="str">
        <f>VLOOKUP(C6208,Магазины!A:C,3,0)</f>
        <v>Ставрополь</v>
      </c>
      <c r="J6208">
        <f>VLOOKUP(D6208,Товары!A:I,4,0)</f>
        <v>9615</v>
      </c>
      <c r="K6208">
        <f t="shared" si="96"/>
        <v>28845</v>
      </c>
    </row>
    <row r="6209" spans="1:11" hidden="1" x14ac:dyDescent="0.25">
      <c r="A6209">
        <v>6208</v>
      </c>
      <c r="B6209" s="1">
        <v>45753</v>
      </c>
      <c r="C6209" t="s">
        <v>43</v>
      </c>
      <c r="D6209" t="s">
        <v>80</v>
      </c>
      <c r="E6209" t="s">
        <v>13</v>
      </c>
      <c r="F6209">
        <v>2</v>
      </c>
      <c r="G6209" t="str">
        <f>VLOOKUP(D6209,Товары!A:I,3,0)</f>
        <v>Тумба с раковиной  навес. Сохо 600 белый 2 ящика с умыв. Океан</v>
      </c>
      <c r="H6209">
        <f>VLOOKUP(D6209,Товары!A:I,6,0)</f>
        <v>55</v>
      </c>
      <c r="I6209" t="str">
        <f>VLOOKUP(C6209,Магазины!A:C,3,0)</f>
        <v>Набережные Челны</v>
      </c>
      <c r="J6209">
        <f>VLOOKUP(D6209,Товары!A:I,4,0)</f>
        <v>13950</v>
      </c>
      <c r="K6209">
        <f t="shared" si="96"/>
        <v>27900</v>
      </c>
    </row>
    <row r="6210" spans="1:11" hidden="1" x14ac:dyDescent="0.25">
      <c r="A6210">
        <v>6209</v>
      </c>
      <c r="B6210" s="1">
        <v>45753</v>
      </c>
      <c r="C6210" t="s">
        <v>16</v>
      </c>
      <c r="D6210" t="s">
        <v>56</v>
      </c>
      <c r="E6210" t="s">
        <v>8</v>
      </c>
      <c r="F6210">
        <v>3</v>
      </c>
      <c r="G6210" t="str">
        <f>VLOOKUP(D6210,Товары!A:I,3,0)</f>
        <v>Зеркальный шкаф Альба 80 со светильником правый цвет мята</v>
      </c>
      <c r="H6210">
        <f>VLOOKUP(D6210,Товары!A:I,6,0)</f>
        <v>75</v>
      </c>
      <c r="I6210" t="str">
        <f>VLOOKUP(C6210,Магазины!A:C,3,0)</f>
        <v>Оренбург</v>
      </c>
      <c r="J6210">
        <f>VLOOKUP(D6210,Товары!A:I,4,0)</f>
        <v>9930</v>
      </c>
      <c r="K6210">
        <f t="shared" si="96"/>
        <v>29790</v>
      </c>
    </row>
    <row r="6211" spans="1:11" hidden="1" x14ac:dyDescent="0.25">
      <c r="A6211">
        <v>6210</v>
      </c>
      <c r="B6211" s="1">
        <v>45757</v>
      </c>
      <c r="C6211" t="s">
        <v>54</v>
      </c>
      <c r="D6211" t="s">
        <v>25</v>
      </c>
      <c r="E6211" t="s">
        <v>13</v>
      </c>
      <c r="F6211">
        <v>2</v>
      </c>
      <c r="G6211" t="str">
        <f>VLOOKUP(D6211,Товары!A:I,3,0)</f>
        <v>Пенал напол. Леон 400 оникс 2 двери + 1 ящик</v>
      </c>
      <c r="H6211">
        <f>VLOOKUP(D6211,Товары!A:I,6,0)</f>
        <v>190</v>
      </c>
      <c r="I6211" t="str">
        <f>VLOOKUP(C6211,Магазины!A:C,3,0)</f>
        <v>Ставрополь</v>
      </c>
      <c r="J6211">
        <f>VLOOKUP(D6211,Товары!A:I,4,0)</f>
        <v>18450</v>
      </c>
      <c r="K6211">
        <f t="shared" ref="K6211:K6274" si="97">J6211*F6211</f>
        <v>36900</v>
      </c>
    </row>
    <row r="6212" spans="1:11" hidden="1" x14ac:dyDescent="0.25">
      <c r="A6212">
        <v>6211</v>
      </c>
      <c r="B6212" s="1">
        <v>45751</v>
      </c>
      <c r="C6212" t="s">
        <v>103</v>
      </c>
      <c r="D6212" t="s">
        <v>77</v>
      </c>
      <c r="E6212" t="s">
        <v>8</v>
      </c>
      <c r="F6212">
        <v>3</v>
      </c>
      <c r="G6212" t="str">
        <f>VLOOKUP(D6212,Товары!A:I,3,0)</f>
        <v>Тумба с раковиной  напол. Куба Риф 600 белый 2 ящика с умыв. Como</v>
      </c>
      <c r="H6212">
        <f>VLOOKUP(D6212,Товары!A:I,6,0)</f>
        <v>85</v>
      </c>
      <c r="I6212" t="str">
        <f>VLOOKUP(C6212,Магазины!A:C,3,0)</f>
        <v>Ставрополь</v>
      </c>
      <c r="J6212">
        <f>VLOOKUP(D6212,Товары!A:I,4,0)</f>
        <v>15660</v>
      </c>
      <c r="K6212">
        <f t="shared" si="97"/>
        <v>46980</v>
      </c>
    </row>
    <row r="6213" spans="1:11" hidden="1" x14ac:dyDescent="0.25">
      <c r="A6213">
        <v>6212</v>
      </c>
      <c r="B6213" s="1">
        <v>45754</v>
      </c>
      <c r="C6213" t="s">
        <v>14</v>
      </c>
      <c r="D6213" t="s">
        <v>128</v>
      </c>
      <c r="E6213" t="s">
        <v>8</v>
      </c>
      <c r="F6213">
        <v>3</v>
      </c>
      <c r="G6213" t="str">
        <f>VLOOKUP(D6213,Товары!A:I,3,0)</f>
        <v>Тумба с раковиной  напол. Куба Риф 1000 белый 2 ящика с умыв. Слим</v>
      </c>
      <c r="H6213">
        <f>VLOOKUP(D6213,Товары!A:I,6,0)</f>
        <v>85</v>
      </c>
      <c r="I6213" t="str">
        <f>VLOOKUP(C6213,Магазины!A:C,3,0)</f>
        <v>Оренбург</v>
      </c>
      <c r="J6213">
        <f>VLOOKUP(D6213,Товары!A:I,4,0)</f>
        <v>22905</v>
      </c>
      <c r="K6213">
        <f t="shared" si="97"/>
        <v>68715</v>
      </c>
    </row>
    <row r="6214" spans="1:11" hidden="1" x14ac:dyDescent="0.25">
      <c r="A6214">
        <v>6213</v>
      </c>
      <c r="B6214" s="1">
        <v>45750</v>
      </c>
      <c r="C6214" t="s">
        <v>16</v>
      </c>
      <c r="D6214" t="s">
        <v>38</v>
      </c>
      <c r="E6214" t="s">
        <v>13</v>
      </c>
      <c r="F6214">
        <v>2</v>
      </c>
      <c r="G6214" t="str">
        <f>VLOOKUP(D6214,Товары!A:I,3,0)</f>
        <v>Тумба с раковиной  навес. Куба Риф 600 белый 2 ящика с умыв. Como</v>
      </c>
      <c r="H6214">
        <f>VLOOKUP(D6214,Товары!A:I,6,0)</f>
        <v>55</v>
      </c>
      <c r="I6214" t="str">
        <f>VLOOKUP(C6214,Магазины!A:C,3,0)</f>
        <v>Оренбург</v>
      </c>
      <c r="J6214">
        <f>VLOOKUP(D6214,Товары!A:I,4,0)</f>
        <v>14265</v>
      </c>
      <c r="K6214">
        <f t="shared" si="97"/>
        <v>28530</v>
      </c>
    </row>
    <row r="6215" spans="1:11" hidden="1" x14ac:dyDescent="0.25">
      <c r="A6215">
        <v>6214</v>
      </c>
      <c r="B6215" s="1">
        <v>45750</v>
      </c>
      <c r="C6215" t="s">
        <v>48</v>
      </c>
      <c r="D6215" t="s">
        <v>15</v>
      </c>
      <c r="E6215" t="s">
        <v>13</v>
      </c>
      <c r="F6215">
        <v>3</v>
      </c>
      <c r="G6215" t="str">
        <f>VLOOKUP(D6215,Товары!A:I,3,0)</f>
        <v>Зеркальный шкаф Кристалл 60 со светильником правый, ручка кнопка дуб цвет Шато Азур</v>
      </c>
      <c r="H6215">
        <f>VLOOKUP(D6215,Товары!A:I,6,0)</f>
        <v>75</v>
      </c>
      <c r="I6215" t="str">
        <f>VLOOKUP(C6215,Магазины!A:C,3,0)</f>
        <v>Ставрополь</v>
      </c>
      <c r="J6215">
        <f>VLOOKUP(D6215,Товары!A:I,4,0)</f>
        <v>9195</v>
      </c>
      <c r="K6215">
        <f t="shared" si="97"/>
        <v>27585</v>
      </c>
    </row>
    <row r="6216" spans="1:11" hidden="1" x14ac:dyDescent="0.25">
      <c r="A6216">
        <v>6215</v>
      </c>
      <c r="B6216" s="1">
        <v>45757</v>
      </c>
      <c r="C6216" t="s">
        <v>6</v>
      </c>
      <c r="D6216" t="s">
        <v>86</v>
      </c>
      <c r="E6216" t="s">
        <v>13</v>
      </c>
      <c r="F6216">
        <v>3</v>
      </c>
      <c r="G6216" t="str">
        <f>VLOOKUP(D6216,Товары!A:I,3,0)</f>
        <v>Комод Аква 50 напольный 1 ящик 2 двери белый</v>
      </c>
      <c r="H6216">
        <f>VLOOKUP(D6216,Товары!A:I,6,0)</f>
        <v>90</v>
      </c>
      <c r="I6216" t="str">
        <f>VLOOKUP(C6216,Магазины!A:C,3,0)</f>
        <v>Оренбург</v>
      </c>
      <c r="J6216">
        <f>VLOOKUP(D6216,Товары!A:I,4,0)</f>
        <v>7260</v>
      </c>
      <c r="K6216">
        <f t="shared" si="97"/>
        <v>21780</v>
      </c>
    </row>
    <row r="6217" spans="1:11" hidden="1" x14ac:dyDescent="0.25">
      <c r="A6217">
        <v>6216</v>
      </c>
      <c r="B6217" s="1">
        <v>45748</v>
      </c>
      <c r="C6217" t="s">
        <v>9</v>
      </c>
      <c r="D6217" t="s">
        <v>115</v>
      </c>
      <c r="E6217" t="s">
        <v>13</v>
      </c>
      <c r="F6217">
        <v>1</v>
      </c>
      <c r="G6217" t="str">
        <f>VLOOKUP(D6217,Товары!A:I,3,0)</f>
        <v>Тумба под стиральную машину Куба Риф 57 напольная 2 ящика под ст/маш, без умывальника /под Marshall 120 Белый</v>
      </c>
      <c r="H6217">
        <f>VLOOKUP(D6217,Товары!A:I,6,0)</f>
        <v>85</v>
      </c>
      <c r="I6217" t="str">
        <f>VLOOKUP(C6217,Магазины!A:C,3,0)</f>
        <v>Кемерово</v>
      </c>
      <c r="J6217">
        <f>VLOOKUP(D6217,Товары!A:I,4,0)</f>
        <v>10530</v>
      </c>
      <c r="K6217">
        <f t="shared" si="97"/>
        <v>10530</v>
      </c>
    </row>
    <row r="6218" spans="1:11" hidden="1" x14ac:dyDescent="0.25">
      <c r="A6218">
        <v>6217</v>
      </c>
      <c r="B6218" s="1">
        <v>45749</v>
      </c>
      <c r="C6218" t="s">
        <v>11</v>
      </c>
      <c r="D6218" t="s">
        <v>90</v>
      </c>
      <c r="E6218" t="s">
        <v>13</v>
      </c>
      <c r="F6218">
        <v>2</v>
      </c>
      <c r="G6218" t="str">
        <f>VLOOKUP(D6218,Товары!A:I,3,0)</f>
        <v>Пенал напол. Аква 350 белый 2 двери + 2 ящика</v>
      </c>
      <c r="H6218">
        <f>VLOOKUP(D6218,Товары!A:I,6,0)</f>
        <v>190</v>
      </c>
      <c r="I6218" t="str">
        <f>VLOOKUP(C6218,Магазины!A:C,3,0)</f>
        <v>Кемерово</v>
      </c>
      <c r="J6218">
        <f>VLOOKUP(D6218,Товары!A:I,4,0)</f>
        <v>10650</v>
      </c>
      <c r="K6218">
        <f t="shared" si="97"/>
        <v>21300</v>
      </c>
    </row>
    <row r="6219" spans="1:11" hidden="1" x14ac:dyDescent="0.25">
      <c r="A6219">
        <v>6218</v>
      </c>
      <c r="B6219" s="1">
        <v>45749</v>
      </c>
      <c r="C6219" t="s">
        <v>22</v>
      </c>
      <c r="D6219" t="s">
        <v>127</v>
      </c>
      <c r="E6219" t="s">
        <v>13</v>
      </c>
      <c r="F6219">
        <v>3</v>
      </c>
      <c r="G6219" t="str">
        <f>VLOOKUP(D6219,Товары!A:I,3,0)</f>
        <v>Тумба с раковиной  навес. Альба 700 мята 1 ящик с умыв. Слим</v>
      </c>
      <c r="H6219">
        <f>VLOOKUP(D6219,Товары!A:I,6,0)</f>
        <v>45</v>
      </c>
      <c r="I6219" t="str">
        <f>VLOOKUP(C6219,Магазины!A:C,3,0)</f>
        <v>Кемерово</v>
      </c>
      <c r="J6219">
        <f>VLOOKUP(D6219,Товары!A:I,4,0)</f>
        <v>20130</v>
      </c>
      <c r="K6219">
        <f t="shared" si="97"/>
        <v>60390</v>
      </c>
    </row>
    <row r="6220" spans="1:11" hidden="1" x14ac:dyDescent="0.25">
      <c r="A6220">
        <v>6219</v>
      </c>
      <c r="B6220" s="1">
        <v>45755</v>
      </c>
      <c r="C6220" t="s">
        <v>48</v>
      </c>
      <c r="D6220" t="s">
        <v>62</v>
      </c>
      <c r="E6220" t="s">
        <v>8</v>
      </c>
      <c r="F6220">
        <v>2</v>
      </c>
      <c r="G6220" t="str">
        <f>VLOOKUP(D6220,Товары!A:I,3,0)</f>
        <v>Тумба с раковиной  напол. Альба 600 мята 2 ящика с умыв. Океан</v>
      </c>
      <c r="H6220">
        <f>VLOOKUP(D6220,Товары!A:I,6,0)</f>
        <v>80</v>
      </c>
      <c r="I6220" t="str">
        <f>VLOOKUP(C6220,Магазины!A:C,3,0)</f>
        <v>Ставрополь</v>
      </c>
      <c r="J6220">
        <f>VLOOKUP(D6220,Товары!A:I,4,0)</f>
        <v>26370</v>
      </c>
      <c r="K6220">
        <f t="shared" si="97"/>
        <v>52740</v>
      </c>
    </row>
    <row r="6221" spans="1:11" hidden="1" x14ac:dyDescent="0.25">
      <c r="A6221">
        <v>6220</v>
      </c>
      <c r="B6221" s="1">
        <v>45751</v>
      </c>
      <c r="C6221" t="s">
        <v>18</v>
      </c>
      <c r="D6221" t="s">
        <v>40</v>
      </c>
      <c r="E6221" t="s">
        <v>8</v>
      </c>
      <c r="F6221">
        <v>2</v>
      </c>
      <c r="G6221" t="str">
        <f>VLOOKUP(D6221,Товары!A:I,3,0)</f>
        <v>Тумба с раковиной  навес. Рица 800 cерый/керамика 1 ящик + ниша 1 с умыв. Слим</v>
      </c>
      <c r="H6221">
        <f>VLOOKUP(D6221,Товары!A:I,6,0)</f>
        <v>60</v>
      </c>
      <c r="I6221" t="str">
        <f>VLOOKUP(C6221,Магазины!A:C,3,0)</f>
        <v>Набережные Челны</v>
      </c>
      <c r="J6221">
        <f>VLOOKUP(D6221,Товары!A:I,4,0)</f>
        <v>22425</v>
      </c>
      <c r="K6221">
        <f t="shared" si="97"/>
        <v>44850</v>
      </c>
    </row>
    <row r="6222" spans="1:11" hidden="1" x14ac:dyDescent="0.25">
      <c r="A6222">
        <v>6221</v>
      </c>
      <c r="B6222" s="1">
        <v>45754</v>
      </c>
      <c r="C6222" t="s">
        <v>54</v>
      </c>
      <c r="D6222" t="s">
        <v>29</v>
      </c>
      <c r="E6222" t="s">
        <v>8</v>
      </c>
      <c r="F6222">
        <v>1</v>
      </c>
      <c r="G6222" t="str">
        <f>VLOOKUP(D6222,Товары!A:I,3,0)</f>
        <v>Тумба с раковиной  напол. Леон Риф 600 солярис/белый риф 2 ящика с умыв. Океан</v>
      </c>
      <c r="H6222">
        <f>VLOOKUP(D6222,Товары!A:I,6,0)</f>
        <v>80</v>
      </c>
      <c r="I6222" t="str">
        <f>VLOOKUP(C6222,Магазины!A:C,3,0)</f>
        <v>Ставрополь</v>
      </c>
      <c r="J6222">
        <f>VLOOKUP(D6222,Товары!A:I,4,0)</f>
        <v>24150</v>
      </c>
      <c r="K6222">
        <f t="shared" si="97"/>
        <v>24150</v>
      </c>
    </row>
    <row r="6223" spans="1:11" hidden="1" x14ac:dyDescent="0.25">
      <c r="A6223">
        <v>6222</v>
      </c>
      <c r="B6223" s="1">
        <v>45757</v>
      </c>
      <c r="C6223" t="s">
        <v>48</v>
      </c>
      <c r="D6223" t="s">
        <v>120</v>
      </c>
      <c r="E6223" t="s">
        <v>13</v>
      </c>
      <c r="F6223">
        <v>2</v>
      </c>
      <c r="G6223" t="str">
        <f>VLOOKUP(D6223,Товары!A:I,3,0)</f>
        <v>Зеркальный шкаф Альба 60 со светильником правый цвет антрацит</v>
      </c>
      <c r="H6223">
        <f>VLOOKUP(D6223,Товары!A:I,6,0)</f>
        <v>75</v>
      </c>
      <c r="I6223" t="str">
        <f>VLOOKUP(C6223,Магазины!A:C,3,0)</f>
        <v>Ставрополь</v>
      </c>
      <c r="J6223">
        <f>VLOOKUP(D6223,Товары!A:I,4,0)</f>
        <v>8910</v>
      </c>
      <c r="K6223">
        <f t="shared" si="97"/>
        <v>17820</v>
      </c>
    </row>
    <row r="6224" spans="1:11" hidden="1" x14ac:dyDescent="0.25">
      <c r="A6224">
        <v>6223</v>
      </c>
      <c r="B6224" s="1">
        <v>45754</v>
      </c>
      <c r="C6224" t="s">
        <v>16</v>
      </c>
      <c r="D6224" t="s">
        <v>89</v>
      </c>
      <c r="E6224" t="s">
        <v>8</v>
      </c>
      <c r="F6224">
        <v>1</v>
      </c>
      <c r="G6224" t="str">
        <f>VLOOKUP(D6224,Товары!A:I,3,0)</f>
        <v>Тумба с раковиной  напол. Сохо 600 белый 2 двери с умыв. Океан</v>
      </c>
      <c r="H6224">
        <f>VLOOKUP(D6224,Товары!A:I,6,0)</f>
        <v>85</v>
      </c>
      <c r="I6224" t="str">
        <f>VLOOKUP(C6224,Магазины!A:C,3,0)</f>
        <v>Оренбург</v>
      </c>
      <c r="J6224">
        <f>VLOOKUP(D6224,Товары!A:I,4,0)</f>
        <v>14880</v>
      </c>
      <c r="K6224">
        <f t="shared" si="97"/>
        <v>14880</v>
      </c>
    </row>
    <row r="6225" spans="1:11" hidden="1" x14ac:dyDescent="0.25">
      <c r="A6225">
        <v>6224</v>
      </c>
      <c r="B6225" s="1">
        <v>45757</v>
      </c>
      <c r="C6225" t="s">
        <v>30</v>
      </c>
      <c r="D6225" t="s">
        <v>104</v>
      </c>
      <c r="E6225" t="s">
        <v>13</v>
      </c>
      <c r="F6225">
        <v>2</v>
      </c>
      <c r="G6225" t="str">
        <f>VLOOKUP(D6225,Товары!A:I,3,0)</f>
        <v>Тумба под стиральную машину Куба Риф 57 подвесная 2 ящика под ст/маш, без умывальника /под Marshall 120 Белый</v>
      </c>
      <c r="H6225">
        <f>VLOOKUP(D6225,Товары!A:I,6,0)</f>
        <v>50</v>
      </c>
      <c r="I6225" t="str">
        <f>VLOOKUP(C6225,Магазины!A:C,3,0)</f>
        <v>Кемерово</v>
      </c>
      <c r="J6225">
        <f>VLOOKUP(D6225,Товары!A:I,4,0)</f>
        <v>8505</v>
      </c>
      <c r="K6225">
        <f t="shared" si="97"/>
        <v>17010</v>
      </c>
    </row>
    <row r="6226" spans="1:11" hidden="1" x14ac:dyDescent="0.25">
      <c r="A6226">
        <v>6225</v>
      </c>
      <c r="B6226" s="1">
        <v>45751</v>
      </c>
      <c r="C6226" t="s">
        <v>33</v>
      </c>
      <c r="D6226" t="s">
        <v>7</v>
      </c>
      <c r="E6226" t="s">
        <v>8</v>
      </c>
      <c r="F6226">
        <v>1</v>
      </c>
      <c r="G6226" t="str">
        <f>VLOOKUP(D6226,Товары!A:I,3,0)</f>
        <v>Пенал напол. Леон Риф 400 солярис/белый риф 2 двери + 1 ящик</v>
      </c>
      <c r="H6226">
        <f>VLOOKUP(D6226,Товары!A:I,6,0)</f>
        <v>190</v>
      </c>
      <c r="I6226" t="str">
        <f>VLOOKUP(C6226,Магазины!A:C,3,0)</f>
        <v>Набережные Челны</v>
      </c>
      <c r="J6226">
        <f>VLOOKUP(D6226,Товары!A:I,4,0)</f>
        <v>14490</v>
      </c>
      <c r="K6226">
        <f t="shared" si="97"/>
        <v>14490</v>
      </c>
    </row>
    <row r="6227" spans="1:11" hidden="1" x14ac:dyDescent="0.25">
      <c r="A6227">
        <v>6226</v>
      </c>
      <c r="B6227" s="1">
        <v>45752</v>
      </c>
      <c r="C6227" t="s">
        <v>11</v>
      </c>
      <c r="D6227" t="s">
        <v>129</v>
      </c>
      <c r="E6227" t="s">
        <v>8</v>
      </c>
      <c r="F6227">
        <v>2</v>
      </c>
      <c r="G6227" t="str">
        <f>VLOOKUP(D6227,Товары!A:I,3,0)</f>
        <v>Тумба с раковиной  напол. Альба 700 антрацит 2 ящика с умыв. Слим</v>
      </c>
      <c r="H6227">
        <f>VLOOKUP(D6227,Товары!A:I,6,0)</f>
        <v>85</v>
      </c>
      <c r="I6227" t="str">
        <f>VLOOKUP(C6227,Магазины!A:C,3,0)</f>
        <v>Кемерово</v>
      </c>
      <c r="J6227">
        <f>VLOOKUP(D6227,Товары!A:I,4,0)</f>
        <v>28695</v>
      </c>
      <c r="K6227">
        <f t="shared" si="97"/>
        <v>57390</v>
      </c>
    </row>
    <row r="6228" spans="1:11" hidden="1" x14ac:dyDescent="0.25">
      <c r="A6228">
        <v>6227</v>
      </c>
      <c r="B6228" s="1">
        <v>45751</v>
      </c>
      <c r="C6228" t="s">
        <v>9</v>
      </c>
      <c r="D6228" t="s">
        <v>44</v>
      </c>
      <c r="E6228" t="s">
        <v>13</v>
      </c>
      <c r="F6228">
        <v>2</v>
      </c>
      <c r="G6228" t="str">
        <f>VLOOKUP(D6228,Товары!A:I,3,0)</f>
        <v>Тумба с раковиной  навес. Кристалл 800 шато азур 2 ящика с умыв. Комфорт</v>
      </c>
      <c r="H6228">
        <f>VLOOKUP(D6228,Товары!A:I,6,0)</f>
        <v>55</v>
      </c>
      <c r="I6228" t="str">
        <f>VLOOKUP(C6228,Магазины!A:C,3,0)</f>
        <v>Кемерово</v>
      </c>
      <c r="J6228">
        <f>VLOOKUP(D6228,Товары!A:I,4,0)</f>
        <v>25080</v>
      </c>
      <c r="K6228">
        <f t="shared" si="97"/>
        <v>50160</v>
      </c>
    </row>
    <row r="6229" spans="1:11" hidden="1" x14ac:dyDescent="0.25">
      <c r="A6229">
        <v>6228</v>
      </c>
      <c r="B6229" s="1">
        <v>45757</v>
      </c>
      <c r="C6229" t="s">
        <v>92</v>
      </c>
      <c r="D6229" t="s">
        <v>34</v>
      </c>
      <c r="E6229" t="s">
        <v>8</v>
      </c>
      <c r="F6229">
        <v>3</v>
      </c>
      <c r="G6229" t="str">
        <f>VLOOKUP(D6229,Товары!A:I,3,0)</f>
        <v>Тумба с раковиной  навес. Леон 700 форест 2 ящика с умыв. Слим</v>
      </c>
      <c r="H6229">
        <f>VLOOKUP(D6229,Товары!A:I,6,0)</f>
        <v>60</v>
      </c>
      <c r="I6229" t="str">
        <f>VLOOKUP(C6229,Магазины!A:C,3,0)</f>
        <v>Кемерово</v>
      </c>
      <c r="J6229">
        <f>VLOOKUP(D6229,Товары!A:I,4,0)</f>
        <v>26220</v>
      </c>
      <c r="K6229">
        <f t="shared" si="97"/>
        <v>78660</v>
      </c>
    </row>
    <row r="6230" spans="1:11" hidden="1" x14ac:dyDescent="0.25">
      <c r="A6230">
        <v>6229</v>
      </c>
      <c r="B6230" s="1">
        <v>45755</v>
      </c>
      <c r="C6230" t="s">
        <v>35</v>
      </c>
      <c r="D6230" t="s">
        <v>71</v>
      </c>
      <c r="E6230" t="s">
        <v>8</v>
      </c>
      <c r="F6230">
        <v>1</v>
      </c>
      <c r="G6230" t="str">
        <f>VLOOKUP(D6230,Товары!A:I,3,0)</f>
        <v>Тумба с раковиной  навес. Альба 600 мята 2 ящика с умыв. Океан</v>
      </c>
      <c r="H6230">
        <f>VLOOKUP(D6230,Товары!A:I,6,0)</f>
        <v>50</v>
      </c>
      <c r="I6230" t="str">
        <f>VLOOKUP(C6230,Магазины!A:C,3,0)</f>
        <v>Набережные Челны</v>
      </c>
      <c r="J6230">
        <f>VLOOKUP(D6230,Товары!A:I,4,0)</f>
        <v>24810</v>
      </c>
      <c r="K6230">
        <f t="shared" si="97"/>
        <v>24810</v>
      </c>
    </row>
    <row r="6231" spans="1:11" hidden="1" x14ac:dyDescent="0.25">
      <c r="A6231">
        <v>6230</v>
      </c>
      <c r="B6231" s="1">
        <v>45757</v>
      </c>
      <c r="C6231" t="s">
        <v>18</v>
      </c>
      <c r="D6231" t="s">
        <v>76</v>
      </c>
      <c r="E6231" t="s">
        <v>8</v>
      </c>
      <c r="F6231">
        <v>3</v>
      </c>
      <c r="G6231" t="str">
        <f>VLOOKUP(D6231,Товары!A:I,3,0)</f>
        <v>Тумба с раковиной  напол. Леон 600 оникс 2 ящика с умыв. Слим</v>
      </c>
      <c r="H6231">
        <f>VLOOKUP(D6231,Товары!A:I,6,0)</f>
        <v>80</v>
      </c>
      <c r="I6231" t="str">
        <f>VLOOKUP(C6231,Магазины!A:C,3,0)</f>
        <v>Набережные Челны</v>
      </c>
      <c r="J6231">
        <f>VLOOKUP(D6231,Товары!A:I,4,0)</f>
        <v>25860</v>
      </c>
      <c r="K6231">
        <f t="shared" si="97"/>
        <v>77580</v>
      </c>
    </row>
    <row r="6232" spans="1:11" hidden="1" x14ac:dyDescent="0.25">
      <c r="A6232">
        <v>6231</v>
      </c>
      <c r="B6232" s="1">
        <v>45756</v>
      </c>
      <c r="C6232" t="s">
        <v>63</v>
      </c>
      <c r="D6232" t="s">
        <v>24</v>
      </c>
      <c r="E6232" t="s">
        <v>13</v>
      </c>
      <c r="F6232">
        <v>2</v>
      </c>
      <c r="G6232" t="str">
        <f>VLOOKUP(D6232,Товары!A:I,3,0)</f>
        <v>Тумба с раковиной  напол. Леон 600 форест 2 ящика с умыв. Слим</v>
      </c>
      <c r="H6232">
        <f>VLOOKUP(D6232,Товары!A:I,6,0)</f>
        <v>80</v>
      </c>
      <c r="I6232" t="str">
        <f>VLOOKUP(C6232,Магазины!A:C,3,0)</f>
        <v>Ставрополь</v>
      </c>
      <c r="J6232">
        <f>VLOOKUP(D6232,Товары!A:I,4,0)</f>
        <v>27150</v>
      </c>
      <c r="K6232">
        <f t="shared" si="97"/>
        <v>54300</v>
      </c>
    </row>
    <row r="6233" spans="1:11" hidden="1" x14ac:dyDescent="0.25">
      <c r="A6233">
        <v>6232</v>
      </c>
      <c r="B6233" s="1">
        <v>45754</v>
      </c>
      <c r="C6233" t="s">
        <v>57</v>
      </c>
      <c r="D6233" t="s">
        <v>83</v>
      </c>
      <c r="E6233" t="s">
        <v>8</v>
      </c>
      <c r="F6233">
        <v>1</v>
      </c>
      <c r="G6233" t="str">
        <f>VLOOKUP(D6233,Товары!A:I,3,0)</f>
        <v>Зеркальный шкаф Альба 60 со светильником правый цвет суфле</v>
      </c>
      <c r="H6233">
        <f>VLOOKUP(D6233,Товары!A:I,6,0)</f>
        <v>75</v>
      </c>
      <c r="I6233" t="str">
        <f>VLOOKUP(C6233,Магазины!A:C,3,0)</f>
        <v>Оренбург</v>
      </c>
      <c r="J6233">
        <f>VLOOKUP(D6233,Товары!A:I,4,0)</f>
        <v>8910</v>
      </c>
      <c r="K6233">
        <f t="shared" si="97"/>
        <v>8910</v>
      </c>
    </row>
    <row r="6234" spans="1:11" hidden="1" x14ac:dyDescent="0.25">
      <c r="A6234">
        <v>6233</v>
      </c>
      <c r="B6234" s="1">
        <v>45753</v>
      </c>
      <c r="C6234" t="s">
        <v>20</v>
      </c>
      <c r="D6234" t="s">
        <v>127</v>
      </c>
      <c r="E6234" t="s">
        <v>8</v>
      </c>
      <c r="F6234">
        <v>2</v>
      </c>
      <c r="G6234" t="str">
        <f>VLOOKUP(D6234,Товары!A:I,3,0)</f>
        <v>Тумба с раковиной  навес. Альба 700 мята 1 ящик с умыв. Слим</v>
      </c>
      <c r="H6234">
        <f>VLOOKUP(D6234,Товары!A:I,6,0)</f>
        <v>45</v>
      </c>
      <c r="I6234" t="str">
        <f>VLOOKUP(C6234,Магазины!A:C,3,0)</f>
        <v>Оренбург</v>
      </c>
      <c r="J6234">
        <f>VLOOKUP(D6234,Товары!A:I,4,0)</f>
        <v>20130</v>
      </c>
      <c r="K6234">
        <f t="shared" si="97"/>
        <v>40260</v>
      </c>
    </row>
    <row r="6235" spans="1:11" hidden="1" x14ac:dyDescent="0.25">
      <c r="A6235">
        <v>6234</v>
      </c>
      <c r="B6235" s="1">
        <v>45751</v>
      </c>
      <c r="C6235" t="s">
        <v>26</v>
      </c>
      <c r="D6235" t="s">
        <v>56</v>
      </c>
      <c r="E6235" t="s">
        <v>13</v>
      </c>
      <c r="F6235">
        <v>2</v>
      </c>
      <c r="G6235" t="str">
        <f>VLOOKUP(D6235,Товары!A:I,3,0)</f>
        <v>Зеркальный шкаф Альба 80 со светильником правый цвет мята</v>
      </c>
      <c r="H6235">
        <f>VLOOKUP(D6235,Товары!A:I,6,0)</f>
        <v>75</v>
      </c>
      <c r="I6235" t="str">
        <f>VLOOKUP(C6235,Магазины!A:C,3,0)</f>
        <v>Оренбург</v>
      </c>
      <c r="J6235">
        <f>VLOOKUP(D6235,Товары!A:I,4,0)</f>
        <v>9930</v>
      </c>
      <c r="K6235">
        <f t="shared" si="97"/>
        <v>19860</v>
      </c>
    </row>
    <row r="6236" spans="1:11" hidden="1" x14ac:dyDescent="0.25">
      <c r="A6236">
        <v>6235</v>
      </c>
      <c r="B6236" s="1">
        <v>45748</v>
      </c>
      <c r="C6236" t="s">
        <v>103</v>
      </c>
      <c r="D6236" t="s">
        <v>121</v>
      </c>
      <c r="E6236" t="s">
        <v>8</v>
      </c>
      <c r="F6236">
        <v>3</v>
      </c>
      <c r="G6236" t="str">
        <f>VLOOKUP(D6236,Товары!A:I,3,0)</f>
        <v>Тумба с раковиной  напол. Куба Риф 600 белый 2 двери с умыв. Como</v>
      </c>
      <c r="H6236">
        <f>VLOOKUP(D6236,Товары!A:I,6,0)</f>
        <v>85</v>
      </c>
      <c r="I6236" t="str">
        <f>VLOOKUP(C6236,Магазины!A:C,3,0)</f>
        <v>Ставрополь</v>
      </c>
      <c r="J6236">
        <f>VLOOKUP(D6236,Товары!A:I,4,0)</f>
        <v>13695</v>
      </c>
      <c r="K6236">
        <f t="shared" si="97"/>
        <v>41085</v>
      </c>
    </row>
    <row r="6237" spans="1:11" hidden="1" x14ac:dyDescent="0.25">
      <c r="A6237">
        <v>6236</v>
      </c>
      <c r="B6237" s="1">
        <v>45750</v>
      </c>
      <c r="C6237" t="s">
        <v>33</v>
      </c>
      <c r="D6237" t="s">
        <v>125</v>
      </c>
      <c r="E6237" t="s">
        <v>13</v>
      </c>
      <c r="F6237">
        <v>3</v>
      </c>
      <c r="G6237" t="str">
        <f>VLOOKUP(D6237,Товары!A:I,3,0)</f>
        <v>Зеркальный шкаф Сохо 60 белый со светильником правый цвет Белый глянец</v>
      </c>
      <c r="H6237">
        <f>VLOOKUP(D6237,Товары!A:I,6,0)</f>
        <v>75</v>
      </c>
      <c r="I6237" t="str">
        <f>VLOOKUP(C6237,Магазины!A:C,3,0)</f>
        <v>Набережные Челны</v>
      </c>
      <c r="J6237">
        <f>VLOOKUP(D6237,Товары!A:I,4,0)</f>
        <v>7395</v>
      </c>
      <c r="K6237">
        <f t="shared" si="97"/>
        <v>22185</v>
      </c>
    </row>
    <row r="6238" spans="1:11" hidden="1" x14ac:dyDescent="0.25">
      <c r="A6238">
        <v>6237</v>
      </c>
      <c r="B6238" s="1">
        <v>45757</v>
      </c>
      <c r="C6238" t="s">
        <v>20</v>
      </c>
      <c r="D6238" t="s">
        <v>24</v>
      </c>
      <c r="E6238" t="s">
        <v>8</v>
      </c>
      <c r="F6238">
        <v>3</v>
      </c>
      <c r="G6238" t="str">
        <f>VLOOKUP(D6238,Товары!A:I,3,0)</f>
        <v>Тумба с раковиной  напол. Леон 600 форест 2 ящика с умыв. Слим</v>
      </c>
      <c r="H6238">
        <f>VLOOKUP(D6238,Товары!A:I,6,0)</f>
        <v>80</v>
      </c>
      <c r="I6238" t="str">
        <f>VLOOKUP(C6238,Магазины!A:C,3,0)</f>
        <v>Оренбург</v>
      </c>
      <c r="J6238">
        <f>VLOOKUP(D6238,Товары!A:I,4,0)</f>
        <v>27150</v>
      </c>
      <c r="K6238">
        <f t="shared" si="97"/>
        <v>81450</v>
      </c>
    </row>
    <row r="6239" spans="1:11" hidden="1" x14ac:dyDescent="0.25">
      <c r="A6239">
        <v>6238</v>
      </c>
      <c r="B6239" s="1">
        <v>45750</v>
      </c>
      <c r="C6239" t="s">
        <v>6</v>
      </c>
      <c r="D6239" t="s">
        <v>17</v>
      </c>
      <c r="E6239" t="s">
        <v>8</v>
      </c>
      <c r="F6239">
        <v>3</v>
      </c>
      <c r="G6239" t="str">
        <f>VLOOKUP(D6239,Товары!A:I,3,0)</f>
        <v>Тумба с раковиной  навес. Альба 800 антрацит 1 ящик с умыв. Слим</v>
      </c>
      <c r="H6239">
        <f>VLOOKUP(D6239,Товары!A:I,6,0)</f>
        <v>45</v>
      </c>
      <c r="I6239" t="str">
        <f>VLOOKUP(C6239,Магазины!A:C,3,0)</f>
        <v>Оренбург</v>
      </c>
      <c r="J6239">
        <f>VLOOKUP(D6239,Товары!A:I,4,0)</f>
        <v>21630</v>
      </c>
      <c r="K6239">
        <f t="shared" si="97"/>
        <v>64890</v>
      </c>
    </row>
    <row r="6240" spans="1:11" hidden="1" x14ac:dyDescent="0.25">
      <c r="A6240">
        <v>6239</v>
      </c>
      <c r="B6240" s="1">
        <v>45753</v>
      </c>
      <c r="C6240" t="s">
        <v>16</v>
      </c>
      <c r="D6240" t="s">
        <v>34</v>
      </c>
      <c r="E6240" t="s">
        <v>13</v>
      </c>
      <c r="F6240">
        <v>2</v>
      </c>
      <c r="G6240" t="str">
        <f>VLOOKUP(D6240,Товары!A:I,3,0)</f>
        <v>Тумба с раковиной  навес. Леон 700 форест 2 ящика с умыв. Слим</v>
      </c>
      <c r="H6240">
        <f>VLOOKUP(D6240,Товары!A:I,6,0)</f>
        <v>60</v>
      </c>
      <c r="I6240" t="str">
        <f>VLOOKUP(C6240,Магазины!A:C,3,0)</f>
        <v>Оренбург</v>
      </c>
      <c r="J6240">
        <f>VLOOKUP(D6240,Товары!A:I,4,0)</f>
        <v>26220</v>
      </c>
      <c r="K6240">
        <f t="shared" si="97"/>
        <v>52440</v>
      </c>
    </row>
    <row r="6241" spans="1:11" hidden="1" x14ac:dyDescent="0.25">
      <c r="A6241">
        <v>6240</v>
      </c>
      <c r="B6241" s="1">
        <v>45757</v>
      </c>
      <c r="C6241" t="s">
        <v>9</v>
      </c>
      <c r="D6241" t="s">
        <v>64</v>
      </c>
      <c r="E6241" t="s">
        <v>13</v>
      </c>
      <c r="F6241">
        <v>3</v>
      </c>
      <c r="G6241" t="str">
        <f>VLOOKUP(D6241,Товары!A:I,3,0)</f>
        <v>Тумба с раковиной  напол. Рица 800 антрацит 2 ящика с умыв. Слим</v>
      </c>
      <c r="H6241">
        <f>VLOOKUP(D6241,Товары!A:I,6,0)</f>
        <v>80</v>
      </c>
      <c r="I6241" t="str">
        <f>VLOOKUP(C6241,Магазины!A:C,3,0)</f>
        <v>Кемерово</v>
      </c>
      <c r="J6241">
        <f>VLOOKUP(D6241,Товары!A:I,4,0)</f>
        <v>28980</v>
      </c>
      <c r="K6241">
        <f t="shared" si="97"/>
        <v>86940</v>
      </c>
    </row>
    <row r="6242" spans="1:11" hidden="1" x14ac:dyDescent="0.25">
      <c r="A6242">
        <v>6241</v>
      </c>
      <c r="B6242" s="1">
        <v>45748</v>
      </c>
      <c r="C6242" t="s">
        <v>92</v>
      </c>
      <c r="D6242" t="s">
        <v>118</v>
      </c>
      <c r="E6242" t="s">
        <v>13</v>
      </c>
      <c r="F6242">
        <v>2</v>
      </c>
      <c r="G6242" t="str">
        <f>VLOOKUP(D6242,Товары!A:I,3,0)</f>
        <v>Тумба с раковиной  напол. Сохо 800 белый 2 ящика с умыв. Слим</v>
      </c>
      <c r="H6242">
        <f>VLOOKUP(D6242,Товары!A:I,6,0)</f>
        <v>85</v>
      </c>
      <c r="I6242" t="str">
        <f>VLOOKUP(C6242,Магазины!A:C,3,0)</f>
        <v>Кемерово</v>
      </c>
      <c r="J6242">
        <f>VLOOKUP(D6242,Товары!A:I,4,0)</f>
        <v>19575</v>
      </c>
      <c r="K6242">
        <f t="shared" si="97"/>
        <v>39150</v>
      </c>
    </row>
    <row r="6243" spans="1:11" hidden="1" x14ac:dyDescent="0.25">
      <c r="A6243">
        <v>6242</v>
      </c>
      <c r="B6243" s="1">
        <v>45750</v>
      </c>
      <c r="C6243" t="s">
        <v>43</v>
      </c>
      <c r="D6243" t="s">
        <v>40</v>
      </c>
      <c r="E6243" t="s">
        <v>13</v>
      </c>
      <c r="F6243">
        <v>3</v>
      </c>
      <c r="G6243" t="str">
        <f>VLOOKUP(D6243,Товары!A:I,3,0)</f>
        <v>Тумба с раковиной  навес. Рица 800 cерый/керамика 1 ящик + ниша 1 с умыв. Слим</v>
      </c>
      <c r="H6243">
        <f>VLOOKUP(D6243,Товары!A:I,6,0)</f>
        <v>60</v>
      </c>
      <c r="I6243" t="str">
        <f>VLOOKUP(C6243,Магазины!A:C,3,0)</f>
        <v>Набережные Челны</v>
      </c>
      <c r="J6243">
        <f>VLOOKUP(D6243,Товары!A:I,4,0)</f>
        <v>22425</v>
      </c>
      <c r="K6243">
        <f t="shared" si="97"/>
        <v>67275</v>
      </c>
    </row>
    <row r="6244" spans="1:11" hidden="1" x14ac:dyDescent="0.25">
      <c r="A6244">
        <v>6243</v>
      </c>
      <c r="B6244" s="1">
        <v>45754</v>
      </c>
      <c r="C6244" t="s">
        <v>63</v>
      </c>
      <c r="D6244" t="s">
        <v>75</v>
      </c>
      <c r="E6244" t="s">
        <v>13</v>
      </c>
      <c r="F6244">
        <v>3</v>
      </c>
      <c r="G6244" t="str">
        <f>VLOOKUP(D6244,Товары!A:I,3,0)</f>
        <v>Тумба с раковиной  напол. Альба 600 суфле 2 ящика с умыв. Океан</v>
      </c>
      <c r="H6244">
        <f>VLOOKUP(D6244,Товары!A:I,6,0)</f>
        <v>80</v>
      </c>
      <c r="I6244" t="str">
        <f>VLOOKUP(C6244,Магазины!A:C,3,0)</f>
        <v>Ставрополь</v>
      </c>
      <c r="J6244">
        <f>VLOOKUP(D6244,Товары!A:I,4,0)</f>
        <v>26370</v>
      </c>
      <c r="K6244">
        <f t="shared" si="97"/>
        <v>79110</v>
      </c>
    </row>
    <row r="6245" spans="1:11" hidden="1" x14ac:dyDescent="0.25">
      <c r="A6245">
        <v>6244</v>
      </c>
      <c r="B6245" s="1">
        <v>45753</v>
      </c>
      <c r="C6245" t="s">
        <v>92</v>
      </c>
      <c r="D6245" t="s">
        <v>83</v>
      </c>
      <c r="E6245" t="s">
        <v>13</v>
      </c>
      <c r="F6245">
        <v>1</v>
      </c>
      <c r="G6245" t="str">
        <f>VLOOKUP(D6245,Товары!A:I,3,0)</f>
        <v>Зеркальный шкаф Альба 60 со светильником правый цвет суфле</v>
      </c>
      <c r="H6245">
        <f>VLOOKUP(D6245,Товары!A:I,6,0)</f>
        <v>75</v>
      </c>
      <c r="I6245" t="str">
        <f>VLOOKUP(C6245,Магазины!A:C,3,0)</f>
        <v>Кемерово</v>
      </c>
      <c r="J6245">
        <f>VLOOKUP(D6245,Товары!A:I,4,0)</f>
        <v>8910</v>
      </c>
      <c r="K6245">
        <f t="shared" si="97"/>
        <v>8910</v>
      </c>
    </row>
    <row r="6246" spans="1:11" hidden="1" x14ac:dyDescent="0.25">
      <c r="A6246">
        <v>6245</v>
      </c>
      <c r="B6246" s="1">
        <v>45753</v>
      </c>
      <c r="C6246" t="s">
        <v>103</v>
      </c>
      <c r="D6246" t="s">
        <v>39</v>
      </c>
      <c r="E6246" t="s">
        <v>8</v>
      </c>
      <c r="F6246">
        <v>2</v>
      </c>
      <c r="G6246" t="str">
        <f>VLOOKUP(D6246,Товары!A:I,3,0)</f>
        <v>Тумба с раковиной  напол. Альба 700 мята 2 ящика с умыв. Слим</v>
      </c>
      <c r="H6246">
        <f>VLOOKUP(D6246,Товары!A:I,6,0)</f>
        <v>85</v>
      </c>
      <c r="I6246" t="str">
        <f>VLOOKUP(C6246,Магазины!A:C,3,0)</f>
        <v>Ставрополь</v>
      </c>
      <c r="J6246">
        <f>VLOOKUP(D6246,Товары!A:I,4,0)</f>
        <v>28695</v>
      </c>
      <c r="K6246">
        <f t="shared" si="97"/>
        <v>57390</v>
      </c>
    </row>
    <row r="6247" spans="1:11" hidden="1" x14ac:dyDescent="0.25">
      <c r="A6247">
        <v>6246</v>
      </c>
      <c r="B6247" s="1">
        <v>45755</v>
      </c>
      <c r="C6247" t="s">
        <v>41</v>
      </c>
      <c r="D6247" t="s">
        <v>107</v>
      </c>
      <c r="E6247" t="s">
        <v>13</v>
      </c>
      <c r="F6247">
        <v>2</v>
      </c>
      <c r="G6247" t="str">
        <f>VLOOKUP(D6247,Товары!A:I,3,0)</f>
        <v>Комод Аква 35 напольный 1 дверь белый правый</v>
      </c>
      <c r="H6247">
        <f>VLOOKUP(D6247,Товары!A:I,6,0)</f>
        <v>90</v>
      </c>
      <c r="I6247" t="str">
        <f>VLOOKUP(C6247,Магазины!A:C,3,0)</f>
        <v>Ставрополь</v>
      </c>
      <c r="J6247">
        <f>VLOOKUP(D6247,Товары!A:I,4,0)</f>
        <v>6705</v>
      </c>
      <c r="K6247">
        <f t="shared" si="97"/>
        <v>13410</v>
      </c>
    </row>
    <row r="6248" spans="1:11" hidden="1" x14ac:dyDescent="0.25">
      <c r="A6248">
        <v>6247</v>
      </c>
      <c r="B6248" s="1">
        <v>45748</v>
      </c>
      <c r="C6248" t="s">
        <v>43</v>
      </c>
      <c r="D6248" t="s">
        <v>97</v>
      </c>
      <c r="E6248" t="s">
        <v>13</v>
      </c>
      <c r="F6248">
        <v>2</v>
      </c>
      <c r="G6248" t="str">
        <f>VLOOKUP(D6248,Товары!A:I,3,0)</f>
        <v>Пенал напол. Кристалл 350 суфле 2 двери</v>
      </c>
      <c r="H6248">
        <f>VLOOKUP(D6248,Товары!A:I,6,0)</f>
        <v>190</v>
      </c>
      <c r="I6248" t="str">
        <f>VLOOKUP(C6248,Магазины!A:C,3,0)</f>
        <v>Набережные Челны</v>
      </c>
      <c r="J6248">
        <f>VLOOKUP(D6248,Товары!A:I,4,0)</f>
        <v>15810</v>
      </c>
      <c r="K6248">
        <f t="shared" si="97"/>
        <v>31620</v>
      </c>
    </row>
    <row r="6249" spans="1:11" hidden="1" x14ac:dyDescent="0.25">
      <c r="A6249">
        <v>6248</v>
      </c>
      <c r="B6249" s="1">
        <v>45749</v>
      </c>
      <c r="C6249" t="s">
        <v>111</v>
      </c>
      <c r="D6249" t="s">
        <v>12</v>
      </c>
      <c r="E6249" t="s">
        <v>13</v>
      </c>
      <c r="F6249">
        <v>3</v>
      </c>
      <c r="G6249" t="str">
        <f>VLOOKUP(D6249,Товары!A:I,3,0)</f>
        <v>Тумба с раковиной  напол. Сохо 700 белый 2 двери с умыв. Слим</v>
      </c>
      <c r="H6249">
        <f>VLOOKUP(D6249,Товары!A:I,6,0)</f>
        <v>85</v>
      </c>
      <c r="I6249" t="str">
        <f>VLOOKUP(C6249,Магазины!A:C,3,0)</f>
        <v>Набережные Челны</v>
      </c>
      <c r="J6249">
        <f>VLOOKUP(D6249,Товары!A:I,4,0)</f>
        <v>17160</v>
      </c>
      <c r="K6249">
        <f t="shared" si="97"/>
        <v>51480</v>
      </c>
    </row>
    <row r="6250" spans="1:11" hidden="1" x14ac:dyDescent="0.25">
      <c r="A6250">
        <v>6249</v>
      </c>
      <c r="B6250" s="1">
        <v>45750</v>
      </c>
      <c r="C6250" t="s">
        <v>58</v>
      </c>
      <c r="D6250" t="s">
        <v>126</v>
      </c>
      <c r="E6250" t="s">
        <v>8</v>
      </c>
      <c r="F6250">
        <v>1</v>
      </c>
      <c r="G6250" t="str">
        <f>VLOOKUP(D6250,Товары!A:I,3,0)</f>
        <v>Тумба с раковиной  напол. Кристалл 800 шато азур 2 ящика с умыв. Комфорт</v>
      </c>
      <c r="H6250">
        <f>VLOOKUP(D6250,Товары!A:I,6,0)</f>
        <v>85</v>
      </c>
      <c r="I6250" t="str">
        <f>VLOOKUP(C6250,Магазины!A:C,3,0)</f>
        <v>Ставрополь</v>
      </c>
      <c r="J6250">
        <f>VLOOKUP(D6250,Товары!A:I,4,0)</f>
        <v>31125</v>
      </c>
      <c r="K6250">
        <f t="shared" si="97"/>
        <v>31125</v>
      </c>
    </row>
    <row r="6251" spans="1:11" hidden="1" x14ac:dyDescent="0.25">
      <c r="A6251">
        <v>6250</v>
      </c>
      <c r="B6251" s="1">
        <v>45754</v>
      </c>
      <c r="C6251" t="s">
        <v>48</v>
      </c>
      <c r="D6251" t="s">
        <v>70</v>
      </c>
      <c r="E6251" t="s">
        <v>8</v>
      </c>
      <c r="F6251">
        <v>1</v>
      </c>
      <c r="G6251" t="str">
        <f>VLOOKUP(D6251,Товары!A:I,3,0)</f>
        <v>Тумба с раковиной  напол. Кристалл 700 шато азур 2 ящика с умыв. Слим</v>
      </c>
      <c r="H6251">
        <f>VLOOKUP(D6251,Товары!A:I,6,0)</f>
        <v>85</v>
      </c>
      <c r="I6251" t="str">
        <f>VLOOKUP(C6251,Магазины!A:C,3,0)</f>
        <v>Ставрополь</v>
      </c>
      <c r="J6251">
        <f>VLOOKUP(D6251,Товары!A:I,4,0)</f>
        <v>29910</v>
      </c>
      <c r="K6251">
        <f t="shared" si="97"/>
        <v>29910</v>
      </c>
    </row>
    <row r="6252" spans="1:11" hidden="1" x14ac:dyDescent="0.25">
      <c r="A6252">
        <v>6251</v>
      </c>
      <c r="B6252" s="1">
        <v>45755</v>
      </c>
      <c r="C6252" t="s">
        <v>14</v>
      </c>
      <c r="D6252" t="s">
        <v>56</v>
      </c>
      <c r="E6252" t="s">
        <v>8</v>
      </c>
      <c r="F6252">
        <v>3</v>
      </c>
      <c r="G6252" t="str">
        <f>VLOOKUP(D6252,Товары!A:I,3,0)</f>
        <v>Зеркальный шкаф Альба 80 со светильником правый цвет мята</v>
      </c>
      <c r="H6252">
        <f>VLOOKUP(D6252,Товары!A:I,6,0)</f>
        <v>75</v>
      </c>
      <c r="I6252" t="str">
        <f>VLOOKUP(C6252,Магазины!A:C,3,0)</f>
        <v>Оренбург</v>
      </c>
      <c r="J6252">
        <f>VLOOKUP(D6252,Товары!A:I,4,0)</f>
        <v>9930</v>
      </c>
      <c r="K6252">
        <f t="shared" si="97"/>
        <v>29790</v>
      </c>
    </row>
    <row r="6253" spans="1:11" hidden="1" x14ac:dyDescent="0.25">
      <c r="A6253">
        <v>6252</v>
      </c>
      <c r="B6253" s="1">
        <v>45749</v>
      </c>
      <c r="C6253" t="s">
        <v>14</v>
      </c>
      <c r="D6253" t="s">
        <v>34</v>
      </c>
      <c r="E6253" t="s">
        <v>13</v>
      </c>
      <c r="F6253">
        <v>1</v>
      </c>
      <c r="G6253" t="str">
        <f>VLOOKUP(D6253,Товары!A:I,3,0)</f>
        <v>Тумба с раковиной  навес. Леон 700 форест 2 ящика с умыв. Слим</v>
      </c>
      <c r="H6253">
        <f>VLOOKUP(D6253,Товары!A:I,6,0)</f>
        <v>60</v>
      </c>
      <c r="I6253" t="str">
        <f>VLOOKUP(C6253,Магазины!A:C,3,0)</f>
        <v>Оренбург</v>
      </c>
      <c r="J6253">
        <f>VLOOKUP(D6253,Товары!A:I,4,0)</f>
        <v>26220</v>
      </c>
      <c r="K6253">
        <f t="shared" si="97"/>
        <v>26220</v>
      </c>
    </row>
    <row r="6254" spans="1:11" hidden="1" x14ac:dyDescent="0.25">
      <c r="A6254">
        <v>6253</v>
      </c>
      <c r="B6254" s="1">
        <v>45749</v>
      </c>
      <c r="C6254" t="s">
        <v>48</v>
      </c>
      <c r="D6254" t="s">
        <v>75</v>
      </c>
      <c r="E6254" t="s">
        <v>8</v>
      </c>
      <c r="F6254">
        <v>1</v>
      </c>
      <c r="G6254" t="str">
        <f>VLOOKUP(D6254,Товары!A:I,3,0)</f>
        <v>Тумба с раковиной  напол. Альба 600 суфле 2 ящика с умыв. Океан</v>
      </c>
      <c r="H6254">
        <f>VLOOKUP(D6254,Товары!A:I,6,0)</f>
        <v>80</v>
      </c>
      <c r="I6254" t="str">
        <f>VLOOKUP(C6254,Магазины!A:C,3,0)</f>
        <v>Ставрополь</v>
      </c>
      <c r="J6254">
        <f>VLOOKUP(D6254,Товары!A:I,4,0)</f>
        <v>26370</v>
      </c>
      <c r="K6254">
        <f t="shared" si="97"/>
        <v>26370</v>
      </c>
    </row>
    <row r="6255" spans="1:11" hidden="1" x14ac:dyDescent="0.25">
      <c r="A6255">
        <v>6254</v>
      </c>
      <c r="B6255" s="1">
        <v>45754</v>
      </c>
      <c r="C6255" t="s">
        <v>48</v>
      </c>
      <c r="D6255" t="s">
        <v>60</v>
      </c>
      <c r="E6255" t="s">
        <v>13</v>
      </c>
      <c r="F6255">
        <v>1</v>
      </c>
      <c r="G6255" t="str">
        <f>VLOOKUP(D6255,Товары!A:I,3,0)</f>
        <v>Пенал навес. Куба Риф 350 белый 2 двери</v>
      </c>
      <c r="H6255">
        <f>VLOOKUP(D6255,Товары!A:I,6,0)</f>
        <v>150</v>
      </c>
      <c r="I6255" t="str">
        <f>VLOOKUP(C6255,Магазины!A:C,3,0)</f>
        <v>Ставрополь</v>
      </c>
      <c r="J6255">
        <f>VLOOKUP(D6255,Товары!A:I,4,0)</f>
        <v>9720</v>
      </c>
      <c r="K6255">
        <f t="shared" si="97"/>
        <v>9720</v>
      </c>
    </row>
    <row r="6256" spans="1:11" hidden="1" x14ac:dyDescent="0.25">
      <c r="A6256">
        <v>6255</v>
      </c>
      <c r="B6256" s="1">
        <v>45754</v>
      </c>
      <c r="C6256" t="s">
        <v>92</v>
      </c>
      <c r="D6256" t="s">
        <v>38</v>
      </c>
      <c r="E6256" t="s">
        <v>8</v>
      </c>
      <c r="F6256">
        <v>3</v>
      </c>
      <c r="G6256" t="str">
        <f>VLOOKUP(D6256,Товары!A:I,3,0)</f>
        <v>Тумба с раковиной  навес. Куба Риф 600 белый 2 ящика с умыв. Como</v>
      </c>
      <c r="H6256">
        <f>VLOOKUP(D6256,Товары!A:I,6,0)</f>
        <v>55</v>
      </c>
      <c r="I6256" t="str">
        <f>VLOOKUP(C6256,Магазины!A:C,3,0)</f>
        <v>Кемерово</v>
      </c>
      <c r="J6256">
        <f>VLOOKUP(D6256,Товары!A:I,4,0)</f>
        <v>14265</v>
      </c>
      <c r="K6256">
        <f t="shared" si="97"/>
        <v>42795</v>
      </c>
    </row>
    <row r="6257" spans="1:11" hidden="1" x14ac:dyDescent="0.25">
      <c r="A6257">
        <v>6256</v>
      </c>
      <c r="B6257" s="1">
        <v>45750</v>
      </c>
      <c r="C6257" t="s">
        <v>33</v>
      </c>
      <c r="D6257" t="s">
        <v>108</v>
      </c>
      <c r="E6257" t="s">
        <v>8</v>
      </c>
      <c r="F6257">
        <v>2</v>
      </c>
      <c r="G6257" t="str">
        <f>VLOOKUP(D6257,Товары!A:I,3,0)</f>
        <v>Тумба с раковиной  навес. Виктория 1000 белый 2 ящика с умыв. Слим</v>
      </c>
      <c r="H6257">
        <f>VLOOKUP(D6257,Товары!A:I,6,0)</f>
        <v>60</v>
      </c>
      <c r="I6257" t="str">
        <f>VLOOKUP(C6257,Магазины!A:C,3,0)</f>
        <v>Набережные Челны</v>
      </c>
      <c r="J6257">
        <f>VLOOKUP(D6257,Товары!A:I,4,0)</f>
        <v>29205</v>
      </c>
      <c r="K6257">
        <f t="shared" si="97"/>
        <v>58410</v>
      </c>
    </row>
    <row r="6258" spans="1:11" hidden="1" x14ac:dyDescent="0.25">
      <c r="A6258">
        <v>6257</v>
      </c>
      <c r="B6258" s="1">
        <v>45755</v>
      </c>
      <c r="C6258" t="s">
        <v>14</v>
      </c>
      <c r="D6258" t="s">
        <v>17</v>
      </c>
      <c r="E6258" t="s">
        <v>8</v>
      </c>
      <c r="F6258">
        <v>3</v>
      </c>
      <c r="G6258" t="str">
        <f>VLOOKUP(D6258,Товары!A:I,3,0)</f>
        <v>Тумба с раковиной  навес. Альба 800 антрацит 1 ящик с умыв. Слим</v>
      </c>
      <c r="H6258">
        <f>VLOOKUP(D6258,Товары!A:I,6,0)</f>
        <v>45</v>
      </c>
      <c r="I6258" t="str">
        <f>VLOOKUP(C6258,Магазины!A:C,3,0)</f>
        <v>Оренбург</v>
      </c>
      <c r="J6258">
        <f>VLOOKUP(D6258,Товары!A:I,4,0)</f>
        <v>21630</v>
      </c>
      <c r="K6258">
        <f t="shared" si="97"/>
        <v>64890</v>
      </c>
    </row>
    <row r="6259" spans="1:11" x14ac:dyDescent="0.25">
      <c r="A6259">
        <v>6258</v>
      </c>
      <c r="B6259" s="1">
        <v>45750</v>
      </c>
      <c r="C6259" t="s">
        <v>92</v>
      </c>
      <c r="D6259" t="s">
        <v>91</v>
      </c>
      <c r="E6259" t="s">
        <v>13</v>
      </c>
      <c r="F6259">
        <v>1</v>
      </c>
      <c r="G6259" t="str">
        <f>VLOOKUP(D6259,Товары!A:I,3,0)</f>
        <v>Пенал навес./напол. Альба 350 мята 2 двери</v>
      </c>
      <c r="H6259">
        <f>VLOOKUP(D6259,Товары!A:I,6,0)</f>
        <v>150</v>
      </c>
      <c r="I6259" t="str">
        <f>VLOOKUP(C6259,Магазины!A:C,3,0)</f>
        <v>Кемерово</v>
      </c>
      <c r="J6259">
        <f>VLOOKUP(D6259,Товары!A:I,4,0)</f>
        <v>11655</v>
      </c>
      <c r="K6259">
        <f t="shared" si="97"/>
        <v>11655</v>
      </c>
    </row>
    <row r="6260" spans="1:11" hidden="1" x14ac:dyDescent="0.25">
      <c r="A6260">
        <v>6259</v>
      </c>
      <c r="B6260" s="1">
        <v>45749</v>
      </c>
      <c r="C6260" t="s">
        <v>18</v>
      </c>
      <c r="D6260" t="s">
        <v>110</v>
      </c>
      <c r="E6260" t="s">
        <v>8</v>
      </c>
      <c r="F6260">
        <v>1</v>
      </c>
      <c r="G6260" t="str">
        <f>VLOOKUP(D6260,Товары!A:I,3,0)</f>
        <v>Тумба с раковиной  напол. Альба 600 антрацит 2 ящика с умыв. Океан</v>
      </c>
      <c r="H6260">
        <f>VLOOKUP(D6260,Товары!A:I,6,0)</f>
        <v>80</v>
      </c>
      <c r="I6260" t="str">
        <f>VLOOKUP(C6260,Магазины!A:C,3,0)</f>
        <v>Набережные Челны</v>
      </c>
      <c r="J6260">
        <f>VLOOKUP(D6260,Товары!A:I,4,0)</f>
        <v>26370</v>
      </c>
      <c r="K6260">
        <f t="shared" si="97"/>
        <v>26370</v>
      </c>
    </row>
    <row r="6261" spans="1:11" hidden="1" x14ac:dyDescent="0.25">
      <c r="A6261">
        <v>6260</v>
      </c>
      <c r="B6261" s="1">
        <v>45748</v>
      </c>
      <c r="C6261" t="s">
        <v>6</v>
      </c>
      <c r="D6261" t="s">
        <v>113</v>
      </c>
      <c r="E6261" t="s">
        <v>8</v>
      </c>
      <c r="F6261">
        <v>1</v>
      </c>
      <c r="G6261" t="str">
        <f>VLOOKUP(D6261,Товары!A:I,3,0)</f>
        <v>Зеркальный шкаф Альба 60 со светильником правый цвет мята</v>
      </c>
      <c r="H6261">
        <f>VLOOKUP(D6261,Товары!A:I,6,0)</f>
        <v>75</v>
      </c>
      <c r="I6261" t="str">
        <f>VLOOKUP(C6261,Магазины!A:C,3,0)</f>
        <v>Оренбург</v>
      </c>
      <c r="J6261">
        <f>VLOOKUP(D6261,Товары!A:I,4,0)</f>
        <v>8910</v>
      </c>
      <c r="K6261">
        <f t="shared" si="97"/>
        <v>8910</v>
      </c>
    </row>
    <row r="6262" spans="1:11" hidden="1" x14ac:dyDescent="0.25">
      <c r="A6262">
        <v>6261</v>
      </c>
      <c r="B6262" s="1">
        <v>45756</v>
      </c>
      <c r="C6262" t="s">
        <v>26</v>
      </c>
      <c r="D6262" t="s">
        <v>83</v>
      </c>
      <c r="E6262" t="s">
        <v>8</v>
      </c>
      <c r="F6262">
        <v>1</v>
      </c>
      <c r="G6262" t="str">
        <f>VLOOKUP(D6262,Товары!A:I,3,0)</f>
        <v>Зеркальный шкаф Альба 60 со светильником правый цвет суфле</v>
      </c>
      <c r="H6262">
        <f>VLOOKUP(D6262,Товары!A:I,6,0)</f>
        <v>75</v>
      </c>
      <c r="I6262" t="str">
        <f>VLOOKUP(C6262,Магазины!A:C,3,0)</f>
        <v>Оренбург</v>
      </c>
      <c r="J6262">
        <f>VLOOKUP(D6262,Товары!A:I,4,0)</f>
        <v>8910</v>
      </c>
      <c r="K6262">
        <f t="shared" si="97"/>
        <v>8910</v>
      </c>
    </row>
    <row r="6263" spans="1:11" hidden="1" x14ac:dyDescent="0.25">
      <c r="A6263">
        <v>6262</v>
      </c>
      <c r="B6263" s="1">
        <v>45749</v>
      </c>
      <c r="C6263" t="s">
        <v>28</v>
      </c>
      <c r="D6263" t="s">
        <v>120</v>
      </c>
      <c r="E6263" t="s">
        <v>13</v>
      </c>
      <c r="F6263">
        <v>3</v>
      </c>
      <c r="G6263" t="str">
        <f>VLOOKUP(D6263,Товары!A:I,3,0)</f>
        <v>Зеркальный шкаф Альба 60 со светильником правый цвет антрацит</v>
      </c>
      <c r="H6263">
        <f>VLOOKUP(D6263,Товары!A:I,6,0)</f>
        <v>75</v>
      </c>
      <c r="I6263" t="str">
        <f>VLOOKUP(C6263,Магазины!A:C,3,0)</f>
        <v>Набережные Челны</v>
      </c>
      <c r="J6263">
        <f>VLOOKUP(D6263,Товары!A:I,4,0)</f>
        <v>8910</v>
      </c>
      <c r="K6263">
        <f t="shared" si="97"/>
        <v>26730</v>
      </c>
    </row>
    <row r="6264" spans="1:11" hidden="1" x14ac:dyDescent="0.25">
      <c r="A6264">
        <v>6263</v>
      </c>
      <c r="B6264" s="1">
        <v>45749</v>
      </c>
      <c r="C6264" t="s">
        <v>48</v>
      </c>
      <c r="D6264" t="s">
        <v>68</v>
      </c>
      <c r="E6264" t="s">
        <v>13</v>
      </c>
      <c r="F6264">
        <v>3</v>
      </c>
      <c r="G6264" t="str">
        <f>VLOOKUP(D6264,Товары!A:I,3,0)</f>
        <v>Тумба с раковиной  навес. Альба 600 антрацит 1 ящик с умыв. Океан</v>
      </c>
      <c r="H6264">
        <f>VLOOKUP(D6264,Товары!A:I,6,0)</f>
        <v>85</v>
      </c>
      <c r="I6264" t="str">
        <f>VLOOKUP(C6264,Магазины!A:C,3,0)</f>
        <v>Ставрополь</v>
      </c>
      <c r="J6264">
        <f>VLOOKUP(D6264,Товары!A:I,4,0)</f>
        <v>17625</v>
      </c>
      <c r="K6264">
        <f t="shared" si="97"/>
        <v>52875</v>
      </c>
    </row>
    <row r="6265" spans="1:11" hidden="1" x14ac:dyDescent="0.25">
      <c r="A6265">
        <v>6264</v>
      </c>
      <c r="B6265" s="1">
        <v>45753</v>
      </c>
      <c r="C6265" t="s">
        <v>26</v>
      </c>
      <c r="D6265" t="s">
        <v>37</v>
      </c>
      <c r="E6265" t="s">
        <v>8</v>
      </c>
      <c r="F6265">
        <v>2</v>
      </c>
      <c r="G6265" t="str">
        <f>VLOOKUP(D6265,Товары!A:I,3,0)</f>
        <v>Зеркальный шкаф Сохо 70 белый со светильником правый цвет Белый глянец</v>
      </c>
      <c r="H6265">
        <f>VLOOKUP(D6265,Товары!A:I,6,0)</f>
        <v>75</v>
      </c>
      <c r="I6265" t="str">
        <f>VLOOKUP(C6265,Магазины!A:C,3,0)</f>
        <v>Оренбург</v>
      </c>
      <c r="J6265">
        <f>VLOOKUP(D6265,Товары!A:I,4,0)</f>
        <v>7935</v>
      </c>
      <c r="K6265">
        <f t="shared" si="97"/>
        <v>15870</v>
      </c>
    </row>
    <row r="6266" spans="1:11" hidden="1" x14ac:dyDescent="0.25">
      <c r="A6266">
        <v>6265</v>
      </c>
      <c r="B6266" s="1">
        <v>45752</v>
      </c>
      <c r="C6266" t="s">
        <v>35</v>
      </c>
      <c r="D6266" t="s">
        <v>24</v>
      </c>
      <c r="E6266" t="s">
        <v>8</v>
      </c>
      <c r="F6266">
        <v>2</v>
      </c>
      <c r="G6266" t="str">
        <f>VLOOKUP(D6266,Товары!A:I,3,0)</f>
        <v>Тумба с раковиной  напол. Леон 600 форест 2 ящика с умыв. Слим</v>
      </c>
      <c r="H6266">
        <f>VLOOKUP(D6266,Товары!A:I,6,0)</f>
        <v>80</v>
      </c>
      <c r="I6266" t="str">
        <f>VLOOKUP(C6266,Магазины!A:C,3,0)</f>
        <v>Набережные Челны</v>
      </c>
      <c r="J6266">
        <f>VLOOKUP(D6266,Товары!A:I,4,0)</f>
        <v>27150</v>
      </c>
      <c r="K6266">
        <f t="shared" si="97"/>
        <v>54300</v>
      </c>
    </row>
    <row r="6267" spans="1:11" hidden="1" x14ac:dyDescent="0.25">
      <c r="A6267">
        <v>6266</v>
      </c>
      <c r="B6267" s="1">
        <v>45750</v>
      </c>
      <c r="C6267" t="s">
        <v>30</v>
      </c>
      <c r="D6267" t="s">
        <v>84</v>
      </c>
      <c r="E6267" t="s">
        <v>13</v>
      </c>
      <c r="F6267">
        <v>2</v>
      </c>
      <c r="G6267" t="str">
        <f>VLOOKUP(D6267,Товары!A:I,3,0)</f>
        <v>Тумба с раковиной  напол. Куба Риф 800 белый 3 двери с умыв. Слим</v>
      </c>
      <c r="H6267">
        <f>VLOOKUP(D6267,Товары!A:I,6,0)</f>
        <v>85</v>
      </c>
      <c r="I6267" t="str">
        <f>VLOOKUP(C6267,Магазины!A:C,3,0)</f>
        <v>Кемерово</v>
      </c>
      <c r="J6267">
        <f>VLOOKUP(D6267,Товары!A:I,4,0)</f>
        <v>19920</v>
      </c>
      <c r="K6267">
        <f t="shared" si="97"/>
        <v>39840</v>
      </c>
    </row>
    <row r="6268" spans="1:11" hidden="1" x14ac:dyDescent="0.25">
      <c r="A6268">
        <v>6267</v>
      </c>
      <c r="B6268" s="1">
        <v>45751</v>
      </c>
      <c r="C6268" t="s">
        <v>103</v>
      </c>
      <c r="D6268" t="s">
        <v>83</v>
      </c>
      <c r="E6268" t="s">
        <v>8</v>
      </c>
      <c r="F6268">
        <v>2</v>
      </c>
      <c r="G6268" t="str">
        <f>VLOOKUP(D6268,Товары!A:I,3,0)</f>
        <v>Зеркальный шкаф Альба 60 со светильником правый цвет суфле</v>
      </c>
      <c r="H6268">
        <f>VLOOKUP(D6268,Товары!A:I,6,0)</f>
        <v>75</v>
      </c>
      <c r="I6268" t="str">
        <f>VLOOKUP(C6268,Магазины!A:C,3,0)</f>
        <v>Ставрополь</v>
      </c>
      <c r="J6268">
        <f>VLOOKUP(D6268,Товары!A:I,4,0)</f>
        <v>8910</v>
      </c>
      <c r="K6268">
        <f t="shared" si="97"/>
        <v>17820</v>
      </c>
    </row>
    <row r="6269" spans="1:11" hidden="1" x14ac:dyDescent="0.25">
      <c r="A6269">
        <v>6268</v>
      </c>
      <c r="B6269" s="1">
        <v>45757</v>
      </c>
      <c r="C6269" t="s">
        <v>14</v>
      </c>
      <c r="D6269" t="s">
        <v>84</v>
      </c>
      <c r="E6269" t="s">
        <v>8</v>
      </c>
      <c r="F6269">
        <v>3</v>
      </c>
      <c r="G6269" t="str">
        <f>VLOOKUP(D6269,Товары!A:I,3,0)</f>
        <v>Тумба с раковиной  напол. Куба Риф 800 белый 3 двери с умыв. Слим</v>
      </c>
      <c r="H6269">
        <f>VLOOKUP(D6269,Товары!A:I,6,0)</f>
        <v>85</v>
      </c>
      <c r="I6269" t="str">
        <f>VLOOKUP(C6269,Магазины!A:C,3,0)</f>
        <v>Оренбург</v>
      </c>
      <c r="J6269">
        <f>VLOOKUP(D6269,Товары!A:I,4,0)</f>
        <v>19920</v>
      </c>
      <c r="K6269">
        <f t="shared" si="97"/>
        <v>59760</v>
      </c>
    </row>
    <row r="6270" spans="1:11" hidden="1" x14ac:dyDescent="0.25">
      <c r="A6270">
        <v>6269</v>
      </c>
      <c r="B6270" s="1">
        <v>45749</v>
      </c>
      <c r="C6270" t="s">
        <v>30</v>
      </c>
      <c r="D6270" t="s">
        <v>86</v>
      </c>
      <c r="E6270" t="s">
        <v>13</v>
      </c>
      <c r="F6270">
        <v>1</v>
      </c>
      <c r="G6270" t="str">
        <f>VLOOKUP(D6270,Товары!A:I,3,0)</f>
        <v>Комод Аква 50 напольный 1 ящик 2 двери белый</v>
      </c>
      <c r="H6270">
        <f>VLOOKUP(D6270,Товары!A:I,6,0)</f>
        <v>90</v>
      </c>
      <c r="I6270" t="str">
        <f>VLOOKUP(C6270,Магазины!A:C,3,0)</f>
        <v>Кемерово</v>
      </c>
      <c r="J6270">
        <f>VLOOKUP(D6270,Товары!A:I,4,0)</f>
        <v>7260</v>
      </c>
      <c r="K6270">
        <f t="shared" si="97"/>
        <v>7260</v>
      </c>
    </row>
    <row r="6271" spans="1:11" hidden="1" x14ac:dyDescent="0.25">
      <c r="A6271">
        <v>6270</v>
      </c>
      <c r="B6271" s="1">
        <v>45753</v>
      </c>
      <c r="C6271" t="s">
        <v>41</v>
      </c>
      <c r="D6271" t="s">
        <v>56</v>
      </c>
      <c r="E6271" t="s">
        <v>8</v>
      </c>
      <c r="F6271">
        <v>3</v>
      </c>
      <c r="G6271" t="str">
        <f>VLOOKUP(D6271,Товары!A:I,3,0)</f>
        <v>Зеркальный шкаф Альба 80 со светильником правый цвет мята</v>
      </c>
      <c r="H6271">
        <f>VLOOKUP(D6271,Товары!A:I,6,0)</f>
        <v>75</v>
      </c>
      <c r="I6271" t="str">
        <f>VLOOKUP(C6271,Магазины!A:C,3,0)</f>
        <v>Ставрополь</v>
      </c>
      <c r="J6271">
        <f>VLOOKUP(D6271,Товары!A:I,4,0)</f>
        <v>9930</v>
      </c>
      <c r="K6271">
        <f t="shared" si="97"/>
        <v>29790</v>
      </c>
    </row>
    <row r="6272" spans="1:11" hidden="1" x14ac:dyDescent="0.25">
      <c r="A6272">
        <v>6271</v>
      </c>
      <c r="B6272" s="1">
        <v>45754</v>
      </c>
      <c r="C6272" t="s">
        <v>43</v>
      </c>
      <c r="D6272" t="s">
        <v>59</v>
      </c>
      <c r="E6272" t="s">
        <v>8</v>
      </c>
      <c r="F6272">
        <v>2</v>
      </c>
      <c r="G6272" t="str">
        <f>VLOOKUP(D6272,Товары!A:I,3,0)</f>
        <v>Тумба с раковиной  навес. Куба Риф 600 белый 2 ящика с умыв. Океан</v>
      </c>
      <c r="H6272">
        <f>VLOOKUP(D6272,Товары!A:I,6,0)</f>
        <v>55</v>
      </c>
      <c r="I6272" t="str">
        <f>VLOOKUP(C6272,Магазины!A:C,3,0)</f>
        <v>Набережные Челны</v>
      </c>
      <c r="J6272">
        <f>VLOOKUP(D6272,Товары!A:I,4,0)</f>
        <v>15765</v>
      </c>
      <c r="K6272">
        <f t="shared" si="97"/>
        <v>31530</v>
      </c>
    </row>
    <row r="6273" spans="1:11" hidden="1" x14ac:dyDescent="0.25">
      <c r="A6273">
        <v>6272</v>
      </c>
      <c r="B6273" s="1">
        <v>45750</v>
      </c>
      <c r="C6273" t="s">
        <v>63</v>
      </c>
      <c r="D6273" t="s">
        <v>126</v>
      </c>
      <c r="E6273" t="s">
        <v>8</v>
      </c>
      <c r="F6273">
        <v>1</v>
      </c>
      <c r="G6273" t="str">
        <f>VLOOKUP(D6273,Товары!A:I,3,0)</f>
        <v>Тумба с раковиной  напол. Кристалл 800 шато азур 2 ящика с умыв. Комфорт</v>
      </c>
      <c r="H6273">
        <f>VLOOKUP(D6273,Товары!A:I,6,0)</f>
        <v>85</v>
      </c>
      <c r="I6273" t="str">
        <f>VLOOKUP(C6273,Магазины!A:C,3,0)</f>
        <v>Ставрополь</v>
      </c>
      <c r="J6273">
        <f>VLOOKUP(D6273,Товары!A:I,4,0)</f>
        <v>31125</v>
      </c>
      <c r="K6273">
        <f t="shared" si="97"/>
        <v>31125</v>
      </c>
    </row>
    <row r="6274" spans="1:11" hidden="1" x14ac:dyDescent="0.25">
      <c r="A6274">
        <v>6273</v>
      </c>
      <c r="B6274" s="1">
        <v>45749</v>
      </c>
      <c r="C6274" t="s">
        <v>57</v>
      </c>
      <c r="D6274" t="s">
        <v>91</v>
      </c>
      <c r="E6274" t="s">
        <v>8</v>
      </c>
      <c r="F6274">
        <v>2</v>
      </c>
      <c r="G6274" t="str">
        <f>VLOOKUP(D6274,Товары!A:I,3,0)</f>
        <v>Пенал навес./напол. Альба 350 мята 2 двери</v>
      </c>
      <c r="H6274">
        <f>VLOOKUP(D6274,Товары!A:I,6,0)</f>
        <v>150</v>
      </c>
      <c r="I6274" t="str">
        <f>VLOOKUP(C6274,Магазины!A:C,3,0)</f>
        <v>Оренбург</v>
      </c>
      <c r="J6274">
        <f>VLOOKUP(D6274,Товары!A:I,4,0)</f>
        <v>11655</v>
      </c>
      <c r="K6274">
        <f t="shared" si="97"/>
        <v>23310</v>
      </c>
    </row>
    <row r="6275" spans="1:11" hidden="1" x14ac:dyDescent="0.25">
      <c r="A6275">
        <v>6274</v>
      </c>
      <c r="B6275" s="1">
        <v>45757</v>
      </c>
      <c r="C6275" t="s">
        <v>41</v>
      </c>
      <c r="D6275" t="s">
        <v>84</v>
      </c>
      <c r="E6275" t="s">
        <v>8</v>
      </c>
      <c r="F6275">
        <v>1</v>
      </c>
      <c r="G6275" t="str">
        <f>VLOOKUP(D6275,Товары!A:I,3,0)</f>
        <v>Тумба с раковиной  напол. Куба Риф 800 белый 3 двери с умыв. Слим</v>
      </c>
      <c r="H6275">
        <f>VLOOKUP(D6275,Товары!A:I,6,0)</f>
        <v>85</v>
      </c>
      <c r="I6275" t="str">
        <f>VLOOKUP(C6275,Магазины!A:C,3,0)</f>
        <v>Ставрополь</v>
      </c>
      <c r="J6275">
        <f>VLOOKUP(D6275,Товары!A:I,4,0)</f>
        <v>19920</v>
      </c>
      <c r="K6275">
        <f t="shared" ref="K6275:K6338" si="98">J6275*F6275</f>
        <v>19920</v>
      </c>
    </row>
    <row r="6276" spans="1:11" hidden="1" x14ac:dyDescent="0.25">
      <c r="A6276">
        <v>6275</v>
      </c>
      <c r="B6276" s="1">
        <v>45755</v>
      </c>
      <c r="C6276" t="s">
        <v>57</v>
      </c>
      <c r="D6276" t="s">
        <v>49</v>
      </c>
      <c r="E6276" t="s">
        <v>13</v>
      </c>
      <c r="F6276">
        <v>2</v>
      </c>
      <c r="G6276" t="str">
        <f>VLOOKUP(D6276,Товары!A:I,3,0)</f>
        <v>Тумба с раковиной  напол. Леон 700 оникс 2 ящика с умыв. Слим</v>
      </c>
      <c r="H6276">
        <f>VLOOKUP(D6276,Товары!A:I,6,0)</f>
        <v>80</v>
      </c>
      <c r="I6276" t="str">
        <f>VLOOKUP(C6276,Магазины!A:C,3,0)</f>
        <v>Оренбург</v>
      </c>
      <c r="J6276">
        <f>VLOOKUP(D6276,Товары!A:I,4,0)</f>
        <v>28380</v>
      </c>
      <c r="K6276">
        <f t="shared" si="98"/>
        <v>56760</v>
      </c>
    </row>
    <row r="6277" spans="1:11" hidden="1" x14ac:dyDescent="0.25">
      <c r="A6277">
        <v>6276</v>
      </c>
      <c r="B6277" s="1">
        <v>45754</v>
      </c>
      <c r="C6277" t="s">
        <v>57</v>
      </c>
      <c r="D6277" t="s">
        <v>51</v>
      </c>
      <c r="E6277" t="s">
        <v>8</v>
      </c>
      <c r="F6277">
        <v>3</v>
      </c>
      <c r="G6277" t="str">
        <f>VLOOKUP(D6277,Товары!A:I,3,0)</f>
        <v>Зеркальный шкаф Альба 80 со светильником правый цвет суфле</v>
      </c>
      <c r="H6277">
        <f>VLOOKUP(D6277,Товары!A:I,6,0)</f>
        <v>75</v>
      </c>
      <c r="I6277" t="str">
        <f>VLOOKUP(C6277,Магазины!A:C,3,0)</f>
        <v>Оренбург</v>
      </c>
      <c r="J6277">
        <f>VLOOKUP(D6277,Товары!A:I,4,0)</f>
        <v>9930</v>
      </c>
      <c r="K6277">
        <f t="shared" si="98"/>
        <v>29790</v>
      </c>
    </row>
    <row r="6278" spans="1:11" hidden="1" x14ac:dyDescent="0.25">
      <c r="A6278">
        <v>6277</v>
      </c>
      <c r="B6278" s="1">
        <v>45748</v>
      </c>
      <c r="C6278" t="s">
        <v>35</v>
      </c>
      <c r="D6278" t="s">
        <v>90</v>
      </c>
      <c r="E6278" t="s">
        <v>13</v>
      </c>
      <c r="F6278">
        <v>2</v>
      </c>
      <c r="G6278" t="str">
        <f>VLOOKUP(D6278,Товары!A:I,3,0)</f>
        <v>Пенал напол. Аква 350 белый 2 двери + 2 ящика</v>
      </c>
      <c r="H6278">
        <f>VLOOKUP(D6278,Товары!A:I,6,0)</f>
        <v>190</v>
      </c>
      <c r="I6278" t="str">
        <f>VLOOKUP(C6278,Магазины!A:C,3,0)</f>
        <v>Набережные Челны</v>
      </c>
      <c r="J6278">
        <f>VLOOKUP(D6278,Товары!A:I,4,0)</f>
        <v>10650</v>
      </c>
      <c r="K6278">
        <f t="shared" si="98"/>
        <v>21300</v>
      </c>
    </row>
    <row r="6279" spans="1:11" hidden="1" x14ac:dyDescent="0.25">
      <c r="A6279">
        <v>6278</v>
      </c>
      <c r="B6279" s="1">
        <v>45749</v>
      </c>
      <c r="C6279" t="s">
        <v>30</v>
      </c>
      <c r="D6279" t="s">
        <v>79</v>
      </c>
      <c r="E6279" t="s">
        <v>8</v>
      </c>
      <c r="F6279">
        <v>1</v>
      </c>
      <c r="G6279" t="str">
        <f>VLOOKUP(D6279,Товары!A:I,3,0)</f>
        <v>Зеркальный шкаф Альба 70 со светильником правый цвет мята</v>
      </c>
      <c r="H6279">
        <f>VLOOKUP(D6279,Товары!A:I,6,0)</f>
        <v>75</v>
      </c>
      <c r="I6279" t="str">
        <f>VLOOKUP(C6279,Магазины!A:C,3,0)</f>
        <v>Кемерово</v>
      </c>
      <c r="J6279">
        <f>VLOOKUP(D6279,Товары!A:I,4,0)</f>
        <v>9615</v>
      </c>
      <c r="K6279">
        <f t="shared" si="98"/>
        <v>9615</v>
      </c>
    </row>
    <row r="6280" spans="1:11" hidden="1" x14ac:dyDescent="0.25">
      <c r="A6280">
        <v>6279</v>
      </c>
      <c r="B6280" s="1">
        <v>45753</v>
      </c>
      <c r="C6280" t="s">
        <v>43</v>
      </c>
      <c r="D6280" t="s">
        <v>23</v>
      </c>
      <c r="E6280" t="s">
        <v>8</v>
      </c>
      <c r="F6280">
        <v>2</v>
      </c>
      <c r="G6280" t="str">
        <f>VLOOKUP(D6280,Товары!A:I,3,0)</f>
        <v>Тумба с раковиной  напол. Альба 800 антрацит 2 ящика с умыв. Слим</v>
      </c>
      <c r="H6280">
        <f>VLOOKUP(D6280,Товары!A:I,6,0)</f>
        <v>80</v>
      </c>
      <c r="I6280" t="str">
        <f>VLOOKUP(C6280,Магазины!A:C,3,0)</f>
        <v>Набережные Челны</v>
      </c>
      <c r="J6280">
        <f>VLOOKUP(D6280,Товары!A:I,4,0)</f>
        <v>29340</v>
      </c>
      <c r="K6280">
        <f t="shared" si="98"/>
        <v>58680</v>
      </c>
    </row>
    <row r="6281" spans="1:11" hidden="1" x14ac:dyDescent="0.25">
      <c r="A6281">
        <v>6280</v>
      </c>
      <c r="B6281" s="1">
        <v>45752</v>
      </c>
      <c r="C6281" t="s">
        <v>6</v>
      </c>
      <c r="D6281" t="s">
        <v>121</v>
      </c>
      <c r="E6281" t="s">
        <v>8</v>
      </c>
      <c r="F6281">
        <v>1</v>
      </c>
      <c r="G6281" t="str">
        <f>VLOOKUP(D6281,Товары!A:I,3,0)</f>
        <v>Тумба с раковиной  напол. Куба Риф 600 белый 2 двери с умыв. Como</v>
      </c>
      <c r="H6281">
        <f>VLOOKUP(D6281,Товары!A:I,6,0)</f>
        <v>85</v>
      </c>
      <c r="I6281" t="str">
        <f>VLOOKUP(C6281,Магазины!A:C,3,0)</f>
        <v>Оренбург</v>
      </c>
      <c r="J6281">
        <f>VLOOKUP(D6281,Товары!A:I,4,0)</f>
        <v>13695</v>
      </c>
      <c r="K6281">
        <f t="shared" si="98"/>
        <v>13695</v>
      </c>
    </row>
    <row r="6282" spans="1:11" hidden="1" x14ac:dyDescent="0.25">
      <c r="A6282">
        <v>6281</v>
      </c>
      <c r="B6282" s="1">
        <v>45753</v>
      </c>
      <c r="C6282" t="s">
        <v>9</v>
      </c>
      <c r="D6282" t="s">
        <v>98</v>
      </c>
      <c r="E6282" t="s">
        <v>8</v>
      </c>
      <c r="F6282">
        <v>2</v>
      </c>
      <c r="G6282" t="str">
        <f>VLOOKUP(D6282,Товары!A:I,3,0)</f>
        <v>Тумба с раковиной  напол. Рица 800 cерый/керамика 2 ящика с умыв. Слим</v>
      </c>
      <c r="H6282">
        <f>VLOOKUP(D6282,Товары!A:I,6,0)</f>
        <v>80</v>
      </c>
      <c r="I6282" t="str">
        <f>VLOOKUP(C6282,Магазины!A:C,3,0)</f>
        <v>Кемерово</v>
      </c>
      <c r="J6282">
        <f>VLOOKUP(D6282,Товары!A:I,4,0)</f>
        <v>28980</v>
      </c>
      <c r="K6282">
        <f t="shared" si="98"/>
        <v>57960</v>
      </c>
    </row>
    <row r="6283" spans="1:11" hidden="1" x14ac:dyDescent="0.25">
      <c r="A6283">
        <v>6282</v>
      </c>
      <c r="B6283" s="1">
        <v>45749</v>
      </c>
      <c r="C6283" t="s">
        <v>35</v>
      </c>
      <c r="D6283" t="s">
        <v>85</v>
      </c>
      <c r="E6283" t="s">
        <v>8</v>
      </c>
      <c r="F6283">
        <v>3</v>
      </c>
      <c r="G6283" t="str">
        <f>VLOOKUP(D6283,Товары!A:I,3,0)</f>
        <v>Пенал напол. Аква 450 белый 2 двери + 2 ящика + корзина</v>
      </c>
      <c r="H6283">
        <f>VLOOKUP(D6283,Товары!A:I,6,0)</f>
        <v>190</v>
      </c>
      <c r="I6283" t="str">
        <f>VLOOKUP(C6283,Магазины!A:C,3,0)</f>
        <v>Набережные Челны</v>
      </c>
      <c r="J6283">
        <f>VLOOKUP(D6283,Товары!A:I,4,0)</f>
        <v>13335</v>
      </c>
      <c r="K6283">
        <f t="shared" si="98"/>
        <v>40005</v>
      </c>
    </row>
    <row r="6284" spans="1:11" hidden="1" x14ac:dyDescent="0.25">
      <c r="A6284">
        <v>6283</v>
      </c>
      <c r="B6284" s="1">
        <v>45749</v>
      </c>
      <c r="C6284" t="s">
        <v>33</v>
      </c>
      <c r="D6284" t="s">
        <v>131</v>
      </c>
      <c r="E6284" t="s">
        <v>13</v>
      </c>
      <c r="F6284">
        <v>2</v>
      </c>
      <c r="G6284" t="str">
        <f>VLOOKUP(D6284,Товары!A:I,3,0)</f>
        <v>Тумба с раковиной  напол. Леон 800 форест 2 ящика с умыв. Слим</v>
      </c>
      <c r="H6284">
        <f>VLOOKUP(D6284,Товары!A:I,6,0)</f>
        <v>80</v>
      </c>
      <c r="I6284" t="str">
        <f>VLOOKUP(C6284,Магазины!A:C,3,0)</f>
        <v>Набережные Челны</v>
      </c>
      <c r="J6284">
        <f>VLOOKUP(D6284,Товары!A:I,4,0)</f>
        <v>29400</v>
      </c>
      <c r="K6284">
        <f t="shared" si="98"/>
        <v>58800</v>
      </c>
    </row>
    <row r="6285" spans="1:11" hidden="1" x14ac:dyDescent="0.25">
      <c r="A6285">
        <v>6284</v>
      </c>
      <c r="B6285" s="1">
        <v>45757</v>
      </c>
      <c r="C6285" t="s">
        <v>92</v>
      </c>
      <c r="D6285" t="s">
        <v>62</v>
      </c>
      <c r="E6285" t="s">
        <v>8</v>
      </c>
      <c r="F6285">
        <v>1</v>
      </c>
      <c r="G6285" t="str">
        <f>VLOOKUP(D6285,Товары!A:I,3,0)</f>
        <v>Тумба с раковиной  напол. Альба 600 мята 2 ящика с умыв. Океан</v>
      </c>
      <c r="H6285">
        <f>VLOOKUP(D6285,Товары!A:I,6,0)</f>
        <v>80</v>
      </c>
      <c r="I6285" t="str">
        <f>VLOOKUP(C6285,Магазины!A:C,3,0)</f>
        <v>Кемерово</v>
      </c>
      <c r="J6285">
        <f>VLOOKUP(D6285,Товары!A:I,4,0)</f>
        <v>26370</v>
      </c>
      <c r="K6285">
        <f t="shared" si="98"/>
        <v>26370</v>
      </c>
    </row>
    <row r="6286" spans="1:11" hidden="1" x14ac:dyDescent="0.25">
      <c r="A6286">
        <v>6285</v>
      </c>
      <c r="B6286" s="1">
        <v>45750</v>
      </c>
      <c r="C6286" t="s">
        <v>22</v>
      </c>
      <c r="D6286" t="s">
        <v>77</v>
      </c>
      <c r="E6286" t="s">
        <v>13</v>
      </c>
      <c r="F6286">
        <v>3</v>
      </c>
      <c r="G6286" t="str">
        <f>VLOOKUP(D6286,Товары!A:I,3,0)</f>
        <v>Тумба с раковиной  напол. Куба Риф 600 белый 2 ящика с умыв. Como</v>
      </c>
      <c r="H6286">
        <f>VLOOKUP(D6286,Товары!A:I,6,0)</f>
        <v>85</v>
      </c>
      <c r="I6286" t="str">
        <f>VLOOKUP(C6286,Магазины!A:C,3,0)</f>
        <v>Кемерово</v>
      </c>
      <c r="J6286">
        <f>VLOOKUP(D6286,Товары!A:I,4,0)</f>
        <v>15660</v>
      </c>
      <c r="K6286">
        <f t="shared" si="98"/>
        <v>46980</v>
      </c>
    </row>
    <row r="6287" spans="1:11" hidden="1" x14ac:dyDescent="0.25">
      <c r="A6287">
        <v>6286</v>
      </c>
      <c r="B6287" s="1">
        <v>45755</v>
      </c>
      <c r="C6287" t="s">
        <v>35</v>
      </c>
      <c r="D6287" t="s">
        <v>93</v>
      </c>
      <c r="E6287" t="s">
        <v>8</v>
      </c>
      <c r="F6287">
        <v>1</v>
      </c>
      <c r="G6287" t="str">
        <f>VLOOKUP(D6287,Товары!A:I,3,0)</f>
        <v>Тумба с раковиной  напол. Леон Риф 800 солярис/белый риф 2 ящика с умыв. Слим</v>
      </c>
      <c r="H6287">
        <f>VLOOKUP(D6287,Товары!A:I,6,0)</f>
        <v>80</v>
      </c>
      <c r="I6287" t="str">
        <f>VLOOKUP(C6287,Магазины!A:C,3,0)</f>
        <v>Набережные Челны</v>
      </c>
      <c r="J6287">
        <f>VLOOKUP(D6287,Товары!A:I,4,0)</f>
        <v>29340</v>
      </c>
      <c r="K6287">
        <f t="shared" si="98"/>
        <v>29340</v>
      </c>
    </row>
    <row r="6288" spans="1:11" hidden="1" x14ac:dyDescent="0.25">
      <c r="A6288">
        <v>6287</v>
      </c>
      <c r="B6288" s="1">
        <v>45756</v>
      </c>
      <c r="C6288" t="s">
        <v>9</v>
      </c>
      <c r="D6288" t="s">
        <v>36</v>
      </c>
      <c r="E6288" t="s">
        <v>8</v>
      </c>
      <c r="F6288">
        <v>3</v>
      </c>
      <c r="G6288" t="str">
        <f>VLOOKUP(D6288,Товары!A:I,3,0)</f>
        <v>Тумба с раковиной  напол. Альба 800 мята 2 ящика с умыв. Слим</v>
      </c>
      <c r="H6288">
        <f>VLOOKUP(D6288,Товары!A:I,6,0)</f>
        <v>80</v>
      </c>
      <c r="I6288" t="str">
        <f>VLOOKUP(C6288,Магазины!A:C,3,0)</f>
        <v>Кемерово</v>
      </c>
      <c r="J6288">
        <f>VLOOKUP(D6288,Товары!A:I,4,0)</f>
        <v>29340</v>
      </c>
      <c r="K6288">
        <f t="shared" si="98"/>
        <v>88020</v>
      </c>
    </row>
    <row r="6289" spans="1:11" hidden="1" x14ac:dyDescent="0.25">
      <c r="A6289">
        <v>6288</v>
      </c>
      <c r="B6289" s="1">
        <v>45749</v>
      </c>
      <c r="C6289" t="s">
        <v>26</v>
      </c>
      <c r="D6289" t="s">
        <v>90</v>
      </c>
      <c r="E6289" t="s">
        <v>8</v>
      </c>
      <c r="F6289">
        <v>2</v>
      </c>
      <c r="G6289" t="str">
        <f>VLOOKUP(D6289,Товары!A:I,3,0)</f>
        <v>Пенал напол. Аква 350 белый 2 двери + 2 ящика</v>
      </c>
      <c r="H6289">
        <f>VLOOKUP(D6289,Товары!A:I,6,0)</f>
        <v>190</v>
      </c>
      <c r="I6289" t="str">
        <f>VLOOKUP(C6289,Магазины!A:C,3,0)</f>
        <v>Оренбург</v>
      </c>
      <c r="J6289">
        <f>VLOOKUP(D6289,Товары!A:I,4,0)</f>
        <v>10650</v>
      </c>
      <c r="K6289">
        <f t="shared" si="98"/>
        <v>21300</v>
      </c>
    </row>
    <row r="6290" spans="1:11" hidden="1" x14ac:dyDescent="0.25">
      <c r="A6290">
        <v>6289</v>
      </c>
      <c r="B6290" s="1">
        <v>45752</v>
      </c>
      <c r="C6290" t="s">
        <v>11</v>
      </c>
      <c r="D6290" t="s">
        <v>91</v>
      </c>
      <c r="E6290" t="s">
        <v>8</v>
      </c>
      <c r="F6290">
        <v>2</v>
      </c>
      <c r="G6290" t="str">
        <f>VLOOKUP(D6290,Товары!A:I,3,0)</f>
        <v>Пенал навес./напол. Альба 350 мята 2 двери</v>
      </c>
      <c r="H6290">
        <f>VLOOKUP(D6290,Товары!A:I,6,0)</f>
        <v>150</v>
      </c>
      <c r="I6290" t="str">
        <f>VLOOKUP(C6290,Магазины!A:C,3,0)</f>
        <v>Кемерово</v>
      </c>
      <c r="J6290">
        <f>VLOOKUP(D6290,Товары!A:I,4,0)</f>
        <v>11655</v>
      </c>
      <c r="K6290">
        <f t="shared" si="98"/>
        <v>23310</v>
      </c>
    </row>
    <row r="6291" spans="1:11" hidden="1" x14ac:dyDescent="0.25">
      <c r="A6291">
        <v>6290</v>
      </c>
      <c r="B6291" s="1">
        <v>45756</v>
      </c>
      <c r="C6291" t="s">
        <v>48</v>
      </c>
      <c r="D6291" t="s">
        <v>67</v>
      </c>
      <c r="E6291" t="s">
        <v>8</v>
      </c>
      <c r="F6291">
        <v>1</v>
      </c>
      <c r="G6291" t="str">
        <f>VLOOKUP(D6291,Товары!A:I,3,0)</f>
        <v>Пенал навес./напол. Альба 350 суфле 2 двери</v>
      </c>
      <c r="H6291">
        <f>VLOOKUP(D6291,Товары!A:I,6,0)</f>
        <v>150</v>
      </c>
      <c r="I6291" t="str">
        <f>VLOOKUP(C6291,Магазины!A:C,3,0)</f>
        <v>Ставрополь</v>
      </c>
      <c r="J6291">
        <f>VLOOKUP(D6291,Товары!A:I,4,0)</f>
        <v>11655</v>
      </c>
      <c r="K6291">
        <f t="shared" si="98"/>
        <v>11655</v>
      </c>
    </row>
    <row r="6292" spans="1:11" hidden="1" x14ac:dyDescent="0.25">
      <c r="A6292">
        <v>6291</v>
      </c>
      <c r="B6292" s="1">
        <v>45749</v>
      </c>
      <c r="C6292" t="s">
        <v>57</v>
      </c>
      <c r="D6292" t="s">
        <v>128</v>
      </c>
      <c r="E6292" t="s">
        <v>13</v>
      </c>
      <c r="F6292">
        <v>2</v>
      </c>
      <c r="G6292" t="str">
        <f>VLOOKUP(D6292,Товары!A:I,3,0)</f>
        <v>Тумба с раковиной  напол. Куба Риф 1000 белый 2 ящика с умыв. Слим</v>
      </c>
      <c r="H6292">
        <f>VLOOKUP(D6292,Товары!A:I,6,0)</f>
        <v>85</v>
      </c>
      <c r="I6292" t="str">
        <f>VLOOKUP(C6292,Магазины!A:C,3,0)</f>
        <v>Оренбург</v>
      </c>
      <c r="J6292">
        <f>VLOOKUP(D6292,Товары!A:I,4,0)</f>
        <v>22905</v>
      </c>
      <c r="K6292">
        <f t="shared" si="98"/>
        <v>45810</v>
      </c>
    </row>
    <row r="6293" spans="1:11" hidden="1" x14ac:dyDescent="0.25">
      <c r="A6293">
        <v>6292</v>
      </c>
      <c r="B6293" s="1">
        <v>45750</v>
      </c>
      <c r="C6293" t="s">
        <v>11</v>
      </c>
      <c r="D6293" t="s">
        <v>10</v>
      </c>
      <c r="E6293" t="s">
        <v>8</v>
      </c>
      <c r="F6293">
        <v>3</v>
      </c>
      <c r="G6293" t="str">
        <f>VLOOKUP(D6293,Товары!A:I,3,0)</f>
        <v>Тумба с раковиной  навес. Альба 700 антрацит 1 ящик с умыв. Слим</v>
      </c>
      <c r="H6293">
        <f>VLOOKUP(D6293,Товары!A:I,6,0)</f>
        <v>45</v>
      </c>
      <c r="I6293" t="str">
        <f>VLOOKUP(C6293,Магазины!A:C,3,0)</f>
        <v>Кемерово</v>
      </c>
      <c r="J6293">
        <f>VLOOKUP(D6293,Товары!A:I,4,0)</f>
        <v>20130</v>
      </c>
      <c r="K6293">
        <f t="shared" si="98"/>
        <v>60390</v>
      </c>
    </row>
    <row r="6294" spans="1:11" hidden="1" x14ac:dyDescent="0.25">
      <c r="A6294">
        <v>6293</v>
      </c>
      <c r="B6294" s="1">
        <v>45749</v>
      </c>
      <c r="C6294" t="s">
        <v>22</v>
      </c>
      <c r="D6294" t="s">
        <v>115</v>
      </c>
      <c r="E6294" t="s">
        <v>13</v>
      </c>
      <c r="F6294">
        <v>2</v>
      </c>
      <c r="G6294" t="str">
        <f>VLOOKUP(D6294,Товары!A:I,3,0)</f>
        <v>Тумба под стиральную машину Куба Риф 57 напольная 2 ящика под ст/маш, без умывальника /под Marshall 120 Белый</v>
      </c>
      <c r="H6294">
        <f>VLOOKUP(D6294,Товары!A:I,6,0)</f>
        <v>85</v>
      </c>
      <c r="I6294" t="str">
        <f>VLOOKUP(C6294,Магазины!A:C,3,0)</f>
        <v>Кемерово</v>
      </c>
      <c r="J6294">
        <f>VLOOKUP(D6294,Товары!A:I,4,0)</f>
        <v>10530</v>
      </c>
      <c r="K6294">
        <f t="shared" si="98"/>
        <v>21060</v>
      </c>
    </row>
    <row r="6295" spans="1:11" hidden="1" x14ac:dyDescent="0.25">
      <c r="A6295">
        <v>6294</v>
      </c>
      <c r="B6295" s="1">
        <v>45756</v>
      </c>
      <c r="C6295" t="s">
        <v>26</v>
      </c>
      <c r="D6295" t="s">
        <v>74</v>
      </c>
      <c r="E6295" t="s">
        <v>8</v>
      </c>
      <c r="F6295">
        <v>3</v>
      </c>
      <c r="G6295" t="str">
        <f>VLOOKUP(D6295,Товары!A:I,3,0)</f>
        <v>Тумба с раковиной  напол. Альба 800 суфле 2 ящика с умыв. Слим</v>
      </c>
      <c r="H6295">
        <f>VLOOKUP(D6295,Товары!A:I,6,0)</f>
        <v>80</v>
      </c>
      <c r="I6295" t="str">
        <f>VLOOKUP(C6295,Магазины!A:C,3,0)</f>
        <v>Оренбург</v>
      </c>
      <c r="J6295">
        <f>VLOOKUP(D6295,Товары!A:I,4,0)</f>
        <v>29340</v>
      </c>
      <c r="K6295">
        <f t="shared" si="98"/>
        <v>88020</v>
      </c>
    </row>
    <row r="6296" spans="1:11" hidden="1" x14ac:dyDescent="0.25">
      <c r="A6296">
        <v>6295</v>
      </c>
      <c r="B6296" s="1">
        <v>45757</v>
      </c>
      <c r="C6296" t="s">
        <v>58</v>
      </c>
      <c r="D6296" t="s">
        <v>68</v>
      </c>
      <c r="E6296" t="s">
        <v>8</v>
      </c>
      <c r="F6296">
        <v>3</v>
      </c>
      <c r="G6296" t="str">
        <f>VLOOKUP(D6296,Товары!A:I,3,0)</f>
        <v>Тумба с раковиной  навес. Альба 600 антрацит 1 ящик с умыв. Океан</v>
      </c>
      <c r="H6296">
        <f>VLOOKUP(D6296,Товары!A:I,6,0)</f>
        <v>85</v>
      </c>
      <c r="I6296" t="str">
        <f>VLOOKUP(C6296,Магазины!A:C,3,0)</f>
        <v>Ставрополь</v>
      </c>
      <c r="J6296">
        <f>VLOOKUP(D6296,Товары!A:I,4,0)</f>
        <v>17625</v>
      </c>
      <c r="K6296">
        <f t="shared" si="98"/>
        <v>52875</v>
      </c>
    </row>
    <row r="6297" spans="1:11" hidden="1" x14ac:dyDescent="0.25">
      <c r="A6297">
        <v>6296</v>
      </c>
      <c r="B6297" s="1">
        <v>45753</v>
      </c>
      <c r="C6297" t="s">
        <v>14</v>
      </c>
      <c r="D6297" t="s">
        <v>81</v>
      </c>
      <c r="E6297" t="s">
        <v>13</v>
      </c>
      <c r="F6297">
        <v>1</v>
      </c>
      <c r="G6297" t="str">
        <f>VLOOKUP(D6297,Товары!A:I,3,0)</f>
        <v>Тумба с раковиной  навес. Рица 600 cерый/керамика 1 ящик + ниша 1 с умыв. Океан</v>
      </c>
      <c r="H6297">
        <f>VLOOKUP(D6297,Товары!A:I,6,0)</f>
        <v>60</v>
      </c>
      <c r="I6297" t="str">
        <f>VLOOKUP(C6297,Магазины!A:C,3,0)</f>
        <v>Оренбург</v>
      </c>
      <c r="J6297">
        <f>VLOOKUP(D6297,Товары!A:I,4,0)</f>
        <v>18900</v>
      </c>
      <c r="K6297">
        <f t="shared" si="98"/>
        <v>18900</v>
      </c>
    </row>
    <row r="6298" spans="1:11" hidden="1" x14ac:dyDescent="0.25">
      <c r="A6298">
        <v>6297</v>
      </c>
      <c r="B6298" s="1">
        <v>45750</v>
      </c>
      <c r="C6298" t="s">
        <v>63</v>
      </c>
      <c r="D6298" t="s">
        <v>73</v>
      </c>
      <c r="E6298" t="s">
        <v>13</v>
      </c>
      <c r="F6298">
        <v>2</v>
      </c>
      <c r="G6298" t="str">
        <f>VLOOKUP(D6298,Товары!A:I,3,0)</f>
        <v>Зеркальный шкаф Альба 70 со светильником правый цвет антрацит</v>
      </c>
      <c r="H6298">
        <f>VLOOKUP(D6298,Товары!A:I,6,0)</f>
        <v>75</v>
      </c>
      <c r="I6298" t="str">
        <f>VLOOKUP(C6298,Магазины!A:C,3,0)</f>
        <v>Ставрополь</v>
      </c>
      <c r="J6298">
        <f>VLOOKUP(D6298,Товары!A:I,4,0)</f>
        <v>9615</v>
      </c>
      <c r="K6298">
        <f t="shared" si="98"/>
        <v>19230</v>
      </c>
    </row>
    <row r="6299" spans="1:11" hidden="1" x14ac:dyDescent="0.25">
      <c r="A6299">
        <v>6298</v>
      </c>
      <c r="B6299" s="1">
        <v>45751</v>
      </c>
      <c r="C6299" t="s">
        <v>63</v>
      </c>
      <c r="D6299" t="s">
        <v>117</v>
      </c>
      <c r="E6299" t="s">
        <v>13</v>
      </c>
      <c r="F6299">
        <v>2</v>
      </c>
      <c r="G6299" t="str">
        <f>VLOOKUP(D6299,Товары!A:I,3,0)</f>
        <v>Тумба с раковиной  навес. Альба 700 антрацит 2 ящика с умыв. Слим</v>
      </c>
      <c r="H6299">
        <f>VLOOKUP(D6299,Товары!A:I,6,0)</f>
        <v>60</v>
      </c>
      <c r="I6299" t="str">
        <f>VLOOKUP(C6299,Магазины!A:C,3,0)</f>
        <v>Ставрополь</v>
      </c>
      <c r="J6299">
        <f>VLOOKUP(D6299,Товары!A:I,4,0)</f>
        <v>25095</v>
      </c>
      <c r="K6299">
        <f t="shared" si="98"/>
        <v>50190</v>
      </c>
    </row>
    <row r="6300" spans="1:11" hidden="1" x14ac:dyDescent="0.25">
      <c r="A6300">
        <v>6299</v>
      </c>
      <c r="B6300" s="1">
        <v>45751</v>
      </c>
      <c r="C6300" t="s">
        <v>33</v>
      </c>
      <c r="D6300" t="s">
        <v>10</v>
      </c>
      <c r="E6300" t="s">
        <v>8</v>
      </c>
      <c r="F6300">
        <v>3</v>
      </c>
      <c r="G6300" t="str">
        <f>VLOOKUP(D6300,Товары!A:I,3,0)</f>
        <v>Тумба с раковиной  навес. Альба 700 антрацит 1 ящик с умыв. Слим</v>
      </c>
      <c r="H6300">
        <f>VLOOKUP(D6300,Товары!A:I,6,0)</f>
        <v>45</v>
      </c>
      <c r="I6300" t="str">
        <f>VLOOKUP(C6300,Магазины!A:C,3,0)</f>
        <v>Набережные Челны</v>
      </c>
      <c r="J6300">
        <f>VLOOKUP(D6300,Товары!A:I,4,0)</f>
        <v>20130</v>
      </c>
      <c r="K6300">
        <f t="shared" si="98"/>
        <v>60390</v>
      </c>
    </row>
    <row r="6301" spans="1:11" hidden="1" x14ac:dyDescent="0.25">
      <c r="A6301">
        <v>6300</v>
      </c>
      <c r="B6301" s="1">
        <v>45755</v>
      </c>
      <c r="C6301" t="s">
        <v>33</v>
      </c>
      <c r="D6301" t="s">
        <v>19</v>
      </c>
      <c r="E6301" t="s">
        <v>13</v>
      </c>
      <c r="F6301">
        <v>3</v>
      </c>
      <c r="G6301" t="str">
        <f>VLOOKUP(D6301,Товары!A:I,3,0)</f>
        <v>Тумба с раковиной  навес. Леон 800 оникс 2 ящика с умыв. Слим</v>
      </c>
      <c r="H6301">
        <f>VLOOKUP(D6301,Товары!A:I,6,0)</f>
        <v>60</v>
      </c>
      <c r="I6301" t="str">
        <f>VLOOKUP(C6301,Магазины!A:C,3,0)</f>
        <v>Набережные Челны</v>
      </c>
      <c r="J6301">
        <f>VLOOKUP(D6301,Товары!A:I,4,0)</f>
        <v>27930</v>
      </c>
      <c r="K6301">
        <f t="shared" si="98"/>
        <v>83790</v>
      </c>
    </row>
    <row r="6302" spans="1:11" hidden="1" x14ac:dyDescent="0.25">
      <c r="A6302">
        <v>6301</v>
      </c>
      <c r="B6302" s="1">
        <v>45752</v>
      </c>
      <c r="C6302" t="s">
        <v>22</v>
      </c>
      <c r="D6302" t="s">
        <v>74</v>
      </c>
      <c r="E6302" t="s">
        <v>13</v>
      </c>
      <c r="F6302">
        <v>1</v>
      </c>
      <c r="G6302" t="str">
        <f>VLOOKUP(D6302,Товары!A:I,3,0)</f>
        <v>Тумба с раковиной  напол. Альба 800 суфле 2 ящика с умыв. Слим</v>
      </c>
      <c r="H6302">
        <f>VLOOKUP(D6302,Товары!A:I,6,0)</f>
        <v>80</v>
      </c>
      <c r="I6302" t="str">
        <f>VLOOKUP(C6302,Магазины!A:C,3,0)</f>
        <v>Кемерово</v>
      </c>
      <c r="J6302">
        <f>VLOOKUP(D6302,Товары!A:I,4,0)</f>
        <v>29340</v>
      </c>
      <c r="K6302">
        <f t="shared" si="98"/>
        <v>29340</v>
      </c>
    </row>
    <row r="6303" spans="1:11" hidden="1" x14ac:dyDescent="0.25">
      <c r="A6303">
        <v>6302</v>
      </c>
      <c r="B6303" s="1">
        <v>45757</v>
      </c>
      <c r="C6303" t="s">
        <v>30</v>
      </c>
      <c r="D6303" t="s">
        <v>93</v>
      </c>
      <c r="E6303" t="s">
        <v>13</v>
      </c>
      <c r="F6303">
        <v>2</v>
      </c>
      <c r="G6303" t="str">
        <f>VLOOKUP(D6303,Товары!A:I,3,0)</f>
        <v>Тумба с раковиной  напол. Леон Риф 800 солярис/белый риф 2 ящика с умыв. Слим</v>
      </c>
      <c r="H6303">
        <f>VLOOKUP(D6303,Товары!A:I,6,0)</f>
        <v>80</v>
      </c>
      <c r="I6303" t="str">
        <f>VLOOKUP(C6303,Магазины!A:C,3,0)</f>
        <v>Кемерово</v>
      </c>
      <c r="J6303">
        <f>VLOOKUP(D6303,Товары!A:I,4,0)</f>
        <v>29340</v>
      </c>
      <c r="K6303">
        <f t="shared" si="98"/>
        <v>58680</v>
      </c>
    </row>
    <row r="6304" spans="1:11" hidden="1" x14ac:dyDescent="0.25">
      <c r="A6304">
        <v>6303</v>
      </c>
      <c r="B6304" s="1">
        <v>45756</v>
      </c>
      <c r="C6304" t="s">
        <v>30</v>
      </c>
      <c r="D6304" t="s">
        <v>116</v>
      </c>
      <c r="E6304" t="s">
        <v>13</v>
      </c>
      <c r="F6304">
        <v>2</v>
      </c>
      <c r="G6304" t="str">
        <f>VLOOKUP(D6304,Товары!A:I,3,0)</f>
        <v>Зеркало Нева 60 дуб/белый со светильником</v>
      </c>
      <c r="H6304">
        <f>VLOOKUP(D6304,Товары!A:I,6,0)</f>
        <v>80</v>
      </c>
      <c r="I6304" t="str">
        <f>VLOOKUP(C6304,Магазины!A:C,3,0)</f>
        <v>Кемерово</v>
      </c>
      <c r="J6304">
        <f>VLOOKUP(D6304,Товары!A:I,4,0)</f>
        <v>5100</v>
      </c>
      <c r="K6304">
        <f t="shared" si="98"/>
        <v>10200</v>
      </c>
    </row>
    <row r="6305" spans="1:11" hidden="1" x14ac:dyDescent="0.25">
      <c r="A6305">
        <v>6304</v>
      </c>
      <c r="B6305" s="1">
        <v>45754</v>
      </c>
      <c r="C6305" t="s">
        <v>30</v>
      </c>
      <c r="D6305" t="s">
        <v>101</v>
      </c>
      <c r="E6305" t="s">
        <v>13</v>
      </c>
      <c r="F6305">
        <v>3</v>
      </c>
      <c r="G6305" t="str">
        <f>VLOOKUP(D6305,Товары!A:I,3,0)</f>
        <v>Пенал напол. Сохо 400 белый 2 двери + 1 ящик</v>
      </c>
      <c r="H6305">
        <f>VLOOKUP(D6305,Товары!A:I,6,0)</f>
        <v>190</v>
      </c>
      <c r="I6305" t="str">
        <f>VLOOKUP(C6305,Магазины!A:C,3,0)</f>
        <v>Кемерово</v>
      </c>
      <c r="J6305">
        <f>VLOOKUP(D6305,Товары!A:I,4,0)</f>
        <v>11040</v>
      </c>
      <c r="K6305">
        <f t="shared" si="98"/>
        <v>33120</v>
      </c>
    </row>
    <row r="6306" spans="1:11" hidden="1" x14ac:dyDescent="0.25">
      <c r="A6306">
        <v>6305</v>
      </c>
      <c r="B6306" s="1">
        <v>45752</v>
      </c>
      <c r="C6306" t="s">
        <v>92</v>
      </c>
      <c r="D6306" t="s">
        <v>61</v>
      </c>
      <c r="E6306" t="s">
        <v>13</v>
      </c>
      <c r="F6306">
        <v>1</v>
      </c>
      <c r="G6306" t="str">
        <f>VLOOKUP(D6306,Товары!A:I,3,0)</f>
        <v>Тумба под стиральную машину Леон Риф 57 напольная 2 ящика под ст/маш, без умывальника /под Marshall 120 Солярис/Белый Риф</v>
      </c>
      <c r="H6306">
        <f>VLOOKUP(D6306,Товары!A:I,6,0)</f>
        <v>85</v>
      </c>
      <c r="I6306" t="str">
        <f>VLOOKUP(C6306,Магазины!A:C,3,0)</f>
        <v>Кемерово</v>
      </c>
      <c r="J6306">
        <f>VLOOKUP(D6306,Товары!A:I,4,0)</f>
        <v>17430</v>
      </c>
      <c r="K6306">
        <f t="shared" si="98"/>
        <v>17430</v>
      </c>
    </row>
    <row r="6307" spans="1:11" hidden="1" x14ac:dyDescent="0.25">
      <c r="A6307">
        <v>6306</v>
      </c>
      <c r="B6307" s="1">
        <v>45751</v>
      </c>
      <c r="C6307" t="s">
        <v>103</v>
      </c>
      <c r="D6307" t="s">
        <v>65</v>
      </c>
      <c r="E6307" t="s">
        <v>8</v>
      </c>
      <c r="F6307">
        <v>3</v>
      </c>
      <c r="G6307" t="str">
        <f>VLOOKUP(D6307,Товары!A:I,3,0)</f>
        <v>Тумба с раковиной  навес. Альба 800 суфле 2 ящика с умыв. Слим</v>
      </c>
      <c r="H6307">
        <f>VLOOKUP(D6307,Товары!A:I,6,0)</f>
        <v>50</v>
      </c>
      <c r="I6307" t="str">
        <f>VLOOKUP(C6307,Магазины!A:C,3,0)</f>
        <v>Ставрополь</v>
      </c>
      <c r="J6307">
        <f>VLOOKUP(D6307,Товары!A:I,4,0)</f>
        <v>26070</v>
      </c>
      <c r="K6307">
        <f t="shared" si="98"/>
        <v>78210</v>
      </c>
    </row>
    <row r="6308" spans="1:11" hidden="1" x14ac:dyDescent="0.25">
      <c r="A6308">
        <v>6307</v>
      </c>
      <c r="B6308" s="1">
        <v>45753</v>
      </c>
      <c r="C6308" t="s">
        <v>11</v>
      </c>
      <c r="D6308" t="s">
        <v>106</v>
      </c>
      <c r="E6308" t="s">
        <v>8</v>
      </c>
      <c r="F6308">
        <v>2</v>
      </c>
      <c r="G6308" t="str">
        <f>VLOOKUP(D6308,Товары!A:I,3,0)</f>
        <v>Тумба с раковиной  навес. Кристалл 700 шато азур 2 ящика с умыв. Слим</v>
      </c>
      <c r="H6308">
        <f>VLOOKUP(D6308,Товары!A:I,6,0)</f>
        <v>60</v>
      </c>
      <c r="I6308" t="str">
        <f>VLOOKUP(C6308,Магазины!A:C,3,0)</f>
        <v>Кемерово</v>
      </c>
      <c r="J6308">
        <f>VLOOKUP(D6308,Товары!A:I,4,0)</f>
        <v>24150</v>
      </c>
      <c r="K6308">
        <f t="shared" si="98"/>
        <v>48300</v>
      </c>
    </row>
    <row r="6309" spans="1:11" hidden="1" x14ac:dyDescent="0.25">
      <c r="A6309">
        <v>6308</v>
      </c>
      <c r="B6309" s="1">
        <v>45757</v>
      </c>
      <c r="C6309" t="s">
        <v>33</v>
      </c>
      <c r="D6309" t="s">
        <v>10</v>
      </c>
      <c r="E6309" t="s">
        <v>13</v>
      </c>
      <c r="F6309">
        <v>3</v>
      </c>
      <c r="G6309" t="str">
        <f>VLOOKUP(D6309,Товары!A:I,3,0)</f>
        <v>Тумба с раковиной  навес. Альба 700 антрацит 1 ящик с умыв. Слим</v>
      </c>
      <c r="H6309">
        <f>VLOOKUP(D6309,Товары!A:I,6,0)</f>
        <v>45</v>
      </c>
      <c r="I6309" t="str">
        <f>VLOOKUP(C6309,Магазины!A:C,3,0)</f>
        <v>Набережные Челны</v>
      </c>
      <c r="J6309">
        <f>VLOOKUP(D6309,Товары!A:I,4,0)</f>
        <v>20130</v>
      </c>
      <c r="K6309">
        <f t="shared" si="98"/>
        <v>60390</v>
      </c>
    </row>
    <row r="6310" spans="1:11" hidden="1" x14ac:dyDescent="0.25">
      <c r="A6310">
        <v>6309</v>
      </c>
      <c r="B6310" s="1">
        <v>45755</v>
      </c>
      <c r="C6310" t="s">
        <v>11</v>
      </c>
      <c r="D6310" t="s">
        <v>21</v>
      </c>
      <c r="E6310" t="s">
        <v>8</v>
      </c>
      <c r="F6310">
        <v>1</v>
      </c>
      <c r="G6310" t="str">
        <f>VLOOKUP(D6310,Товары!A:I,3,0)</f>
        <v>Зеркальный шкаф Рица 60 со светильником правый цвет cерый/керамика</v>
      </c>
      <c r="H6310">
        <f>VLOOKUP(D6310,Товары!A:I,6,0)</f>
        <v>75</v>
      </c>
      <c r="I6310" t="str">
        <f>VLOOKUP(C6310,Магазины!A:C,3,0)</f>
        <v>Кемерово</v>
      </c>
      <c r="J6310">
        <f>VLOOKUP(D6310,Товары!A:I,4,0)</f>
        <v>8910</v>
      </c>
      <c r="K6310">
        <f t="shared" si="98"/>
        <v>8910</v>
      </c>
    </row>
    <row r="6311" spans="1:11" hidden="1" x14ac:dyDescent="0.25">
      <c r="A6311">
        <v>6310</v>
      </c>
      <c r="B6311" s="1">
        <v>45750</v>
      </c>
      <c r="C6311" t="s">
        <v>103</v>
      </c>
      <c r="D6311" t="s">
        <v>95</v>
      </c>
      <c r="E6311" t="s">
        <v>13</v>
      </c>
      <c r="F6311">
        <v>3</v>
      </c>
      <c r="G6311" t="str">
        <f>VLOOKUP(D6311,Товары!A:I,3,0)</f>
        <v>Тумба с раковиной  напол. Рица 600 антрацит 2 ящика с умыв. Океан</v>
      </c>
      <c r="H6311">
        <f>VLOOKUP(D6311,Товары!A:I,6,0)</f>
        <v>80</v>
      </c>
      <c r="I6311" t="str">
        <f>VLOOKUP(C6311,Магазины!A:C,3,0)</f>
        <v>Ставрополь</v>
      </c>
      <c r="J6311">
        <f>VLOOKUP(D6311,Товары!A:I,4,0)</f>
        <v>25560</v>
      </c>
      <c r="K6311">
        <f t="shared" si="98"/>
        <v>76680</v>
      </c>
    </row>
    <row r="6312" spans="1:11" hidden="1" x14ac:dyDescent="0.25">
      <c r="A6312">
        <v>6311</v>
      </c>
      <c r="B6312" s="1">
        <v>45752</v>
      </c>
      <c r="C6312" t="s">
        <v>28</v>
      </c>
      <c r="D6312" t="s">
        <v>84</v>
      </c>
      <c r="E6312" t="s">
        <v>8</v>
      </c>
      <c r="F6312">
        <v>3</v>
      </c>
      <c r="G6312" t="str">
        <f>VLOOKUP(D6312,Товары!A:I,3,0)</f>
        <v>Тумба с раковиной  напол. Куба Риф 800 белый 3 двери с умыв. Слим</v>
      </c>
      <c r="H6312">
        <f>VLOOKUP(D6312,Товары!A:I,6,0)</f>
        <v>85</v>
      </c>
      <c r="I6312" t="str">
        <f>VLOOKUP(C6312,Магазины!A:C,3,0)</f>
        <v>Набережные Челны</v>
      </c>
      <c r="J6312">
        <f>VLOOKUP(D6312,Товары!A:I,4,0)</f>
        <v>19920</v>
      </c>
      <c r="K6312">
        <f t="shared" si="98"/>
        <v>59760</v>
      </c>
    </row>
    <row r="6313" spans="1:11" hidden="1" x14ac:dyDescent="0.25">
      <c r="A6313">
        <v>6312</v>
      </c>
      <c r="B6313" s="1">
        <v>45748</v>
      </c>
      <c r="C6313" t="s">
        <v>18</v>
      </c>
      <c r="D6313" t="s">
        <v>90</v>
      </c>
      <c r="E6313" t="s">
        <v>13</v>
      </c>
      <c r="F6313">
        <v>2</v>
      </c>
      <c r="G6313" t="str">
        <f>VLOOKUP(D6313,Товары!A:I,3,0)</f>
        <v>Пенал напол. Аква 350 белый 2 двери + 2 ящика</v>
      </c>
      <c r="H6313">
        <f>VLOOKUP(D6313,Товары!A:I,6,0)</f>
        <v>190</v>
      </c>
      <c r="I6313" t="str">
        <f>VLOOKUP(C6313,Магазины!A:C,3,0)</f>
        <v>Набережные Челны</v>
      </c>
      <c r="J6313">
        <f>VLOOKUP(D6313,Товары!A:I,4,0)</f>
        <v>10650</v>
      </c>
      <c r="K6313">
        <f t="shared" si="98"/>
        <v>21300</v>
      </c>
    </row>
    <row r="6314" spans="1:11" hidden="1" x14ac:dyDescent="0.25">
      <c r="A6314">
        <v>6313</v>
      </c>
      <c r="B6314" s="1">
        <v>45753</v>
      </c>
      <c r="C6314" t="s">
        <v>35</v>
      </c>
      <c r="D6314" t="s">
        <v>25</v>
      </c>
      <c r="E6314" t="s">
        <v>13</v>
      </c>
      <c r="F6314">
        <v>3</v>
      </c>
      <c r="G6314" t="str">
        <f>VLOOKUP(D6314,Товары!A:I,3,0)</f>
        <v>Пенал напол. Леон 400 оникс 2 двери + 1 ящик</v>
      </c>
      <c r="H6314">
        <f>VLOOKUP(D6314,Товары!A:I,6,0)</f>
        <v>190</v>
      </c>
      <c r="I6314" t="str">
        <f>VLOOKUP(C6314,Магазины!A:C,3,0)</f>
        <v>Набережные Челны</v>
      </c>
      <c r="J6314">
        <f>VLOOKUP(D6314,Товары!A:I,4,0)</f>
        <v>18450</v>
      </c>
      <c r="K6314">
        <f t="shared" si="98"/>
        <v>55350</v>
      </c>
    </row>
    <row r="6315" spans="1:11" hidden="1" x14ac:dyDescent="0.25">
      <c r="A6315">
        <v>6314</v>
      </c>
      <c r="B6315" s="1">
        <v>45752</v>
      </c>
      <c r="C6315" t="s">
        <v>9</v>
      </c>
      <c r="D6315" t="s">
        <v>49</v>
      </c>
      <c r="E6315" t="s">
        <v>13</v>
      </c>
      <c r="F6315">
        <v>3</v>
      </c>
      <c r="G6315" t="str">
        <f>VLOOKUP(D6315,Товары!A:I,3,0)</f>
        <v>Тумба с раковиной  напол. Леон 700 оникс 2 ящика с умыв. Слим</v>
      </c>
      <c r="H6315">
        <f>VLOOKUP(D6315,Товары!A:I,6,0)</f>
        <v>80</v>
      </c>
      <c r="I6315" t="str">
        <f>VLOOKUP(C6315,Магазины!A:C,3,0)</f>
        <v>Кемерово</v>
      </c>
      <c r="J6315">
        <f>VLOOKUP(D6315,Товары!A:I,4,0)</f>
        <v>28380</v>
      </c>
      <c r="K6315">
        <f t="shared" si="98"/>
        <v>85140</v>
      </c>
    </row>
    <row r="6316" spans="1:11" hidden="1" x14ac:dyDescent="0.25">
      <c r="A6316">
        <v>6315</v>
      </c>
      <c r="B6316" s="1">
        <v>45756</v>
      </c>
      <c r="C6316" t="s">
        <v>58</v>
      </c>
      <c r="D6316" t="s">
        <v>86</v>
      </c>
      <c r="E6316" t="s">
        <v>13</v>
      </c>
      <c r="F6316">
        <v>2</v>
      </c>
      <c r="G6316" t="str">
        <f>VLOOKUP(D6316,Товары!A:I,3,0)</f>
        <v>Комод Аква 50 напольный 1 ящик 2 двери белый</v>
      </c>
      <c r="H6316">
        <f>VLOOKUP(D6316,Товары!A:I,6,0)</f>
        <v>90</v>
      </c>
      <c r="I6316" t="str">
        <f>VLOOKUP(C6316,Магазины!A:C,3,0)</f>
        <v>Ставрополь</v>
      </c>
      <c r="J6316">
        <f>VLOOKUP(D6316,Товары!A:I,4,0)</f>
        <v>7260</v>
      </c>
      <c r="K6316">
        <f t="shared" si="98"/>
        <v>14520</v>
      </c>
    </row>
    <row r="6317" spans="1:11" hidden="1" x14ac:dyDescent="0.25">
      <c r="A6317">
        <v>6316</v>
      </c>
      <c r="B6317" s="1">
        <v>45748</v>
      </c>
      <c r="C6317" t="s">
        <v>14</v>
      </c>
      <c r="D6317" t="s">
        <v>61</v>
      </c>
      <c r="E6317" t="s">
        <v>13</v>
      </c>
      <c r="F6317">
        <v>2</v>
      </c>
      <c r="G6317" t="str">
        <f>VLOOKUP(D6317,Товары!A:I,3,0)</f>
        <v>Тумба под стиральную машину Леон Риф 57 напольная 2 ящика под ст/маш, без умывальника /под Marshall 120 Солярис/Белый Риф</v>
      </c>
      <c r="H6317">
        <f>VLOOKUP(D6317,Товары!A:I,6,0)</f>
        <v>85</v>
      </c>
      <c r="I6317" t="str">
        <f>VLOOKUP(C6317,Магазины!A:C,3,0)</f>
        <v>Оренбург</v>
      </c>
      <c r="J6317">
        <f>VLOOKUP(D6317,Товары!A:I,4,0)</f>
        <v>17430</v>
      </c>
      <c r="K6317">
        <f t="shared" si="98"/>
        <v>34860</v>
      </c>
    </row>
    <row r="6318" spans="1:11" hidden="1" x14ac:dyDescent="0.25">
      <c r="A6318">
        <v>6317</v>
      </c>
      <c r="B6318" s="1">
        <v>45750</v>
      </c>
      <c r="C6318" t="s">
        <v>41</v>
      </c>
      <c r="D6318" t="s">
        <v>50</v>
      </c>
      <c r="E6318" t="s">
        <v>8</v>
      </c>
      <c r="F6318">
        <v>3</v>
      </c>
      <c r="G6318" t="str">
        <f>VLOOKUP(D6318,Товары!A:I,3,0)</f>
        <v>Тумба с раковиной  напол. Леон 800 оникс 2 ящика с умыв. Слим</v>
      </c>
      <c r="H6318">
        <f>VLOOKUP(D6318,Товары!A:I,6,0)</f>
        <v>80</v>
      </c>
      <c r="I6318" t="str">
        <f>VLOOKUP(C6318,Магазины!A:C,3,0)</f>
        <v>Ставрополь</v>
      </c>
      <c r="J6318">
        <f>VLOOKUP(D6318,Товары!A:I,4,0)</f>
        <v>29400</v>
      </c>
      <c r="K6318">
        <f t="shared" si="98"/>
        <v>88200</v>
      </c>
    </row>
    <row r="6319" spans="1:11" hidden="1" x14ac:dyDescent="0.25">
      <c r="A6319">
        <v>6318</v>
      </c>
      <c r="B6319" s="1">
        <v>45755</v>
      </c>
      <c r="C6319" t="s">
        <v>54</v>
      </c>
      <c r="D6319" t="s">
        <v>126</v>
      </c>
      <c r="E6319" t="s">
        <v>13</v>
      </c>
      <c r="F6319">
        <v>1</v>
      </c>
      <c r="G6319" t="str">
        <f>VLOOKUP(D6319,Товары!A:I,3,0)</f>
        <v>Тумба с раковиной  напол. Кристалл 800 шато азур 2 ящика с умыв. Комфорт</v>
      </c>
      <c r="H6319">
        <f>VLOOKUP(D6319,Товары!A:I,6,0)</f>
        <v>85</v>
      </c>
      <c r="I6319" t="str">
        <f>VLOOKUP(C6319,Магазины!A:C,3,0)</f>
        <v>Ставрополь</v>
      </c>
      <c r="J6319">
        <f>VLOOKUP(D6319,Товары!A:I,4,0)</f>
        <v>31125</v>
      </c>
      <c r="K6319">
        <f t="shared" si="98"/>
        <v>31125</v>
      </c>
    </row>
    <row r="6320" spans="1:11" hidden="1" x14ac:dyDescent="0.25">
      <c r="A6320">
        <v>6319</v>
      </c>
      <c r="B6320" s="1">
        <v>45755</v>
      </c>
      <c r="C6320" t="s">
        <v>30</v>
      </c>
      <c r="D6320" t="s">
        <v>109</v>
      </c>
      <c r="E6320" t="s">
        <v>8</v>
      </c>
      <c r="F6320">
        <v>2</v>
      </c>
      <c r="G6320" t="str">
        <f>VLOOKUP(D6320,Товары!A:I,3,0)</f>
        <v>Тумба с раковиной  навес. Альба 600 антрацит 2 ящика с умыв. Океан</v>
      </c>
      <c r="H6320">
        <f>VLOOKUP(D6320,Товары!A:I,6,0)</f>
        <v>50</v>
      </c>
      <c r="I6320" t="str">
        <f>VLOOKUP(C6320,Магазины!A:C,3,0)</f>
        <v>Кемерово</v>
      </c>
      <c r="J6320">
        <f>VLOOKUP(D6320,Товары!A:I,4,0)</f>
        <v>24810</v>
      </c>
      <c r="K6320">
        <f t="shared" si="98"/>
        <v>49620</v>
      </c>
    </row>
    <row r="6321" spans="1:11" hidden="1" x14ac:dyDescent="0.25">
      <c r="A6321">
        <v>6320</v>
      </c>
      <c r="B6321" s="1">
        <v>45752</v>
      </c>
      <c r="C6321" t="s">
        <v>57</v>
      </c>
      <c r="D6321" t="s">
        <v>90</v>
      </c>
      <c r="E6321" t="s">
        <v>13</v>
      </c>
      <c r="F6321">
        <v>2</v>
      </c>
      <c r="G6321" t="str">
        <f>VLOOKUP(D6321,Товары!A:I,3,0)</f>
        <v>Пенал напол. Аква 350 белый 2 двери + 2 ящика</v>
      </c>
      <c r="H6321">
        <f>VLOOKUP(D6321,Товары!A:I,6,0)</f>
        <v>190</v>
      </c>
      <c r="I6321" t="str">
        <f>VLOOKUP(C6321,Магазины!A:C,3,0)</f>
        <v>Оренбург</v>
      </c>
      <c r="J6321">
        <f>VLOOKUP(D6321,Товары!A:I,4,0)</f>
        <v>10650</v>
      </c>
      <c r="K6321">
        <f t="shared" si="98"/>
        <v>21300</v>
      </c>
    </row>
    <row r="6322" spans="1:11" hidden="1" x14ac:dyDescent="0.25">
      <c r="A6322">
        <v>6321</v>
      </c>
      <c r="B6322" s="1">
        <v>45752</v>
      </c>
      <c r="C6322" t="s">
        <v>111</v>
      </c>
      <c r="D6322" t="s">
        <v>109</v>
      </c>
      <c r="E6322" t="s">
        <v>13</v>
      </c>
      <c r="F6322">
        <v>3</v>
      </c>
      <c r="G6322" t="str">
        <f>VLOOKUP(D6322,Товары!A:I,3,0)</f>
        <v>Тумба с раковиной  навес. Альба 600 антрацит 2 ящика с умыв. Океан</v>
      </c>
      <c r="H6322">
        <f>VLOOKUP(D6322,Товары!A:I,6,0)</f>
        <v>50</v>
      </c>
      <c r="I6322" t="str">
        <f>VLOOKUP(C6322,Магазины!A:C,3,0)</f>
        <v>Набережные Челны</v>
      </c>
      <c r="J6322">
        <f>VLOOKUP(D6322,Товары!A:I,4,0)</f>
        <v>24810</v>
      </c>
      <c r="K6322">
        <f t="shared" si="98"/>
        <v>74430</v>
      </c>
    </row>
    <row r="6323" spans="1:11" hidden="1" x14ac:dyDescent="0.25">
      <c r="A6323">
        <v>6322</v>
      </c>
      <c r="B6323" s="1">
        <v>45752</v>
      </c>
      <c r="C6323" t="s">
        <v>57</v>
      </c>
      <c r="D6323" t="s">
        <v>89</v>
      </c>
      <c r="E6323" t="s">
        <v>13</v>
      </c>
      <c r="F6323">
        <v>2</v>
      </c>
      <c r="G6323" t="str">
        <f>VLOOKUP(D6323,Товары!A:I,3,0)</f>
        <v>Тумба с раковиной  напол. Сохо 600 белый 2 двери с умыв. Океан</v>
      </c>
      <c r="H6323">
        <f>VLOOKUP(D6323,Товары!A:I,6,0)</f>
        <v>85</v>
      </c>
      <c r="I6323" t="str">
        <f>VLOOKUP(C6323,Магазины!A:C,3,0)</f>
        <v>Оренбург</v>
      </c>
      <c r="J6323">
        <f>VLOOKUP(D6323,Товары!A:I,4,0)</f>
        <v>14880</v>
      </c>
      <c r="K6323">
        <f t="shared" si="98"/>
        <v>29760</v>
      </c>
    </row>
    <row r="6324" spans="1:11" hidden="1" x14ac:dyDescent="0.25">
      <c r="A6324">
        <v>6323</v>
      </c>
      <c r="B6324" s="1">
        <v>45748</v>
      </c>
      <c r="C6324" t="s">
        <v>35</v>
      </c>
      <c r="D6324" t="s">
        <v>37</v>
      </c>
      <c r="E6324" t="s">
        <v>13</v>
      </c>
      <c r="F6324">
        <v>2</v>
      </c>
      <c r="G6324" t="str">
        <f>VLOOKUP(D6324,Товары!A:I,3,0)</f>
        <v>Зеркальный шкаф Сохо 70 белый со светильником правый цвет Белый глянец</v>
      </c>
      <c r="H6324">
        <f>VLOOKUP(D6324,Товары!A:I,6,0)</f>
        <v>75</v>
      </c>
      <c r="I6324" t="str">
        <f>VLOOKUP(C6324,Магазины!A:C,3,0)</f>
        <v>Набережные Челны</v>
      </c>
      <c r="J6324">
        <f>VLOOKUP(D6324,Товары!A:I,4,0)</f>
        <v>7935</v>
      </c>
      <c r="K6324">
        <f t="shared" si="98"/>
        <v>15870</v>
      </c>
    </row>
    <row r="6325" spans="1:11" hidden="1" x14ac:dyDescent="0.25">
      <c r="A6325">
        <v>6324</v>
      </c>
      <c r="B6325" s="1">
        <v>45756</v>
      </c>
      <c r="C6325" t="s">
        <v>35</v>
      </c>
      <c r="D6325" t="s">
        <v>88</v>
      </c>
      <c r="E6325" t="s">
        <v>13</v>
      </c>
      <c r="F6325">
        <v>2</v>
      </c>
      <c r="G6325" t="str">
        <f>VLOOKUP(D6325,Товары!A:I,3,0)</f>
        <v>Тумба с раковиной  навес. Альба 800 антрацит 2 ящика с умыв. Слим</v>
      </c>
      <c r="H6325">
        <f>VLOOKUP(D6325,Товары!A:I,6,0)</f>
        <v>50</v>
      </c>
      <c r="I6325" t="str">
        <f>VLOOKUP(C6325,Магазины!A:C,3,0)</f>
        <v>Набережные Челны</v>
      </c>
      <c r="J6325">
        <f>VLOOKUP(D6325,Товары!A:I,4,0)</f>
        <v>26070</v>
      </c>
      <c r="K6325">
        <f t="shared" si="98"/>
        <v>52140</v>
      </c>
    </row>
    <row r="6326" spans="1:11" hidden="1" x14ac:dyDescent="0.25">
      <c r="A6326">
        <v>6325</v>
      </c>
      <c r="B6326" s="1">
        <v>45749</v>
      </c>
      <c r="C6326" t="s">
        <v>57</v>
      </c>
      <c r="D6326" t="s">
        <v>25</v>
      </c>
      <c r="E6326" t="s">
        <v>8</v>
      </c>
      <c r="F6326">
        <v>2</v>
      </c>
      <c r="G6326" t="str">
        <f>VLOOKUP(D6326,Товары!A:I,3,0)</f>
        <v>Пенал напол. Леон 400 оникс 2 двери + 1 ящик</v>
      </c>
      <c r="H6326">
        <f>VLOOKUP(D6326,Товары!A:I,6,0)</f>
        <v>190</v>
      </c>
      <c r="I6326" t="str">
        <f>VLOOKUP(C6326,Магазины!A:C,3,0)</f>
        <v>Оренбург</v>
      </c>
      <c r="J6326">
        <f>VLOOKUP(D6326,Товары!A:I,4,0)</f>
        <v>18450</v>
      </c>
      <c r="K6326">
        <f t="shared" si="98"/>
        <v>36900</v>
      </c>
    </row>
    <row r="6327" spans="1:11" hidden="1" x14ac:dyDescent="0.25">
      <c r="A6327">
        <v>6326</v>
      </c>
      <c r="B6327" s="1">
        <v>45756</v>
      </c>
      <c r="C6327" t="s">
        <v>58</v>
      </c>
      <c r="D6327" t="s">
        <v>110</v>
      </c>
      <c r="E6327" t="s">
        <v>8</v>
      </c>
      <c r="F6327">
        <v>1</v>
      </c>
      <c r="G6327" t="str">
        <f>VLOOKUP(D6327,Товары!A:I,3,0)</f>
        <v>Тумба с раковиной  напол. Альба 600 антрацит 2 ящика с умыв. Океан</v>
      </c>
      <c r="H6327">
        <f>VLOOKUP(D6327,Товары!A:I,6,0)</f>
        <v>80</v>
      </c>
      <c r="I6327" t="str">
        <f>VLOOKUP(C6327,Магазины!A:C,3,0)</f>
        <v>Ставрополь</v>
      </c>
      <c r="J6327">
        <f>VLOOKUP(D6327,Товары!A:I,4,0)</f>
        <v>26370</v>
      </c>
      <c r="K6327">
        <f t="shared" si="98"/>
        <v>26370</v>
      </c>
    </row>
    <row r="6328" spans="1:11" hidden="1" x14ac:dyDescent="0.25">
      <c r="A6328">
        <v>6327</v>
      </c>
      <c r="B6328" s="1">
        <v>45748</v>
      </c>
      <c r="C6328" t="s">
        <v>41</v>
      </c>
      <c r="D6328" t="s">
        <v>81</v>
      </c>
      <c r="E6328" t="s">
        <v>8</v>
      </c>
      <c r="F6328">
        <v>2</v>
      </c>
      <c r="G6328" t="str">
        <f>VLOOKUP(D6328,Товары!A:I,3,0)</f>
        <v>Тумба с раковиной  навес. Рица 600 cерый/керамика 1 ящик + ниша 1 с умыв. Океан</v>
      </c>
      <c r="H6328">
        <f>VLOOKUP(D6328,Товары!A:I,6,0)</f>
        <v>60</v>
      </c>
      <c r="I6328" t="str">
        <f>VLOOKUP(C6328,Магазины!A:C,3,0)</f>
        <v>Ставрополь</v>
      </c>
      <c r="J6328">
        <f>VLOOKUP(D6328,Товары!A:I,4,0)</f>
        <v>18900</v>
      </c>
      <c r="K6328">
        <f t="shared" si="98"/>
        <v>37800</v>
      </c>
    </row>
    <row r="6329" spans="1:11" hidden="1" x14ac:dyDescent="0.25">
      <c r="A6329">
        <v>6328</v>
      </c>
      <c r="B6329" s="1">
        <v>45753</v>
      </c>
      <c r="C6329" t="s">
        <v>41</v>
      </c>
      <c r="D6329" t="s">
        <v>101</v>
      </c>
      <c r="E6329" t="s">
        <v>8</v>
      </c>
      <c r="F6329">
        <v>1</v>
      </c>
      <c r="G6329" t="str">
        <f>VLOOKUP(D6329,Товары!A:I,3,0)</f>
        <v>Пенал напол. Сохо 400 белый 2 двери + 1 ящик</v>
      </c>
      <c r="H6329">
        <f>VLOOKUP(D6329,Товары!A:I,6,0)</f>
        <v>190</v>
      </c>
      <c r="I6329" t="str">
        <f>VLOOKUP(C6329,Магазины!A:C,3,0)</f>
        <v>Ставрополь</v>
      </c>
      <c r="J6329">
        <f>VLOOKUP(D6329,Товары!A:I,4,0)</f>
        <v>11040</v>
      </c>
      <c r="K6329">
        <f t="shared" si="98"/>
        <v>11040</v>
      </c>
    </row>
    <row r="6330" spans="1:11" hidden="1" x14ac:dyDescent="0.25">
      <c r="A6330">
        <v>6329</v>
      </c>
      <c r="B6330" s="1">
        <v>45757</v>
      </c>
      <c r="C6330" t="s">
        <v>57</v>
      </c>
      <c r="D6330" t="s">
        <v>17</v>
      </c>
      <c r="E6330" t="s">
        <v>13</v>
      </c>
      <c r="F6330">
        <v>3</v>
      </c>
      <c r="G6330" t="str">
        <f>VLOOKUP(D6330,Товары!A:I,3,0)</f>
        <v>Тумба с раковиной  навес. Альба 800 антрацит 1 ящик с умыв. Слим</v>
      </c>
      <c r="H6330">
        <f>VLOOKUP(D6330,Товары!A:I,6,0)</f>
        <v>45</v>
      </c>
      <c r="I6330" t="str">
        <f>VLOOKUP(C6330,Магазины!A:C,3,0)</f>
        <v>Оренбург</v>
      </c>
      <c r="J6330">
        <f>VLOOKUP(D6330,Товары!A:I,4,0)</f>
        <v>21630</v>
      </c>
      <c r="K6330">
        <f t="shared" si="98"/>
        <v>64890</v>
      </c>
    </row>
    <row r="6331" spans="1:11" hidden="1" x14ac:dyDescent="0.25">
      <c r="A6331">
        <v>6330</v>
      </c>
      <c r="B6331" s="1">
        <v>45755</v>
      </c>
      <c r="C6331" t="s">
        <v>43</v>
      </c>
      <c r="D6331" t="s">
        <v>79</v>
      </c>
      <c r="E6331" t="s">
        <v>13</v>
      </c>
      <c r="F6331">
        <v>2</v>
      </c>
      <c r="G6331" t="str">
        <f>VLOOKUP(D6331,Товары!A:I,3,0)</f>
        <v>Зеркальный шкаф Альба 70 со светильником правый цвет мята</v>
      </c>
      <c r="H6331">
        <f>VLOOKUP(D6331,Товары!A:I,6,0)</f>
        <v>75</v>
      </c>
      <c r="I6331" t="str">
        <f>VLOOKUP(C6331,Магазины!A:C,3,0)</f>
        <v>Набережные Челны</v>
      </c>
      <c r="J6331">
        <f>VLOOKUP(D6331,Товары!A:I,4,0)</f>
        <v>9615</v>
      </c>
      <c r="K6331">
        <f t="shared" si="98"/>
        <v>19230</v>
      </c>
    </row>
    <row r="6332" spans="1:11" hidden="1" x14ac:dyDescent="0.25">
      <c r="A6332">
        <v>6331</v>
      </c>
      <c r="B6332" s="1">
        <v>45755</v>
      </c>
      <c r="C6332" t="s">
        <v>6</v>
      </c>
      <c r="D6332" t="s">
        <v>101</v>
      </c>
      <c r="E6332" t="s">
        <v>13</v>
      </c>
      <c r="F6332">
        <v>2</v>
      </c>
      <c r="G6332" t="str">
        <f>VLOOKUP(D6332,Товары!A:I,3,0)</f>
        <v>Пенал напол. Сохо 400 белый 2 двери + 1 ящик</v>
      </c>
      <c r="H6332">
        <f>VLOOKUP(D6332,Товары!A:I,6,0)</f>
        <v>190</v>
      </c>
      <c r="I6332" t="str">
        <f>VLOOKUP(C6332,Магазины!A:C,3,0)</f>
        <v>Оренбург</v>
      </c>
      <c r="J6332">
        <f>VLOOKUP(D6332,Товары!A:I,4,0)</f>
        <v>11040</v>
      </c>
      <c r="K6332">
        <f t="shared" si="98"/>
        <v>22080</v>
      </c>
    </row>
    <row r="6333" spans="1:11" hidden="1" x14ac:dyDescent="0.25">
      <c r="A6333">
        <v>6332</v>
      </c>
      <c r="B6333" s="1">
        <v>45755</v>
      </c>
      <c r="C6333" t="s">
        <v>92</v>
      </c>
      <c r="D6333" t="s">
        <v>108</v>
      </c>
      <c r="E6333" t="s">
        <v>13</v>
      </c>
      <c r="F6333">
        <v>1</v>
      </c>
      <c r="G6333" t="str">
        <f>VLOOKUP(D6333,Товары!A:I,3,0)</f>
        <v>Тумба с раковиной  навес. Виктория 1000 белый 2 ящика с умыв. Слим</v>
      </c>
      <c r="H6333">
        <f>VLOOKUP(D6333,Товары!A:I,6,0)</f>
        <v>60</v>
      </c>
      <c r="I6333" t="str">
        <f>VLOOKUP(C6333,Магазины!A:C,3,0)</f>
        <v>Кемерово</v>
      </c>
      <c r="J6333">
        <f>VLOOKUP(D6333,Товары!A:I,4,0)</f>
        <v>29205</v>
      </c>
      <c r="K6333">
        <f t="shared" si="98"/>
        <v>29205</v>
      </c>
    </row>
    <row r="6334" spans="1:11" hidden="1" x14ac:dyDescent="0.25">
      <c r="A6334">
        <v>6333</v>
      </c>
      <c r="B6334" s="1">
        <v>45757</v>
      </c>
      <c r="C6334" t="s">
        <v>111</v>
      </c>
      <c r="D6334" t="s">
        <v>23</v>
      </c>
      <c r="E6334" t="s">
        <v>8</v>
      </c>
      <c r="F6334">
        <v>3</v>
      </c>
      <c r="G6334" t="str">
        <f>VLOOKUP(D6334,Товары!A:I,3,0)</f>
        <v>Тумба с раковиной  напол. Альба 800 антрацит 2 ящика с умыв. Слим</v>
      </c>
      <c r="H6334">
        <f>VLOOKUP(D6334,Товары!A:I,6,0)</f>
        <v>80</v>
      </c>
      <c r="I6334" t="str">
        <f>VLOOKUP(C6334,Магазины!A:C,3,0)</f>
        <v>Набережные Челны</v>
      </c>
      <c r="J6334">
        <f>VLOOKUP(D6334,Товары!A:I,4,0)</f>
        <v>29340</v>
      </c>
      <c r="K6334">
        <f t="shared" si="98"/>
        <v>88020</v>
      </c>
    </row>
    <row r="6335" spans="1:11" hidden="1" x14ac:dyDescent="0.25">
      <c r="A6335">
        <v>6334</v>
      </c>
      <c r="B6335" s="1">
        <v>45752</v>
      </c>
      <c r="C6335" t="s">
        <v>92</v>
      </c>
      <c r="D6335" t="s">
        <v>55</v>
      </c>
      <c r="E6335" t="s">
        <v>8</v>
      </c>
      <c r="F6335">
        <v>1</v>
      </c>
      <c r="G6335" t="str">
        <f>VLOOKUP(D6335,Товары!A:I,3,0)</f>
        <v>Тумба с раковиной  напол. Рица 600 cерый/керамика 2 ящика с умыв. Океан</v>
      </c>
      <c r="H6335">
        <f>VLOOKUP(D6335,Товары!A:I,6,0)</f>
        <v>80</v>
      </c>
      <c r="I6335" t="str">
        <f>VLOOKUP(C6335,Магазины!A:C,3,0)</f>
        <v>Кемерово</v>
      </c>
      <c r="J6335">
        <f>VLOOKUP(D6335,Товары!A:I,4,0)</f>
        <v>25560</v>
      </c>
      <c r="K6335">
        <f t="shared" si="98"/>
        <v>25560</v>
      </c>
    </row>
    <row r="6336" spans="1:11" hidden="1" x14ac:dyDescent="0.25">
      <c r="A6336">
        <v>6335</v>
      </c>
      <c r="B6336" s="1">
        <v>45754</v>
      </c>
      <c r="C6336" t="s">
        <v>43</v>
      </c>
      <c r="D6336" t="s">
        <v>81</v>
      </c>
      <c r="E6336" t="s">
        <v>13</v>
      </c>
      <c r="F6336">
        <v>2</v>
      </c>
      <c r="G6336" t="str">
        <f>VLOOKUP(D6336,Товары!A:I,3,0)</f>
        <v>Тумба с раковиной  навес. Рица 600 cерый/керамика 1 ящик + ниша 1 с умыв. Океан</v>
      </c>
      <c r="H6336">
        <f>VLOOKUP(D6336,Товары!A:I,6,0)</f>
        <v>60</v>
      </c>
      <c r="I6336" t="str">
        <f>VLOOKUP(C6336,Магазины!A:C,3,0)</f>
        <v>Набережные Челны</v>
      </c>
      <c r="J6336">
        <f>VLOOKUP(D6336,Товары!A:I,4,0)</f>
        <v>18900</v>
      </c>
      <c r="K6336">
        <f t="shared" si="98"/>
        <v>37800</v>
      </c>
    </row>
    <row r="6337" spans="1:11" hidden="1" x14ac:dyDescent="0.25">
      <c r="A6337">
        <v>6336</v>
      </c>
      <c r="B6337" s="1">
        <v>45755</v>
      </c>
      <c r="C6337" t="s">
        <v>103</v>
      </c>
      <c r="D6337" t="s">
        <v>61</v>
      </c>
      <c r="E6337" t="s">
        <v>13</v>
      </c>
      <c r="F6337">
        <v>3</v>
      </c>
      <c r="G6337" t="str">
        <f>VLOOKUP(D6337,Товары!A:I,3,0)</f>
        <v>Тумба под стиральную машину Леон Риф 57 напольная 2 ящика под ст/маш, без умывальника /под Marshall 120 Солярис/Белый Риф</v>
      </c>
      <c r="H6337">
        <f>VLOOKUP(D6337,Товары!A:I,6,0)</f>
        <v>85</v>
      </c>
      <c r="I6337" t="str">
        <f>VLOOKUP(C6337,Магазины!A:C,3,0)</f>
        <v>Ставрополь</v>
      </c>
      <c r="J6337">
        <f>VLOOKUP(D6337,Товары!A:I,4,0)</f>
        <v>17430</v>
      </c>
      <c r="K6337">
        <f t="shared" si="98"/>
        <v>52290</v>
      </c>
    </row>
    <row r="6338" spans="1:11" hidden="1" x14ac:dyDescent="0.25">
      <c r="A6338">
        <v>6337</v>
      </c>
      <c r="B6338" s="1">
        <v>45748</v>
      </c>
      <c r="C6338" t="s">
        <v>28</v>
      </c>
      <c r="D6338" t="s">
        <v>110</v>
      </c>
      <c r="E6338" t="s">
        <v>8</v>
      </c>
      <c r="F6338">
        <v>2</v>
      </c>
      <c r="G6338" t="str">
        <f>VLOOKUP(D6338,Товары!A:I,3,0)</f>
        <v>Тумба с раковиной  напол. Альба 600 антрацит 2 ящика с умыв. Океан</v>
      </c>
      <c r="H6338">
        <f>VLOOKUP(D6338,Товары!A:I,6,0)</f>
        <v>80</v>
      </c>
      <c r="I6338" t="str">
        <f>VLOOKUP(C6338,Магазины!A:C,3,0)</f>
        <v>Набережные Челны</v>
      </c>
      <c r="J6338">
        <f>VLOOKUP(D6338,Товары!A:I,4,0)</f>
        <v>26370</v>
      </c>
      <c r="K6338">
        <f t="shared" si="98"/>
        <v>52740</v>
      </c>
    </row>
    <row r="6339" spans="1:11" hidden="1" x14ac:dyDescent="0.25">
      <c r="A6339">
        <v>6338</v>
      </c>
      <c r="B6339" s="1">
        <v>45755</v>
      </c>
      <c r="C6339" t="s">
        <v>22</v>
      </c>
      <c r="D6339" t="s">
        <v>113</v>
      </c>
      <c r="E6339" t="s">
        <v>8</v>
      </c>
      <c r="F6339">
        <v>2</v>
      </c>
      <c r="G6339" t="str">
        <f>VLOOKUP(D6339,Товары!A:I,3,0)</f>
        <v>Зеркальный шкаф Альба 60 со светильником правый цвет мята</v>
      </c>
      <c r="H6339">
        <f>VLOOKUP(D6339,Товары!A:I,6,0)</f>
        <v>75</v>
      </c>
      <c r="I6339" t="str">
        <f>VLOOKUP(C6339,Магазины!A:C,3,0)</f>
        <v>Кемерово</v>
      </c>
      <c r="J6339">
        <f>VLOOKUP(D6339,Товары!A:I,4,0)</f>
        <v>8910</v>
      </c>
      <c r="K6339">
        <f t="shared" ref="K6339:K6402" si="99">J6339*F6339</f>
        <v>17820</v>
      </c>
    </row>
    <row r="6340" spans="1:11" hidden="1" x14ac:dyDescent="0.25">
      <c r="A6340">
        <v>6339</v>
      </c>
      <c r="B6340" s="1">
        <v>45748</v>
      </c>
      <c r="C6340" t="s">
        <v>54</v>
      </c>
      <c r="D6340" t="s">
        <v>130</v>
      </c>
      <c r="E6340" t="s">
        <v>13</v>
      </c>
      <c r="F6340">
        <v>2</v>
      </c>
      <c r="G6340" t="str">
        <f>VLOOKUP(D6340,Товары!A:I,3,0)</f>
        <v>Пенал напол. Леон 400 форест 2 двери + 1 ящик</v>
      </c>
      <c r="H6340">
        <f>VLOOKUP(D6340,Товары!A:I,6,0)</f>
        <v>190</v>
      </c>
      <c r="I6340" t="str">
        <f>VLOOKUP(C6340,Магазины!A:C,3,0)</f>
        <v>Ставрополь</v>
      </c>
      <c r="J6340">
        <f>VLOOKUP(D6340,Товары!A:I,4,0)</f>
        <v>18450</v>
      </c>
      <c r="K6340">
        <f t="shared" si="99"/>
        <v>36900</v>
      </c>
    </row>
    <row r="6341" spans="1:11" hidden="1" x14ac:dyDescent="0.25">
      <c r="A6341">
        <v>6340</v>
      </c>
      <c r="B6341" s="1">
        <v>45748</v>
      </c>
      <c r="C6341" t="s">
        <v>11</v>
      </c>
      <c r="D6341" t="s">
        <v>126</v>
      </c>
      <c r="E6341" t="s">
        <v>13</v>
      </c>
      <c r="F6341">
        <v>1</v>
      </c>
      <c r="G6341" t="str">
        <f>VLOOKUP(D6341,Товары!A:I,3,0)</f>
        <v>Тумба с раковиной  напол. Кристалл 800 шато азур 2 ящика с умыв. Комфорт</v>
      </c>
      <c r="H6341">
        <f>VLOOKUP(D6341,Товары!A:I,6,0)</f>
        <v>85</v>
      </c>
      <c r="I6341" t="str">
        <f>VLOOKUP(C6341,Магазины!A:C,3,0)</f>
        <v>Кемерово</v>
      </c>
      <c r="J6341">
        <f>VLOOKUP(D6341,Товары!A:I,4,0)</f>
        <v>31125</v>
      </c>
      <c r="K6341">
        <f t="shared" si="99"/>
        <v>31125</v>
      </c>
    </row>
    <row r="6342" spans="1:11" hidden="1" x14ac:dyDescent="0.25">
      <c r="A6342">
        <v>6341</v>
      </c>
      <c r="B6342" s="1">
        <v>45752</v>
      </c>
      <c r="C6342" t="s">
        <v>41</v>
      </c>
      <c r="D6342" t="s">
        <v>49</v>
      </c>
      <c r="E6342" t="s">
        <v>13</v>
      </c>
      <c r="F6342">
        <v>1</v>
      </c>
      <c r="G6342" t="str">
        <f>VLOOKUP(D6342,Товары!A:I,3,0)</f>
        <v>Тумба с раковиной  напол. Леон 700 оникс 2 ящика с умыв. Слим</v>
      </c>
      <c r="H6342">
        <f>VLOOKUP(D6342,Товары!A:I,6,0)</f>
        <v>80</v>
      </c>
      <c r="I6342" t="str">
        <f>VLOOKUP(C6342,Магазины!A:C,3,0)</f>
        <v>Ставрополь</v>
      </c>
      <c r="J6342">
        <f>VLOOKUP(D6342,Товары!A:I,4,0)</f>
        <v>28380</v>
      </c>
      <c r="K6342">
        <f t="shared" si="99"/>
        <v>28380</v>
      </c>
    </row>
    <row r="6343" spans="1:11" hidden="1" x14ac:dyDescent="0.25">
      <c r="A6343">
        <v>6342</v>
      </c>
      <c r="B6343" s="1">
        <v>45755</v>
      </c>
      <c r="C6343" t="s">
        <v>6</v>
      </c>
      <c r="D6343" t="s">
        <v>99</v>
      </c>
      <c r="E6343" t="s">
        <v>13</v>
      </c>
      <c r="F6343">
        <v>2</v>
      </c>
      <c r="G6343" t="str">
        <f>VLOOKUP(D6343,Товары!A:I,3,0)</f>
        <v>Тумба с раковиной  навес. Леон 600 оникс 2 ящика с умыв. Слим</v>
      </c>
      <c r="H6343">
        <f>VLOOKUP(D6343,Товары!A:I,6,0)</f>
        <v>60</v>
      </c>
      <c r="I6343" t="str">
        <f>VLOOKUP(C6343,Магазины!A:C,3,0)</f>
        <v>Оренбург</v>
      </c>
      <c r="J6343">
        <f>VLOOKUP(D6343,Товары!A:I,4,0)</f>
        <v>25125</v>
      </c>
      <c r="K6343">
        <f t="shared" si="99"/>
        <v>50250</v>
      </c>
    </row>
    <row r="6344" spans="1:11" hidden="1" x14ac:dyDescent="0.25">
      <c r="A6344">
        <v>6343</v>
      </c>
      <c r="B6344" s="1">
        <v>45750</v>
      </c>
      <c r="C6344" t="s">
        <v>14</v>
      </c>
      <c r="D6344" t="s">
        <v>60</v>
      </c>
      <c r="E6344" t="s">
        <v>13</v>
      </c>
      <c r="F6344">
        <v>2</v>
      </c>
      <c r="G6344" t="str">
        <f>VLOOKUP(D6344,Товары!A:I,3,0)</f>
        <v>Пенал навес. Куба Риф 350 белый 2 двери</v>
      </c>
      <c r="H6344">
        <f>VLOOKUP(D6344,Товары!A:I,6,0)</f>
        <v>150</v>
      </c>
      <c r="I6344" t="str">
        <f>VLOOKUP(C6344,Магазины!A:C,3,0)</f>
        <v>Оренбург</v>
      </c>
      <c r="J6344">
        <f>VLOOKUP(D6344,Товары!A:I,4,0)</f>
        <v>9720</v>
      </c>
      <c r="K6344">
        <f t="shared" si="99"/>
        <v>19440</v>
      </c>
    </row>
    <row r="6345" spans="1:11" hidden="1" x14ac:dyDescent="0.25">
      <c r="A6345">
        <v>6344</v>
      </c>
      <c r="B6345" s="1">
        <v>45756</v>
      </c>
      <c r="C6345" t="s">
        <v>63</v>
      </c>
      <c r="D6345" t="s">
        <v>122</v>
      </c>
      <c r="E6345" t="s">
        <v>8</v>
      </c>
      <c r="F6345">
        <v>3</v>
      </c>
      <c r="G6345" t="str">
        <f>VLOOKUP(D6345,Товары!A:I,3,0)</f>
        <v>Тумба с раковиной  навес. Кристалл 600 шато азур 2 ящика с умыв. Океан</v>
      </c>
      <c r="H6345">
        <f>VLOOKUP(D6345,Товары!A:I,6,0)</f>
        <v>55</v>
      </c>
      <c r="I6345" t="str">
        <f>VLOOKUP(C6345,Магазины!A:C,3,0)</f>
        <v>Ставрополь</v>
      </c>
      <c r="J6345">
        <f>VLOOKUP(D6345,Товары!A:I,4,0)</f>
        <v>21960</v>
      </c>
      <c r="K6345">
        <f t="shared" si="99"/>
        <v>65880</v>
      </c>
    </row>
    <row r="6346" spans="1:11" hidden="1" x14ac:dyDescent="0.25">
      <c r="A6346">
        <v>6345</v>
      </c>
      <c r="B6346" s="1">
        <v>45757</v>
      </c>
      <c r="C6346" t="s">
        <v>58</v>
      </c>
      <c r="D6346" t="s">
        <v>115</v>
      </c>
      <c r="E6346" t="s">
        <v>8</v>
      </c>
      <c r="F6346">
        <v>2</v>
      </c>
      <c r="G6346" t="str">
        <f>VLOOKUP(D6346,Товары!A:I,3,0)</f>
        <v>Тумба под стиральную машину Куба Риф 57 напольная 2 ящика под ст/маш, без умывальника /под Marshall 120 Белый</v>
      </c>
      <c r="H6346">
        <f>VLOOKUP(D6346,Товары!A:I,6,0)</f>
        <v>85</v>
      </c>
      <c r="I6346" t="str">
        <f>VLOOKUP(C6346,Магазины!A:C,3,0)</f>
        <v>Ставрополь</v>
      </c>
      <c r="J6346">
        <f>VLOOKUP(D6346,Товары!A:I,4,0)</f>
        <v>10530</v>
      </c>
      <c r="K6346">
        <f t="shared" si="99"/>
        <v>21060</v>
      </c>
    </row>
    <row r="6347" spans="1:11" hidden="1" x14ac:dyDescent="0.25">
      <c r="A6347">
        <v>6346</v>
      </c>
      <c r="B6347" s="1">
        <v>45750</v>
      </c>
      <c r="C6347" t="s">
        <v>48</v>
      </c>
      <c r="D6347" t="s">
        <v>39</v>
      </c>
      <c r="E6347" t="s">
        <v>13</v>
      </c>
      <c r="F6347">
        <v>1</v>
      </c>
      <c r="G6347" t="str">
        <f>VLOOKUP(D6347,Товары!A:I,3,0)</f>
        <v>Тумба с раковиной  напол. Альба 700 мята 2 ящика с умыв. Слим</v>
      </c>
      <c r="H6347">
        <f>VLOOKUP(D6347,Товары!A:I,6,0)</f>
        <v>85</v>
      </c>
      <c r="I6347" t="str">
        <f>VLOOKUP(C6347,Магазины!A:C,3,0)</f>
        <v>Ставрополь</v>
      </c>
      <c r="J6347">
        <f>VLOOKUP(D6347,Товары!A:I,4,0)</f>
        <v>28695</v>
      </c>
      <c r="K6347">
        <f t="shared" si="99"/>
        <v>28695</v>
      </c>
    </row>
    <row r="6348" spans="1:11" hidden="1" x14ac:dyDescent="0.25">
      <c r="A6348">
        <v>6347</v>
      </c>
      <c r="B6348" s="1">
        <v>45757</v>
      </c>
      <c r="C6348" t="s">
        <v>57</v>
      </c>
      <c r="D6348" t="s">
        <v>51</v>
      </c>
      <c r="E6348" t="s">
        <v>13</v>
      </c>
      <c r="F6348">
        <v>2</v>
      </c>
      <c r="G6348" t="str">
        <f>VLOOKUP(D6348,Товары!A:I,3,0)</f>
        <v>Зеркальный шкаф Альба 80 со светильником правый цвет суфле</v>
      </c>
      <c r="H6348">
        <f>VLOOKUP(D6348,Товары!A:I,6,0)</f>
        <v>75</v>
      </c>
      <c r="I6348" t="str">
        <f>VLOOKUP(C6348,Магазины!A:C,3,0)</f>
        <v>Оренбург</v>
      </c>
      <c r="J6348">
        <f>VLOOKUP(D6348,Товары!A:I,4,0)</f>
        <v>9930</v>
      </c>
      <c r="K6348">
        <f t="shared" si="99"/>
        <v>19860</v>
      </c>
    </row>
    <row r="6349" spans="1:11" hidden="1" x14ac:dyDescent="0.25">
      <c r="A6349">
        <v>6348</v>
      </c>
      <c r="B6349" s="1">
        <v>45753</v>
      </c>
      <c r="C6349" t="s">
        <v>26</v>
      </c>
      <c r="D6349" t="s">
        <v>87</v>
      </c>
      <c r="E6349" t="s">
        <v>8</v>
      </c>
      <c r="F6349">
        <v>2</v>
      </c>
      <c r="G6349" t="str">
        <f>VLOOKUP(D6349,Товары!A:I,3,0)</f>
        <v>Тумба с раковиной  напол. Леон 700 форест 2 ящика с умыв. Слим</v>
      </c>
      <c r="H6349">
        <f>VLOOKUP(D6349,Товары!A:I,6,0)</f>
        <v>80</v>
      </c>
      <c r="I6349" t="str">
        <f>VLOOKUP(C6349,Магазины!A:C,3,0)</f>
        <v>Оренбург</v>
      </c>
      <c r="J6349">
        <f>VLOOKUP(D6349,Товары!A:I,4,0)</f>
        <v>28380</v>
      </c>
      <c r="K6349">
        <f t="shared" si="99"/>
        <v>56760</v>
      </c>
    </row>
    <row r="6350" spans="1:11" hidden="1" x14ac:dyDescent="0.25">
      <c r="A6350">
        <v>6349</v>
      </c>
      <c r="B6350" s="1">
        <v>45756</v>
      </c>
      <c r="C6350" t="s">
        <v>6</v>
      </c>
      <c r="D6350" t="s">
        <v>12</v>
      </c>
      <c r="E6350" t="s">
        <v>8</v>
      </c>
      <c r="F6350">
        <v>2</v>
      </c>
      <c r="G6350" t="str">
        <f>VLOOKUP(D6350,Товары!A:I,3,0)</f>
        <v>Тумба с раковиной  напол. Сохо 700 белый 2 двери с умыв. Слим</v>
      </c>
      <c r="H6350">
        <f>VLOOKUP(D6350,Товары!A:I,6,0)</f>
        <v>85</v>
      </c>
      <c r="I6350" t="str">
        <f>VLOOKUP(C6350,Магазины!A:C,3,0)</f>
        <v>Оренбург</v>
      </c>
      <c r="J6350">
        <f>VLOOKUP(D6350,Товары!A:I,4,0)</f>
        <v>17160</v>
      </c>
      <c r="K6350">
        <f t="shared" si="99"/>
        <v>34320</v>
      </c>
    </row>
    <row r="6351" spans="1:11" hidden="1" x14ac:dyDescent="0.25">
      <c r="A6351">
        <v>6350</v>
      </c>
      <c r="B6351" s="1">
        <v>45751</v>
      </c>
      <c r="C6351" t="s">
        <v>9</v>
      </c>
      <c r="D6351" t="s">
        <v>127</v>
      </c>
      <c r="E6351" t="s">
        <v>8</v>
      </c>
      <c r="F6351">
        <v>1</v>
      </c>
      <c r="G6351" t="str">
        <f>VLOOKUP(D6351,Товары!A:I,3,0)</f>
        <v>Тумба с раковиной  навес. Альба 700 мята 1 ящик с умыв. Слим</v>
      </c>
      <c r="H6351">
        <f>VLOOKUP(D6351,Товары!A:I,6,0)</f>
        <v>45</v>
      </c>
      <c r="I6351" t="str">
        <f>VLOOKUP(C6351,Магазины!A:C,3,0)</f>
        <v>Кемерово</v>
      </c>
      <c r="J6351">
        <f>VLOOKUP(D6351,Товары!A:I,4,0)</f>
        <v>20130</v>
      </c>
      <c r="K6351">
        <f t="shared" si="99"/>
        <v>20130</v>
      </c>
    </row>
    <row r="6352" spans="1:11" hidden="1" x14ac:dyDescent="0.25">
      <c r="A6352">
        <v>6351</v>
      </c>
      <c r="B6352" s="1">
        <v>45756</v>
      </c>
      <c r="C6352" t="s">
        <v>35</v>
      </c>
      <c r="D6352" t="s">
        <v>12</v>
      </c>
      <c r="E6352" t="s">
        <v>8</v>
      </c>
      <c r="F6352">
        <v>2</v>
      </c>
      <c r="G6352" t="str">
        <f>VLOOKUP(D6352,Товары!A:I,3,0)</f>
        <v>Тумба с раковиной  напол. Сохо 700 белый 2 двери с умыв. Слим</v>
      </c>
      <c r="H6352">
        <f>VLOOKUP(D6352,Товары!A:I,6,0)</f>
        <v>85</v>
      </c>
      <c r="I6352" t="str">
        <f>VLOOKUP(C6352,Магазины!A:C,3,0)</f>
        <v>Набережные Челны</v>
      </c>
      <c r="J6352">
        <f>VLOOKUP(D6352,Товары!A:I,4,0)</f>
        <v>17160</v>
      </c>
      <c r="K6352">
        <f t="shared" si="99"/>
        <v>34320</v>
      </c>
    </row>
    <row r="6353" spans="1:11" hidden="1" x14ac:dyDescent="0.25">
      <c r="A6353">
        <v>6352</v>
      </c>
      <c r="B6353" s="1">
        <v>45751</v>
      </c>
      <c r="C6353" t="s">
        <v>58</v>
      </c>
      <c r="D6353" t="s">
        <v>80</v>
      </c>
      <c r="E6353" t="s">
        <v>13</v>
      </c>
      <c r="F6353">
        <v>2</v>
      </c>
      <c r="G6353" t="str">
        <f>VLOOKUP(D6353,Товары!A:I,3,0)</f>
        <v>Тумба с раковиной  навес. Сохо 600 белый 2 ящика с умыв. Океан</v>
      </c>
      <c r="H6353">
        <f>VLOOKUP(D6353,Товары!A:I,6,0)</f>
        <v>55</v>
      </c>
      <c r="I6353" t="str">
        <f>VLOOKUP(C6353,Магазины!A:C,3,0)</f>
        <v>Ставрополь</v>
      </c>
      <c r="J6353">
        <f>VLOOKUP(D6353,Товары!A:I,4,0)</f>
        <v>13950</v>
      </c>
      <c r="K6353">
        <f t="shared" si="99"/>
        <v>27900</v>
      </c>
    </row>
    <row r="6354" spans="1:11" hidden="1" x14ac:dyDescent="0.25">
      <c r="A6354">
        <v>6353</v>
      </c>
      <c r="B6354" s="1">
        <v>45752</v>
      </c>
      <c r="C6354" t="s">
        <v>48</v>
      </c>
      <c r="D6354" t="s">
        <v>47</v>
      </c>
      <c r="E6354" t="s">
        <v>13</v>
      </c>
      <c r="F6354">
        <v>3</v>
      </c>
      <c r="G6354" t="str">
        <f>VLOOKUP(D6354,Товары!A:I,3,0)</f>
        <v>Пенал напол. Кристалл 350 шато азур 2 двери</v>
      </c>
      <c r="H6354">
        <f>VLOOKUP(D6354,Товары!A:I,6,0)</f>
        <v>190</v>
      </c>
      <c r="I6354" t="str">
        <f>VLOOKUP(C6354,Магазины!A:C,3,0)</f>
        <v>Ставрополь</v>
      </c>
      <c r="J6354">
        <f>VLOOKUP(D6354,Товары!A:I,4,0)</f>
        <v>15810</v>
      </c>
      <c r="K6354">
        <f t="shared" si="99"/>
        <v>47430</v>
      </c>
    </row>
    <row r="6355" spans="1:11" hidden="1" x14ac:dyDescent="0.25">
      <c r="A6355">
        <v>6354</v>
      </c>
      <c r="B6355" s="1">
        <v>45757</v>
      </c>
      <c r="C6355" t="s">
        <v>35</v>
      </c>
      <c r="D6355" t="s">
        <v>100</v>
      </c>
      <c r="E6355" t="s">
        <v>8</v>
      </c>
      <c r="F6355">
        <v>2</v>
      </c>
      <c r="G6355" t="str">
        <f>VLOOKUP(D6355,Товары!A:I,3,0)</f>
        <v>Тумба с раковиной  навес. Альба 800 мята 1 ящик с умыв. Слим</v>
      </c>
      <c r="H6355">
        <f>VLOOKUP(D6355,Товары!A:I,6,0)</f>
        <v>45</v>
      </c>
      <c r="I6355" t="str">
        <f>VLOOKUP(C6355,Магазины!A:C,3,0)</f>
        <v>Набережные Челны</v>
      </c>
      <c r="J6355">
        <f>VLOOKUP(D6355,Товары!A:I,4,0)</f>
        <v>21630</v>
      </c>
      <c r="K6355">
        <f t="shared" si="99"/>
        <v>43260</v>
      </c>
    </row>
    <row r="6356" spans="1:11" hidden="1" x14ac:dyDescent="0.25">
      <c r="A6356">
        <v>6355</v>
      </c>
      <c r="B6356" s="1">
        <v>45752</v>
      </c>
      <c r="C6356" t="s">
        <v>33</v>
      </c>
      <c r="D6356" t="s">
        <v>112</v>
      </c>
      <c r="E6356" t="s">
        <v>13</v>
      </c>
      <c r="F6356">
        <v>3</v>
      </c>
      <c r="G6356" t="str">
        <f>VLOOKUP(D6356,Товары!A:I,3,0)</f>
        <v>Тумба с раковиной  напол. Аква 560 белый 2 двери с умыв. Уют</v>
      </c>
      <c r="H6356">
        <f>VLOOKUP(D6356,Товары!A:I,6,0)</f>
        <v>85</v>
      </c>
      <c r="I6356" t="str">
        <f>VLOOKUP(C6356,Магазины!A:C,3,0)</f>
        <v>Набережные Челны</v>
      </c>
      <c r="J6356">
        <f>VLOOKUP(D6356,Товары!A:I,4,0)</f>
        <v>9330</v>
      </c>
      <c r="K6356">
        <f t="shared" si="99"/>
        <v>27990</v>
      </c>
    </row>
    <row r="6357" spans="1:11" hidden="1" x14ac:dyDescent="0.25">
      <c r="A6357">
        <v>6356</v>
      </c>
      <c r="B6357" s="1">
        <v>45754</v>
      </c>
      <c r="C6357" t="s">
        <v>20</v>
      </c>
      <c r="D6357" t="s">
        <v>34</v>
      </c>
      <c r="E6357" t="s">
        <v>13</v>
      </c>
      <c r="F6357">
        <v>3</v>
      </c>
      <c r="G6357" t="str">
        <f>VLOOKUP(D6357,Товары!A:I,3,0)</f>
        <v>Тумба с раковиной  навес. Леон 700 форест 2 ящика с умыв. Слим</v>
      </c>
      <c r="H6357">
        <f>VLOOKUP(D6357,Товары!A:I,6,0)</f>
        <v>60</v>
      </c>
      <c r="I6357" t="str">
        <f>VLOOKUP(C6357,Магазины!A:C,3,0)</f>
        <v>Оренбург</v>
      </c>
      <c r="J6357">
        <f>VLOOKUP(D6357,Товары!A:I,4,0)</f>
        <v>26220</v>
      </c>
      <c r="K6357">
        <f t="shared" si="99"/>
        <v>78660</v>
      </c>
    </row>
    <row r="6358" spans="1:11" hidden="1" x14ac:dyDescent="0.25">
      <c r="A6358">
        <v>6357</v>
      </c>
      <c r="B6358" s="1">
        <v>45750</v>
      </c>
      <c r="C6358" t="s">
        <v>6</v>
      </c>
      <c r="D6358" t="s">
        <v>95</v>
      </c>
      <c r="E6358" t="s">
        <v>8</v>
      </c>
      <c r="F6358">
        <v>1</v>
      </c>
      <c r="G6358" t="str">
        <f>VLOOKUP(D6358,Товары!A:I,3,0)</f>
        <v>Тумба с раковиной  напол. Рица 600 антрацит 2 ящика с умыв. Океан</v>
      </c>
      <c r="H6358">
        <f>VLOOKUP(D6358,Товары!A:I,6,0)</f>
        <v>80</v>
      </c>
      <c r="I6358" t="str">
        <f>VLOOKUP(C6358,Магазины!A:C,3,0)</f>
        <v>Оренбург</v>
      </c>
      <c r="J6358">
        <f>VLOOKUP(D6358,Товары!A:I,4,0)</f>
        <v>25560</v>
      </c>
      <c r="K6358">
        <f t="shared" si="99"/>
        <v>25560</v>
      </c>
    </row>
    <row r="6359" spans="1:11" hidden="1" x14ac:dyDescent="0.25">
      <c r="A6359">
        <v>6358</v>
      </c>
      <c r="B6359" s="1">
        <v>45748</v>
      </c>
      <c r="C6359" t="s">
        <v>111</v>
      </c>
      <c r="D6359" t="s">
        <v>107</v>
      </c>
      <c r="E6359" t="s">
        <v>8</v>
      </c>
      <c r="F6359">
        <v>1</v>
      </c>
      <c r="G6359" t="str">
        <f>VLOOKUP(D6359,Товары!A:I,3,0)</f>
        <v>Комод Аква 35 напольный 1 дверь белый правый</v>
      </c>
      <c r="H6359">
        <f>VLOOKUP(D6359,Товары!A:I,6,0)</f>
        <v>90</v>
      </c>
      <c r="I6359" t="str">
        <f>VLOOKUP(C6359,Магазины!A:C,3,0)</f>
        <v>Набережные Челны</v>
      </c>
      <c r="J6359">
        <f>VLOOKUP(D6359,Товары!A:I,4,0)</f>
        <v>6705</v>
      </c>
      <c r="K6359">
        <f t="shared" si="99"/>
        <v>6705</v>
      </c>
    </row>
    <row r="6360" spans="1:11" hidden="1" x14ac:dyDescent="0.25">
      <c r="A6360">
        <v>6359</v>
      </c>
      <c r="B6360" s="1">
        <v>45752</v>
      </c>
      <c r="C6360" t="s">
        <v>43</v>
      </c>
      <c r="D6360" t="s">
        <v>98</v>
      </c>
      <c r="E6360" t="s">
        <v>13</v>
      </c>
      <c r="F6360">
        <v>1</v>
      </c>
      <c r="G6360" t="str">
        <f>VLOOKUP(D6360,Товары!A:I,3,0)</f>
        <v>Тумба с раковиной  напол. Рица 800 cерый/керамика 2 ящика с умыв. Слим</v>
      </c>
      <c r="H6360">
        <f>VLOOKUP(D6360,Товары!A:I,6,0)</f>
        <v>80</v>
      </c>
      <c r="I6360" t="str">
        <f>VLOOKUP(C6360,Магазины!A:C,3,0)</f>
        <v>Набережные Челны</v>
      </c>
      <c r="J6360">
        <f>VLOOKUP(D6360,Товары!A:I,4,0)</f>
        <v>28980</v>
      </c>
      <c r="K6360">
        <f t="shared" si="99"/>
        <v>28980</v>
      </c>
    </row>
    <row r="6361" spans="1:11" hidden="1" x14ac:dyDescent="0.25">
      <c r="A6361">
        <v>6360</v>
      </c>
      <c r="B6361" s="1">
        <v>45756</v>
      </c>
      <c r="C6361" t="s">
        <v>22</v>
      </c>
      <c r="D6361" t="s">
        <v>122</v>
      </c>
      <c r="E6361" t="s">
        <v>13</v>
      </c>
      <c r="F6361">
        <v>2</v>
      </c>
      <c r="G6361" t="str">
        <f>VLOOKUP(D6361,Товары!A:I,3,0)</f>
        <v>Тумба с раковиной  навес. Кристалл 600 шато азур 2 ящика с умыв. Океан</v>
      </c>
      <c r="H6361">
        <f>VLOOKUP(D6361,Товары!A:I,6,0)</f>
        <v>55</v>
      </c>
      <c r="I6361" t="str">
        <f>VLOOKUP(C6361,Магазины!A:C,3,0)</f>
        <v>Кемерово</v>
      </c>
      <c r="J6361">
        <f>VLOOKUP(D6361,Товары!A:I,4,0)</f>
        <v>21960</v>
      </c>
      <c r="K6361">
        <f t="shared" si="99"/>
        <v>43920</v>
      </c>
    </row>
    <row r="6362" spans="1:11" hidden="1" x14ac:dyDescent="0.25">
      <c r="A6362">
        <v>6361</v>
      </c>
      <c r="B6362" s="1">
        <v>45750</v>
      </c>
      <c r="C6362" t="s">
        <v>41</v>
      </c>
      <c r="D6362" t="s">
        <v>44</v>
      </c>
      <c r="E6362" t="s">
        <v>13</v>
      </c>
      <c r="F6362">
        <v>3</v>
      </c>
      <c r="G6362" t="str">
        <f>VLOOKUP(D6362,Товары!A:I,3,0)</f>
        <v>Тумба с раковиной  навес. Кристалл 800 шато азур 2 ящика с умыв. Комфорт</v>
      </c>
      <c r="H6362">
        <f>VLOOKUP(D6362,Товары!A:I,6,0)</f>
        <v>55</v>
      </c>
      <c r="I6362" t="str">
        <f>VLOOKUP(C6362,Магазины!A:C,3,0)</f>
        <v>Ставрополь</v>
      </c>
      <c r="J6362">
        <f>VLOOKUP(D6362,Товары!A:I,4,0)</f>
        <v>25080</v>
      </c>
      <c r="K6362">
        <f t="shared" si="99"/>
        <v>75240</v>
      </c>
    </row>
    <row r="6363" spans="1:11" hidden="1" x14ac:dyDescent="0.25">
      <c r="A6363">
        <v>6362</v>
      </c>
      <c r="B6363" s="1">
        <v>45750</v>
      </c>
      <c r="C6363" t="s">
        <v>103</v>
      </c>
      <c r="D6363" t="s">
        <v>88</v>
      </c>
      <c r="E6363" t="s">
        <v>13</v>
      </c>
      <c r="F6363">
        <v>1</v>
      </c>
      <c r="G6363" t="str">
        <f>VLOOKUP(D6363,Товары!A:I,3,0)</f>
        <v>Тумба с раковиной  навес. Альба 800 антрацит 2 ящика с умыв. Слим</v>
      </c>
      <c r="H6363">
        <f>VLOOKUP(D6363,Товары!A:I,6,0)</f>
        <v>50</v>
      </c>
      <c r="I6363" t="str">
        <f>VLOOKUP(C6363,Магазины!A:C,3,0)</f>
        <v>Ставрополь</v>
      </c>
      <c r="J6363">
        <f>VLOOKUP(D6363,Товары!A:I,4,0)</f>
        <v>26070</v>
      </c>
      <c r="K6363">
        <f t="shared" si="99"/>
        <v>26070</v>
      </c>
    </row>
    <row r="6364" spans="1:11" hidden="1" x14ac:dyDescent="0.25">
      <c r="A6364">
        <v>6363</v>
      </c>
      <c r="B6364" s="1">
        <v>45750</v>
      </c>
      <c r="C6364" t="s">
        <v>58</v>
      </c>
      <c r="D6364" t="s">
        <v>96</v>
      </c>
      <c r="E6364" t="s">
        <v>13</v>
      </c>
      <c r="F6364">
        <v>1</v>
      </c>
      <c r="G6364" t="str">
        <f>VLOOKUP(D6364,Товары!A:I,3,0)</f>
        <v>Тумба с раковиной  навес. Альба 600 мята 1 ящик с умыв. Океан</v>
      </c>
      <c r="H6364">
        <f>VLOOKUP(D6364,Товары!A:I,6,0)</f>
        <v>85</v>
      </c>
      <c r="I6364" t="str">
        <f>VLOOKUP(C6364,Магазины!A:C,3,0)</f>
        <v>Ставрополь</v>
      </c>
      <c r="J6364">
        <f>VLOOKUP(D6364,Товары!A:I,4,0)</f>
        <v>17625</v>
      </c>
      <c r="K6364">
        <f t="shared" si="99"/>
        <v>17625</v>
      </c>
    </row>
    <row r="6365" spans="1:11" hidden="1" x14ac:dyDescent="0.25">
      <c r="A6365">
        <v>6364</v>
      </c>
      <c r="B6365" s="1">
        <v>45750</v>
      </c>
      <c r="C6365" t="s">
        <v>11</v>
      </c>
      <c r="D6365" t="s">
        <v>19</v>
      </c>
      <c r="E6365" t="s">
        <v>13</v>
      </c>
      <c r="F6365">
        <v>1</v>
      </c>
      <c r="G6365" t="str">
        <f>VLOOKUP(D6365,Товары!A:I,3,0)</f>
        <v>Тумба с раковиной  навес. Леон 800 оникс 2 ящика с умыв. Слим</v>
      </c>
      <c r="H6365">
        <f>VLOOKUP(D6365,Товары!A:I,6,0)</f>
        <v>60</v>
      </c>
      <c r="I6365" t="str">
        <f>VLOOKUP(C6365,Магазины!A:C,3,0)</f>
        <v>Кемерово</v>
      </c>
      <c r="J6365">
        <f>VLOOKUP(D6365,Товары!A:I,4,0)</f>
        <v>27930</v>
      </c>
      <c r="K6365">
        <f t="shared" si="99"/>
        <v>27930</v>
      </c>
    </row>
    <row r="6366" spans="1:11" hidden="1" x14ac:dyDescent="0.25">
      <c r="A6366">
        <v>6365</v>
      </c>
      <c r="B6366" s="1">
        <v>45749</v>
      </c>
      <c r="C6366" t="s">
        <v>9</v>
      </c>
      <c r="D6366" t="s">
        <v>84</v>
      </c>
      <c r="E6366" t="s">
        <v>8</v>
      </c>
      <c r="F6366">
        <v>3</v>
      </c>
      <c r="G6366" t="str">
        <f>VLOOKUP(D6366,Товары!A:I,3,0)</f>
        <v>Тумба с раковиной  напол. Куба Риф 800 белый 3 двери с умыв. Слим</v>
      </c>
      <c r="H6366">
        <f>VLOOKUP(D6366,Товары!A:I,6,0)</f>
        <v>85</v>
      </c>
      <c r="I6366" t="str">
        <f>VLOOKUP(C6366,Магазины!A:C,3,0)</f>
        <v>Кемерово</v>
      </c>
      <c r="J6366">
        <f>VLOOKUP(D6366,Товары!A:I,4,0)</f>
        <v>19920</v>
      </c>
      <c r="K6366">
        <f t="shared" si="99"/>
        <v>59760</v>
      </c>
    </row>
    <row r="6367" spans="1:11" hidden="1" x14ac:dyDescent="0.25">
      <c r="A6367">
        <v>6366</v>
      </c>
      <c r="B6367" s="1">
        <v>45756</v>
      </c>
      <c r="C6367" t="s">
        <v>54</v>
      </c>
      <c r="D6367" t="s">
        <v>91</v>
      </c>
      <c r="E6367" t="s">
        <v>13</v>
      </c>
      <c r="F6367">
        <v>3</v>
      </c>
      <c r="G6367" t="str">
        <f>VLOOKUP(D6367,Товары!A:I,3,0)</f>
        <v>Пенал навес./напол. Альба 350 мята 2 двери</v>
      </c>
      <c r="H6367">
        <f>VLOOKUP(D6367,Товары!A:I,6,0)</f>
        <v>150</v>
      </c>
      <c r="I6367" t="str">
        <f>VLOOKUP(C6367,Магазины!A:C,3,0)</f>
        <v>Ставрополь</v>
      </c>
      <c r="J6367">
        <f>VLOOKUP(D6367,Товары!A:I,4,0)</f>
        <v>11655</v>
      </c>
      <c r="K6367">
        <f t="shared" si="99"/>
        <v>34965</v>
      </c>
    </row>
    <row r="6368" spans="1:11" hidden="1" x14ac:dyDescent="0.25">
      <c r="A6368">
        <v>6367</v>
      </c>
      <c r="B6368" s="1">
        <v>45752</v>
      </c>
      <c r="C6368" t="s">
        <v>54</v>
      </c>
      <c r="D6368" t="s">
        <v>87</v>
      </c>
      <c r="E6368" t="s">
        <v>8</v>
      </c>
      <c r="F6368">
        <v>3</v>
      </c>
      <c r="G6368" t="str">
        <f>VLOOKUP(D6368,Товары!A:I,3,0)</f>
        <v>Тумба с раковиной  напол. Леон 700 форест 2 ящика с умыв. Слим</v>
      </c>
      <c r="H6368">
        <f>VLOOKUP(D6368,Товары!A:I,6,0)</f>
        <v>80</v>
      </c>
      <c r="I6368" t="str">
        <f>VLOOKUP(C6368,Магазины!A:C,3,0)</f>
        <v>Ставрополь</v>
      </c>
      <c r="J6368">
        <f>VLOOKUP(D6368,Товары!A:I,4,0)</f>
        <v>28380</v>
      </c>
      <c r="K6368">
        <f t="shared" si="99"/>
        <v>85140</v>
      </c>
    </row>
    <row r="6369" spans="1:11" hidden="1" x14ac:dyDescent="0.25">
      <c r="A6369">
        <v>6368</v>
      </c>
      <c r="B6369" s="1">
        <v>45756</v>
      </c>
      <c r="C6369" t="s">
        <v>57</v>
      </c>
      <c r="D6369" t="s">
        <v>126</v>
      </c>
      <c r="E6369" t="s">
        <v>13</v>
      </c>
      <c r="F6369">
        <v>3</v>
      </c>
      <c r="G6369" t="str">
        <f>VLOOKUP(D6369,Товары!A:I,3,0)</f>
        <v>Тумба с раковиной  напол. Кристалл 800 шато азур 2 ящика с умыв. Комфорт</v>
      </c>
      <c r="H6369">
        <f>VLOOKUP(D6369,Товары!A:I,6,0)</f>
        <v>85</v>
      </c>
      <c r="I6369" t="str">
        <f>VLOOKUP(C6369,Магазины!A:C,3,0)</f>
        <v>Оренбург</v>
      </c>
      <c r="J6369">
        <f>VLOOKUP(D6369,Товары!A:I,4,0)</f>
        <v>31125</v>
      </c>
      <c r="K6369">
        <f t="shared" si="99"/>
        <v>93375</v>
      </c>
    </row>
    <row r="6370" spans="1:11" hidden="1" x14ac:dyDescent="0.25">
      <c r="A6370">
        <v>6369</v>
      </c>
      <c r="B6370" s="1">
        <v>45748</v>
      </c>
      <c r="C6370" t="s">
        <v>28</v>
      </c>
      <c r="D6370" t="s">
        <v>44</v>
      </c>
      <c r="E6370" t="s">
        <v>8</v>
      </c>
      <c r="F6370">
        <v>1</v>
      </c>
      <c r="G6370" t="str">
        <f>VLOOKUP(D6370,Товары!A:I,3,0)</f>
        <v>Тумба с раковиной  навес. Кристалл 800 шато азур 2 ящика с умыв. Комфорт</v>
      </c>
      <c r="H6370">
        <f>VLOOKUP(D6370,Товары!A:I,6,0)</f>
        <v>55</v>
      </c>
      <c r="I6370" t="str">
        <f>VLOOKUP(C6370,Магазины!A:C,3,0)</f>
        <v>Набережные Челны</v>
      </c>
      <c r="J6370">
        <f>VLOOKUP(D6370,Товары!A:I,4,0)</f>
        <v>25080</v>
      </c>
      <c r="K6370">
        <f t="shared" si="99"/>
        <v>25080</v>
      </c>
    </row>
    <row r="6371" spans="1:11" hidden="1" x14ac:dyDescent="0.25">
      <c r="A6371">
        <v>6370</v>
      </c>
      <c r="B6371" s="1">
        <v>45752</v>
      </c>
      <c r="C6371" t="s">
        <v>35</v>
      </c>
      <c r="D6371" t="s">
        <v>27</v>
      </c>
      <c r="E6371" t="s">
        <v>8</v>
      </c>
      <c r="F6371">
        <v>1</v>
      </c>
      <c r="G6371" t="str">
        <f>VLOOKUP(D6371,Товары!A:I,3,0)</f>
        <v>Тумба с раковиной  навес. Виктория 800 белый 2 ящика с умыв. Слим</v>
      </c>
      <c r="H6371">
        <f>VLOOKUP(D6371,Товары!A:I,6,0)</f>
        <v>60</v>
      </c>
      <c r="I6371" t="str">
        <f>VLOOKUP(C6371,Магазины!A:C,3,0)</f>
        <v>Набережные Челны</v>
      </c>
      <c r="J6371">
        <f>VLOOKUP(D6371,Товары!A:I,4,0)</f>
        <v>25290</v>
      </c>
      <c r="K6371">
        <f t="shared" si="99"/>
        <v>25290</v>
      </c>
    </row>
    <row r="6372" spans="1:11" hidden="1" x14ac:dyDescent="0.25">
      <c r="A6372">
        <v>6371</v>
      </c>
      <c r="B6372" s="1">
        <v>45754</v>
      </c>
      <c r="C6372" t="s">
        <v>48</v>
      </c>
      <c r="D6372" t="s">
        <v>80</v>
      </c>
      <c r="E6372" t="s">
        <v>13</v>
      </c>
      <c r="F6372">
        <v>3</v>
      </c>
      <c r="G6372" t="str">
        <f>VLOOKUP(D6372,Товары!A:I,3,0)</f>
        <v>Тумба с раковиной  навес. Сохо 600 белый 2 ящика с умыв. Океан</v>
      </c>
      <c r="H6372">
        <f>VLOOKUP(D6372,Товары!A:I,6,0)</f>
        <v>55</v>
      </c>
      <c r="I6372" t="str">
        <f>VLOOKUP(C6372,Магазины!A:C,3,0)</f>
        <v>Ставрополь</v>
      </c>
      <c r="J6372">
        <f>VLOOKUP(D6372,Товары!A:I,4,0)</f>
        <v>13950</v>
      </c>
      <c r="K6372">
        <f t="shared" si="99"/>
        <v>41850</v>
      </c>
    </row>
    <row r="6373" spans="1:11" hidden="1" x14ac:dyDescent="0.25">
      <c r="A6373">
        <v>6372</v>
      </c>
      <c r="B6373" s="1">
        <v>45748</v>
      </c>
      <c r="C6373" t="s">
        <v>14</v>
      </c>
      <c r="D6373" t="s">
        <v>17</v>
      </c>
      <c r="E6373" t="s">
        <v>8</v>
      </c>
      <c r="F6373">
        <v>1</v>
      </c>
      <c r="G6373" t="str">
        <f>VLOOKUP(D6373,Товары!A:I,3,0)</f>
        <v>Тумба с раковиной  навес. Альба 800 антрацит 1 ящик с умыв. Слим</v>
      </c>
      <c r="H6373">
        <f>VLOOKUP(D6373,Товары!A:I,6,0)</f>
        <v>45</v>
      </c>
      <c r="I6373" t="str">
        <f>VLOOKUP(C6373,Магазины!A:C,3,0)</f>
        <v>Оренбург</v>
      </c>
      <c r="J6373">
        <f>VLOOKUP(D6373,Товары!A:I,4,0)</f>
        <v>21630</v>
      </c>
      <c r="K6373">
        <f t="shared" si="99"/>
        <v>21630</v>
      </c>
    </row>
    <row r="6374" spans="1:11" hidden="1" x14ac:dyDescent="0.25">
      <c r="A6374">
        <v>6373</v>
      </c>
      <c r="B6374" s="1">
        <v>45749</v>
      </c>
      <c r="C6374" t="s">
        <v>11</v>
      </c>
      <c r="D6374" t="s">
        <v>107</v>
      </c>
      <c r="E6374" t="s">
        <v>8</v>
      </c>
      <c r="F6374">
        <v>2</v>
      </c>
      <c r="G6374" t="str">
        <f>VLOOKUP(D6374,Товары!A:I,3,0)</f>
        <v>Комод Аква 35 напольный 1 дверь белый правый</v>
      </c>
      <c r="H6374">
        <f>VLOOKUP(D6374,Товары!A:I,6,0)</f>
        <v>90</v>
      </c>
      <c r="I6374" t="str">
        <f>VLOOKUP(C6374,Магазины!A:C,3,0)</f>
        <v>Кемерово</v>
      </c>
      <c r="J6374">
        <f>VLOOKUP(D6374,Товары!A:I,4,0)</f>
        <v>6705</v>
      </c>
      <c r="K6374">
        <f t="shared" si="99"/>
        <v>13410</v>
      </c>
    </row>
    <row r="6375" spans="1:11" hidden="1" x14ac:dyDescent="0.25">
      <c r="A6375">
        <v>6374</v>
      </c>
      <c r="B6375" s="1">
        <v>45750</v>
      </c>
      <c r="C6375" t="s">
        <v>92</v>
      </c>
      <c r="D6375" t="s">
        <v>124</v>
      </c>
      <c r="E6375" t="s">
        <v>13</v>
      </c>
      <c r="F6375">
        <v>1</v>
      </c>
      <c r="G6375" t="str">
        <f>VLOOKUP(D6375,Товары!A:I,3,0)</f>
        <v>Тумба с раковиной  напол. Леон 600 оникс 2 ящика с умыв. Океан</v>
      </c>
      <c r="H6375">
        <f>VLOOKUP(D6375,Товары!A:I,6,0)</f>
        <v>80</v>
      </c>
      <c r="I6375" t="str">
        <f>VLOOKUP(C6375,Магазины!A:C,3,0)</f>
        <v>Кемерово</v>
      </c>
      <c r="J6375">
        <f>VLOOKUP(D6375,Товары!A:I,4,0)</f>
        <v>25860</v>
      </c>
      <c r="K6375">
        <f t="shared" si="99"/>
        <v>25860</v>
      </c>
    </row>
    <row r="6376" spans="1:11" hidden="1" x14ac:dyDescent="0.25">
      <c r="A6376">
        <v>6375</v>
      </c>
      <c r="B6376" s="1">
        <v>45756</v>
      </c>
      <c r="C6376" t="s">
        <v>33</v>
      </c>
      <c r="D6376" t="s">
        <v>84</v>
      </c>
      <c r="E6376" t="s">
        <v>8</v>
      </c>
      <c r="F6376">
        <v>2</v>
      </c>
      <c r="G6376" t="str">
        <f>VLOOKUP(D6376,Товары!A:I,3,0)</f>
        <v>Тумба с раковиной  напол. Куба Риф 800 белый 3 двери с умыв. Слим</v>
      </c>
      <c r="H6376">
        <f>VLOOKUP(D6376,Товары!A:I,6,0)</f>
        <v>85</v>
      </c>
      <c r="I6376" t="str">
        <f>VLOOKUP(C6376,Магазины!A:C,3,0)</f>
        <v>Набережные Челны</v>
      </c>
      <c r="J6376">
        <f>VLOOKUP(D6376,Товары!A:I,4,0)</f>
        <v>19920</v>
      </c>
      <c r="K6376">
        <f t="shared" si="99"/>
        <v>39840</v>
      </c>
    </row>
    <row r="6377" spans="1:11" hidden="1" x14ac:dyDescent="0.25">
      <c r="A6377">
        <v>6376</v>
      </c>
      <c r="B6377" s="1">
        <v>45748</v>
      </c>
      <c r="C6377" t="s">
        <v>30</v>
      </c>
      <c r="D6377" t="s">
        <v>31</v>
      </c>
      <c r="E6377" t="s">
        <v>8</v>
      </c>
      <c r="F6377">
        <v>2</v>
      </c>
      <c r="G6377" t="str">
        <f>VLOOKUP(D6377,Товары!A:I,3,0)</f>
        <v>Пенал напол. Виктория 350 белый 2 двери</v>
      </c>
      <c r="H6377">
        <f>VLOOKUP(D6377,Товары!A:I,6,0)</f>
        <v>190</v>
      </c>
      <c r="I6377" t="str">
        <f>VLOOKUP(C6377,Магазины!A:C,3,0)</f>
        <v>Кемерово</v>
      </c>
      <c r="J6377">
        <f>VLOOKUP(D6377,Товары!A:I,4,0)</f>
        <v>14085</v>
      </c>
      <c r="K6377">
        <f t="shared" si="99"/>
        <v>28170</v>
      </c>
    </row>
    <row r="6378" spans="1:11" hidden="1" x14ac:dyDescent="0.25">
      <c r="A6378">
        <v>6377</v>
      </c>
      <c r="B6378" s="1">
        <v>45753</v>
      </c>
      <c r="C6378" t="s">
        <v>35</v>
      </c>
      <c r="D6378" t="s">
        <v>44</v>
      </c>
      <c r="E6378" t="s">
        <v>13</v>
      </c>
      <c r="F6378">
        <v>1</v>
      </c>
      <c r="G6378" t="str">
        <f>VLOOKUP(D6378,Товары!A:I,3,0)</f>
        <v>Тумба с раковиной  навес. Кристалл 800 шато азур 2 ящика с умыв. Комфорт</v>
      </c>
      <c r="H6378">
        <f>VLOOKUP(D6378,Товары!A:I,6,0)</f>
        <v>55</v>
      </c>
      <c r="I6378" t="str">
        <f>VLOOKUP(C6378,Магазины!A:C,3,0)</f>
        <v>Набережные Челны</v>
      </c>
      <c r="J6378">
        <f>VLOOKUP(D6378,Товары!A:I,4,0)</f>
        <v>25080</v>
      </c>
      <c r="K6378">
        <f t="shared" si="99"/>
        <v>25080</v>
      </c>
    </row>
    <row r="6379" spans="1:11" hidden="1" x14ac:dyDescent="0.25">
      <c r="A6379">
        <v>6378</v>
      </c>
      <c r="B6379" s="1">
        <v>45751</v>
      </c>
      <c r="C6379" t="s">
        <v>63</v>
      </c>
      <c r="D6379" t="s">
        <v>50</v>
      </c>
      <c r="E6379" t="s">
        <v>8</v>
      </c>
      <c r="F6379">
        <v>3</v>
      </c>
      <c r="G6379" t="str">
        <f>VLOOKUP(D6379,Товары!A:I,3,0)</f>
        <v>Тумба с раковиной  напол. Леон 800 оникс 2 ящика с умыв. Слим</v>
      </c>
      <c r="H6379">
        <f>VLOOKUP(D6379,Товары!A:I,6,0)</f>
        <v>80</v>
      </c>
      <c r="I6379" t="str">
        <f>VLOOKUP(C6379,Магазины!A:C,3,0)</f>
        <v>Ставрополь</v>
      </c>
      <c r="J6379">
        <f>VLOOKUP(D6379,Товары!A:I,4,0)</f>
        <v>29400</v>
      </c>
      <c r="K6379">
        <f t="shared" si="99"/>
        <v>88200</v>
      </c>
    </row>
    <row r="6380" spans="1:11" hidden="1" x14ac:dyDescent="0.25">
      <c r="A6380">
        <v>6379</v>
      </c>
      <c r="B6380" s="1">
        <v>45748</v>
      </c>
      <c r="C6380" t="s">
        <v>63</v>
      </c>
      <c r="D6380" t="s">
        <v>99</v>
      </c>
      <c r="E6380" t="s">
        <v>8</v>
      </c>
      <c r="F6380">
        <v>3</v>
      </c>
      <c r="G6380" t="str">
        <f>VLOOKUP(D6380,Товары!A:I,3,0)</f>
        <v>Тумба с раковиной  навес. Леон 600 оникс 2 ящика с умыв. Слим</v>
      </c>
      <c r="H6380">
        <f>VLOOKUP(D6380,Товары!A:I,6,0)</f>
        <v>60</v>
      </c>
      <c r="I6380" t="str">
        <f>VLOOKUP(C6380,Магазины!A:C,3,0)</f>
        <v>Ставрополь</v>
      </c>
      <c r="J6380">
        <f>VLOOKUP(D6380,Товары!A:I,4,0)</f>
        <v>25125</v>
      </c>
      <c r="K6380">
        <f t="shared" si="99"/>
        <v>75375</v>
      </c>
    </row>
    <row r="6381" spans="1:11" hidden="1" x14ac:dyDescent="0.25">
      <c r="A6381">
        <v>6380</v>
      </c>
      <c r="B6381" s="1">
        <v>45755</v>
      </c>
      <c r="C6381" t="s">
        <v>18</v>
      </c>
      <c r="D6381" t="s">
        <v>40</v>
      </c>
      <c r="E6381" t="s">
        <v>13</v>
      </c>
      <c r="F6381">
        <v>2</v>
      </c>
      <c r="G6381" t="str">
        <f>VLOOKUP(D6381,Товары!A:I,3,0)</f>
        <v>Тумба с раковиной  навес. Рица 800 cерый/керамика 1 ящик + ниша 1 с умыв. Слим</v>
      </c>
      <c r="H6381">
        <f>VLOOKUP(D6381,Товары!A:I,6,0)</f>
        <v>60</v>
      </c>
      <c r="I6381" t="str">
        <f>VLOOKUP(C6381,Магазины!A:C,3,0)</f>
        <v>Набережные Челны</v>
      </c>
      <c r="J6381">
        <f>VLOOKUP(D6381,Товары!A:I,4,0)</f>
        <v>22425</v>
      </c>
      <c r="K6381">
        <f t="shared" si="99"/>
        <v>44850</v>
      </c>
    </row>
    <row r="6382" spans="1:11" hidden="1" x14ac:dyDescent="0.25">
      <c r="A6382">
        <v>6381</v>
      </c>
      <c r="B6382" s="1">
        <v>45753</v>
      </c>
      <c r="C6382" t="s">
        <v>20</v>
      </c>
      <c r="D6382" t="s">
        <v>67</v>
      </c>
      <c r="E6382" t="s">
        <v>8</v>
      </c>
      <c r="F6382">
        <v>3</v>
      </c>
      <c r="G6382" t="str">
        <f>VLOOKUP(D6382,Товары!A:I,3,0)</f>
        <v>Пенал навес./напол. Альба 350 суфле 2 двери</v>
      </c>
      <c r="H6382">
        <f>VLOOKUP(D6382,Товары!A:I,6,0)</f>
        <v>150</v>
      </c>
      <c r="I6382" t="str">
        <f>VLOOKUP(C6382,Магазины!A:C,3,0)</f>
        <v>Оренбург</v>
      </c>
      <c r="J6382">
        <f>VLOOKUP(D6382,Товары!A:I,4,0)</f>
        <v>11655</v>
      </c>
      <c r="K6382">
        <f t="shared" si="99"/>
        <v>34965</v>
      </c>
    </row>
    <row r="6383" spans="1:11" hidden="1" x14ac:dyDescent="0.25">
      <c r="A6383">
        <v>6382</v>
      </c>
      <c r="B6383" s="1">
        <v>45750</v>
      </c>
      <c r="C6383" t="s">
        <v>20</v>
      </c>
      <c r="D6383" t="s">
        <v>83</v>
      </c>
      <c r="E6383" t="s">
        <v>13</v>
      </c>
      <c r="F6383">
        <v>3</v>
      </c>
      <c r="G6383" t="str">
        <f>VLOOKUP(D6383,Товары!A:I,3,0)</f>
        <v>Зеркальный шкаф Альба 60 со светильником правый цвет суфле</v>
      </c>
      <c r="H6383">
        <f>VLOOKUP(D6383,Товары!A:I,6,0)</f>
        <v>75</v>
      </c>
      <c r="I6383" t="str">
        <f>VLOOKUP(C6383,Магазины!A:C,3,0)</f>
        <v>Оренбург</v>
      </c>
      <c r="J6383">
        <f>VLOOKUP(D6383,Товары!A:I,4,0)</f>
        <v>8910</v>
      </c>
      <c r="K6383">
        <f t="shared" si="99"/>
        <v>26730</v>
      </c>
    </row>
    <row r="6384" spans="1:11" hidden="1" x14ac:dyDescent="0.25">
      <c r="A6384">
        <v>6383</v>
      </c>
      <c r="B6384" s="1">
        <v>45753</v>
      </c>
      <c r="C6384" t="s">
        <v>57</v>
      </c>
      <c r="D6384" t="s">
        <v>109</v>
      </c>
      <c r="E6384" t="s">
        <v>8</v>
      </c>
      <c r="F6384">
        <v>1</v>
      </c>
      <c r="G6384" t="str">
        <f>VLOOKUP(D6384,Товары!A:I,3,0)</f>
        <v>Тумба с раковиной  навес. Альба 600 антрацит 2 ящика с умыв. Океан</v>
      </c>
      <c r="H6384">
        <f>VLOOKUP(D6384,Товары!A:I,6,0)</f>
        <v>50</v>
      </c>
      <c r="I6384" t="str">
        <f>VLOOKUP(C6384,Магазины!A:C,3,0)</f>
        <v>Оренбург</v>
      </c>
      <c r="J6384">
        <f>VLOOKUP(D6384,Товары!A:I,4,0)</f>
        <v>24810</v>
      </c>
      <c r="K6384">
        <f t="shared" si="99"/>
        <v>24810</v>
      </c>
    </row>
    <row r="6385" spans="1:11" hidden="1" x14ac:dyDescent="0.25">
      <c r="A6385">
        <v>6384</v>
      </c>
      <c r="B6385" s="1">
        <v>45757</v>
      </c>
      <c r="C6385" t="s">
        <v>20</v>
      </c>
      <c r="D6385" t="s">
        <v>119</v>
      </c>
      <c r="E6385" t="s">
        <v>8</v>
      </c>
      <c r="F6385">
        <v>2</v>
      </c>
      <c r="G6385" t="str">
        <f>VLOOKUP(D6385,Товары!A:I,3,0)</f>
        <v>Пенал навес./напол. Рица 350 cерый/керамика 2 двери</v>
      </c>
      <c r="H6385">
        <f>VLOOKUP(D6385,Товары!A:I,6,0)</f>
        <v>160</v>
      </c>
      <c r="I6385" t="str">
        <f>VLOOKUP(C6385,Магазины!A:C,3,0)</f>
        <v>Оренбург</v>
      </c>
      <c r="J6385">
        <f>VLOOKUP(D6385,Товары!A:I,4,0)</f>
        <v>11250</v>
      </c>
      <c r="K6385">
        <f t="shared" si="99"/>
        <v>22500</v>
      </c>
    </row>
    <row r="6386" spans="1:11" hidden="1" x14ac:dyDescent="0.25">
      <c r="A6386">
        <v>6385</v>
      </c>
      <c r="B6386" s="1">
        <v>45755</v>
      </c>
      <c r="C6386" t="s">
        <v>11</v>
      </c>
      <c r="D6386" t="s">
        <v>96</v>
      </c>
      <c r="E6386" t="s">
        <v>8</v>
      </c>
      <c r="F6386">
        <v>1</v>
      </c>
      <c r="G6386" t="str">
        <f>VLOOKUP(D6386,Товары!A:I,3,0)</f>
        <v>Тумба с раковиной  навес. Альба 600 мята 1 ящик с умыв. Океан</v>
      </c>
      <c r="H6386">
        <f>VLOOKUP(D6386,Товары!A:I,6,0)</f>
        <v>85</v>
      </c>
      <c r="I6386" t="str">
        <f>VLOOKUP(C6386,Магазины!A:C,3,0)</f>
        <v>Кемерово</v>
      </c>
      <c r="J6386">
        <f>VLOOKUP(D6386,Товары!A:I,4,0)</f>
        <v>17625</v>
      </c>
      <c r="K6386">
        <f t="shared" si="99"/>
        <v>17625</v>
      </c>
    </row>
    <row r="6387" spans="1:11" hidden="1" x14ac:dyDescent="0.25">
      <c r="A6387">
        <v>6386</v>
      </c>
      <c r="B6387" s="1">
        <v>45753</v>
      </c>
      <c r="C6387" t="s">
        <v>35</v>
      </c>
      <c r="D6387" t="s">
        <v>75</v>
      </c>
      <c r="E6387" t="s">
        <v>13</v>
      </c>
      <c r="F6387">
        <v>2</v>
      </c>
      <c r="G6387" t="str">
        <f>VLOOKUP(D6387,Товары!A:I,3,0)</f>
        <v>Тумба с раковиной  напол. Альба 600 суфле 2 ящика с умыв. Океан</v>
      </c>
      <c r="H6387">
        <f>VLOOKUP(D6387,Товары!A:I,6,0)</f>
        <v>80</v>
      </c>
      <c r="I6387" t="str">
        <f>VLOOKUP(C6387,Магазины!A:C,3,0)</f>
        <v>Набережные Челны</v>
      </c>
      <c r="J6387">
        <f>VLOOKUP(D6387,Товары!A:I,4,0)</f>
        <v>26370</v>
      </c>
      <c r="K6387">
        <f t="shared" si="99"/>
        <v>52740</v>
      </c>
    </row>
    <row r="6388" spans="1:11" hidden="1" x14ac:dyDescent="0.25">
      <c r="A6388">
        <v>6387</v>
      </c>
      <c r="B6388" s="1">
        <v>45754</v>
      </c>
      <c r="C6388" t="s">
        <v>57</v>
      </c>
      <c r="D6388" t="s">
        <v>99</v>
      </c>
      <c r="E6388" t="s">
        <v>13</v>
      </c>
      <c r="F6388">
        <v>3</v>
      </c>
      <c r="G6388" t="str">
        <f>VLOOKUP(D6388,Товары!A:I,3,0)</f>
        <v>Тумба с раковиной  навес. Леон 600 оникс 2 ящика с умыв. Слим</v>
      </c>
      <c r="H6388">
        <f>VLOOKUP(D6388,Товары!A:I,6,0)</f>
        <v>60</v>
      </c>
      <c r="I6388" t="str">
        <f>VLOOKUP(C6388,Магазины!A:C,3,0)</f>
        <v>Оренбург</v>
      </c>
      <c r="J6388">
        <f>VLOOKUP(D6388,Товары!A:I,4,0)</f>
        <v>25125</v>
      </c>
      <c r="K6388">
        <f t="shared" si="99"/>
        <v>75375</v>
      </c>
    </row>
    <row r="6389" spans="1:11" hidden="1" x14ac:dyDescent="0.25">
      <c r="A6389">
        <v>6388</v>
      </c>
      <c r="B6389" s="1">
        <v>45749</v>
      </c>
      <c r="C6389" t="s">
        <v>111</v>
      </c>
      <c r="D6389" t="s">
        <v>31</v>
      </c>
      <c r="E6389" t="s">
        <v>8</v>
      </c>
      <c r="F6389">
        <v>2</v>
      </c>
      <c r="G6389" t="str">
        <f>VLOOKUP(D6389,Товары!A:I,3,0)</f>
        <v>Пенал напол. Виктория 350 белый 2 двери</v>
      </c>
      <c r="H6389">
        <f>VLOOKUP(D6389,Товары!A:I,6,0)</f>
        <v>190</v>
      </c>
      <c r="I6389" t="str">
        <f>VLOOKUP(C6389,Магазины!A:C,3,0)</f>
        <v>Набережные Челны</v>
      </c>
      <c r="J6389">
        <f>VLOOKUP(D6389,Товары!A:I,4,0)</f>
        <v>14085</v>
      </c>
      <c r="K6389">
        <f t="shared" si="99"/>
        <v>28170</v>
      </c>
    </row>
    <row r="6390" spans="1:11" hidden="1" x14ac:dyDescent="0.25">
      <c r="A6390">
        <v>6389</v>
      </c>
      <c r="B6390" s="1">
        <v>45748</v>
      </c>
      <c r="C6390" t="s">
        <v>111</v>
      </c>
      <c r="D6390" t="s">
        <v>52</v>
      </c>
      <c r="E6390" t="s">
        <v>8</v>
      </c>
      <c r="F6390">
        <v>2</v>
      </c>
      <c r="G6390" t="str">
        <f>VLOOKUP(D6390,Товары!A:I,3,0)</f>
        <v>Тумба с раковиной  напол. Кристалл 600 суфле 2 ящика с умыв. Океан</v>
      </c>
      <c r="H6390">
        <f>VLOOKUP(D6390,Товары!A:I,6,0)</f>
        <v>80</v>
      </c>
      <c r="I6390" t="str">
        <f>VLOOKUP(C6390,Магазины!A:C,3,0)</f>
        <v>Набережные Челны</v>
      </c>
      <c r="J6390">
        <f>VLOOKUP(D6390,Товары!A:I,4,0)</f>
        <v>27600</v>
      </c>
      <c r="K6390">
        <f t="shared" si="99"/>
        <v>55200</v>
      </c>
    </row>
    <row r="6391" spans="1:11" hidden="1" x14ac:dyDescent="0.25">
      <c r="A6391">
        <v>6390</v>
      </c>
      <c r="B6391" s="1">
        <v>45755</v>
      </c>
      <c r="C6391" t="s">
        <v>33</v>
      </c>
      <c r="D6391" t="s">
        <v>107</v>
      </c>
      <c r="E6391" t="s">
        <v>13</v>
      </c>
      <c r="F6391">
        <v>2</v>
      </c>
      <c r="G6391" t="str">
        <f>VLOOKUP(D6391,Товары!A:I,3,0)</f>
        <v>Комод Аква 35 напольный 1 дверь белый правый</v>
      </c>
      <c r="H6391">
        <f>VLOOKUP(D6391,Товары!A:I,6,0)</f>
        <v>90</v>
      </c>
      <c r="I6391" t="str">
        <f>VLOOKUP(C6391,Магазины!A:C,3,0)</f>
        <v>Набережные Челны</v>
      </c>
      <c r="J6391">
        <f>VLOOKUP(D6391,Товары!A:I,4,0)</f>
        <v>6705</v>
      </c>
      <c r="K6391">
        <f t="shared" si="99"/>
        <v>13410</v>
      </c>
    </row>
    <row r="6392" spans="1:11" hidden="1" x14ac:dyDescent="0.25">
      <c r="A6392">
        <v>6391</v>
      </c>
      <c r="B6392" s="1">
        <v>45756</v>
      </c>
      <c r="C6392" t="s">
        <v>92</v>
      </c>
      <c r="D6392" t="s">
        <v>38</v>
      </c>
      <c r="E6392" t="s">
        <v>13</v>
      </c>
      <c r="F6392">
        <v>2</v>
      </c>
      <c r="G6392" t="str">
        <f>VLOOKUP(D6392,Товары!A:I,3,0)</f>
        <v>Тумба с раковиной  навес. Куба Риф 600 белый 2 ящика с умыв. Como</v>
      </c>
      <c r="H6392">
        <f>VLOOKUP(D6392,Товары!A:I,6,0)</f>
        <v>55</v>
      </c>
      <c r="I6392" t="str">
        <f>VLOOKUP(C6392,Магазины!A:C,3,0)</f>
        <v>Кемерово</v>
      </c>
      <c r="J6392">
        <f>VLOOKUP(D6392,Товары!A:I,4,0)</f>
        <v>14265</v>
      </c>
      <c r="K6392">
        <f t="shared" si="99"/>
        <v>28530</v>
      </c>
    </row>
    <row r="6393" spans="1:11" hidden="1" x14ac:dyDescent="0.25">
      <c r="A6393">
        <v>6392</v>
      </c>
      <c r="B6393" s="1">
        <v>45753</v>
      </c>
      <c r="C6393" t="s">
        <v>48</v>
      </c>
      <c r="D6393" t="s">
        <v>46</v>
      </c>
      <c r="E6393" t="s">
        <v>13</v>
      </c>
      <c r="F6393">
        <v>1</v>
      </c>
      <c r="G6393" t="str">
        <f>VLOOKUP(D6393,Товары!A:I,3,0)</f>
        <v>Тумба с раковиной  напол. Сохо 700 белый 2 ящика с умыв. Слим</v>
      </c>
      <c r="H6393">
        <f>VLOOKUP(D6393,Товары!A:I,6,0)</f>
        <v>85</v>
      </c>
      <c r="I6393" t="str">
        <f>VLOOKUP(C6393,Магазины!A:C,3,0)</f>
        <v>Ставрополь</v>
      </c>
      <c r="J6393">
        <f>VLOOKUP(D6393,Товары!A:I,4,0)</f>
        <v>18405</v>
      </c>
      <c r="K6393">
        <f t="shared" si="99"/>
        <v>18405</v>
      </c>
    </row>
    <row r="6394" spans="1:11" hidden="1" x14ac:dyDescent="0.25">
      <c r="A6394">
        <v>6393</v>
      </c>
      <c r="B6394" s="1">
        <v>45751</v>
      </c>
      <c r="C6394" t="s">
        <v>57</v>
      </c>
      <c r="D6394" t="s">
        <v>105</v>
      </c>
      <c r="E6394" t="s">
        <v>8</v>
      </c>
      <c r="F6394">
        <v>1</v>
      </c>
      <c r="G6394" t="str">
        <f>VLOOKUP(D6394,Товары!A:I,3,0)</f>
        <v>Тумба с раковиной  напол. Нева 600 белый 2 двери + 1 ящик с умыв. Como</v>
      </c>
      <c r="H6394">
        <f>VLOOKUP(D6394,Товары!A:I,6,0)</f>
        <v>80</v>
      </c>
      <c r="I6394" t="str">
        <f>VLOOKUP(C6394,Магазины!A:C,3,0)</f>
        <v>Оренбург</v>
      </c>
      <c r="J6394">
        <f>VLOOKUP(D6394,Товары!A:I,4,0)</f>
        <v>13470</v>
      </c>
      <c r="K6394">
        <f t="shared" si="99"/>
        <v>13470</v>
      </c>
    </row>
    <row r="6395" spans="1:11" hidden="1" x14ac:dyDescent="0.25">
      <c r="A6395">
        <v>6394</v>
      </c>
      <c r="B6395" s="1">
        <v>45748</v>
      </c>
      <c r="C6395" t="s">
        <v>103</v>
      </c>
      <c r="D6395" t="s">
        <v>15</v>
      </c>
      <c r="E6395" t="s">
        <v>8</v>
      </c>
      <c r="F6395">
        <v>2</v>
      </c>
      <c r="G6395" t="str">
        <f>VLOOKUP(D6395,Товары!A:I,3,0)</f>
        <v>Зеркальный шкаф Кристалл 60 со светильником правый, ручка кнопка дуб цвет Шато Азур</v>
      </c>
      <c r="H6395">
        <f>VLOOKUP(D6395,Товары!A:I,6,0)</f>
        <v>75</v>
      </c>
      <c r="I6395" t="str">
        <f>VLOOKUP(C6395,Магазины!A:C,3,0)</f>
        <v>Ставрополь</v>
      </c>
      <c r="J6395">
        <f>VLOOKUP(D6395,Товары!A:I,4,0)</f>
        <v>9195</v>
      </c>
      <c r="K6395">
        <f t="shared" si="99"/>
        <v>18390</v>
      </c>
    </row>
    <row r="6396" spans="1:11" hidden="1" x14ac:dyDescent="0.25">
      <c r="A6396">
        <v>6395</v>
      </c>
      <c r="B6396" s="1">
        <v>45755</v>
      </c>
      <c r="C6396" t="s">
        <v>43</v>
      </c>
      <c r="D6396" t="s">
        <v>98</v>
      </c>
      <c r="E6396" t="s">
        <v>13</v>
      </c>
      <c r="F6396">
        <v>3</v>
      </c>
      <c r="G6396" t="str">
        <f>VLOOKUP(D6396,Товары!A:I,3,0)</f>
        <v>Тумба с раковиной  напол. Рица 800 cерый/керамика 2 ящика с умыв. Слим</v>
      </c>
      <c r="H6396">
        <f>VLOOKUP(D6396,Товары!A:I,6,0)</f>
        <v>80</v>
      </c>
      <c r="I6396" t="str">
        <f>VLOOKUP(C6396,Магазины!A:C,3,0)</f>
        <v>Набережные Челны</v>
      </c>
      <c r="J6396">
        <f>VLOOKUP(D6396,Товары!A:I,4,0)</f>
        <v>28980</v>
      </c>
      <c r="K6396">
        <f t="shared" si="99"/>
        <v>86940</v>
      </c>
    </row>
    <row r="6397" spans="1:11" hidden="1" x14ac:dyDescent="0.25">
      <c r="A6397">
        <v>6396</v>
      </c>
      <c r="B6397" s="1">
        <v>45757</v>
      </c>
      <c r="C6397" t="s">
        <v>48</v>
      </c>
      <c r="D6397" t="s">
        <v>77</v>
      </c>
      <c r="E6397" t="s">
        <v>8</v>
      </c>
      <c r="F6397">
        <v>2</v>
      </c>
      <c r="G6397" t="str">
        <f>VLOOKUP(D6397,Товары!A:I,3,0)</f>
        <v>Тумба с раковиной  напол. Куба Риф 600 белый 2 ящика с умыв. Como</v>
      </c>
      <c r="H6397">
        <f>VLOOKUP(D6397,Товары!A:I,6,0)</f>
        <v>85</v>
      </c>
      <c r="I6397" t="str">
        <f>VLOOKUP(C6397,Магазины!A:C,3,0)</f>
        <v>Ставрополь</v>
      </c>
      <c r="J6397">
        <f>VLOOKUP(D6397,Товары!A:I,4,0)</f>
        <v>15660</v>
      </c>
      <c r="K6397">
        <f t="shared" si="99"/>
        <v>31320</v>
      </c>
    </row>
    <row r="6398" spans="1:11" hidden="1" x14ac:dyDescent="0.25">
      <c r="A6398">
        <v>6397</v>
      </c>
      <c r="B6398" s="1">
        <v>45756</v>
      </c>
      <c r="C6398" t="s">
        <v>48</v>
      </c>
      <c r="D6398" t="s">
        <v>15</v>
      </c>
      <c r="E6398" t="s">
        <v>13</v>
      </c>
      <c r="F6398">
        <v>3</v>
      </c>
      <c r="G6398" t="str">
        <f>VLOOKUP(D6398,Товары!A:I,3,0)</f>
        <v>Зеркальный шкаф Кристалл 60 со светильником правый, ручка кнопка дуб цвет Шато Азур</v>
      </c>
      <c r="H6398">
        <f>VLOOKUP(D6398,Товары!A:I,6,0)</f>
        <v>75</v>
      </c>
      <c r="I6398" t="str">
        <f>VLOOKUP(C6398,Магазины!A:C,3,0)</f>
        <v>Ставрополь</v>
      </c>
      <c r="J6398">
        <f>VLOOKUP(D6398,Товары!A:I,4,0)</f>
        <v>9195</v>
      </c>
      <c r="K6398">
        <f t="shared" si="99"/>
        <v>27585</v>
      </c>
    </row>
    <row r="6399" spans="1:11" hidden="1" x14ac:dyDescent="0.25">
      <c r="A6399">
        <v>6398</v>
      </c>
      <c r="B6399" s="1">
        <v>45753</v>
      </c>
      <c r="C6399" t="s">
        <v>92</v>
      </c>
      <c r="D6399" t="s">
        <v>84</v>
      </c>
      <c r="E6399" t="s">
        <v>8</v>
      </c>
      <c r="F6399">
        <v>1</v>
      </c>
      <c r="G6399" t="str">
        <f>VLOOKUP(D6399,Товары!A:I,3,0)</f>
        <v>Тумба с раковиной  напол. Куба Риф 800 белый 3 двери с умыв. Слим</v>
      </c>
      <c r="H6399">
        <f>VLOOKUP(D6399,Товары!A:I,6,0)</f>
        <v>85</v>
      </c>
      <c r="I6399" t="str">
        <f>VLOOKUP(C6399,Магазины!A:C,3,0)</f>
        <v>Кемерово</v>
      </c>
      <c r="J6399">
        <f>VLOOKUP(D6399,Товары!A:I,4,0)</f>
        <v>19920</v>
      </c>
      <c r="K6399">
        <f t="shared" si="99"/>
        <v>19920</v>
      </c>
    </row>
    <row r="6400" spans="1:11" hidden="1" x14ac:dyDescent="0.25">
      <c r="A6400">
        <v>6399</v>
      </c>
      <c r="B6400" s="1">
        <v>45749</v>
      </c>
      <c r="C6400" t="s">
        <v>43</v>
      </c>
      <c r="D6400" t="s">
        <v>108</v>
      </c>
      <c r="E6400" t="s">
        <v>8</v>
      </c>
      <c r="F6400">
        <v>2</v>
      </c>
      <c r="G6400" t="str">
        <f>VLOOKUP(D6400,Товары!A:I,3,0)</f>
        <v>Тумба с раковиной  навес. Виктория 1000 белый 2 ящика с умыв. Слим</v>
      </c>
      <c r="H6400">
        <f>VLOOKUP(D6400,Товары!A:I,6,0)</f>
        <v>60</v>
      </c>
      <c r="I6400" t="str">
        <f>VLOOKUP(C6400,Магазины!A:C,3,0)</f>
        <v>Набережные Челны</v>
      </c>
      <c r="J6400">
        <f>VLOOKUP(D6400,Товары!A:I,4,0)</f>
        <v>29205</v>
      </c>
      <c r="K6400">
        <f t="shared" si="99"/>
        <v>58410</v>
      </c>
    </row>
    <row r="6401" spans="1:11" hidden="1" x14ac:dyDescent="0.25">
      <c r="A6401">
        <v>6400</v>
      </c>
      <c r="B6401" s="1">
        <v>45748</v>
      </c>
      <c r="C6401" t="s">
        <v>103</v>
      </c>
      <c r="D6401" t="s">
        <v>121</v>
      </c>
      <c r="E6401" t="s">
        <v>13</v>
      </c>
      <c r="F6401">
        <v>1</v>
      </c>
      <c r="G6401" t="str">
        <f>VLOOKUP(D6401,Товары!A:I,3,0)</f>
        <v>Тумба с раковиной  напол. Куба Риф 600 белый 2 двери с умыв. Como</v>
      </c>
      <c r="H6401">
        <f>VLOOKUP(D6401,Товары!A:I,6,0)</f>
        <v>85</v>
      </c>
      <c r="I6401" t="str">
        <f>VLOOKUP(C6401,Магазины!A:C,3,0)</f>
        <v>Ставрополь</v>
      </c>
      <c r="J6401">
        <f>VLOOKUP(D6401,Товары!A:I,4,0)</f>
        <v>13695</v>
      </c>
      <c r="K6401">
        <f t="shared" si="99"/>
        <v>13695</v>
      </c>
    </row>
    <row r="6402" spans="1:11" hidden="1" x14ac:dyDescent="0.25">
      <c r="A6402">
        <v>6401</v>
      </c>
      <c r="B6402" s="1">
        <v>45754</v>
      </c>
      <c r="C6402" t="s">
        <v>57</v>
      </c>
      <c r="D6402" t="s">
        <v>85</v>
      </c>
      <c r="E6402" t="s">
        <v>8</v>
      </c>
      <c r="F6402">
        <v>2</v>
      </c>
      <c r="G6402" t="str">
        <f>VLOOKUP(D6402,Товары!A:I,3,0)</f>
        <v>Пенал напол. Аква 450 белый 2 двери + 2 ящика + корзина</v>
      </c>
      <c r="H6402">
        <f>VLOOKUP(D6402,Товары!A:I,6,0)</f>
        <v>190</v>
      </c>
      <c r="I6402" t="str">
        <f>VLOOKUP(C6402,Магазины!A:C,3,0)</f>
        <v>Оренбург</v>
      </c>
      <c r="J6402">
        <f>VLOOKUP(D6402,Товары!A:I,4,0)</f>
        <v>13335</v>
      </c>
      <c r="K6402">
        <f t="shared" si="99"/>
        <v>26670</v>
      </c>
    </row>
    <row r="6403" spans="1:11" hidden="1" x14ac:dyDescent="0.25">
      <c r="A6403">
        <v>6402</v>
      </c>
      <c r="B6403" s="1">
        <v>45756</v>
      </c>
      <c r="C6403" t="s">
        <v>14</v>
      </c>
      <c r="D6403" t="s">
        <v>118</v>
      </c>
      <c r="E6403" t="s">
        <v>13</v>
      </c>
      <c r="F6403">
        <v>2</v>
      </c>
      <c r="G6403" t="str">
        <f>VLOOKUP(D6403,Товары!A:I,3,0)</f>
        <v>Тумба с раковиной  напол. Сохо 800 белый 2 ящика с умыв. Слим</v>
      </c>
      <c r="H6403">
        <f>VLOOKUP(D6403,Товары!A:I,6,0)</f>
        <v>85</v>
      </c>
      <c r="I6403" t="str">
        <f>VLOOKUP(C6403,Магазины!A:C,3,0)</f>
        <v>Оренбург</v>
      </c>
      <c r="J6403">
        <f>VLOOKUP(D6403,Товары!A:I,4,0)</f>
        <v>19575</v>
      </c>
      <c r="K6403">
        <f t="shared" ref="K6403:K6466" si="100">J6403*F6403</f>
        <v>39150</v>
      </c>
    </row>
    <row r="6404" spans="1:11" hidden="1" x14ac:dyDescent="0.25">
      <c r="A6404">
        <v>6403</v>
      </c>
      <c r="B6404" s="1">
        <v>45757</v>
      </c>
      <c r="C6404" t="s">
        <v>103</v>
      </c>
      <c r="D6404" t="s">
        <v>114</v>
      </c>
      <c r="E6404" t="s">
        <v>8</v>
      </c>
      <c r="F6404">
        <v>1</v>
      </c>
      <c r="G6404" t="str">
        <f>VLOOKUP(D6404,Товары!A:I,3,0)</f>
        <v>Тумба с раковиной  навес. Альба 700 мята 2 ящика с умыв. Слим</v>
      </c>
      <c r="H6404">
        <f>VLOOKUP(D6404,Товары!A:I,6,0)</f>
        <v>60</v>
      </c>
      <c r="I6404" t="str">
        <f>VLOOKUP(C6404,Магазины!A:C,3,0)</f>
        <v>Ставрополь</v>
      </c>
      <c r="J6404">
        <f>VLOOKUP(D6404,Товары!A:I,4,0)</f>
        <v>25095</v>
      </c>
      <c r="K6404">
        <f t="shared" si="100"/>
        <v>25095</v>
      </c>
    </row>
    <row r="6405" spans="1:11" hidden="1" x14ac:dyDescent="0.25">
      <c r="A6405">
        <v>6404</v>
      </c>
      <c r="B6405" s="1">
        <v>45751</v>
      </c>
      <c r="C6405" t="s">
        <v>11</v>
      </c>
      <c r="D6405" t="s">
        <v>79</v>
      </c>
      <c r="E6405" t="s">
        <v>8</v>
      </c>
      <c r="F6405">
        <v>3</v>
      </c>
      <c r="G6405" t="str">
        <f>VLOOKUP(D6405,Товары!A:I,3,0)</f>
        <v>Зеркальный шкаф Альба 70 со светильником правый цвет мята</v>
      </c>
      <c r="H6405">
        <f>VLOOKUP(D6405,Товары!A:I,6,0)</f>
        <v>75</v>
      </c>
      <c r="I6405" t="str">
        <f>VLOOKUP(C6405,Магазины!A:C,3,0)</f>
        <v>Кемерово</v>
      </c>
      <c r="J6405">
        <f>VLOOKUP(D6405,Товары!A:I,4,0)</f>
        <v>9615</v>
      </c>
      <c r="K6405">
        <f t="shared" si="100"/>
        <v>28845</v>
      </c>
    </row>
    <row r="6406" spans="1:11" hidden="1" x14ac:dyDescent="0.25">
      <c r="A6406">
        <v>6405</v>
      </c>
      <c r="B6406" s="1">
        <v>45754</v>
      </c>
      <c r="C6406" t="s">
        <v>11</v>
      </c>
      <c r="D6406" t="s">
        <v>60</v>
      </c>
      <c r="E6406" t="s">
        <v>13</v>
      </c>
      <c r="F6406">
        <v>2</v>
      </c>
      <c r="G6406" t="str">
        <f>VLOOKUP(D6406,Товары!A:I,3,0)</f>
        <v>Пенал навес. Куба Риф 350 белый 2 двери</v>
      </c>
      <c r="H6406">
        <f>VLOOKUP(D6406,Товары!A:I,6,0)</f>
        <v>150</v>
      </c>
      <c r="I6406" t="str">
        <f>VLOOKUP(C6406,Магазины!A:C,3,0)</f>
        <v>Кемерово</v>
      </c>
      <c r="J6406">
        <f>VLOOKUP(D6406,Товары!A:I,4,0)</f>
        <v>9720</v>
      </c>
      <c r="K6406">
        <f t="shared" si="100"/>
        <v>19440</v>
      </c>
    </row>
    <row r="6407" spans="1:11" hidden="1" x14ac:dyDescent="0.25">
      <c r="A6407">
        <v>6406</v>
      </c>
      <c r="B6407" s="1">
        <v>45755</v>
      </c>
      <c r="C6407" t="s">
        <v>20</v>
      </c>
      <c r="D6407" t="s">
        <v>86</v>
      </c>
      <c r="E6407" t="s">
        <v>13</v>
      </c>
      <c r="F6407">
        <v>2</v>
      </c>
      <c r="G6407" t="str">
        <f>VLOOKUP(D6407,Товары!A:I,3,0)</f>
        <v>Комод Аква 50 напольный 1 ящик 2 двери белый</v>
      </c>
      <c r="H6407">
        <f>VLOOKUP(D6407,Товары!A:I,6,0)</f>
        <v>90</v>
      </c>
      <c r="I6407" t="str">
        <f>VLOOKUP(C6407,Магазины!A:C,3,0)</f>
        <v>Оренбург</v>
      </c>
      <c r="J6407">
        <f>VLOOKUP(D6407,Товары!A:I,4,0)</f>
        <v>7260</v>
      </c>
      <c r="K6407">
        <f t="shared" si="100"/>
        <v>14520</v>
      </c>
    </row>
    <row r="6408" spans="1:11" hidden="1" x14ac:dyDescent="0.25">
      <c r="A6408">
        <v>6407</v>
      </c>
      <c r="B6408" s="1">
        <v>45755</v>
      </c>
      <c r="C6408" t="s">
        <v>16</v>
      </c>
      <c r="D6408" t="s">
        <v>88</v>
      </c>
      <c r="E6408" t="s">
        <v>8</v>
      </c>
      <c r="F6408">
        <v>1</v>
      </c>
      <c r="G6408" t="str">
        <f>VLOOKUP(D6408,Товары!A:I,3,0)</f>
        <v>Тумба с раковиной  навес. Альба 800 антрацит 2 ящика с умыв. Слим</v>
      </c>
      <c r="H6408">
        <f>VLOOKUP(D6408,Товары!A:I,6,0)</f>
        <v>50</v>
      </c>
      <c r="I6408" t="str">
        <f>VLOOKUP(C6408,Магазины!A:C,3,0)</f>
        <v>Оренбург</v>
      </c>
      <c r="J6408">
        <f>VLOOKUP(D6408,Товары!A:I,4,0)</f>
        <v>26070</v>
      </c>
      <c r="K6408">
        <f t="shared" si="100"/>
        <v>26070</v>
      </c>
    </row>
    <row r="6409" spans="1:11" hidden="1" x14ac:dyDescent="0.25">
      <c r="A6409">
        <v>6408</v>
      </c>
      <c r="B6409" s="1">
        <v>45753</v>
      </c>
      <c r="C6409" t="s">
        <v>30</v>
      </c>
      <c r="D6409" t="s">
        <v>82</v>
      </c>
      <c r="E6409" t="s">
        <v>8</v>
      </c>
      <c r="F6409">
        <v>3</v>
      </c>
      <c r="G6409" t="str">
        <f>VLOOKUP(D6409,Товары!A:I,3,0)</f>
        <v>Тумба с раковиной  навес. Леон 800 форест 2 ящика с умыв. Слим</v>
      </c>
      <c r="H6409">
        <f>VLOOKUP(D6409,Товары!A:I,6,0)</f>
        <v>60</v>
      </c>
      <c r="I6409" t="str">
        <f>VLOOKUP(C6409,Магазины!A:C,3,0)</f>
        <v>Кемерово</v>
      </c>
      <c r="J6409">
        <f>VLOOKUP(D6409,Товары!A:I,4,0)</f>
        <v>27930</v>
      </c>
      <c r="K6409">
        <f t="shared" si="100"/>
        <v>83790</v>
      </c>
    </row>
    <row r="6410" spans="1:11" hidden="1" x14ac:dyDescent="0.25">
      <c r="A6410">
        <v>6409</v>
      </c>
      <c r="B6410" s="1">
        <v>45754</v>
      </c>
      <c r="C6410" t="s">
        <v>103</v>
      </c>
      <c r="D6410" t="s">
        <v>56</v>
      </c>
      <c r="E6410" t="s">
        <v>13</v>
      </c>
      <c r="F6410">
        <v>1</v>
      </c>
      <c r="G6410" t="str">
        <f>VLOOKUP(D6410,Товары!A:I,3,0)</f>
        <v>Зеркальный шкаф Альба 80 со светильником правый цвет мята</v>
      </c>
      <c r="H6410">
        <f>VLOOKUP(D6410,Товары!A:I,6,0)</f>
        <v>75</v>
      </c>
      <c r="I6410" t="str">
        <f>VLOOKUP(C6410,Магазины!A:C,3,0)</f>
        <v>Ставрополь</v>
      </c>
      <c r="J6410">
        <f>VLOOKUP(D6410,Товары!A:I,4,0)</f>
        <v>9930</v>
      </c>
      <c r="K6410">
        <f t="shared" si="100"/>
        <v>9930</v>
      </c>
    </row>
    <row r="6411" spans="1:11" hidden="1" x14ac:dyDescent="0.25">
      <c r="A6411">
        <v>6410</v>
      </c>
      <c r="B6411" s="1">
        <v>45751</v>
      </c>
      <c r="C6411" t="s">
        <v>63</v>
      </c>
      <c r="D6411" t="s">
        <v>39</v>
      </c>
      <c r="E6411" t="s">
        <v>13</v>
      </c>
      <c r="F6411">
        <v>2</v>
      </c>
      <c r="G6411" t="str">
        <f>VLOOKUP(D6411,Товары!A:I,3,0)</f>
        <v>Тумба с раковиной  напол. Альба 700 мята 2 ящика с умыв. Слим</v>
      </c>
      <c r="H6411">
        <f>VLOOKUP(D6411,Товары!A:I,6,0)</f>
        <v>85</v>
      </c>
      <c r="I6411" t="str">
        <f>VLOOKUP(C6411,Магазины!A:C,3,0)</f>
        <v>Ставрополь</v>
      </c>
      <c r="J6411">
        <f>VLOOKUP(D6411,Товары!A:I,4,0)</f>
        <v>28695</v>
      </c>
      <c r="K6411">
        <f t="shared" si="100"/>
        <v>57390</v>
      </c>
    </row>
    <row r="6412" spans="1:11" hidden="1" x14ac:dyDescent="0.25">
      <c r="A6412">
        <v>6411</v>
      </c>
      <c r="B6412" s="1">
        <v>45748</v>
      </c>
      <c r="C6412" t="s">
        <v>28</v>
      </c>
      <c r="D6412" t="s">
        <v>101</v>
      </c>
      <c r="E6412" t="s">
        <v>8</v>
      </c>
      <c r="F6412">
        <v>1</v>
      </c>
      <c r="G6412" t="str">
        <f>VLOOKUP(D6412,Товары!A:I,3,0)</f>
        <v>Пенал напол. Сохо 400 белый 2 двери + 1 ящик</v>
      </c>
      <c r="H6412">
        <f>VLOOKUP(D6412,Товары!A:I,6,0)</f>
        <v>190</v>
      </c>
      <c r="I6412" t="str">
        <f>VLOOKUP(C6412,Магазины!A:C,3,0)</f>
        <v>Набережные Челны</v>
      </c>
      <c r="J6412">
        <f>VLOOKUP(D6412,Товары!A:I,4,0)</f>
        <v>11040</v>
      </c>
      <c r="K6412">
        <f t="shared" si="100"/>
        <v>11040</v>
      </c>
    </row>
    <row r="6413" spans="1:11" hidden="1" x14ac:dyDescent="0.25">
      <c r="A6413">
        <v>6412</v>
      </c>
      <c r="B6413" s="1">
        <v>45752</v>
      </c>
      <c r="C6413" t="s">
        <v>63</v>
      </c>
      <c r="D6413" t="s">
        <v>79</v>
      </c>
      <c r="E6413" t="s">
        <v>13</v>
      </c>
      <c r="F6413">
        <v>1</v>
      </c>
      <c r="G6413" t="str">
        <f>VLOOKUP(D6413,Товары!A:I,3,0)</f>
        <v>Зеркальный шкаф Альба 70 со светильником правый цвет мята</v>
      </c>
      <c r="H6413">
        <f>VLOOKUP(D6413,Товары!A:I,6,0)</f>
        <v>75</v>
      </c>
      <c r="I6413" t="str">
        <f>VLOOKUP(C6413,Магазины!A:C,3,0)</f>
        <v>Ставрополь</v>
      </c>
      <c r="J6413">
        <f>VLOOKUP(D6413,Товары!A:I,4,0)</f>
        <v>9615</v>
      </c>
      <c r="K6413">
        <f t="shared" si="100"/>
        <v>9615</v>
      </c>
    </row>
    <row r="6414" spans="1:11" hidden="1" x14ac:dyDescent="0.25">
      <c r="A6414">
        <v>6413</v>
      </c>
      <c r="B6414" s="1">
        <v>45753</v>
      </c>
      <c r="C6414" t="s">
        <v>58</v>
      </c>
      <c r="D6414" t="s">
        <v>99</v>
      </c>
      <c r="E6414" t="s">
        <v>13</v>
      </c>
      <c r="F6414">
        <v>1</v>
      </c>
      <c r="G6414" t="str">
        <f>VLOOKUP(D6414,Товары!A:I,3,0)</f>
        <v>Тумба с раковиной  навес. Леон 600 оникс 2 ящика с умыв. Слим</v>
      </c>
      <c r="H6414">
        <f>VLOOKUP(D6414,Товары!A:I,6,0)</f>
        <v>60</v>
      </c>
      <c r="I6414" t="str">
        <f>VLOOKUP(C6414,Магазины!A:C,3,0)</f>
        <v>Ставрополь</v>
      </c>
      <c r="J6414">
        <f>VLOOKUP(D6414,Товары!A:I,4,0)</f>
        <v>25125</v>
      </c>
      <c r="K6414">
        <f t="shared" si="100"/>
        <v>25125</v>
      </c>
    </row>
    <row r="6415" spans="1:11" hidden="1" x14ac:dyDescent="0.25">
      <c r="A6415">
        <v>6414</v>
      </c>
      <c r="B6415" s="1">
        <v>45753</v>
      </c>
      <c r="C6415" t="s">
        <v>28</v>
      </c>
      <c r="D6415" t="s">
        <v>69</v>
      </c>
      <c r="E6415" t="s">
        <v>8</v>
      </c>
      <c r="F6415">
        <v>1</v>
      </c>
      <c r="G6415" t="str">
        <f>VLOOKUP(D6415,Товары!A:I,3,0)</f>
        <v>Пенал навес./напол. Альба 350 антрацит 2 двери</v>
      </c>
      <c r="H6415">
        <f>VLOOKUP(D6415,Товары!A:I,6,0)</f>
        <v>150</v>
      </c>
      <c r="I6415" t="str">
        <f>VLOOKUP(C6415,Магазины!A:C,3,0)</f>
        <v>Набережные Челны</v>
      </c>
      <c r="J6415">
        <f>VLOOKUP(D6415,Товары!A:I,4,0)</f>
        <v>11655</v>
      </c>
      <c r="K6415">
        <f t="shared" si="100"/>
        <v>11655</v>
      </c>
    </row>
    <row r="6416" spans="1:11" hidden="1" x14ac:dyDescent="0.25">
      <c r="A6416">
        <v>6415</v>
      </c>
      <c r="B6416" s="1">
        <v>45756</v>
      </c>
      <c r="C6416" t="s">
        <v>11</v>
      </c>
      <c r="D6416" t="s">
        <v>75</v>
      </c>
      <c r="E6416" t="s">
        <v>8</v>
      </c>
      <c r="F6416">
        <v>1</v>
      </c>
      <c r="G6416" t="str">
        <f>VLOOKUP(D6416,Товары!A:I,3,0)</f>
        <v>Тумба с раковиной  напол. Альба 600 суфле 2 ящика с умыв. Океан</v>
      </c>
      <c r="H6416">
        <f>VLOOKUP(D6416,Товары!A:I,6,0)</f>
        <v>80</v>
      </c>
      <c r="I6416" t="str">
        <f>VLOOKUP(C6416,Магазины!A:C,3,0)</f>
        <v>Кемерово</v>
      </c>
      <c r="J6416">
        <f>VLOOKUP(D6416,Товары!A:I,4,0)</f>
        <v>26370</v>
      </c>
      <c r="K6416">
        <f t="shared" si="100"/>
        <v>26370</v>
      </c>
    </row>
    <row r="6417" spans="1:11" hidden="1" x14ac:dyDescent="0.25">
      <c r="A6417">
        <v>6416</v>
      </c>
      <c r="B6417" s="1">
        <v>45755</v>
      </c>
      <c r="C6417" t="s">
        <v>11</v>
      </c>
      <c r="D6417" t="s">
        <v>70</v>
      </c>
      <c r="E6417" t="s">
        <v>8</v>
      </c>
      <c r="F6417">
        <v>2</v>
      </c>
      <c r="G6417" t="str">
        <f>VLOOKUP(D6417,Товары!A:I,3,0)</f>
        <v>Тумба с раковиной  напол. Кристалл 700 шато азур 2 ящика с умыв. Слим</v>
      </c>
      <c r="H6417">
        <f>VLOOKUP(D6417,Товары!A:I,6,0)</f>
        <v>85</v>
      </c>
      <c r="I6417" t="str">
        <f>VLOOKUP(C6417,Магазины!A:C,3,0)</f>
        <v>Кемерово</v>
      </c>
      <c r="J6417">
        <f>VLOOKUP(D6417,Товары!A:I,4,0)</f>
        <v>29910</v>
      </c>
      <c r="K6417">
        <f t="shared" si="100"/>
        <v>59820</v>
      </c>
    </row>
    <row r="6418" spans="1:11" hidden="1" x14ac:dyDescent="0.25">
      <c r="A6418">
        <v>6417</v>
      </c>
      <c r="B6418" s="1">
        <v>45749</v>
      </c>
      <c r="C6418" t="s">
        <v>6</v>
      </c>
      <c r="D6418" t="s">
        <v>104</v>
      </c>
      <c r="E6418" t="s">
        <v>13</v>
      </c>
      <c r="F6418">
        <v>2</v>
      </c>
      <c r="G6418" t="str">
        <f>VLOOKUP(D6418,Товары!A:I,3,0)</f>
        <v>Тумба под стиральную машину Куба Риф 57 подвесная 2 ящика под ст/маш, без умывальника /под Marshall 120 Белый</v>
      </c>
      <c r="H6418">
        <f>VLOOKUP(D6418,Товары!A:I,6,0)</f>
        <v>50</v>
      </c>
      <c r="I6418" t="str">
        <f>VLOOKUP(C6418,Магазины!A:C,3,0)</f>
        <v>Оренбург</v>
      </c>
      <c r="J6418">
        <f>VLOOKUP(D6418,Товары!A:I,4,0)</f>
        <v>8505</v>
      </c>
      <c r="K6418">
        <f t="shared" si="100"/>
        <v>17010</v>
      </c>
    </row>
    <row r="6419" spans="1:11" hidden="1" x14ac:dyDescent="0.25">
      <c r="A6419">
        <v>6418</v>
      </c>
      <c r="B6419" s="1">
        <v>45752</v>
      </c>
      <c r="C6419" t="s">
        <v>33</v>
      </c>
      <c r="D6419" t="s">
        <v>106</v>
      </c>
      <c r="E6419" t="s">
        <v>13</v>
      </c>
      <c r="F6419">
        <v>3</v>
      </c>
      <c r="G6419" t="str">
        <f>VLOOKUP(D6419,Товары!A:I,3,0)</f>
        <v>Тумба с раковиной  навес. Кристалл 700 шато азур 2 ящика с умыв. Слим</v>
      </c>
      <c r="H6419">
        <f>VLOOKUP(D6419,Товары!A:I,6,0)</f>
        <v>60</v>
      </c>
      <c r="I6419" t="str">
        <f>VLOOKUP(C6419,Магазины!A:C,3,0)</f>
        <v>Набережные Челны</v>
      </c>
      <c r="J6419">
        <f>VLOOKUP(D6419,Товары!A:I,4,0)</f>
        <v>24150</v>
      </c>
      <c r="K6419">
        <f t="shared" si="100"/>
        <v>72450</v>
      </c>
    </row>
    <row r="6420" spans="1:11" hidden="1" x14ac:dyDescent="0.25">
      <c r="A6420">
        <v>6419</v>
      </c>
      <c r="B6420" s="1">
        <v>45755</v>
      </c>
      <c r="C6420" t="s">
        <v>92</v>
      </c>
      <c r="D6420" t="s">
        <v>112</v>
      </c>
      <c r="E6420" t="s">
        <v>13</v>
      </c>
      <c r="F6420">
        <v>3</v>
      </c>
      <c r="G6420" t="str">
        <f>VLOOKUP(D6420,Товары!A:I,3,0)</f>
        <v>Тумба с раковиной  напол. Аква 560 белый 2 двери с умыв. Уют</v>
      </c>
      <c r="H6420">
        <f>VLOOKUP(D6420,Товары!A:I,6,0)</f>
        <v>85</v>
      </c>
      <c r="I6420" t="str">
        <f>VLOOKUP(C6420,Магазины!A:C,3,0)</f>
        <v>Кемерово</v>
      </c>
      <c r="J6420">
        <f>VLOOKUP(D6420,Товары!A:I,4,0)</f>
        <v>9330</v>
      </c>
      <c r="K6420">
        <f t="shared" si="100"/>
        <v>27990</v>
      </c>
    </row>
    <row r="6421" spans="1:11" hidden="1" x14ac:dyDescent="0.25">
      <c r="A6421">
        <v>6420</v>
      </c>
      <c r="B6421" s="1">
        <v>45753</v>
      </c>
      <c r="C6421" t="s">
        <v>35</v>
      </c>
      <c r="D6421" t="s">
        <v>124</v>
      </c>
      <c r="E6421" t="s">
        <v>8</v>
      </c>
      <c r="F6421">
        <v>3</v>
      </c>
      <c r="G6421" t="str">
        <f>VLOOKUP(D6421,Товары!A:I,3,0)</f>
        <v>Тумба с раковиной  напол. Леон 600 оникс 2 ящика с умыв. Океан</v>
      </c>
      <c r="H6421">
        <f>VLOOKUP(D6421,Товары!A:I,6,0)</f>
        <v>80</v>
      </c>
      <c r="I6421" t="str">
        <f>VLOOKUP(C6421,Магазины!A:C,3,0)</f>
        <v>Набережные Челны</v>
      </c>
      <c r="J6421">
        <f>VLOOKUP(D6421,Товары!A:I,4,0)</f>
        <v>25860</v>
      </c>
      <c r="K6421">
        <f t="shared" si="100"/>
        <v>77580</v>
      </c>
    </row>
    <row r="6422" spans="1:11" hidden="1" x14ac:dyDescent="0.25">
      <c r="A6422">
        <v>6421</v>
      </c>
      <c r="B6422" s="1">
        <v>45751</v>
      </c>
      <c r="C6422" t="s">
        <v>30</v>
      </c>
      <c r="D6422" t="s">
        <v>69</v>
      </c>
      <c r="E6422" t="s">
        <v>8</v>
      </c>
      <c r="F6422">
        <v>1</v>
      </c>
      <c r="G6422" t="str">
        <f>VLOOKUP(D6422,Товары!A:I,3,0)</f>
        <v>Пенал навес./напол. Альба 350 антрацит 2 двери</v>
      </c>
      <c r="H6422">
        <f>VLOOKUP(D6422,Товары!A:I,6,0)</f>
        <v>150</v>
      </c>
      <c r="I6422" t="str">
        <f>VLOOKUP(C6422,Магазины!A:C,3,0)</f>
        <v>Кемерово</v>
      </c>
      <c r="J6422">
        <f>VLOOKUP(D6422,Товары!A:I,4,0)</f>
        <v>11655</v>
      </c>
      <c r="K6422">
        <f t="shared" si="100"/>
        <v>11655</v>
      </c>
    </row>
    <row r="6423" spans="1:11" hidden="1" x14ac:dyDescent="0.25">
      <c r="A6423">
        <v>6422</v>
      </c>
      <c r="B6423" s="1">
        <v>45755</v>
      </c>
      <c r="C6423" t="s">
        <v>11</v>
      </c>
      <c r="D6423" t="s">
        <v>15</v>
      </c>
      <c r="E6423" t="s">
        <v>8</v>
      </c>
      <c r="F6423">
        <v>3</v>
      </c>
      <c r="G6423" t="str">
        <f>VLOOKUP(D6423,Товары!A:I,3,0)</f>
        <v>Зеркальный шкаф Кристалл 60 со светильником правый, ручка кнопка дуб цвет Шато Азур</v>
      </c>
      <c r="H6423">
        <f>VLOOKUP(D6423,Товары!A:I,6,0)</f>
        <v>75</v>
      </c>
      <c r="I6423" t="str">
        <f>VLOOKUP(C6423,Магазины!A:C,3,0)</f>
        <v>Кемерово</v>
      </c>
      <c r="J6423">
        <f>VLOOKUP(D6423,Товары!A:I,4,0)</f>
        <v>9195</v>
      </c>
      <c r="K6423">
        <f t="shared" si="100"/>
        <v>27585</v>
      </c>
    </row>
    <row r="6424" spans="1:11" hidden="1" x14ac:dyDescent="0.25">
      <c r="A6424">
        <v>6423</v>
      </c>
      <c r="B6424" s="1">
        <v>45750</v>
      </c>
      <c r="C6424" t="s">
        <v>11</v>
      </c>
      <c r="D6424" t="s">
        <v>100</v>
      </c>
      <c r="E6424" t="s">
        <v>8</v>
      </c>
      <c r="F6424">
        <v>3</v>
      </c>
      <c r="G6424" t="str">
        <f>VLOOKUP(D6424,Товары!A:I,3,0)</f>
        <v>Тумба с раковиной  навес. Альба 800 мята 1 ящик с умыв. Слим</v>
      </c>
      <c r="H6424">
        <f>VLOOKUP(D6424,Товары!A:I,6,0)</f>
        <v>45</v>
      </c>
      <c r="I6424" t="str">
        <f>VLOOKUP(C6424,Магазины!A:C,3,0)</f>
        <v>Кемерово</v>
      </c>
      <c r="J6424">
        <f>VLOOKUP(D6424,Товары!A:I,4,0)</f>
        <v>21630</v>
      </c>
      <c r="K6424">
        <f t="shared" si="100"/>
        <v>64890</v>
      </c>
    </row>
    <row r="6425" spans="1:11" hidden="1" x14ac:dyDescent="0.25">
      <c r="A6425">
        <v>6424</v>
      </c>
      <c r="B6425" s="1">
        <v>45753</v>
      </c>
      <c r="C6425" t="s">
        <v>28</v>
      </c>
      <c r="D6425" t="s">
        <v>15</v>
      </c>
      <c r="E6425" t="s">
        <v>8</v>
      </c>
      <c r="F6425">
        <v>3</v>
      </c>
      <c r="G6425" t="str">
        <f>VLOOKUP(D6425,Товары!A:I,3,0)</f>
        <v>Зеркальный шкаф Кристалл 60 со светильником правый, ручка кнопка дуб цвет Шато Азур</v>
      </c>
      <c r="H6425">
        <f>VLOOKUP(D6425,Товары!A:I,6,0)</f>
        <v>75</v>
      </c>
      <c r="I6425" t="str">
        <f>VLOOKUP(C6425,Магазины!A:C,3,0)</f>
        <v>Набережные Челны</v>
      </c>
      <c r="J6425">
        <f>VLOOKUP(D6425,Товары!A:I,4,0)</f>
        <v>9195</v>
      </c>
      <c r="K6425">
        <f t="shared" si="100"/>
        <v>27585</v>
      </c>
    </row>
    <row r="6426" spans="1:11" hidden="1" x14ac:dyDescent="0.25">
      <c r="A6426">
        <v>6425</v>
      </c>
      <c r="B6426" s="1">
        <v>45749</v>
      </c>
      <c r="C6426" t="s">
        <v>35</v>
      </c>
      <c r="D6426" t="s">
        <v>105</v>
      </c>
      <c r="E6426" t="s">
        <v>13</v>
      </c>
      <c r="F6426">
        <v>1</v>
      </c>
      <c r="G6426" t="str">
        <f>VLOOKUP(D6426,Товары!A:I,3,0)</f>
        <v>Тумба с раковиной  напол. Нева 600 белый 2 двери + 1 ящик с умыв. Como</v>
      </c>
      <c r="H6426">
        <f>VLOOKUP(D6426,Товары!A:I,6,0)</f>
        <v>80</v>
      </c>
      <c r="I6426" t="str">
        <f>VLOOKUP(C6426,Магазины!A:C,3,0)</f>
        <v>Набережные Челны</v>
      </c>
      <c r="J6426">
        <f>VLOOKUP(D6426,Товары!A:I,4,0)</f>
        <v>13470</v>
      </c>
      <c r="K6426">
        <f t="shared" si="100"/>
        <v>13470</v>
      </c>
    </row>
    <row r="6427" spans="1:11" hidden="1" x14ac:dyDescent="0.25">
      <c r="A6427">
        <v>6426</v>
      </c>
      <c r="B6427" s="1">
        <v>45749</v>
      </c>
      <c r="C6427" t="s">
        <v>26</v>
      </c>
      <c r="D6427" t="s">
        <v>105</v>
      </c>
      <c r="E6427" t="s">
        <v>8</v>
      </c>
      <c r="F6427">
        <v>3</v>
      </c>
      <c r="G6427" t="str">
        <f>VLOOKUP(D6427,Товары!A:I,3,0)</f>
        <v>Тумба с раковиной  напол. Нева 600 белый 2 двери + 1 ящик с умыв. Como</v>
      </c>
      <c r="H6427">
        <f>VLOOKUP(D6427,Товары!A:I,6,0)</f>
        <v>80</v>
      </c>
      <c r="I6427" t="str">
        <f>VLOOKUP(C6427,Магазины!A:C,3,0)</f>
        <v>Оренбург</v>
      </c>
      <c r="J6427">
        <f>VLOOKUP(D6427,Товары!A:I,4,0)</f>
        <v>13470</v>
      </c>
      <c r="K6427">
        <f t="shared" si="100"/>
        <v>40410</v>
      </c>
    </row>
    <row r="6428" spans="1:11" hidden="1" x14ac:dyDescent="0.25">
      <c r="A6428">
        <v>6427</v>
      </c>
      <c r="B6428" s="1">
        <v>45750</v>
      </c>
      <c r="C6428" t="s">
        <v>28</v>
      </c>
      <c r="D6428" t="s">
        <v>108</v>
      </c>
      <c r="E6428" t="s">
        <v>13</v>
      </c>
      <c r="F6428">
        <v>2</v>
      </c>
      <c r="G6428" t="str">
        <f>VLOOKUP(D6428,Товары!A:I,3,0)</f>
        <v>Тумба с раковиной  навес. Виктория 1000 белый 2 ящика с умыв. Слим</v>
      </c>
      <c r="H6428">
        <f>VLOOKUP(D6428,Товары!A:I,6,0)</f>
        <v>60</v>
      </c>
      <c r="I6428" t="str">
        <f>VLOOKUP(C6428,Магазины!A:C,3,0)</f>
        <v>Набережные Челны</v>
      </c>
      <c r="J6428">
        <f>VLOOKUP(D6428,Товары!A:I,4,0)</f>
        <v>29205</v>
      </c>
      <c r="K6428">
        <f t="shared" si="100"/>
        <v>58410</v>
      </c>
    </row>
    <row r="6429" spans="1:11" hidden="1" x14ac:dyDescent="0.25">
      <c r="A6429">
        <v>6428</v>
      </c>
      <c r="B6429" s="1">
        <v>45748</v>
      </c>
      <c r="C6429" t="s">
        <v>58</v>
      </c>
      <c r="D6429" t="s">
        <v>116</v>
      </c>
      <c r="E6429" t="s">
        <v>8</v>
      </c>
      <c r="F6429">
        <v>2</v>
      </c>
      <c r="G6429" t="str">
        <f>VLOOKUP(D6429,Товары!A:I,3,0)</f>
        <v>Зеркало Нева 60 дуб/белый со светильником</v>
      </c>
      <c r="H6429">
        <f>VLOOKUP(D6429,Товары!A:I,6,0)</f>
        <v>80</v>
      </c>
      <c r="I6429" t="str">
        <f>VLOOKUP(C6429,Магазины!A:C,3,0)</f>
        <v>Ставрополь</v>
      </c>
      <c r="J6429">
        <f>VLOOKUP(D6429,Товары!A:I,4,0)</f>
        <v>5100</v>
      </c>
      <c r="K6429">
        <f t="shared" si="100"/>
        <v>10200</v>
      </c>
    </row>
    <row r="6430" spans="1:11" hidden="1" x14ac:dyDescent="0.25">
      <c r="A6430">
        <v>6429</v>
      </c>
      <c r="B6430" s="1">
        <v>45751</v>
      </c>
      <c r="C6430" t="s">
        <v>9</v>
      </c>
      <c r="D6430" t="s">
        <v>68</v>
      </c>
      <c r="E6430" t="s">
        <v>8</v>
      </c>
      <c r="F6430">
        <v>1</v>
      </c>
      <c r="G6430" t="str">
        <f>VLOOKUP(D6430,Товары!A:I,3,0)</f>
        <v>Тумба с раковиной  навес. Альба 600 антрацит 1 ящик с умыв. Океан</v>
      </c>
      <c r="H6430">
        <f>VLOOKUP(D6430,Товары!A:I,6,0)</f>
        <v>85</v>
      </c>
      <c r="I6430" t="str">
        <f>VLOOKUP(C6430,Магазины!A:C,3,0)</f>
        <v>Кемерово</v>
      </c>
      <c r="J6430">
        <f>VLOOKUP(D6430,Товары!A:I,4,0)</f>
        <v>17625</v>
      </c>
      <c r="K6430">
        <f t="shared" si="100"/>
        <v>17625</v>
      </c>
    </row>
    <row r="6431" spans="1:11" hidden="1" x14ac:dyDescent="0.25">
      <c r="A6431">
        <v>6430</v>
      </c>
      <c r="B6431" s="1">
        <v>45755</v>
      </c>
      <c r="C6431" t="s">
        <v>41</v>
      </c>
      <c r="D6431" t="s">
        <v>51</v>
      </c>
      <c r="E6431" t="s">
        <v>8</v>
      </c>
      <c r="F6431">
        <v>3</v>
      </c>
      <c r="G6431" t="str">
        <f>VLOOKUP(D6431,Товары!A:I,3,0)</f>
        <v>Зеркальный шкаф Альба 80 со светильником правый цвет суфле</v>
      </c>
      <c r="H6431">
        <f>VLOOKUP(D6431,Товары!A:I,6,0)</f>
        <v>75</v>
      </c>
      <c r="I6431" t="str">
        <f>VLOOKUP(C6431,Магазины!A:C,3,0)</f>
        <v>Ставрополь</v>
      </c>
      <c r="J6431">
        <f>VLOOKUP(D6431,Товары!A:I,4,0)</f>
        <v>9930</v>
      </c>
      <c r="K6431">
        <f t="shared" si="100"/>
        <v>29790</v>
      </c>
    </row>
    <row r="6432" spans="1:11" hidden="1" x14ac:dyDescent="0.25">
      <c r="A6432">
        <v>6431</v>
      </c>
      <c r="B6432" s="1">
        <v>45757</v>
      </c>
      <c r="C6432" t="s">
        <v>54</v>
      </c>
      <c r="D6432" t="s">
        <v>51</v>
      </c>
      <c r="E6432" t="s">
        <v>13</v>
      </c>
      <c r="F6432">
        <v>2</v>
      </c>
      <c r="G6432" t="str">
        <f>VLOOKUP(D6432,Товары!A:I,3,0)</f>
        <v>Зеркальный шкаф Альба 80 со светильником правый цвет суфле</v>
      </c>
      <c r="H6432">
        <f>VLOOKUP(D6432,Товары!A:I,6,0)</f>
        <v>75</v>
      </c>
      <c r="I6432" t="str">
        <f>VLOOKUP(C6432,Магазины!A:C,3,0)</f>
        <v>Ставрополь</v>
      </c>
      <c r="J6432">
        <f>VLOOKUP(D6432,Товары!A:I,4,0)</f>
        <v>9930</v>
      </c>
      <c r="K6432">
        <f t="shared" si="100"/>
        <v>19860</v>
      </c>
    </row>
    <row r="6433" spans="1:11" hidden="1" x14ac:dyDescent="0.25">
      <c r="A6433">
        <v>6432</v>
      </c>
      <c r="B6433" s="1">
        <v>45756</v>
      </c>
      <c r="C6433" t="s">
        <v>111</v>
      </c>
      <c r="D6433" t="s">
        <v>32</v>
      </c>
      <c r="E6433" t="s">
        <v>13</v>
      </c>
      <c r="F6433">
        <v>3</v>
      </c>
      <c r="G6433" t="str">
        <f>VLOOKUP(D6433,Товары!A:I,3,0)</f>
        <v>Тумба с раковиной  напол. Леон Риф 700 солярис/белый риф 2 ящика с умыв. Слим</v>
      </c>
      <c r="H6433">
        <f>VLOOKUP(D6433,Товары!A:I,6,0)</f>
        <v>85</v>
      </c>
      <c r="I6433" t="str">
        <f>VLOOKUP(C6433,Магазины!A:C,3,0)</f>
        <v>Набережные Челны</v>
      </c>
      <c r="J6433">
        <f>VLOOKUP(D6433,Товары!A:I,4,0)</f>
        <v>26460</v>
      </c>
      <c r="K6433">
        <f t="shared" si="100"/>
        <v>79380</v>
      </c>
    </row>
    <row r="6434" spans="1:11" hidden="1" x14ac:dyDescent="0.25">
      <c r="A6434">
        <v>6433</v>
      </c>
      <c r="B6434" s="1">
        <v>45749</v>
      </c>
      <c r="C6434" t="s">
        <v>111</v>
      </c>
      <c r="D6434" t="s">
        <v>34</v>
      </c>
      <c r="E6434" t="s">
        <v>8</v>
      </c>
      <c r="F6434">
        <v>2</v>
      </c>
      <c r="G6434" t="str">
        <f>VLOOKUP(D6434,Товары!A:I,3,0)</f>
        <v>Тумба с раковиной  навес. Леон 700 форест 2 ящика с умыв. Слим</v>
      </c>
      <c r="H6434">
        <f>VLOOKUP(D6434,Товары!A:I,6,0)</f>
        <v>60</v>
      </c>
      <c r="I6434" t="str">
        <f>VLOOKUP(C6434,Магазины!A:C,3,0)</f>
        <v>Набережные Челны</v>
      </c>
      <c r="J6434">
        <f>VLOOKUP(D6434,Товары!A:I,4,0)</f>
        <v>26220</v>
      </c>
      <c r="K6434">
        <f t="shared" si="100"/>
        <v>52440</v>
      </c>
    </row>
    <row r="6435" spans="1:11" hidden="1" x14ac:dyDescent="0.25">
      <c r="A6435">
        <v>6434</v>
      </c>
      <c r="B6435" s="1">
        <v>45755</v>
      </c>
      <c r="C6435" t="s">
        <v>9</v>
      </c>
      <c r="D6435" t="s">
        <v>72</v>
      </c>
      <c r="E6435" t="s">
        <v>8</v>
      </c>
      <c r="F6435">
        <v>3</v>
      </c>
      <c r="G6435" t="str">
        <f>VLOOKUP(D6435,Товары!A:I,3,0)</f>
        <v>Тумба с раковиной  напол. Сохо 600 белый 2 ящика с умыв. Океан</v>
      </c>
      <c r="H6435">
        <f>VLOOKUP(D6435,Товары!A:I,6,0)</f>
        <v>85</v>
      </c>
      <c r="I6435" t="str">
        <f>VLOOKUP(C6435,Магазины!A:C,3,0)</f>
        <v>Кемерово</v>
      </c>
      <c r="J6435">
        <f>VLOOKUP(D6435,Товары!A:I,4,0)</f>
        <v>16140</v>
      </c>
      <c r="K6435">
        <f t="shared" si="100"/>
        <v>48420</v>
      </c>
    </row>
    <row r="6436" spans="1:11" hidden="1" x14ac:dyDescent="0.25">
      <c r="A6436">
        <v>6435</v>
      </c>
      <c r="B6436" s="1">
        <v>45754</v>
      </c>
      <c r="C6436" t="s">
        <v>20</v>
      </c>
      <c r="D6436" t="s">
        <v>90</v>
      </c>
      <c r="E6436" t="s">
        <v>13</v>
      </c>
      <c r="F6436">
        <v>1</v>
      </c>
      <c r="G6436" t="str">
        <f>VLOOKUP(D6436,Товары!A:I,3,0)</f>
        <v>Пенал напол. Аква 350 белый 2 двери + 2 ящика</v>
      </c>
      <c r="H6436">
        <f>VLOOKUP(D6436,Товары!A:I,6,0)</f>
        <v>190</v>
      </c>
      <c r="I6436" t="str">
        <f>VLOOKUP(C6436,Магазины!A:C,3,0)</f>
        <v>Оренбург</v>
      </c>
      <c r="J6436">
        <f>VLOOKUP(D6436,Товары!A:I,4,0)</f>
        <v>10650</v>
      </c>
      <c r="K6436">
        <f t="shared" si="100"/>
        <v>10650</v>
      </c>
    </row>
    <row r="6437" spans="1:11" hidden="1" x14ac:dyDescent="0.25">
      <c r="A6437">
        <v>6436</v>
      </c>
      <c r="B6437" s="1">
        <v>45752</v>
      </c>
      <c r="C6437" t="s">
        <v>11</v>
      </c>
      <c r="D6437" t="s">
        <v>59</v>
      </c>
      <c r="E6437" t="s">
        <v>8</v>
      </c>
      <c r="F6437">
        <v>3</v>
      </c>
      <c r="G6437" t="str">
        <f>VLOOKUP(D6437,Товары!A:I,3,0)</f>
        <v>Тумба с раковиной  навес. Куба Риф 600 белый 2 ящика с умыв. Океан</v>
      </c>
      <c r="H6437">
        <f>VLOOKUP(D6437,Товары!A:I,6,0)</f>
        <v>55</v>
      </c>
      <c r="I6437" t="str">
        <f>VLOOKUP(C6437,Магазины!A:C,3,0)</f>
        <v>Кемерово</v>
      </c>
      <c r="J6437">
        <f>VLOOKUP(D6437,Товары!A:I,4,0)</f>
        <v>15765</v>
      </c>
      <c r="K6437">
        <f t="shared" si="100"/>
        <v>47295</v>
      </c>
    </row>
    <row r="6438" spans="1:11" hidden="1" x14ac:dyDescent="0.25">
      <c r="A6438">
        <v>6437</v>
      </c>
      <c r="B6438" s="1">
        <v>45748</v>
      </c>
      <c r="C6438" t="s">
        <v>6</v>
      </c>
      <c r="D6438" t="s">
        <v>24</v>
      </c>
      <c r="E6438" t="s">
        <v>8</v>
      </c>
      <c r="F6438">
        <v>2</v>
      </c>
      <c r="G6438" t="str">
        <f>VLOOKUP(D6438,Товары!A:I,3,0)</f>
        <v>Тумба с раковиной  напол. Леон 600 форест 2 ящика с умыв. Слим</v>
      </c>
      <c r="H6438">
        <f>VLOOKUP(D6438,Товары!A:I,6,0)</f>
        <v>80</v>
      </c>
      <c r="I6438" t="str">
        <f>VLOOKUP(C6438,Магазины!A:C,3,0)</f>
        <v>Оренбург</v>
      </c>
      <c r="J6438">
        <f>VLOOKUP(D6438,Товары!A:I,4,0)</f>
        <v>27150</v>
      </c>
      <c r="K6438">
        <f t="shared" si="100"/>
        <v>54300</v>
      </c>
    </row>
    <row r="6439" spans="1:11" hidden="1" x14ac:dyDescent="0.25">
      <c r="A6439">
        <v>6438</v>
      </c>
      <c r="B6439" s="1">
        <v>45752</v>
      </c>
      <c r="C6439" t="s">
        <v>14</v>
      </c>
      <c r="D6439" t="s">
        <v>50</v>
      </c>
      <c r="E6439" t="s">
        <v>8</v>
      </c>
      <c r="F6439">
        <v>1</v>
      </c>
      <c r="G6439" t="str">
        <f>VLOOKUP(D6439,Товары!A:I,3,0)</f>
        <v>Тумба с раковиной  напол. Леон 800 оникс 2 ящика с умыв. Слим</v>
      </c>
      <c r="H6439">
        <f>VLOOKUP(D6439,Товары!A:I,6,0)</f>
        <v>80</v>
      </c>
      <c r="I6439" t="str">
        <f>VLOOKUP(C6439,Магазины!A:C,3,0)</f>
        <v>Оренбург</v>
      </c>
      <c r="J6439">
        <f>VLOOKUP(D6439,Товары!A:I,4,0)</f>
        <v>29400</v>
      </c>
      <c r="K6439">
        <f t="shared" si="100"/>
        <v>29400</v>
      </c>
    </row>
    <row r="6440" spans="1:11" hidden="1" x14ac:dyDescent="0.25">
      <c r="A6440">
        <v>6439</v>
      </c>
      <c r="B6440" s="1">
        <v>45754</v>
      </c>
      <c r="C6440" t="s">
        <v>11</v>
      </c>
      <c r="D6440" t="s">
        <v>129</v>
      </c>
      <c r="E6440" t="s">
        <v>13</v>
      </c>
      <c r="F6440">
        <v>2</v>
      </c>
      <c r="G6440" t="str">
        <f>VLOOKUP(D6440,Товары!A:I,3,0)</f>
        <v>Тумба с раковиной  напол. Альба 700 антрацит 2 ящика с умыв. Слим</v>
      </c>
      <c r="H6440">
        <f>VLOOKUP(D6440,Товары!A:I,6,0)</f>
        <v>85</v>
      </c>
      <c r="I6440" t="str">
        <f>VLOOKUP(C6440,Магазины!A:C,3,0)</f>
        <v>Кемерово</v>
      </c>
      <c r="J6440">
        <f>VLOOKUP(D6440,Товары!A:I,4,0)</f>
        <v>28695</v>
      </c>
      <c r="K6440">
        <f t="shared" si="100"/>
        <v>57390</v>
      </c>
    </row>
    <row r="6441" spans="1:11" hidden="1" x14ac:dyDescent="0.25">
      <c r="A6441">
        <v>6440</v>
      </c>
      <c r="B6441" s="1">
        <v>45753</v>
      </c>
      <c r="C6441" t="s">
        <v>33</v>
      </c>
      <c r="D6441" t="s">
        <v>71</v>
      </c>
      <c r="E6441" t="s">
        <v>8</v>
      </c>
      <c r="F6441">
        <v>2</v>
      </c>
      <c r="G6441" t="str">
        <f>VLOOKUP(D6441,Товары!A:I,3,0)</f>
        <v>Тумба с раковиной  навес. Альба 600 мята 2 ящика с умыв. Океан</v>
      </c>
      <c r="H6441">
        <f>VLOOKUP(D6441,Товары!A:I,6,0)</f>
        <v>50</v>
      </c>
      <c r="I6441" t="str">
        <f>VLOOKUP(C6441,Магазины!A:C,3,0)</f>
        <v>Набережные Челны</v>
      </c>
      <c r="J6441">
        <f>VLOOKUP(D6441,Товары!A:I,4,0)</f>
        <v>24810</v>
      </c>
      <c r="K6441">
        <f t="shared" si="100"/>
        <v>49620</v>
      </c>
    </row>
    <row r="6442" spans="1:11" hidden="1" x14ac:dyDescent="0.25">
      <c r="A6442">
        <v>6441</v>
      </c>
      <c r="B6442" s="1">
        <v>45754</v>
      </c>
      <c r="C6442" t="s">
        <v>22</v>
      </c>
      <c r="D6442" t="s">
        <v>101</v>
      </c>
      <c r="E6442" t="s">
        <v>13</v>
      </c>
      <c r="F6442">
        <v>2</v>
      </c>
      <c r="G6442" t="str">
        <f>VLOOKUP(D6442,Товары!A:I,3,0)</f>
        <v>Пенал напол. Сохо 400 белый 2 двери + 1 ящик</v>
      </c>
      <c r="H6442">
        <f>VLOOKUP(D6442,Товары!A:I,6,0)</f>
        <v>190</v>
      </c>
      <c r="I6442" t="str">
        <f>VLOOKUP(C6442,Магазины!A:C,3,0)</f>
        <v>Кемерово</v>
      </c>
      <c r="J6442">
        <f>VLOOKUP(D6442,Товары!A:I,4,0)</f>
        <v>11040</v>
      </c>
      <c r="K6442">
        <f t="shared" si="100"/>
        <v>22080</v>
      </c>
    </row>
    <row r="6443" spans="1:11" hidden="1" x14ac:dyDescent="0.25">
      <c r="A6443">
        <v>6442</v>
      </c>
      <c r="B6443" s="1">
        <v>45748</v>
      </c>
      <c r="C6443" t="s">
        <v>54</v>
      </c>
      <c r="D6443" t="s">
        <v>37</v>
      </c>
      <c r="E6443" t="s">
        <v>13</v>
      </c>
      <c r="F6443">
        <v>3</v>
      </c>
      <c r="G6443" t="str">
        <f>VLOOKUP(D6443,Товары!A:I,3,0)</f>
        <v>Зеркальный шкаф Сохо 70 белый со светильником правый цвет Белый глянец</v>
      </c>
      <c r="H6443">
        <f>VLOOKUP(D6443,Товары!A:I,6,0)</f>
        <v>75</v>
      </c>
      <c r="I6443" t="str">
        <f>VLOOKUP(C6443,Магазины!A:C,3,0)</f>
        <v>Ставрополь</v>
      </c>
      <c r="J6443">
        <f>VLOOKUP(D6443,Товары!A:I,4,0)</f>
        <v>7935</v>
      </c>
      <c r="K6443">
        <f t="shared" si="100"/>
        <v>23805</v>
      </c>
    </row>
    <row r="6444" spans="1:11" hidden="1" x14ac:dyDescent="0.25">
      <c r="A6444">
        <v>6443</v>
      </c>
      <c r="B6444" s="1">
        <v>45750</v>
      </c>
      <c r="C6444" t="s">
        <v>103</v>
      </c>
      <c r="D6444" t="s">
        <v>34</v>
      </c>
      <c r="E6444" t="s">
        <v>8</v>
      </c>
      <c r="F6444">
        <v>2</v>
      </c>
      <c r="G6444" t="str">
        <f>VLOOKUP(D6444,Товары!A:I,3,0)</f>
        <v>Тумба с раковиной  навес. Леон 700 форест 2 ящика с умыв. Слим</v>
      </c>
      <c r="H6444">
        <f>VLOOKUP(D6444,Товары!A:I,6,0)</f>
        <v>60</v>
      </c>
      <c r="I6444" t="str">
        <f>VLOOKUP(C6444,Магазины!A:C,3,0)</f>
        <v>Ставрополь</v>
      </c>
      <c r="J6444">
        <f>VLOOKUP(D6444,Товары!A:I,4,0)</f>
        <v>26220</v>
      </c>
      <c r="K6444">
        <f t="shared" si="100"/>
        <v>52440</v>
      </c>
    </row>
    <row r="6445" spans="1:11" hidden="1" x14ac:dyDescent="0.25">
      <c r="A6445">
        <v>6444</v>
      </c>
      <c r="B6445" s="1">
        <v>45754</v>
      </c>
      <c r="C6445" t="s">
        <v>18</v>
      </c>
      <c r="D6445" t="s">
        <v>120</v>
      </c>
      <c r="E6445" t="s">
        <v>13</v>
      </c>
      <c r="F6445">
        <v>1</v>
      </c>
      <c r="G6445" t="str">
        <f>VLOOKUP(D6445,Товары!A:I,3,0)</f>
        <v>Зеркальный шкаф Альба 60 со светильником правый цвет антрацит</v>
      </c>
      <c r="H6445">
        <f>VLOOKUP(D6445,Товары!A:I,6,0)</f>
        <v>75</v>
      </c>
      <c r="I6445" t="str">
        <f>VLOOKUP(C6445,Магазины!A:C,3,0)</f>
        <v>Набережные Челны</v>
      </c>
      <c r="J6445">
        <f>VLOOKUP(D6445,Товары!A:I,4,0)</f>
        <v>8910</v>
      </c>
      <c r="K6445">
        <f t="shared" si="100"/>
        <v>8910</v>
      </c>
    </row>
    <row r="6446" spans="1:11" hidden="1" x14ac:dyDescent="0.25">
      <c r="A6446">
        <v>6445</v>
      </c>
      <c r="B6446" s="1">
        <v>45757</v>
      </c>
      <c r="C6446" t="s">
        <v>33</v>
      </c>
      <c r="D6446" t="s">
        <v>21</v>
      </c>
      <c r="E6446" t="s">
        <v>13</v>
      </c>
      <c r="F6446">
        <v>3</v>
      </c>
      <c r="G6446" t="str">
        <f>VLOOKUP(D6446,Товары!A:I,3,0)</f>
        <v>Зеркальный шкаф Рица 60 со светильником правый цвет cерый/керамика</v>
      </c>
      <c r="H6446">
        <f>VLOOKUP(D6446,Товары!A:I,6,0)</f>
        <v>75</v>
      </c>
      <c r="I6446" t="str">
        <f>VLOOKUP(C6446,Магазины!A:C,3,0)</f>
        <v>Набережные Челны</v>
      </c>
      <c r="J6446">
        <f>VLOOKUP(D6446,Товары!A:I,4,0)</f>
        <v>8910</v>
      </c>
      <c r="K6446">
        <f t="shared" si="100"/>
        <v>26730</v>
      </c>
    </row>
    <row r="6447" spans="1:11" hidden="1" x14ac:dyDescent="0.25">
      <c r="A6447">
        <v>6446</v>
      </c>
      <c r="B6447" s="1">
        <v>45750</v>
      </c>
      <c r="C6447" t="s">
        <v>58</v>
      </c>
      <c r="D6447" t="s">
        <v>94</v>
      </c>
      <c r="E6447" t="s">
        <v>13</v>
      </c>
      <c r="F6447">
        <v>1</v>
      </c>
      <c r="G6447" t="str">
        <f>VLOOKUP(D6447,Товары!A:I,3,0)</f>
        <v>Зеркальный шкаф Альба 80 со светильником правый цвет антрацит</v>
      </c>
      <c r="H6447">
        <f>VLOOKUP(D6447,Товары!A:I,6,0)</f>
        <v>75</v>
      </c>
      <c r="I6447" t="str">
        <f>VLOOKUP(C6447,Магазины!A:C,3,0)</f>
        <v>Ставрополь</v>
      </c>
      <c r="J6447">
        <f>VLOOKUP(D6447,Товары!A:I,4,0)</f>
        <v>9930</v>
      </c>
      <c r="K6447">
        <f t="shared" si="100"/>
        <v>9930</v>
      </c>
    </row>
    <row r="6448" spans="1:11" hidden="1" x14ac:dyDescent="0.25">
      <c r="A6448">
        <v>6447</v>
      </c>
      <c r="B6448" s="1">
        <v>45752</v>
      </c>
      <c r="C6448" t="s">
        <v>30</v>
      </c>
      <c r="D6448" t="s">
        <v>74</v>
      </c>
      <c r="E6448" t="s">
        <v>13</v>
      </c>
      <c r="F6448">
        <v>3</v>
      </c>
      <c r="G6448" t="str">
        <f>VLOOKUP(D6448,Товары!A:I,3,0)</f>
        <v>Тумба с раковиной  напол. Альба 800 суфле 2 ящика с умыв. Слим</v>
      </c>
      <c r="H6448">
        <f>VLOOKUP(D6448,Товары!A:I,6,0)</f>
        <v>80</v>
      </c>
      <c r="I6448" t="str">
        <f>VLOOKUP(C6448,Магазины!A:C,3,0)</f>
        <v>Кемерово</v>
      </c>
      <c r="J6448">
        <f>VLOOKUP(D6448,Товары!A:I,4,0)</f>
        <v>29340</v>
      </c>
      <c r="K6448">
        <f t="shared" si="100"/>
        <v>88020</v>
      </c>
    </row>
    <row r="6449" spans="1:11" hidden="1" x14ac:dyDescent="0.25">
      <c r="A6449">
        <v>6448</v>
      </c>
      <c r="B6449" s="1">
        <v>45748</v>
      </c>
      <c r="C6449" t="s">
        <v>43</v>
      </c>
      <c r="D6449" t="s">
        <v>12</v>
      </c>
      <c r="E6449" t="s">
        <v>8</v>
      </c>
      <c r="F6449">
        <v>2</v>
      </c>
      <c r="G6449" t="str">
        <f>VLOOKUP(D6449,Товары!A:I,3,0)</f>
        <v>Тумба с раковиной  напол. Сохо 700 белый 2 двери с умыв. Слим</v>
      </c>
      <c r="H6449">
        <f>VLOOKUP(D6449,Товары!A:I,6,0)</f>
        <v>85</v>
      </c>
      <c r="I6449" t="str">
        <f>VLOOKUP(C6449,Магазины!A:C,3,0)</f>
        <v>Набережные Челны</v>
      </c>
      <c r="J6449">
        <f>VLOOKUP(D6449,Товары!A:I,4,0)</f>
        <v>17160</v>
      </c>
      <c r="K6449">
        <f t="shared" si="100"/>
        <v>34320</v>
      </c>
    </row>
    <row r="6450" spans="1:11" hidden="1" x14ac:dyDescent="0.25">
      <c r="A6450">
        <v>6449</v>
      </c>
      <c r="B6450" s="1">
        <v>45749</v>
      </c>
      <c r="C6450" t="s">
        <v>92</v>
      </c>
      <c r="D6450" t="s">
        <v>124</v>
      </c>
      <c r="E6450" t="s">
        <v>13</v>
      </c>
      <c r="F6450">
        <v>1</v>
      </c>
      <c r="G6450" t="str">
        <f>VLOOKUP(D6450,Товары!A:I,3,0)</f>
        <v>Тумба с раковиной  напол. Леон 600 оникс 2 ящика с умыв. Океан</v>
      </c>
      <c r="H6450">
        <f>VLOOKUP(D6450,Товары!A:I,6,0)</f>
        <v>80</v>
      </c>
      <c r="I6450" t="str">
        <f>VLOOKUP(C6450,Магазины!A:C,3,0)</f>
        <v>Кемерово</v>
      </c>
      <c r="J6450">
        <f>VLOOKUP(D6450,Товары!A:I,4,0)</f>
        <v>25860</v>
      </c>
      <c r="K6450">
        <f t="shared" si="100"/>
        <v>25860</v>
      </c>
    </row>
    <row r="6451" spans="1:11" hidden="1" x14ac:dyDescent="0.25">
      <c r="A6451">
        <v>6450</v>
      </c>
      <c r="B6451" s="1">
        <v>45751</v>
      </c>
      <c r="C6451" t="s">
        <v>54</v>
      </c>
      <c r="D6451" t="s">
        <v>106</v>
      </c>
      <c r="E6451" t="s">
        <v>8</v>
      </c>
      <c r="F6451">
        <v>2</v>
      </c>
      <c r="G6451" t="str">
        <f>VLOOKUP(D6451,Товары!A:I,3,0)</f>
        <v>Тумба с раковиной  навес. Кристалл 700 шато азур 2 ящика с умыв. Слим</v>
      </c>
      <c r="H6451">
        <f>VLOOKUP(D6451,Товары!A:I,6,0)</f>
        <v>60</v>
      </c>
      <c r="I6451" t="str">
        <f>VLOOKUP(C6451,Магазины!A:C,3,0)</f>
        <v>Ставрополь</v>
      </c>
      <c r="J6451">
        <f>VLOOKUP(D6451,Товары!A:I,4,0)</f>
        <v>24150</v>
      </c>
      <c r="K6451">
        <f t="shared" si="100"/>
        <v>48300</v>
      </c>
    </row>
    <row r="6452" spans="1:11" hidden="1" x14ac:dyDescent="0.25">
      <c r="A6452">
        <v>6451</v>
      </c>
      <c r="B6452" s="1">
        <v>45757</v>
      </c>
      <c r="C6452" t="s">
        <v>9</v>
      </c>
      <c r="D6452" t="s">
        <v>24</v>
      </c>
      <c r="E6452" t="s">
        <v>13</v>
      </c>
      <c r="F6452">
        <v>2</v>
      </c>
      <c r="G6452" t="str">
        <f>VLOOKUP(D6452,Товары!A:I,3,0)</f>
        <v>Тумба с раковиной  напол. Леон 600 форест 2 ящика с умыв. Слим</v>
      </c>
      <c r="H6452">
        <f>VLOOKUP(D6452,Товары!A:I,6,0)</f>
        <v>80</v>
      </c>
      <c r="I6452" t="str">
        <f>VLOOKUP(C6452,Магазины!A:C,3,0)</f>
        <v>Кемерово</v>
      </c>
      <c r="J6452">
        <f>VLOOKUP(D6452,Товары!A:I,4,0)</f>
        <v>27150</v>
      </c>
      <c r="K6452">
        <f t="shared" si="100"/>
        <v>54300</v>
      </c>
    </row>
    <row r="6453" spans="1:11" hidden="1" x14ac:dyDescent="0.25">
      <c r="A6453">
        <v>6452</v>
      </c>
      <c r="B6453" s="1">
        <v>45753</v>
      </c>
      <c r="C6453" t="s">
        <v>111</v>
      </c>
      <c r="D6453" t="s">
        <v>21</v>
      </c>
      <c r="E6453" t="s">
        <v>13</v>
      </c>
      <c r="F6453">
        <v>1</v>
      </c>
      <c r="G6453" t="str">
        <f>VLOOKUP(D6453,Товары!A:I,3,0)</f>
        <v>Зеркальный шкаф Рица 60 со светильником правый цвет cерый/керамика</v>
      </c>
      <c r="H6453">
        <f>VLOOKUP(D6453,Товары!A:I,6,0)</f>
        <v>75</v>
      </c>
      <c r="I6453" t="str">
        <f>VLOOKUP(C6453,Магазины!A:C,3,0)</f>
        <v>Набережные Челны</v>
      </c>
      <c r="J6453">
        <f>VLOOKUP(D6453,Товары!A:I,4,0)</f>
        <v>8910</v>
      </c>
      <c r="K6453">
        <f t="shared" si="100"/>
        <v>8910</v>
      </c>
    </row>
    <row r="6454" spans="1:11" hidden="1" x14ac:dyDescent="0.25">
      <c r="A6454">
        <v>6453</v>
      </c>
      <c r="B6454" s="1">
        <v>45750</v>
      </c>
      <c r="C6454" t="s">
        <v>35</v>
      </c>
      <c r="D6454" t="s">
        <v>23</v>
      </c>
      <c r="E6454" t="s">
        <v>8</v>
      </c>
      <c r="F6454">
        <v>3</v>
      </c>
      <c r="G6454" t="str">
        <f>VLOOKUP(D6454,Товары!A:I,3,0)</f>
        <v>Тумба с раковиной  напол. Альба 800 антрацит 2 ящика с умыв. Слим</v>
      </c>
      <c r="H6454">
        <f>VLOOKUP(D6454,Товары!A:I,6,0)</f>
        <v>80</v>
      </c>
      <c r="I6454" t="str">
        <f>VLOOKUP(C6454,Магазины!A:C,3,0)</f>
        <v>Набережные Челны</v>
      </c>
      <c r="J6454">
        <f>VLOOKUP(D6454,Товары!A:I,4,0)</f>
        <v>29340</v>
      </c>
      <c r="K6454">
        <f t="shared" si="100"/>
        <v>88020</v>
      </c>
    </row>
    <row r="6455" spans="1:11" hidden="1" x14ac:dyDescent="0.25">
      <c r="A6455">
        <v>6454</v>
      </c>
      <c r="B6455" s="1">
        <v>45748</v>
      </c>
      <c r="C6455" t="s">
        <v>43</v>
      </c>
      <c r="D6455" t="s">
        <v>61</v>
      </c>
      <c r="E6455" t="s">
        <v>13</v>
      </c>
      <c r="F6455">
        <v>1</v>
      </c>
      <c r="G6455" t="str">
        <f>VLOOKUP(D6455,Товары!A:I,3,0)</f>
        <v>Тумба под стиральную машину Леон Риф 57 напольная 2 ящика под ст/маш, без умывальника /под Marshall 120 Солярис/Белый Риф</v>
      </c>
      <c r="H6455">
        <f>VLOOKUP(D6455,Товары!A:I,6,0)</f>
        <v>85</v>
      </c>
      <c r="I6455" t="str">
        <f>VLOOKUP(C6455,Магазины!A:C,3,0)</f>
        <v>Набережные Челны</v>
      </c>
      <c r="J6455">
        <f>VLOOKUP(D6455,Товары!A:I,4,0)</f>
        <v>17430</v>
      </c>
      <c r="K6455">
        <f t="shared" si="100"/>
        <v>17430</v>
      </c>
    </row>
    <row r="6456" spans="1:11" hidden="1" x14ac:dyDescent="0.25">
      <c r="A6456">
        <v>6455</v>
      </c>
      <c r="B6456" s="1">
        <v>45749</v>
      </c>
      <c r="C6456" t="s">
        <v>48</v>
      </c>
      <c r="D6456" t="s">
        <v>106</v>
      </c>
      <c r="E6456" t="s">
        <v>8</v>
      </c>
      <c r="F6456">
        <v>1</v>
      </c>
      <c r="G6456" t="str">
        <f>VLOOKUP(D6456,Товары!A:I,3,0)</f>
        <v>Тумба с раковиной  навес. Кристалл 700 шато азур 2 ящика с умыв. Слим</v>
      </c>
      <c r="H6456">
        <f>VLOOKUP(D6456,Товары!A:I,6,0)</f>
        <v>60</v>
      </c>
      <c r="I6456" t="str">
        <f>VLOOKUP(C6456,Магазины!A:C,3,0)</f>
        <v>Ставрополь</v>
      </c>
      <c r="J6456">
        <f>VLOOKUP(D6456,Товары!A:I,4,0)</f>
        <v>24150</v>
      </c>
      <c r="K6456">
        <f t="shared" si="100"/>
        <v>24150</v>
      </c>
    </row>
    <row r="6457" spans="1:11" hidden="1" x14ac:dyDescent="0.25">
      <c r="A6457">
        <v>6456</v>
      </c>
      <c r="B6457" s="1">
        <v>45752</v>
      </c>
      <c r="C6457" t="s">
        <v>33</v>
      </c>
      <c r="D6457" t="s">
        <v>119</v>
      </c>
      <c r="E6457" t="s">
        <v>8</v>
      </c>
      <c r="F6457">
        <v>3</v>
      </c>
      <c r="G6457" t="str">
        <f>VLOOKUP(D6457,Товары!A:I,3,0)</f>
        <v>Пенал навес./напол. Рица 350 cерый/керамика 2 двери</v>
      </c>
      <c r="H6457">
        <f>VLOOKUP(D6457,Товары!A:I,6,0)</f>
        <v>160</v>
      </c>
      <c r="I6457" t="str">
        <f>VLOOKUP(C6457,Магазины!A:C,3,0)</f>
        <v>Набережные Челны</v>
      </c>
      <c r="J6457">
        <f>VLOOKUP(D6457,Товары!A:I,4,0)</f>
        <v>11250</v>
      </c>
      <c r="K6457">
        <f t="shared" si="100"/>
        <v>33750</v>
      </c>
    </row>
    <row r="6458" spans="1:11" hidden="1" x14ac:dyDescent="0.25">
      <c r="A6458">
        <v>6457</v>
      </c>
      <c r="B6458" s="1">
        <v>45748</v>
      </c>
      <c r="C6458" t="s">
        <v>18</v>
      </c>
      <c r="D6458" t="s">
        <v>128</v>
      </c>
      <c r="E6458" t="s">
        <v>13</v>
      </c>
      <c r="F6458">
        <v>3</v>
      </c>
      <c r="G6458" t="str">
        <f>VLOOKUP(D6458,Товары!A:I,3,0)</f>
        <v>Тумба с раковиной  напол. Куба Риф 1000 белый 2 ящика с умыв. Слим</v>
      </c>
      <c r="H6458">
        <f>VLOOKUP(D6458,Товары!A:I,6,0)</f>
        <v>85</v>
      </c>
      <c r="I6458" t="str">
        <f>VLOOKUP(C6458,Магазины!A:C,3,0)</f>
        <v>Набережные Челны</v>
      </c>
      <c r="J6458">
        <f>VLOOKUP(D6458,Товары!A:I,4,0)</f>
        <v>22905</v>
      </c>
      <c r="K6458">
        <f t="shared" si="100"/>
        <v>68715</v>
      </c>
    </row>
    <row r="6459" spans="1:11" hidden="1" x14ac:dyDescent="0.25">
      <c r="A6459">
        <v>6458</v>
      </c>
      <c r="B6459" s="1">
        <v>45754</v>
      </c>
      <c r="C6459" t="s">
        <v>11</v>
      </c>
      <c r="D6459" t="s">
        <v>125</v>
      </c>
      <c r="E6459" t="s">
        <v>13</v>
      </c>
      <c r="F6459">
        <v>2</v>
      </c>
      <c r="G6459" t="str">
        <f>VLOOKUP(D6459,Товары!A:I,3,0)</f>
        <v>Зеркальный шкаф Сохо 60 белый со светильником правый цвет Белый глянец</v>
      </c>
      <c r="H6459">
        <f>VLOOKUP(D6459,Товары!A:I,6,0)</f>
        <v>75</v>
      </c>
      <c r="I6459" t="str">
        <f>VLOOKUP(C6459,Магазины!A:C,3,0)</f>
        <v>Кемерово</v>
      </c>
      <c r="J6459">
        <f>VLOOKUP(D6459,Товары!A:I,4,0)</f>
        <v>7395</v>
      </c>
      <c r="K6459">
        <f t="shared" si="100"/>
        <v>14790</v>
      </c>
    </row>
    <row r="6460" spans="1:11" hidden="1" x14ac:dyDescent="0.25">
      <c r="A6460">
        <v>6459</v>
      </c>
      <c r="B6460" s="1">
        <v>45752</v>
      </c>
      <c r="C6460" t="s">
        <v>92</v>
      </c>
      <c r="D6460" t="s">
        <v>72</v>
      </c>
      <c r="E6460" t="s">
        <v>13</v>
      </c>
      <c r="F6460">
        <v>1</v>
      </c>
      <c r="G6460" t="str">
        <f>VLOOKUP(D6460,Товары!A:I,3,0)</f>
        <v>Тумба с раковиной  напол. Сохо 600 белый 2 ящика с умыв. Океан</v>
      </c>
      <c r="H6460">
        <f>VLOOKUP(D6460,Товары!A:I,6,0)</f>
        <v>85</v>
      </c>
      <c r="I6460" t="str">
        <f>VLOOKUP(C6460,Магазины!A:C,3,0)</f>
        <v>Кемерово</v>
      </c>
      <c r="J6460">
        <f>VLOOKUP(D6460,Товары!A:I,4,0)</f>
        <v>16140</v>
      </c>
      <c r="K6460">
        <f t="shared" si="100"/>
        <v>16140</v>
      </c>
    </row>
    <row r="6461" spans="1:11" hidden="1" x14ac:dyDescent="0.25">
      <c r="A6461">
        <v>6460</v>
      </c>
      <c r="B6461" s="1">
        <v>45756</v>
      </c>
      <c r="C6461" t="s">
        <v>11</v>
      </c>
      <c r="D6461" t="s">
        <v>113</v>
      </c>
      <c r="E6461" t="s">
        <v>13</v>
      </c>
      <c r="F6461">
        <v>2</v>
      </c>
      <c r="G6461" t="str">
        <f>VLOOKUP(D6461,Товары!A:I,3,0)</f>
        <v>Зеркальный шкаф Альба 60 со светильником правый цвет мята</v>
      </c>
      <c r="H6461">
        <f>VLOOKUP(D6461,Товары!A:I,6,0)</f>
        <v>75</v>
      </c>
      <c r="I6461" t="str">
        <f>VLOOKUP(C6461,Магазины!A:C,3,0)</f>
        <v>Кемерово</v>
      </c>
      <c r="J6461">
        <f>VLOOKUP(D6461,Товары!A:I,4,0)</f>
        <v>8910</v>
      </c>
      <c r="K6461">
        <f t="shared" si="100"/>
        <v>17820</v>
      </c>
    </row>
    <row r="6462" spans="1:11" hidden="1" x14ac:dyDescent="0.25">
      <c r="A6462">
        <v>6461</v>
      </c>
      <c r="B6462" s="1">
        <v>45750</v>
      </c>
      <c r="C6462" t="s">
        <v>14</v>
      </c>
      <c r="D6462" t="s">
        <v>115</v>
      </c>
      <c r="E6462" t="s">
        <v>8</v>
      </c>
      <c r="F6462">
        <v>1</v>
      </c>
      <c r="G6462" t="str">
        <f>VLOOKUP(D6462,Товары!A:I,3,0)</f>
        <v>Тумба под стиральную машину Куба Риф 57 напольная 2 ящика под ст/маш, без умывальника /под Marshall 120 Белый</v>
      </c>
      <c r="H6462">
        <f>VLOOKUP(D6462,Товары!A:I,6,0)</f>
        <v>85</v>
      </c>
      <c r="I6462" t="str">
        <f>VLOOKUP(C6462,Магазины!A:C,3,0)</f>
        <v>Оренбург</v>
      </c>
      <c r="J6462">
        <f>VLOOKUP(D6462,Товары!A:I,4,0)</f>
        <v>10530</v>
      </c>
      <c r="K6462">
        <f t="shared" si="100"/>
        <v>10530</v>
      </c>
    </row>
    <row r="6463" spans="1:11" hidden="1" x14ac:dyDescent="0.25">
      <c r="A6463">
        <v>6462</v>
      </c>
      <c r="B6463" s="1">
        <v>45756</v>
      </c>
      <c r="C6463" t="s">
        <v>63</v>
      </c>
      <c r="D6463" t="s">
        <v>93</v>
      </c>
      <c r="E6463" t="s">
        <v>13</v>
      </c>
      <c r="F6463">
        <v>1</v>
      </c>
      <c r="G6463" t="str">
        <f>VLOOKUP(D6463,Товары!A:I,3,0)</f>
        <v>Тумба с раковиной  напол. Леон Риф 800 солярис/белый риф 2 ящика с умыв. Слим</v>
      </c>
      <c r="H6463">
        <f>VLOOKUP(D6463,Товары!A:I,6,0)</f>
        <v>80</v>
      </c>
      <c r="I6463" t="str">
        <f>VLOOKUP(C6463,Магазины!A:C,3,0)</f>
        <v>Ставрополь</v>
      </c>
      <c r="J6463">
        <f>VLOOKUP(D6463,Товары!A:I,4,0)</f>
        <v>29340</v>
      </c>
      <c r="K6463">
        <f t="shared" si="100"/>
        <v>29340</v>
      </c>
    </row>
    <row r="6464" spans="1:11" hidden="1" x14ac:dyDescent="0.25">
      <c r="A6464">
        <v>6463</v>
      </c>
      <c r="B6464" s="1">
        <v>45756</v>
      </c>
      <c r="C6464" t="s">
        <v>92</v>
      </c>
      <c r="D6464" t="s">
        <v>49</v>
      </c>
      <c r="E6464" t="s">
        <v>13</v>
      </c>
      <c r="F6464">
        <v>1</v>
      </c>
      <c r="G6464" t="str">
        <f>VLOOKUP(D6464,Товары!A:I,3,0)</f>
        <v>Тумба с раковиной  напол. Леон 700 оникс 2 ящика с умыв. Слим</v>
      </c>
      <c r="H6464">
        <f>VLOOKUP(D6464,Товары!A:I,6,0)</f>
        <v>80</v>
      </c>
      <c r="I6464" t="str">
        <f>VLOOKUP(C6464,Магазины!A:C,3,0)</f>
        <v>Кемерово</v>
      </c>
      <c r="J6464">
        <f>VLOOKUP(D6464,Товары!A:I,4,0)</f>
        <v>28380</v>
      </c>
      <c r="K6464">
        <f t="shared" si="100"/>
        <v>28380</v>
      </c>
    </row>
    <row r="6465" spans="1:11" hidden="1" x14ac:dyDescent="0.25">
      <c r="A6465">
        <v>6464</v>
      </c>
      <c r="B6465" s="1">
        <v>45755</v>
      </c>
      <c r="C6465" t="s">
        <v>26</v>
      </c>
      <c r="D6465" t="s">
        <v>88</v>
      </c>
      <c r="E6465" t="s">
        <v>8</v>
      </c>
      <c r="F6465">
        <v>2</v>
      </c>
      <c r="G6465" t="str">
        <f>VLOOKUP(D6465,Товары!A:I,3,0)</f>
        <v>Тумба с раковиной  навес. Альба 800 антрацит 2 ящика с умыв. Слим</v>
      </c>
      <c r="H6465">
        <f>VLOOKUP(D6465,Товары!A:I,6,0)</f>
        <v>50</v>
      </c>
      <c r="I6465" t="str">
        <f>VLOOKUP(C6465,Магазины!A:C,3,0)</f>
        <v>Оренбург</v>
      </c>
      <c r="J6465">
        <f>VLOOKUP(D6465,Товары!A:I,4,0)</f>
        <v>26070</v>
      </c>
      <c r="K6465">
        <f t="shared" si="100"/>
        <v>52140</v>
      </c>
    </row>
    <row r="6466" spans="1:11" hidden="1" x14ac:dyDescent="0.25">
      <c r="A6466">
        <v>6465</v>
      </c>
      <c r="B6466" s="1">
        <v>45754</v>
      </c>
      <c r="C6466" t="s">
        <v>20</v>
      </c>
      <c r="D6466" t="s">
        <v>87</v>
      </c>
      <c r="E6466" t="s">
        <v>8</v>
      </c>
      <c r="F6466">
        <v>2</v>
      </c>
      <c r="G6466" t="str">
        <f>VLOOKUP(D6466,Товары!A:I,3,0)</f>
        <v>Тумба с раковиной  напол. Леон 700 форест 2 ящика с умыв. Слим</v>
      </c>
      <c r="H6466">
        <f>VLOOKUP(D6466,Товары!A:I,6,0)</f>
        <v>80</v>
      </c>
      <c r="I6466" t="str">
        <f>VLOOKUP(C6466,Магазины!A:C,3,0)</f>
        <v>Оренбург</v>
      </c>
      <c r="J6466">
        <f>VLOOKUP(D6466,Товары!A:I,4,0)</f>
        <v>28380</v>
      </c>
      <c r="K6466">
        <f t="shared" si="100"/>
        <v>56760</v>
      </c>
    </row>
    <row r="6467" spans="1:11" hidden="1" x14ac:dyDescent="0.25">
      <c r="A6467">
        <v>6466</v>
      </c>
      <c r="B6467" s="1">
        <v>45755</v>
      </c>
      <c r="C6467" t="s">
        <v>9</v>
      </c>
      <c r="D6467" t="s">
        <v>118</v>
      </c>
      <c r="E6467" t="s">
        <v>8</v>
      </c>
      <c r="F6467">
        <v>3</v>
      </c>
      <c r="G6467" t="str">
        <f>VLOOKUP(D6467,Товары!A:I,3,0)</f>
        <v>Тумба с раковиной  напол. Сохо 800 белый 2 ящика с умыв. Слим</v>
      </c>
      <c r="H6467">
        <f>VLOOKUP(D6467,Товары!A:I,6,0)</f>
        <v>85</v>
      </c>
      <c r="I6467" t="str">
        <f>VLOOKUP(C6467,Магазины!A:C,3,0)</f>
        <v>Кемерово</v>
      </c>
      <c r="J6467">
        <f>VLOOKUP(D6467,Товары!A:I,4,0)</f>
        <v>19575</v>
      </c>
      <c r="K6467">
        <f t="shared" ref="K6467:K6530" si="101">J6467*F6467</f>
        <v>58725</v>
      </c>
    </row>
    <row r="6468" spans="1:11" x14ac:dyDescent="0.25">
      <c r="A6468">
        <v>6467</v>
      </c>
      <c r="B6468" s="1">
        <v>45748</v>
      </c>
      <c r="C6468" t="s">
        <v>22</v>
      </c>
      <c r="D6468" t="s">
        <v>67</v>
      </c>
      <c r="E6468" t="s">
        <v>13</v>
      </c>
      <c r="F6468">
        <v>1</v>
      </c>
      <c r="G6468" t="str">
        <f>VLOOKUP(D6468,Товары!A:I,3,0)</f>
        <v>Пенал навес./напол. Альба 350 суфле 2 двери</v>
      </c>
      <c r="H6468">
        <f>VLOOKUP(D6468,Товары!A:I,6,0)</f>
        <v>150</v>
      </c>
      <c r="I6468" t="str">
        <f>VLOOKUP(C6468,Магазины!A:C,3,0)</f>
        <v>Кемерово</v>
      </c>
      <c r="J6468">
        <f>VLOOKUP(D6468,Товары!A:I,4,0)</f>
        <v>11655</v>
      </c>
      <c r="K6468">
        <f t="shared" si="101"/>
        <v>11655</v>
      </c>
    </row>
    <row r="6469" spans="1:11" hidden="1" x14ac:dyDescent="0.25">
      <c r="A6469">
        <v>6468</v>
      </c>
      <c r="B6469" s="1">
        <v>45750</v>
      </c>
      <c r="C6469" t="s">
        <v>30</v>
      </c>
      <c r="D6469" t="s">
        <v>42</v>
      </c>
      <c r="E6469" t="s">
        <v>13</v>
      </c>
      <c r="F6469">
        <v>1</v>
      </c>
      <c r="G6469" t="str">
        <f>VLOOKUP(D6469,Товары!A:I,3,0)</f>
        <v>Тумба под стиральную машину Леон Риф 57 подвесная 2 ящика под ст/маш, без умывальника /под Marshall 120 Солярис/Белый Риф</v>
      </c>
      <c r="H6469">
        <f>VLOOKUP(D6469,Товары!A:I,6,0)</f>
        <v>60</v>
      </c>
      <c r="I6469" t="str">
        <f>VLOOKUP(C6469,Магазины!A:C,3,0)</f>
        <v>Кемерово</v>
      </c>
      <c r="J6469">
        <f>VLOOKUP(D6469,Товары!A:I,4,0)</f>
        <v>15495</v>
      </c>
      <c r="K6469">
        <f t="shared" si="101"/>
        <v>15495</v>
      </c>
    </row>
    <row r="6470" spans="1:11" hidden="1" x14ac:dyDescent="0.25">
      <c r="A6470">
        <v>6469</v>
      </c>
      <c r="B6470" s="1">
        <v>45755</v>
      </c>
      <c r="C6470" t="s">
        <v>58</v>
      </c>
      <c r="D6470" t="s">
        <v>120</v>
      </c>
      <c r="E6470" t="s">
        <v>8</v>
      </c>
      <c r="F6470">
        <v>2</v>
      </c>
      <c r="G6470" t="str">
        <f>VLOOKUP(D6470,Товары!A:I,3,0)</f>
        <v>Зеркальный шкаф Альба 60 со светильником правый цвет антрацит</v>
      </c>
      <c r="H6470">
        <f>VLOOKUP(D6470,Товары!A:I,6,0)</f>
        <v>75</v>
      </c>
      <c r="I6470" t="str">
        <f>VLOOKUP(C6470,Магазины!A:C,3,0)</f>
        <v>Ставрополь</v>
      </c>
      <c r="J6470">
        <f>VLOOKUP(D6470,Товары!A:I,4,0)</f>
        <v>8910</v>
      </c>
      <c r="K6470">
        <f t="shared" si="101"/>
        <v>17820</v>
      </c>
    </row>
    <row r="6471" spans="1:11" hidden="1" x14ac:dyDescent="0.25">
      <c r="A6471">
        <v>6470</v>
      </c>
      <c r="B6471" s="1">
        <v>45753</v>
      </c>
      <c r="C6471" t="s">
        <v>111</v>
      </c>
      <c r="D6471" t="s">
        <v>97</v>
      </c>
      <c r="E6471" t="s">
        <v>8</v>
      </c>
      <c r="F6471">
        <v>2</v>
      </c>
      <c r="G6471" t="str">
        <f>VLOOKUP(D6471,Товары!A:I,3,0)</f>
        <v>Пенал напол. Кристалл 350 суфле 2 двери</v>
      </c>
      <c r="H6471">
        <f>VLOOKUP(D6471,Товары!A:I,6,0)</f>
        <v>190</v>
      </c>
      <c r="I6471" t="str">
        <f>VLOOKUP(C6471,Магазины!A:C,3,0)</f>
        <v>Набережные Челны</v>
      </c>
      <c r="J6471">
        <f>VLOOKUP(D6471,Товары!A:I,4,0)</f>
        <v>15810</v>
      </c>
      <c r="K6471">
        <f t="shared" si="101"/>
        <v>31620</v>
      </c>
    </row>
    <row r="6472" spans="1:11" hidden="1" x14ac:dyDescent="0.25">
      <c r="A6472">
        <v>6471</v>
      </c>
      <c r="B6472" s="1">
        <v>45756</v>
      </c>
      <c r="C6472" t="s">
        <v>33</v>
      </c>
      <c r="D6472" t="s">
        <v>131</v>
      </c>
      <c r="E6472" t="s">
        <v>8</v>
      </c>
      <c r="F6472">
        <v>1</v>
      </c>
      <c r="G6472" t="str">
        <f>VLOOKUP(D6472,Товары!A:I,3,0)</f>
        <v>Тумба с раковиной  напол. Леон 800 форест 2 ящика с умыв. Слим</v>
      </c>
      <c r="H6472">
        <f>VLOOKUP(D6472,Товары!A:I,6,0)</f>
        <v>80</v>
      </c>
      <c r="I6472" t="str">
        <f>VLOOKUP(C6472,Магазины!A:C,3,0)</f>
        <v>Набережные Челны</v>
      </c>
      <c r="J6472">
        <f>VLOOKUP(D6472,Товары!A:I,4,0)</f>
        <v>29400</v>
      </c>
      <c r="K6472">
        <f t="shared" si="101"/>
        <v>29400</v>
      </c>
    </row>
    <row r="6473" spans="1:11" hidden="1" x14ac:dyDescent="0.25">
      <c r="A6473">
        <v>6472</v>
      </c>
      <c r="B6473" s="1">
        <v>45752</v>
      </c>
      <c r="C6473" t="s">
        <v>33</v>
      </c>
      <c r="D6473" t="s">
        <v>32</v>
      </c>
      <c r="E6473" t="s">
        <v>8</v>
      </c>
      <c r="F6473">
        <v>2</v>
      </c>
      <c r="G6473" t="str">
        <f>VLOOKUP(D6473,Товары!A:I,3,0)</f>
        <v>Тумба с раковиной  напол. Леон Риф 700 солярис/белый риф 2 ящика с умыв. Слим</v>
      </c>
      <c r="H6473">
        <f>VLOOKUP(D6473,Товары!A:I,6,0)</f>
        <v>85</v>
      </c>
      <c r="I6473" t="str">
        <f>VLOOKUP(C6473,Магазины!A:C,3,0)</f>
        <v>Набережные Челны</v>
      </c>
      <c r="J6473">
        <f>VLOOKUP(D6473,Товары!A:I,4,0)</f>
        <v>26460</v>
      </c>
      <c r="K6473">
        <f t="shared" si="101"/>
        <v>52920</v>
      </c>
    </row>
    <row r="6474" spans="1:11" hidden="1" x14ac:dyDescent="0.25">
      <c r="A6474">
        <v>6473</v>
      </c>
      <c r="B6474" s="1">
        <v>45753</v>
      </c>
      <c r="C6474" t="s">
        <v>9</v>
      </c>
      <c r="D6474" t="s">
        <v>129</v>
      </c>
      <c r="E6474" t="s">
        <v>13</v>
      </c>
      <c r="F6474">
        <v>3</v>
      </c>
      <c r="G6474" t="str">
        <f>VLOOKUP(D6474,Товары!A:I,3,0)</f>
        <v>Тумба с раковиной  напол. Альба 700 антрацит 2 ящика с умыв. Слим</v>
      </c>
      <c r="H6474">
        <f>VLOOKUP(D6474,Товары!A:I,6,0)</f>
        <v>85</v>
      </c>
      <c r="I6474" t="str">
        <f>VLOOKUP(C6474,Магазины!A:C,3,0)</f>
        <v>Кемерово</v>
      </c>
      <c r="J6474">
        <f>VLOOKUP(D6474,Товары!A:I,4,0)</f>
        <v>28695</v>
      </c>
      <c r="K6474">
        <f t="shared" si="101"/>
        <v>86085</v>
      </c>
    </row>
    <row r="6475" spans="1:11" hidden="1" x14ac:dyDescent="0.25">
      <c r="A6475">
        <v>6474</v>
      </c>
      <c r="B6475" s="1">
        <v>45748</v>
      </c>
      <c r="C6475" t="s">
        <v>9</v>
      </c>
      <c r="D6475" t="s">
        <v>128</v>
      </c>
      <c r="E6475" t="s">
        <v>8</v>
      </c>
      <c r="F6475">
        <v>3</v>
      </c>
      <c r="G6475" t="str">
        <f>VLOOKUP(D6475,Товары!A:I,3,0)</f>
        <v>Тумба с раковиной  напол. Куба Риф 1000 белый 2 ящика с умыв. Слим</v>
      </c>
      <c r="H6475">
        <f>VLOOKUP(D6475,Товары!A:I,6,0)</f>
        <v>85</v>
      </c>
      <c r="I6475" t="str">
        <f>VLOOKUP(C6475,Магазины!A:C,3,0)</f>
        <v>Кемерово</v>
      </c>
      <c r="J6475">
        <f>VLOOKUP(D6475,Товары!A:I,4,0)</f>
        <v>22905</v>
      </c>
      <c r="K6475">
        <f t="shared" si="101"/>
        <v>68715</v>
      </c>
    </row>
    <row r="6476" spans="1:11" hidden="1" x14ac:dyDescent="0.25">
      <c r="A6476">
        <v>6475</v>
      </c>
      <c r="B6476" s="1">
        <v>45754</v>
      </c>
      <c r="C6476" t="s">
        <v>30</v>
      </c>
      <c r="D6476" t="s">
        <v>55</v>
      </c>
      <c r="E6476" t="s">
        <v>13</v>
      </c>
      <c r="F6476">
        <v>1</v>
      </c>
      <c r="G6476" t="str">
        <f>VLOOKUP(D6476,Товары!A:I,3,0)</f>
        <v>Тумба с раковиной  напол. Рица 600 cерый/керамика 2 ящика с умыв. Океан</v>
      </c>
      <c r="H6476">
        <f>VLOOKUP(D6476,Товары!A:I,6,0)</f>
        <v>80</v>
      </c>
      <c r="I6476" t="str">
        <f>VLOOKUP(C6476,Магазины!A:C,3,0)</f>
        <v>Кемерово</v>
      </c>
      <c r="J6476">
        <f>VLOOKUP(D6476,Товары!A:I,4,0)</f>
        <v>25560</v>
      </c>
      <c r="K6476">
        <f t="shared" si="101"/>
        <v>25560</v>
      </c>
    </row>
    <row r="6477" spans="1:11" hidden="1" x14ac:dyDescent="0.25">
      <c r="A6477">
        <v>6476</v>
      </c>
      <c r="B6477" s="1">
        <v>45754</v>
      </c>
      <c r="C6477" t="s">
        <v>33</v>
      </c>
      <c r="D6477" t="s">
        <v>109</v>
      </c>
      <c r="E6477" t="s">
        <v>8</v>
      </c>
      <c r="F6477">
        <v>2</v>
      </c>
      <c r="G6477" t="str">
        <f>VLOOKUP(D6477,Товары!A:I,3,0)</f>
        <v>Тумба с раковиной  навес. Альба 600 антрацит 2 ящика с умыв. Океан</v>
      </c>
      <c r="H6477">
        <f>VLOOKUP(D6477,Товары!A:I,6,0)</f>
        <v>50</v>
      </c>
      <c r="I6477" t="str">
        <f>VLOOKUP(C6477,Магазины!A:C,3,0)</f>
        <v>Набережные Челны</v>
      </c>
      <c r="J6477">
        <f>VLOOKUP(D6477,Товары!A:I,4,0)</f>
        <v>24810</v>
      </c>
      <c r="K6477">
        <f t="shared" si="101"/>
        <v>49620</v>
      </c>
    </row>
    <row r="6478" spans="1:11" hidden="1" x14ac:dyDescent="0.25">
      <c r="A6478">
        <v>6477</v>
      </c>
      <c r="B6478" s="1">
        <v>45757</v>
      </c>
      <c r="C6478" t="s">
        <v>14</v>
      </c>
      <c r="D6478" t="s">
        <v>130</v>
      </c>
      <c r="E6478" t="s">
        <v>8</v>
      </c>
      <c r="F6478">
        <v>3</v>
      </c>
      <c r="G6478" t="str">
        <f>VLOOKUP(D6478,Товары!A:I,3,0)</f>
        <v>Пенал напол. Леон 400 форест 2 двери + 1 ящик</v>
      </c>
      <c r="H6478">
        <f>VLOOKUP(D6478,Товары!A:I,6,0)</f>
        <v>190</v>
      </c>
      <c r="I6478" t="str">
        <f>VLOOKUP(C6478,Магазины!A:C,3,0)</f>
        <v>Оренбург</v>
      </c>
      <c r="J6478">
        <f>VLOOKUP(D6478,Товары!A:I,4,0)</f>
        <v>18450</v>
      </c>
      <c r="K6478">
        <f t="shared" si="101"/>
        <v>55350</v>
      </c>
    </row>
    <row r="6479" spans="1:11" hidden="1" x14ac:dyDescent="0.25">
      <c r="A6479">
        <v>6478</v>
      </c>
      <c r="B6479" s="1">
        <v>45753</v>
      </c>
      <c r="C6479" t="s">
        <v>35</v>
      </c>
      <c r="D6479" t="s">
        <v>38</v>
      </c>
      <c r="E6479" t="s">
        <v>13</v>
      </c>
      <c r="F6479">
        <v>1</v>
      </c>
      <c r="G6479" t="str">
        <f>VLOOKUP(D6479,Товары!A:I,3,0)</f>
        <v>Тумба с раковиной  навес. Куба Риф 600 белый 2 ящика с умыв. Como</v>
      </c>
      <c r="H6479">
        <f>VLOOKUP(D6479,Товары!A:I,6,0)</f>
        <v>55</v>
      </c>
      <c r="I6479" t="str">
        <f>VLOOKUP(C6479,Магазины!A:C,3,0)</f>
        <v>Набережные Челны</v>
      </c>
      <c r="J6479">
        <f>VLOOKUP(D6479,Товары!A:I,4,0)</f>
        <v>14265</v>
      </c>
      <c r="K6479">
        <f t="shared" si="101"/>
        <v>14265</v>
      </c>
    </row>
    <row r="6480" spans="1:11" hidden="1" x14ac:dyDescent="0.25">
      <c r="A6480">
        <v>6479</v>
      </c>
      <c r="B6480" s="1">
        <v>45755</v>
      </c>
      <c r="C6480" t="s">
        <v>43</v>
      </c>
      <c r="D6480" t="s">
        <v>87</v>
      </c>
      <c r="E6480" t="s">
        <v>13</v>
      </c>
      <c r="F6480">
        <v>3</v>
      </c>
      <c r="G6480" t="str">
        <f>VLOOKUP(D6480,Товары!A:I,3,0)</f>
        <v>Тумба с раковиной  напол. Леон 700 форест 2 ящика с умыв. Слим</v>
      </c>
      <c r="H6480">
        <f>VLOOKUP(D6480,Товары!A:I,6,0)</f>
        <v>80</v>
      </c>
      <c r="I6480" t="str">
        <f>VLOOKUP(C6480,Магазины!A:C,3,0)</f>
        <v>Набережные Челны</v>
      </c>
      <c r="J6480">
        <f>VLOOKUP(D6480,Товары!A:I,4,0)</f>
        <v>28380</v>
      </c>
      <c r="K6480">
        <f t="shared" si="101"/>
        <v>85140</v>
      </c>
    </row>
    <row r="6481" spans="1:11" hidden="1" x14ac:dyDescent="0.25">
      <c r="A6481">
        <v>6480</v>
      </c>
      <c r="B6481" s="1">
        <v>45756</v>
      </c>
      <c r="C6481" t="s">
        <v>11</v>
      </c>
      <c r="D6481" t="s">
        <v>102</v>
      </c>
      <c r="E6481" t="s">
        <v>8</v>
      </c>
      <c r="F6481">
        <v>2</v>
      </c>
      <c r="G6481" t="str">
        <f>VLOOKUP(D6481,Товары!A:I,3,0)</f>
        <v>Тумба с раковиной  напол. Леон Риф 1000 солярис/белый риф 2 ящика с умыв. Слим</v>
      </c>
      <c r="H6481">
        <f>VLOOKUP(D6481,Товары!A:I,6,0)</f>
        <v>85</v>
      </c>
      <c r="I6481" t="str">
        <f>VLOOKUP(C6481,Магазины!A:C,3,0)</f>
        <v>Кемерово</v>
      </c>
      <c r="J6481">
        <f>VLOOKUP(D6481,Товары!A:I,4,0)</f>
        <v>32085</v>
      </c>
      <c r="K6481">
        <f t="shared" si="101"/>
        <v>64170</v>
      </c>
    </row>
    <row r="6482" spans="1:11" hidden="1" x14ac:dyDescent="0.25">
      <c r="A6482">
        <v>6481</v>
      </c>
      <c r="B6482" s="1">
        <v>45748</v>
      </c>
      <c r="C6482" t="s">
        <v>103</v>
      </c>
      <c r="D6482" t="s">
        <v>110</v>
      </c>
      <c r="E6482" t="s">
        <v>13</v>
      </c>
      <c r="F6482">
        <v>1</v>
      </c>
      <c r="G6482" t="str">
        <f>VLOOKUP(D6482,Товары!A:I,3,0)</f>
        <v>Тумба с раковиной  напол. Альба 600 антрацит 2 ящика с умыв. Океан</v>
      </c>
      <c r="H6482">
        <f>VLOOKUP(D6482,Товары!A:I,6,0)</f>
        <v>80</v>
      </c>
      <c r="I6482" t="str">
        <f>VLOOKUP(C6482,Магазины!A:C,3,0)</f>
        <v>Ставрополь</v>
      </c>
      <c r="J6482">
        <f>VLOOKUP(D6482,Товары!A:I,4,0)</f>
        <v>26370</v>
      </c>
      <c r="K6482">
        <f t="shared" si="101"/>
        <v>26370</v>
      </c>
    </row>
    <row r="6483" spans="1:11" hidden="1" x14ac:dyDescent="0.25">
      <c r="A6483">
        <v>6482</v>
      </c>
      <c r="B6483" s="1">
        <v>45749</v>
      </c>
      <c r="C6483" t="s">
        <v>30</v>
      </c>
      <c r="D6483" t="s">
        <v>129</v>
      </c>
      <c r="E6483" t="s">
        <v>13</v>
      </c>
      <c r="F6483">
        <v>2</v>
      </c>
      <c r="G6483" t="str">
        <f>VLOOKUP(D6483,Товары!A:I,3,0)</f>
        <v>Тумба с раковиной  напол. Альба 700 антрацит 2 ящика с умыв. Слим</v>
      </c>
      <c r="H6483">
        <f>VLOOKUP(D6483,Товары!A:I,6,0)</f>
        <v>85</v>
      </c>
      <c r="I6483" t="str">
        <f>VLOOKUP(C6483,Магазины!A:C,3,0)</f>
        <v>Кемерово</v>
      </c>
      <c r="J6483">
        <f>VLOOKUP(D6483,Товары!A:I,4,0)</f>
        <v>28695</v>
      </c>
      <c r="K6483">
        <f t="shared" si="101"/>
        <v>57390</v>
      </c>
    </row>
    <row r="6484" spans="1:11" hidden="1" x14ac:dyDescent="0.25">
      <c r="A6484">
        <v>6483</v>
      </c>
      <c r="B6484" s="1">
        <v>45752</v>
      </c>
      <c r="C6484" t="s">
        <v>11</v>
      </c>
      <c r="D6484" t="s">
        <v>56</v>
      </c>
      <c r="E6484" t="s">
        <v>13</v>
      </c>
      <c r="F6484">
        <v>1</v>
      </c>
      <c r="G6484" t="str">
        <f>VLOOKUP(D6484,Товары!A:I,3,0)</f>
        <v>Зеркальный шкаф Альба 80 со светильником правый цвет мята</v>
      </c>
      <c r="H6484">
        <f>VLOOKUP(D6484,Товары!A:I,6,0)</f>
        <v>75</v>
      </c>
      <c r="I6484" t="str">
        <f>VLOOKUP(C6484,Магазины!A:C,3,0)</f>
        <v>Кемерово</v>
      </c>
      <c r="J6484">
        <f>VLOOKUP(D6484,Товары!A:I,4,0)</f>
        <v>9930</v>
      </c>
      <c r="K6484">
        <f t="shared" si="101"/>
        <v>9930</v>
      </c>
    </row>
    <row r="6485" spans="1:11" hidden="1" x14ac:dyDescent="0.25">
      <c r="A6485">
        <v>6484</v>
      </c>
      <c r="B6485" s="1">
        <v>45754</v>
      </c>
      <c r="C6485" t="s">
        <v>28</v>
      </c>
      <c r="D6485" t="s">
        <v>15</v>
      </c>
      <c r="E6485" t="s">
        <v>13</v>
      </c>
      <c r="F6485">
        <v>2</v>
      </c>
      <c r="G6485" t="str">
        <f>VLOOKUP(D6485,Товары!A:I,3,0)</f>
        <v>Зеркальный шкаф Кристалл 60 со светильником правый, ручка кнопка дуб цвет Шато Азур</v>
      </c>
      <c r="H6485">
        <f>VLOOKUP(D6485,Товары!A:I,6,0)</f>
        <v>75</v>
      </c>
      <c r="I6485" t="str">
        <f>VLOOKUP(C6485,Магазины!A:C,3,0)</f>
        <v>Набережные Челны</v>
      </c>
      <c r="J6485">
        <f>VLOOKUP(D6485,Товары!A:I,4,0)</f>
        <v>9195</v>
      </c>
      <c r="K6485">
        <f t="shared" si="101"/>
        <v>18390</v>
      </c>
    </row>
    <row r="6486" spans="1:11" hidden="1" x14ac:dyDescent="0.25">
      <c r="A6486">
        <v>6485</v>
      </c>
      <c r="B6486" s="1">
        <v>45753</v>
      </c>
      <c r="C6486" t="s">
        <v>54</v>
      </c>
      <c r="D6486" t="s">
        <v>68</v>
      </c>
      <c r="E6486" t="s">
        <v>13</v>
      </c>
      <c r="F6486">
        <v>2</v>
      </c>
      <c r="G6486" t="str">
        <f>VLOOKUP(D6486,Товары!A:I,3,0)</f>
        <v>Тумба с раковиной  навес. Альба 600 антрацит 1 ящик с умыв. Океан</v>
      </c>
      <c r="H6486">
        <f>VLOOKUP(D6486,Товары!A:I,6,0)</f>
        <v>85</v>
      </c>
      <c r="I6486" t="str">
        <f>VLOOKUP(C6486,Магазины!A:C,3,0)</f>
        <v>Ставрополь</v>
      </c>
      <c r="J6486">
        <f>VLOOKUP(D6486,Товары!A:I,4,0)</f>
        <v>17625</v>
      </c>
      <c r="K6486">
        <f t="shared" si="101"/>
        <v>35250</v>
      </c>
    </row>
    <row r="6487" spans="1:11" hidden="1" x14ac:dyDescent="0.25">
      <c r="A6487">
        <v>6486</v>
      </c>
      <c r="B6487" s="1">
        <v>45754</v>
      </c>
      <c r="C6487" t="s">
        <v>9</v>
      </c>
      <c r="D6487" t="s">
        <v>53</v>
      </c>
      <c r="E6487" t="s">
        <v>13</v>
      </c>
      <c r="F6487">
        <v>3</v>
      </c>
      <c r="G6487" t="str">
        <f>VLOOKUP(D6487,Товары!A:I,3,0)</f>
        <v>Тумба с раковиной  напол. Кристалл 600 шато азур 2 ящика с умыв. Океан</v>
      </c>
      <c r="H6487">
        <f>VLOOKUP(D6487,Товары!A:I,6,0)</f>
        <v>85</v>
      </c>
      <c r="I6487" t="str">
        <f>VLOOKUP(C6487,Магазины!A:C,3,0)</f>
        <v>Кемерово</v>
      </c>
      <c r="J6487">
        <f>VLOOKUP(D6487,Товары!A:I,4,0)</f>
        <v>27600</v>
      </c>
      <c r="K6487">
        <f t="shared" si="101"/>
        <v>82800</v>
      </c>
    </row>
    <row r="6488" spans="1:11" hidden="1" x14ac:dyDescent="0.25">
      <c r="A6488">
        <v>6487</v>
      </c>
      <c r="B6488" s="1">
        <v>45752</v>
      </c>
      <c r="C6488" t="s">
        <v>43</v>
      </c>
      <c r="D6488" t="s">
        <v>27</v>
      </c>
      <c r="E6488" t="s">
        <v>8</v>
      </c>
      <c r="F6488">
        <v>1</v>
      </c>
      <c r="G6488" t="str">
        <f>VLOOKUP(D6488,Товары!A:I,3,0)</f>
        <v>Тумба с раковиной  навес. Виктория 800 белый 2 ящика с умыв. Слим</v>
      </c>
      <c r="H6488">
        <f>VLOOKUP(D6488,Товары!A:I,6,0)</f>
        <v>60</v>
      </c>
      <c r="I6488" t="str">
        <f>VLOOKUP(C6488,Магазины!A:C,3,0)</f>
        <v>Набережные Челны</v>
      </c>
      <c r="J6488">
        <f>VLOOKUP(D6488,Товары!A:I,4,0)</f>
        <v>25290</v>
      </c>
      <c r="K6488">
        <f t="shared" si="101"/>
        <v>25290</v>
      </c>
    </row>
    <row r="6489" spans="1:11" hidden="1" x14ac:dyDescent="0.25">
      <c r="A6489">
        <v>6488</v>
      </c>
      <c r="B6489" s="1">
        <v>45753</v>
      </c>
      <c r="C6489" t="s">
        <v>14</v>
      </c>
      <c r="D6489" t="s">
        <v>125</v>
      </c>
      <c r="E6489" t="s">
        <v>13</v>
      </c>
      <c r="F6489">
        <v>1</v>
      </c>
      <c r="G6489" t="str">
        <f>VLOOKUP(D6489,Товары!A:I,3,0)</f>
        <v>Зеркальный шкаф Сохо 60 белый со светильником правый цвет Белый глянец</v>
      </c>
      <c r="H6489">
        <f>VLOOKUP(D6489,Товары!A:I,6,0)</f>
        <v>75</v>
      </c>
      <c r="I6489" t="str">
        <f>VLOOKUP(C6489,Магазины!A:C,3,0)</f>
        <v>Оренбург</v>
      </c>
      <c r="J6489">
        <f>VLOOKUP(D6489,Товары!A:I,4,0)</f>
        <v>7395</v>
      </c>
      <c r="K6489">
        <f t="shared" si="101"/>
        <v>7395</v>
      </c>
    </row>
    <row r="6490" spans="1:11" hidden="1" x14ac:dyDescent="0.25">
      <c r="A6490">
        <v>6489</v>
      </c>
      <c r="B6490" s="1">
        <v>45752</v>
      </c>
      <c r="C6490" t="s">
        <v>43</v>
      </c>
      <c r="D6490" t="s">
        <v>36</v>
      </c>
      <c r="E6490" t="s">
        <v>8</v>
      </c>
      <c r="F6490">
        <v>2</v>
      </c>
      <c r="G6490" t="str">
        <f>VLOOKUP(D6490,Товары!A:I,3,0)</f>
        <v>Тумба с раковиной  напол. Альба 800 мята 2 ящика с умыв. Слим</v>
      </c>
      <c r="H6490">
        <f>VLOOKUP(D6490,Товары!A:I,6,0)</f>
        <v>80</v>
      </c>
      <c r="I6490" t="str">
        <f>VLOOKUP(C6490,Магазины!A:C,3,0)</f>
        <v>Набережные Челны</v>
      </c>
      <c r="J6490">
        <f>VLOOKUP(D6490,Товары!A:I,4,0)</f>
        <v>29340</v>
      </c>
      <c r="K6490">
        <f t="shared" si="101"/>
        <v>58680</v>
      </c>
    </row>
    <row r="6491" spans="1:11" hidden="1" x14ac:dyDescent="0.25">
      <c r="A6491">
        <v>6490</v>
      </c>
      <c r="B6491" s="1">
        <v>45756</v>
      </c>
      <c r="C6491" t="s">
        <v>18</v>
      </c>
      <c r="D6491" t="s">
        <v>89</v>
      </c>
      <c r="E6491" t="s">
        <v>13</v>
      </c>
      <c r="F6491">
        <v>2</v>
      </c>
      <c r="G6491" t="str">
        <f>VLOOKUP(D6491,Товары!A:I,3,0)</f>
        <v>Тумба с раковиной  напол. Сохо 600 белый 2 двери с умыв. Океан</v>
      </c>
      <c r="H6491">
        <f>VLOOKUP(D6491,Товары!A:I,6,0)</f>
        <v>85</v>
      </c>
      <c r="I6491" t="str">
        <f>VLOOKUP(C6491,Магазины!A:C,3,0)</f>
        <v>Набережные Челны</v>
      </c>
      <c r="J6491">
        <f>VLOOKUP(D6491,Товары!A:I,4,0)</f>
        <v>14880</v>
      </c>
      <c r="K6491">
        <f t="shared" si="101"/>
        <v>29760</v>
      </c>
    </row>
    <row r="6492" spans="1:11" hidden="1" x14ac:dyDescent="0.25">
      <c r="A6492">
        <v>6491</v>
      </c>
      <c r="B6492" s="1">
        <v>45756</v>
      </c>
      <c r="C6492" t="s">
        <v>92</v>
      </c>
      <c r="D6492" t="s">
        <v>49</v>
      </c>
      <c r="E6492" t="s">
        <v>13</v>
      </c>
      <c r="F6492">
        <v>3</v>
      </c>
      <c r="G6492" t="str">
        <f>VLOOKUP(D6492,Товары!A:I,3,0)</f>
        <v>Тумба с раковиной  напол. Леон 700 оникс 2 ящика с умыв. Слим</v>
      </c>
      <c r="H6492">
        <f>VLOOKUP(D6492,Товары!A:I,6,0)</f>
        <v>80</v>
      </c>
      <c r="I6492" t="str">
        <f>VLOOKUP(C6492,Магазины!A:C,3,0)</f>
        <v>Кемерово</v>
      </c>
      <c r="J6492">
        <f>VLOOKUP(D6492,Товары!A:I,4,0)</f>
        <v>28380</v>
      </c>
      <c r="K6492">
        <f t="shared" si="101"/>
        <v>85140</v>
      </c>
    </row>
    <row r="6493" spans="1:11" hidden="1" x14ac:dyDescent="0.25">
      <c r="A6493">
        <v>6492</v>
      </c>
      <c r="B6493" s="1">
        <v>45753</v>
      </c>
      <c r="C6493" t="s">
        <v>92</v>
      </c>
      <c r="D6493" t="s">
        <v>37</v>
      </c>
      <c r="E6493" t="s">
        <v>8</v>
      </c>
      <c r="F6493">
        <v>2</v>
      </c>
      <c r="G6493" t="str">
        <f>VLOOKUP(D6493,Товары!A:I,3,0)</f>
        <v>Зеркальный шкаф Сохо 70 белый со светильником правый цвет Белый глянец</v>
      </c>
      <c r="H6493">
        <f>VLOOKUP(D6493,Товары!A:I,6,0)</f>
        <v>75</v>
      </c>
      <c r="I6493" t="str">
        <f>VLOOKUP(C6493,Магазины!A:C,3,0)</f>
        <v>Кемерово</v>
      </c>
      <c r="J6493">
        <f>VLOOKUP(D6493,Товары!A:I,4,0)</f>
        <v>7935</v>
      </c>
      <c r="K6493">
        <f t="shared" si="101"/>
        <v>15870</v>
      </c>
    </row>
    <row r="6494" spans="1:11" hidden="1" x14ac:dyDescent="0.25">
      <c r="A6494">
        <v>6493</v>
      </c>
      <c r="B6494" s="1">
        <v>45752</v>
      </c>
      <c r="C6494" t="s">
        <v>57</v>
      </c>
      <c r="D6494" t="s">
        <v>95</v>
      </c>
      <c r="E6494" t="s">
        <v>13</v>
      </c>
      <c r="F6494">
        <v>3</v>
      </c>
      <c r="G6494" t="str">
        <f>VLOOKUP(D6494,Товары!A:I,3,0)</f>
        <v>Тумба с раковиной  напол. Рица 600 антрацит 2 ящика с умыв. Океан</v>
      </c>
      <c r="H6494">
        <f>VLOOKUP(D6494,Товары!A:I,6,0)</f>
        <v>80</v>
      </c>
      <c r="I6494" t="str">
        <f>VLOOKUP(C6494,Магазины!A:C,3,0)</f>
        <v>Оренбург</v>
      </c>
      <c r="J6494">
        <f>VLOOKUP(D6494,Товары!A:I,4,0)</f>
        <v>25560</v>
      </c>
      <c r="K6494">
        <f t="shared" si="101"/>
        <v>76680</v>
      </c>
    </row>
    <row r="6495" spans="1:11" hidden="1" x14ac:dyDescent="0.25">
      <c r="A6495">
        <v>6494</v>
      </c>
      <c r="B6495" s="1">
        <v>45753</v>
      </c>
      <c r="C6495" t="s">
        <v>54</v>
      </c>
      <c r="D6495" t="s">
        <v>15</v>
      </c>
      <c r="E6495" t="s">
        <v>13</v>
      </c>
      <c r="F6495">
        <v>2</v>
      </c>
      <c r="G6495" t="str">
        <f>VLOOKUP(D6495,Товары!A:I,3,0)</f>
        <v>Зеркальный шкаф Кристалл 60 со светильником правый, ручка кнопка дуб цвет Шато Азур</v>
      </c>
      <c r="H6495">
        <f>VLOOKUP(D6495,Товары!A:I,6,0)</f>
        <v>75</v>
      </c>
      <c r="I6495" t="str">
        <f>VLOOKUP(C6495,Магазины!A:C,3,0)</f>
        <v>Ставрополь</v>
      </c>
      <c r="J6495">
        <f>VLOOKUP(D6495,Товары!A:I,4,0)</f>
        <v>9195</v>
      </c>
      <c r="K6495">
        <f t="shared" si="101"/>
        <v>18390</v>
      </c>
    </row>
    <row r="6496" spans="1:11" hidden="1" x14ac:dyDescent="0.25">
      <c r="A6496">
        <v>6495</v>
      </c>
      <c r="B6496" s="1">
        <v>45751</v>
      </c>
      <c r="C6496" t="s">
        <v>30</v>
      </c>
      <c r="D6496" t="s">
        <v>37</v>
      </c>
      <c r="E6496" t="s">
        <v>8</v>
      </c>
      <c r="F6496">
        <v>2</v>
      </c>
      <c r="G6496" t="str">
        <f>VLOOKUP(D6496,Товары!A:I,3,0)</f>
        <v>Зеркальный шкаф Сохо 70 белый со светильником правый цвет Белый глянец</v>
      </c>
      <c r="H6496">
        <f>VLOOKUP(D6496,Товары!A:I,6,0)</f>
        <v>75</v>
      </c>
      <c r="I6496" t="str">
        <f>VLOOKUP(C6496,Магазины!A:C,3,0)</f>
        <v>Кемерово</v>
      </c>
      <c r="J6496">
        <f>VLOOKUP(D6496,Товары!A:I,4,0)</f>
        <v>7935</v>
      </c>
      <c r="K6496">
        <f t="shared" si="101"/>
        <v>15870</v>
      </c>
    </row>
    <row r="6497" spans="1:11" hidden="1" x14ac:dyDescent="0.25">
      <c r="A6497">
        <v>6496</v>
      </c>
      <c r="B6497" s="1">
        <v>45748</v>
      </c>
      <c r="C6497" t="s">
        <v>111</v>
      </c>
      <c r="D6497" t="s">
        <v>32</v>
      </c>
      <c r="E6497" t="s">
        <v>8</v>
      </c>
      <c r="F6497">
        <v>2</v>
      </c>
      <c r="G6497" t="str">
        <f>VLOOKUP(D6497,Товары!A:I,3,0)</f>
        <v>Тумба с раковиной  напол. Леон Риф 700 солярис/белый риф 2 ящика с умыв. Слим</v>
      </c>
      <c r="H6497">
        <f>VLOOKUP(D6497,Товары!A:I,6,0)</f>
        <v>85</v>
      </c>
      <c r="I6497" t="str">
        <f>VLOOKUP(C6497,Магазины!A:C,3,0)</f>
        <v>Набережные Челны</v>
      </c>
      <c r="J6497">
        <f>VLOOKUP(D6497,Товары!A:I,4,0)</f>
        <v>26460</v>
      </c>
      <c r="K6497">
        <f t="shared" si="101"/>
        <v>52920</v>
      </c>
    </row>
    <row r="6498" spans="1:11" hidden="1" x14ac:dyDescent="0.25">
      <c r="A6498">
        <v>6497</v>
      </c>
      <c r="B6498" s="1">
        <v>45756</v>
      </c>
      <c r="C6498" t="s">
        <v>16</v>
      </c>
      <c r="D6498" t="s">
        <v>37</v>
      </c>
      <c r="E6498" t="s">
        <v>13</v>
      </c>
      <c r="F6498">
        <v>2</v>
      </c>
      <c r="G6498" t="str">
        <f>VLOOKUP(D6498,Товары!A:I,3,0)</f>
        <v>Зеркальный шкаф Сохо 70 белый со светильником правый цвет Белый глянец</v>
      </c>
      <c r="H6498">
        <f>VLOOKUP(D6498,Товары!A:I,6,0)</f>
        <v>75</v>
      </c>
      <c r="I6498" t="str">
        <f>VLOOKUP(C6498,Магазины!A:C,3,0)</f>
        <v>Оренбург</v>
      </c>
      <c r="J6498">
        <f>VLOOKUP(D6498,Товары!A:I,4,0)</f>
        <v>7935</v>
      </c>
      <c r="K6498">
        <f t="shared" si="101"/>
        <v>15870</v>
      </c>
    </row>
    <row r="6499" spans="1:11" hidden="1" x14ac:dyDescent="0.25">
      <c r="A6499">
        <v>6498</v>
      </c>
      <c r="B6499" s="1">
        <v>45752</v>
      </c>
      <c r="C6499" t="s">
        <v>22</v>
      </c>
      <c r="D6499" t="s">
        <v>83</v>
      </c>
      <c r="E6499" t="s">
        <v>13</v>
      </c>
      <c r="F6499">
        <v>2</v>
      </c>
      <c r="G6499" t="str">
        <f>VLOOKUP(D6499,Товары!A:I,3,0)</f>
        <v>Зеркальный шкаф Альба 60 со светильником правый цвет суфле</v>
      </c>
      <c r="H6499">
        <f>VLOOKUP(D6499,Товары!A:I,6,0)</f>
        <v>75</v>
      </c>
      <c r="I6499" t="str">
        <f>VLOOKUP(C6499,Магазины!A:C,3,0)</f>
        <v>Кемерово</v>
      </c>
      <c r="J6499">
        <f>VLOOKUP(D6499,Товары!A:I,4,0)</f>
        <v>8910</v>
      </c>
      <c r="K6499">
        <f t="shared" si="101"/>
        <v>17820</v>
      </c>
    </row>
    <row r="6500" spans="1:11" hidden="1" x14ac:dyDescent="0.25">
      <c r="A6500">
        <v>6499</v>
      </c>
      <c r="B6500" s="1">
        <v>45750</v>
      </c>
      <c r="C6500" t="s">
        <v>16</v>
      </c>
      <c r="D6500" t="s">
        <v>88</v>
      </c>
      <c r="E6500" t="s">
        <v>8</v>
      </c>
      <c r="F6500">
        <v>3</v>
      </c>
      <c r="G6500" t="str">
        <f>VLOOKUP(D6500,Товары!A:I,3,0)</f>
        <v>Тумба с раковиной  навес. Альба 800 антрацит 2 ящика с умыв. Слим</v>
      </c>
      <c r="H6500">
        <f>VLOOKUP(D6500,Товары!A:I,6,0)</f>
        <v>50</v>
      </c>
      <c r="I6500" t="str">
        <f>VLOOKUP(C6500,Магазины!A:C,3,0)</f>
        <v>Оренбург</v>
      </c>
      <c r="J6500">
        <f>VLOOKUP(D6500,Товары!A:I,4,0)</f>
        <v>26070</v>
      </c>
      <c r="K6500">
        <f t="shared" si="101"/>
        <v>78210</v>
      </c>
    </row>
    <row r="6501" spans="1:11" hidden="1" x14ac:dyDescent="0.25">
      <c r="A6501">
        <v>6500</v>
      </c>
      <c r="B6501" s="1">
        <v>45752</v>
      </c>
      <c r="C6501" t="s">
        <v>58</v>
      </c>
      <c r="D6501" t="s">
        <v>117</v>
      </c>
      <c r="E6501" t="s">
        <v>13</v>
      </c>
      <c r="F6501">
        <v>1</v>
      </c>
      <c r="G6501" t="str">
        <f>VLOOKUP(D6501,Товары!A:I,3,0)</f>
        <v>Тумба с раковиной  навес. Альба 700 антрацит 2 ящика с умыв. Слим</v>
      </c>
      <c r="H6501">
        <f>VLOOKUP(D6501,Товары!A:I,6,0)</f>
        <v>60</v>
      </c>
      <c r="I6501" t="str">
        <f>VLOOKUP(C6501,Магазины!A:C,3,0)</f>
        <v>Ставрополь</v>
      </c>
      <c r="J6501">
        <f>VLOOKUP(D6501,Товары!A:I,4,0)</f>
        <v>25095</v>
      </c>
      <c r="K6501">
        <f t="shared" si="101"/>
        <v>25095</v>
      </c>
    </row>
    <row r="6502" spans="1:11" hidden="1" x14ac:dyDescent="0.25">
      <c r="A6502">
        <v>6501</v>
      </c>
      <c r="B6502" s="1">
        <v>45750</v>
      </c>
      <c r="C6502" t="s">
        <v>58</v>
      </c>
      <c r="D6502" t="s">
        <v>24</v>
      </c>
      <c r="E6502" t="s">
        <v>13</v>
      </c>
      <c r="F6502">
        <v>2</v>
      </c>
      <c r="G6502" t="str">
        <f>VLOOKUP(D6502,Товары!A:I,3,0)</f>
        <v>Тумба с раковиной  напол. Леон 600 форест 2 ящика с умыв. Слим</v>
      </c>
      <c r="H6502">
        <f>VLOOKUP(D6502,Товары!A:I,6,0)</f>
        <v>80</v>
      </c>
      <c r="I6502" t="str">
        <f>VLOOKUP(C6502,Магазины!A:C,3,0)</f>
        <v>Ставрополь</v>
      </c>
      <c r="J6502">
        <f>VLOOKUP(D6502,Товары!A:I,4,0)</f>
        <v>27150</v>
      </c>
      <c r="K6502">
        <f t="shared" si="101"/>
        <v>54300</v>
      </c>
    </row>
    <row r="6503" spans="1:11" hidden="1" x14ac:dyDescent="0.25">
      <c r="A6503">
        <v>6502</v>
      </c>
      <c r="B6503" s="1">
        <v>45752</v>
      </c>
      <c r="C6503" t="s">
        <v>57</v>
      </c>
      <c r="D6503" t="s">
        <v>126</v>
      </c>
      <c r="E6503" t="s">
        <v>13</v>
      </c>
      <c r="F6503">
        <v>1</v>
      </c>
      <c r="G6503" t="str">
        <f>VLOOKUP(D6503,Товары!A:I,3,0)</f>
        <v>Тумба с раковиной  напол. Кристалл 800 шато азур 2 ящика с умыв. Комфорт</v>
      </c>
      <c r="H6503">
        <f>VLOOKUP(D6503,Товары!A:I,6,0)</f>
        <v>85</v>
      </c>
      <c r="I6503" t="str">
        <f>VLOOKUP(C6503,Магазины!A:C,3,0)</f>
        <v>Оренбург</v>
      </c>
      <c r="J6503">
        <f>VLOOKUP(D6503,Товары!A:I,4,0)</f>
        <v>31125</v>
      </c>
      <c r="K6503">
        <f t="shared" si="101"/>
        <v>31125</v>
      </c>
    </row>
    <row r="6504" spans="1:11" hidden="1" x14ac:dyDescent="0.25">
      <c r="A6504">
        <v>6503</v>
      </c>
      <c r="B6504" s="1">
        <v>45755</v>
      </c>
      <c r="C6504" t="s">
        <v>14</v>
      </c>
      <c r="D6504" t="s">
        <v>37</v>
      </c>
      <c r="E6504" t="s">
        <v>13</v>
      </c>
      <c r="F6504">
        <v>1</v>
      </c>
      <c r="G6504" t="str">
        <f>VLOOKUP(D6504,Товары!A:I,3,0)</f>
        <v>Зеркальный шкаф Сохо 70 белый со светильником правый цвет Белый глянец</v>
      </c>
      <c r="H6504">
        <f>VLOOKUP(D6504,Товары!A:I,6,0)</f>
        <v>75</v>
      </c>
      <c r="I6504" t="str">
        <f>VLOOKUP(C6504,Магазины!A:C,3,0)</f>
        <v>Оренбург</v>
      </c>
      <c r="J6504">
        <f>VLOOKUP(D6504,Товары!A:I,4,0)</f>
        <v>7935</v>
      </c>
      <c r="K6504">
        <f t="shared" si="101"/>
        <v>7935</v>
      </c>
    </row>
    <row r="6505" spans="1:11" hidden="1" x14ac:dyDescent="0.25">
      <c r="A6505">
        <v>6504</v>
      </c>
      <c r="B6505" s="1">
        <v>45755</v>
      </c>
      <c r="C6505" t="s">
        <v>28</v>
      </c>
      <c r="D6505" t="s">
        <v>78</v>
      </c>
      <c r="E6505" t="s">
        <v>13</v>
      </c>
      <c r="F6505">
        <v>3</v>
      </c>
      <c r="G6505" t="str">
        <f>VLOOKUP(D6505,Товары!A:I,3,0)</f>
        <v>Зеркальный шкаф Кристалл 70 со светильником правый, ручка кнопка дуб цвет Шато Азур</v>
      </c>
      <c r="H6505">
        <f>VLOOKUP(D6505,Товары!A:I,6,0)</f>
        <v>75</v>
      </c>
      <c r="I6505" t="str">
        <f>VLOOKUP(C6505,Магазины!A:C,3,0)</f>
        <v>Набережные Челны</v>
      </c>
      <c r="J6505">
        <f>VLOOKUP(D6505,Товары!A:I,4,0)</f>
        <v>9615</v>
      </c>
      <c r="K6505">
        <f t="shared" si="101"/>
        <v>28845</v>
      </c>
    </row>
    <row r="6506" spans="1:11" hidden="1" x14ac:dyDescent="0.25">
      <c r="A6506">
        <v>6505</v>
      </c>
      <c r="B6506" s="1">
        <v>45750</v>
      </c>
      <c r="C6506" t="s">
        <v>48</v>
      </c>
      <c r="D6506" t="s">
        <v>131</v>
      </c>
      <c r="E6506" t="s">
        <v>8</v>
      </c>
      <c r="F6506">
        <v>3</v>
      </c>
      <c r="G6506" t="str">
        <f>VLOOKUP(D6506,Товары!A:I,3,0)</f>
        <v>Тумба с раковиной  напол. Леон 800 форест 2 ящика с умыв. Слим</v>
      </c>
      <c r="H6506">
        <f>VLOOKUP(D6506,Товары!A:I,6,0)</f>
        <v>80</v>
      </c>
      <c r="I6506" t="str">
        <f>VLOOKUP(C6506,Магазины!A:C,3,0)</f>
        <v>Ставрополь</v>
      </c>
      <c r="J6506">
        <f>VLOOKUP(D6506,Товары!A:I,4,0)</f>
        <v>29400</v>
      </c>
      <c r="K6506">
        <f t="shared" si="101"/>
        <v>88200</v>
      </c>
    </row>
    <row r="6507" spans="1:11" hidden="1" x14ac:dyDescent="0.25">
      <c r="A6507">
        <v>6506</v>
      </c>
      <c r="B6507" s="1">
        <v>45754</v>
      </c>
      <c r="C6507" t="s">
        <v>58</v>
      </c>
      <c r="D6507" t="s">
        <v>86</v>
      </c>
      <c r="E6507" t="s">
        <v>13</v>
      </c>
      <c r="F6507">
        <v>1</v>
      </c>
      <c r="G6507" t="str">
        <f>VLOOKUP(D6507,Товары!A:I,3,0)</f>
        <v>Комод Аква 50 напольный 1 ящик 2 двери белый</v>
      </c>
      <c r="H6507">
        <f>VLOOKUP(D6507,Товары!A:I,6,0)</f>
        <v>90</v>
      </c>
      <c r="I6507" t="str">
        <f>VLOOKUP(C6507,Магазины!A:C,3,0)</f>
        <v>Ставрополь</v>
      </c>
      <c r="J6507">
        <f>VLOOKUP(D6507,Товары!A:I,4,0)</f>
        <v>7260</v>
      </c>
      <c r="K6507">
        <f t="shared" si="101"/>
        <v>7260</v>
      </c>
    </row>
    <row r="6508" spans="1:11" hidden="1" x14ac:dyDescent="0.25">
      <c r="A6508">
        <v>6507</v>
      </c>
      <c r="B6508" s="1">
        <v>45749</v>
      </c>
      <c r="C6508" t="s">
        <v>28</v>
      </c>
      <c r="D6508" t="s">
        <v>67</v>
      </c>
      <c r="E6508" t="s">
        <v>8</v>
      </c>
      <c r="F6508">
        <v>1</v>
      </c>
      <c r="G6508" t="str">
        <f>VLOOKUP(D6508,Товары!A:I,3,0)</f>
        <v>Пенал навес./напол. Альба 350 суфле 2 двери</v>
      </c>
      <c r="H6508">
        <f>VLOOKUP(D6508,Товары!A:I,6,0)</f>
        <v>150</v>
      </c>
      <c r="I6508" t="str">
        <f>VLOOKUP(C6508,Магазины!A:C,3,0)</f>
        <v>Набережные Челны</v>
      </c>
      <c r="J6508">
        <f>VLOOKUP(D6508,Товары!A:I,4,0)</f>
        <v>11655</v>
      </c>
      <c r="K6508">
        <f t="shared" si="101"/>
        <v>11655</v>
      </c>
    </row>
    <row r="6509" spans="1:11" hidden="1" x14ac:dyDescent="0.25">
      <c r="A6509">
        <v>6508</v>
      </c>
      <c r="B6509" s="1">
        <v>45748</v>
      </c>
      <c r="C6509" t="s">
        <v>28</v>
      </c>
      <c r="D6509" t="s">
        <v>112</v>
      </c>
      <c r="E6509" t="s">
        <v>13</v>
      </c>
      <c r="F6509">
        <v>1</v>
      </c>
      <c r="G6509" t="str">
        <f>VLOOKUP(D6509,Товары!A:I,3,0)</f>
        <v>Тумба с раковиной  напол. Аква 560 белый 2 двери с умыв. Уют</v>
      </c>
      <c r="H6509">
        <f>VLOOKUP(D6509,Товары!A:I,6,0)</f>
        <v>85</v>
      </c>
      <c r="I6509" t="str">
        <f>VLOOKUP(C6509,Магазины!A:C,3,0)</f>
        <v>Набережные Челны</v>
      </c>
      <c r="J6509">
        <f>VLOOKUP(D6509,Товары!A:I,4,0)</f>
        <v>9330</v>
      </c>
      <c r="K6509">
        <f t="shared" si="101"/>
        <v>9330</v>
      </c>
    </row>
    <row r="6510" spans="1:11" hidden="1" x14ac:dyDescent="0.25">
      <c r="A6510">
        <v>6509</v>
      </c>
      <c r="B6510" s="1">
        <v>45750</v>
      </c>
      <c r="C6510" t="s">
        <v>30</v>
      </c>
      <c r="D6510" t="s">
        <v>121</v>
      </c>
      <c r="E6510" t="s">
        <v>13</v>
      </c>
      <c r="F6510">
        <v>2</v>
      </c>
      <c r="G6510" t="str">
        <f>VLOOKUP(D6510,Товары!A:I,3,0)</f>
        <v>Тумба с раковиной  напол. Куба Риф 600 белый 2 двери с умыв. Como</v>
      </c>
      <c r="H6510">
        <f>VLOOKUP(D6510,Товары!A:I,6,0)</f>
        <v>85</v>
      </c>
      <c r="I6510" t="str">
        <f>VLOOKUP(C6510,Магазины!A:C,3,0)</f>
        <v>Кемерово</v>
      </c>
      <c r="J6510">
        <f>VLOOKUP(D6510,Товары!A:I,4,0)</f>
        <v>13695</v>
      </c>
      <c r="K6510">
        <f t="shared" si="101"/>
        <v>27390</v>
      </c>
    </row>
    <row r="6511" spans="1:11" hidden="1" x14ac:dyDescent="0.25">
      <c r="A6511">
        <v>6510</v>
      </c>
      <c r="B6511" s="1">
        <v>45752</v>
      </c>
      <c r="C6511" t="s">
        <v>22</v>
      </c>
      <c r="D6511" t="s">
        <v>112</v>
      </c>
      <c r="E6511" t="s">
        <v>8</v>
      </c>
      <c r="F6511">
        <v>2</v>
      </c>
      <c r="G6511" t="str">
        <f>VLOOKUP(D6511,Товары!A:I,3,0)</f>
        <v>Тумба с раковиной  напол. Аква 560 белый 2 двери с умыв. Уют</v>
      </c>
      <c r="H6511">
        <f>VLOOKUP(D6511,Товары!A:I,6,0)</f>
        <v>85</v>
      </c>
      <c r="I6511" t="str">
        <f>VLOOKUP(C6511,Магазины!A:C,3,0)</f>
        <v>Кемерово</v>
      </c>
      <c r="J6511">
        <f>VLOOKUP(D6511,Товары!A:I,4,0)</f>
        <v>9330</v>
      </c>
      <c r="K6511">
        <f t="shared" si="101"/>
        <v>18660</v>
      </c>
    </row>
    <row r="6512" spans="1:11" hidden="1" x14ac:dyDescent="0.25">
      <c r="A6512">
        <v>6511</v>
      </c>
      <c r="B6512" s="1">
        <v>45755</v>
      </c>
      <c r="C6512" t="s">
        <v>58</v>
      </c>
      <c r="D6512" t="s">
        <v>79</v>
      </c>
      <c r="E6512" t="s">
        <v>13</v>
      </c>
      <c r="F6512">
        <v>2</v>
      </c>
      <c r="G6512" t="str">
        <f>VLOOKUP(D6512,Товары!A:I,3,0)</f>
        <v>Зеркальный шкаф Альба 70 со светильником правый цвет мята</v>
      </c>
      <c r="H6512">
        <f>VLOOKUP(D6512,Товары!A:I,6,0)</f>
        <v>75</v>
      </c>
      <c r="I6512" t="str">
        <f>VLOOKUP(C6512,Магазины!A:C,3,0)</f>
        <v>Ставрополь</v>
      </c>
      <c r="J6512">
        <f>VLOOKUP(D6512,Товары!A:I,4,0)</f>
        <v>9615</v>
      </c>
      <c r="K6512">
        <f t="shared" si="101"/>
        <v>19230</v>
      </c>
    </row>
    <row r="6513" spans="1:11" hidden="1" x14ac:dyDescent="0.25">
      <c r="A6513">
        <v>6512</v>
      </c>
      <c r="B6513" s="1">
        <v>45749</v>
      </c>
      <c r="C6513" t="s">
        <v>28</v>
      </c>
      <c r="D6513" t="s">
        <v>23</v>
      </c>
      <c r="E6513" t="s">
        <v>8</v>
      </c>
      <c r="F6513">
        <v>3</v>
      </c>
      <c r="G6513" t="str">
        <f>VLOOKUP(D6513,Товары!A:I,3,0)</f>
        <v>Тумба с раковиной  напол. Альба 800 антрацит 2 ящика с умыв. Слим</v>
      </c>
      <c r="H6513">
        <f>VLOOKUP(D6513,Товары!A:I,6,0)</f>
        <v>80</v>
      </c>
      <c r="I6513" t="str">
        <f>VLOOKUP(C6513,Магазины!A:C,3,0)</f>
        <v>Набережные Челны</v>
      </c>
      <c r="J6513">
        <f>VLOOKUP(D6513,Товары!A:I,4,0)</f>
        <v>29340</v>
      </c>
      <c r="K6513">
        <f t="shared" si="101"/>
        <v>88020</v>
      </c>
    </row>
    <row r="6514" spans="1:11" hidden="1" x14ac:dyDescent="0.25">
      <c r="A6514">
        <v>6513</v>
      </c>
      <c r="B6514" s="1">
        <v>45753</v>
      </c>
      <c r="C6514" t="s">
        <v>57</v>
      </c>
      <c r="D6514" t="s">
        <v>84</v>
      </c>
      <c r="E6514" t="s">
        <v>13</v>
      </c>
      <c r="F6514">
        <v>3</v>
      </c>
      <c r="G6514" t="str">
        <f>VLOOKUP(D6514,Товары!A:I,3,0)</f>
        <v>Тумба с раковиной  напол. Куба Риф 800 белый 3 двери с умыв. Слим</v>
      </c>
      <c r="H6514">
        <f>VLOOKUP(D6514,Товары!A:I,6,0)</f>
        <v>85</v>
      </c>
      <c r="I6514" t="str">
        <f>VLOOKUP(C6514,Магазины!A:C,3,0)</f>
        <v>Оренбург</v>
      </c>
      <c r="J6514">
        <f>VLOOKUP(D6514,Товары!A:I,4,0)</f>
        <v>19920</v>
      </c>
      <c r="K6514">
        <f t="shared" si="101"/>
        <v>59760</v>
      </c>
    </row>
    <row r="6515" spans="1:11" hidden="1" x14ac:dyDescent="0.25">
      <c r="A6515">
        <v>6514</v>
      </c>
      <c r="B6515" s="1">
        <v>45754</v>
      </c>
      <c r="C6515" t="s">
        <v>92</v>
      </c>
      <c r="D6515" t="s">
        <v>44</v>
      </c>
      <c r="E6515" t="s">
        <v>8</v>
      </c>
      <c r="F6515">
        <v>1</v>
      </c>
      <c r="G6515" t="str">
        <f>VLOOKUP(D6515,Товары!A:I,3,0)</f>
        <v>Тумба с раковиной  навес. Кристалл 800 шато азур 2 ящика с умыв. Комфорт</v>
      </c>
      <c r="H6515">
        <f>VLOOKUP(D6515,Товары!A:I,6,0)</f>
        <v>55</v>
      </c>
      <c r="I6515" t="str">
        <f>VLOOKUP(C6515,Магазины!A:C,3,0)</f>
        <v>Кемерово</v>
      </c>
      <c r="J6515">
        <f>VLOOKUP(D6515,Товары!A:I,4,0)</f>
        <v>25080</v>
      </c>
      <c r="K6515">
        <f t="shared" si="101"/>
        <v>25080</v>
      </c>
    </row>
    <row r="6516" spans="1:11" hidden="1" x14ac:dyDescent="0.25">
      <c r="A6516">
        <v>6515</v>
      </c>
      <c r="B6516" s="1">
        <v>45750</v>
      </c>
      <c r="C6516" t="s">
        <v>43</v>
      </c>
      <c r="D6516" t="s">
        <v>45</v>
      </c>
      <c r="E6516" t="s">
        <v>13</v>
      </c>
      <c r="F6516">
        <v>1</v>
      </c>
      <c r="G6516" t="str">
        <f>VLOOKUP(D6516,Товары!A:I,3,0)</f>
        <v>Зеркальный шкаф Рица 80 со светильником правый цвет cерый/керамика</v>
      </c>
      <c r="H6516">
        <f>VLOOKUP(D6516,Товары!A:I,6,0)</f>
        <v>75</v>
      </c>
      <c r="I6516" t="str">
        <f>VLOOKUP(C6516,Магазины!A:C,3,0)</f>
        <v>Набережные Челны</v>
      </c>
      <c r="J6516">
        <f>VLOOKUP(D6516,Товары!A:I,4,0)</f>
        <v>9930</v>
      </c>
      <c r="K6516">
        <f t="shared" si="101"/>
        <v>9930</v>
      </c>
    </row>
    <row r="6517" spans="1:11" hidden="1" x14ac:dyDescent="0.25">
      <c r="A6517">
        <v>6516</v>
      </c>
      <c r="B6517" s="1">
        <v>45754</v>
      </c>
      <c r="C6517" t="s">
        <v>35</v>
      </c>
      <c r="D6517" t="s">
        <v>116</v>
      </c>
      <c r="E6517" t="s">
        <v>8</v>
      </c>
      <c r="F6517">
        <v>2</v>
      </c>
      <c r="G6517" t="str">
        <f>VLOOKUP(D6517,Товары!A:I,3,0)</f>
        <v>Зеркало Нева 60 дуб/белый со светильником</v>
      </c>
      <c r="H6517">
        <f>VLOOKUP(D6517,Товары!A:I,6,0)</f>
        <v>80</v>
      </c>
      <c r="I6517" t="str">
        <f>VLOOKUP(C6517,Магазины!A:C,3,0)</f>
        <v>Набережные Челны</v>
      </c>
      <c r="J6517">
        <f>VLOOKUP(D6517,Товары!A:I,4,0)</f>
        <v>5100</v>
      </c>
      <c r="K6517">
        <f t="shared" si="101"/>
        <v>10200</v>
      </c>
    </row>
    <row r="6518" spans="1:11" hidden="1" x14ac:dyDescent="0.25">
      <c r="A6518">
        <v>6517</v>
      </c>
      <c r="B6518" s="1">
        <v>45754</v>
      </c>
      <c r="C6518" t="s">
        <v>20</v>
      </c>
      <c r="D6518" t="s">
        <v>117</v>
      </c>
      <c r="E6518" t="s">
        <v>8</v>
      </c>
      <c r="F6518">
        <v>2</v>
      </c>
      <c r="G6518" t="str">
        <f>VLOOKUP(D6518,Товары!A:I,3,0)</f>
        <v>Тумба с раковиной  навес. Альба 700 антрацит 2 ящика с умыв. Слим</v>
      </c>
      <c r="H6518">
        <f>VLOOKUP(D6518,Товары!A:I,6,0)</f>
        <v>60</v>
      </c>
      <c r="I6518" t="str">
        <f>VLOOKUP(C6518,Магазины!A:C,3,0)</f>
        <v>Оренбург</v>
      </c>
      <c r="J6518">
        <f>VLOOKUP(D6518,Товары!A:I,4,0)</f>
        <v>25095</v>
      </c>
      <c r="K6518">
        <f t="shared" si="101"/>
        <v>50190</v>
      </c>
    </row>
    <row r="6519" spans="1:11" hidden="1" x14ac:dyDescent="0.25">
      <c r="A6519">
        <v>6518</v>
      </c>
      <c r="B6519" s="1">
        <v>45754</v>
      </c>
      <c r="C6519" t="s">
        <v>11</v>
      </c>
      <c r="D6519" t="s">
        <v>31</v>
      </c>
      <c r="E6519" t="s">
        <v>8</v>
      </c>
      <c r="F6519">
        <v>2</v>
      </c>
      <c r="G6519" t="str">
        <f>VLOOKUP(D6519,Товары!A:I,3,0)</f>
        <v>Пенал напол. Виктория 350 белый 2 двери</v>
      </c>
      <c r="H6519">
        <f>VLOOKUP(D6519,Товары!A:I,6,0)</f>
        <v>190</v>
      </c>
      <c r="I6519" t="str">
        <f>VLOOKUP(C6519,Магазины!A:C,3,0)</f>
        <v>Кемерово</v>
      </c>
      <c r="J6519">
        <f>VLOOKUP(D6519,Товары!A:I,4,0)</f>
        <v>14085</v>
      </c>
      <c r="K6519">
        <f t="shared" si="101"/>
        <v>28170</v>
      </c>
    </row>
    <row r="6520" spans="1:11" hidden="1" x14ac:dyDescent="0.25">
      <c r="A6520">
        <v>6519</v>
      </c>
      <c r="B6520" s="1">
        <v>45748</v>
      </c>
      <c r="C6520" t="s">
        <v>6</v>
      </c>
      <c r="D6520" t="s">
        <v>107</v>
      </c>
      <c r="E6520" t="s">
        <v>13</v>
      </c>
      <c r="F6520">
        <v>3</v>
      </c>
      <c r="G6520" t="str">
        <f>VLOOKUP(D6520,Товары!A:I,3,0)</f>
        <v>Комод Аква 35 напольный 1 дверь белый правый</v>
      </c>
      <c r="H6520">
        <f>VLOOKUP(D6520,Товары!A:I,6,0)</f>
        <v>90</v>
      </c>
      <c r="I6520" t="str">
        <f>VLOOKUP(C6520,Магазины!A:C,3,0)</f>
        <v>Оренбург</v>
      </c>
      <c r="J6520">
        <f>VLOOKUP(D6520,Товары!A:I,4,0)</f>
        <v>6705</v>
      </c>
      <c r="K6520">
        <f t="shared" si="101"/>
        <v>20115</v>
      </c>
    </row>
    <row r="6521" spans="1:11" hidden="1" x14ac:dyDescent="0.25">
      <c r="A6521">
        <v>6520</v>
      </c>
      <c r="B6521" s="1">
        <v>45757</v>
      </c>
      <c r="C6521" t="s">
        <v>58</v>
      </c>
      <c r="D6521" t="s">
        <v>53</v>
      </c>
      <c r="E6521" t="s">
        <v>8</v>
      </c>
      <c r="F6521">
        <v>1</v>
      </c>
      <c r="G6521" t="str">
        <f>VLOOKUP(D6521,Товары!A:I,3,0)</f>
        <v>Тумба с раковиной  напол. Кристалл 600 шато азур 2 ящика с умыв. Океан</v>
      </c>
      <c r="H6521">
        <f>VLOOKUP(D6521,Товары!A:I,6,0)</f>
        <v>85</v>
      </c>
      <c r="I6521" t="str">
        <f>VLOOKUP(C6521,Магазины!A:C,3,0)</f>
        <v>Ставрополь</v>
      </c>
      <c r="J6521">
        <f>VLOOKUP(D6521,Товары!A:I,4,0)</f>
        <v>27600</v>
      </c>
      <c r="K6521">
        <f t="shared" si="101"/>
        <v>27600</v>
      </c>
    </row>
    <row r="6522" spans="1:11" hidden="1" x14ac:dyDescent="0.25">
      <c r="A6522">
        <v>6521</v>
      </c>
      <c r="B6522" s="1">
        <v>45753</v>
      </c>
      <c r="C6522" t="s">
        <v>28</v>
      </c>
      <c r="D6522" t="s">
        <v>32</v>
      </c>
      <c r="E6522" t="s">
        <v>13</v>
      </c>
      <c r="F6522">
        <v>2</v>
      </c>
      <c r="G6522" t="str">
        <f>VLOOKUP(D6522,Товары!A:I,3,0)</f>
        <v>Тумба с раковиной  напол. Леон Риф 700 солярис/белый риф 2 ящика с умыв. Слим</v>
      </c>
      <c r="H6522">
        <f>VLOOKUP(D6522,Товары!A:I,6,0)</f>
        <v>85</v>
      </c>
      <c r="I6522" t="str">
        <f>VLOOKUP(C6522,Магазины!A:C,3,0)</f>
        <v>Набережные Челны</v>
      </c>
      <c r="J6522">
        <f>VLOOKUP(D6522,Товары!A:I,4,0)</f>
        <v>26460</v>
      </c>
      <c r="K6522">
        <f t="shared" si="101"/>
        <v>52920</v>
      </c>
    </row>
    <row r="6523" spans="1:11" hidden="1" x14ac:dyDescent="0.25">
      <c r="A6523">
        <v>6522</v>
      </c>
      <c r="B6523" s="1">
        <v>45755</v>
      </c>
      <c r="C6523" t="s">
        <v>103</v>
      </c>
      <c r="D6523" t="s">
        <v>115</v>
      </c>
      <c r="E6523" t="s">
        <v>8</v>
      </c>
      <c r="F6523">
        <v>2</v>
      </c>
      <c r="G6523" t="str">
        <f>VLOOKUP(D6523,Товары!A:I,3,0)</f>
        <v>Тумба под стиральную машину Куба Риф 57 напольная 2 ящика под ст/маш, без умывальника /под Marshall 120 Белый</v>
      </c>
      <c r="H6523">
        <f>VLOOKUP(D6523,Товары!A:I,6,0)</f>
        <v>85</v>
      </c>
      <c r="I6523" t="str">
        <f>VLOOKUP(C6523,Магазины!A:C,3,0)</f>
        <v>Ставрополь</v>
      </c>
      <c r="J6523">
        <f>VLOOKUP(D6523,Товары!A:I,4,0)</f>
        <v>10530</v>
      </c>
      <c r="K6523">
        <f t="shared" si="101"/>
        <v>21060</v>
      </c>
    </row>
    <row r="6524" spans="1:11" hidden="1" x14ac:dyDescent="0.25">
      <c r="A6524">
        <v>6523</v>
      </c>
      <c r="B6524" s="1">
        <v>45748</v>
      </c>
      <c r="C6524" t="s">
        <v>48</v>
      </c>
      <c r="D6524" t="s">
        <v>128</v>
      </c>
      <c r="E6524" t="s">
        <v>8</v>
      </c>
      <c r="F6524">
        <v>1</v>
      </c>
      <c r="G6524" t="str">
        <f>VLOOKUP(D6524,Товары!A:I,3,0)</f>
        <v>Тумба с раковиной  напол. Куба Риф 1000 белый 2 ящика с умыв. Слим</v>
      </c>
      <c r="H6524">
        <f>VLOOKUP(D6524,Товары!A:I,6,0)</f>
        <v>85</v>
      </c>
      <c r="I6524" t="str">
        <f>VLOOKUP(C6524,Магазины!A:C,3,0)</f>
        <v>Ставрополь</v>
      </c>
      <c r="J6524">
        <f>VLOOKUP(D6524,Товары!A:I,4,0)</f>
        <v>22905</v>
      </c>
      <c r="K6524">
        <f t="shared" si="101"/>
        <v>22905</v>
      </c>
    </row>
    <row r="6525" spans="1:11" hidden="1" x14ac:dyDescent="0.25">
      <c r="A6525">
        <v>6524</v>
      </c>
      <c r="B6525" s="1">
        <v>45750</v>
      </c>
      <c r="C6525" t="s">
        <v>14</v>
      </c>
      <c r="D6525" t="s">
        <v>12</v>
      </c>
      <c r="E6525" t="s">
        <v>8</v>
      </c>
      <c r="F6525">
        <v>2</v>
      </c>
      <c r="G6525" t="str">
        <f>VLOOKUP(D6525,Товары!A:I,3,0)</f>
        <v>Тумба с раковиной  напол. Сохо 700 белый 2 двери с умыв. Слим</v>
      </c>
      <c r="H6525">
        <f>VLOOKUP(D6525,Товары!A:I,6,0)</f>
        <v>85</v>
      </c>
      <c r="I6525" t="str">
        <f>VLOOKUP(C6525,Магазины!A:C,3,0)</f>
        <v>Оренбург</v>
      </c>
      <c r="J6525">
        <f>VLOOKUP(D6525,Товары!A:I,4,0)</f>
        <v>17160</v>
      </c>
      <c r="K6525">
        <f t="shared" si="101"/>
        <v>34320</v>
      </c>
    </row>
    <row r="6526" spans="1:11" hidden="1" x14ac:dyDescent="0.25">
      <c r="A6526">
        <v>6525</v>
      </c>
      <c r="B6526" s="1">
        <v>45749</v>
      </c>
      <c r="C6526" t="s">
        <v>103</v>
      </c>
      <c r="D6526" t="s">
        <v>15</v>
      </c>
      <c r="E6526" t="s">
        <v>13</v>
      </c>
      <c r="F6526">
        <v>1</v>
      </c>
      <c r="G6526" t="str">
        <f>VLOOKUP(D6526,Товары!A:I,3,0)</f>
        <v>Зеркальный шкаф Кристалл 60 со светильником правый, ручка кнопка дуб цвет Шато Азур</v>
      </c>
      <c r="H6526">
        <f>VLOOKUP(D6526,Товары!A:I,6,0)</f>
        <v>75</v>
      </c>
      <c r="I6526" t="str">
        <f>VLOOKUP(C6526,Магазины!A:C,3,0)</f>
        <v>Ставрополь</v>
      </c>
      <c r="J6526">
        <f>VLOOKUP(D6526,Товары!A:I,4,0)</f>
        <v>9195</v>
      </c>
      <c r="K6526">
        <f t="shared" si="101"/>
        <v>9195</v>
      </c>
    </row>
    <row r="6527" spans="1:11" hidden="1" x14ac:dyDescent="0.25">
      <c r="A6527">
        <v>6526</v>
      </c>
      <c r="B6527" s="1">
        <v>45751</v>
      </c>
      <c r="C6527" t="s">
        <v>63</v>
      </c>
      <c r="D6527" t="s">
        <v>119</v>
      </c>
      <c r="E6527" t="s">
        <v>8</v>
      </c>
      <c r="F6527">
        <v>2</v>
      </c>
      <c r="G6527" t="str">
        <f>VLOOKUP(D6527,Товары!A:I,3,0)</f>
        <v>Пенал навес./напол. Рица 350 cерый/керамика 2 двери</v>
      </c>
      <c r="H6527">
        <f>VLOOKUP(D6527,Товары!A:I,6,0)</f>
        <v>160</v>
      </c>
      <c r="I6527" t="str">
        <f>VLOOKUP(C6527,Магазины!A:C,3,0)</f>
        <v>Ставрополь</v>
      </c>
      <c r="J6527">
        <f>VLOOKUP(D6527,Товары!A:I,4,0)</f>
        <v>11250</v>
      </c>
      <c r="K6527">
        <f t="shared" si="101"/>
        <v>22500</v>
      </c>
    </row>
    <row r="6528" spans="1:11" hidden="1" x14ac:dyDescent="0.25">
      <c r="A6528">
        <v>6527</v>
      </c>
      <c r="B6528" s="1">
        <v>45750</v>
      </c>
      <c r="C6528" t="s">
        <v>11</v>
      </c>
      <c r="D6528" t="s">
        <v>73</v>
      </c>
      <c r="E6528" t="s">
        <v>8</v>
      </c>
      <c r="F6528">
        <v>2</v>
      </c>
      <c r="G6528" t="str">
        <f>VLOOKUP(D6528,Товары!A:I,3,0)</f>
        <v>Зеркальный шкаф Альба 70 со светильником правый цвет антрацит</v>
      </c>
      <c r="H6528">
        <f>VLOOKUP(D6528,Товары!A:I,6,0)</f>
        <v>75</v>
      </c>
      <c r="I6528" t="str">
        <f>VLOOKUP(C6528,Магазины!A:C,3,0)</f>
        <v>Кемерово</v>
      </c>
      <c r="J6528">
        <f>VLOOKUP(D6528,Товары!A:I,4,0)</f>
        <v>9615</v>
      </c>
      <c r="K6528">
        <f t="shared" si="101"/>
        <v>19230</v>
      </c>
    </row>
    <row r="6529" spans="1:11" hidden="1" x14ac:dyDescent="0.25">
      <c r="A6529">
        <v>6528</v>
      </c>
      <c r="B6529" s="1">
        <v>45752</v>
      </c>
      <c r="C6529" t="s">
        <v>14</v>
      </c>
      <c r="D6529" t="s">
        <v>25</v>
      </c>
      <c r="E6529" t="s">
        <v>8</v>
      </c>
      <c r="F6529">
        <v>2</v>
      </c>
      <c r="G6529" t="str">
        <f>VLOOKUP(D6529,Товары!A:I,3,0)</f>
        <v>Пенал напол. Леон 400 оникс 2 двери + 1 ящик</v>
      </c>
      <c r="H6529">
        <f>VLOOKUP(D6529,Товары!A:I,6,0)</f>
        <v>190</v>
      </c>
      <c r="I6529" t="str">
        <f>VLOOKUP(C6529,Магазины!A:C,3,0)</f>
        <v>Оренбург</v>
      </c>
      <c r="J6529">
        <f>VLOOKUP(D6529,Товары!A:I,4,0)</f>
        <v>18450</v>
      </c>
      <c r="K6529">
        <f t="shared" si="101"/>
        <v>36900</v>
      </c>
    </row>
    <row r="6530" spans="1:11" hidden="1" x14ac:dyDescent="0.25">
      <c r="A6530">
        <v>6529</v>
      </c>
      <c r="B6530" s="1">
        <v>45750</v>
      </c>
      <c r="C6530" t="s">
        <v>58</v>
      </c>
      <c r="D6530" t="s">
        <v>108</v>
      </c>
      <c r="E6530" t="s">
        <v>8</v>
      </c>
      <c r="F6530">
        <v>2</v>
      </c>
      <c r="G6530" t="str">
        <f>VLOOKUP(D6530,Товары!A:I,3,0)</f>
        <v>Тумба с раковиной  навес. Виктория 1000 белый 2 ящика с умыв. Слим</v>
      </c>
      <c r="H6530">
        <f>VLOOKUP(D6530,Товары!A:I,6,0)</f>
        <v>60</v>
      </c>
      <c r="I6530" t="str">
        <f>VLOOKUP(C6530,Магазины!A:C,3,0)</f>
        <v>Ставрополь</v>
      </c>
      <c r="J6530">
        <f>VLOOKUP(D6530,Товары!A:I,4,0)</f>
        <v>29205</v>
      </c>
      <c r="K6530">
        <f t="shared" si="101"/>
        <v>58410</v>
      </c>
    </row>
    <row r="6531" spans="1:11" hidden="1" x14ac:dyDescent="0.25">
      <c r="A6531">
        <v>6530</v>
      </c>
      <c r="B6531" s="1">
        <v>45748</v>
      </c>
      <c r="C6531" t="s">
        <v>6</v>
      </c>
      <c r="D6531" t="s">
        <v>62</v>
      </c>
      <c r="E6531" t="s">
        <v>13</v>
      </c>
      <c r="F6531">
        <v>2</v>
      </c>
      <c r="G6531" t="str">
        <f>VLOOKUP(D6531,Товары!A:I,3,0)</f>
        <v>Тумба с раковиной  напол. Альба 600 мята 2 ящика с умыв. Океан</v>
      </c>
      <c r="H6531">
        <f>VLOOKUP(D6531,Товары!A:I,6,0)</f>
        <v>80</v>
      </c>
      <c r="I6531" t="str">
        <f>VLOOKUP(C6531,Магазины!A:C,3,0)</f>
        <v>Оренбург</v>
      </c>
      <c r="J6531">
        <f>VLOOKUP(D6531,Товары!A:I,4,0)</f>
        <v>26370</v>
      </c>
      <c r="K6531">
        <f t="shared" ref="K6531:K6594" si="102">J6531*F6531</f>
        <v>52740</v>
      </c>
    </row>
    <row r="6532" spans="1:11" hidden="1" x14ac:dyDescent="0.25">
      <c r="A6532">
        <v>6531</v>
      </c>
      <c r="B6532" s="1">
        <v>45755</v>
      </c>
      <c r="C6532" t="s">
        <v>92</v>
      </c>
      <c r="D6532" t="s">
        <v>60</v>
      </c>
      <c r="E6532" t="s">
        <v>13</v>
      </c>
      <c r="F6532">
        <v>3</v>
      </c>
      <c r="G6532" t="str">
        <f>VLOOKUP(D6532,Товары!A:I,3,0)</f>
        <v>Пенал навес. Куба Риф 350 белый 2 двери</v>
      </c>
      <c r="H6532">
        <f>VLOOKUP(D6532,Товары!A:I,6,0)</f>
        <v>150</v>
      </c>
      <c r="I6532" t="str">
        <f>VLOOKUP(C6532,Магазины!A:C,3,0)</f>
        <v>Кемерово</v>
      </c>
      <c r="J6532">
        <f>VLOOKUP(D6532,Товары!A:I,4,0)</f>
        <v>9720</v>
      </c>
      <c r="K6532">
        <f t="shared" si="102"/>
        <v>29160</v>
      </c>
    </row>
    <row r="6533" spans="1:11" hidden="1" x14ac:dyDescent="0.25">
      <c r="A6533">
        <v>6532</v>
      </c>
      <c r="B6533" s="1">
        <v>45756</v>
      </c>
      <c r="C6533" t="s">
        <v>33</v>
      </c>
      <c r="D6533" t="s">
        <v>113</v>
      </c>
      <c r="E6533" t="s">
        <v>13</v>
      </c>
      <c r="F6533">
        <v>2</v>
      </c>
      <c r="G6533" t="str">
        <f>VLOOKUP(D6533,Товары!A:I,3,0)</f>
        <v>Зеркальный шкаф Альба 60 со светильником правый цвет мята</v>
      </c>
      <c r="H6533">
        <f>VLOOKUP(D6533,Товары!A:I,6,0)</f>
        <v>75</v>
      </c>
      <c r="I6533" t="str">
        <f>VLOOKUP(C6533,Магазины!A:C,3,0)</f>
        <v>Набережные Челны</v>
      </c>
      <c r="J6533">
        <f>VLOOKUP(D6533,Товары!A:I,4,0)</f>
        <v>8910</v>
      </c>
      <c r="K6533">
        <f t="shared" si="102"/>
        <v>17820</v>
      </c>
    </row>
    <row r="6534" spans="1:11" hidden="1" x14ac:dyDescent="0.25">
      <c r="A6534">
        <v>6533</v>
      </c>
      <c r="B6534" s="1">
        <v>45756</v>
      </c>
      <c r="C6534" t="s">
        <v>41</v>
      </c>
      <c r="D6534" t="s">
        <v>109</v>
      </c>
      <c r="E6534" t="s">
        <v>13</v>
      </c>
      <c r="F6534">
        <v>2</v>
      </c>
      <c r="G6534" t="str">
        <f>VLOOKUP(D6534,Товары!A:I,3,0)</f>
        <v>Тумба с раковиной  навес. Альба 600 антрацит 2 ящика с умыв. Океан</v>
      </c>
      <c r="H6534">
        <f>VLOOKUP(D6534,Товары!A:I,6,0)</f>
        <v>50</v>
      </c>
      <c r="I6534" t="str">
        <f>VLOOKUP(C6534,Магазины!A:C,3,0)</f>
        <v>Ставрополь</v>
      </c>
      <c r="J6534">
        <f>VLOOKUP(D6534,Товары!A:I,4,0)</f>
        <v>24810</v>
      </c>
      <c r="K6534">
        <f t="shared" si="102"/>
        <v>49620</v>
      </c>
    </row>
    <row r="6535" spans="1:11" hidden="1" x14ac:dyDescent="0.25">
      <c r="A6535">
        <v>6534</v>
      </c>
      <c r="B6535" s="1">
        <v>45755</v>
      </c>
      <c r="C6535" t="s">
        <v>54</v>
      </c>
      <c r="D6535" t="s">
        <v>34</v>
      </c>
      <c r="E6535" t="s">
        <v>8</v>
      </c>
      <c r="F6535">
        <v>2</v>
      </c>
      <c r="G6535" t="str">
        <f>VLOOKUP(D6535,Товары!A:I,3,0)</f>
        <v>Тумба с раковиной  навес. Леон 700 форест 2 ящика с умыв. Слим</v>
      </c>
      <c r="H6535">
        <f>VLOOKUP(D6535,Товары!A:I,6,0)</f>
        <v>60</v>
      </c>
      <c r="I6535" t="str">
        <f>VLOOKUP(C6535,Магазины!A:C,3,0)</f>
        <v>Ставрополь</v>
      </c>
      <c r="J6535">
        <f>VLOOKUP(D6535,Товары!A:I,4,0)</f>
        <v>26220</v>
      </c>
      <c r="K6535">
        <f t="shared" si="102"/>
        <v>52440</v>
      </c>
    </row>
    <row r="6536" spans="1:11" hidden="1" x14ac:dyDescent="0.25">
      <c r="A6536">
        <v>6535</v>
      </c>
      <c r="B6536" s="1">
        <v>45748</v>
      </c>
      <c r="C6536" t="s">
        <v>103</v>
      </c>
      <c r="D6536" t="s">
        <v>17</v>
      </c>
      <c r="E6536" t="s">
        <v>13</v>
      </c>
      <c r="F6536">
        <v>1</v>
      </c>
      <c r="G6536" t="str">
        <f>VLOOKUP(D6536,Товары!A:I,3,0)</f>
        <v>Тумба с раковиной  навес. Альба 800 антрацит 1 ящик с умыв. Слим</v>
      </c>
      <c r="H6536">
        <f>VLOOKUP(D6536,Товары!A:I,6,0)</f>
        <v>45</v>
      </c>
      <c r="I6536" t="str">
        <f>VLOOKUP(C6536,Магазины!A:C,3,0)</f>
        <v>Ставрополь</v>
      </c>
      <c r="J6536">
        <f>VLOOKUP(D6536,Товары!A:I,4,0)</f>
        <v>21630</v>
      </c>
      <c r="K6536">
        <f t="shared" si="102"/>
        <v>21630</v>
      </c>
    </row>
    <row r="6537" spans="1:11" hidden="1" x14ac:dyDescent="0.25">
      <c r="A6537">
        <v>6536</v>
      </c>
      <c r="B6537" s="1">
        <v>45753</v>
      </c>
      <c r="C6537" t="s">
        <v>41</v>
      </c>
      <c r="D6537" t="s">
        <v>116</v>
      </c>
      <c r="E6537" t="s">
        <v>8</v>
      </c>
      <c r="F6537">
        <v>3</v>
      </c>
      <c r="G6537" t="str">
        <f>VLOOKUP(D6537,Товары!A:I,3,0)</f>
        <v>Зеркало Нева 60 дуб/белый со светильником</v>
      </c>
      <c r="H6537">
        <f>VLOOKUP(D6537,Товары!A:I,6,0)</f>
        <v>80</v>
      </c>
      <c r="I6537" t="str">
        <f>VLOOKUP(C6537,Магазины!A:C,3,0)</f>
        <v>Ставрополь</v>
      </c>
      <c r="J6537">
        <f>VLOOKUP(D6537,Товары!A:I,4,0)</f>
        <v>5100</v>
      </c>
      <c r="K6537">
        <f t="shared" si="102"/>
        <v>15300</v>
      </c>
    </row>
    <row r="6538" spans="1:11" hidden="1" x14ac:dyDescent="0.25">
      <c r="A6538">
        <v>6537</v>
      </c>
      <c r="B6538" s="1">
        <v>45751</v>
      </c>
      <c r="C6538" t="s">
        <v>28</v>
      </c>
      <c r="D6538" t="s">
        <v>50</v>
      </c>
      <c r="E6538" t="s">
        <v>13</v>
      </c>
      <c r="F6538">
        <v>3</v>
      </c>
      <c r="G6538" t="str">
        <f>VLOOKUP(D6538,Товары!A:I,3,0)</f>
        <v>Тумба с раковиной  напол. Леон 800 оникс 2 ящика с умыв. Слим</v>
      </c>
      <c r="H6538">
        <f>VLOOKUP(D6538,Товары!A:I,6,0)</f>
        <v>80</v>
      </c>
      <c r="I6538" t="str">
        <f>VLOOKUP(C6538,Магазины!A:C,3,0)</f>
        <v>Набережные Челны</v>
      </c>
      <c r="J6538">
        <f>VLOOKUP(D6538,Товары!A:I,4,0)</f>
        <v>29400</v>
      </c>
      <c r="K6538">
        <f t="shared" si="102"/>
        <v>88200</v>
      </c>
    </row>
    <row r="6539" spans="1:11" hidden="1" x14ac:dyDescent="0.25">
      <c r="A6539">
        <v>6538</v>
      </c>
      <c r="B6539" s="1">
        <v>45748</v>
      </c>
      <c r="C6539" t="s">
        <v>57</v>
      </c>
      <c r="D6539" t="s">
        <v>98</v>
      </c>
      <c r="E6539" t="s">
        <v>8</v>
      </c>
      <c r="F6539">
        <v>2</v>
      </c>
      <c r="G6539" t="str">
        <f>VLOOKUP(D6539,Товары!A:I,3,0)</f>
        <v>Тумба с раковиной  напол. Рица 800 cерый/керамика 2 ящика с умыв. Слим</v>
      </c>
      <c r="H6539">
        <f>VLOOKUP(D6539,Товары!A:I,6,0)</f>
        <v>80</v>
      </c>
      <c r="I6539" t="str">
        <f>VLOOKUP(C6539,Магазины!A:C,3,0)</f>
        <v>Оренбург</v>
      </c>
      <c r="J6539">
        <f>VLOOKUP(D6539,Товары!A:I,4,0)</f>
        <v>28980</v>
      </c>
      <c r="K6539">
        <f t="shared" si="102"/>
        <v>57960</v>
      </c>
    </row>
    <row r="6540" spans="1:11" hidden="1" x14ac:dyDescent="0.25">
      <c r="A6540">
        <v>6539</v>
      </c>
      <c r="B6540" s="1">
        <v>45753</v>
      </c>
      <c r="C6540" t="s">
        <v>63</v>
      </c>
      <c r="D6540" t="s">
        <v>60</v>
      </c>
      <c r="E6540" t="s">
        <v>8</v>
      </c>
      <c r="F6540">
        <v>1</v>
      </c>
      <c r="G6540" t="str">
        <f>VLOOKUP(D6540,Товары!A:I,3,0)</f>
        <v>Пенал навес. Куба Риф 350 белый 2 двери</v>
      </c>
      <c r="H6540">
        <f>VLOOKUP(D6540,Товары!A:I,6,0)</f>
        <v>150</v>
      </c>
      <c r="I6540" t="str">
        <f>VLOOKUP(C6540,Магазины!A:C,3,0)</f>
        <v>Ставрополь</v>
      </c>
      <c r="J6540">
        <f>VLOOKUP(D6540,Товары!A:I,4,0)</f>
        <v>9720</v>
      </c>
      <c r="K6540">
        <f t="shared" si="102"/>
        <v>9720</v>
      </c>
    </row>
    <row r="6541" spans="1:11" hidden="1" x14ac:dyDescent="0.25">
      <c r="A6541">
        <v>6540</v>
      </c>
      <c r="B6541" s="1">
        <v>45756</v>
      </c>
      <c r="C6541" t="s">
        <v>92</v>
      </c>
      <c r="D6541" t="s">
        <v>78</v>
      </c>
      <c r="E6541" t="s">
        <v>8</v>
      </c>
      <c r="F6541">
        <v>2</v>
      </c>
      <c r="G6541" t="str">
        <f>VLOOKUP(D6541,Товары!A:I,3,0)</f>
        <v>Зеркальный шкаф Кристалл 70 со светильником правый, ручка кнопка дуб цвет Шато Азур</v>
      </c>
      <c r="H6541">
        <f>VLOOKUP(D6541,Товары!A:I,6,0)</f>
        <v>75</v>
      </c>
      <c r="I6541" t="str">
        <f>VLOOKUP(C6541,Магазины!A:C,3,0)</f>
        <v>Кемерово</v>
      </c>
      <c r="J6541">
        <f>VLOOKUP(D6541,Товары!A:I,4,0)</f>
        <v>9615</v>
      </c>
      <c r="K6541">
        <f t="shared" si="102"/>
        <v>19230</v>
      </c>
    </row>
    <row r="6542" spans="1:11" hidden="1" x14ac:dyDescent="0.25">
      <c r="A6542">
        <v>6541</v>
      </c>
      <c r="B6542" s="1">
        <v>45752</v>
      </c>
      <c r="C6542" t="s">
        <v>35</v>
      </c>
      <c r="D6542" t="s">
        <v>70</v>
      </c>
      <c r="E6542" t="s">
        <v>8</v>
      </c>
      <c r="F6542">
        <v>1</v>
      </c>
      <c r="G6542" t="str">
        <f>VLOOKUP(D6542,Товары!A:I,3,0)</f>
        <v>Тумба с раковиной  напол. Кристалл 700 шато азур 2 ящика с умыв. Слим</v>
      </c>
      <c r="H6542">
        <f>VLOOKUP(D6542,Товары!A:I,6,0)</f>
        <v>85</v>
      </c>
      <c r="I6542" t="str">
        <f>VLOOKUP(C6542,Магазины!A:C,3,0)</f>
        <v>Набережные Челны</v>
      </c>
      <c r="J6542">
        <f>VLOOKUP(D6542,Товары!A:I,4,0)</f>
        <v>29910</v>
      </c>
      <c r="K6542">
        <f t="shared" si="102"/>
        <v>29910</v>
      </c>
    </row>
    <row r="6543" spans="1:11" hidden="1" x14ac:dyDescent="0.25">
      <c r="A6543">
        <v>6542</v>
      </c>
      <c r="B6543" s="1">
        <v>45752</v>
      </c>
      <c r="C6543" t="s">
        <v>35</v>
      </c>
      <c r="D6543" t="s">
        <v>78</v>
      </c>
      <c r="E6543" t="s">
        <v>13</v>
      </c>
      <c r="F6543">
        <v>1</v>
      </c>
      <c r="G6543" t="str">
        <f>VLOOKUP(D6543,Товары!A:I,3,0)</f>
        <v>Зеркальный шкаф Кристалл 70 со светильником правый, ручка кнопка дуб цвет Шато Азур</v>
      </c>
      <c r="H6543">
        <f>VLOOKUP(D6543,Товары!A:I,6,0)</f>
        <v>75</v>
      </c>
      <c r="I6543" t="str">
        <f>VLOOKUP(C6543,Магазины!A:C,3,0)</f>
        <v>Набережные Челны</v>
      </c>
      <c r="J6543">
        <f>VLOOKUP(D6543,Товары!A:I,4,0)</f>
        <v>9615</v>
      </c>
      <c r="K6543">
        <f t="shared" si="102"/>
        <v>9615</v>
      </c>
    </row>
    <row r="6544" spans="1:11" hidden="1" x14ac:dyDescent="0.25">
      <c r="A6544">
        <v>6543</v>
      </c>
      <c r="B6544" s="1">
        <v>45750</v>
      </c>
      <c r="C6544" t="s">
        <v>58</v>
      </c>
      <c r="D6544" t="s">
        <v>118</v>
      </c>
      <c r="E6544" t="s">
        <v>8</v>
      </c>
      <c r="F6544">
        <v>3</v>
      </c>
      <c r="G6544" t="str">
        <f>VLOOKUP(D6544,Товары!A:I,3,0)</f>
        <v>Тумба с раковиной  напол. Сохо 800 белый 2 ящика с умыв. Слим</v>
      </c>
      <c r="H6544">
        <f>VLOOKUP(D6544,Товары!A:I,6,0)</f>
        <v>85</v>
      </c>
      <c r="I6544" t="str">
        <f>VLOOKUP(C6544,Магазины!A:C,3,0)</f>
        <v>Ставрополь</v>
      </c>
      <c r="J6544">
        <f>VLOOKUP(D6544,Товары!A:I,4,0)</f>
        <v>19575</v>
      </c>
      <c r="K6544">
        <f t="shared" si="102"/>
        <v>58725</v>
      </c>
    </row>
    <row r="6545" spans="1:11" hidden="1" x14ac:dyDescent="0.25">
      <c r="A6545">
        <v>6544</v>
      </c>
      <c r="B6545" s="1">
        <v>45749</v>
      </c>
      <c r="C6545" t="s">
        <v>54</v>
      </c>
      <c r="D6545" t="s">
        <v>117</v>
      </c>
      <c r="E6545" t="s">
        <v>8</v>
      </c>
      <c r="F6545">
        <v>1</v>
      </c>
      <c r="G6545" t="str">
        <f>VLOOKUP(D6545,Товары!A:I,3,0)</f>
        <v>Тумба с раковиной  навес. Альба 700 антрацит 2 ящика с умыв. Слим</v>
      </c>
      <c r="H6545">
        <f>VLOOKUP(D6545,Товары!A:I,6,0)</f>
        <v>60</v>
      </c>
      <c r="I6545" t="str">
        <f>VLOOKUP(C6545,Магазины!A:C,3,0)</f>
        <v>Ставрополь</v>
      </c>
      <c r="J6545">
        <f>VLOOKUP(D6545,Товары!A:I,4,0)</f>
        <v>25095</v>
      </c>
      <c r="K6545">
        <f t="shared" si="102"/>
        <v>25095</v>
      </c>
    </row>
    <row r="6546" spans="1:11" hidden="1" x14ac:dyDescent="0.25">
      <c r="A6546">
        <v>6545</v>
      </c>
      <c r="B6546" s="1">
        <v>45751</v>
      </c>
      <c r="C6546" t="s">
        <v>58</v>
      </c>
      <c r="D6546" t="s">
        <v>69</v>
      </c>
      <c r="E6546" t="s">
        <v>8</v>
      </c>
      <c r="F6546">
        <v>2</v>
      </c>
      <c r="G6546" t="str">
        <f>VLOOKUP(D6546,Товары!A:I,3,0)</f>
        <v>Пенал навес./напол. Альба 350 антрацит 2 двери</v>
      </c>
      <c r="H6546">
        <f>VLOOKUP(D6546,Товары!A:I,6,0)</f>
        <v>150</v>
      </c>
      <c r="I6546" t="str">
        <f>VLOOKUP(C6546,Магазины!A:C,3,0)</f>
        <v>Ставрополь</v>
      </c>
      <c r="J6546">
        <f>VLOOKUP(D6546,Товары!A:I,4,0)</f>
        <v>11655</v>
      </c>
      <c r="K6546">
        <f t="shared" si="102"/>
        <v>23310</v>
      </c>
    </row>
    <row r="6547" spans="1:11" hidden="1" x14ac:dyDescent="0.25">
      <c r="A6547">
        <v>6546</v>
      </c>
      <c r="B6547" s="1">
        <v>45755</v>
      </c>
      <c r="C6547" t="s">
        <v>9</v>
      </c>
      <c r="D6547" t="s">
        <v>95</v>
      </c>
      <c r="E6547" t="s">
        <v>8</v>
      </c>
      <c r="F6547">
        <v>3</v>
      </c>
      <c r="G6547" t="str">
        <f>VLOOKUP(D6547,Товары!A:I,3,0)</f>
        <v>Тумба с раковиной  напол. Рица 600 антрацит 2 ящика с умыв. Океан</v>
      </c>
      <c r="H6547">
        <f>VLOOKUP(D6547,Товары!A:I,6,0)</f>
        <v>80</v>
      </c>
      <c r="I6547" t="str">
        <f>VLOOKUP(C6547,Магазины!A:C,3,0)</f>
        <v>Кемерово</v>
      </c>
      <c r="J6547">
        <f>VLOOKUP(D6547,Товары!A:I,4,0)</f>
        <v>25560</v>
      </c>
      <c r="K6547">
        <f t="shared" si="102"/>
        <v>76680</v>
      </c>
    </row>
    <row r="6548" spans="1:11" hidden="1" x14ac:dyDescent="0.25">
      <c r="A6548">
        <v>6547</v>
      </c>
      <c r="B6548" s="1">
        <v>45748</v>
      </c>
      <c r="C6548" t="s">
        <v>35</v>
      </c>
      <c r="D6548" t="s">
        <v>23</v>
      </c>
      <c r="E6548" t="s">
        <v>8</v>
      </c>
      <c r="F6548">
        <v>2</v>
      </c>
      <c r="G6548" t="str">
        <f>VLOOKUP(D6548,Товары!A:I,3,0)</f>
        <v>Тумба с раковиной  напол. Альба 800 антрацит 2 ящика с умыв. Слим</v>
      </c>
      <c r="H6548">
        <f>VLOOKUP(D6548,Товары!A:I,6,0)</f>
        <v>80</v>
      </c>
      <c r="I6548" t="str">
        <f>VLOOKUP(C6548,Магазины!A:C,3,0)</f>
        <v>Набережные Челны</v>
      </c>
      <c r="J6548">
        <f>VLOOKUP(D6548,Товары!A:I,4,0)</f>
        <v>29340</v>
      </c>
      <c r="K6548">
        <f t="shared" si="102"/>
        <v>58680</v>
      </c>
    </row>
    <row r="6549" spans="1:11" hidden="1" x14ac:dyDescent="0.25">
      <c r="A6549">
        <v>6548</v>
      </c>
      <c r="B6549" s="1">
        <v>45751</v>
      </c>
      <c r="C6549" t="s">
        <v>54</v>
      </c>
      <c r="D6549" t="s">
        <v>32</v>
      </c>
      <c r="E6549" t="s">
        <v>13</v>
      </c>
      <c r="F6549">
        <v>1</v>
      </c>
      <c r="G6549" t="str">
        <f>VLOOKUP(D6549,Товары!A:I,3,0)</f>
        <v>Тумба с раковиной  напол. Леон Риф 700 солярис/белый риф 2 ящика с умыв. Слим</v>
      </c>
      <c r="H6549">
        <f>VLOOKUP(D6549,Товары!A:I,6,0)</f>
        <v>85</v>
      </c>
      <c r="I6549" t="str">
        <f>VLOOKUP(C6549,Магазины!A:C,3,0)</f>
        <v>Ставрополь</v>
      </c>
      <c r="J6549">
        <f>VLOOKUP(D6549,Товары!A:I,4,0)</f>
        <v>26460</v>
      </c>
      <c r="K6549">
        <f t="shared" si="102"/>
        <v>26460</v>
      </c>
    </row>
    <row r="6550" spans="1:11" hidden="1" x14ac:dyDescent="0.25">
      <c r="A6550">
        <v>6549</v>
      </c>
      <c r="B6550" s="1">
        <v>45756</v>
      </c>
      <c r="C6550" t="s">
        <v>54</v>
      </c>
      <c r="D6550" t="s">
        <v>70</v>
      </c>
      <c r="E6550" t="s">
        <v>8</v>
      </c>
      <c r="F6550">
        <v>1</v>
      </c>
      <c r="G6550" t="str">
        <f>VLOOKUP(D6550,Товары!A:I,3,0)</f>
        <v>Тумба с раковиной  напол. Кристалл 700 шато азур 2 ящика с умыв. Слим</v>
      </c>
      <c r="H6550">
        <f>VLOOKUP(D6550,Товары!A:I,6,0)</f>
        <v>85</v>
      </c>
      <c r="I6550" t="str">
        <f>VLOOKUP(C6550,Магазины!A:C,3,0)</f>
        <v>Ставрополь</v>
      </c>
      <c r="J6550">
        <f>VLOOKUP(D6550,Товары!A:I,4,0)</f>
        <v>29910</v>
      </c>
      <c r="K6550">
        <f t="shared" si="102"/>
        <v>29910</v>
      </c>
    </row>
    <row r="6551" spans="1:11" hidden="1" x14ac:dyDescent="0.25">
      <c r="A6551">
        <v>6550</v>
      </c>
      <c r="B6551" s="1">
        <v>45750</v>
      </c>
      <c r="C6551" t="s">
        <v>14</v>
      </c>
      <c r="D6551" t="s">
        <v>75</v>
      </c>
      <c r="E6551" t="s">
        <v>8</v>
      </c>
      <c r="F6551">
        <v>1</v>
      </c>
      <c r="G6551" t="str">
        <f>VLOOKUP(D6551,Товары!A:I,3,0)</f>
        <v>Тумба с раковиной  напол. Альба 600 суфле 2 ящика с умыв. Океан</v>
      </c>
      <c r="H6551">
        <f>VLOOKUP(D6551,Товары!A:I,6,0)</f>
        <v>80</v>
      </c>
      <c r="I6551" t="str">
        <f>VLOOKUP(C6551,Магазины!A:C,3,0)</f>
        <v>Оренбург</v>
      </c>
      <c r="J6551">
        <f>VLOOKUP(D6551,Товары!A:I,4,0)</f>
        <v>26370</v>
      </c>
      <c r="K6551">
        <f t="shared" si="102"/>
        <v>26370</v>
      </c>
    </row>
    <row r="6552" spans="1:11" hidden="1" x14ac:dyDescent="0.25">
      <c r="A6552">
        <v>6551</v>
      </c>
      <c r="B6552" s="1">
        <v>45754</v>
      </c>
      <c r="C6552" t="s">
        <v>33</v>
      </c>
      <c r="D6552" t="s">
        <v>68</v>
      </c>
      <c r="E6552" t="s">
        <v>8</v>
      </c>
      <c r="F6552">
        <v>1</v>
      </c>
      <c r="G6552" t="str">
        <f>VLOOKUP(D6552,Товары!A:I,3,0)</f>
        <v>Тумба с раковиной  навес. Альба 600 антрацит 1 ящик с умыв. Океан</v>
      </c>
      <c r="H6552">
        <f>VLOOKUP(D6552,Товары!A:I,6,0)</f>
        <v>85</v>
      </c>
      <c r="I6552" t="str">
        <f>VLOOKUP(C6552,Магазины!A:C,3,0)</f>
        <v>Набережные Челны</v>
      </c>
      <c r="J6552">
        <f>VLOOKUP(D6552,Товары!A:I,4,0)</f>
        <v>17625</v>
      </c>
      <c r="K6552">
        <f t="shared" si="102"/>
        <v>17625</v>
      </c>
    </row>
    <row r="6553" spans="1:11" hidden="1" x14ac:dyDescent="0.25">
      <c r="A6553">
        <v>6552</v>
      </c>
      <c r="B6553" s="1">
        <v>45756</v>
      </c>
      <c r="C6553" t="s">
        <v>16</v>
      </c>
      <c r="D6553" t="s">
        <v>50</v>
      </c>
      <c r="E6553" t="s">
        <v>13</v>
      </c>
      <c r="F6553">
        <v>1</v>
      </c>
      <c r="G6553" t="str">
        <f>VLOOKUP(D6553,Товары!A:I,3,0)</f>
        <v>Тумба с раковиной  напол. Леон 800 оникс 2 ящика с умыв. Слим</v>
      </c>
      <c r="H6553">
        <f>VLOOKUP(D6553,Товары!A:I,6,0)</f>
        <v>80</v>
      </c>
      <c r="I6553" t="str">
        <f>VLOOKUP(C6553,Магазины!A:C,3,0)</f>
        <v>Оренбург</v>
      </c>
      <c r="J6553">
        <f>VLOOKUP(D6553,Товары!A:I,4,0)</f>
        <v>29400</v>
      </c>
      <c r="K6553">
        <f t="shared" si="102"/>
        <v>29400</v>
      </c>
    </row>
    <row r="6554" spans="1:11" hidden="1" x14ac:dyDescent="0.25">
      <c r="A6554">
        <v>6553</v>
      </c>
      <c r="B6554" s="1">
        <v>45749</v>
      </c>
      <c r="C6554" t="s">
        <v>16</v>
      </c>
      <c r="D6554" t="s">
        <v>17</v>
      </c>
      <c r="E6554" t="s">
        <v>8</v>
      </c>
      <c r="F6554">
        <v>1</v>
      </c>
      <c r="G6554" t="str">
        <f>VLOOKUP(D6554,Товары!A:I,3,0)</f>
        <v>Тумба с раковиной  навес. Альба 800 антрацит 1 ящик с умыв. Слим</v>
      </c>
      <c r="H6554">
        <f>VLOOKUP(D6554,Товары!A:I,6,0)</f>
        <v>45</v>
      </c>
      <c r="I6554" t="str">
        <f>VLOOKUP(C6554,Магазины!A:C,3,0)</f>
        <v>Оренбург</v>
      </c>
      <c r="J6554">
        <f>VLOOKUP(D6554,Товары!A:I,4,0)</f>
        <v>21630</v>
      </c>
      <c r="K6554">
        <f t="shared" si="102"/>
        <v>21630</v>
      </c>
    </row>
    <row r="6555" spans="1:11" hidden="1" x14ac:dyDescent="0.25">
      <c r="A6555">
        <v>6554</v>
      </c>
      <c r="B6555" s="1">
        <v>45751</v>
      </c>
      <c r="C6555" t="s">
        <v>30</v>
      </c>
      <c r="D6555" t="s">
        <v>36</v>
      </c>
      <c r="E6555" t="s">
        <v>13</v>
      </c>
      <c r="F6555">
        <v>1</v>
      </c>
      <c r="G6555" t="str">
        <f>VLOOKUP(D6555,Товары!A:I,3,0)</f>
        <v>Тумба с раковиной  напол. Альба 800 мята 2 ящика с умыв. Слим</v>
      </c>
      <c r="H6555">
        <f>VLOOKUP(D6555,Товары!A:I,6,0)</f>
        <v>80</v>
      </c>
      <c r="I6555" t="str">
        <f>VLOOKUP(C6555,Магазины!A:C,3,0)</f>
        <v>Кемерово</v>
      </c>
      <c r="J6555">
        <f>VLOOKUP(D6555,Товары!A:I,4,0)</f>
        <v>29340</v>
      </c>
      <c r="K6555">
        <f t="shared" si="102"/>
        <v>29340</v>
      </c>
    </row>
    <row r="6556" spans="1:11" hidden="1" x14ac:dyDescent="0.25">
      <c r="A6556">
        <v>6555</v>
      </c>
      <c r="B6556" s="1">
        <v>45752</v>
      </c>
      <c r="C6556" t="s">
        <v>54</v>
      </c>
      <c r="D6556" t="s">
        <v>36</v>
      </c>
      <c r="E6556" t="s">
        <v>8</v>
      </c>
      <c r="F6556">
        <v>1</v>
      </c>
      <c r="G6556" t="str">
        <f>VLOOKUP(D6556,Товары!A:I,3,0)</f>
        <v>Тумба с раковиной  напол. Альба 800 мята 2 ящика с умыв. Слим</v>
      </c>
      <c r="H6556">
        <f>VLOOKUP(D6556,Товары!A:I,6,0)</f>
        <v>80</v>
      </c>
      <c r="I6556" t="str">
        <f>VLOOKUP(C6556,Магазины!A:C,3,0)</f>
        <v>Ставрополь</v>
      </c>
      <c r="J6556">
        <f>VLOOKUP(D6556,Товары!A:I,4,0)</f>
        <v>29340</v>
      </c>
      <c r="K6556">
        <f t="shared" si="102"/>
        <v>29340</v>
      </c>
    </row>
    <row r="6557" spans="1:11" hidden="1" x14ac:dyDescent="0.25">
      <c r="A6557">
        <v>6556</v>
      </c>
      <c r="B6557" s="1">
        <v>45749</v>
      </c>
      <c r="C6557" t="s">
        <v>48</v>
      </c>
      <c r="D6557" t="s">
        <v>95</v>
      </c>
      <c r="E6557" t="s">
        <v>13</v>
      </c>
      <c r="F6557">
        <v>1</v>
      </c>
      <c r="G6557" t="str">
        <f>VLOOKUP(D6557,Товары!A:I,3,0)</f>
        <v>Тумба с раковиной  напол. Рица 600 антрацит 2 ящика с умыв. Океан</v>
      </c>
      <c r="H6557">
        <f>VLOOKUP(D6557,Товары!A:I,6,0)</f>
        <v>80</v>
      </c>
      <c r="I6557" t="str">
        <f>VLOOKUP(C6557,Магазины!A:C,3,0)</f>
        <v>Ставрополь</v>
      </c>
      <c r="J6557">
        <f>VLOOKUP(D6557,Товары!A:I,4,0)</f>
        <v>25560</v>
      </c>
      <c r="K6557">
        <f t="shared" si="102"/>
        <v>25560</v>
      </c>
    </row>
    <row r="6558" spans="1:11" hidden="1" x14ac:dyDescent="0.25">
      <c r="A6558">
        <v>6557</v>
      </c>
      <c r="B6558" s="1">
        <v>45755</v>
      </c>
      <c r="C6558" t="s">
        <v>22</v>
      </c>
      <c r="D6558" t="s">
        <v>101</v>
      </c>
      <c r="E6558" t="s">
        <v>8</v>
      </c>
      <c r="F6558">
        <v>1</v>
      </c>
      <c r="G6558" t="str">
        <f>VLOOKUP(D6558,Товары!A:I,3,0)</f>
        <v>Пенал напол. Сохо 400 белый 2 двери + 1 ящик</v>
      </c>
      <c r="H6558">
        <f>VLOOKUP(D6558,Товары!A:I,6,0)</f>
        <v>190</v>
      </c>
      <c r="I6558" t="str">
        <f>VLOOKUP(C6558,Магазины!A:C,3,0)</f>
        <v>Кемерово</v>
      </c>
      <c r="J6558">
        <f>VLOOKUP(D6558,Товары!A:I,4,0)</f>
        <v>11040</v>
      </c>
      <c r="K6558">
        <f t="shared" si="102"/>
        <v>11040</v>
      </c>
    </row>
    <row r="6559" spans="1:11" hidden="1" x14ac:dyDescent="0.25">
      <c r="A6559">
        <v>6558</v>
      </c>
      <c r="B6559" s="1">
        <v>45756</v>
      </c>
      <c r="C6559" t="s">
        <v>6</v>
      </c>
      <c r="D6559" t="s">
        <v>93</v>
      </c>
      <c r="E6559" t="s">
        <v>13</v>
      </c>
      <c r="F6559">
        <v>1</v>
      </c>
      <c r="G6559" t="str">
        <f>VLOOKUP(D6559,Товары!A:I,3,0)</f>
        <v>Тумба с раковиной  напол. Леон Риф 800 солярис/белый риф 2 ящика с умыв. Слим</v>
      </c>
      <c r="H6559">
        <f>VLOOKUP(D6559,Товары!A:I,6,0)</f>
        <v>80</v>
      </c>
      <c r="I6559" t="str">
        <f>VLOOKUP(C6559,Магазины!A:C,3,0)</f>
        <v>Оренбург</v>
      </c>
      <c r="J6559">
        <f>VLOOKUP(D6559,Товары!A:I,4,0)</f>
        <v>29340</v>
      </c>
      <c r="K6559">
        <f t="shared" si="102"/>
        <v>29340</v>
      </c>
    </row>
    <row r="6560" spans="1:11" hidden="1" x14ac:dyDescent="0.25">
      <c r="A6560">
        <v>6559</v>
      </c>
      <c r="B6560" s="1">
        <v>45755</v>
      </c>
      <c r="C6560" t="s">
        <v>103</v>
      </c>
      <c r="D6560" t="s">
        <v>126</v>
      </c>
      <c r="E6560" t="s">
        <v>13</v>
      </c>
      <c r="F6560">
        <v>3</v>
      </c>
      <c r="G6560" t="str">
        <f>VLOOKUP(D6560,Товары!A:I,3,0)</f>
        <v>Тумба с раковиной  напол. Кристалл 800 шато азур 2 ящика с умыв. Комфорт</v>
      </c>
      <c r="H6560">
        <f>VLOOKUP(D6560,Товары!A:I,6,0)</f>
        <v>85</v>
      </c>
      <c r="I6560" t="str">
        <f>VLOOKUP(C6560,Магазины!A:C,3,0)</f>
        <v>Ставрополь</v>
      </c>
      <c r="J6560">
        <f>VLOOKUP(D6560,Товары!A:I,4,0)</f>
        <v>31125</v>
      </c>
      <c r="K6560">
        <f t="shared" si="102"/>
        <v>93375</v>
      </c>
    </row>
    <row r="6561" spans="1:11" hidden="1" x14ac:dyDescent="0.25">
      <c r="A6561">
        <v>6560</v>
      </c>
      <c r="B6561" s="1">
        <v>45756</v>
      </c>
      <c r="C6561" t="s">
        <v>14</v>
      </c>
      <c r="D6561" t="s">
        <v>90</v>
      </c>
      <c r="E6561" t="s">
        <v>8</v>
      </c>
      <c r="F6561">
        <v>1</v>
      </c>
      <c r="G6561" t="str">
        <f>VLOOKUP(D6561,Товары!A:I,3,0)</f>
        <v>Пенал напол. Аква 350 белый 2 двери + 2 ящика</v>
      </c>
      <c r="H6561">
        <f>VLOOKUP(D6561,Товары!A:I,6,0)</f>
        <v>190</v>
      </c>
      <c r="I6561" t="str">
        <f>VLOOKUP(C6561,Магазины!A:C,3,0)</f>
        <v>Оренбург</v>
      </c>
      <c r="J6561">
        <f>VLOOKUP(D6561,Товары!A:I,4,0)</f>
        <v>10650</v>
      </c>
      <c r="K6561">
        <f t="shared" si="102"/>
        <v>10650</v>
      </c>
    </row>
    <row r="6562" spans="1:11" hidden="1" x14ac:dyDescent="0.25">
      <c r="A6562">
        <v>6561</v>
      </c>
      <c r="B6562" s="1">
        <v>45750</v>
      </c>
      <c r="C6562" t="s">
        <v>103</v>
      </c>
      <c r="D6562" t="s">
        <v>110</v>
      </c>
      <c r="E6562" t="s">
        <v>8</v>
      </c>
      <c r="F6562">
        <v>3</v>
      </c>
      <c r="G6562" t="str">
        <f>VLOOKUP(D6562,Товары!A:I,3,0)</f>
        <v>Тумба с раковиной  напол. Альба 600 антрацит 2 ящика с умыв. Океан</v>
      </c>
      <c r="H6562">
        <f>VLOOKUP(D6562,Товары!A:I,6,0)</f>
        <v>80</v>
      </c>
      <c r="I6562" t="str">
        <f>VLOOKUP(C6562,Магазины!A:C,3,0)</f>
        <v>Ставрополь</v>
      </c>
      <c r="J6562">
        <f>VLOOKUP(D6562,Товары!A:I,4,0)</f>
        <v>26370</v>
      </c>
      <c r="K6562">
        <f t="shared" si="102"/>
        <v>79110</v>
      </c>
    </row>
    <row r="6563" spans="1:11" hidden="1" x14ac:dyDescent="0.25">
      <c r="A6563">
        <v>6562</v>
      </c>
      <c r="B6563" s="1">
        <v>45750</v>
      </c>
      <c r="C6563" t="s">
        <v>18</v>
      </c>
      <c r="D6563" t="s">
        <v>95</v>
      </c>
      <c r="E6563" t="s">
        <v>13</v>
      </c>
      <c r="F6563">
        <v>2</v>
      </c>
      <c r="G6563" t="str">
        <f>VLOOKUP(D6563,Товары!A:I,3,0)</f>
        <v>Тумба с раковиной  напол. Рица 600 антрацит 2 ящика с умыв. Океан</v>
      </c>
      <c r="H6563">
        <f>VLOOKUP(D6563,Товары!A:I,6,0)</f>
        <v>80</v>
      </c>
      <c r="I6563" t="str">
        <f>VLOOKUP(C6563,Магазины!A:C,3,0)</f>
        <v>Набережные Челны</v>
      </c>
      <c r="J6563">
        <f>VLOOKUP(D6563,Товары!A:I,4,0)</f>
        <v>25560</v>
      </c>
      <c r="K6563">
        <f t="shared" si="102"/>
        <v>51120</v>
      </c>
    </row>
    <row r="6564" spans="1:11" hidden="1" x14ac:dyDescent="0.25">
      <c r="A6564">
        <v>6563</v>
      </c>
      <c r="B6564" s="1">
        <v>45753</v>
      </c>
      <c r="C6564" t="s">
        <v>16</v>
      </c>
      <c r="D6564" t="s">
        <v>68</v>
      </c>
      <c r="E6564" t="s">
        <v>13</v>
      </c>
      <c r="F6564">
        <v>3</v>
      </c>
      <c r="G6564" t="str">
        <f>VLOOKUP(D6564,Товары!A:I,3,0)</f>
        <v>Тумба с раковиной  навес. Альба 600 антрацит 1 ящик с умыв. Океан</v>
      </c>
      <c r="H6564">
        <f>VLOOKUP(D6564,Товары!A:I,6,0)</f>
        <v>85</v>
      </c>
      <c r="I6564" t="str">
        <f>VLOOKUP(C6564,Магазины!A:C,3,0)</f>
        <v>Оренбург</v>
      </c>
      <c r="J6564">
        <f>VLOOKUP(D6564,Товары!A:I,4,0)</f>
        <v>17625</v>
      </c>
      <c r="K6564">
        <f t="shared" si="102"/>
        <v>52875</v>
      </c>
    </row>
    <row r="6565" spans="1:11" hidden="1" x14ac:dyDescent="0.25">
      <c r="A6565">
        <v>6564</v>
      </c>
      <c r="B6565" s="1">
        <v>45754</v>
      </c>
      <c r="C6565" t="s">
        <v>35</v>
      </c>
      <c r="D6565" t="s">
        <v>113</v>
      </c>
      <c r="E6565" t="s">
        <v>8</v>
      </c>
      <c r="F6565">
        <v>2</v>
      </c>
      <c r="G6565" t="str">
        <f>VLOOKUP(D6565,Товары!A:I,3,0)</f>
        <v>Зеркальный шкаф Альба 60 со светильником правый цвет мята</v>
      </c>
      <c r="H6565">
        <f>VLOOKUP(D6565,Товары!A:I,6,0)</f>
        <v>75</v>
      </c>
      <c r="I6565" t="str">
        <f>VLOOKUP(C6565,Магазины!A:C,3,0)</f>
        <v>Набережные Челны</v>
      </c>
      <c r="J6565">
        <f>VLOOKUP(D6565,Товары!A:I,4,0)</f>
        <v>8910</v>
      </c>
      <c r="K6565">
        <f t="shared" si="102"/>
        <v>17820</v>
      </c>
    </row>
    <row r="6566" spans="1:11" hidden="1" x14ac:dyDescent="0.25">
      <c r="A6566">
        <v>6565</v>
      </c>
      <c r="B6566" s="1">
        <v>45749</v>
      </c>
      <c r="C6566" t="s">
        <v>30</v>
      </c>
      <c r="D6566" t="s">
        <v>59</v>
      </c>
      <c r="E6566" t="s">
        <v>13</v>
      </c>
      <c r="F6566">
        <v>2</v>
      </c>
      <c r="G6566" t="str">
        <f>VLOOKUP(D6566,Товары!A:I,3,0)</f>
        <v>Тумба с раковиной  навес. Куба Риф 600 белый 2 ящика с умыв. Океан</v>
      </c>
      <c r="H6566">
        <f>VLOOKUP(D6566,Товары!A:I,6,0)</f>
        <v>55</v>
      </c>
      <c r="I6566" t="str">
        <f>VLOOKUP(C6566,Магазины!A:C,3,0)</f>
        <v>Кемерово</v>
      </c>
      <c r="J6566">
        <f>VLOOKUP(D6566,Товары!A:I,4,0)</f>
        <v>15765</v>
      </c>
      <c r="K6566">
        <f t="shared" si="102"/>
        <v>31530</v>
      </c>
    </row>
    <row r="6567" spans="1:11" hidden="1" x14ac:dyDescent="0.25">
      <c r="A6567">
        <v>6566</v>
      </c>
      <c r="B6567" s="1">
        <v>45754</v>
      </c>
      <c r="C6567" t="s">
        <v>30</v>
      </c>
      <c r="D6567" t="s">
        <v>84</v>
      </c>
      <c r="E6567" t="s">
        <v>8</v>
      </c>
      <c r="F6567">
        <v>3</v>
      </c>
      <c r="G6567" t="str">
        <f>VLOOKUP(D6567,Товары!A:I,3,0)</f>
        <v>Тумба с раковиной  напол. Куба Риф 800 белый 3 двери с умыв. Слим</v>
      </c>
      <c r="H6567">
        <f>VLOOKUP(D6567,Товары!A:I,6,0)</f>
        <v>85</v>
      </c>
      <c r="I6567" t="str">
        <f>VLOOKUP(C6567,Магазины!A:C,3,0)</f>
        <v>Кемерово</v>
      </c>
      <c r="J6567">
        <f>VLOOKUP(D6567,Товары!A:I,4,0)</f>
        <v>19920</v>
      </c>
      <c r="K6567">
        <f t="shared" si="102"/>
        <v>59760</v>
      </c>
    </row>
    <row r="6568" spans="1:11" hidden="1" x14ac:dyDescent="0.25">
      <c r="A6568">
        <v>6567</v>
      </c>
      <c r="B6568" s="1">
        <v>45755</v>
      </c>
      <c r="C6568" t="s">
        <v>14</v>
      </c>
      <c r="D6568" t="s">
        <v>124</v>
      </c>
      <c r="E6568" t="s">
        <v>13</v>
      </c>
      <c r="F6568">
        <v>1</v>
      </c>
      <c r="G6568" t="str">
        <f>VLOOKUP(D6568,Товары!A:I,3,0)</f>
        <v>Тумба с раковиной  напол. Леон 600 оникс 2 ящика с умыв. Океан</v>
      </c>
      <c r="H6568">
        <f>VLOOKUP(D6568,Товары!A:I,6,0)</f>
        <v>80</v>
      </c>
      <c r="I6568" t="str">
        <f>VLOOKUP(C6568,Магазины!A:C,3,0)</f>
        <v>Оренбург</v>
      </c>
      <c r="J6568">
        <f>VLOOKUP(D6568,Товары!A:I,4,0)</f>
        <v>25860</v>
      </c>
      <c r="K6568">
        <f t="shared" si="102"/>
        <v>25860</v>
      </c>
    </row>
    <row r="6569" spans="1:11" hidden="1" x14ac:dyDescent="0.25">
      <c r="A6569">
        <v>6568</v>
      </c>
      <c r="B6569" s="1">
        <v>45748</v>
      </c>
      <c r="C6569" t="s">
        <v>30</v>
      </c>
      <c r="D6569" t="s">
        <v>71</v>
      </c>
      <c r="E6569" t="s">
        <v>8</v>
      </c>
      <c r="F6569">
        <v>2</v>
      </c>
      <c r="G6569" t="str">
        <f>VLOOKUP(D6569,Товары!A:I,3,0)</f>
        <v>Тумба с раковиной  навес. Альба 600 мята 2 ящика с умыв. Океан</v>
      </c>
      <c r="H6569">
        <f>VLOOKUP(D6569,Товары!A:I,6,0)</f>
        <v>50</v>
      </c>
      <c r="I6569" t="str">
        <f>VLOOKUP(C6569,Магазины!A:C,3,0)</f>
        <v>Кемерово</v>
      </c>
      <c r="J6569">
        <f>VLOOKUP(D6569,Товары!A:I,4,0)</f>
        <v>24810</v>
      </c>
      <c r="K6569">
        <f t="shared" si="102"/>
        <v>49620</v>
      </c>
    </row>
    <row r="6570" spans="1:11" hidden="1" x14ac:dyDescent="0.25">
      <c r="A6570">
        <v>6569</v>
      </c>
      <c r="B6570" s="1">
        <v>45753</v>
      </c>
      <c r="C6570" t="s">
        <v>48</v>
      </c>
      <c r="D6570" t="s">
        <v>12</v>
      </c>
      <c r="E6570" t="s">
        <v>8</v>
      </c>
      <c r="F6570">
        <v>2</v>
      </c>
      <c r="G6570" t="str">
        <f>VLOOKUP(D6570,Товары!A:I,3,0)</f>
        <v>Тумба с раковиной  напол. Сохо 700 белый 2 двери с умыв. Слим</v>
      </c>
      <c r="H6570">
        <f>VLOOKUP(D6570,Товары!A:I,6,0)</f>
        <v>85</v>
      </c>
      <c r="I6570" t="str">
        <f>VLOOKUP(C6570,Магазины!A:C,3,0)</f>
        <v>Ставрополь</v>
      </c>
      <c r="J6570">
        <f>VLOOKUP(D6570,Товары!A:I,4,0)</f>
        <v>17160</v>
      </c>
      <c r="K6570">
        <f t="shared" si="102"/>
        <v>34320</v>
      </c>
    </row>
    <row r="6571" spans="1:11" hidden="1" x14ac:dyDescent="0.25">
      <c r="A6571">
        <v>6570</v>
      </c>
      <c r="B6571" s="1">
        <v>45751</v>
      </c>
      <c r="C6571" t="s">
        <v>57</v>
      </c>
      <c r="D6571" t="s">
        <v>62</v>
      </c>
      <c r="E6571" t="s">
        <v>13</v>
      </c>
      <c r="F6571">
        <v>3</v>
      </c>
      <c r="G6571" t="str">
        <f>VLOOKUP(D6571,Товары!A:I,3,0)</f>
        <v>Тумба с раковиной  напол. Альба 600 мята 2 ящика с умыв. Океан</v>
      </c>
      <c r="H6571">
        <f>VLOOKUP(D6571,Товары!A:I,6,0)</f>
        <v>80</v>
      </c>
      <c r="I6571" t="str">
        <f>VLOOKUP(C6571,Магазины!A:C,3,0)</f>
        <v>Оренбург</v>
      </c>
      <c r="J6571">
        <f>VLOOKUP(D6571,Товары!A:I,4,0)</f>
        <v>26370</v>
      </c>
      <c r="K6571">
        <f t="shared" si="102"/>
        <v>79110</v>
      </c>
    </row>
    <row r="6572" spans="1:11" hidden="1" x14ac:dyDescent="0.25">
      <c r="A6572">
        <v>6571</v>
      </c>
      <c r="B6572" s="1">
        <v>45756</v>
      </c>
      <c r="C6572" t="s">
        <v>16</v>
      </c>
      <c r="D6572" t="s">
        <v>107</v>
      </c>
      <c r="E6572" t="s">
        <v>13</v>
      </c>
      <c r="F6572">
        <v>1</v>
      </c>
      <c r="G6572" t="str">
        <f>VLOOKUP(D6572,Товары!A:I,3,0)</f>
        <v>Комод Аква 35 напольный 1 дверь белый правый</v>
      </c>
      <c r="H6572">
        <f>VLOOKUP(D6572,Товары!A:I,6,0)</f>
        <v>90</v>
      </c>
      <c r="I6572" t="str">
        <f>VLOOKUP(C6572,Магазины!A:C,3,0)</f>
        <v>Оренбург</v>
      </c>
      <c r="J6572">
        <f>VLOOKUP(D6572,Товары!A:I,4,0)</f>
        <v>6705</v>
      </c>
      <c r="K6572">
        <f t="shared" si="102"/>
        <v>6705</v>
      </c>
    </row>
    <row r="6573" spans="1:11" hidden="1" x14ac:dyDescent="0.25">
      <c r="A6573">
        <v>6572</v>
      </c>
      <c r="B6573" s="1">
        <v>45756</v>
      </c>
      <c r="C6573" t="s">
        <v>54</v>
      </c>
      <c r="D6573" t="s">
        <v>102</v>
      </c>
      <c r="E6573" t="s">
        <v>8</v>
      </c>
      <c r="F6573">
        <v>2</v>
      </c>
      <c r="G6573" t="str">
        <f>VLOOKUP(D6573,Товары!A:I,3,0)</f>
        <v>Тумба с раковиной  напол. Леон Риф 1000 солярис/белый риф 2 ящика с умыв. Слим</v>
      </c>
      <c r="H6573">
        <f>VLOOKUP(D6573,Товары!A:I,6,0)</f>
        <v>85</v>
      </c>
      <c r="I6573" t="str">
        <f>VLOOKUP(C6573,Магазины!A:C,3,0)</f>
        <v>Ставрополь</v>
      </c>
      <c r="J6573">
        <f>VLOOKUP(D6573,Товары!A:I,4,0)</f>
        <v>32085</v>
      </c>
      <c r="K6573">
        <f t="shared" si="102"/>
        <v>64170</v>
      </c>
    </row>
    <row r="6574" spans="1:11" hidden="1" x14ac:dyDescent="0.25">
      <c r="A6574">
        <v>6573</v>
      </c>
      <c r="B6574" s="1">
        <v>45750</v>
      </c>
      <c r="C6574" t="s">
        <v>28</v>
      </c>
      <c r="D6574" t="s">
        <v>114</v>
      </c>
      <c r="E6574" t="s">
        <v>13</v>
      </c>
      <c r="F6574">
        <v>1</v>
      </c>
      <c r="G6574" t="str">
        <f>VLOOKUP(D6574,Товары!A:I,3,0)</f>
        <v>Тумба с раковиной  навес. Альба 700 мята 2 ящика с умыв. Слим</v>
      </c>
      <c r="H6574">
        <f>VLOOKUP(D6574,Товары!A:I,6,0)</f>
        <v>60</v>
      </c>
      <c r="I6574" t="str">
        <f>VLOOKUP(C6574,Магазины!A:C,3,0)</f>
        <v>Набережные Челны</v>
      </c>
      <c r="J6574">
        <f>VLOOKUP(D6574,Товары!A:I,4,0)</f>
        <v>25095</v>
      </c>
      <c r="K6574">
        <f t="shared" si="102"/>
        <v>25095</v>
      </c>
    </row>
    <row r="6575" spans="1:11" hidden="1" x14ac:dyDescent="0.25">
      <c r="A6575">
        <v>6574</v>
      </c>
      <c r="B6575" s="1">
        <v>45748</v>
      </c>
      <c r="C6575" t="s">
        <v>111</v>
      </c>
      <c r="D6575" t="s">
        <v>83</v>
      </c>
      <c r="E6575" t="s">
        <v>13</v>
      </c>
      <c r="F6575">
        <v>1</v>
      </c>
      <c r="G6575" t="str">
        <f>VLOOKUP(D6575,Товары!A:I,3,0)</f>
        <v>Зеркальный шкаф Альба 60 со светильником правый цвет суфле</v>
      </c>
      <c r="H6575">
        <f>VLOOKUP(D6575,Товары!A:I,6,0)</f>
        <v>75</v>
      </c>
      <c r="I6575" t="str">
        <f>VLOOKUP(C6575,Магазины!A:C,3,0)</f>
        <v>Набережные Челны</v>
      </c>
      <c r="J6575">
        <f>VLOOKUP(D6575,Товары!A:I,4,0)</f>
        <v>8910</v>
      </c>
      <c r="K6575">
        <f t="shared" si="102"/>
        <v>8910</v>
      </c>
    </row>
    <row r="6576" spans="1:11" hidden="1" x14ac:dyDescent="0.25">
      <c r="A6576">
        <v>6575</v>
      </c>
      <c r="B6576" s="1">
        <v>45757</v>
      </c>
      <c r="C6576" t="s">
        <v>92</v>
      </c>
      <c r="D6576" t="s">
        <v>24</v>
      </c>
      <c r="E6576" t="s">
        <v>13</v>
      </c>
      <c r="F6576">
        <v>2</v>
      </c>
      <c r="G6576" t="str">
        <f>VLOOKUP(D6576,Товары!A:I,3,0)</f>
        <v>Тумба с раковиной  напол. Леон 600 форест 2 ящика с умыв. Слим</v>
      </c>
      <c r="H6576">
        <f>VLOOKUP(D6576,Товары!A:I,6,0)</f>
        <v>80</v>
      </c>
      <c r="I6576" t="str">
        <f>VLOOKUP(C6576,Магазины!A:C,3,0)</f>
        <v>Кемерово</v>
      </c>
      <c r="J6576">
        <f>VLOOKUP(D6576,Товары!A:I,4,0)</f>
        <v>27150</v>
      </c>
      <c r="K6576">
        <f t="shared" si="102"/>
        <v>54300</v>
      </c>
    </row>
    <row r="6577" spans="1:11" hidden="1" x14ac:dyDescent="0.25">
      <c r="A6577">
        <v>6576</v>
      </c>
      <c r="B6577" s="1">
        <v>45752</v>
      </c>
      <c r="C6577" t="s">
        <v>20</v>
      </c>
      <c r="D6577" t="s">
        <v>120</v>
      </c>
      <c r="E6577" t="s">
        <v>13</v>
      </c>
      <c r="F6577">
        <v>2</v>
      </c>
      <c r="G6577" t="str">
        <f>VLOOKUP(D6577,Товары!A:I,3,0)</f>
        <v>Зеркальный шкаф Альба 60 со светильником правый цвет антрацит</v>
      </c>
      <c r="H6577">
        <f>VLOOKUP(D6577,Товары!A:I,6,0)</f>
        <v>75</v>
      </c>
      <c r="I6577" t="str">
        <f>VLOOKUP(C6577,Магазины!A:C,3,0)</f>
        <v>Оренбург</v>
      </c>
      <c r="J6577">
        <f>VLOOKUP(D6577,Товары!A:I,4,0)</f>
        <v>8910</v>
      </c>
      <c r="K6577">
        <f t="shared" si="102"/>
        <v>17820</v>
      </c>
    </row>
    <row r="6578" spans="1:11" hidden="1" x14ac:dyDescent="0.25">
      <c r="A6578">
        <v>6577</v>
      </c>
      <c r="B6578" s="1">
        <v>45750</v>
      </c>
      <c r="C6578" t="s">
        <v>43</v>
      </c>
      <c r="D6578" t="s">
        <v>38</v>
      </c>
      <c r="E6578" t="s">
        <v>13</v>
      </c>
      <c r="F6578">
        <v>3</v>
      </c>
      <c r="G6578" t="str">
        <f>VLOOKUP(D6578,Товары!A:I,3,0)</f>
        <v>Тумба с раковиной  навес. Куба Риф 600 белый 2 ящика с умыв. Como</v>
      </c>
      <c r="H6578">
        <f>VLOOKUP(D6578,Товары!A:I,6,0)</f>
        <v>55</v>
      </c>
      <c r="I6578" t="str">
        <f>VLOOKUP(C6578,Магазины!A:C,3,0)</f>
        <v>Набережные Челны</v>
      </c>
      <c r="J6578">
        <f>VLOOKUP(D6578,Товары!A:I,4,0)</f>
        <v>14265</v>
      </c>
      <c r="K6578">
        <f t="shared" si="102"/>
        <v>42795</v>
      </c>
    </row>
    <row r="6579" spans="1:11" hidden="1" x14ac:dyDescent="0.25">
      <c r="A6579">
        <v>6578</v>
      </c>
      <c r="B6579" s="1">
        <v>45753</v>
      </c>
      <c r="C6579" t="s">
        <v>33</v>
      </c>
      <c r="D6579" t="s">
        <v>89</v>
      </c>
      <c r="E6579" t="s">
        <v>13</v>
      </c>
      <c r="F6579">
        <v>1</v>
      </c>
      <c r="G6579" t="str">
        <f>VLOOKUP(D6579,Товары!A:I,3,0)</f>
        <v>Тумба с раковиной  напол. Сохо 600 белый 2 двери с умыв. Океан</v>
      </c>
      <c r="H6579">
        <f>VLOOKUP(D6579,Товары!A:I,6,0)</f>
        <v>85</v>
      </c>
      <c r="I6579" t="str">
        <f>VLOOKUP(C6579,Магазины!A:C,3,0)</f>
        <v>Набережные Челны</v>
      </c>
      <c r="J6579">
        <f>VLOOKUP(D6579,Товары!A:I,4,0)</f>
        <v>14880</v>
      </c>
      <c r="K6579">
        <f t="shared" si="102"/>
        <v>14880</v>
      </c>
    </row>
    <row r="6580" spans="1:11" hidden="1" x14ac:dyDescent="0.25">
      <c r="A6580">
        <v>6579</v>
      </c>
      <c r="B6580" s="1">
        <v>45753</v>
      </c>
      <c r="C6580" t="s">
        <v>11</v>
      </c>
      <c r="D6580" t="s">
        <v>101</v>
      </c>
      <c r="E6580" t="s">
        <v>8</v>
      </c>
      <c r="F6580">
        <v>3</v>
      </c>
      <c r="G6580" t="str">
        <f>VLOOKUP(D6580,Товары!A:I,3,0)</f>
        <v>Пенал напол. Сохо 400 белый 2 двери + 1 ящик</v>
      </c>
      <c r="H6580">
        <f>VLOOKUP(D6580,Товары!A:I,6,0)</f>
        <v>190</v>
      </c>
      <c r="I6580" t="str">
        <f>VLOOKUP(C6580,Магазины!A:C,3,0)</f>
        <v>Кемерово</v>
      </c>
      <c r="J6580">
        <f>VLOOKUP(D6580,Товары!A:I,4,0)</f>
        <v>11040</v>
      </c>
      <c r="K6580">
        <f t="shared" si="102"/>
        <v>33120</v>
      </c>
    </row>
    <row r="6581" spans="1:11" hidden="1" x14ac:dyDescent="0.25">
      <c r="A6581">
        <v>6580</v>
      </c>
      <c r="B6581" s="1">
        <v>45748</v>
      </c>
      <c r="C6581" t="s">
        <v>9</v>
      </c>
      <c r="D6581" t="s">
        <v>51</v>
      </c>
      <c r="E6581" t="s">
        <v>13</v>
      </c>
      <c r="F6581">
        <v>3</v>
      </c>
      <c r="G6581" t="str">
        <f>VLOOKUP(D6581,Товары!A:I,3,0)</f>
        <v>Зеркальный шкаф Альба 80 со светильником правый цвет суфле</v>
      </c>
      <c r="H6581">
        <f>VLOOKUP(D6581,Товары!A:I,6,0)</f>
        <v>75</v>
      </c>
      <c r="I6581" t="str">
        <f>VLOOKUP(C6581,Магазины!A:C,3,0)</f>
        <v>Кемерово</v>
      </c>
      <c r="J6581">
        <f>VLOOKUP(D6581,Товары!A:I,4,0)</f>
        <v>9930</v>
      </c>
      <c r="K6581">
        <f t="shared" si="102"/>
        <v>29790</v>
      </c>
    </row>
    <row r="6582" spans="1:11" hidden="1" x14ac:dyDescent="0.25">
      <c r="A6582">
        <v>6581</v>
      </c>
      <c r="B6582" s="1">
        <v>45754</v>
      </c>
      <c r="C6582" t="s">
        <v>35</v>
      </c>
      <c r="D6582" t="s">
        <v>10</v>
      </c>
      <c r="E6582" t="s">
        <v>13</v>
      </c>
      <c r="F6582">
        <v>2</v>
      </c>
      <c r="G6582" t="str">
        <f>VLOOKUP(D6582,Товары!A:I,3,0)</f>
        <v>Тумба с раковиной  навес. Альба 700 антрацит 1 ящик с умыв. Слим</v>
      </c>
      <c r="H6582">
        <f>VLOOKUP(D6582,Товары!A:I,6,0)</f>
        <v>45</v>
      </c>
      <c r="I6582" t="str">
        <f>VLOOKUP(C6582,Магазины!A:C,3,0)</f>
        <v>Набережные Челны</v>
      </c>
      <c r="J6582">
        <f>VLOOKUP(D6582,Товары!A:I,4,0)</f>
        <v>20130</v>
      </c>
      <c r="K6582">
        <f t="shared" si="102"/>
        <v>40260</v>
      </c>
    </row>
    <row r="6583" spans="1:11" hidden="1" x14ac:dyDescent="0.25">
      <c r="A6583">
        <v>6582</v>
      </c>
      <c r="B6583" s="1">
        <v>45757</v>
      </c>
      <c r="C6583" t="s">
        <v>92</v>
      </c>
      <c r="D6583" t="s">
        <v>29</v>
      </c>
      <c r="E6583" t="s">
        <v>8</v>
      </c>
      <c r="F6583">
        <v>1</v>
      </c>
      <c r="G6583" t="str">
        <f>VLOOKUP(D6583,Товары!A:I,3,0)</f>
        <v>Тумба с раковиной  напол. Леон Риф 600 солярис/белый риф 2 ящика с умыв. Океан</v>
      </c>
      <c r="H6583">
        <f>VLOOKUP(D6583,Товары!A:I,6,0)</f>
        <v>80</v>
      </c>
      <c r="I6583" t="str">
        <f>VLOOKUP(C6583,Магазины!A:C,3,0)</f>
        <v>Кемерово</v>
      </c>
      <c r="J6583">
        <f>VLOOKUP(D6583,Товары!A:I,4,0)</f>
        <v>24150</v>
      </c>
      <c r="K6583">
        <f t="shared" si="102"/>
        <v>24150</v>
      </c>
    </row>
    <row r="6584" spans="1:11" hidden="1" x14ac:dyDescent="0.25">
      <c r="A6584">
        <v>6583</v>
      </c>
      <c r="B6584" s="1">
        <v>45752</v>
      </c>
      <c r="C6584" t="s">
        <v>92</v>
      </c>
      <c r="D6584" t="s">
        <v>126</v>
      </c>
      <c r="E6584" t="s">
        <v>13</v>
      </c>
      <c r="F6584">
        <v>2</v>
      </c>
      <c r="G6584" t="str">
        <f>VLOOKUP(D6584,Товары!A:I,3,0)</f>
        <v>Тумба с раковиной  напол. Кристалл 800 шато азур 2 ящика с умыв. Комфорт</v>
      </c>
      <c r="H6584">
        <f>VLOOKUP(D6584,Товары!A:I,6,0)</f>
        <v>85</v>
      </c>
      <c r="I6584" t="str">
        <f>VLOOKUP(C6584,Магазины!A:C,3,0)</f>
        <v>Кемерово</v>
      </c>
      <c r="J6584">
        <f>VLOOKUP(D6584,Товары!A:I,4,0)</f>
        <v>31125</v>
      </c>
      <c r="K6584">
        <f t="shared" si="102"/>
        <v>62250</v>
      </c>
    </row>
    <row r="6585" spans="1:11" hidden="1" x14ac:dyDescent="0.25">
      <c r="A6585">
        <v>6584</v>
      </c>
      <c r="B6585" s="1">
        <v>45749</v>
      </c>
      <c r="C6585" t="s">
        <v>14</v>
      </c>
      <c r="D6585" t="s">
        <v>42</v>
      </c>
      <c r="E6585" t="s">
        <v>13</v>
      </c>
      <c r="F6585">
        <v>3</v>
      </c>
      <c r="G6585" t="str">
        <f>VLOOKUP(D6585,Товары!A:I,3,0)</f>
        <v>Тумба под стиральную машину Леон Риф 57 подвесная 2 ящика под ст/маш, без умывальника /под Marshall 120 Солярис/Белый Риф</v>
      </c>
      <c r="H6585">
        <f>VLOOKUP(D6585,Товары!A:I,6,0)</f>
        <v>60</v>
      </c>
      <c r="I6585" t="str">
        <f>VLOOKUP(C6585,Магазины!A:C,3,0)</f>
        <v>Оренбург</v>
      </c>
      <c r="J6585">
        <f>VLOOKUP(D6585,Товары!A:I,4,0)</f>
        <v>15495</v>
      </c>
      <c r="K6585">
        <f t="shared" si="102"/>
        <v>46485</v>
      </c>
    </row>
    <row r="6586" spans="1:11" hidden="1" x14ac:dyDescent="0.25">
      <c r="A6586">
        <v>6585</v>
      </c>
      <c r="B6586" s="1">
        <v>45749</v>
      </c>
      <c r="C6586" t="s">
        <v>18</v>
      </c>
      <c r="D6586" t="s">
        <v>115</v>
      </c>
      <c r="E6586" t="s">
        <v>8</v>
      </c>
      <c r="F6586">
        <v>1</v>
      </c>
      <c r="G6586" t="str">
        <f>VLOOKUP(D6586,Товары!A:I,3,0)</f>
        <v>Тумба под стиральную машину Куба Риф 57 напольная 2 ящика под ст/маш, без умывальника /под Marshall 120 Белый</v>
      </c>
      <c r="H6586">
        <f>VLOOKUP(D6586,Товары!A:I,6,0)</f>
        <v>85</v>
      </c>
      <c r="I6586" t="str">
        <f>VLOOKUP(C6586,Магазины!A:C,3,0)</f>
        <v>Набережные Челны</v>
      </c>
      <c r="J6586">
        <f>VLOOKUP(D6586,Товары!A:I,4,0)</f>
        <v>10530</v>
      </c>
      <c r="K6586">
        <f t="shared" si="102"/>
        <v>10530</v>
      </c>
    </row>
    <row r="6587" spans="1:11" hidden="1" x14ac:dyDescent="0.25">
      <c r="A6587">
        <v>6586</v>
      </c>
      <c r="B6587" s="1">
        <v>45755</v>
      </c>
      <c r="C6587" t="s">
        <v>103</v>
      </c>
      <c r="D6587" t="s">
        <v>56</v>
      </c>
      <c r="E6587" t="s">
        <v>8</v>
      </c>
      <c r="F6587">
        <v>3</v>
      </c>
      <c r="G6587" t="str">
        <f>VLOOKUP(D6587,Товары!A:I,3,0)</f>
        <v>Зеркальный шкаф Альба 80 со светильником правый цвет мята</v>
      </c>
      <c r="H6587">
        <f>VLOOKUP(D6587,Товары!A:I,6,0)</f>
        <v>75</v>
      </c>
      <c r="I6587" t="str">
        <f>VLOOKUP(C6587,Магазины!A:C,3,0)</f>
        <v>Ставрополь</v>
      </c>
      <c r="J6587">
        <f>VLOOKUP(D6587,Товары!A:I,4,0)</f>
        <v>9930</v>
      </c>
      <c r="K6587">
        <f t="shared" si="102"/>
        <v>29790</v>
      </c>
    </row>
    <row r="6588" spans="1:11" hidden="1" x14ac:dyDescent="0.25">
      <c r="A6588">
        <v>6587</v>
      </c>
      <c r="B6588" s="1">
        <v>45755</v>
      </c>
      <c r="C6588" t="s">
        <v>57</v>
      </c>
      <c r="D6588" t="s">
        <v>80</v>
      </c>
      <c r="E6588" t="s">
        <v>8</v>
      </c>
      <c r="F6588">
        <v>2</v>
      </c>
      <c r="G6588" t="str">
        <f>VLOOKUP(D6588,Товары!A:I,3,0)</f>
        <v>Тумба с раковиной  навес. Сохо 600 белый 2 ящика с умыв. Океан</v>
      </c>
      <c r="H6588">
        <f>VLOOKUP(D6588,Товары!A:I,6,0)</f>
        <v>55</v>
      </c>
      <c r="I6588" t="str">
        <f>VLOOKUP(C6588,Магазины!A:C,3,0)</f>
        <v>Оренбург</v>
      </c>
      <c r="J6588">
        <f>VLOOKUP(D6588,Товары!A:I,4,0)</f>
        <v>13950</v>
      </c>
      <c r="K6588">
        <f t="shared" si="102"/>
        <v>27900</v>
      </c>
    </row>
    <row r="6589" spans="1:11" hidden="1" x14ac:dyDescent="0.25">
      <c r="A6589">
        <v>6588</v>
      </c>
      <c r="B6589" s="1">
        <v>45748</v>
      </c>
      <c r="C6589" t="s">
        <v>57</v>
      </c>
      <c r="D6589" t="s">
        <v>39</v>
      </c>
      <c r="E6589" t="s">
        <v>13</v>
      </c>
      <c r="F6589">
        <v>3</v>
      </c>
      <c r="G6589" t="str">
        <f>VLOOKUP(D6589,Товары!A:I,3,0)</f>
        <v>Тумба с раковиной  напол. Альба 700 мята 2 ящика с умыв. Слим</v>
      </c>
      <c r="H6589">
        <f>VLOOKUP(D6589,Товары!A:I,6,0)</f>
        <v>85</v>
      </c>
      <c r="I6589" t="str">
        <f>VLOOKUP(C6589,Магазины!A:C,3,0)</f>
        <v>Оренбург</v>
      </c>
      <c r="J6589">
        <f>VLOOKUP(D6589,Товары!A:I,4,0)</f>
        <v>28695</v>
      </c>
      <c r="K6589">
        <f t="shared" si="102"/>
        <v>86085</v>
      </c>
    </row>
    <row r="6590" spans="1:11" hidden="1" x14ac:dyDescent="0.25">
      <c r="A6590">
        <v>6589</v>
      </c>
      <c r="B6590" s="1">
        <v>45756</v>
      </c>
      <c r="C6590" t="s">
        <v>63</v>
      </c>
      <c r="D6590" t="s">
        <v>38</v>
      </c>
      <c r="E6590" t="s">
        <v>13</v>
      </c>
      <c r="F6590">
        <v>2</v>
      </c>
      <c r="G6590" t="str">
        <f>VLOOKUP(D6590,Товары!A:I,3,0)</f>
        <v>Тумба с раковиной  навес. Куба Риф 600 белый 2 ящика с умыв. Como</v>
      </c>
      <c r="H6590">
        <f>VLOOKUP(D6590,Товары!A:I,6,0)</f>
        <v>55</v>
      </c>
      <c r="I6590" t="str">
        <f>VLOOKUP(C6590,Магазины!A:C,3,0)</f>
        <v>Ставрополь</v>
      </c>
      <c r="J6590">
        <f>VLOOKUP(D6590,Товары!A:I,4,0)</f>
        <v>14265</v>
      </c>
      <c r="K6590">
        <f t="shared" si="102"/>
        <v>28530</v>
      </c>
    </row>
    <row r="6591" spans="1:11" hidden="1" x14ac:dyDescent="0.25">
      <c r="A6591">
        <v>6590</v>
      </c>
      <c r="B6591" s="1">
        <v>45750</v>
      </c>
      <c r="C6591" t="s">
        <v>103</v>
      </c>
      <c r="D6591" t="s">
        <v>72</v>
      </c>
      <c r="E6591" t="s">
        <v>13</v>
      </c>
      <c r="F6591">
        <v>2</v>
      </c>
      <c r="G6591" t="str">
        <f>VLOOKUP(D6591,Товары!A:I,3,0)</f>
        <v>Тумба с раковиной  напол. Сохо 600 белый 2 ящика с умыв. Океан</v>
      </c>
      <c r="H6591">
        <f>VLOOKUP(D6591,Товары!A:I,6,0)</f>
        <v>85</v>
      </c>
      <c r="I6591" t="str">
        <f>VLOOKUP(C6591,Магазины!A:C,3,0)</f>
        <v>Ставрополь</v>
      </c>
      <c r="J6591">
        <f>VLOOKUP(D6591,Товары!A:I,4,0)</f>
        <v>16140</v>
      </c>
      <c r="K6591">
        <f t="shared" si="102"/>
        <v>32280</v>
      </c>
    </row>
    <row r="6592" spans="1:11" hidden="1" x14ac:dyDescent="0.25">
      <c r="A6592">
        <v>6591</v>
      </c>
      <c r="B6592" s="1">
        <v>45749</v>
      </c>
      <c r="C6592" t="s">
        <v>63</v>
      </c>
      <c r="D6592" t="s">
        <v>49</v>
      </c>
      <c r="E6592" t="s">
        <v>13</v>
      </c>
      <c r="F6592">
        <v>1</v>
      </c>
      <c r="G6592" t="str">
        <f>VLOOKUP(D6592,Товары!A:I,3,0)</f>
        <v>Тумба с раковиной  напол. Леон 700 оникс 2 ящика с умыв. Слим</v>
      </c>
      <c r="H6592">
        <f>VLOOKUP(D6592,Товары!A:I,6,0)</f>
        <v>80</v>
      </c>
      <c r="I6592" t="str">
        <f>VLOOKUP(C6592,Магазины!A:C,3,0)</f>
        <v>Ставрополь</v>
      </c>
      <c r="J6592">
        <f>VLOOKUP(D6592,Товары!A:I,4,0)</f>
        <v>28380</v>
      </c>
      <c r="K6592">
        <f t="shared" si="102"/>
        <v>28380</v>
      </c>
    </row>
    <row r="6593" spans="1:11" hidden="1" x14ac:dyDescent="0.25">
      <c r="A6593">
        <v>6592</v>
      </c>
      <c r="B6593" s="1">
        <v>45749</v>
      </c>
      <c r="C6593" t="s">
        <v>33</v>
      </c>
      <c r="D6593" t="s">
        <v>76</v>
      </c>
      <c r="E6593" t="s">
        <v>13</v>
      </c>
      <c r="F6593">
        <v>3</v>
      </c>
      <c r="G6593" t="str">
        <f>VLOOKUP(D6593,Товары!A:I,3,0)</f>
        <v>Тумба с раковиной  напол. Леон 600 оникс 2 ящика с умыв. Слим</v>
      </c>
      <c r="H6593">
        <f>VLOOKUP(D6593,Товары!A:I,6,0)</f>
        <v>80</v>
      </c>
      <c r="I6593" t="str">
        <f>VLOOKUP(C6593,Магазины!A:C,3,0)</f>
        <v>Набережные Челны</v>
      </c>
      <c r="J6593">
        <f>VLOOKUP(D6593,Товары!A:I,4,0)</f>
        <v>25860</v>
      </c>
      <c r="K6593">
        <f t="shared" si="102"/>
        <v>77580</v>
      </c>
    </row>
    <row r="6594" spans="1:11" hidden="1" x14ac:dyDescent="0.25">
      <c r="A6594">
        <v>6593</v>
      </c>
      <c r="B6594" s="1">
        <v>45752</v>
      </c>
      <c r="C6594" t="s">
        <v>28</v>
      </c>
      <c r="D6594" t="s">
        <v>89</v>
      </c>
      <c r="E6594" t="s">
        <v>8</v>
      </c>
      <c r="F6594">
        <v>2</v>
      </c>
      <c r="G6594" t="str">
        <f>VLOOKUP(D6594,Товары!A:I,3,0)</f>
        <v>Тумба с раковиной  напол. Сохо 600 белый 2 двери с умыв. Океан</v>
      </c>
      <c r="H6594">
        <f>VLOOKUP(D6594,Товары!A:I,6,0)</f>
        <v>85</v>
      </c>
      <c r="I6594" t="str">
        <f>VLOOKUP(C6594,Магазины!A:C,3,0)</f>
        <v>Набережные Челны</v>
      </c>
      <c r="J6594">
        <f>VLOOKUP(D6594,Товары!A:I,4,0)</f>
        <v>14880</v>
      </c>
      <c r="K6594">
        <f t="shared" si="102"/>
        <v>29760</v>
      </c>
    </row>
    <row r="6595" spans="1:11" hidden="1" x14ac:dyDescent="0.25">
      <c r="A6595">
        <v>6594</v>
      </c>
      <c r="B6595" s="1">
        <v>45751</v>
      </c>
      <c r="C6595" t="s">
        <v>103</v>
      </c>
      <c r="D6595" t="s">
        <v>34</v>
      </c>
      <c r="E6595" t="s">
        <v>8</v>
      </c>
      <c r="F6595">
        <v>1</v>
      </c>
      <c r="G6595" t="str">
        <f>VLOOKUP(D6595,Товары!A:I,3,0)</f>
        <v>Тумба с раковиной  навес. Леон 700 форест 2 ящика с умыв. Слим</v>
      </c>
      <c r="H6595">
        <f>VLOOKUP(D6595,Товары!A:I,6,0)</f>
        <v>60</v>
      </c>
      <c r="I6595" t="str">
        <f>VLOOKUP(C6595,Магазины!A:C,3,0)</f>
        <v>Ставрополь</v>
      </c>
      <c r="J6595">
        <f>VLOOKUP(D6595,Товары!A:I,4,0)</f>
        <v>26220</v>
      </c>
      <c r="K6595">
        <f t="shared" ref="K6595:K6658" si="103">J6595*F6595</f>
        <v>26220</v>
      </c>
    </row>
    <row r="6596" spans="1:11" hidden="1" x14ac:dyDescent="0.25">
      <c r="A6596">
        <v>6595</v>
      </c>
      <c r="B6596" s="1">
        <v>45754</v>
      </c>
      <c r="C6596" t="s">
        <v>57</v>
      </c>
      <c r="D6596" t="s">
        <v>44</v>
      </c>
      <c r="E6596" t="s">
        <v>8</v>
      </c>
      <c r="F6596">
        <v>2</v>
      </c>
      <c r="G6596" t="str">
        <f>VLOOKUP(D6596,Товары!A:I,3,0)</f>
        <v>Тумба с раковиной  навес. Кристалл 800 шато азур 2 ящика с умыв. Комфорт</v>
      </c>
      <c r="H6596">
        <f>VLOOKUP(D6596,Товары!A:I,6,0)</f>
        <v>55</v>
      </c>
      <c r="I6596" t="str">
        <f>VLOOKUP(C6596,Магазины!A:C,3,0)</f>
        <v>Оренбург</v>
      </c>
      <c r="J6596">
        <f>VLOOKUP(D6596,Товары!A:I,4,0)</f>
        <v>25080</v>
      </c>
      <c r="K6596">
        <f t="shared" si="103"/>
        <v>50160</v>
      </c>
    </row>
    <row r="6597" spans="1:11" hidden="1" x14ac:dyDescent="0.25">
      <c r="A6597">
        <v>6596</v>
      </c>
      <c r="B6597" s="1">
        <v>45748</v>
      </c>
      <c r="C6597" t="s">
        <v>57</v>
      </c>
      <c r="D6597" t="s">
        <v>123</v>
      </c>
      <c r="E6597" t="s">
        <v>8</v>
      </c>
      <c r="F6597">
        <v>3</v>
      </c>
      <c r="G6597" t="str">
        <f>VLOOKUP(D6597,Товары!A:I,3,0)</f>
        <v>Тумба с раковиной  напол. Кристалл 800 суфле 2 ящика с умыв. Слим</v>
      </c>
      <c r="H6597">
        <f>VLOOKUP(D6597,Товары!A:I,6,0)</f>
        <v>80</v>
      </c>
      <c r="I6597" t="str">
        <f>VLOOKUP(C6597,Магазины!A:C,3,0)</f>
        <v>Оренбург</v>
      </c>
      <c r="J6597">
        <f>VLOOKUP(D6597,Товары!A:I,4,0)</f>
        <v>31125</v>
      </c>
      <c r="K6597">
        <f t="shared" si="103"/>
        <v>93375</v>
      </c>
    </row>
    <row r="6598" spans="1:11" hidden="1" x14ac:dyDescent="0.25">
      <c r="A6598">
        <v>6597</v>
      </c>
      <c r="B6598" s="1">
        <v>45748</v>
      </c>
      <c r="C6598" t="s">
        <v>14</v>
      </c>
      <c r="D6598" t="s">
        <v>21</v>
      </c>
      <c r="E6598" t="s">
        <v>13</v>
      </c>
      <c r="F6598">
        <v>2</v>
      </c>
      <c r="G6598" t="str">
        <f>VLOOKUP(D6598,Товары!A:I,3,0)</f>
        <v>Зеркальный шкаф Рица 60 со светильником правый цвет cерый/керамика</v>
      </c>
      <c r="H6598">
        <f>VLOOKUP(D6598,Товары!A:I,6,0)</f>
        <v>75</v>
      </c>
      <c r="I6598" t="str">
        <f>VLOOKUP(C6598,Магазины!A:C,3,0)</f>
        <v>Оренбург</v>
      </c>
      <c r="J6598">
        <f>VLOOKUP(D6598,Товары!A:I,4,0)</f>
        <v>8910</v>
      </c>
      <c r="K6598">
        <f t="shared" si="103"/>
        <v>17820</v>
      </c>
    </row>
    <row r="6599" spans="1:11" hidden="1" x14ac:dyDescent="0.25">
      <c r="A6599">
        <v>6598</v>
      </c>
      <c r="B6599" s="1">
        <v>45753</v>
      </c>
      <c r="C6599" t="s">
        <v>54</v>
      </c>
      <c r="D6599" t="s">
        <v>113</v>
      </c>
      <c r="E6599" t="s">
        <v>13</v>
      </c>
      <c r="F6599">
        <v>1</v>
      </c>
      <c r="G6599" t="str">
        <f>VLOOKUP(D6599,Товары!A:I,3,0)</f>
        <v>Зеркальный шкаф Альба 60 со светильником правый цвет мята</v>
      </c>
      <c r="H6599">
        <f>VLOOKUP(D6599,Товары!A:I,6,0)</f>
        <v>75</v>
      </c>
      <c r="I6599" t="str">
        <f>VLOOKUP(C6599,Магазины!A:C,3,0)</f>
        <v>Ставрополь</v>
      </c>
      <c r="J6599">
        <f>VLOOKUP(D6599,Товары!A:I,4,0)</f>
        <v>8910</v>
      </c>
      <c r="K6599">
        <f t="shared" si="103"/>
        <v>8910</v>
      </c>
    </row>
    <row r="6600" spans="1:11" hidden="1" x14ac:dyDescent="0.25">
      <c r="A6600">
        <v>6599</v>
      </c>
      <c r="B6600" s="1">
        <v>45753</v>
      </c>
      <c r="C6600" t="s">
        <v>43</v>
      </c>
      <c r="D6600" t="s">
        <v>123</v>
      </c>
      <c r="E6600" t="s">
        <v>13</v>
      </c>
      <c r="F6600">
        <v>3</v>
      </c>
      <c r="G6600" t="str">
        <f>VLOOKUP(D6600,Товары!A:I,3,0)</f>
        <v>Тумба с раковиной  напол. Кристалл 800 суфле 2 ящика с умыв. Слим</v>
      </c>
      <c r="H6600">
        <f>VLOOKUP(D6600,Товары!A:I,6,0)</f>
        <v>80</v>
      </c>
      <c r="I6600" t="str">
        <f>VLOOKUP(C6600,Магазины!A:C,3,0)</f>
        <v>Набережные Челны</v>
      </c>
      <c r="J6600">
        <f>VLOOKUP(D6600,Товары!A:I,4,0)</f>
        <v>31125</v>
      </c>
      <c r="K6600">
        <f t="shared" si="103"/>
        <v>93375</v>
      </c>
    </row>
    <row r="6601" spans="1:11" hidden="1" x14ac:dyDescent="0.25">
      <c r="A6601">
        <v>6600</v>
      </c>
      <c r="B6601" s="1">
        <v>45757</v>
      </c>
      <c r="C6601" t="s">
        <v>92</v>
      </c>
      <c r="D6601" t="s">
        <v>79</v>
      </c>
      <c r="E6601" t="s">
        <v>13</v>
      </c>
      <c r="F6601">
        <v>1</v>
      </c>
      <c r="G6601" t="str">
        <f>VLOOKUP(D6601,Товары!A:I,3,0)</f>
        <v>Зеркальный шкаф Альба 70 со светильником правый цвет мята</v>
      </c>
      <c r="H6601">
        <f>VLOOKUP(D6601,Товары!A:I,6,0)</f>
        <v>75</v>
      </c>
      <c r="I6601" t="str">
        <f>VLOOKUP(C6601,Магазины!A:C,3,0)</f>
        <v>Кемерово</v>
      </c>
      <c r="J6601">
        <f>VLOOKUP(D6601,Товары!A:I,4,0)</f>
        <v>9615</v>
      </c>
      <c r="K6601">
        <f t="shared" si="103"/>
        <v>9615</v>
      </c>
    </row>
    <row r="6602" spans="1:11" hidden="1" x14ac:dyDescent="0.25">
      <c r="A6602">
        <v>6601</v>
      </c>
      <c r="B6602" s="1">
        <v>45757</v>
      </c>
      <c r="C6602" t="s">
        <v>11</v>
      </c>
      <c r="D6602" t="s">
        <v>77</v>
      </c>
      <c r="E6602" t="s">
        <v>8</v>
      </c>
      <c r="F6602">
        <v>1</v>
      </c>
      <c r="G6602" t="str">
        <f>VLOOKUP(D6602,Товары!A:I,3,0)</f>
        <v>Тумба с раковиной  напол. Куба Риф 600 белый 2 ящика с умыв. Como</v>
      </c>
      <c r="H6602">
        <f>VLOOKUP(D6602,Товары!A:I,6,0)</f>
        <v>85</v>
      </c>
      <c r="I6602" t="str">
        <f>VLOOKUP(C6602,Магазины!A:C,3,0)</f>
        <v>Кемерово</v>
      </c>
      <c r="J6602">
        <f>VLOOKUP(D6602,Товары!A:I,4,0)</f>
        <v>15660</v>
      </c>
      <c r="K6602">
        <f t="shared" si="103"/>
        <v>15660</v>
      </c>
    </row>
    <row r="6603" spans="1:11" hidden="1" x14ac:dyDescent="0.25">
      <c r="A6603">
        <v>6602</v>
      </c>
      <c r="B6603" s="1">
        <v>45750</v>
      </c>
      <c r="C6603" t="s">
        <v>58</v>
      </c>
      <c r="D6603" t="s">
        <v>95</v>
      </c>
      <c r="E6603" t="s">
        <v>8</v>
      </c>
      <c r="F6603">
        <v>3</v>
      </c>
      <c r="G6603" t="str">
        <f>VLOOKUP(D6603,Товары!A:I,3,0)</f>
        <v>Тумба с раковиной  напол. Рица 600 антрацит 2 ящика с умыв. Океан</v>
      </c>
      <c r="H6603">
        <f>VLOOKUP(D6603,Товары!A:I,6,0)</f>
        <v>80</v>
      </c>
      <c r="I6603" t="str">
        <f>VLOOKUP(C6603,Магазины!A:C,3,0)</f>
        <v>Ставрополь</v>
      </c>
      <c r="J6603">
        <f>VLOOKUP(D6603,Товары!A:I,4,0)</f>
        <v>25560</v>
      </c>
      <c r="K6603">
        <f t="shared" si="103"/>
        <v>76680</v>
      </c>
    </row>
    <row r="6604" spans="1:11" hidden="1" x14ac:dyDescent="0.25">
      <c r="A6604">
        <v>6603</v>
      </c>
      <c r="B6604" s="1">
        <v>45751</v>
      </c>
      <c r="C6604" t="s">
        <v>20</v>
      </c>
      <c r="D6604" t="s">
        <v>74</v>
      </c>
      <c r="E6604" t="s">
        <v>8</v>
      </c>
      <c r="F6604">
        <v>2</v>
      </c>
      <c r="G6604" t="str">
        <f>VLOOKUP(D6604,Товары!A:I,3,0)</f>
        <v>Тумба с раковиной  напол. Альба 800 суфле 2 ящика с умыв. Слим</v>
      </c>
      <c r="H6604">
        <f>VLOOKUP(D6604,Товары!A:I,6,0)</f>
        <v>80</v>
      </c>
      <c r="I6604" t="str">
        <f>VLOOKUP(C6604,Магазины!A:C,3,0)</f>
        <v>Оренбург</v>
      </c>
      <c r="J6604">
        <f>VLOOKUP(D6604,Товары!A:I,4,0)</f>
        <v>29340</v>
      </c>
      <c r="K6604">
        <f t="shared" si="103"/>
        <v>58680</v>
      </c>
    </row>
    <row r="6605" spans="1:11" hidden="1" x14ac:dyDescent="0.25">
      <c r="A6605">
        <v>6604</v>
      </c>
      <c r="B6605" s="1">
        <v>45754</v>
      </c>
      <c r="C6605" t="s">
        <v>41</v>
      </c>
      <c r="D6605" t="s">
        <v>91</v>
      </c>
      <c r="E6605" t="s">
        <v>13</v>
      </c>
      <c r="F6605">
        <v>1</v>
      </c>
      <c r="G6605" t="str">
        <f>VLOOKUP(D6605,Товары!A:I,3,0)</f>
        <v>Пенал навес./напол. Альба 350 мята 2 двери</v>
      </c>
      <c r="H6605">
        <f>VLOOKUP(D6605,Товары!A:I,6,0)</f>
        <v>150</v>
      </c>
      <c r="I6605" t="str">
        <f>VLOOKUP(C6605,Магазины!A:C,3,0)</f>
        <v>Ставрополь</v>
      </c>
      <c r="J6605">
        <f>VLOOKUP(D6605,Товары!A:I,4,0)</f>
        <v>11655</v>
      </c>
      <c r="K6605">
        <f t="shared" si="103"/>
        <v>11655</v>
      </c>
    </row>
    <row r="6606" spans="1:11" hidden="1" x14ac:dyDescent="0.25">
      <c r="A6606">
        <v>6605</v>
      </c>
      <c r="B6606" s="1">
        <v>45753</v>
      </c>
      <c r="C6606" t="s">
        <v>57</v>
      </c>
      <c r="D6606" t="s">
        <v>7</v>
      </c>
      <c r="E6606" t="s">
        <v>8</v>
      </c>
      <c r="F6606">
        <v>2</v>
      </c>
      <c r="G6606" t="str">
        <f>VLOOKUP(D6606,Товары!A:I,3,0)</f>
        <v>Пенал напол. Леон Риф 400 солярис/белый риф 2 двери + 1 ящик</v>
      </c>
      <c r="H6606">
        <f>VLOOKUP(D6606,Товары!A:I,6,0)</f>
        <v>190</v>
      </c>
      <c r="I6606" t="str">
        <f>VLOOKUP(C6606,Магазины!A:C,3,0)</f>
        <v>Оренбург</v>
      </c>
      <c r="J6606">
        <f>VLOOKUP(D6606,Товары!A:I,4,0)</f>
        <v>14490</v>
      </c>
      <c r="K6606">
        <f t="shared" si="103"/>
        <v>28980</v>
      </c>
    </row>
    <row r="6607" spans="1:11" hidden="1" x14ac:dyDescent="0.25">
      <c r="A6607">
        <v>6606</v>
      </c>
      <c r="B6607" s="1">
        <v>45753</v>
      </c>
      <c r="C6607" t="s">
        <v>33</v>
      </c>
      <c r="D6607" t="s">
        <v>15</v>
      </c>
      <c r="E6607" t="s">
        <v>13</v>
      </c>
      <c r="F6607">
        <v>1</v>
      </c>
      <c r="G6607" t="str">
        <f>VLOOKUP(D6607,Товары!A:I,3,0)</f>
        <v>Зеркальный шкаф Кристалл 60 со светильником правый, ручка кнопка дуб цвет Шато Азур</v>
      </c>
      <c r="H6607">
        <f>VLOOKUP(D6607,Товары!A:I,6,0)</f>
        <v>75</v>
      </c>
      <c r="I6607" t="str">
        <f>VLOOKUP(C6607,Магазины!A:C,3,0)</f>
        <v>Набережные Челны</v>
      </c>
      <c r="J6607">
        <f>VLOOKUP(D6607,Товары!A:I,4,0)</f>
        <v>9195</v>
      </c>
      <c r="K6607">
        <f t="shared" si="103"/>
        <v>9195</v>
      </c>
    </row>
    <row r="6608" spans="1:11" hidden="1" x14ac:dyDescent="0.25">
      <c r="A6608">
        <v>6607</v>
      </c>
      <c r="B6608" s="1">
        <v>45749</v>
      </c>
      <c r="C6608" t="s">
        <v>18</v>
      </c>
      <c r="D6608" t="s">
        <v>96</v>
      </c>
      <c r="E6608" t="s">
        <v>13</v>
      </c>
      <c r="F6608">
        <v>2</v>
      </c>
      <c r="G6608" t="str">
        <f>VLOOKUP(D6608,Товары!A:I,3,0)</f>
        <v>Тумба с раковиной  навес. Альба 600 мята 1 ящик с умыв. Океан</v>
      </c>
      <c r="H6608">
        <f>VLOOKUP(D6608,Товары!A:I,6,0)</f>
        <v>85</v>
      </c>
      <c r="I6608" t="str">
        <f>VLOOKUP(C6608,Магазины!A:C,3,0)</f>
        <v>Набережные Челны</v>
      </c>
      <c r="J6608">
        <f>VLOOKUP(D6608,Товары!A:I,4,0)</f>
        <v>17625</v>
      </c>
      <c r="K6608">
        <f t="shared" si="103"/>
        <v>35250</v>
      </c>
    </row>
    <row r="6609" spans="1:11" hidden="1" x14ac:dyDescent="0.25">
      <c r="A6609">
        <v>6608</v>
      </c>
      <c r="B6609" s="1">
        <v>45756</v>
      </c>
      <c r="C6609" t="s">
        <v>103</v>
      </c>
      <c r="D6609" t="s">
        <v>65</v>
      </c>
      <c r="E6609" t="s">
        <v>13</v>
      </c>
      <c r="F6609">
        <v>3</v>
      </c>
      <c r="G6609" t="str">
        <f>VLOOKUP(D6609,Товары!A:I,3,0)</f>
        <v>Тумба с раковиной  навес. Альба 800 суфле 2 ящика с умыв. Слим</v>
      </c>
      <c r="H6609">
        <f>VLOOKUP(D6609,Товары!A:I,6,0)</f>
        <v>50</v>
      </c>
      <c r="I6609" t="str">
        <f>VLOOKUP(C6609,Магазины!A:C,3,0)</f>
        <v>Ставрополь</v>
      </c>
      <c r="J6609">
        <f>VLOOKUP(D6609,Товары!A:I,4,0)</f>
        <v>26070</v>
      </c>
      <c r="K6609">
        <f t="shared" si="103"/>
        <v>78210</v>
      </c>
    </row>
    <row r="6610" spans="1:11" hidden="1" x14ac:dyDescent="0.25">
      <c r="A6610">
        <v>6609</v>
      </c>
      <c r="B6610" s="1">
        <v>45754</v>
      </c>
      <c r="C6610" t="s">
        <v>58</v>
      </c>
      <c r="D6610" t="s">
        <v>96</v>
      </c>
      <c r="E6610" t="s">
        <v>8</v>
      </c>
      <c r="F6610">
        <v>2</v>
      </c>
      <c r="G6610" t="str">
        <f>VLOOKUP(D6610,Товары!A:I,3,0)</f>
        <v>Тумба с раковиной  навес. Альба 600 мята 1 ящик с умыв. Океан</v>
      </c>
      <c r="H6610">
        <f>VLOOKUP(D6610,Товары!A:I,6,0)</f>
        <v>85</v>
      </c>
      <c r="I6610" t="str">
        <f>VLOOKUP(C6610,Магазины!A:C,3,0)</f>
        <v>Ставрополь</v>
      </c>
      <c r="J6610">
        <f>VLOOKUP(D6610,Товары!A:I,4,0)</f>
        <v>17625</v>
      </c>
      <c r="K6610">
        <f t="shared" si="103"/>
        <v>35250</v>
      </c>
    </row>
    <row r="6611" spans="1:11" hidden="1" x14ac:dyDescent="0.25">
      <c r="A6611">
        <v>6610</v>
      </c>
      <c r="B6611" s="1">
        <v>45754</v>
      </c>
      <c r="C6611" t="s">
        <v>6</v>
      </c>
      <c r="D6611" t="s">
        <v>7</v>
      </c>
      <c r="E6611" t="s">
        <v>13</v>
      </c>
      <c r="F6611">
        <v>2</v>
      </c>
      <c r="G6611" t="str">
        <f>VLOOKUP(D6611,Товары!A:I,3,0)</f>
        <v>Пенал напол. Леон Риф 400 солярис/белый риф 2 двери + 1 ящик</v>
      </c>
      <c r="H6611">
        <f>VLOOKUP(D6611,Товары!A:I,6,0)</f>
        <v>190</v>
      </c>
      <c r="I6611" t="str">
        <f>VLOOKUP(C6611,Магазины!A:C,3,0)</f>
        <v>Оренбург</v>
      </c>
      <c r="J6611">
        <f>VLOOKUP(D6611,Товары!A:I,4,0)</f>
        <v>14490</v>
      </c>
      <c r="K6611">
        <f t="shared" si="103"/>
        <v>28980</v>
      </c>
    </row>
    <row r="6612" spans="1:11" hidden="1" x14ac:dyDescent="0.25">
      <c r="A6612">
        <v>6611</v>
      </c>
      <c r="B6612" s="1">
        <v>45751</v>
      </c>
      <c r="C6612" t="s">
        <v>20</v>
      </c>
      <c r="D6612" t="s">
        <v>78</v>
      </c>
      <c r="E6612" t="s">
        <v>13</v>
      </c>
      <c r="F6612">
        <v>2</v>
      </c>
      <c r="G6612" t="str">
        <f>VLOOKUP(D6612,Товары!A:I,3,0)</f>
        <v>Зеркальный шкаф Кристалл 70 со светильником правый, ручка кнопка дуб цвет Шато Азур</v>
      </c>
      <c r="H6612">
        <f>VLOOKUP(D6612,Товары!A:I,6,0)</f>
        <v>75</v>
      </c>
      <c r="I6612" t="str">
        <f>VLOOKUP(C6612,Магазины!A:C,3,0)</f>
        <v>Оренбург</v>
      </c>
      <c r="J6612">
        <f>VLOOKUP(D6612,Товары!A:I,4,0)</f>
        <v>9615</v>
      </c>
      <c r="K6612">
        <f t="shared" si="103"/>
        <v>19230</v>
      </c>
    </row>
    <row r="6613" spans="1:11" hidden="1" x14ac:dyDescent="0.25">
      <c r="A6613">
        <v>6612</v>
      </c>
      <c r="B6613" s="1">
        <v>45751</v>
      </c>
      <c r="C6613" t="s">
        <v>43</v>
      </c>
      <c r="D6613" t="s">
        <v>34</v>
      </c>
      <c r="E6613" t="s">
        <v>8</v>
      </c>
      <c r="F6613">
        <v>1</v>
      </c>
      <c r="G6613" t="str">
        <f>VLOOKUP(D6613,Товары!A:I,3,0)</f>
        <v>Тумба с раковиной  навес. Леон 700 форест 2 ящика с умыв. Слим</v>
      </c>
      <c r="H6613">
        <f>VLOOKUP(D6613,Товары!A:I,6,0)</f>
        <v>60</v>
      </c>
      <c r="I6613" t="str">
        <f>VLOOKUP(C6613,Магазины!A:C,3,0)</f>
        <v>Набережные Челны</v>
      </c>
      <c r="J6613">
        <f>VLOOKUP(D6613,Товары!A:I,4,0)</f>
        <v>26220</v>
      </c>
      <c r="K6613">
        <f t="shared" si="103"/>
        <v>26220</v>
      </c>
    </row>
    <row r="6614" spans="1:11" hidden="1" x14ac:dyDescent="0.25">
      <c r="A6614">
        <v>6613</v>
      </c>
      <c r="B6614" s="1">
        <v>45754</v>
      </c>
      <c r="C6614" t="s">
        <v>58</v>
      </c>
      <c r="D6614" t="s">
        <v>36</v>
      </c>
      <c r="E6614" t="s">
        <v>8</v>
      </c>
      <c r="F6614">
        <v>2</v>
      </c>
      <c r="G6614" t="str">
        <f>VLOOKUP(D6614,Товары!A:I,3,0)</f>
        <v>Тумба с раковиной  напол. Альба 800 мята 2 ящика с умыв. Слим</v>
      </c>
      <c r="H6614">
        <f>VLOOKUP(D6614,Товары!A:I,6,0)</f>
        <v>80</v>
      </c>
      <c r="I6614" t="str">
        <f>VLOOKUP(C6614,Магазины!A:C,3,0)</f>
        <v>Ставрополь</v>
      </c>
      <c r="J6614">
        <f>VLOOKUP(D6614,Товары!A:I,4,0)</f>
        <v>29340</v>
      </c>
      <c r="K6614">
        <f t="shared" si="103"/>
        <v>58680</v>
      </c>
    </row>
    <row r="6615" spans="1:11" hidden="1" x14ac:dyDescent="0.25">
      <c r="A6615">
        <v>6614</v>
      </c>
      <c r="B6615" s="1">
        <v>45753</v>
      </c>
      <c r="C6615" t="s">
        <v>43</v>
      </c>
      <c r="D6615" t="s">
        <v>120</v>
      </c>
      <c r="E6615" t="s">
        <v>8</v>
      </c>
      <c r="F6615">
        <v>3</v>
      </c>
      <c r="G6615" t="str">
        <f>VLOOKUP(D6615,Товары!A:I,3,0)</f>
        <v>Зеркальный шкаф Альба 60 со светильником правый цвет антрацит</v>
      </c>
      <c r="H6615">
        <f>VLOOKUP(D6615,Товары!A:I,6,0)</f>
        <v>75</v>
      </c>
      <c r="I6615" t="str">
        <f>VLOOKUP(C6615,Магазины!A:C,3,0)</f>
        <v>Набережные Челны</v>
      </c>
      <c r="J6615">
        <f>VLOOKUP(D6615,Товары!A:I,4,0)</f>
        <v>8910</v>
      </c>
      <c r="K6615">
        <f t="shared" si="103"/>
        <v>26730</v>
      </c>
    </row>
    <row r="6616" spans="1:11" hidden="1" x14ac:dyDescent="0.25">
      <c r="A6616">
        <v>6615</v>
      </c>
      <c r="B6616" s="1">
        <v>45752</v>
      </c>
      <c r="C6616" t="s">
        <v>28</v>
      </c>
      <c r="D6616" t="s">
        <v>12</v>
      </c>
      <c r="E6616" t="s">
        <v>13</v>
      </c>
      <c r="F6616">
        <v>1</v>
      </c>
      <c r="G6616" t="str">
        <f>VLOOKUP(D6616,Товары!A:I,3,0)</f>
        <v>Тумба с раковиной  напол. Сохо 700 белый 2 двери с умыв. Слим</v>
      </c>
      <c r="H6616">
        <f>VLOOKUP(D6616,Товары!A:I,6,0)</f>
        <v>85</v>
      </c>
      <c r="I6616" t="str">
        <f>VLOOKUP(C6616,Магазины!A:C,3,0)</f>
        <v>Набережные Челны</v>
      </c>
      <c r="J6616">
        <f>VLOOKUP(D6616,Товары!A:I,4,0)</f>
        <v>17160</v>
      </c>
      <c r="K6616">
        <f t="shared" si="103"/>
        <v>17160</v>
      </c>
    </row>
    <row r="6617" spans="1:11" hidden="1" x14ac:dyDescent="0.25">
      <c r="A6617">
        <v>6616</v>
      </c>
      <c r="B6617" s="1">
        <v>45749</v>
      </c>
      <c r="C6617" t="s">
        <v>33</v>
      </c>
      <c r="D6617" t="s">
        <v>121</v>
      </c>
      <c r="E6617" t="s">
        <v>8</v>
      </c>
      <c r="F6617">
        <v>2</v>
      </c>
      <c r="G6617" t="str">
        <f>VLOOKUP(D6617,Товары!A:I,3,0)</f>
        <v>Тумба с раковиной  напол. Куба Риф 600 белый 2 двери с умыв. Como</v>
      </c>
      <c r="H6617">
        <f>VLOOKUP(D6617,Товары!A:I,6,0)</f>
        <v>85</v>
      </c>
      <c r="I6617" t="str">
        <f>VLOOKUP(C6617,Магазины!A:C,3,0)</f>
        <v>Набережные Челны</v>
      </c>
      <c r="J6617">
        <f>VLOOKUP(D6617,Товары!A:I,4,0)</f>
        <v>13695</v>
      </c>
      <c r="K6617">
        <f t="shared" si="103"/>
        <v>27390</v>
      </c>
    </row>
    <row r="6618" spans="1:11" hidden="1" x14ac:dyDescent="0.25">
      <c r="A6618">
        <v>6617</v>
      </c>
      <c r="B6618" s="1">
        <v>45751</v>
      </c>
      <c r="C6618" t="s">
        <v>9</v>
      </c>
      <c r="D6618" t="s">
        <v>77</v>
      </c>
      <c r="E6618" t="s">
        <v>8</v>
      </c>
      <c r="F6618">
        <v>3</v>
      </c>
      <c r="G6618" t="str">
        <f>VLOOKUP(D6618,Товары!A:I,3,0)</f>
        <v>Тумба с раковиной  напол. Куба Риф 600 белый 2 ящика с умыв. Como</v>
      </c>
      <c r="H6618">
        <f>VLOOKUP(D6618,Товары!A:I,6,0)</f>
        <v>85</v>
      </c>
      <c r="I6618" t="str">
        <f>VLOOKUP(C6618,Магазины!A:C,3,0)</f>
        <v>Кемерово</v>
      </c>
      <c r="J6618">
        <f>VLOOKUP(D6618,Товары!A:I,4,0)</f>
        <v>15660</v>
      </c>
      <c r="K6618">
        <f t="shared" si="103"/>
        <v>46980</v>
      </c>
    </row>
    <row r="6619" spans="1:11" hidden="1" x14ac:dyDescent="0.25">
      <c r="A6619">
        <v>6618</v>
      </c>
      <c r="B6619" s="1">
        <v>45752</v>
      </c>
      <c r="C6619" t="s">
        <v>103</v>
      </c>
      <c r="D6619" t="s">
        <v>101</v>
      </c>
      <c r="E6619" t="s">
        <v>13</v>
      </c>
      <c r="F6619">
        <v>2</v>
      </c>
      <c r="G6619" t="str">
        <f>VLOOKUP(D6619,Товары!A:I,3,0)</f>
        <v>Пенал напол. Сохо 400 белый 2 двери + 1 ящик</v>
      </c>
      <c r="H6619">
        <f>VLOOKUP(D6619,Товары!A:I,6,0)</f>
        <v>190</v>
      </c>
      <c r="I6619" t="str">
        <f>VLOOKUP(C6619,Магазины!A:C,3,0)</f>
        <v>Ставрополь</v>
      </c>
      <c r="J6619">
        <f>VLOOKUP(D6619,Товары!A:I,4,0)</f>
        <v>11040</v>
      </c>
      <c r="K6619">
        <f t="shared" si="103"/>
        <v>22080</v>
      </c>
    </row>
    <row r="6620" spans="1:11" hidden="1" x14ac:dyDescent="0.25">
      <c r="A6620">
        <v>6619</v>
      </c>
      <c r="B6620" s="1">
        <v>45754</v>
      </c>
      <c r="C6620" t="s">
        <v>57</v>
      </c>
      <c r="D6620" t="s">
        <v>46</v>
      </c>
      <c r="E6620" t="s">
        <v>8</v>
      </c>
      <c r="F6620">
        <v>2</v>
      </c>
      <c r="G6620" t="str">
        <f>VLOOKUP(D6620,Товары!A:I,3,0)</f>
        <v>Тумба с раковиной  напол. Сохо 700 белый 2 ящика с умыв. Слим</v>
      </c>
      <c r="H6620">
        <f>VLOOKUP(D6620,Товары!A:I,6,0)</f>
        <v>85</v>
      </c>
      <c r="I6620" t="str">
        <f>VLOOKUP(C6620,Магазины!A:C,3,0)</f>
        <v>Оренбург</v>
      </c>
      <c r="J6620">
        <f>VLOOKUP(D6620,Товары!A:I,4,0)</f>
        <v>18405</v>
      </c>
      <c r="K6620">
        <f t="shared" si="103"/>
        <v>36810</v>
      </c>
    </row>
    <row r="6621" spans="1:11" hidden="1" x14ac:dyDescent="0.25">
      <c r="A6621">
        <v>6620</v>
      </c>
      <c r="B6621" s="1">
        <v>45750</v>
      </c>
      <c r="C6621" t="s">
        <v>9</v>
      </c>
      <c r="D6621" t="s">
        <v>62</v>
      </c>
      <c r="E6621" t="s">
        <v>13</v>
      </c>
      <c r="F6621">
        <v>3</v>
      </c>
      <c r="G6621" t="str">
        <f>VLOOKUP(D6621,Товары!A:I,3,0)</f>
        <v>Тумба с раковиной  напол. Альба 600 мята 2 ящика с умыв. Океан</v>
      </c>
      <c r="H6621">
        <f>VLOOKUP(D6621,Товары!A:I,6,0)</f>
        <v>80</v>
      </c>
      <c r="I6621" t="str">
        <f>VLOOKUP(C6621,Магазины!A:C,3,0)</f>
        <v>Кемерово</v>
      </c>
      <c r="J6621">
        <f>VLOOKUP(D6621,Товары!A:I,4,0)</f>
        <v>26370</v>
      </c>
      <c r="K6621">
        <f t="shared" si="103"/>
        <v>79110</v>
      </c>
    </row>
    <row r="6622" spans="1:11" hidden="1" x14ac:dyDescent="0.25">
      <c r="A6622">
        <v>6621</v>
      </c>
      <c r="B6622" s="1">
        <v>45752</v>
      </c>
      <c r="C6622" t="s">
        <v>63</v>
      </c>
      <c r="D6622" t="s">
        <v>61</v>
      </c>
      <c r="E6622" t="s">
        <v>8</v>
      </c>
      <c r="F6622">
        <v>2</v>
      </c>
      <c r="G6622" t="str">
        <f>VLOOKUP(D6622,Товары!A:I,3,0)</f>
        <v>Тумба под стиральную машину Леон Риф 57 напольная 2 ящика под ст/маш, без умывальника /под Marshall 120 Солярис/Белый Риф</v>
      </c>
      <c r="H6622">
        <f>VLOOKUP(D6622,Товары!A:I,6,0)</f>
        <v>85</v>
      </c>
      <c r="I6622" t="str">
        <f>VLOOKUP(C6622,Магазины!A:C,3,0)</f>
        <v>Ставрополь</v>
      </c>
      <c r="J6622">
        <f>VLOOKUP(D6622,Товары!A:I,4,0)</f>
        <v>17430</v>
      </c>
      <c r="K6622">
        <f t="shared" si="103"/>
        <v>34860</v>
      </c>
    </row>
    <row r="6623" spans="1:11" hidden="1" x14ac:dyDescent="0.25">
      <c r="A6623">
        <v>6622</v>
      </c>
      <c r="B6623" s="1">
        <v>45757</v>
      </c>
      <c r="C6623" t="s">
        <v>35</v>
      </c>
      <c r="D6623" t="s">
        <v>81</v>
      </c>
      <c r="E6623" t="s">
        <v>8</v>
      </c>
      <c r="F6623">
        <v>1</v>
      </c>
      <c r="G6623" t="str">
        <f>VLOOKUP(D6623,Товары!A:I,3,0)</f>
        <v>Тумба с раковиной  навес. Рица 600 cерый/керамика 1 ящик + ниша 1 с умыв. Океан</v>
      </c>
      <c r="H6623">
        <f>VLOOKUP(D6623,Товары!A:I,6,0)</f>
        <v>60</v>
      </c>
      <c r="I6623" t="str">
        <f>VLOOKUP(C6623,Магазины!A:C,3,0)</f>
        <v>Набережные Челны</v>
      </c>
      <c r="J6623">
        <f>VLOOKUP(D6623,Товары!A:I,4,0)</f>
        <v>18900</v>
      </c>
      <c r="K6623">
        <f t="shared" si="103"/>
        <v>18900</v>
      </c>
    </row>
    <row r="6624" spans="1:11" hidden="1" x14ac:dyDescent="0.25">
      <c r="A6624">
        <v>6623</v>
      </c>
      <c r="B6624" s="1">
        <v>45750</v>
      </c>
      <c r="C6624" t="s">
        <v>18</v>
      </c>
      <c r="D6624" t="s">
        <v>76</v>
      </c>
      <c r="E6624" t="s">
        <v>8</v>
      </c>
      <c r="F6624">
        <v>3</v>
      </c>
      <c r="G6624" t="str">
        <f>VLOOKUP(D6624,Товары!A:I,3,0)</f>
        <v>Тумба с раковиной  напол. Леон 600 оникс 2 ящика с умыв. Слим</v>
      </c>
      <c r="H6624">
        <f>VLOOKUP(D6624,Товары!A:I,6,0)</f>
        <v>80</v>
      </c>
      <c r="I6624" t="str">
        <f>VLOOKUP(C6624,Магазины!A:C,3,0)</f>
        <v>Набережные Челны</v>
      </c>
      <c r="J6624">
        <f>VLOOKUP(D6624,Товары!A:I,4,0)</f>
        <v>25860</v>
      </c>
      <c r="K6624">
        <f t="shared" si="103"/>
        <v>77580</v>
      </c>
    </row>
    <row r="6625" spans="1:11" hidden="1" x14ac:dyDescent="0.25">
      <c r="A6625">
        <v>6624</v>
      </c>
      <c r="B6625" s="1">
        <v>45754</v>
      </c>
      <c r="C6625" t="s">
        <v>18</v>
      </c>
      <c r="D6625" t="s">
        <v>73</v>
      </c>
      <c r="E6625" t="s">
        <v>8</v>
      </c>
      <c r="F6625">
        <v>3</v>
      </c>
      <c r="G6625" t="str">
        <f>VLOOKUP(D6625,Товары!A:I,3,0)</f>
        <v>Зеркальный шкаф Альба 70 со светильником правый цвет антрацит</v>
      </c>
      <c r="H6625">
        <f>VLOOKUP(D6625,Товары!A:I,6,0)</f>
        <v>75</v>
      </c>
      <c r="I6625" t="str">
        <f>VLOOKUP(C6625,Магазины!A:C,3,0)</f>
        <v>Набережные Челны</v>
      </c>
      <c r="J6625">
        <f>VLOOKUP(D6625,Товары!A:I,4,0)</f>
        <v>9615</v>
      </c>
      <c r="K6625">
        <f t="shared" si="103"/>
        <v>28845</v>
      </c>
    </row>
    <row r="6626" spans="1:11" hidden="1" x14ac:dyDescent="0.25">
      <c r="A6626">
        <v>6625</v>
      </c>
      <c r="B6626" s="1">
        <v>45756</v>
      </c>
      <c r="C6626" t="s">
        <v>41</v>
      </c>
      <c r="D6626" t="s">
        <v>29</v>
      </c>
      <c r="E6626" t="s">
        <v>13</v>
      </c>
      <c r="F6626">
        <v>2</v>
      </c>
      <c r="G6626" t="str">
        <f>VLOOKUP(D6626,Товары!A:I,3,0)</f>
        <v>Тумба с раковиной  напол. Леон Риф 600 солярис/белый риф 2 ящика с умыв. Океан</v>
      </c>
      <c r="H6626">
        <f>VLOOKUP(D6626,Товары!A:I,6,0)</f>
        <v>80</v>
      </c>
      <c r="I6626" t="str">
        <f>VLOOKUP(C6626,Магазины!A:C,3,0)</f>
        <v>Ставрополь</v>
      </c>
      <c r="J6626">
        <f>VLOOKUP(D6626,Товары!A:I,4,0)</f>
        <v>24150</v>
      </c>
      <c r="K6626">
        <f t="shared" si="103"/>
        <v>48300</v>
      </c>
    </row>
    <row r="6627" spans="1:11" hidden="1" x14ac:dyDescent="0.25">
      <c r="A6627">
        <v>6626</v>
      </c>
      <c r="B6627" s="1">
        <v>45757</v>
      </c>
      <c r="C6627" t="s">
        <v>30</v>
      </c>
      <c r="D6627" t="s">
        <v>47</v>
      </c>
      <c r="E6627" t="s">
        <v>13</v>
      </c>
      <c r="F6627">
        <v>2</v>
      </c>
      <c r="G6627" t="str">
        <f>VLOOKUP(D6627,Товары!A:I,3,0)</f>
        <v>Пенал напол. Кристалл 350 шато азур 2 двери</v>
      </c>
      <c r="H6627">
        <f>VLOOKUP(D6627,Товары!A:I,6,0)</f>
        <v>190</v>
      </c>
      <c r="I6627" t="str">
        <f>VLOOKUP(C6627,Магазины!A:C,3,0)</f>
        <v>Кемерово</v>
      </c>
      <c r="J6627">
        <f>VLOOKUP(D6627,Товары!A:I,4,0)</f>
        <v>15810</v>
      </c>
      <c r="K6627">
        <f t="shared" si="103"/>
        <v>31620</v>
      </c>
    </row>
    <row r="6628" spans="1:11" hidden="1" x14ac:dyDescent="0.25">
      <c r="A6628">
        <v>6627</v>
      </c>
      <c r="B6628" s="1">
        <v>45750</v>
      </c>
      <c r="C6628" t="s">
        <v>103</v>
      </c>
      <c r="D6628" t="s">
        <v>76</v>
      </c>
      <c r="E6628" t="s">
        <v>8</v>
      </c>
      <c r="F6628">
        <v>1</v>
      </c>
      <c r="G6628" t="str">
        <f>VLOOKUP(D6628,Товары!A:I,3,0)</f>
        <v>Тумба с раковиной  напол. Леон 600 оникс 2 ящика с умыв. Слим</v>
      </c>
      <c r="H6628">
        <f>VLOOKUP(D6628,Товары!A:I,6,0)</f>
        <v>80</v>
      </c>
      <c r="I6628" t="str">
        <f>VLOOKUP(C6628,Магазины!A:C,3,0)</f>
        <v>Ставрополь</v>
      </c>
      <c r="J6628">
        <f>VLOOKUP(D6628,Товары!A:I,4,0)</f>
        <v>25860</v>
      </c>
      <c r="K6628">
        <f t="shared" si="103"/>
        <v>25860</v>
      </c>
    </row>
    <row r="6629" spans="1:11" hidden="1" x14ac:dyDescent="0.25">
      <c r="A6629">
        <v>6628</v>
      </c>
      <c r="B6629" s="1">
        <v>45756</v>
      </c>
      <c r="C6629" t="s">
        <v>20</v>
      </c>
      <c r="D6629" t="s">
        <v>32</v>
      </c>
      <c r="E6629" t="s">
        <v>8</v>
      </c>
      <c r="F6629">
        <v>2</v>
      </c>
      <c r="G6629" t="str">
        <f>VLOOKUP(D6629,Товары!A:I,3,0)</f>
        <v>Тумба с раковиной  напол. Леон Риф 700 солярис/белый риф 2 ящика с умыв. Слим</v>
      </c>
      <c r="H6629">
        <f>VLOOKUP(D6629,Товары!A:I,6,0)</f>
        <v>85</v>
      </c>
      <c r="I6629" t="str">
        <f>VLOOKUP(C6629,Магазины!A:C,3,0)</f>
        <v>Оренбург</v>
      </c>
      <c r="J6629">
        <f>VLOOKUP(D6629,Товары!A:I,4,0)</f>
        <v>26460</v>
      </c>
      <c r="K6629">
        <f t="shared" si="103"/>
        <v>52920</v>
      </c>
    </row>
    <row r="6630" spans="1:11" hidden="1" x14ac:dyDescent="0.25">
      <c r="A6630">
        <v>6629</v>
      </c>
      <c r="B6630" s="1">
        <v>45757</v>
      </c>
      <c r="C6630" t="s">
        <v>58</v>
      </c>
      <c r="D6630" t="s">
        <v>19</v>
      </c>
      <c r="E6630" t="s">
        <v>13</v>
      </c>
      <c r="F6630">
        <v>1</v>
      </c>
      <c r="G6630" t="str">
        <f>VLOOKUP(D6630,Товары!A:I,3,0)</f>
        <v>Тумба с раковиной  навес. Леон 800 оникс 2 ящика с умыв. Слим</v>
      </c>
      <c r="H6630">
        <f>VLOOKUP(D6630,Товары!A:I,6,0)</f>
        <v>60</v>
      </c>
      <c r="I6630" t="str">
        <f>VLOOKUP(C6630,Магазины!A:C,3,0)</f>
        <v>Ставрополь</v>
      </c>
      <c r="J6630">
        <f>VLOOKUP(D6630,Товары!A:I,4,0)</f>
        <v>27930</v>
      </c>
      <c r="K6630">
        <f t="shared" si="103"/>
        <v>27930</v>
      </c>
    </row>
    <row r="6631" spans="1:11" hidden="1" x14ac:dyDescent="0.25">
      <c r="A6631">
        <v>6630</v>
      </c>
      <c r="B6631" s="1">
        <v>45752</v>
      </c>
      <c r="C6631" t="s">
        <v>9</v>
      </c>
      <c r="D6631" t="s">
        <v>119</v>
      </c>
      <c r="E6631" t="s">
        <v>13</v>
      </c>
      <c r="F6631">
        <v>1</v>
      </c>
      <c r="G6631" t="str">
        <f>VLOOKUP(D6631,Товары!A:I,3,0)</f>
        <v>Пенал навес./напол. Рица 350 cерый/керамика 2 двери</v>
      </c>
      <c r="H6631">
        <f>VLOOKUP(D6631,Товары!A:I,6,0)</f>
        <v>160</v>
      </c>
      <c r="I6631" t="str">
        <f>VLOOKUP(C6631,Магазины!A:C,3,0)</f>
        <v>Кемерово</v>
      </c>
      <c r="J6631">
        <f>VLOOKUP(D6631,Товары!A:I,4,0)</f>
        <v>11250</v>
      </c>
      <c r="K6631">
        <f t="shared" si="103"/>
        <v>11250</v>
      </c>
    </row>
    <row r="6632" spans="1:11" hidden="1" x14ac:dyDescent="0.25">
      <c r="A6632">
        <v>6631</v>
      </c>
      <c r="B6632" s="1">
        <v>45756</v>
      </c>
      <c r="C6632" t="s">
        <v>33</v>
      </c>
      <c r="D6632" t="s">
        <v>75</v>
      </c>
      <c r="E6632" t="s">
        <v>8</v>
      </c>
      <c r="F6632">
        <v>3</v>
      </c>
      <c r="G6632" t="str">
        <f>VLOOKUP(D6632,Товары!A:I,3,0)</f>
        <v>Тумба с раковиной  напол. Альба 600 суфле 2 ящика с умыв. Океан</v>
      </c>
      <c r="H6632">
        <f>VLOOKUP(D6632,Товары!A:I,6,0)</f>
        <v>80</v>
      </c>
      <c r="I6632" t="str">
        <f>VLOOKUP(C6632,Магазины!A:C,3,0)</f>
        <v>Набережные Челны</v>
      </c>
      <c r="J6632">
        <f>VLOOKUP(D6632,Товары!A:I,4,0)</f>
        <v>26370</v>
      </c>
      <c r="K6632">
        <f t="shared" si="103"/>
        <v>79110</v>
      </c>
    </row>
    <row r="6633" spans="1:11" hidden="1" x14ac:dyDescent="0.25">
      <c r="A6633">
        <v>6632</v>
      </c>
      <c r="B6633" s="1">
        <v>45752</v>
      </c>
      <c r="C6633" t="s">
        <v>48</v>
      </c>
      <c r="D6633" t="s">
        <v>104</v>
      </c>
      <c r="E6633" t="s">
        <v>13</v>
      </c>
      <c r="F6633">
        <v>2</v>
      </c>
      <c r="G6633" t="str">
        <f>VLOOKUP(D6633,Товары!A:I,3,0)</f>
        <v>Тумба под стиральную машину Куба Риф 57 подвесная 2 ящика под ст/маш, без умывальника /под Marshall 120 Белый</v>
      </c>
      <c r="H6633">
        <f>VLOOKUP(D6633,Товары!A:I,6,0)</f>
        <v>50</v>
      </c>
      <c r="I6633" t="str">
        <f>VLOOKUP(C6633,Магазины!A:C,3,0)</f>
        <v>Ставрополь</v>
      </c>
      <c r="J6633">
        <f>VLOOKUP(D6633,Товары!A:I,4,0)</f>
        <v>8505</v>
      </c>
      <c r="K6633">
        <f t="shared" si="103"/>
        <v>17010</v>
      </c>
    </row>
    <row r="6634" spans="1:11" hidden="1" x14ac:dyDescent="0.25">
      <c r="A6634">
        <v>6633</v>
      </c>
      <c r="B6634" s="1">
        <v>45752</v>
      </c>
      <c r="C6634" t="s">
        <v>26</v>
      </c>
      <c r="D6634" t="s">
        <v>112</v>
      </c>
      <c r="E6634" t="s">
        <v>13</v>
      </c>
      <c r="F6634">
        <v>3</v>
      </c>
      <c r="G6634" t="str">
        <f>VLOOKUP(D6634,Товары!A:I,3,0)</f>
        <v>Тумба с раковиной  напол. Аква 560 белый 2 двери с умыв. Уют</v>
      </c>
      <c r="H6634">
        <f>VLOOKUP(D6634,Товары!A:I,6,0)</f>
        <v>85</v>
      </c>
      <c r="I6634" t="str">
        <f>VLOOKUP(C6634,Магазины!A:C,3,0)</f>
        <v>Оренбург</v>
      </c>
      <c r="J6634">
        <f>VLOOKUP(D6634,Товары!A:I,4,0)</f>
        <v>9330</v>
      </c>
      <c r="K6634">
        <f t="shared" si="103"/>
        <v>27990</v>
      </c>
    </row>
    <row r="6635" spans="1:11" hidden="1" x14ac:dyDescent="0.25">
      <c r="A6635">
        <v>6634</v>
      </c>
      <c r="B6635" s="1">
        <v>45755</v>
      </c>
      <c r="C6635" t="s">
        <v>63</v>
      </c>
      <c r="D6635" t="s">
        <v>79</v>
      </c>
      <c r="E6635" t="s">
        <v>13</v>
      </c>
      <c r="F6635">
        <v>1</v>
      </c>
      <c r="G6635" t="str">
        <f>VLOOKUP(D6635,Товары!A:I,3,0)</f>
        <v>Зеркальный шкаф Альба 70 со светильником правый цвет мята</v>
      </c>
      <c r="H6635">
        <f>VLOOKUP(D6635,Товары!A:I,6,0)</f>
        <v>75</v>
      </c>
      <c r="I6635" t="str">
        <f>VLOOKUP(C6635,Магазины!A:C,3,0)</f>
        <v>Ставрополь</v>
      </c>
      <c r="J6635">
        <f>VLOOKUP(D6635,Товары!A:I,4,0)</f>
        <v>9615</v>
      </c>
      <c r="K6635">
        <f t="shared" si="103"/>
        <v>9615</v>
      </c>
    </row>
    <row r="6636" spans="1:11" hidden="1" x14ac:dyDescent="0.25">
      <c r="A6636">
        <v>6635</v>
      </c>
      <c r="B6636" s="1">
        <v>45755</v>
      </c>
      <c r="C6636" t="s">
        <v>111</v>
      </c>
      <c r="D6636" t="s">
        <v>112</v>
      </c>
      <c r="E6636" t="s">
        <v>13</v>
      </c>
      <c r="F6636">
        <v>2</v>
      </c>
      <c r="G6636" t="str">
        <f>VLOOKUP(D6636,Товары!A:I,3,0)</f>
        <v>Тумба с раковиной  напол. Аква 560 белый 2 двери с умыв. Уют</v>
      </c>
      <c r="H6636">
        <f>VLOOKUP(D6636,Товары!A:I,6,0)</f>
        <v>85</v>
      </c>
      <c r="I6636" t="str">
        <f>VLOOKUP(C6636,Магазины!A:C,3,0)</f>
        <v>Набережные Челны</v>
      </c>
      <c r="J6636">
        <f>VLOOKUP(D6636,Товары!A:I,4,0)</f>
        <v>9330</v>
      </c>
      <c r="K6636">
        <f t="shared" si="103"/>
        <v>18660</v>
      </c>
    </row>
    <row r="6637" spans="1:11" hidden="1" x14ac:dyDescent="0.25">
      <c r="A6637">
        <v>6636</v>
      </c>
      <c r="B6637" s="1">
        <v>45753</v>
      </c>
      <c r="C6637" t="s">
        <v>63</v>
      </c>
      <c r="D6637" t="s">
        <v>93</v>
      </c>
      <c r="E6637" t="s">
        <v>8</v>
      </c>
      <c r="F6637">
        <v>2</v>
      </c>
      <c r="G6637" t="str">
        <f>VLOOKUP(D6637,Товары!A:I,3,0)</f>
        <v>Тумба с раковиной  напол. Леон Риф 800 солярис/белый риф 2 ящика с умыв. Слим</v>
      </c>
      <c r="H6637">
        <f>VLOOKUP(D6637,Товары!A:I,6,0)</f>
        <v>80</v>
      </c>
      <c r="I6637" t="str">
        <f>VLOOKUP(C6637,Магазины!A:C,3,0)</f>
        <v>Ставрополь</v>
      </c>
      <c r="J6637">
        <f>VLOOKUP(D6637,Товары!A:I,4,0)</f>
        <v>29340</v>
      </c>
      <c r="K6637">
        <f t="shared" si="103"/>
        <v>58680</v>
      </c>
    </row>
    <row r="6638" spans="1:11" hidden="1" x14ac:dyDescent="0.25">
      <c r="A6638">
        <v>6637</v>
      </c>
      <c r="B6638" s="1">
        <v>45748</v>
      </c>
      <c r="C6638" t="s">
        <v>6</v>
      </c>
      <c r="D6638" t="s">
        <v>73</v>
      </c>
      <c r="E6638" t="s">
        <v>8</v>
      </c>
      <c r="F6638">
        <v>1</v>
      </c>
      <c r="G6638" t="str">
        <f>VLOOKUP(D6638,Товары!A:I,3,0)</f>
        <v>Зеркальный шкаф Альба 70 со светильником правый цвет антрацит</v>
      </c>
      <c r="H6638">
        <f>VLOOKUP(D6638,Товары!A:I,6,0)</f>
        <v>75</v>
      </c>
      <c r="I6638" t="str">
        <f>VLOOKUP(C6638,Магазины!A:C,3,0)</f>
        <v>Оренбург</v>
      </c>
      <c r="J6638">
        <f>VLOOKUP(D6638,Товары!A:I,4,0)</f>
        <v>9615</v>
      </c>
      <c r="K6638">
        <f t="shared" si="103"/>
        <v>9615</v>
      </c>
    </row>
    <row r="6639" spans="1:11" hidden="1" x14ac:dyDescent="0.25">
      <c r="A6639">
        <v>6638</v>
      </c>
      <c r="B6639" s="1">
        <v>45756</v>
      </c>
      <c r="C6639" t="s">
        <v>9</v>
      </c>
      <c r="D6639" t="s">
        <v>107</v>
      </c>
      <c r="E6639" t="s">
        <v>13</v>
      </c>
      <c r="F6639">
        <v>2</v>
      </c>
      <c r="G6639" t="str">
        <f>VLOOKUP(D6639,Товары!A:I,3,0)</f>
        <v>Комод Аква 35 напольный 1 дверь белый правый</v>
      </c>
      <c r="H6639">
        <f>VLOOKUP(D6639,Товары!A:I,6,0)</f>
        <v>90</v>
      </c>
      <c r="I6639" t="str">
        <f>VLOOKUP(C6639,Магазины!A:C,3,0)</f>
        <v>Кемерово</v>
      </c>
      <c r="J6639">
        <f>VLOOKUP(D6639,Товары!A:I,4,0)</f>
        <v>6705</v>
      </c>
      <c r="K6639">
        <f t="shared" si="103"/>
        <v>13410</v>
      </c>
    </row>
    <row r="6640" spans="1:11" hidden="1" x14ac:dyDescent="0.25">
      <c r="A6640">
        <v>6639</v>
      </c>
      <c r="B6640" s="1">
        <v>45753</v>
      </c>
      <c r="C6640" t="s">
        <v>58</v>
      </c>
      <c r="D6640" t="s">
        <v>125</v>
      </c>
      <c r="E6640" t="s">
        <v>13</v>
      </c>
      <c r="F6640">
        <v>1</v>
      </c>
      <c r="G6640" t="str">
        <f>VLOOKUP(D6640,Товары!A:I,3,0)</f>
        <v>Зеркальный шкаф Сохо 60 белый со светильником правый цвет Белый глянец</v>
      </c>
      <c r="H6640">
        <f>VLOOKUP(D6640,Товары!A:I,6,0)</f>
        <v>75</v>
      </c>
      <c r="I6640" t="str">
        <f>VLOOKUP(C6640,Магазины!A:C,3,0)</f>
        <v>Ставрополь</v>
      </c>
      <c r="J6640">
        <f>VLOOKUP(D6640,Товары!A:I,4,0)</f>
        <v>7395</v>
      </c>
      <c r="K6640">
        <f t="shared" si="103"/>
        <v>7395</v>
      </c>
    </row>
    <row r="6641" spans="1:11" hidden="1" x14ac:dyDescent="0.25">
      <c r="A6641">
        <v>6640</v>
      </c>
      <c r="B6641" s="1">
        <v>45752</v>
      </c>
      <c r="C6641" t="s">
        <v>18</v>
      </c>
      <c r="D6641" t="s">
        <v>50</v>
      </c>
      <c r="E6641" t="s">
        <v>13</v>
      </c>
      <c r="F6641">
        <v>2</v>
      </c>
      <c r="G6641" t="str">
        <f>VLOOKUP(D6641,Товары!A:I,3,0)</f>
        <v>Тумба с раковиной  напол. Леон 800 оникс 2 ящика с умыв. Слим</v>
      </c>
      <c r="H6641">
        <f>VLOOKUP(D6641,Товары!A:I,6,0)</f>
        <v>80</v>
      </c>
      <c r="I6641" t="str">
        <f>VLOOKUP(C6641,Магазины!A:C,3,0)</f>
        <v>Набережные Челны</v>
      </c>
      <c r="J6641">
        <f>VLOOKUP(D6641,Товары!A:I,4,0)</f>
        <v>29400</v>
      </c>
      <c r="K6641">
        <f t="shared" si="103"/>
        <v>58800</v>
      </c>
    </row>
    <row r="6642" spans="1:11" hidden="1" x14ac:dyDescent="0.25">
      <c r="A6642">
        <v>6641</v>
      </c>
      <c r="B6642" s="1">
        <v>45753</v>
      </c>
      <c r="C6642" t="s">
        <v>30</v>
      </c>
      <c r="D6642" t="s">
        <v>15</v>
      </c>
      <c r="E6642" t="s">
        <v>13</v>
      </c>
      <c r="F6642">
        <v>2</v>
      </c>
      <c r="G6642" t="str">
        <f>VLOOKUP(D6642,Товары!A:I,3,0)</f>
        <v>Зеркальный шкаф Кристалл 60 со светильником правый, ручка кнопка дуб цвет Шато Азур</v>
      </c>
      <c r="H6642">
        <f>VLOOKUP(D6642,Товары!A:I,6,0)</f>
        <v>75</v>
      </c>
      <c r="I6642" t="str">
        <f>VLOOKUP(C6642,Магазины!A:C,3,0)</f>
        <v>Кемерово</v>
      </c>
      <c r="J6642">
        <f>VLOOKUP(D6642,Товары!A:I,4,0)</f>
        <v>9195</v>
      </c>
      <c r="K6642">
        <f t="shared" si="103"/>
        <v>18390</v>
      </c>
    </row>
    <row r="6643" spans="1:11" hidden="1" x14ac:dyDescent="0.25">
      <c r="A6643">
        <v>6642</v>
      </c>
      <c r="B6643" s="1">
        <v>45750</v>
      </c>
      <c r="C6643" t="s">
        <v>11</v>
      </c>
      <c r="D6643" t="s">
        <v>68</v>
      </c>
      <c r="E6643" t="s">
        <v>8</v>
      </c>
      <c r="F6643">
        <v>2</v>
      </c>
      <c r="G6643" t="str">
        <f>VLOOKUP(D6643,Товары!A:I,3,0)</f>
        <v>Тумба с раковиной  навес. Альба 600 антрацит 1 ящик с умыв. Океан</v>
      </c>
      <c r="H6643">
        <f>VLOOKUP(D6643,Товары!A:I,6,0)</f>
        <v>85</v>
      </c>
      <c r="I6643" t="str">
        <f>VLOOKUP(C6643,Магазины!A:C,3,0)</f>
        <v>Кемерово</v>
      </c>
      <c r="J6643">
        <f>VLOOKUP(D6643,Товары!A:I,4,0)</f>
        <v>17625</v>
      </c>
      <c r="K6643">
        <f t="shared" si="103"/>
        <v>35250</v>
      </c>
    </row>
    <row r="6644" spans="1:11" hidden="1" x14ac:dyDescent="0.25">
      <c r="A6644">
        <v>6643</v>
      </c>
      <c r="B6644" s="1">
        <v>45756</v>
      </c>
      <c r="C6644" t="s">
        <v>9</v>
      </c>
      <c r="D6644" t="s">
        <v>105</v>
      </c>
      <c r="E6644" t="s">
        <v>8</v>
      </c>
      <c r="F6644">
        <v>1</v>
      </c>
      <c r="G6644" t="str">
        <f>VLOOKUP(D6644,Товары!A:I,3,0)</f>
        <v>Тумба с раковиной  напол. Нева 600 белый 2 двери + 1 ящик с умыв. Como</v>
      </c>
      <c r="H6644">
        <f>VLOOKUP(D6644,Товары!A:I,6,0)</f>
        <v>80</v>
      </c>
      <c r="I6644" t="str">
        <f>VLOOKUP(C6644,Магазины!A:C,3,0)</f>
        <v>Кемерово</v>
      </c>
      <c r="J6644">
        <f>VLOOKUP(D6644,Товары!A:I,4,0)</f>
        <v>13470</v>
      </c>
      <c r="K6644">
        <f t="shared" si="103"/>
        <v>13470</v>
      </c>
    </row>
    <row r="6645" spans="1:11" hidden="1" x14ac:dyDescent="0.25">
      <c r="A6645">
        <v>6644</v>
      </c>
      <c r="B6645" s="1">
        <v>45749</v>
      </c>
      <c r="C6645" t="s">
        <v>57</v>
      </c>
      <c r="D6645" t="s">
        <v>78</v>
      </c>
      <c r="E6645" t="s">
        <v>13</v>
      </c>
      <c r="F6645">
        <v>2</v>
      </c>
      <c r="G6645" t="str">
        <f>VLOOKUP(D6645,Товары!A:I,3,0)</f>
        <v>Зеркальный шкаф Кристалл 70 со светильником правый, ручка кнопка дуб цвет Шато Азур</v>
      </c>
      <c r="H6645">
        <f>VLOOKUP(D6645,Товары!A:I,6,0)</f>
        <v>75</v>
      </c>
      <c r="I6645" t="str">
        <f>VLOOKUP(C6645,Магазины!A:C,3,0)</f>
        <v>Оренбург</v>
      </c>
      <c r="J6645">
        <f>VLOOKUP(D6645,Товары!A:I,4,0)</f>
        <v>9615</v>
      </c>
      <c r="K6645">
        <f t="shared" si="103"/>
        <v>19230</v>
      </c>
    </row>
    <row r="6646" spans="1:11" hidden="1" x14ac:dyDescent="0.25">
      <c r="A6646">
        <v>6645</v>
      </c>
      <c r="B6646" s="1">
        <v>45754</v>
      </c>
      <c r="C6646" t="s">
        <v>58</v>
      </c>
      <c r="D6646" t="s">
        <v>69</v>
      </c>
      <c r="E6646" t="s">
        <v>8</v>
      </c>
      <c r="F6646">
        <v>1</v>
      </c>
      <c r="G6646" t="str">
        <f>VLOOKUP(D6646,Товары!A:I,3,0)</f>
        <v>Пенал навес./напол. Альба 350 антрацит 2 двери</v>
      </c>
      <c r="H6646">
        <f>VLOOKUP(D6646,Товары!A:I,6,0)</f>
        <v>150</v>
      </c>
      <c r="I6646" t="str">
        <f>VLOOKUP(C6646,Магазины!A:C,3,0)</f>
        <v>Ставрополь</v>
      </c>
      <c r="J6646">
        <f>VLOOKUP(D6646,Товары!A:I,4,0)</f>
        <v>11655</v>
      </c>
      <c r="K6646">
        <f t="shared" si="103"/>
        <v>11655</v>
      </c>
    </row>
    <row r="6647" spans="1:11" hidden="1" x14ac:dyDescent="0.25">
      <c r="A6647">
        <v>6646</v>
      </c>
      <c r="B6647" s="1">
        <v>45754</v>
      </c>
      <c r="C6647" t="s">
        <v>54</v>
      </c>
      <c r="D6647" t="s">
        <v>102</v>
      </c>
      <c r="E6647" t="s">
        <v>8</v>
      </c>
      <c r="F6647">
        <v>2</v>
      </c>
      <c r="G6647" t="str">
        <f>VLOOKUP(D6647,Товары!A:I,3,0)</f>
        <v>Тумба с раковиной  напол. Леон Риф 1000 солярис/белый риф 2 ящика с умыв. Слим</v>
      </c>
      <c r="H6647">
        <f>VLOOKUP(D6647,Товары!A:I,6,0)</f>
        <v>85</v>
      </c>
      <c r="I6647" t="str">
        <f>VLOOKUP(C6647,Магазины!A:C,3,0)</f>
        <v>Ставрополь</v>
      </c>
      <c r="J6647">
        <f>VLOOKUP(D6647,Товары!A:I,4,0)</f>
        <v>32085</v>
      </c>
      <c r="K6647">
        <f t="shared" si="103"/>
        <v>64170</v>
      </c>
    </row>
    <row r="6648" spans="1:11" hidden="1" x14ac:dyDescent="0.25">
      <c r="A6648">
        <v>6647</v>
      </c>
      <c r="B6648" s="1">
        <v>45749</v>
      </c>
      <c r="C6648" t="s">
        <v>33</v>
      </c>
      <c r="D6648" t="s">
        <v>125</v>
      </c>
      <c r="E6648" t="s">
        <v>13</v>
      </c>
      <c r="F6648">
        <v>3</v>
      </c>
      <c r="G6648" t="str">
        <f>VLOOKUP(D6648,Товары!A:I,3,0)</f>
        <v>Зеркальный шкаф Сохо 60 белый со светильником правый цвет Белый глянец</v>
      </c>
      <c r="H6648">
        <f>VLOOKUP(D6648,Товары!A:I,6,0)</f>
        <v>75</v>
      </c>
      <c r="I6648" t="str">
        <f>VLOOKUP(C6648,Магазины!A:C,3,0)</f>
        <v>Набережные Челны</v>
      </c>
      <c r="J6648">
        <f>VLOOKUP(D6648,Товары!A:I,4,0)</f>
        <v>7395</v>
      </c>
      <c r="K6648">
        <f t="shared" si="103"/>
        <v>22185</v>
      </c>
    </row>
    <row r="6649" spans="1:11" hidden="1" x14ac:dyDescent="0.25">
      <c r="A6649">
        <v>6648</v>
      </c>
      <c r="B6649" s="1">
        <v>45756</v>
      </c>
      <c r="C6649" t="s">
        <v>54</v>
      </c>
      <c r="D6649" t="s">
        <v>55</v>
      </c>
      <c r="E6649" t="s">
        <v>8</v>
      </c>
      <c r="F6649">
        <v>1</v>
      </c>
      <c r="G6649" t="str">
        <f>VLOOKUP(D6649,Товары!A:I,3,0)</f>
        <v>Тумба с раковиной  напол. Рица 600 cерый/керамика 2 ящика с умыв. Океан</v>
      </c>
      <c r="H6649">
        <f>VLOOKUP(D6649,Товары!A:I,6,0)</f>
        <v>80</v>
      </c>
      <c r="I6649" t="str">
        <f>VLOOKUP(C6649,Магазины!A:C,3,0)</f>
        <v>Ставрополь</v>
      </c>
      <c r="J6649">
        <f>VLOOKUP(D6649,Товары!A:I,4,0)</f>
        <v>25560</v>
      </c>
      <c r="K6649">
        <f t="shared" si="103"/>
        <v>25560</v>
      </c>
    </row>
    <row r="6650" spans="1:11" hidden="1" x14ac:dyDescent="0.25">
      <c r="A6650">
        <v>6649</v>
      </c>
      <c r="B6650" s="1">
        <v>45756</v>
      </c>
      <c r="C6650" t="s">
        <v>14</v>
      </c>
      <c r="D6650" t="s">
        <v>83</v>
      </c>
      <c r="E6650" t="s">
        <v>8</v>
      </c>
      <c r="F6650">
        <v>3</v>
      </c>
      <c r="G6650" t="str">
        <f>VLOOKUP(D6650,Товары!A:I,3,0)</f>
        <v>Зеркальный шкаф Альба 60 со светильником правый цвет суфле</v>
      </c>
      <c r="H6650">
        <f>VLOOKUP(D6650,Товары!A:I,6,0)</f>
        <v>75</v>
      </c>
      <c r="I6650" t="str">
        <f>VLOOKUP(C6650,Магазины!A:C,3,0)</f>
        <v>Оренбург</v>
      </c>
      <c r="J6650">
        <f>VLOOKUP(D6650,Товары!A:I,4,0)</f>
        <v>8910</v>
      </c>
      <c r="K6650">
        <f t="shared" si="103"/>
        <v>26730</v>
      </c>
    </row>
    <row r="6651" spans="1:11" hidden="1" x14ac:dyDescent="0.25">
      <c r="A6651">
        <v>6650</v>
      </c>
      <c r="B6651" s="1">
        <v>45753</v>
      </c>
      <c r="C6651" t="s">
        <v>35</v>
      </c>
      <c r="D6651" t="s">
        <v>56</v>
      </c>
      <c r="E6651" t="s">
        <v>8</v>
      </c>
      <c r="F6651">
        <v>2</v>
      </c>
      <c r="G6651" t="str">
        <f>VLOOKUP(D6651,Товары!A:I,3,0)</f>
        <v>Зеркальный шкаф Альба 80 со светильником правый цвет мята</v>
      </c>
      <c r="H6651">
        <f>VLOOKUP(D6651,Товары!A:I,6,0)</f>
        <v>75</v>
      </c>
      <c r="I6651" t="str">
        <f>VLOOKUP(C6651,Магазины!A:C,3,0)</f>
        <v>Набережные Челны</v>
      </c>
      <c r="J6651">
        <f>VLOOKUP(D6651,Товары!A:I,4,0)</f>
        <v>9930</v>
      </c>
      <c r="K6651">
        <f t="shared" si="103"/>
        <v>19860</v>
      </c>
    </row>
    <row r="6652" spans="1:11" hidden="1" x14ac:dyDescent="0.25">
      <c r="A6652">
        <v>6651</v>
      </c>
      <c r="B6652" s="1">
        <v>45757</v>
      </c>
      <c r="C6652" t="s">
        <v>26</v>
      </c>
      <c r="D6652" t="s">
        <v>60</v>
      </c>
      <c r="E6652" t="s">
        <v>8</v>
      </c>
      <c r="F6652">
        <v>1</v>
      </c>
      <c r="G6652" t="str">
        <f>VLOOKUP(D6652,Товары!A:I,3,0)</f>
        <v>Пенал навес. Куба Риф 350 белый 2 двери</v>
      </c>
      <c r="H6652">
        <f>VLOOKUP(D6652,Товары!A:I,6,0)</f>
        <v>150</v>
      </c>
      <c r="I6652" t="str">
        <f>VLOOKUP(C6652,Магазины!A:C,3,0)</f>
        <v>Оренбург</v>
      </c>
      <c r="J6652">
        <f>VLOOKUP(D6652,Товары!A:I,4,0)</f>
        <v>9720</v>
      </c>
      <c r="K6652">
        <f t="shared" si="103"/>
        <v>9720</v>
      </c>
    </row>
    <row r="6653" spans="1:11" hidden="1" x14ac:dyDescent="0.25">
      <c r="A6653">
        <v>6652</v>
      </c>
      <c r="B6653" s="1">
        <v>45752</v>
      </c>
      <c r="C6653" t="s">
        <v>9</v>
      </c>
      <c r="D6653" t="s">
        <v>21</v>
      </c>
      <c r="E6653" t="s">
        <v>13</v>
      </c>
      <c r="F6653">
        <v>3</v>
      </c>
      <c r="G6653" t="str">
        <f>VLOOKUP(D6653,Товары!A:I,3,0)</f>
        <v>Зеркальный шкаф Рица 60 со светильником правый цвет cерый/керамика</v>
      </c>
      <c r="H6653">
        <f>VLOOKUP(D6653,Товары!A:I,6,0)</f>
        <v>75</v>
      </c>
      <c r="I6653" t="str">
        <f>VLOOKUP(C6653,Магазины!A:C,3,0)</f>
        <v>Кемерово</v>
      </c>
      <c r="J6653">
        <f>VLOOKUP(D6653,Товары!A:I,4,0)</f>
        <v>8910</v>
      </c>
      <c r="K6653">
        <f t="shared" si="103"/>
        <v>26730</v>
      </c>
    </row>
    <row r="6654" spans="1:11" hidden="1" x14ac:dyDescent="0.25">
      <c r="A6654">
        <v>6653</v>
      </c>
      <c r="B6654" s="1">
        <v>45755</v>
      </c>
      <c r="C6654" t="s">
        <v>33</v>
      </c>
      <c r="D6654" t="s">
        <v>112</v>
      </c>
      <c r="E6654" t="s">
        <v>13</v>
      </c>
      <c r="F6654">
        <v>1</v>
      </c>
      <c r="G6654" t="str">
        <f>VLOOKUP(D6654,Товары!A:I,3,0)</f>
        <v>Тумба с раковиной  напол. Аква 560 белый 2 двери с умыв. Уют</v>
      </c>
      <c r="H6654">
        <f>VLOOKUP(D6654,Товары!A:I,6,0)</f>
        <v>85</v>
      </c>
      <c r="I6654" t="str">
        <f>VLOOKUP(C6654,Магазины!A:C,3,0)</f>
        <v>Набережные Челны</v>
      </c>
      <c r="J6654">
        <f>VLOOKUP(D6654,Товары!A:I,4,0)</f>
        <v>9330</v>
      </c>
      <c r="K6654">
        <f t="shared" si="103"/>
        <v>9330</v>
      </c>
    </row>
    <row r="6655" spans="1:11" hidden="1" x14ac:dyDescent="0.25">
      <c r="A6655">
        <v>6654</v>
      </c>
      <c r="B6655" s="1">
        <v>45749</v>
      </c>
      <c r="C6655" t="s">
        <v>18</v>
      </c>
      <c r="D6655" t="s">
        <v>51</v>
      </c>
      <c r="E6655" t="s">
        <v>8</v>
      </c>
      <c r="F6655">
        <v>2</v>
      </c>
      <c r="G6655" t="str">
        <f>VLOOKUP(D6655,Товары!A:I,3,0)</f>
        <v>Зеркальный шкаф Альба 80 со светильником правый цвет суфле</v>
      </c>
      <c r="H6655">
        <f>VLOOKUP(D6655,Товары!A:I,6,0)</f>
        <v>75</v>
      </c>
      <c r="I6655" t="str">
        <f>VLOOKUP(C6655,Магазины!A:C,3,0)</f>
        <v>Набережные Челны</v>
      </c>
      <c r="J6655">
        <f>VLOOKUP(D6655,Товары!A:I,4,0)</f>
        <v>9930</v>
      </c>
      <c r="K6655">
        <f t="shared" si="103"/>
        <v>19860</v>
      </c>
    </row>
    <row r="6656" spans="1:11" hidden="1" x14ac:dyDescent="0.25">
      <c r="A6656">
        <v>6655</v>
      </c>
      <c r="B6656" s="1">
        <v>45752</v>
      </c>
      <c r="C6656" t="s">
        <v>103</v>
      </c>
      <c r="D6656" t="s">
        <v>118</v>
      </c>
      <c r="E6656" t="s">
        <v>13</v>
      </c>
      <c r="F6656">
        <v>1</v>
      </c>
      <c r="G6656" t="str">
        <f>VLOOKUP(D6656,Товары!A:I,3,0)</f>
        <v>Тумба с раковиной  напол. Сохо 800 белый 2 ящика с умыв. Слим</v>
      </c>
      <c r="H6656">
        <f>VLOOKUP(D6656,Товары!A:I,6,0)</f>
        <v>85</v>
      </c>
      <c r="I6656" t="str">
        <f>VLOOKUP(C6656,Магазины!A:C,3,0)</f>
        <v>Ставрополь</v>
      </c>
      <c r="J6656">
        <f>VLOOKUP(D6656,Товары!A:I,4,0)</f>
        <v>19575</v>
      </c>
      <c r="K6656">
        <f t="shared" si="103"/>
        <v>19575</v>
      </c>
    </row>
    <row r="6657" spans="1:11" hidden="1" x14ac:dyDescent="0.25">
      <c r="A6657">
        <v>6656</v>
      </c>
      <c r="B6657" s="1">
        <v>45755</v>
      </c>
      <c r="C6657" t="s">
        <v>103</v>
      </c>
      <c r="D6657" t="s">
        <v>86</v>
      </c>
      <c r="E6657" t="s">
        <v>13</v>
      </c>
      <c r="F6657">
        <v>1</v>
      </c>
      <c r="G6657" t="str">
        <f>VLOOKUP(D6657,Товары!A:I,3,0)</f>
        <v>Комод Аква 50 напольный 1 ящик 2 двери белый</v>
      </c>
      <c r="H6657">
        <f>VLOOKUP(D6657,Товары!A:I,6,0)</f>
        <v>90</v>
      </c>
      <c r="I6657" t="str">
        <f>VLOOKUP(C6657,Магазины!A:C,3,0)</f>
        <v>Ставрополь</v>
      </c>
      <c r="J6657">
        <f>VLOOKUP(D6657,Товары!A:I,4,0)</f>
        <v>7260</v>
      </c>
      <c r="K6657">
        <f t="shared" si="103"/>
        <v>7260</v>
      </c>
    </row>
    <row r="6658" spans="1:11" hidden="1" x14ac:dyDescent="0.25">
      <c r="A6658">
        <v>6657</v>
      </c>
      <c r="B6658" s="1">
        <v>45751</v>
      </c>
      <c r="C6658" t="s">
        <v>111</v>
      </c>
      <c r="D6658" t="s">
        <v>120</v>
      </c>
      <c r="E6658" t="s">
        <v>8</v>
      </c>
      <c r="F6658">
        <v>3</v>
      </c>
      <c r="G6658" t="str">
        <f>VLOOKUP(D6658,Товары!A:I,3,0)</f>
        <v>Зеркальный шкаф Альба 60 со светильником правый цвет антрацит</v>
      </c>
      <c r="H6658">
        <f>VLOOKUP(D6658,Товары!A:I,6,0)</f>
        <v>75</v>
      </c>
      <c r="I6658" t="str">
        <f>VLOOKUP(C6658,Магазины!A:C,3,0)</f>
        <v>Набережные Челны</v>
      </c>
      <c r="J6658">
        <f>VLOOKUP(D6658,Товары!A:I,4,0)</f>
        <v>8910</v>
      </c>
      <c r="K6658">
        <f t="shared" si="103"/>
        <v>26730</v>
      </c>
    </row>
    <row r="6659" spans="1:11" hidden="1" x14ac:dyDescent="0.25">
      <c r="A6659">
        <v>6658</v>
      </c>
      <c r="B6659" s="1">
        <v>45751</v>
      </c>
      <c r="C6659" t="s">
        <v>11</v>
      </c>
      <c r="D6659" t="s">
        <v>98</v>
      </c>
      <c r="E6659" t="s">
        <v>8</v>
      </c>
      <c r="F6659">
        <v>2</v>
      </c>
      <c r="G6659" t="str">
        <f>VLOOKUP(D6659,Товары!A:I,3,0)</f>
        <v>Тумба с раковиной  напол. Рица 800 cерый/керамика 2 ящика с умыв. Слим</v>
      </c>
      <c r="H6659">
        <f>VLOOKUP(D6659,Товары!A:I,6,0)</f>
        <v>80</v>
      </c>
      <c r="I6659" t="str">
        <f>VLOOKUP(C6659,Магазины!A:C,3,0)</f>
        <v>Кемерово</v>
      </c>
      <c r="J6659">
        <f>VLOOKUP(D6659,Товары!A:I,4,0)</f>
        <v>28980</v>
      </c>
      <c r="K6659">
        <f t="shared" ref="K6659:K6722" si="104">J6659*F6659</f>
        <v>57960</v>
      </c>
    </row>
    <row r="6660" spans="1:11" hidden="1" x14ac:dyDescent="0.25">
      <c r="A6660">
        <v>6659</v>
      </c>
      <c r="B6660" s="1">
        <v>45757</v>
      </c>
      <c r="C6660" t="s">
        <v>28</v>
      </c>
      <c r="D6660" t="s">
        <v>123</v>
      </c>
      <c r="E6660" t="s">
        <v>8</v>
      </c>
      <c r="F6660">
        <v>2</v>
      </c>
      <c r="G6660" t="str">
        <f>VLOOKUP(D6660,Товары!A:I,3,0)</f>
        <v>Тумба с раковиной  напол. Кристалл 800 суфле 2 ящика с умыв. Слим</v>
      </c>
      <c r="H6660">
        <f>VLOOKUP(D6660,Товары!A:I,6,0)</f>
        <v>80</v>
      </c>
      <c r="I6660" t="str">
        <f>VLOOKUP(C6660,Магазины!A:C,3,0)</f>
        <v>Набережные Челны</v>
      </c>
      <c r="J6660">
        <f>VLOOKUP(D6660,Товары!A:I,4,0)</f>
        <v>31125</v>
      </c>
      <c r="K6660">
        <f t="shared" si="104"/>
        <v>62250</v>
      </c>
    </row>
    <row r="6661" spans="1:11" hidden="1" x14ac:dyDescent="0.25">
      <c r="A6661">
        <v>6660</v>
      </c>
      <c r="B6661" s="1">
        <v>45757</v>
      </c>
      <c r="C6661" t="s">
        <v>22</v>
      </c>
      <c r="D6661" t="s">
        <v>95</v>
      </c>
      <c r="E6661" t="s">
        <v>13</v>
      </c>
      <c r="F6661">
        <v>2</v>
      </c>
      <c r="G6661" t="str">
        <f>VLOOKUP(D6661,Товары!A:I,3,0)</f>
        <v>Тумба с раковиной  напол. Рица 600 антрацит 2 ящика с умыв. Океан</v>
      </c>
      <c r="H6661">
        <f>VLOOKUP(D6661,Товары!A:I,6,0)</f>
        <v>80</v>
      </c>
      <c r="I6661" t="str">
        <f>VLOOKUP(C6661,Магазины!A:C,3,0)</f>
        <v>Кемерово</v>
      </c>
      <c r="J6661">
        <f>VLOOKUP(D6661,Товары!A:I,4,0)</f>
        <v>25560</v>
      </c>
      <c r="K6661">
        <f t="shared" si="104"/>
        <v>51120</v>
      </c>
    </row>
    <row r="6662" spans="1:11" hidden="1" x14ac:dyDescent="0.25">
      <c r="A6662">
        <v>6661</v>
      </c>
      <c r="B6662" s="1">
        <v>45756</v>
      </c>
      <c r="C6662" t="s">
        <v>111</v>
      </c>
      <c r="D6662" t="s">
        <v>100</v>
      </c>
      <c r="E6662" t="s">
        <v>13</v>
      </c>
      <c r="F6662">
        <v>3</v>
      </c>
      <c r="G6662" t="str">
        <f>VLOOKUP(D6662,Товары!A:I,3,0)</f>
        <v>Тумба с раковиной  навес. Альба 800 мята 1 ящик с умыв. Слим</v>
      </c>
      <c r="H6662">
        <f>VLOOKUP(D6662,Товары!A:I,6,0)</f>
        <v>45</v>
      </c>
      <c r="I6662" t="str">
        <f>VLOOKUP(C6662,Магазины!A:C,3,0)</f>
        <v>Набережные Челны</v>
      </c>
      <c r="J6662">
        <f>VLOOKUP(D6662,Товары!A:I,4,0)</f>
        <v>21630</v>
      </c>
      <c r="K6662">
        <f t="shared" si="104"/>
        <v>64890</v>
      </c>
    </row>
    <row r="6663" spans="1:11" hidden="1" x14ac:dyDescent="0.25">
      <c r="A6663">
        <v>6662</v>
      </c>
      <c r="B6663" s="1">
        <v>45757</v>
      </c>
      <c r="C6663" t="s">
        <v>33</v>
      </c>
      <c r="D6663" t="s">
        <v>112</v>
      </c>
      <c r="E6663" t="s">
        <v>8</v>
      </c>
      <c r="F6663">
        <v>3</v>
      </c>
      <c r="G6663" t="str">
        <f>VLOOKUP(D6663,Товары!A:I,3,0)</f>
        <v>Тумба с раковиной  напол. Аква 560 белый 2 двери с умыв. Уют</v>
      </c>
      <c r="H6663">
        <f>VLOOKUP(D6663,Товары!A:I,6,0)</f>
        <v>85</v>
      </c>
      <c r="I6663" t="str">
        <f>VLOOKUP(C6663,Магазины!A:C,3,0)</f>
        <v>Набережные Челны</v>
      </c>
      <c r="J6663">
        <f>VLOOKUP(D6663,Товары!A:I,4,0)</f>
        <v>9330</v>
      </c>
      <c r="K6663">
        <f t="shared" si="104"/>
        <v>27990</v>
      </c>
    </row>
    <row r="6664" spans="1:11" hidden="1" x14ac:dyDescent="0.25">
      <c r="A6664">
        <v>6663</v>
      </c>
      <c r="B6664" s="1">
        <v>45752</v>
      </c>
      <c r="C6664" t="s">
        <v>9</v>
      </c>
      <c r="D6664" t="s">
        <v>47</v>
      </c>
      <c r="E6664" t="s">
        <v>13</v>
      </c>
      <c r="F6664">
        <v>1</v>
      </c>
      <c r="G6664" t="str">
        <f>VLOOKUP(D6664,Товары!A:I,3,0)</f>
        <v>Пенал напол. Кристалл 350 шато азур 2 двери</v>
      </c>
      <c r="H6664">
        <f>VLOOKUP(D6664,Товары!A:I,6,0)</f>
        <v>190</v>
      </c>
      <c r="I6664" t="str">
        <f>VLOOKUP(C6664,Магазины!A:C,3,0)</f>
        <v>Кемерово</v>
      </c>
      <c r="J6664">
        <f>VLOOKUP(D6664,Товары!A:I,4,0)</f>
        <v>15810</v>
      </c>
      <c r="K6664">
        <f t="shared" si="104"/>
        <v>15810</v>
      </c>
    </row>
    <row r="6665" spans="1:11" hidden="1" x14ac:dyDescent="0.25">
      <c r="A6665">
        <v>6664</v>
      </c>
      <c r="B6665" s="1">
        <v>45755</v>
      </c>
      <c r="C6665" t="s">
        <v>35</v>
      </c>
      <c r="D6665" t="s">
        <v>80</v>
      </c>
      <c r="E6665" t="s">
        <v>13</v>
      </c>
      <c r="F6665">
        <v>1</v>
      </c>
      <c r="G6665" t="str">
        <f>VLOOKUP(D6665,Товары!A:I,3,0)</f>
        <v>Тумба с раковиной  навес. Сохо 600 белый 2 ящика с умыв. Океан</v>
      </c>
      <c r="H6665">
        <f>VLOOKUP(D6665,Товары!A:I,6,0)</f>
        <v>55</v>
      </c>
      <c r="I6665" t="str">
        <f>VLOOKUP(C6665,Магазины!A:C,3,0)</f>
        <v>Набережные Челны</v>
      </c>
      <c r="J6665">
        <f>VLOOKUP(D6665,Товары!A:I,4,0)</f>
        <v>13950</v>
      </c>
      <c r="K6665">
        <f t="shared" si="104"/>
        <v>13950</v>
      </c>
    </row>
    <row r="6666" spans="1:11" hidden="1" x14ac:dyDescent="0.25">
      <c r="A6666">
        <v>6665</v>
      </c>
      <c r="B6666" s="1">
        <v>45754</v>
      </c>
      <c r="C6666" t="s">
        <v>16</v>
      </c>
      <c r="D6666" t="s">
        <v>116</v>
      </c>
      <c r="E6666" t="s">
        <v>8</v>
      </c>
      <c r="F6666">
        <v>2</v>
      </c>
      <c r="G6666" t="str">
        <f>VLOOKUP(D6666,Товары!A:I,3,0)</f>
        <v>Зеркало Нева 60 дуб/белый со светильником</v>
      </c>
      <c r="H6666">
        <f>VLOOKUP(D6666,Товары!A:I,6,0)</f>
        <v>80</v>
      </c>
      <c r="I6666" t="str">
        <f>VLOOKUP(C6666,Магазины!A:C,3,0)</f>
        <v>Оренбург</v>
      </c>
      <c r="J6666">
        <f>VLOOKUP(D6666,Товары!A:I,4,0)</f>
        <v>5100</v>
      </c>
      <c r="K6666">
        <f t="shared" si="104"/>
        <v>10200</v>
      </c>
    </row>
    <row r="6667" spans="1:11" hidden="1" x14ac:dyDescent="0.25">
      <c r="A6667">
        <v>6666</v>
      </c>
      <c r="B6667" s="1">
        <v>45750</v>
      </c>
      <c r="C6667" t="s">
        <v>6</v>
      </c>
      <c r="D6667" t="s">
        <v>25</v>
      </c>
      <c r="E6667" t="s">
        <v>8</v>
      </c>
      <c r="F6667">
        <v>3</v>
      </c>
      <c r="G6667" t="str">
        <f>VLOOKUP(D6667,Товары!A:I,3,0)</f>
        <v>Пенал напол. Леон 400 оникс 2 двери + 1 ящик</v>
      </c>
      <c r="H6667">
        <f>VLOOKUP(D6667,Товары!A:I,6,0)</f>
        <v>190</v>
      </c>
      <c r="I6667" t="str">
        <f>VLOOKUP(C6667,Магазины!A:C,3,0)</f>
        <v>Оренбург</v>
      </c>
      <c r="J6667">
        <f>VLOOKUP(D6667,Товары!A:I,4,0)</f>
        <v>18450</v>
      </c>
      <c r="K6667">
        <f t="shared" si="104"/>
        <v>55350</v>
      </c>
    </row>
    <row r="6668" spans="1:11" hidden="1" x14ac:dyDescent="0.25">
      <c r="A6668">
        <v>6667</v>
      </c>
      <c r="B6668" s="1">
        <v>45754</v>
      </c>
      <c r="C6668" t="s">
        <v>30</v>
      </c>
      <c r="D6668" t="s">
        <v>125</v>
      </c>
      <c r="E6668" t="s">
        <v>8</v>
      </c>
      <c r="F6668">
        <v>3</v>
      </c>
      <c r="G6668" t="str">
        <f>VLOOKUP(D6668,Товары!A:I,3,0)</f>
        <v>Зеркальный шкаф Сохо 60 белый со светильником правый цвет Белый глянец</v>
      </c>
      <c r="H6668">
        <f>VLOOKUP(D6668,Товары!A:I,6,0)</f>
        <v>75</v>
      </c>
      <c r="I6668" t="str">
        <f>VLOOKUP(C6668,Магазины!A:C,3,0)</f>
        <v>Кемерово</v>
      </c>
      <c r="J6668">
        <f>VLOOKUP(D6668,Товары!A:I,4,0)</f>
        <v>7395</v>
      </c>
      <c r="K6668">
        <f t="shared" si="104"/>
        <v>22185</v>
      </c>
    </row>
    <row r="6669" spans="1:11" hidden="1" x14ac:dyDescent="0.25">
      <c r="A6669">
        <v>6668</v>
      </c>
      <c r="B6669" s="1">
        <v>45757</v>
      </c>
      <c r="C6669" t="s">
        <v>22</v>
      </c>
      <c r="D6669" t="s">
        <v>56</v>
      </c>
      <c r="E6669" t="s">
        <v>13</v>
      </c>
      <c r="F6669">
        <v>2</v>
      </c>
      <c r="G6669" t="str">
        <f>VLOOKUP(D6669,Товары!A:I,3,0)</f>
        <v>Зеркальный шкаф Альба 80 со светильником правый цвет мята</v>
      </c>
      <c r="H6669">
        <f>VLOOKUP(D6669,Товары!A:I,6,0)</f>
        <v>75</v>
      </c>
      <c r="I6669" t="str">
        <f>VLOOKUP(C6669,Магазины!A:C,3,0)</f>
        <v>Кемерово</v>
      </c>
      <c r="J6669">
        <f>VLOOKUP(D6669,Товары!A:I,4,0)</f>
        <v>9930</v>
      </c>
      <c r="K6669">
        <f t="shared" si="104"/>
        <v>19860</v>
      </c>
    </row>
    <row r="6670" spans="1:11" hidden="1" x14ac:dyDescent="0.25">
      <c r="A6670">
        <v>6669</v>
      </c>
      <c r="B6670" s="1">
        <v>45753</v>
      </c>
      <c r="C6670" t="s">
        <v>43</v>
      </c>
      <c r="D6670" t="s">
        <v>86</v>
      </c>
      <c r="E6670" t="s">
        <v>8</v>
      </c>
      <c r="F6670">
        <v>1</v>
      </c>
      <c r="G6670" t="str">
        <f>VLOOKUP(D6670,Товары!A:I,3,0)</f>
        <v>Комод Аква 50 напольный 1 ящик 2 двери белый</v>
      </c>
      <c r="H6670">
        <f>VLOOKUP(D6670,Товары!A:I,6,0)</f>
        <v>90</v>
      </c>
      <c r="I6670" t="str">
        <f>VLOOKUP(C6670,Магазины!A:C,3,0)</f>
        <v>Набережные Челны</v>
      </c>
      <c r="J6670">
        <f>VLOOKUP(D6670,Товары!A:I,4,0)</f>
        <v>7260</v>
      </c>
      <c r="K6670">
        <f t="shared" si="104"/>
        <v>7260</v>
      </c>
    </row>
    <row r="6671" spans="1:11" hidden="1" x14ac:dyDescent="0.25">
      <c r="A6671">
        <v>6670</v>
      </c>
      <c r="B6671" s="1">
        <v>45751</v>
      </c>
      <c r="C6671" t="s">
        <v>18</v>
      </c>
      <c r="D6671" t="s">
        <v>66</v>
      </c>
      <c r="E6671" t="s">
        <v>13</v>
      </c>
      <c r="F6671">
        <v>1</v>
      </c>
      <c r="G6671" t="str">
        <f>VLOOKUP(D6671,Товары!A:I,3,0)</f>
        <v>Тумба с раковиной  навес. Альба 800 мята 2 ящика с умыв. Слим</v>
      </c>
      <c r="H6671">
        <f>VLOOKUP(D6671,Товары!A:I,6,0)</f>
        <v>50</v>
      </c>
      <c r="I6671" t="str">
        <f>VLOOKUP(C6671,Магазины!A:C,3,0)</f>
        <v>Набережные Челны</v>
      </c>
      <c r="J6671">
        <f>VLOOKUP(D6671,Товары!A:I,4,0)</f>
        <v>26070</v>
      </c>
      <c r="K6671">
        <f t="shared" si="104"/>
        <v>26070</v>
      </c>
    </row>
    <row r="6672" spans="1:11" hidden="1" x14ac:dyDescent="0.25">
      <c r="A6672">
        <v>6671</v>
      </c>
      <c r="B6672" s="1">
        <v>45748</v>
      </c>
      <c r="C6672" t="s">
        <v>9</v>
      </c>
      <c r="D6672" t="s">
        <v>53</v>
      </c>
      <c r="E6672" t="s">
        <v>8</v>
      </c>
      <c r="F6672">
        <v>3</v>
      </c>
      <c r="G6672" t="str">
        <f>VLOOKUP(D6672,Товары!A:I,3,0)</f>
        <v>Тумба с раковиной  напол. Кристалл 600 шато азур 2 ящика с умыв. Океан</v>
      </c>
      <c r="H6672">
        <f>VLOOKUP(D6672,Товары!A:I,6,0)</f>
        <v>85</v>
      </c>
      <c r="I6672" t="str">
        <f>VLOOKUP(C6672,Магазины!A:C,3,0)</f>
        <v>Кемерово</v>
      </c>
      <c r="J6672">
        <f>VLOOKUP(D6672,Товары!A:I,4,0)</f>
        <v>27600</v>
      </c>
      <c r="K6672">
        <f t="shared" si="104"/>
        <v>82800</v>
      </c>
    </row>
    <row r="6673" spans="1:11" hidden="1" x14ac:dyDescent="0.25">
      <c r="A6673">
        <v>6672</v>
      </c>
      <c r="B6673" s="1">
        <v>45754</v>
      </c>
      <c r="C6673" t="s">
        <v>48</v>
      </c>
      <c r="D6673" t="s">
        <v>88</v>
      </c>
      <c r="E6673" t="s">
        <v>13</v>
      </c>
      <c r="F6673">
        <v>1</v>
      </c>
      <c r="G6673" t="str">
        <f>VLOOKUP(D6673,Товары!A:I,3,0)</f>
        <v>Тумба с раковиной  навес. Альба 800 антрацит 2 ящика с умыв. Слим</v>
      </c>
      <c r="H6673">
        <f>VLOOKUP(D6673,Товары!A:I,6,0)</f>
        <v>50</v>
      </c>
      <c r="I6673" t="str">
        <f>VLOOKUP(C6673,Магазины!A:C,3,0)</f>
        <v>Ставрополь</v>
      </c>
      <c r="J6673">
        <f>VLOOKUP(D6673,Товары!A:I,4,0)</f>
        <v>26070</v>
      </c>
      <c r="K6673">
        <f t="shared" si="104"/>
        <v>26070</v>
      </c>
    </row>
    <row r="6674" spans="1:11" hidden="1" x14ac:dyDescent="0.25">
      <c r="A6674">
        <v>6673</v>
      </c>
      <c r="B6674" s="1">
        <v>45750</v>
      </c>
      <c r="C6674" t="s">
        <v>28</v>
      </c>
      <c r="D6674" t="s">
        <v>34</v>
      </c>
      <c r="E6674" t="s">
        <v>8</v>
      </c>
      <c r="F6674">
        <v>2</v>
      </c>
      <c r="G6674" t="str">
        <f>VLOOKUP(D6674,Товары!A:I,3,0)</f>
        <v>Тумба с раковиной  навес. Леон 700 форест 2 ящика с умыв. Слим</v>
      </c>
      <c r="H6674">
        <f>VLOOKUP(D6674,Товары!A:I,6,0)</f>
        <v>60</v>
      </c>
      <c r="I6674" t="str">
        <f>VLOOKUP(C6674,Магазины!A:C,3,0)</f>
        <v>Набережные Челны</v>
      </c>
      <c r="J6674">
        <f>VLOOKUP(D6674,Товары!A:I,4,0)</f>
        <v>26220</v>
      </c>
      <c r="K6674">
        <f t="shared" si="104"/>
        <v>52440</v>
      </c>
    </row>
    <row r="6675" spans="1:11" hidden="1" x14ac:dyDescent="0.25">
      <c r="A6675">
        <v>6674</v>
      </c>
      <c r="B6675" s="1">
        <v>45750</v>
      </c>
      <c r="C6675" t="s">
        <v>20</v>
      </c>
      <c r="D6675" t="s">
        <v>114</v>
      </c>
      <c r="E6675" t="s">
        <v>13</v>
      </c>
      <c r="F6675">
        <v>3</v>
      </c>
      <c r="G6675" t="str">
        <f>VLOOKUP(D6675,Товары!A:I,3,0)</f>
        <v>Тумба с раковиной  навес. Альба 700 мята 2 ящика с умыв. Слим</v>
      </c>
      <c r="H6675">
        <f>VLOOKUP(D6675,Товары!A:I,6,0)</f>
        <v>60</v>
      </c>
      <c r="I6675" t="str">
        <f>VLOOKUP(C6675,Магазины!A:C,3,0)</f>
        <v>Оренбург</v>
      </c>
      <c r="J6675">
        <f>VLOOKUP(D6675,Товары!A:I,4,0)</f>
        <v>25095</v>
      </c>
      <c r="K6675">
        <f t="shared" si="104"/>
        <v>75285</v>
      </c>
    </row>
    <row r="6676" spans="1:11" hidden="1" x14ac:dyDescent="0.25">
      <c r="A6676">
        <v>6675</v>
      </c>
      <c r="B6676" s="1">
        <v>45754</v>
      </c>
      <c r="C6676" t="s">
        <v>103</v>
      </c>
      <c r="D6676" t="s">
        <v>37</v>
      </c>
      <c r="E6676" t="s">
        <v>8</v>
      </c>
      <c r="F6676">
        <v>2</v>
      </c>
      <c r="G6676" t="str">
        <f>VLOOKUP(D6676,Товары!A:I,3,0)</f>
        <v>Зеркальный шкаф Сохо 70 белый со светильником правый цвет Белый глянец</v>
      </c>
      <c r="H6676">
        <f>VLOOKUP(D6676,Товары!A:I,6,0)</f>
        <v>75</v>
      </c>
      <c r="I6676" t="str">
        <f>VLOOKUP(C6676,Магазины!A:C,3,0)</f>
        <v>Ставрополь</v>
      </c>
      <c r="J6676">
        <f>VLOOKUP(D6676,Товары!A:I,4,0)</f>
        <v>7935</v>
      </c>
      <c r="K6676">
        <f t="shared" si="104"/>
        <v>15870</v>
      </c>
    </row>
    <row r="6677" spans="1:11" hidden="1" x14ac:dyDescent="0.25">
      <c r="A6677">
        <v>6676</v>
      </c>
      <c r="B6677" s="1">
        <v>45755</v>
      </c>
      <c r="C6677" t="s">
        <v>43</v>
      </c>
      <c r="D6677" t="s">
        <v>49</v>
      </c>
      <c r="E6677" t="s">
        <v>8</v>
      </c>
      <c r="F6677">
        <v>1</v>
      </c>
      <c r="G6677" t="str">
        <f>VLOOKUP(D6677,Товары!A:I,3,0)</f>
        <v>Тумба с раковиной  напол. Леон 700 оникс 2 ящика с умыв. Слим</v>
      </c>
      <c r="H6677">
        <f>VLOOKUP(D6677,Товары!A:I,6,0)</f>
        <v>80</v>
      </c>
      <c r="I6677" t="str">
        <f>VLOOKUP(C6677,Магазины!A:C,3,0)</f>
        <v>Набережные Челны</v>
      </c>
      <c r="J6677">
        <f>VLOOKUP(D6677,Товары!A:I,4,0)</f>
        <v>28380</v>
      </c>
      <c r="K6677">
        <f t="shared" si="104"/>
        <v>28380</v>
      </c>
    </row>
    <row r="6678" spans="1:11" hidden="1" x14ac:dyDescent="0.25">
      <c r="A6678">
        <v>6677</v>
      </c>
      <c r="B6678" s="1">
        <v>45750</v>
      </c>
      <c r="C6678" t="s">
        <v>41</v>
      </c>
      <c r="D6678" t="s">
        <v>60</v>
      </c>
      <c r="E6678" t="s">
        <v>8</v>
      </c>
      <c r="F6678">
        <v>3</v>
      </c>
      <c r="G6678" t="str">
        <f>VLOOKUP(D6678,Товары!A:I,3,0)</f>
        <v>Пенал навес. Куба Риф 350 белый 2 двери</v>
      </c>
      <c r="H6678">
        <f>VLOOKUP(D6678,Товары!A:I,6,0)</f>
        <v>150</v>
      </c>
      <c r="I6678" t="str">
        <f>VLOOKUP(C6678,Магазины!A:C,3,0)</f>
        <v>Ставрополь</v>
      </c>
      <c r="J6678">
        <f>VLOOKUP(D6678,Товары!A:I,4,0)</f>
        <v>9720</v>
      </c>
      <c r="K6678">
        <f t="shared" si="104"/>
        <v>29160</v>
      </c>
    </row>
    <row r="6679" spans="1:11" hidden="1" x14ac:dyDescent="0.25">
      <c r="A6679">
        <v>6678</v>
      </c>
      <c r="B6679" s="1">
        <v>45749</v>
      </c>
      <c r="C6679" t="s">
        <v>103</v>
      </c>
      <c r="D6679" t="s">
        <v>46</v>
      </c>
      <c r="E6679" t="s">
        <v>8</v>
      </c>
      <c r="F6679">
        <v>2</v>
      </c>
      <c r="G6679" t="str">
        <f>VLOOKUP(D6679,Товары!A:I,3,0)</f>
        <v>Тумба с раковиной  напол. Сохо 700 белый 2 ящика с умыв. Слим</v>
      </c>
      <c r="H6679">
        <f>VLOOKUP(D6679,Товары!A:I,6,0)</f>
        <v>85</v>
      </c>
      <c r="I6679" t="str">
        <f>VLOOKUP(C6679,Магазины!A:C,3,0)</f>
        <v>Ставрополь</v>
      </c>
      <c r="J6679">
        <f>VLOOKUP(D6679,Товары!A:I,4,0)</f>
        <v>18405</v>
      </c>
      <c r="K6679">
        <f t="shared" si="104"/>
        <v>36810</v>
      </c>
    </row>
    <row r="6680" spans="1:11" hidden="1" x14ac:dyDescent="0.25">
      <c r="A6680">
        <v>6679</v>
      </c>
      <c r="B6680" s="1">
        <v>45757</v>
      </c>
      <c r="C6680" t="s">
        <v>28</v>
      </c>
      <c r="D6680" t="s">
        <v>109</v>
      </c>
      <c r="E6680" t="s">
        <v>8</v>
      </c>
      <c r="F6680">
        <v>3</v>
      </c>
      <c r="G6680" t="str">
        <f>VLOOKUP(D6680,Товары!A:I,3,0)</f>
        <v>Тумба с раковиной  навес. Альба 600 антрацит 2 ящика с умыв. Океан</v>
      </c>
      <c r="H6680">
        <f>VLOOKUP(D6680,Товары!A:I,6,0)</f>
        <v>50</v>
      </c>
      <c r="I6680" t="str">
        <f>VLOOKUP(C6680,Магазины!A:C,3,0)</f>
        <v>Набережные Челны</v>
      </c>
      <c r="J6680">
        <f>VLOOKUP(D6680,Товары!A:I,4,0)</f>
        <v>24810</v>
      </c>
      <c r="K6680">
        <f t="shared" si="104"/>
        <v>74430</v>
      </c>
    </row>
    <row r="6681" spans="1:11" hidden="1" x14ac:dyDescent="0.25">
      <c r="A6681">
        <v>6680</v>
      </c>
      <c r="B6681" s="1">
        <v>45754</v>
      </c>
      <c r="C6681" t="s">
        <v>16</v>
      </c>
      <c r="D6681" t="s">
        <v>94</v>
      </c>
      <c r="E6681" t="s">
        <v>8</v>
      </c>
      <c r="F6681">
        <v>1</v>
      </c>
      <c r="G6681" t="str">
        <f>VLOOKUP(D6681,Товары!A:I,3,0)</f>
        <v>Зеркальный шкаф Альба 80 со светильником правый цвет антрацит</v>
      </c>
      <c r="H6681">
        <f>VLOOKUP(D6681,Товары!A:I,6,0)</f>
        <v>75</v>
      </c>
      <c r="I6681" t="str">
        <f>VLOOKUP(C6681,Магазины!A:C,3,0)</f>
        <v>Оренбург</v>
      </c>
      <c r="J6681">
        <f>VLOOKUP(D6681,Товары!A:I,4,0)</f>
        <v>9930</v>
      </c>
      <c r="K6681">
        <f t="shared" si="104"/>
        <v>9930</v>
      </c>
    </row>
    <row r="6682" spans="1:11" hidden="1" x14ac:dyDescent="0.25">
      <c r="A6682">
        <v>6681</v>
      </c>
      <c r="B6682" s="1">
        <v>45748</v>
      </c>
      <c r="C6682" t="s">
        <v>43</v>
      </c>
      <c r="D6682" t="s">
        <v>114</v>
      </c>
      <c r="E6682" t="s">
        <v>13</v>
      </c>
      <c r="F6682">
        <v>2</v>
      </c>
      <c r="G6682" t="str">
        <f>VLOOKUP(D6682,Товары!A:I,3,0)</f>
        <v>Тумба с раковиной  навес. Альба 700 мята 2 ящика с умыв. Слим</v>
      </c>
      <c r="H6682">
        <f>VLOOKUP(D6682,Товары!A:I,6,0)</f>
        <v>60</v>
      </c>
      <c r="I6682" t="str">
        <f>VLOOKUP(C6682,Магазины!A:C,3,0)</f>
        <v>Набережные Челны</v>
      </c>
      <c r="J6682">
        <f>VLOOKUP(D6682,Товары!A:I,4,0)</f>
        <v>25095</v>
      </c>
      <c r="K6682">
        <f t="shared" si="104"/>
        <v>50190</v>
      </c>
    </row>
    <row r="6683" spans="1:11" hidden="1" x14ac:dyDescent="0.25">
      <c r="A6683">
        <v>6682</v>
      </c>
      <c r="B6683" s="1">
        <v>45749</v>
      </c>
      <c r="C6683" t="s">
        <v>9</v>
      </c>
      <c r="D6683" t="s">
        <v>99</v>
      </c>
      <c r="E6683" t="s">
        <v>13</v>
      </c>
      <c r="F6683">
        <v>3</v>
      </c>
      <c r="G6683" t="str">
        <f>VLOOKUP(D6683,Товары!A:I,3,0)</f>
        <v>Тумба с раковиной  навес. Леон 600 оникс 2 ящика с умыв. Слим</v>
      </c>
      <c r="H6683">
        <f>VLOOKUP(D6683,Товары!A:I,6,0)</f>
        <v>60</v>
      </c>
      <c r="I6683" t="str">
        <f>VLOOKUP(C6683,Магазины!A:C,3,0)</f>
        <v>Кемерово</v>
      </c>
      <c r="J6683">
        <f>VLOOKUP(D6683,Товары!A:I,4,0)</f>
        <v>25125</v>
      </c>
      <c r="K6683">
        <f t="shared" si="104"/>
        <v>75375</v>
      </c>
    </row>
    <row r="6684" spans="1:11" hidden="1" x14ac:dyDescent="0.25">
      <c r="A6684">
        <v>6683</v>
      </c>
      <c r="B6684" s="1">
        <v>45750</v>
      </c>
      <c r="C6684" t="s">
        <v>33</v>
      </c>
      <c r="D6684" t="s">
        <v>31</v>
      </c>
      <c r="E6684" t="s">
        <v>13</v>
      </c>
      <c r="F6684">
        <v>2</v>
      </c>
      <c r="G6684" t="str">
        <f>VLOOKUP(D6684,Товары!A:I,3,0)</f>
        <v>Пенал напол. Виктория 350 белый 2 двери</v>
      </c>
      <c r="H6684">
        <f>VLOOKUP(D6684,Товары!A:I,6,0)</f>
        <v>190</v>
      </c>
      <c r="I6684" t="str">
        <f>VLOOKUP(C6684,Магазины!A:C,3,0)</f>
        <v>Набережные Челны</v>
      </c>
      <c r="J6684">
        <f>VLOOKUP(D6684,Товары!A:I,4,0)</f>
        <v>14085</v>
      </c>
      <c r="K6684">
        <f t="shared" si="104"/>
        <v>28170</v>
      </c>
    </row>
    <row r="6685" spans="1:11" hidden="1" x14ac:dyDescent="0.25">
      <c r="A6685">
        <v>6684</v>
      </c>
      <c r="B6685" s="1">
        <v>45755</v>
      </c>
      <c r="C6685" t="s">
        <v>48</v>
      </c>
      <c r="D6685" t="s">
        <v>87</v>
      </c>
      <c r="E6685" t="s">
        <v>8</v>
      </c>
      <c r="F6685">
        <v>1</v>
      </c>
      <c r="G6685" t="str">
        <f>VLOOKUP(D6685,Товары!A:I,3,0)</f>
        <v>Тумба с раковиной  напол. Леон 700 форест 2 ящика с умыв. Слим</v>
      </c>
      <c r="H6685">
        <f>VLOOKUP(D6685,Товары!A:I,6,0)</f>
        <v>80</v>
      </c>
      <c r="I6685" t="str">
        <f>VLOOKUP(C6685,Магазины!A:C,3,0)</f>
        <v>Ставрополь</v>
      </c>
      <c r="J6685">
        <f>VLOOKUP(D6685,Товары!A:I,4,0)</f>
        <v>28380</v>
      </c>
      <c r="K6685">
        <f t="shared" si="104"/>
        <v>28380</v>
      </c>
    </row>
    <row r="6686" spans="1:11" hidden="1" x14ac:dyDescent="0.25">
      <c r="A6686">
        <v>6685</v>
      </c>
      <c r="B6686" s="1">
        <v>45750</v>
      </c>
      <c r="C6686" t="s">
        <v>14</v>
      </c>
      <c r="D6686" t="s">
        <v>78</v>
      </c>
      <c r="E6686" t="s">
        <v>8</v>
      </c>
      <c r="F6686">
        <v>2</v>
      </c>
      <c r="G6686" t="str">
        <f>VLOOKUP(D6686,Товары!A:I,3,0)</f>
        <v>Зеркальный шкаф Кристалл 70 со светильником правый, ручка кнопка дуб цвет Шато Азур</v>
      </c>
      <c r="H6686">
        <f>VLOOKUP(D6686,Товары!A:I,6,0)</f>
        <v>75</v>
      </c>
      <c r="I6686" t="str">
        <f>VLOOKUP(C6686,Магазины!A:C,3,0)</f>
        <v>Оренбург</v>
      </c>
      <c r="J6686">
        <f>VLOOKUP(D6686,Товары!A:I,4,0)</f>
        <v>9615</v>
      </c>
      <c r="K6686">
        <f t="shared" si="104"/>
        <v>19230</v>
      </c>
    </row>
    <row r="6687" spans="1:11" hidden="1" x14ac:dyDescent="0.25">
      <c r="A6687">
        <v>6686</v>
      </c>
      <c r="B6687" s="1">
        <v>45754</v>
      </c>
      <c r="C6687" t="s">
        <v>11</v>
      </c>
      <c r="D6687" t="s">
        <v>124</v>
      </c>
      <c r="E6687" t="s">
        <v>8</v>
      </c>
      <c r="F6687">
        <v>3</v>
      </c>
      <c r="G6687" t="str">
        <f>VLOOKUP(D6687,Товары!A:I,3,0)</f>
        <v>Тумба с раковиной  напол. Леон 600 оникс 2 ящика с умыв. Океан</v>
      </c>
      <c r="H6687">
        <f>VLOOKUP(D6687,Товары!A:I,6,0)</f>
        <v>80</v>
      </c>
      <c r="I6687" t="str">
        <f>VLOOKUP(C6687,Магазины!A:C,3,0)</f>
        <v>Кемерово</v>
      </c>
      <c r="J6687">
        <f>VLOOKUP(D6687,Товары!A:I,4,0)</f>
        <v>25860</v>
      </c>
      <c r="K6687">
        <f t="shared" si="104"/>
        <v>77580</v>
      </c>
    </row>
    <row r="6688" spans="1:11" hidden="1" x14ac:dyDescent="0.25">
      <c r="A6688">
        <v>6687</v>
      </c>
      <c r="B6688" s="1">
        <v>45748</v>
      </c>
      <c r="C6688" t="s">
        <v>54</v>
      </c>
      <c r="D6688" t="s">
        <v>15</v>
      </c>
      <c r="E6688" t="s">
        <v>8</v>
      </c>
      <c r="F6688">
        <v>1</v>
      </c>
      <c r="G6688" t="str">
        <f>VLOOKUP(D6688,Товары!A:I,3,0)</f>
        <v>Зеркальный шкаф Кристалл 60 со светильником правый, ручка кнопка дуб цвет Шато Азур</v>
      </c>
      <c r="H6688">
        <f>VLOOKUP(D6688,Товары!A:I,6,0)</f>
        <v>75</v>
      </c>
      <c r="I6688" t="str">
        <f>VLOOKUP(C6688,Магазины!A:C,3,0)</f>
        <v>Ставрополь</v>
      </c>
      <c r="J6688">
        <f>VLOOKUP(D6688,Товары!A:I,4,0)</f>
        <v>9195</v>
      </c>
      <c r="K6688">
        <f t="shared" si="104"/>
        <v>9195</v>
      </c>
    </row>
    <row r="6689" spans="1:11" hidden="1" x14ac:dyDescent="0.25">
      <c r="A6689">
        <v>6688</v>
      </c>
      <c r="B6689" s="1">
        <v>45750</v>
      </c>
      <c r="C6689" t="s">
        <v>16</v>
      </c>
      <c r="D6689" t="s">
        <v>129</v>
      </c>
      <c r="E6689" t="s">
        <v>13</v>
      </c>
      <c r="F6689">
        <v>3</v>
      </c>
      <c r="G6689" t="str">
        <f>VLOOKUP(D6689,Товары!A:I,3,0)</f>
        <v>Тумба с раковиной  напол. Альба 700 антрацит 2 ящика с умыв. Слим</v>
      </c>
      <c r="H6689">
        <f>VLOOKUP(D6689,Товары!A:I,6,0)</f>
        <v>85</v>
      </c>
      <c r="I6689" t="str">
        <f>VLOOKUP(C6689,Магазины!A:C,3,0)</f>
        <v>Оренбург</v>
      </c>
      <c r="J6689">
        <f>VLOOKUP(D6689,Товары!A:I,4,0)</f>
        <v>28695</v>
      </c>
      <c r="K6689">
        <f t="shared" si="104"/>
        <v>86085</v>
      </c>
    </row>
    <row r="6690" spans="1:11" hidden="1" x14ac:dyDescent="0.25">
      <c r="A6690">
        <v>6689</v>
      </c>
      <c r="B6690" s="1">
        <v>45753</v>
      </c>
      <c r="C6690" t="s">
        <v>48</v>
      </c>
      <c r="D6690" t="s">
        <v>24</v>
      </c>
      <c r="E6690" t="s">
        <v>8</v>
      </c>
      <c r="F6690">
        <v>2</v>
      </c>
      <c r="G6690" t="str">
        <f>VLOOKUP(D6690,Товары!A:I,3,0)</f>
        <v>Тумба с раковиной  напол. Леон 600 форест 2 ящика с умыв. Слим</v>
      </c>
      <c r="H6690">
        <f>VLOOKUP(D6690,Товары!A:I,6,0)</f>
        <v>80</v>
      </c>
      <c r="I6690" t="str">
        <f>VLOOKUP(C6690,Магазины!A:C,3,0)</f>
        <v>Ставрополь</v>
      </c>
      <c r="J6690">
        <f>VLOOKUP(D6690,Товары!A:I,4,0)</f>
        <v>27150</v>
      </c>
      <c r="K6690">
        <f t="shared" si="104"/>
        <v>54300</v>
      </c>
    </row>
    <row r="6691" spans="1:11" hidden="1" x14ac:dyDescent="0.25">
      <c r="A6691">
        <v>6690</v>
      </c>
      <c r="B6691" s="1">
        <v>45755</v>
      </c>
      <c r="C6691" t="s">
        <v>14</v>
      </c>
      <c r="D6691" t="s">
        <v>109</v>
      </c>
      <c r="E6691" t="s">
        <v>13</v>
      </c>
      <c r="F6691">
        <v>2</v>
      </c>
      <c r="G6691" t="str">
        <f>VLOOKUP(D6691,Товары!A:I,3,0)</f>
        <v>Тумба с раковиной  навес. Альба 600 антрацит 2 ящика с умыв. Океан</v>
      </c>
      <c r="H6691">
        <f>VLOOKUP(D6691,Товары!A:I,6,0)</f>
        <v>50</v>
      </c>
      <c r="I6691" t="str">
        <f>VLOOKUP(C6691,Магазины!A:C,3,0)</f>
        <v>Оренбург</v>
      </c>
      <c r="J6691">
        <f>VLOOKUP(D6691,Товары!A:I,4,0)</f>
        <v>24810</v>
      </c>
      <c r="K6691">
        <f t="shared" si="104"/>
        <v>49620</v>
      </c>
    </row>
    <row r="6692" spans="1:11" hidden="1" x14ac:dyDescent="0.25">
      <c r="A6692">
        <v>6691</v>
      </c>
      <c r="B6692" s="1">
        <v>45757</v>
      </c>
      <c r="C6692" t="s">
        <v>63</v>
      </c>
      <c r="D6692" t="s">
        <v>44</v>
      </c>
      <c r="E6692" t="s">
        <v>8</v>
      </c>
      <c r="F6692">
        <v>2</v>
      </c>
      <c r="G6692" t="str">
        <f>VLOOKUP(D6692,Товары!A:I,3,0)</f>
        <v>Тумба с раковиной  навес. Кристалл 800 шато азур 2 ящика с умыв. Комфорт</v>
      </c>
      <c r="H6692">
        <f>VLOOKUP(D6692,Товары!A:I,6,0)</f>
        <v>55</v>
      </c>
      <c r="I6692" t="str">
        <f>VLOOKUP(C6692,Магазины!A:C,3,0)</f>
        <v>Ставрополь</v>
      </c>
      <c r="J6692">
        <f>VLOOKUP(D6692,Товары!A:I,4,0)</f>
        <v>25080</v>
      </c>
      <c r="K6692">
        <f t="shared" si="104"/>
        <v>50160</v>
      </c>
    </row>
    <row r="6693" spans="1:11" hidden="1" x14ac:dyDescent="0.25">
      <c r="A6693">
        <v>6692</v>
      </c>
      <c r="B6693" s="1">
        <v>45753</v>
      </c>
      <c r="C6693" t="s">
        <v>57</v>
      </c>
      <c r="D6693" t="s">
        <v>102</v>
      </c>
      <c r="E6693" t="s">
        <v>13</v>
      </c>
      <c r="F6693">
        <v>3</v>
      </c>
      <c r="G6693" t="str">
        <f>VLOOKUP(D6693,Товары!A:I,3,0)</f>
        <v>Тумба с раковиной  напол. Леон Риф 1000 солярис/белый риф 2 ящика с умыв. Слим</v>
      </c>
      <c r="H6693">
        <f>VLOOKUP(D6693,Товары!A:I,6,0)</f>
        <v>85</v>
      </c>
      <c r="I6693" t="str">
        <f>VLOOKUP(C6693,Магазины!A:C,3,0)</f>
        <v>Оренбург</v>
      </c>
      <c r="J6693">
        <f>VLOOKUP(D6693,Товары!A:I,4,0)</f>
        <v>32085</v>
      </c>
      <c r="K6693">
        <f t="shared" si="104"/>
        <v>96255</v>
      </c>
    </row>
    <row r="6694" spans="1:11" hidden="1" x14ac:dyDescent="0.25">
      <c r="A6694">
        <v>6693</v>
      </c>
      <c r="B6694" s="1">
        <v>45749</v>
      </c>
      <c r="C6694" t="s">
        <v>30</v>
      </c>
      <c r="D6694" t="s">
        <v>23</v>
      </c>
      <c r="E6694" t="s">
        <v>13</v>
      </c>
      <c r="F6694">
        <v>1</v>
      </c>
      <c r="G6694" t="str">
        <f>VLOOKUP(D6694,Товары!A:I,3,0)</f>
        <v>Тумба с раковиной  напол. Альба 800 антрацит 2 ящика с умыв. Слим</v>
      </c>
      <c r="H6694">
        <f>VLOOKUP(D6694,Товары!A:I,6,0)</f>
        <v>80</v>
      </c>
      <c r="I6694" t="str">
        <f>VLOOKUP(C6694,Магазины!A:C,3,0)</f>
        <v>Кемерово</v>
      </c>
      <c r="J6694">
        <f>VLOOKUP(D6694,Товары!A:I,4,0)</f>
        <v>29340</v>
      </c>
      <c r="K6694">
        <f t="shared" si="104"/>
        <v>29340</v>
      </c>
    </row>
    <row r="6695" spans="1:11" hidden="1" x14ac:dyDescent="0.25">
      <c r="A6695">
        <v>6694</v>
      </c>
      <c r="B6695" s="1">
        <v>45753</v>
      </c>
      <c r="C6695" t="s">
        <v>103</v>
      </c>
      <c r="D6695" t="s">
        <v>118</v>
      </c>
      <c r="E6695" t="s">
        <v>8</v>
      </c>
      <c r="F6695">
        <v>2</v>
      </c>
      <c r="G6695" t="str">
        <f>VLOOKUP(D6695,Товары!A:I,3,0)</f>
        <v>Тумба с раковиной  напол. Сохо 800 белый 2 ящика с умыв. Слим</v>
      </c>
      <c r="H6695">
        <f>VLOOKUP(D6695,Товары!A:I,6,0)</f>
        <v>85</v>
      </c>
      <c r="I6695" t="str">
        <f>VLOOKUP(C6695,Магазины!A:C,3,0)</f>
        <v>Ставрополь</v>
      </c>
      <c r="J6695">
        <f>VLOOKUP(D6695,Товары!A:I,4,0)</f>
        <v>19575</v>
      </c>
      <c r="K6695">
        <f t="shared" si="104"/>
        <v>39150</v>
      </c>
    </row>
    <row r="6696" spans="1:11" hidden="1" x14ac:dyDescent="0.25">
      <c r="A6696">
        <v>6695</v>
      </c>
      <c r="B6696" s="1">
        <v>45754</v>
      </c>
      <c r="C6696" t="s">
        <v>41</v>
      </c>
      <c r="D6696" t="s">
        <v>53</v>
      </c>
      <c r="E6696" t="s">
        <v>13</v>
      </c>
      <c r="F6696">
        <v>1</v>
      </c>
      <c r="G6696" t="str">
        <f>VLOOKUP(D6696,Товары!A:I,3,0)</f>
        <v>Тумба с раковиной  напол. Кристалл 600 шато азур 2 ящика с умыв. Океан</v>
      </c>
      <c r="H6696">
        <f>VLOOKUP(D6696,Товары!A:I,6,0)</f>
        <v>85</v>
      </c>
      <c r="I6696" t="str">
        <f>VLOOKUP(C6696,Магазины!A:C,3,0)</f>
        <v>Ставрополь</v>
      </c>
      <c r="J6696">
        <f>VLOOKUP(D6696,Товары!A:I,4,0)</f>
        <v>27600</v>
      </c>
      <c r="K6696">
        <f t="shared" si="104"/>
        <v>27600</v>
      </c>
    </row>
    <row r="6697" spans="1:11" hidden="1" x14ac:dyDescent="0.25">
      <c r="A6697">
        <v>6696</v>
      </c>
      <c r="B6697" s="1">
        <v>45748</v>
      </c>
      <c r="C6697" t="s">
        <v>6</v>
      </c>
      <c r="D6697" t="s">
        <v>84</v>
      </c>
      <c r="E6697" t="s">
        <v>13</v>
      </c>
      <c r="F6697">
        <v>3</v>
      </c>
      <c r="G6697" t="str">
        <f>VLOOKUP(D6697,Товары!A:I,3,0)</f>
        <v>Тумба с раковиной  напол. Куба Риф 800 белый 3 двери с умыв. Слим</v>
      </c>
      <c r="H6697">
        <f>VLOOKUP(D6697,Товары!A:I,6,0)</f>
        <v>85</v>
      </c>
      <c r="I6697" t="str">
        <f>VLOOKUP(C6697,Магазины!A:C,3,0)</f>
        <v>Оренбург</v>
      </c>
      <c r="J6697">
        <f>VLOOKUP(D6697,Товары!A:I,4,0)</f>
        <v>19920</v>
      </c>
      <c r="K6697">
        <f t="shared" si="104"/>
        <v>59760</v>
      </c>
    </row>
    <row r="6698" spans="1:11" hidden="1" x14ac:dyDescent="0.25">
      <c r="A6698">
        <v>6697</v>
      </c>
      <c r="B6698" s="1">
        <v>45756</v>
      </c>
      <c r="C6698" t="s">
        <v>22</v>
      </c>
      <c r="D6698" t="s">
        <v>15</v>
      </c>
      <c r="E6698" t="s">
        <v>13</v>
      </c>
      <c r="F6698">
        <v>1</v>
      </c>
      <c r="G6698" t="str">
        <f>VLOOKUP(D6698,Товары!A:I,3,0)</f>
        <v>Зеркальный шкаф Кристалл 60 со светильником правый, ручка кнопка дуб цвет Шато Азур</v>
      </c>
      <c r="H6698">
        <f>VLOOKUP(D6698,Товары!A:I,6,0)</f>
        <v>75</v>
      </c>
      <c r="I6698" t="str">
        <f>VLOOKUP(C6698,Магазины!A:C,3,0)</f>
        <v>Кемерово</v>
      </c>
      <c r="J6698">
        <f>VLOOKUP(D6698,Товары!A:I,4,0)</f>
        <v>9195</v>
      </c>
      <c r="K6698">
        <f t="shared" si="104"/>
        <v>9195</v>
      </c>
    </row>
    <row r="6699" spans="1:11" hidden="1" x14ac:dyDescent="0.25">
      <c r="A6699">
        <v>6698</v>
      </c>
      <c r="B6699" s="1">
        <v>45755</v>
      </c>
      <c r="C6699" t="s">
        <v>16</v>
      </c>
      <c r="D6699" t="s">
        <v>91</v>
      </c>
      <c r="E6699" t="s">
        <v>13</v>
      </c>
      <c r="F6699">
        <v>3</v>
      </c>
      <c r="G6699" t="str">
        <f>VLOOKUP(D6699,Товары!A:I,3,0)</f>
        <v>Пенал навес./напол. Альба 350 мята 2 двери</v>
      </c>
      <c r="H6699">
        <f>VLOOKUP(D6699,Товары!A:I,6,0)</f>
        <v>150</v>
      </c>
      <c r="I6699" t="str">
        <f>VLOOKUP(C6699,Магазины!A:C,3,0)</f>
        <v>Оренбург</v>
      </c>
      <c r="J6699">
        <f>VLOOKUP(D6699,Товары!A:I,4,0)</f>
        <v>11655</v>
      </c>
      <c r="K6699">
        <f t="shared" si="104"/>
        <v>34965</v>
      </c>
    </row>
    <row r="6700" spans="1:11" hidden="1" x14ac:dyDescent="0.25">
      <c r="A6700">
        <v>6699</v>
      </c>
      <c r="B6700" s="1">
        <v>45754</v>
      </c>
      <c r="C6700" t="s">
        <v>16</v>
      </c>
      <c r="D6700" t="s">
        <v>105</v>
      </c>
      <c r="E6700" t="s">
        <v>8</v>
      </c>
      <c r="F6700">
        <v>2</v>
      </c>
      <c r="G6700" t="str">
        <f>VLOOKUP(D6700,Товары!A:I,3,0)</f>
        <v>Тумба с раковиной  напол. Нева 600 белый 2 двери + 1 ящик с умыв. Como</v>
      </c>
      <c r="H6700">
        <f>VLOOKUP(D6700,Товары!A:I,6,0)</f>
        <v>80</v>
      </c>
      <c r="I6700" t="str">
        <f>VLOOKUP(C6700,Магазины!A:C,3,0)</f>
        <v>Оренбург</v>
      </c>
      <c r="J6700">
        <f>VLOOKUP(D6700,Товары!A:I,4,0)</f>
        <v>13470</v>
      </c>
      <c r="K6700">
        <f t="shared" si="104"/>
        <v>26940</v>
      </c>
    </row>
    <row r="6701" spans="1:11" hidden="1" x14ac:dyDescent="0.25">
      <c r="A6701">
        <v>6700</v>
      </c>
      <c r="B6701" s="1">
        <v>45748</v>
      </c>
      <c r="C6701" t="s">
        <v>20</v>
      </c>
      <c r="D6701" t="s">
        <v>45</v>
      </c>
      <c r="E6701" t="s">
        <v>13</v>
      </c>
      <c r="F6701">
        <v>3</v>
      </c>
      <c r="G6701" t="str">
        <f>VLOOKUP(D6701,Товары!A:I,3,0)</f>
        <v>Зеркальный шкаф Рица 80 со светильником правый цвет cерый/керамика</v>
      </c>
      <c r="H6701">
        <f>VLOOKUP(D6701,Товары!A:I,6,0)</f>
        <v>75</v>
      </c>
      <c r="I6701" t="str">
        <f>VLOOKUP(C6701,Магазины!A:C,3,0)</f>
        <v>Оренбург</v>
      </c>
      <c r="J6701">
        <f>VLOOKUP(D6701,Товары!A:I,4,0)</f>
        <v>9930</v>
      </c>
      <c r="K6701">
        <f t="shared" si="104"/>
        <v>29790</v>
      </c>
    </row>
    <row r="6702" spans="1:11" hidden="1" x14ac:dyDescent="0.25">
      <c r="A6702">
        <v>6701</v>
      </c>
      <c r="B6702" s="1">
        <v>45756</v>
      </c>
      <c r="C6702" t="s">
        <v>111</v>
      </c>
      <c r="D6702" t="s">
        <v>124</v>
      </c>
      <c r="E6702" t="s">
        <v>8</v>
      </c>
      <c r="F6702">
        <v>3</v>
      </c>
      <c r="G6702" t="str">
        <f>VLOOKUP(D6702,Товары!A:I,3,0)</f>
        <v>Тумба с раковиной  напол. Леон 600 оникс 2 ящика с умыв. Океан</v>
      </c>
      <c r="H6702">
        <f>VLOOKUP(D6702,Товары!A:I,6,0)</f>
        <v>80</v>
      </c>
      <c r="I6702" t="str">
        <f>VLOOKUP(C6702,Магазины!A:C,3,0)</f>
        <v>Набережные Челны</v>
      </c>
      <c r="J6702">
        <f>VLOOKUP(D6702,Товары!A:I,4,0)</f>
        <v>25860</v>
      </c>
      <c r="K6702">
        <f t="shared" si="104"/>
        <v>77580</v>
      </c>
    </row>
    <row r="6703" spans="1:11" hidden="1" x14ac:dyDescent="0.25">
      <c r="A6703">
        <v>6702</v>
      </c>
      <c r="B6703" s="1">
        <v>45754</v>
      </c>
      <c r="C6703" t="s">
        <v>14</v>
      </c>
      <c r="D6703" t="s">
        <v>118</v>
      </c>
      <c r="E6703" t="s">
        <v>8</v>
      </c>
      <c r="F6703">
        <v>1</v>
      </c>
      <c r="G6703" t="str">
        <f>VLOOKUP(D6703,Товары!A:I,3,0)</f>
        <v>Тумба с раковиной  напол. Сохо 800 белый 2 ящика с умыв. Слим</v>
      </c>
      <c r="H6703">
        <f>VLOOKUP(D6703,Товары!A:I,6,0)</f>
        <v>85</v>
      </c>
      <c r="I6703" t="str">
        <f>VLOOKUP(C6703,Магазины!A:C,3,0)</f>
        <v>Оренбург</v>
      </c>
      <c r="J6703">
        <f>VLOOKUP(D6703,Товары!A:I,4,0)</f>
        <v>19575</v>
      </c>
      <c r="K6703">
        <f t="shared" si="104"/>
        <v>19575</v>
      </c>
    </row>
    <row r="6704" spans="1:11" hidden="1" x14ac:dyDescent="0.25">
      <c r="A6704">
        <v>6703</v>
      </c>
      <c r="B6704" s="1">
        <v>45751</v>
      </c>
      <c r="C6704" t="s">
        <v>58</v>
      </c>
      <c r="D6704" t="s">
        <v>107</v>
      </c>
      <c r="E6704" t="s">
        <v>13</v>
      </c>
      <c r="F6704">
        <v>1</v>
      </c>
      <c r="G6704" t="str">
        <f>VLOOKUP(D6704,Товары!A:I,3,0)</f>
        <v>Комод Аква 35 напольный 1 дверь белый правый</v>
      </c>
      <c r="H6704">
        <f>VLOOKUP(D6704,Товары!A:I,6,0)</f>
        <v>90</v>
      </c>
      <c r="I6704" t="str">
        <f>VLOOKUP(C6704,Магазины!A:C,3,0)</f>
        <v>Ставрополь</v>
      </c>
      <c r="J6704">
        <f>VLOOKUP(D6704,Товары!A:I,4,0)</f>
        <v>6705</v>
      </c>
      <c r="K6704">
        <f t="shared" si="104"/>
        <v>6705</v>
      </c>
    </row>
    <row r="6705" spans="1:11" hidden="1" x14ac:dyDescent="0.25">
      <c r="A6705">
        <v>6704</v>
      </c>
      <c r="B6705" s="1">
        <v>45753</v>
      </c>
      <c r="C6705" t="s">
        <v>63</v>
      </c>
      <c r="D6705" t="s">
        <v>76</v>
      </c>
      <c r="E6705" t="s">
        <v>13</v>
      </c>
      <c r="F6705">
        <v>1</v>
      </c>
      <c r="G6705" t="str">
        <f>VLOOKUP(D6705,Товары!A:I,3,0)</f>
        <v>Тумба с раковиной  напол. Леон 600 оникс 2 ящика с умыв. Слим</v>
      </c>
      <c r="H6705">
        <f>VLOOKUP(D6705,Товары!A:I,6,0)</f>
        <v>80</v>
      </c>
      <c r="I6705" t="str">
        <f>VLOOKUP(C6705,Магазины!A:C,3,0)</f>
        <v>Ставрополь</v>
      </c>
      <c r="J6705">
        <f>VLOOKUP(D6705,Товары!A:I,4,0)</f>
        <v>25860</v>
      </c>
      <c r="K6705">
        <f t="shared" si="104"/>
        <v>25860</v>
      </c>
    </row>
    <row r="6706" spans="1:11" hidden="1" x14ac:dyDescent="0.25">
      <c r="A6706">
        <v>6705</v>
      </c>
      <c r="B6706" s="1">
        <v>45751</v>
      </c>
      <c r="C6706" t="s">
        <v>35</v>
      </c>
      <c r="D6706" t="s">
        <v>74</v>
      </c>
      <c r="E6706" t="s">
        <v>13</v>
      </c>
      <c r="F6706">
        <v>1</v>
      </c>
      <c r="G6706" t="str">
        <f>VLOOKUP(D6706,Товары!A:I,3,0)</f>
        <v>Тумба с раковиной  напол. Альба 800 суфле 2 ящика с умыв. Слим</v>
      </c>
      <c r="H6706">
        <f>VLOOKUP(D6706,Товары!A:I,6,0)</f>
        <v>80</v>
      </c>
      <c r="I6706" t="str">
        <f>VLOOKUP(C6706,Магазины!A:C,3,0)</f>
        <v>Набережные Челны</v>
      </c>
      <c r="J6706">
        <f>VLOOKUP(D6706,Товары!A:I,4,0)</f>
        <v>29340</v>
      </c>
      <c r="K6706">
        <f t="shared" si="104"/>
        <v>29340</v>
      </c>
    </row>
    <row r="6707" spans="1:11" hidden="1" x14ac:dyDescent="0.25">
      <c r="A6707">
        <v>6706</v>
      </c>
      <c r="B6707" s="1">
        <v>45748</v>
      </c>
      <c r="C6707" t="s">
        <v>54</v>
      </c>
      <c r="D6707" t="s">
        <v>87</v>
      </c>
      <c r="E6707" t="s">
        <v>13</v>
      </c>
      <c r="F6707">
        <v>3</v>
      </c>
      <c r="G6707" t="str">
        <f>VLOOKUP(D6707,Товары!A:I,3,0)</f>
        <v>Тумба с раковиной  напол. Леон 700 форест 2 ящика с умыв. Слим</v>
      </c>
      <c r="H6707">
        <f>VLOOKUP(D6707,Товары!A:I,6,0)</f>
        <v>80</v>
      </c>
      <c r="I6707" t="str">
        <f>VLOOKUP(C6707,Магазины!A:C,3,0)</f>
        <v>Ставрополь</v>
      </c>
      <c r="J6707">
        <f>VLOOKUP(D6707,Товары!A:I,4,0)</f>
        <v>28380</v>
      </c>
      <c r="K6707">
        <f t="shared" si="104"/>
        <v>85140</v>
      </c>
    </row>
    <row r="6708" spans="1:11" hidden="1" x14ac:dyDescent="0.25">
      <c r="A6708">
        <v>6707</v>
      </c>
      <c r="B6708" s="1">
        <v>45750</v>
      </c>
      <c r="C6708" t="s">
        <v>20</v>
      </c>
      <c r="D6708" t="s">
        <v>84</v>
      </c>
      <c r="E6708" t="s">
        <v>8</v>
      </c>
      <c r="F6708">
        <v>1</v>
      </c>
      <c r="G6708" t="str">
        <f>VLOOKUP(D6708,Товары!A:I,3,0)</f>
        <v>Тумба с раковиной  напол. Куба Риф 800 белый 3 двери с умыв. Слим</v>
      </c>
      <c r="H6708">
        <f>VLOOKUP(D6708,Товары!A:I,6,0)</f>
        <v>85</v>
      </c>
      <c r="I6708" t="str">
        <f>VLOOKUP(C6708,Магазины!A:C,3,0)</f>
        <v>Оренбург</v>
      </c>
      <c r="J6708">
        <f>VLOOKUP(D6708,Товары!A:I,4,0)</f>
        <v>19920</v>
      </c>
      <c r="K6708">
        <f t="shared" si="104"/>
        <v>19920</v>
      </c>
    </row>
    <row r="6709" spans="1:11" hidden="1" x14ac:dyDescent="0.25">
      <c r="A6709">
        <v>6708</v>
      </c>
      <c r="B6709" s="1">
        <v>45752</v>
      </c>
      <c r="C6709" t="s">
        <v>54</v>
      </c>
      <c r="D6709" t="s">
        <v>104</v>
      </c>
      <c r="E6709" t="s">
        <v>8</v>
      </c>
      <c r="F6709">
        <v>2</v>
      </c>
      <c r="G6709" t="str">
        <f>VLOOKUP(D6709,Товары!A:I,3,0)</f>
        <v>Тумба под стиральную машину Куба Риф 57 подвесная 2 ящика под ст/маш, без умывальника /под Marshall 120 Белый</v>
      </c>
      <c r="H6709">
        <f>VLOOKUP(D6709,Товары!A:I,6,0)</f>
        <v>50</v>
      </c>
      <c r="I6709" t="str">
        <f>VLOOKUP(C6709,Магазины!A:C,3,0)</f>
        <v>Ставрополь</v>
      </c>
      <c r="J6709">
        <f>VLOOKUP(D6709,Товары!A:I,4,0)</f>
        <v>8505</v>
      </c>
      <c r="K6709">
        <f t="shared" si="104"/>
        <v>17010</v>
      </c>
    </row>
    <row r="6710" spans="1:11" hidden="1" x14ac:dyDescent="0.25">
      <c r="A6710">
        <v>6709</v>
      </c>
      <c r="B6710" s="1">
        <v>45755</v>
      </c>
      <c r="C6710" t="s">
        <v>92</v>
      </c>
      <c r="D6710" t="s">
        <v>85</v>
      </c>
      <c r="E6710" t="s">
        <v>8</v>
      </c>
      <c r="F6710">
        <v>3</v>
      </c>
      <c r="G6710" t="str">
        <f>VLOOKUP(D6710,Товары!A:I,3,0)</f>
        <v>Пенал напол. Аква 450 белый 2 двери + 2 ящика + корзина</v>
      </c>
      <c r="H6710">
        <f>VLOOKUP(D6710,Товары!A:I,6,0)</f>
        <v>190</v>
      </c>
      <c r="I6710" t="str">
        <f>VLOOKUP(C6710,Магазины!A:C,3,0)</f>
        <v>Кемерово</v>
      </c>
      <c r="J6710">
        <f>VLOOKUP(D6710,Товары!A:I,4,0)</f>
        <v>13335</v>
      </c>
      <c r="K6710">
        <f t="shared" si="104"/>
        <v>40005</v>
      </c>
    </row>
    <row r="6711" spans="1:11" hidden="1" x14ac:dyDescent="0.25">
      <c r="A6711">
        <v>6710</v>
      </c>
      <c r="B6711" s="1">
        <v>45748</v>
      </c>
      <c r="C6711" t="s">
        <v>41</v>
      </c>
      <c r="D6711" t="s">
        <v>76</v>
      </c>
      <c r="E6711" t="s">
        <v>13</v>
      </c>
      <c r="F6711">
        <v>3</v>
      </c>
      <c r="G6711" t="str">
        <f>VLOOKUP(D6711,Товары!A:I,3,0)</f>
        <v>Тумба с раковиной  напол. Леон 600 оникс 2 ящика с умыв. Слим</v>
      </c>
      <c r="H6711">
        <f>VLOOKUP(D6711,Товары!A:I,6,0)</f>
        <v>80</v>
      </c>
      <c r="I6711" t="str">
        <f>VLOOKUP(C6711,Магазины!A:C,3,0)</f>
        <v>Ставрополь</v>
      </c>
      <c r="J6711">
        <f>VLOOKUP(D6711,Товары!A:I,4,0)</f>
        <v>25860</v>
      </c>
      <c r="K6711">
        <f t="shared" si="104"/>
        <v>77580</v>
      </c>
    </row>
    <row r="6712" spans="1:11" hidden="1" x14ac:dyDescent="0.25">
      <c r="A6712">
        <v>6711</v>
      </c>
      <c r="B6712" s="1">
        <v>45754</v>
      </c>
      <c r="C6712" t="s">
        <v>63</v>
      </c>
      <c r="D6712" t="s">
        <v>89</v>
      </c>
      <c r="E6712" t="s">
        <v>8</v>
      </c>
      <c r="F6712">
        <v>3</v>
      </c>
      <c r="G6712" t="str">
        <f>VLOOKUP(D6712,Товары!A:I,3,0)</f>
        <v>Тумба с раковиной  напол. Сохо 600 белый 2 двери с умыв. Океан</v>
      </c>
      <c r="H6712">
        <f>VLOOKUP(D6712,Товары!A:I,6,0)</f>
        <v>85</v>
      </c>
      <c r="I6712" t="str">
        <f>VLOOKUP(C6712,Магазины!A:C,3,0)</f>
        <v>Ставрополь</v>
      </c>
      <c r="J6712">
        <f>VLOOKUP(D6712,Товары!A:I,4,0)</f>
        <v>14880</v>
      </c>
      <c r="K6712">
        <f t="shared" si="104"/>
        <v>44640</v>
      </c>
    </row>
    <row r="6713" spans="1:11" hidden="1" x14ac:dyDescent="0.25">
      <c r="A6713">
        <v>6712</v>
      </c>
      <c r="B6713" s="1">
        <v>45748</v>
      </c>
      <c r="C6713" t="s">
        <v>54</v>
      </c>
      <c r="D6713" t="s">
        <v>24</v>
      </c>
      <c r="E6713" t="s">
        <v>13</v>
      </c>
      <c r="F6713">
        <v>1</v>
      </c>
      <c r="G6713" t="str">
        <f>VLOOKUP(D6713,Товары!A:I,3,0)</f>
        <v>Тумба с раковиной  напол. Леон 600 форест 2 ящика с умыв. Слим</v>
      </c>
      <c r="H6713">
        <f>VLOOKUP(D6713,Товары!A:I,6,0)</f>
        <v>80</v>
      </c>
      <c r="I6713" t="str">
        <f>VLOOKUP(C6713,Магазины!A:C,3,0)</f>
        <v>Ставрополь</v>
      </c>
      <c r="J6713">
        <f>VLOOKUP(D6713,Товары!A:I,4,0)</f>
        <v>27150</v>
      </c>
      <c r="K6713">
        <f t="shared" si="104"/>
        <v>27150</v>
      </c>
    </row>
    <row r="6714" spans="1:11" hidden="1" x14ac:dyDescent="0.25">
      <c r="A6714">
        <v>6713</v>
      </c>
      <c r="B6714" s="1">
        <v>45755</v>
      </c>
      <c r="C6714" t="s">
        <v>43</v>
      </c>
      <c r="D6714" t="s">
        <v>127</v>
      </c>
      <c r="E6714" t="s">
        <v>8</v>
      </c>
      <c r="F6714">
        <v>1</v>
      </c>
      <c r="G6714" t="str">
        <f>VLOOKUP(D6714,Товары!A:I,3,0)</f>
        <v>Тумба с раковиной  навес. Альба 700 мята 1 ящик с умыв. Слим</v>
      </c>
      <c r="H6714">
        <f>VLOOKUP(D6714,Товары!A:I,6,0)</f>
        <v>45</v>
      </c>
      <c r="I6714" t="str">
        <f>VLOOKUP(C6714,Магазины!A:C,3,0)</f>
        <v>Набережные Челны</v>
      </c>
      <c r="J6714">
        <f>VLOOKUP(D6714,Товары!A:I,4,0)</f>
        <v>20130</v>
      </c>
      <c r="K6714">
        <f t="shared" si="104"/>
        <v>20130</v>
      </c>
    </row>
    <row r="6715" spans="1:11" hidden="1" x14ac:dyDescent="0.25">
      <c r="A6715">
        <v>6714</v>
      </c>
      <c r="B6715" s="1">
        <v>45753</v>
      </c>
      <c r="C6715" t="s">
        <v>30</v>
      </c>
      <c r="D6715" t="s">
        <v>121</v>
      </c>
      <c r="E6715" t="s">
        <v>8</v>
      </c>
      <c r="F6715">
        <v>1</v>
      </c>
      <c r="G6715" t="str">
        <f>VLOOKUP(D6715,Товары!A:I,3,0)</f>
        <v>Тумба с раковиной  напол. Куба Риф 600 белый 2 двери с умыв. Como</v>
      </c>
      <c r="H6715">
        <f>VLOOKUP(D6715,Товары!A:I,6,0)</f>
        <v>85</v>
      </c>
      <c r="I6715" t="str">
        <f>VLOOKUP(C6715,Магазины!A:C,3,0)</f>
        <v>Кемерово</v>
      </c>
      <c r="J6715">
        <f>VLOOKUP(D6715,Товары!A:I,4,0)</f>
        <v>13695</v>
      </c>
      <c r="K6715">
        <f t="shared" si="104"/>
        <v>13695</v>
      </c>
    </row>
    <row r="6716" spans="1:11" hidden="1" x14ac:dyDescent="0.25">
      <c r="A6716">
        <v>6715</v>
      </c>
      <c r="B6716" s="1">
        <v>45754</v>
      </c>
      <c r="C6716" t="s">
        <v>14</v>
      </c>
      <c r="D6716" t="s">
        <v>55</v>
      </c>
      <c r="E6716" t="s">
        <v>8</v>
      </c>
      <c r="F6716">
        <v>3</v>
      </c>
      <c r="G6716" t="str">
        <f>VLOOKUP(D6716,Товары!A:I,3,0)</f>
        <v>Тумба с раковиной  напол. Рица 600 cерый/керамика 2 ящика с умыв. Океан</v>
      </c>
      <c r="H6716">
        <f>VLOOKUP(D6716,Товары!A:I,6,0)</f>
        <v>80</v>
      </c>
      <c r="I6716" t="str">
        <f>VLOOKUP(C6716,Магазины!A:C,3,0)</f>
        <v>Оренбург</v>
      </c>
      <c r="J6716">
        <f>VLOOKUP(D6716,Товары!A:I,4,0)</f>
        <v>25560</v>
      </c>
      <c r="K6716">
        <f t="shared" si="104"/>
        <v>76680</v>
      </c>
    </row>
    <row r="6717" spans="1:11" hidden="1" x14ac:dyDescent="0.25">
      <c r="A6717">
        <v>6716</v>
      </c>
      <c r="B6717" s="1">
        <v>45755</v>
      </c>
      <c r="C6717" t="s">
        <v>6</v>
      </c>
      <c r="D6717" t="s">
        <v>77</v>
      </c>
      <c r="E6717" t="s">
        <v>13</v>
      </c>
      <c r="F6717">
        <v>1</v>
      </c>
      <c r="G6717" t="str">
        <f>VLOOKUP(D6717,Товары!A:I,3,0)</f>
        <v>Тумба с раковиной  напол. Куба Риф 600 белый 2 ящика с умыв. Como</v>
      </c>
      <c r="H6717">
        <f>VLOOKUP(D6717,Товары!A:I,6,0)</f>
        <v>85</v>
      </c>
      <c r="I6717" t="str">
        <f>VLOOKUP(C6717,Магазины!A:C,3,0)</f>
        <v>Оренбург</v>
      </c>
      <c r="J6717">
        <f>VLOOKUP(D6717,Товары!A:I,4,0)</f>
        <v>15660</v>
      </c>
      <c r="K6717">
        <f t="shared" si="104"/>
        <v>15660</v>
      </c>
    </row>
    <row r="6718" spans="1:11" hidden="1" x14ac:dyDescent="0.25">
      <c r="A6718">
        <v>6717</v>
      </c>
      <c r="B6718" s="1">
        <v>45756</v>
      </c>
      <c r="C6718" t="s">
        <v>14</v>
      </c>
      <c r="D6718" t="s">
        <v>56</v>
      </c>
      <c r="E6718" t="s">
        <v>13</v>
      </c>
      <c r="F6718">
        <v>3</v>
      </c>
      <c r="G6718" t="str">
        <f>VLOOKUP(D6718,Товары!A:I,3,0)</f>
        <v>Зеркальный шкаф Альба 80 со светильником правый цвет мята</v>
      </c>
      <c r="H6718">
        <f>VLOOKUP(D6718,Товары!A:I,6,0)</f>
        <v>75</v>
      </c>
      <c r="I6718" t="str">
        <f>VLOOKUP(C6718,Магазины!A:C,3,0)</f>
        <v>Оренбург</v>
      </c>
      <c r="J6718">
        <f>VLOOKUP(D6718,Товары!A:I,4,0)</f>
        <v>9930</v>
      </c>
      <c r="K6718">
        <f t="shared" si="104"/>
        <v>29790</v>
      </c>
    </row>
    <row r="6719" spans="1:11" hidden="1" x14ac:dyDescent="0.25">
      <c r="A6719">
        <v>6718</v>
      </c>
      <c r="B6719" s="1">
        <v>45750</v>
      </c>
      <c r="C6719" t="s">
        <v>22</v>
      </c>
      <c r="D6719" t="s">
        <v>79</v>
      </c>
      <c r="E6719" t="s">
        <v>13</v>
      </c>
      <c r="F6719">
        <v>2</v>
      </c>
      <c r="G6719" t="str">
        <f>VLOOKUP(D6719,Товары!A:I,3,0)</f>
        <v>Зеркальный шкаф Альба 70 со светильником правый цвет мята</v>
      </c>
      <c r="H6719">
        <f>VLOOKUP(D6719,Товары!A:I,6,0)</f>
        <v>75</v>
      </c>
      <c r="I6719" t="str">
        <f>VLOOKUP(C6719,Магазины!A:C,3,0)</f>
        <v>Кемерово</v>
      </c>
      <c r="J6719">
        <f>VLOOKUP(D6719,Товары!A:I,4,0)</f>
        <v>9615</v>
      </c>
      <c r="K6719">
        <f t="shared" si="104"/>
        <v>19230</v>
      </c>
    </row>
    <row r="6720" spans="1:11" hidden="1" x14ac:dyDescent="0.25">
      <c r="A6720">
        <v>6719</v>
      </c>
      <c r="B6720" s="1">
        <v>45752</v>
      </c>
      <c r="C6720" t="s">
        <v>18</v>
      </c>
      <c r="D6720" t="s">
        <v>100</v>
      </c>
      <c r="E6720" t="s">
        <v>8</v>
      </c>
      <c r="F6720">
        <v>2</v>
      </c>
      <c r="G6720" t="str">
        <f>VLOOKUP(D6720,Товары!A:I,3,0)</f>
        <v>Тумба с раковиной  навес. Альба 800 мята 1 ящик с умыв. Слим</v>
      </c>
      <c r="H6720">
        <f>VLOOKUP(D6720,Товары!A:I,6,0)</f>
        <v>45</v>
      </c>
      <c r="I6720" t="str">
        <f>VLOOKUP(C6720,Магазины!A:C,3,0)</f>
        <v>Набережные Челны</v>
      </c>
      <c r="J6720">
        <f>VLOOKUP(D6720,Товары!A:I,4,0)</f>
        <v>21630</v>
      </c>
      <c r="K6720">
        <f t="shared" si="104"/>
        <v>43260</v>
      </c>
    </row>
    <row r="6721" spans="1:11" hidden="1" x14ac:dyDescent="0.25">
      <c r="A6721">
        <v>6720</v>
      </c>
      <c r="B6721" s="1">
        <v>45753</v>
      </c>
      <c r="C6721" t="s">
        <v>28</v>
      </c>
      <c r="D6721" t="s">
        <v>83</v>
      </c>
      <c r="E6721" t="s">
        <v>8</v>
      </c>
      <c r="F6721">
        <v>1</v>
      </c>
      <c r="G6721" t="str">
        <f>VLOOKUP(D6721,Товары!A:I,3,0)</f>
        <v>Зеркальный шкаф Альба 60 со светильником правый цвет суфле</v>
      </c>
      <c r="H6721">
        <f>VLOOKUP(D6721,Товары!A:I,6,0)</f>
        <v>75</v>
      </c>
      <c r="I6721" t="str">
        <f>VLOOKUP(C6721,Магазины!A:C,3,0)</f>
        <v>Набережные Челны</v>
      </c>
      <c r="J6721">
        <f>VLOOKUP(D6721,Товары!A:I,4,0)</f>
        <v>8910</v>
      </c>
      <c r="K6721">
        <f t="shared" si="104"/>
        <v>8910</v>
      </c>
    </row>
    <row r="6722" spans="1:11" hidden="1" x14ac:dyDescent="0.25">
      <c r="A6722">
        <v>6721</v>
      </c>
      <c r="B6722" s="1">
        <v>45752</v>
      </c>
      <c r="C6722" t="s">
        <v>92</v>
      </c>
      <c r="D6722" t="s">
        <v>86</v>
      </c>
      <c r="E6722" t="s">
        <v>8</v>
      </c>
      <c r="F6722">
        <v>1</v>
      </c>
      <c r="G6722" t="str">
        <f>VLOOKUP(D6722,Товары!A:I,3,0)</f>
        <v>Комод Аква 50 напольный 1 ящик 2 двери белый</v>
      </c>
      <c r="H6722">
        <f>VLOOKUP(D6722,Товары!A:I,6,0)</f>
        <v>90</v>
      </c>
      <c r="I6722" t="str">
        <f>VLOOKUP(C6722,Магазины!A:C,3,0)</f>
        <v>Кемерово</v>
      </c>
      <c r="J6722">
        <f>VLOOKUP(D6722,Товары!A:I,4,0)</f>
        <v>7260</v>
      </c>
      <c r="K6722">
        <f t="shared" si="104"/>
        <v>7260</v>
      </c>
    </row>
    <row r="6723" spans="1:11" hidden="1" x14ac:dyDescent="0.25">
      <c r="A6723">
        <v>6722</v>
      </c>
      <c r="B6723" s="1">
        <v>45755</v>
      </c>
      <c r="C6723" t="s">
        <v>16</v>
      </c>
      <c r="D6723" t="s">
        <v>126</v>
      </c>
      <c r="E6723" t="s">
        <v>13</v>
      </c>
      <c r="F6723">
        <v>3</v>
      </c>
      <c r="G6723" t="str">
        <f>VLOOKUP(D6723,Товары!A:I,3,0)</f>
        <v>Тумба с раковиной  напол. Кристалл 800 шато азур 2 ящика с умыв. Комфорт</v>
      </c>
      <c r="H6723">
        <f>VLOOKUP(D6723,Товары!A:I,6,0)</f>
        <v>85</v>
      </c>
      <c r="I6723" t="str">
        <f>VLOOKUP(C6723,Магазины!A:C,3,0)</f>
        <v>Оренбург</v>
      </c>
      <c r="J6723">
        <f>VLOOKUP(D6723,Товары!A:I,4,0)</f>
        <v>31125</v>
      </c>
      <c r="K6723">
        <f t="shared" ref="K6723:K6786" si="105">J6723*F6723</f>
        <v>93375</v>
      </c>
    </row>
    <row r="6724" spans="1:11" hidden="1" x14ac:dyDescent="0.25">
      <c r="A6724">
        <v>6723</v>
      </c>
      <c r="B6724" s="1">
        <v>45748</v>
      </c>
      <c r="C6724" t="s">
        <v>9</v>
      </c>
      <c r="D6724" t="s">
        <v>49</v>
      </c>
      <c r="E6724" t="s">
        <v>8</v>
      </c>
      <c r="F6724">
        <v>1</v>
      </c>
      <c r="G6724" t="str">
        <f>VLOOKUP(D6724,Товары!A:I,3,0)</f>
        <v>Тумба с раковиной  напол. Леон 700 оникс 2 ящика с умыв. Слим</v>
      </c>
      <c r="H6724">
        <f>VLOOKUP(D6724,Товары!A:I,6,0)</f>
        <v>80</v>
      </c>
      <c r="I6724" t="str">
        <f>VLOOKUP(C6724,Магазины!A:C,3,0)</f>
        <v>Кемерово</v>
      </c>
      <c r="J6724">
        <f>VLOOKUP(D6724,Товары!A:I,4,0)</f>
        <v>28380</v>
      </c>
      <c r="K6724">
        <f t="shared" si="105"/>
        <v>28380</v>
      </c>
    </row>
    <row r="6725" spans="1:11" hidden="1" x14ac:dyDescent="0.25">
      <c r="A6725">
        <v>6724</v>
      </c>
      <c r="B6725" s="1">
        <v>45755</v>
      </c>
      <c r="C6725" t="s">
        <v>22</v>
      </c>
      <c r="D6725" t="s">
        <v>83</v>
      </c>
      <c r="E6725" t="s">
        <v>8</v>
      </c>
      <c r="F6725">
        <v>3</v>
      </c>
      <c r="G6725" t="str">
        <f>VLOOKUP(D6725,Товары!A:I,3,0)</f>
        <v>Зеркальный шкаф Альба 60 со светильником правый цвет суфле</v>
      </c>
      <c r="H6725">
        <f>VLOOKUP(D6725,Товары!A:I,6,0)</f>
        <v>75</v>
      </c>
      <c r="I6725" t="str">
        <f>VLOOKUP(C6725,Магазины!A:C,3,0)</f>
        <v>Кемерово</v>
      </c>
      <c r="J6725">
        <f>VLOOKUP(D6725,Товары!A:I,4,0)</f>
        <v>8910</v>
      </c>
      <c r="K6725">
        <f t="shared" si="105"/>
        <v>26730</v>
      </c>
    </row>
    <row r="6726" spans="1:11" hidden="1" x14ac:dyDescent="0.25">
      <c r="A6726">
        <v>6725</v>
      </c>
      <c r="B6726" s="1">
        <v>45751</v>
      </c>
      <c r="C6726" t="s">
        <v>111</v>
      </c>
      <c r="D6726" t="s">
        <v>122</v>
      </c>
      <c r="E6726" t="s">
        <v>13</v>
      </c>
      <c r="F6726">
        <v>3</v>
      </c>
      <c r="G6726" t="str">
        <f>VLOOKUP(D6726,Товары!A:I,3,0)</f>
        <v>Тумба с раковиной  навес. Кристалл 600 шато азур 2 ящика с умыв. Океан</v>
      </c>
      <c r="H6726">
        <f>VLOOKUP(D6726,Товары!A:I,6,0)</f>
        <v>55</v>
      </c>
      <c r="I6726" t="str">
        <f>VLOOKUP(C6726,Магазины!A:C,3,0)</f>
        <v>Набережные Челны</v>
      </c>
      <c r="J6726">
        <f>VLOOKUP(D6726,Товары!A:I,4,0)</f>
        <v>21960</v>
      </c>
      <c r="K6726">
        <f t="shared" si="105"/>
        <v>65880</v>
      </c>
    </row>
    <row r="6727" spans="1:11" hidden="1" x14ac:dyDescent="0.25">
      <c r="A6727">
        <v>6726</v>
      </c>
      <c r="B6727" s="1">
        <v>45755</v>
      </c>
      <c r="C6727" t="s">
        <v>63</v>
      </c>
      <c r="D6727" t="s">
        <v>102</v>
      </c>
      <c r="E6727" t="s">
        <v>8</v>
      </c>
      <c r="F6727">
        <v>3</v>
      </c>
      <c r="G6727" t="str">
        <f>VLOOKUP(D6727,Товары!A:I,3,0)</f>
        <v>Тумба с раковиной  напол. Леон Риф 1000 солярис/белый риф 2 ящика с умыв. Слим</v>
      </c>
      <c r="H6727">
        <f>VLOOKUP(D6727,Товары!A:I,6,0)</f>
        <v>85</v>
      </c>
      <c r="I6727" t="str">
        <f>VLOOKUP(C6727,Магазины!A:C,3,0)</f>
        <v>Ставрополь</v>
      </c>
      <c r="J6727">
        <f>VLOOKUP(D6727,Товары!A:I,4,0)</f>
        <v>32085</v>
      </c>
      <c r="K6727">
        <f t="shared" si="105"/>
        <v>96255</v>
      </c>
    </row>
    <row r="6728" spans="1:11" hidden="1" x14ac:dyDescent="0.25">
      <c r="A6728">
        <v>6727</v>
      </c>
      <c r="B6728" s="1">
        <v>45749</v>
      </c>
      <c r="C6728" t="s">
        <v>57</v>
      </c>
      <c r="D6728" t="s">
        <v>66</v>
      </c>
      <c r="E6728" t="s">
        <v>8</v>
      </c>
      <c r="F6728">
        <v>2</v>
      </c>
      <c r="G6728" t="str">
        <f>VLOOKUP(D6728,Товары!A:I,3,0)</f>
        <v>Тумба с раковиной  навес. Альба 800 мята 2 ящика с умыв. Слим</v>
      </c>
      <c r="H6728">
        <f>VLOOKUP(D6728,Товары!A:I,6,0)</f>
        <v>50</v>
      </c>
      <c r="I6728" t="str">
        <f>VLOOKUP(C6728,Магазины!A:C,3,0)</f>
        <v>Оренбург</v>
      </c>
      <c r="J6728">
        <f>VLOOKUP(D6728,Товары!A:I,4,0)</f>
        <v>26070</v>
      </c>
      <c r="K6728">
        <f t="shared" si="105"/>
        <v>52140</v>
      </c>
    </row>
    <row r="6729" spans="1:11" hidden="1" x14ac:dyDescent="0.25">
      <c r="A6729">
        <v>6728</v>
      </c>
      <c r="B6729" s="1">
        <v>45754</v>
      </c>
      <c r="C6729" t="s">
        <v>11</v>
      </c>
      <c r="D6729" t="s">
        <v>50</v>
      </c>
      <c r="E6729" t="s">
        <v>13</v>
      </c>
      <c r="F6729">
        <v>1</v>
      </c>
      <c r="G6729" t="str">
        <f>VLOOKUP(D6729,Товары!A:I,3,0)</f>
        <v>Тумба с раковиной  напол. Леон 800 оникс 2 ящика с умыв. Слим</v>
      </c>
      <c r="H6729">
        <f>VLOOKUP(D6729,Товары!A:I,6,0)</f>
        <v>80</v>
      </c>
      <c r="I6729" t="str">
        <f>VLOOKUP(C6729,Магазины!A:C,3,0)</f>
        <v>Кемерово</v>
      </c>
      <c r="J6729">
        <f>VLOOKUP(D6729,Товары!A:I,4,0)</f>
        <v>29400</v>
      </c>
      <c r="K6729">
        <f t="shared" si="105"/>
        <v>29400</v>
      </c>
    </row>
    <row r="6730" spans="1:11" hidden="1" x14ac:dyDescent="0.25">
      <c r="A6730">
        <v>6729</v>
      </c>
      <c r="B6730" s="1">
        <v>45756</v>
      </c>
      <c r="C6730" t="s">
        <v>111</v>
      </c>
      <c r="D6730" t="s">
        <v>7</v>
      </c>
      <c r="E6730" t="s">
        <v>13</v>
      </c>
      <c r="F6730">
        <v>1</v>
      </c>
      <c r="G6730" t="str">
        <f>VLOOKUP(D6730,Товары!A:I,3,0)</f>
        <v>Пенал напол. Леон Риф 400 солярис/белый риф 2 двери + 1 ящик</v>
      </c>
      <c r="H6730">
        <f>VLOOKUP(D6730,Товары!A:I,6,0)</f>
        <v>190</v>
      </c>
      <c r="I6730" t="str">
        <f>VLOOKUP(C6730,Магазины!A:C,3,0)</f>
        <v>Набережные Челны</v>
      </c>
      <c r="J6730">
        <f>VLOOKUP(D6730,Товары!A:I,4,0)</f>
        <v>14490</v>
      </c>
      <c r="K6730">
        <f t="shared" si="105"/>
        <v>14490</v>
      </c>
    </row>
    <row r="6731" spans="1:11" hidden="1" x14ac:dyDescent="0.25">
      <c r="A6731">
        <v>6730</v>
      </c>
      <c r="B6731" s="1">
        <v>45756</v>
      </c>
      <c r="C6731" t="s">
        <v>18</v>
      </c>
      <c r="D6731" t="s">
        <v>93</v>
      </c>
      <c r="E6731" t="s">
        <v>8</v>
      </c>
      <c r="F6731">
        <v>3</v>
      </c>
      <c r="G6731" t="str">
        <f>VLOOKUP(D6731,Товары!A:I,3,0)</f>
        <v>Тумба с раковиной  напол. Леон Риф 800 солярис/белый риф 2 ящика с умыв. Слим</v>
      </c>
      <c r="H6731">
        <f>VLOOKUP(D6731,Товары!A:I,6,0)</f>
        <v>80</v>
      </c>
      <c r="I6731" t="str">
        <f>VLOOKUP(C6731,Магазины!A:C,3,0)</f>
        <v>Набережные Челны</v>
      </c>
      <c r="J6731">
        <f>VLOOKUP(D6731,Товары!A:I,4,0)</f>
        <v>29340</v>
      </c>
      <c r="K6731">
        <f t="shared" si="105"/>
        <v>88020</v>
      </c>
    </row>
    <row r="6732" spans="1:11" hidden="1" x14ac:dyDescent="0.25">
      <c r="A6732">
        <v>6731</v>
      </c>
      <c r="B6732" s="1">
        <v>45748</v>
      </c>
      <c r="C6732" t="s">
        <v>48</v>
      </c>
      <c r="D6732" t="s">
        <v>81</v>
      </c>
      <c r="E6732" t="s">
        <v>8</v>
      </c>
      <c r="F6732">
        <v>1</v>
      </c>
      <c r="G6732" t="str">
        <f>VLOOKUP(D6732,Товары!A:I,3,0)</f>
        <v>Тумба с раковиной  навес. Рица 600 cерый/керамика 1 ящик + ниша 1 с умыв. Океан</v>
      </c>
      <c r="H6732">
        <f>VLOOKUP(D6732,Товары!A:I,6,0)</f>
        <v>60</v>
      </c>
      <c r="I6732" t="str">
        <f>VLOOKUP(C6732,Магазины!A:C,3,0)</f>
        <v>Ставрополь</v>
      </c>
      <c r="J6732">
        <f>VLOOKUP(D6732,Товары!A:I,4,0)</f>
        <v>18900</v>
      </c>
      <c r="K6732">
        <f t="shared" si="105"/>
        <v>18900</v>
      </c>
    </row>
    <row r="6733" spans="1:11" hidden="1" x14ac:dyDescent="0.25">
      <c r="A6733">
        <v>6732</v>
      </c>
      <c r="B6733" s="1">
        <v>45755</v>
      </c>
      <c r="C6733" t="s">
        <v>11</v>
      </c>
      <c r="D6733" t="s">
        <v>73</v>
      </c>
      <c r="E6733" t="s">
        <v>8</v>
      </c>
      <c r="F6733">
        <v>2</v>
      </c>
      <c r="G6733" t="str">
        <f>VLOOKUP(D6733,Товары!A:I,3,0)</f>
        <v>Зеркальный шкаф Альба 70 со светильником правый цвет антрацит</v>
      </c>
      <c r="H6733">
        <f>VLOOKUP(D6733,Товары!A:I,6,0)</f>
        <v>75</v>
      </c>
      <c r="I6733" t="str">
        <f>VLOOKUP(C6733,Магазины!A:C,3,0)</f>
        <v>Кемерово</v>
      </c>
      <c r="J6733">
        <f>VLOOKUP(D6733,Товары!A:I,4,0)</f>
        <v>9615</v>
      </c>
      <c r="K6733">
        <f t="shared" si="105"/>
        <v>19230</v>
      </c>
    </row>
    <row r="6734" spans="1:11" hidden="1" x14ac:dyDescent="0.25">
      <c r="A6734">
        <v>6733</v>
      </c>
      <c r="B6734" s="1">
        <v>45752</v>
      </c>
      <c r="C6734" t="s">
        <v>11</v>
      </c>
      <c r="D6734" t="s">
        <v>15</v>
      </c>
      <c r="E6734" t="s">
        <v>8</v>
      </c>
      <c r="F6734">
        <v>1</v>
      </c>
      <c r="G6734" t="str">
        <f>VLOOKUP(D6734,Товары!A:I,3,0)</f>
        <v>Зеркальный шкаф Кристалл 60 со светильником правый, ручка кнопка дуб цвет Шато Азур</v>
      </c>
      <c r="H6734">
        <f>VLOOKUP(D6734,Товары!A:I,6,0)</f>
        <v>75</v>
      </c>
      <c r="I6734" t="str">
        <f>VLOOKUP(C6734,Магазины!A:C,3,0)</f>
        <v>Кемерово</v>
      </c>
      <c r="J6734">
        <f>VLOOKUP(D6734,Товары!A:I,4,0)</f>
        <v>9195</v>
      </c>
      <c r="K6734">
        <f t="shared" si="105"/>
        <v>9195</v>
      </c>
    </row>
    <row r="6735" spans="1:11" hidden="1" x14ac:dyDescent="0.25">
      <c r="A6735">
        <v>6734</v>
      </c>
      <c r="B6735" s="1">
        <v>45753</v>
      </c>
      <c r="C6735" t="s">
        <v>35</v>
      </c>
      <c r="D6735" t="s">
        <v>123</v>
      </c>
      <c r="E6735" t="s">
        <v>8</v>
      </c>
      <c r="F6735">
        <v>3</v>
      </c>
      <c r="G6735" t="str">
        <f>VLOOKUP(D6735,Товары!A:I,3,0)</f>
        <v>Тумба с раковиной  напол. Кристалл 800 суфле 2 ящика с умыв. Слим</v>
      </c>
      <c r="H6735">
        <f>VLOOKUP(D6735,Товары!A:I,6,0)</f>
        <v>80</v>
      </c>
      <c r="I6735" t="str">
        <f>VLOOKUP(C6735,Магазины!A:C,3,0)</f>
        <v>Набережные Челны</v>
      </c>
      <c r="J6735">
        <f>VLOOKUP(D6735,Товары!A:I,4,0)</f>
        <v>31125</v>
      </c>
      <c r="K6735">
        <f t="shared" si="105"/>
        <v>93375</v>
      </c>
    </row>
    <row r="6736" spans="1:11" hidden="1" x14ac:dyDescent="0.25">
      <c r="A6736">
        <v>6735</v>
      </c>
      <c r="B6736" s="1">
        <v>45754</v>
      </c>
      <c r="C6736" t="s">
        <v>54</v>
      </c>
      <c r="D6736" t="s">
        <v>107</v>
      </c>
      <c r="E6736" t="s">
        <v>8</v>
      </c>
      <c r="F6736">
        <v>2</v>
      </c>
      <c r="G6736" t="str">
        <f>VLOOKUP(D6736,Товары!A:I,3,0)</f>
        <v>Комод Аква 35 напольный 1 дверь белый правый</v>
      </c>
      <c r="H6736">
        <f>VLOOKUP(D6736,Товары!A:I,6,0)</f>
        <v>90</v>
      </c>
      <c r="I6736" t="str">
        <f>VLOOKUP(C6736,Магазины!A:C,3,0)</f>
        <v>Ставрополь</v>
      </c>
      <c r="J6736">
        <f>VLOOKUP(D6736,Товары!A:I,4,0)</f>
        <v>6705</v>
      </c>
      <c r="K6736">
        <f t="shared" si="105"/>
        <v>13410</v>
      </c>
    </row>
    <row r="6737" spans="1:11" hidden="1" x14ac:dyDescent="0.25">
      <c r="A6737">
        <v>6736</v>
      </c>
      <c r="B6737" s="1">
        <v>45757</v>
      </c>
      <c r="C6737" t="s">
        <v>111</v>
      </c>
      <c r="D6737" t="s">
        <v>121</v>
      </c>
      <c r="E6737" t="s">
        <v>13</v>
      </c>
      <c r="F6737">
        <v>2</v>
      </c>
      <c r="G6737" t="str">
        <f>VLOOKUP(D6737,Товары!A:I,3,0)</f>
        <v>Тумба с раковиной  напол. Куба Риф 600 белый 2 двери с умыв. Como</v>
      </c>
      <c r="H6737">
        <f>VLOOKUP(D6737,Товары!A:I,6,0)</f>
        <v>85</v>
      </c>
      <c r="I6737" t="str">
        <f>VLOOKUP(C6737,Магазины!A:C,3,0)</f>
        <v>Набережные Челны</v>
      </c>
      <c r="J6737">
        <f>VLOOKUP(D6737,Товары!A:I,4,0)</f>
        <v>13695</v>
      </c>
      <c r="K6737">
        <f t="shared" si="105"/>
        <v>27390</v>
      </c>
    </row>
    <row r="6738" spans="1:11" hidden="1" x14ac:dyDescent="0.25">
      <c r="A6738">
        <v>6737</v>
      </c>
      <c r="B6738" s="1">
        <v>45756</v>
      </c>
      <c r="C6738" t="s">
        <v>26</v>
      </c>
      <c r="D6738" t="s">
        <v>88</v>
      </c>
      <c r="E6738" t="s">
        <v>13</v>
      </c>
      <c r="F6738">
        <v>2</v>
      </c>
      <c r="G6738" t="str">
        <f>VLOOKUP(D6738,Товары!A:I,3,0)</f>
        <v>Тумба с раковиной  навес. Альба 800 антрацит 2 ящика с умыв. Слим</v>
      </c>
      <c r="H6738">
        <f>VLOOKUP(D6738,Товары!A:I,6,0)</f>
        <v>50</v>
      </c>
      <c r="I6738" t="str">
        <f>VLOOKUP(C6738,Магазины!A:C,3,0)</f>
        <v>Оренбург</v>
      </c>
      <c r="J6738">
        <f>VLOOKUP(D6738,Товары!A:I,4,0)</f>
        <v>26070</v>
      </c>
      <c r="K6738">
        <f t="shared" si="105"/>
        <v>52140</v>
      </c>
    </row>
    <row r="6739" spans="1:11" hidden="1" x14ac:dyDescent="0.25">
      <c r="A6739">
        <v>6738</v>
      </c>
      <c r="B6739" s="1">
        <v>45750</v>
      </c>
      <c r="C6739" t="s">
        <v>35</v>
      </c>
      <c r="D6739" t="s">
        <v>125</v>
      </c>
      <c r="E6739" t="s">
        <v>13</v>
      </c>
      <c r="F6739">
        <v>3</v>
      </c>
      <c r="G6739" t="str">
        <f>VLOOKUP(D6739,Товары!A:I,3,0)</f>
        <v>Зеркальный шкаф Сохо 60 белый со светильником правый цвет Белый глянец</v>
      </c>
      <c r="H6739">
        <f>VLOOKUP(D6739,Товары!A:I,6,0)</f>
        <v>75</v>
      </c>
      <c r="I6739" t="str">
        <f>VLOOKUP(C6739,Магазины!A:C,3,0)</f>
        <v>Набережные Челны</v>
      </c>
      <c r="J6739">
        <f>VLOOKUP(D6739,Товары!A:I,4,0)</f>
        <v>7395</v>
      </c>
      <c r="K6739">
        <f t="shared" si="105"/>
        <v>22185</v>
      </c>
    </row>
    <row r="6740" spans="1:11" hidden="1" x14ac:dyDescent="0.25">
      <c r="A6740">
        <v>6739</v>
      </c>
      <c r="B6740" s="1">
        <v>45757</v>
      </c>
      <c r="C6740" t="s">
        <v>41</v>
      </c>
      <c r="D6740" t="s">
        <v>95</v>
      </c>
      <c r="E6740" t="s">
        <v>8</v>
      </c>
      <c r="F6740">
        <v>3</v>
      </c>
      <c r="G6740" t="str">
        <f>VLOOKUP(D6740,Товары!A:I,3,0)</f>
        <v>Тумба с раковиной  напол. Рица 600 антрацит 2 ящика с умыв. Океан</v>
      </c>
      <c r="H6740">
        <f>VLOOKUP(D6740,Товары!A:I,6,0)</f>
        <v>80</v>
      </c>
      <c r="I6740" t="str">
        <f>VLOOKUP(C6740,Магазины!A:C,3,0)</f>
        <v>Ставрополь</v>
      </c>
      <c r="J6740">
        <f>VLOOKUP(D6740,Товары!A:I,4,0)</f>
        <v>25560</v>
      </c>
      <c r="K6740">
        <f t="shared" si="105"/>
        <v>76680</v>
      </c>
    </row>
    <row r="6741" spans="1:11" hidden="1" x14ac:dyDescent="0.25">
      <c r="A6741">
        <v>6740</v>
      </c>
      <c r="B6741" s="1">
        <v>45752</v>
      </c>
      <c r="C6741" t="s">
        <v>54</v>
      </c>
      <c r="D6741" t="s">
        <v>87</v>
      </c>
      <c r="E6741" t="s">
        <v>13</v>
      </c>
      <c r="F6741">
        <v>2</v>
      </c>
      <c r="G6741" t="str">
        <f>VLOOKUP(D6741,Товары!A:I,3,0)</f>
        <v>Тумба с раковиной  напол. Леон 700 форест 2 ящика с умыв. Слим</v>
      </c>
      <c r="H6741">
        <f>VLOOKUP(D6741,Товары!A:I,6,0)</f>
        <v>80</v>
      </c>
      <c r="I6741" t="str">
        <f>VLOOKUP(C6741,Магазины!A:C,3,0)</f>
        <v>Ставрополь</v>
      </c>
      <c r="J6741">
        <f>VLOOKUP(D6741,Товары!A:I,4,0)</f>
        <v>28380</v>
      </c>
      <c r="K6741">
        <f t="shared" si="105"/>
        <v>56760</v>
      </c>
    </row>
    <row r="6742" spans="1:11" hidden="1" x14ac:dyDescent="0.25">
      <c r="A6742">
        <v>6741</v>
      </c>
      <c r="B6742" s="1">
        <v>45748</v>
      </c>
      <c r="C6742" t="s">
        <v>20</v>
      </c>
      <c r="D6742" t="s">
        <v>83</v>
      </c>
      <c r="E6742" t="s">
        <v>13</v>
      </c>
      <c r="F6742">
        <v>1</v>
      </c>
      <c r="G6742" t="str">
        <f>VLOOKUP(D6742,Товары!A:I,3,0)</f>
        <v>Зеркальный шкаф Альба 60 со светильником правый цвет суфле</v>
      </c>
      <c r="H6742">
        <f>VLOOKUP(D6742,Товары!A:I,6,0)</f>
        <v>75</v>
      </c>
      <c r="I6742" t="str">
        <f>VLOOKUP(C6742,Магазины!A:C,3,0)</f>
        <v>Оренбург</v>
      </c>
      <c r="J6742">
        <f>VLOOKUP(D6742,Товары!A:I,4,0)</f>
        <v>8910</v>
      </c>
      <c r="K6742">
        <f t="shared" si="105"/>
        <v>8910</v>
      </c>
    </row>
    <row r="6743" spans="1:11" hidden="1" x14ac:dyDescent="0.25">
      <c r="A6743">
        <v>6742</v>
      </c>
      <c r="B6743" s="1">
        <v>45751</v>
      </c>
      <c r="C6743" t="s">
        <v>58</v>
      </c>
      <c r="D6743" t="s">
        <v>94</v>
      </c>
      <c r="E6743" t="s">
        <v>8</v>
      </c>
      <c r="F6743">
        <v>1</v>
      </c>
      <c r="G6743" t="str">
        <f>VLOOKUP(D6743,Товары!A:I,3,0)</f>
        <v>Зеркальный шкаф Альба 80 со светильником правый цвет антрацит</v>
      </c>
      <c r="H6743">
        <f>VLOOKUP(D6743,Товары!A:I,6,0)</f>
        <v>75</v>
      </c>
      <c r="I6743" t="str">
        <f>VLOOKUP(C6743,Магазины!A:C,3,0)</f>
        <v>Ставрополь</v>
      </c>
      <c r="J6743">
        <f>VLOOKUP(D6743,Товары!A:I,4,0)</f>
        <v>9930</v>
      </c>
      <c r="K6743">
        <f t="shared" si="105"/>
        <v>9930</v>
      </c>
    </row>
    <row r="6744" spans="1:11" hidden="1" x14ac:dyDescent="0.25">
      <c r="A6744">
        <v>6743</v>
      </c>
      <c r="B6744" s="1">
        <v>45751</v>
      </c>
      <c r="C6744" t="s">
        <v>35</v>
      </c>
      <c r="D6744" t="s">
        <v>100</v>
      </c>
      <c r="E6744" t="s">
        <v>13</v>
      </c>
      <c r="F6744">
        <v>2</v>
      </c>
      <c r="G6744" t="str">
        <f>VLOOKUP(D6744,Товары!A:I,3,0)</f>
        <v>Тумба с раковиной  навес. Альба 800 мята 1 ящик с умыв. Слим</v>
      </c>
      <c r="H6744">
        <f>VLOOKUP(D6744,Товары!A:I,6,0)</f>
        <v>45</v>
      </c>
      <c r="I6744" t="str">
        <f>VLOOKUP(C6744,Магазины!A:C,3,0)</f>
        <v>Набережные Челны</v>
      </c>
      <c r="J6744">
        <f>VLOOKUP(D6744,Товары!A:I,4,0)</f>
        <v>21630</v>
      </c>
      <c r="K6744">
        <f t="shared" si="105"/>
        <v>43260</v>
      </c>
    </row>
    <row r="6745" spans="1:11" hidden="1" x14ac:dyDescent="0.25">
      <c r="A6745">
        <v>6744</v>
      </c>
      <c r="B6745" s="1">
        <v>45754</v>
      </c>
      <c r="C6745" t="s">
        <v>20</v>
      </c>
      <c r="D6745" t="s">
        <v>99</v>
      </c>
      <c r="E6745" t="s">
        <v>8</v>
      </c>
      <c r="F6745">
        <v>2</v>
      </c>
      <c r="G6745" t="str">
        <f>VLOOKUP(D6745,Товары!A:I,3,0)</f>
        <v>Тумба с раковиной  навес. Леон 600 оникс 2 ящика с умыв. Слим</v>
      </c>
      <c r="H6745">
        <f>VLOOKUP(D6745,Товары!A:I,6,0)</f>
        <v>60</v>
      </c>
      <c r="I6745" t="str">
        <f>VLOOKUP(C6745,Магазины!A:C,3,0)</f>
        <v>Оренбург</v>
      </c>
      <c r="J6745">
        <f>VLOOKUP(D6745,Товары!A:I,4,0)</f>
        <v>25125</v>
      </c>
      <c r="K6745">
        <f t="shared" si="105"/>
        <v>50250</v>
      </c>
    </row>
    <row r="6746" spans="1:11" hidden="1" x14ac:dyDescent="0.25">
      <c r="A6746">
        <v>6745</v>
      </c>
      <c r="B6746" s="1">
        <v>45750</v>
      </c>
      <c r="C6746" t="s">
        <v>48</v>
      </c>
      <c r="D6746" t="s">
        <v>84</v>
      </c>
      <c r="E6746" t="s">
        <v>8</v>
      </c>
      <c r="F6746">
        <v>1</v>
      </c>
      <c r="G6746" t="str">
        <f>VLOOKUP(D6746,Товары!A:I,3,0)</f>
        <v>Тумба с раковиной  напол. Куба Риф 800 белый 3 двери с умыв. Слим</v>
      </c>
      <c r="H6746">
        <f>VLOOKUP(D6746,Товары!A:I,6,0)</f>
        <v>85</v>
      </c>
      <c r="I6746" t="str">
        <f>VLOOKUP(C6746,Магазины!A:C,3,0)</f>
        <v>Ставрополь</v>
      </c>
      <c r="J6746">
        <f>VLOOKUP(D6746,Товары!A:I,4,0)</f>
        <v>19920</v>
      </c>
      <c r="K6746">
        <f t="shared" si="105"/>
        <v>19920</v>
      </c>
    </row>
    <row r="6747" spans="1:11" hidden="1" x14ac:dyDescent="0.25">
      <c r="A6747">
        <v>6746</v>
      </c>
      <c r="B6747" s="1">
        <v>45753</v>
      </c>
      <c r="C6747" t="s">
        <v>103</v>
      </c>
      <c r="D6747" t="s">
        <v>67</v>
      </c>
      <c r="E6747" t="s">
        <v>13</v>
      </c>
      <c r="F6747">
        <v>3</v>
      </c>
      <c r="G6747" t="str">
        <f>VLOOKUP(D6747,Товары!A:I,3,0)</f>
        <v>Пенал навес./напол. Альба 350 суфле 2 двери</v>
      </c>
      <c r="H6747">
        <f>VLOOKUP(D6747,Товары!A:I,6,0)</f>
        <v>150</v>
      </c>
      <c r="I6747" t="str">
        <f>VLOOKUP(C6747,Магазины!A:C,3,0)</f>
        <v>Ставрополь</v>
      </c>
      <c r="J6747">
        <f>VLOOKUP(D6747,Товары!A:I,4,0)</f>
        <v>11655</v>
      </c>
      <c r="K6747">
        <f t="shared" si="105"/>
        <v>34965</v>
      </c>
    </row>
    <row r="6748" spans="1:11" hidden="1" x14ac:dyDescent="0.25">
      <c r="A6748">
        <v>6747</v>
      </c>
      <c r="B6748" s="1">
        <v>45748</v>
      </c>
      <c r="C6748" t="s">
        <v>41</v>
      </c>
      <c r="D6748" t="s">
        <v>121</v>
      </c>
      <c r="E6748" t="s">
        <v>13</v>
      </c>
      <c r="F6748">
        <v>1</v>
      </c>
      <c r="G6748" t="str">
        <f>VLOOKUP(D6748,Товары!A:I,3,0)</f>
        <v>Тумба с раковиной  напол. Куба Риф 600 белый 2 двери с умыв. Como</v>
      </c>
      <c r="H6748">
        <f>VLOOKUP(D6748,Товары!A:I,6,0)</f>
        <v>85</v>
      </c>
      <c r="I6748" t="str">
        <f>VLOOKUP(C6748,Магазины!A:C,3,0)</f>
        <v>Ставрополь</v>
      </c>
      <c r="J6748">
        <f>VLOOKUP(D6748,Товары!A:I,4,0)</f>
        <v>13695</v>
      </c>
      <c r="K6748">
        <f t="shared" si="105"/>
        <v>13695</v>
      </c>
    </row>
    <row r="6749" spans="1:11" hidden="1" x14ac:dyDescent="0.25">
      <c r="A6749">
        <v>6748</v>
      </c>
      <c r="B6749" s="1">
        <v>45749</v>
      </c>
      <c r="C6749" t="s">
        <v>28</v>
      </c>
      <c r="D6749" t="s">
        <v>32</v>
      </c>
      <c r="E6749" t="s">
        <v>8</v>
      </c>
      <c r="F6749">
        <v>3</v>
      </c>
      <c r="G6749" t="str">
        <f>VLOOKUP(D6749,Товары!A:I,3,0)</f>
        <v>Тумба с раковиной  напол. Леон Риф 700 солярис/белый риф 2 ящика с умыв. Слим</v>
      </c>
      <c r="H6749">
        <f>VLOOKUP(D6749,Товары!A:I,6,0)</f>
        <v>85</v>
      </c>
      <c r="I6749" t="str">
        <f>VLOOKUP(C6749,Магазины!A:C,3,0)</f>
        <v>Набережные Челны</v>
      </c>
      <c r="J6749">
        <f>VLOOKUP(D6749,Товары!A:I,4,0)</f>
        <v>26460</v>
      </c>
      <c r="K6749">
        <f t="shared" si="105"/>
        <v>79380</v>
      </c>
    </row>
    <row r="6750" spans="1:11" hidden="1" x14ac:dyDescent="0.25">
      <c r="A6750">
        <v>6749</v>
      </c>
      <c r="B6750" s="1">
        <v>45755</v>
      </c>
      <c r="C6750" t="s">
        <v>63</v>
      </c>
      <c r="D6750" t="s">
        <v>73</v>
      </c>
      <c r="E6750" t="s">
        <v>13</v>
      </c>
      <c r="F6750">
        <v>1</v>
      </c>
      <c r="G6750" t="str">
        <f>VLOOKUP(D6750,Товары!A:I,3,0)</f>
        <v>Зеркальный шкаф Альба 70 со светильником правый цвет антрацит</v>
      </c>
      <c r="H6750">
        <f>VLOOKUP(D6750,Товары!A:I,6,0)</f>
        <v>75</v>
      </c>
      <c r="I6750" t="str">
        <f>VLOOKUP(C6750,Магазины!A:C,3,0)</f>
        <v>Ставрополь</v>
      </c>
      <c r="J6750">
        <f>VLOOKUP(D6750,Товары!A:I,4,0)</f>
        <v>9615</v>
      </c>
      <c r="K6750">
        <f t="shared" si="105"/>
        <v>9615</v>
      </c>
    </row>
    <row r="6751" spans="1:11" hidden="1" x14ac:dyDescent="0.25">
      <c r="A6751">
        <v>6750</v>
      </c>
      <c r="B6751" s="1">
        <v>45753</v>
      </c>
      <c r="C6751" t="s">
        <v>41</v>
      </c>
      <c r="D6751" t="s">
        <v>129</v>
      </c>
      <c r="E6751" t="s">
        <v>13</v>
      </c>
      <c r="F6751">
        <v>3</v>
      </c>
      <c r="G6751" t="str">
        <f>VLOOKUP(D6751,Товары!A:I,3,0)</f>
        <v>Тумба с раковиной  напол. Альба 700 антрацит 2 ящика с умыв. Слим</v>
      </c>
      <c r="H6751">
        <f>VLOOKUP(D6751,Товары!A:I,6,0)</f>
        <v>85</v>
      </c>
      <c r="I6751" t="str">
        <f>VLOOKUP(C6751,Магазины!A:C,3,0)</f>
        <v>Ставрополь</v>
      </c>
      <c r="J6751">
        <f>VLOOKUP(D6751,Товары!A:I,4,0)</f>
        <v>28695</v>
      </c>
      <c r="K6751">
        <f t="shared" si="105"/>
        <v>86085</v>
      </c>
    </row>
    <row r="6752" spans="1:11" hidden="1" x14ac:dyDescent="0.25">
      <c r="A6752">
        <v>6751</v>
      </c>
      <c r="B6752" s="1">
        <v>45757</v>
      </c>
      <c r="C6752" t="s">
        <v>28</v>
      </c>
      <c r="D6752" t="s">
        <v>113</v>
      </c>
      <c r="E6752" t="s">
        <v>13</v>
      </c>
      <c r="F6752">
        <v>1</v>
      </c>
      <c r="G6752" t="str">
        <f>VLOOKUP(D6752,Товары!A:I,3,0)</f>
        <v>Зеркальный шкаф Альба 60 со светильником правый цвет мята</v>
      </c>
      <c r="H6752">
        <f>VLOOKUP(D6752,Товары!A:I,6,0)</f>
        <v>75</v>
      </c>
      <c r="I6752" t="str">
        <f>VLOOKUP(C6752,Магазины!A:C,3,0)</f>
        <v>Набережные Челны</v>
      </c>
      <c r="J6752">
        <f>VLOOKUP(D6752,Товары!A:I,4,0)</f>
        <v>8910</v>
      </c>
      <c r="K6752">
        <f t="shared" si="105"/>
        <v>8910</v>
      </c>
    </row>
    <row r="6753" spans="1:11" hidden="1" x14ac:dyDescent="0.25">
      <c r="A6753">
        <v>6752</v>
      </c>
      <c r="B6753" s="1">
        <v>45751</v>
      </c>
      <c r="C6753" t="s">
        <v>57</v>
      </c>
      <c r="D6753" t="s">
        <v>76</v>
      </c>
      <c r="E6753" t="s">
        <v>8</v>
      </c>
      <c r="F6753">
        <v>1</v>
      </c>
      <c r="G6753" t="str">
        <f>VLOOKUP(D6753,Товары!A:I,3,0)</f>
        <v>Тумба с раковиной  напол. Леон 600 оникс 2 ящика с умыв. Слим</v>
      </c>
      <c r="H6753">
        <f>VLOOKUP(D6753,Товары!A:I,6,0)</f>
        <v>80</v>
      </c>
      <c r="I6753" t="str">
        <f>VLOOKUP(C6753,Магазины!A:C,3,0)</f>
        <v>Оренбург</v>
      </c>
      <c r="J6753">
        <f>VLOOKUP(D6753,Товары!A:I,4,0)</f>
        <v>25860</v>
      </c>
      <c r="K6753">
        <f t="shared" si="105"/>
        <v>25860</v>
      </c>
    </row>
    <row r="6754" spans="1:11" hidden="1" x14ac:dyDescent="0.25">
      <c r="A6754">
        <v>6753</v>
      </c>
      <c r="B6754" s="1">
        <v>45756</v>
      </c>
      <c r="C6754" t="s">
        <v>43</v>
      </c>
      <c r="D6754" t="s">
        <v>76</v>
      </c>
      <c r="E6754" t="s">
        <v>13</v>
      </c>
      <c r="F6754">
        <v>1</v>
      </c>
      <c r="G6754" t="str">
        <f>VLOOKUP(D6754,Товары!A:I,3,0)</f>
        <v>Тумба с раковиной  напол. Леон 600 оникс 2 ящика с умыв. Слим</v>
      </c>
      <c r="H6754">
        <f>VLOOKUP(D6754,Товары!A:I,6,0)</f>
        <v>80</v>
      </c>
      <c r="I6754" t="str">
        <f>VLOOKUP(C6754,Магазины!A:C,3,0)</f>
        <v>Набережные Челны</v>
      </c>
      <c r="J6754">
        <f>VLOOKUP(D6754,Товары!A:I,4,0)</f>
        <v>25860</v>
      </c>
      <c r="K6754">
        <f t="shared" si="105"/>
        <v>25860</v>
      </c>
    </row>
    <row r="6755" spans="1:11" hidden="1" x14ac:dyDescent="0.25">
      <c r="A6755">
        <v>6754</v>
      </c>
      <c r="B6755" s="1">
        <v>45752</v>
      </c>
      <c r="C6755" t="s">
        <v>20</v>
      </c>
      <c r="D6755" t="s">
        <v>118</v>
      </c>
      <c r="E6755" t="s">
        <v>8</v>
      </c>
      <c r="F6755">
        <v>2</v>
      </c>
      <c r="G6755" t="str">
        <f>VLOOKUP(D6755,Товары!A:I,3,0)</f>
        <v>Тумба с раковиной  напол. Сохо 800 белый 2 ящика с умыв. Слим</v>
      </c>
      <c r="H6755">
        <f>VLOOKUP(D6755,Товары!A:I,6,0)</f>
        <v>85</v>
      </c>
      <c r="I6755" t="str">
        <f>VLOOKUP(C6755,Магазины!A:C,3,0)</f>
        <v>Оренбург</v>
      </c>
      <c r="J6755">
        <f>VLOOKUP(D6755,Товары!A:I,4,0)</f>
        <v>19575</v>
      </c>
      <c r="K6755">
        <f t="shared" si="105"/>
        <v>39150</v>
      </c>
    </row>
    <row r="6756" spans="1:11" hidden="1" x14ac:dyDescent="0.25">
      <c r="A6756">
        <v>6755</v>
      </c>
      <c r="B6756" s="1">
        <v>45753</v>
      </c>
      <c r="C6756" t="s">
        <v>48</v>
      </c>
      <c r="D6756" t="s">
        <v>40</v>
      </c>
      <c r="E6756" t="s">
        <v>8</v>
      </c>
      <c r="F6756">
        <v>3</v>
      </c>
      <c r="G6756" t="str">
        <f>VLOOKUP(D6756,Товары!A:I,3,0)</f>
        <v>Тумба с раковиной  навес. Рица 800 cерый/керамика 1 ящик + ниша 1 с умыв. Слим</v>
      </c>
      <c r="H6756">
        <f>VLOOKUP(D6756,Товары!A:I,6,0)</f>
        <v>60</v>
      </c>
      <c r="I6756" t="str">
        <f>VLOOKUP(C6756,Магазины!A:C,3,0)</f>
        <v>Ставрополь</v>
      </c>
      <c r="J6756">
        <f>VLOOKUP(D6756,Товары!A:I,4,0)</f>
        <v>22425</v>
      </c>
      <c r="K6756">
        <f t="shared" si="105"/>
        <v>67275</v>
      </c>
    </row>
    <row r="6757" spans="1:11" hidden="1" x14ac:dyDescent="0.25">
      <c r="A6757">
        <v>6756</v>
      </c>
      <c r="B6757" s="1">
        <v>45753</v>
      </c>
      <c r="C6757" t="s">
        <v>26</v>
      </c>
      <c r="D6757" t="s">
        <v>53</v>
      </c>
      <c r="E6757" t="s">
        <v>8</v>
      </c>
      <c r="F6757">
        <v>3</v>
      </c>
      <c r="G6757" t="str">
        <f>VLOOKUP(D6757,Товары!A:I,3,0)</f>
        <v>Тумба с раковиной  напол. Кристалл 600 шато азур 2 ящика с умыв. Океан</v>
      </c>
      <c r="H6757">
        <f>VLOOKUP(D6757,Товары!A:I,6,0)</f>
        <v>85</v>
      </c>
      <c r="I6757" t="str">
        <f>VLOOKUP(C6757,Магазины!A:C,3,0)</f>
        <v>Оренбург</v>
      </c>
      <c r="J6757">
        <f>VLOOKUP(D6757,Товары!A:I,4,0)</f>
        <v>27600</v>
      </c>
      <c r="K6757">
        <f t="shared" si="105"/>
        <v>82800</v>
      </c>
    </row>
    <row r="6758" spans="1:11" hidden="1" x14ac:dyDescent="0.25">
      <c r="A6758">
        <v>6757</v>
      </c>
      <c r="B6758" s="1">
        <v>45754</v>
      </c>
      <c r="C6758" t="s">
        <v>16</v>
      </c>
      <c r="D6758" t="s">
        <v>99</v>
      </c>
      <c r="E6758" t="s">
        <v>8</v>
      </c>
      <c r="F6758">
        <v>1</v>
      </c>
      <c r="G6758" t="str">
        <f>VLOOKUP(D6758,Товары!A:I,3,0)</f>
        <v>Тумба с раковиной  навес. Леон 600 оникс 2 ящика с умыв. Слим</v>
      </c>
      <c r="H6758">
        <f>VLOOKUP(D6758,Товары!A:I,6,0)</f>
        <v>60</v>
      </c>
      <c r="I6758" t="str">
        <f>VLOOKUP(C6758,Магазины!A:C,3,0)</f>
        <v>Оренбург</v>
      </c>
      <c r="J6758">
        <f>VLOOKUP(D6758,Товары!A:I,4,0)</f>
        <v>25125</v>
      </c>
      <c r="K6758">
        <f t="shared" si="105"/>
        <v>25125</v>
      </c>
    </row>
    <row r="6759" spans="1:11" hidden="1" x14ac:dyDescent="0.25">
      <c r="A6759">
        <v>6758</v>
      </c>
      <c r="B6759" s="1">
        <v>45748</v>
      </c>
      <c r="C6759" t="s">
        <v>63</v>
      </c>
      <c r="D6759" t="s">
        <v>70</v>
      </c>
      <c r="E6759" t="s">
        <v>8</v>
      </c>
      <c r="F6759">
        <v>1</v>
      </c>
      <c r="G6759" t="str">
        <f>VLOOKUP(D6759,Товары!A:I,3,0)</f>
        <v>Тумба с раковиной  напол. Кристалл 700 шато азур 2 ящика с умыв. Слим</v>
      </c>
      <c r="H6759">
        <f>VLOOKUP(D6759,Товары!A:I,6,0)</f>
        <v>85</v>
      </c>
      <c r="I6759" t="str">
        <f>VLOOKUP(C6759,Магазины!A:C,3,0)</f>
        <v>Ставрополь</v>
      </c>
      <c r="J6759">
        <f>VLOOKUP(D6759,Товары!A:I,4,0)</f>
        <v>29910</v>
      </c>
      <c r="K6759">
        <f t="shared" si="105"/>
        <v>29910</v>
      </c>
    </row>
    <row r="6760" spans="1:11" hidden="1" x14ac:dyDescent="0.25">
      <c r="A6760">
        <v>6759</v>
      </c>
      <c r="B6760" s="1">
        <v>45754</v>
      </c>
      <c r="C6760" t="s">
        <v>41</v>
      </c>
      <c r="D6760" t="s">
        <v>31</v>
      </c>
      <c r="E6760" t="s">
        <v>8</v>
      </c>
      <c r="F6760">
        <v>2</v>
      </c>
      <c r="G6760" t="str">
        <f>VLOOKUP(D6760,Товары!A:I,3,0)</f>
        <v>Пенал напол. Виктория 350 белый 2 двери</v>
      </c>
      <c r="H6760">
        <f>VLOOKUP(D6760,Товары!A:I,6,0)</f>
        <v>190</v>
      </c>
      <c r="I6760" t="str">
        <f>VLOOKUP(C6760,Магазины!A:C,3,0)</f>
        <v>Ставрополь</v>
      </c>
      <c r="J6760">
        <f>VLOOKUP(D6760,Товары!A:I,4,0)</f>
        <v>14085</v>
      </c>
      <c r="K6760">
        <f t="shared" si="105"/>
        <v>28170</v>
      </c>
    </row>
    <row r="6761" spans="1:11" hidden="1" x14ac:dyDescent="0.25">
      <c r="A6761">
        <v>6760</v>
      </c>
      <c r="B6761" s="1">
        <v>45752</v>
      </c>
      <c r="C6761" t="s">
        <v>20</v>
      </c>
      <c r="D6761" t="s">
        <v>100</v>
      </c>
      <c r="E6761" t="s">
        <v>13</v>
      </c>
      <c r="F6761">
        <v>1</v>
      </c>
      <c r="G6761" t="str">
        <f>VLOOKUP(D6761,Товары!A:I,3,0)</f>
        <v>Тумба с раковиной  навес. Альба 800 мята 1 ящик с умыв. Слим</v>
      </c>
      <c r="H6761">
        <f>VLOOKUP(D6761,Товары!A:I,6,0)</f>
        <v>45</v>
      </c>
      <c r="I6761" t="str">
        <f>VLOOKUP(C6761,Магазины!A:C,3,0)</f>
        <v>Оренбург</v>
      </c>
      <c r="J6761">
        <f>VLOOKUP(D6761,Товары!A:I,4,0)</f>
        <v>21630</v>
      </c>
      <c r="K6761">
        <f t="shared" si="105"/>
        <v>21630</v>
      </c>
    </row>
    <row r="6762" spans="1:11" hidden="1" x14ac:dyDescent="0.25">
      <c r="A6762">
        <v>6761</v>
      </c>
      <c r="B6762" s="1">
        <v>45755</v>
      </c>
      <c r="C6762" t="s">
        <v>63</v>
      </c>
      <c r="D6762" t="s">
        <v>65</v>
      </c>
      <c r="E6762" t="s">
        <v>8</v>
      </c>
      <c r="F6762">
        <v>2</v>
      </c>
      <c r="G6762" t="str">
        <f>VLOOKUP(D6762,Товары!A:I,3,0)</f>
        <v>Тумба с раковиной  навес. Альба 800 суфле 2 ящика с умыв. Слим</v>
      </c>
      <c r="H6762">
        <f>VLOOKUP(D6762,Товары!A:I,6,0)</f>
        <v>50</v>
      </c>
      <c r="I6762" t="str">
        <f>VLOOKUP(C6762,Магазины!A:C,3,0)</f>
        <v>Ставрополь</v>
      </c>
      <c r="J6762">
        <f>VLOOKUP(D6762,Товары!A:I,4,0)</f>
        <v>26070</v>
      </c>
      <c r="K6762">
        <f t="shared" si="105"/>
        <v>52140</v>
      </c>
    </row>
    <row r="6763" spans="1:11" hidden="1" x14ac:dyDescent="0.25">
      <c r="A6763">
        <v>6762</v>
      </c>
      <c r="B6763" s="1">
        <v>45753</v>
      </c>
      <c r="C6763" t="s">
        <v>28</v>
      </c>
      <c r="D6763" t="s">
        <v>75</v>
      </c>
      <c r="E6763" t="s">
        <v>13</v>
      </c>
      <c r="F6763">
        <v>1</v>
      </c>
      <c r="G6763" t="str">
        <f>VLOOKUP(D6763,Товары!A:I,3,0)</f>
        <v>Тумба с раковиной  напол. Альба 600 суфле 2 ящика с умыв. Океан</v>
      </c>
      <c r="H6763">
        <f>VLOOKUP(D6763,Товары!A:I,6,0)</f>
        <v>80</v>
      </c>
      <c r="I6763" t="str">
        <f>VLOOKUP(C6763,Магазины!A:C,3,0)</f>
        <v>Набережные Челны</v>
      </c>
      <c r="J6763">
        <f>VLOOKUP(D6763,Товары!A:I,4,0)</f>
        <v>26370</v>
      </c>
      <c r="K6763">
        <f t="shared" si="105"/>
        <v>26370</v>
      </c>
    </row>
    <row r="6764" spans="1:11" hidden="1" x14ac:dyDescent="0.25">
      <c r="A6764">
        <v>6763</v>
      </c>
      <c r="B6764" s="1">
        <v>45752</v>
      </c>
      <c r="C6764" t="s">
        <v>14</v>
      </c>
      <c r="D6764" t="s">
        <v>90</v>
      </c>
      <c r="E6764" t="s">
        <v>13</v>
      </c>
      <c r="F6764">
        <v>3</v>
      </c>
      <c r="G6764" t="str">
        <f>VLOOKUP(D6764,Товары!A:I,3,0)</f>
        <v>Пенал напол. Аква 350 белый 2 двери + 2 ящика</v>
      </c>
      <c r="H6764">
        <f>VLOOKUP(D6764,Товары!A:I,6,0)</f>
        <v>190</v>
      </c>
      <c r="I6764" t="str">
        <f>VLOOKUP(C6764,Магазины!A:C,3,0)</f>
        <v>Оренбург</v>
      </c>
      <c r="J6764">
        <f>VLOOKUP(D6764,Товары!A:I,4,0)</f>
        <v>10650</v>
      </c>
      <c r="K6764">
        <f t="shared" si="105"/>
        <v>31950</v>
      </c>
    </row>
    <row r="6765" spans="1:11" hidden="1" x14ac:dyDescent="0.25">
      <c r="A6765">
        <v>6764</v>
      </c>
      <c r="B6765" s="1">
        <v>45757</v>
      </c>
      <c r="C6765" t="s">
        <v>18</v>
      </c>
      <c r="D6765" t="s">
        <v>89</v>
      </c>
      <c r="E6765" t="s">
        <v>13</v>
      </c>
      <c r="F6765">
        <v>2</v>
      </c>
      <c r="G6765" t="str">
        <f>VLOOKUP(D6765,Товары!A:I,3,0)</f>
        <v>Тумба с раковиной  напол. Сохо 600 белый 2 двери с умыв. Океан</v>
      </c>
      <c r="H6765">
        <f>VLOOKUP(D6765,Товары!A:I,6,0)</f>
        <v>85</v>
      </c>
      <c r="I6765" t="str">
        <f>VLOOKUP(C6765,Магазины!A:C,3,0)</f>
        <v>Набережные Челны</v>
      </c>
      <c r="J6765">
        <f>VLOOKUP(D6765,Товары!A:I,4,0)</f>
        <v>14880</v>
      </c>
      <c r="K6765">
        <f t="shared" si="105"/>
        <v>29760</v>
      </c>
    </row>
    <row r="6766" spans="1:11" hidden="1" x14ac:dyDescent="0.25">
      <c r="A6766">
        <v>6765</v>
      </c>
      <c r="B6766" s="1">
        <v>45750</v>
      </c>
      <c r="C6766" t="s">
        <v>33</v>
      </c>
      <c r="D6766" t="s">
        <v>104</v>
      </c>
      <c r="E6766" t="s">
        <v>8</v>
      </c>
      <c r="F6766">
        <v>1</v>
      </c>
      <c r="G6766" t="str">
        <f>VLOOKUP(D6766,Товары!A:I,3,0)</f>
        <v>Тумба под стиральную машину Куба Риф 57 подвесная 2 ящика под ст/маш, без умывальника /под Marshall 120 Белый</v>
      </c>
      <c r="H6766">
        <f>VLOOKUP(D6766,Товары!A:I,6,0)</f>
        <v>50</v>
      </c>
      <c r="I6766" t="str">
        <f>VLOOKUP(C6766,Магазины!A:C,3,0)</f>
        <v>Набережные Челны</v>
      </c>
      <c r="J6766">
        <f>VLOOKUP(D6766,Товары!A:I,4,0)</f>
        <v>8505</v>
      </c>
      <c r="K6766">
        <f t="shared" si="105"/>
        <v>8505</v>
      </c>
    </row>
    <row r="6767" spans="1:11" hidden="1" x14ac:dyDescent="0.25">
      <c r="A6767">
        <v>6766</v>
      </c>
      <c r="B6767" s="1">
        <v>45753</v>
      </c>
      <c r="C6767" t="s">
        <v>22</v>
      </c>
      <c r="D6767" t="s">
        <v>98</v>
      </c>
      <c r="E6767" t="s">
        <v>8</v>
      </c>
      <c r="F6767">
        <v>1</v>
      </c>
      <c r="G6767" t="str">
        <f>VLOOKUP(D6767,Товары!A:I,3,0)</f>
        <v>Тумба с раковиной  напол. Рица 800 cерый/керамика 2 ящика с умыв. Слим</v>
      </c>
      <c r="H6767">
        <f>VLOOKUP(D6767,Товары!A:I,6,0)</f>
        <v>80</v>
      </c>
      <c r="I6767" t="str">
        <f>VLOOKUP(C6767,Магазины!A:C,3,0)</f>
        <v>Кемерово</v>
      </c>
      <c r="J6767">
        <f>VLOOKUP(D6767,Товары!A:I,4,0)</f>
        <v>28980</v>
      </c>
      <c r="K6767">
        <f t="shared" si="105"/>
        <v>28980</v>
      </c>
    </row>
    <row r="6768" spans="1:11" hidden="1" x14ac:dyDescent="0.25">
      <c r="A6768">
        <v>6767</v>
      </c>
      <c r="B6768" s="1">
        <v>45752</v>
      </c>
      <c r="C6768" t="s">
        <v>58</v>
      </c>
      <c r="D6768" t="s">
        <v>126</v>
      </c>
      <c r="E6768" t="s">
        <v>13</v>
      </c>
      <c r="F6768">
        <v>2</v>
      </c>
      <c r="G6768" t="str">
        <f>VLOOKUP(D6768,Товары!A:I,3,0)</f>
        <v>Тумба с раковиной  напол. Кристалл 800 шато азур 2 ящика с умыв. Комфорт</v>
      </c>
      <c r="H6768">
        <f>VLOOKUP(D6768,Товары!A:I,6,0)</f>
        <v>85</v>
      </c>
      <c r="I6768" t="str">
        <f>VLOOKUP(C6768,Магазины!A:C,3,0)</f>
        <v>Ставрополь</v>
      </c>
      <c r="J6768">
        <f>VLOOKUP(D6768,Товары!A:I,4,0)</f>
        <v>31125</v>
      </c>
      <c r="K6768">
        <f t="shared" si="105"/>
        <v>62250</v>
      </c>
    </row>
    <row r="6769" spans="1:11" hidden="1" x14ac:dyDescent="0.25">
      <c r="A6769">
        <v>6768</v>
      </c>
      <c r="B6769" s="1">
        <v>45757</v>
      </c>
      <c r="C6769" t="s">
        <v>33</v>
      </c>
      <c r="D6769" t="s">
        <v>87</v>
      </c>
      <c r="E6769" t="s">
        <v>8</v>
      </c>
      <c r="F6769">
        <v>2</v>
      </c>
      <c r="G6769" t="str">
        <f>VLOOKUP(D6769,Товары!A:I,3,0)</f>
        <v>Тумба с раковиной  напол. Леон 700 форест 2 ящика с умыв. Слим</v>
      </c>
      <c r="H6769">
        <f>VLOOKUP(D6769,Товары!A:I,6,0)</f>
        <v>80</v>
      </c>
      <c r="I6769" t="str">
        <f>VLOOKUP(C6769,Магазины!A:C,3,0)</f>
        <v>Набережные Челны</v>
      </c>
      <c r="J6769">
        <f>VLOOKUP(D6769,Товары!A:I,4,0)</f>
        <v>28380</v>
      </c>
      <c r="K6769">
        <f t="shared" si="105"/>
        <v>56760</v>
      </c>
    </row>
    <row r="6770" spans="1:11" hidden="1" x14ac:dyDescent="0.25">
      <c r="A6770">
        <v>6769</v>
      </c>
      <c r="B6770" s="1">
        <v>45752</v>
      </c>
      <c r="C6770" t="s">
        <v>22</v>
      </c>
      <c r="D6770" t="s">
        <v>83</v>
      </c>
      <c r="E6770" t="s">
        <v>13</v>
      </c>
      <c r="F6770">
        <v>1</v>
      </c>
      <c r="G6770" t="str">
        <f>VLOOKUP(D6770,Товары!A:I,3,0)</f>
        <v>Зеркальный шкаф Альба 60 со светильником правый цвет суфле</v>
      </c>
      <c r="H6770">
        <f>VLOOKUP(D6770,Товары!A:I,6,0)</f>
        <v>75</v>
      </c>
      <c r="I6770" t="str">
        <f>VLOOKUP(C6770,Магазины!A:C,3,0)</f>
        <v>Кемерово</v>
      </c>
      <c r="J6770">
        <f>VLOOKUP(D6770,Товары!A:I,4,0)</f>
        <v>8910</v>
      </c>
      <c r="K6770">
        <f t="shared" si="105"/>
        <v>8910</v>
      </c>
    </row>
    <row r="6771" spans="1:11" hidden="1" x14ac:dyDescent="0.25">
      <c r="A6771">
        <v>6770</v>
      </c>
      <c r="B6771" s="1">
        <v>45751</v>
      </c>
      <c r="C6771" t="s">
        <v>18</v>
      </c>
      <c r="D6771" t="s">
        <v>49</v>
      </c>
      <c r="E6771" t="s">
        <v>8</v>
      </c>
      <c r="F6771">
        <v>3</v>
      </c>
      <c r="G6771" t="str">
        <f>VLOOKUP(D6771,Товары!A:I,3,0)</f>
        <v>Тумба с раковиной  напол. Леон 700 оникс 2 ящика с умыв. Слим</v>
      </c>
      <c r="H6771">
        <f>VLOOKUP(D6771,Товары!A:I,6,0)</f>
        <v>80</v>
      </c>
      <c r="I6771" t="str">
        <f>VLOOKUP(C6771,Магазины!A:C,3,0)</f>
        <v>Набережные Челны</v>
      </c>
      <c r="J6771">
        <f>VLOOKUP(D6771,Товары!A:I,4,0)</f>
        <v>28380</v>
      </c>
      <c r="K6771">
        <f t="shared" si="105"/>
        <v>85140</v>
      </c>
    </row>
    <row r="6772" spans="1:11" hidden="1" x14ac:dyDescent="0.25">
      <c r="A6772">
        <v>6771</v>
      </c>
      <c r="B6772" s="1">
        <v>45751</v>
      </c>
      <c r="C6772" t="s">
        <v>54</v>
      </c>
      <c r="D6772" t="s">
        <v>85</v>
      </c>
      <c r="E6772" t="s">
        <v>13</v>
      </c>
      <c r="F6772">
        <v>2</v>
      </c>
      <c r="G6772" t="str">
        <f>VLOOKUP(D6772,Товары!A:I,3,0)</f>
        <v>Пенал напол. Аква 450 белый 2 двери + 2 ящика + корзина</v>
      </c>
      <c r="H6772">
        <f>VLOOKUP(D6772,Товары!A:I,6,0)</f>
        <v>190</v>
      </c>
      <c r="I6772" t="str">
        <f>VLOOKUP(C6772,Магазины!A:C,3,0)</f>
        <v>Ставрополь</v>
      </c>
      <c r="J6772">
        <f>VLOOKUP(D6772,Товары!A:I,4,0)</f>
        <v>13335</v>
      </c>
      <c r="K6772">
        <f t="shared" si="105"/>
        <v>26670</v>
      </c>
    </row>
    <row r="6773" spans="1:11" hidden="1" x14ac:dyDescent="0.25">
      <c r="A6773">
        <v>6772</v>
      </c>
      <c r="B6773" s="1">
        <v>45753</v>
      </c>
      <c r="C6773" t="s">
        <v>9</v>
      </c>
      <c r="D6773" t="s">
        <v>79</v>
      </c>
      <c r="E6773" t="s">
        <v>8</v>
      </c>
      <c r="F6773">
        <v>2</v>
      </c>
      <c r="G6773" t="str">
        <f>VLOOKUP(D6773,Товары!A:I,3,0)</f>
        <v>Зеркальный шкаф Альба 70 со светильником правый цвет мята</v>
      </c>
      <c r="H6773">
        <f>VLOOKUP(D6773,Товары!A:I,6,0)</f>
        <v>75</v>
      </c>
      <c r="I6773" t="str">
        <f>VLOOKUP(C6773,Магазины!A:C,3,0)</f>
        <v>Кемерово</v>
      </c>
      <c r="J6773">
        <f>VLOOKUP(D6773,Товары!A:I,4,0)</f>
        <v>9615</v>
      </c>
      <c r="K6773">
        <f t="shared" si="105"/>
        <v>19230</v>
      </c>
    </row>
    <row r="6774" spans="1:11" hidden="1" x14ac:dyDescent="0.25">
      <c r="A6774">
        <v>6773</v>
      </c>
      <c r="B6774" s="1">
        <v>45757</v>
      </c>
      <c r="C6774" t="s">
        <v>11</v>
      </c>
      <c r="D6774" t="s">
        <v>129</v>
      </c>
      <c r="E6774" t="s">
        <v>13</v>
      </c>
      <c r="F6774">
        <v>3</v>
      </c>
      <c r="G6774" t="str">
        <f>VLOOKUP(D6774,Товары!A:I,3,0)</f>
        <v>Тумба с раковиной  напол. Альба 700 антрацит 2 ящика с умыв. Слим</v>
      </c>
      <c r="H6774">
        <f>VLOOKUP(D6774,Товары!A:I,6,0)</f>
        <v>85</v>
      </c>
      <c r="I6774" t="str">
        <f>VLOOKUP(C6774,Магазины!A:C,3,0)</f>
        <v>Кемерово</v>
      </c>
      <c r="J6774">
        <f>VLOOKUP(D6774,Товары!A:I,4,0)</f>
        <v>28695</v>
      </c>
      <c r="K6774">
        <f t="shared" si="105"/>
        <v>86085</v>
      </c>
    </row>
    <row r="6775" spans="1:11" hidden="1" x14ac:dyDescent="0.25">
      <c r="A6775">
        <v>6774</v>
      </c>
      <c r="B6775" s="1">
        <v>45756</v>
      </c>
      <c r="C6775" t="s">
        <v>54</v>
      </c>
      <c r="D6775" t="s">
        <v>80</v>
      </c>
      <c r="E6775" t="s">
        <v>8</v>
      </c>
      <c r="F6775">
        <v>3</v>
      </c>
      <c r="G6775" t="str">
        <f>VLOOKUP(D6775,Товары!A:I,3,0)</f>
        <v>Тумба с раковиной  навес. Сохо 600 белый 2 ящика с умыв. Океан</v>
      </c>
      <c r="H6775">
        <f>VLOOKUP(D6775,Товары!A:I,6,0)</f>
        <v>55</v>
      </c>
      <c r="I6775" t="str">
        <f>VLOOKUP(C6775,Магазины!A:C,3,0)</f>
        <v>Ставрополь</v>
      </c>
      <c r="J6775">
        <f>VLOOKUP(D6775,Товары!A:I,4,0)</f>
        <v>13950</v>
      </c>
      <c r="K6775">
        <f t="shared" si="105"/>
        <v>41850</v>
      </c>
    </row>
    <row r="6776" spans="1:11" hidden="1" x14ac:dyDescent="0.25">
      <c r="A6776">
        <v>6775</v>
      </c>
      <c r="B6776" s="1">
        <v>45750</v>
      </c>
      <c r="C6776" t="s">
        <v>22</v>
      </c>
      <c r="D6776" t="s">
        <v>113</v>
      </c>
      <c r="E6776" t="s">
        <v>8</v>
      </c>
      <c r="F6776">
        <v>2</v>
      </c>
      <c r="G6776" t="str">
        <f>VLOOKUP(D6776,Товары!A:I,3,0)</f>
        <v>Зеркальный шкаф Альба 60 со светильником правый цвет мята</v>
      </c>
      <c r="H6776">
        <f>VLOOKUP(D6776,Товары!A:I,6,0)</f>
        <v>75</v>
      </c>
      <c r="I6776" t="str">
        <f>VLOOKUP(C6776,Магазины!A:C,3,0)</f>
        <v>Кемерово</v>
      </c>
      <c r="J6776">
        <f>VLOOKUP(D6776,Товары!A:I,4,0)</f>
        <v>8910</v>
      </c>
      <c r="K6776">
        <f t="shared" si="105"/>
        <v>17820</v>
      </c>
    </row>
    <row r="6777" spans="1:11" hidden="1" x14ac:dyDescent="0.25">
      <c r="A6777">
        <v>6776</v>
      </c>
      <c r="B6777" s="1">
        <v>45753</v>
      </c>
      <c r="C6777" t="s">
        <v>30</v>
      </c>
      <c r="D6777" t="s">
        <v>55</v>
      </c>
      <c r="E6777" t="s">
        <v>8</v>
      </c>
      <c r="F6777">
        <v>2</v>
      </c>
      <c r="G6777" t="str">
        <f>VLOOKUP(D6777,Товары!A:I,3,0)</f>
        <v>Тумба с раковиной  напол. Рица 600 cерый/керамика 2 ящика с умыв. Океан</v>
      </c>
      <c r="H6777">
        <f>VLOOKUP(D6777,Товары!A:I,6,0)</f>
        <v>80</v>
      </c>
      <c r="I6777" t="str">
        <f>VLOOKUP(C6777,Магазины!A:C,3,0)</f>
        <v>Кемерово</v>
      </c>
      <c r="J6777">
        <f>VLOOKUP(D6777,Товары!A:I,4,0)</f>
        <v>25560</v>
      </c>
      <c r="K6777">
        <f t="shared" si="105"/>
        <v>51120</v>
      </c>
    </row>
    <row r="6778" spans="1:11" hidden="1" x14ac:dyDescent="0.25">
      <c r="A6778">
        <v>6777</v>
      </c>
      <c r="B6778" s="1">
        <v>45748</v>
      </c>
      <c r="C6778" t="s">
        <v>111</v>
      </c>
      <c r="D6778" t="s">
        <v>47</v>
      </c>
      <c r="E6778" t="s">
        <v>8</v>
      </c>
      <c r="F6778">
        <v>3</v>
      </c>
      <c r="G6778" t="str">
        <f>VLOOKUP(D6778,Товары!A:I,3,0)</f>
        <v>Пенал напол. Кристалл 350 шато азур 2 двери</v>
      </c>
      <c r="H6778">
        <f>VLOOKUP(D6778,Товары!A:I,6,0)</f>
        <v>190</v>
      </c>
      <c r="I6778" t="str">
        <f>VLOOKUP(C6778,Магазины!A:C,3,0)</f>
        <v>Набережные Челны</v>
      </c>
      <c r="J6778">
        <f>VLOOKUP(D6778,Товары!A:I,4,0)</f>
        <v>15810</v>
      </c>
      <c r="K6778">
        <f t="shared" si="105"/>
        <v>47430</v>
      </c>
    </row>
    <row r="6779" spans="1:11" hidden="1" x14ac:dyDescent="0.25">
      <c r="A6779">
        <v>6778</v>
      </c>
      <c r="B6779" s="1">
        <v>45752</v>
      </c>
      <c r="C6779" t="s">
        <v>30</v>
      </c>
      <c r="D6779" t="s">
        <v>59</v>
      </c>
      <c r="E6779" t="s">
        <v>13</v>
      </c>
      <c r="F6779">
        <v>3</v>
      </c>
      <c r="G6779" t="str">
        <f>VLOOKUP(D6779,Товары!A:I,3,0)</f>
        <v>Тумба с раковиной  навес. Куба Риф 600 белый 2 ящика с умыв. Океан</v>
      </c>
      <c r="H6779">
        <f>VLOOKUP(D6779,Товары!A:I,6,0)</f>
        <v>55</v>
      </c>
      <c r="I6779" t="str">
        <f>VLOOKUP(C6779,Магазины!A:C,3,0)</f>
        <v>Кемерово</v>
      </c>
      <c r="J6779">
        <f>VLOOKUP(D6779,Товары!A:I,4,0)</f>
        <v>15765</v>
      </c>
      <c r="K6779">
        <f t="shared" si="105"/>
        <v>47295</v>
      </c>
    </row>
    <row r="6780" spans="1:11" hidden="1" x14ac:dyDescent="0.25">
      <c r="A6780">
        <v>6779</v>
      </c>
      <c r="B6780" s="1">
        <v>45752</v>
      </c>
      <c r="C6780" t="s">
        <v>11</v>
      </c>
      <c r="D6780" t="s">
        <v>90</v>
      </c>
      <c r="E6780" t="s">
        <v>8</v>
      </c>
      <c r="F6780">
        <v>2</v>
      </c>
      <c r="G6780" t="str">
        <f>VLOOKUP(D6780,Товары!A:I,3,0)</f>
        <v>Пенал напол. Аква 350 белый 2 двери + 2 ящика</v>
      </c>
      <c r="H6780">
        <f>VLOOKUP(D6780,Товары!A:I,6,0)</f>
        <v>190</v>
      </c>
      <c r="I6780" t="str">
        <f>VLOOKUP(C6780,Магазины!A:C,3,0)</f>
        <v>Кемерово</v>
      </c>
      <c r="J6780">
        <f>VLOOKUP(D6780,Товары!A:I,4,0)</f>
        <v>10650</v>
      </c>
      <c r="K6780">
        <f t="shared" si="105"/>
        <v>21300</v>
      </c>
    </row>
    <row r="6781" spans="1:11" hidden="1" x14ac:dyDescent="0.25">
      <c r="A6781">
        <v>6780</v>
      </c>
      <c r="B6781" s="1">
        <v>45751</v>
      </c>
      <c r="C6781" t="s">
        <v>63</v>
      </c>
      <c r="D6781" t="s">
        <v>40</v>
      </c>
      <c r="E6781" t="s">
        <v>13</v>
      </c>
      <c r="F6781">
        <v>2</v>
      </c>
      <c r="G6781" t="str">
        <f>VLOOKUP(D6781,Товары!A:I,3,0)</f>
        <v>Тумба с раковиной  навес. Рица 800 cерый/керамика 1 ящик + ниша 1 с умыв. Слим</v>
      </c>
      <c r="H6781">
        <f>VLOOKUP(D6781,Товары!A:I,6,0)</f>
        <v>60</v>
      </c>
      <c r="I6781" t="str">
        <f>VLOOKUP(C6781,Магазины!A:C,3,0)</f>
        <v>Ставрополь</v>
      </c>
      <c r="J6781">
        <f>VLOOKUP(D6781,Товары!A:I,4,0)</f>
        <v>22425</v>
      </c>
      <c r="K6781">
        <f t="shared" si="105"/>
        <v>44850</v>
      </c>
    </row>
    <row r="6782" spans="1:11" hidden="1" x14ac:dyDescent="0.25">
      <c r="A6782">
        <v>6781</v>
      </c>
      <c r="B6782" s="1">
        <v>45757</v>
      </c>
      <c r="C6782" t="s">
        <v>57</v>
      </c>
      <c r="D6782" t="s">
        <v>44</v>
      </c>
      <c r="E6782" t="s">
        <v>8</v>
      </c>
      <c r="F6782">
        <v>2</v>
      </c>
      <c r="G6782" t="str">
        <f>VLOOKUP(D6782,Товары!A:I,3,0)</f>
        <v>Тумба с раковиной  навес. Кристалл 800 шато азур 2 ящика с умыв. Комфорт</v>
      </c>
      <c r="H6782">
        <f>VLOOKUP(D6782,Товары!A:I,6,0)</f>
        <v>55</v>
      </c>
      <c r="I6782" t="str">
        <f>VLOOKUP(C6782,Магазины!A:C,3,0)</f>
        <v>Оренбург</v>
      </c>
      <c r="J6782">
        <f>VLOOKUP(D6782,Товары!A:I,4,0)</f>
        <v>25080</v>
      </c>
      <c r="K6782">
        <f t="shared" si="105"/>
        <v>50160</v>
      </c>
    </row>
    <row r="6783" spans="1:11" hidden="1" x14ac:dyDescent="0.25">
      <c r="A6783">
        <v>6782</v>
      </c>
      <c r="B6783" s="1">
        <v>45753</v>
      </c>
      <c r="C6783" t="s">
        <v>35</v>
      </c>
      <c r="D6783" t="s">
        <v>113</v>
      </c>
      <c r="E6783" t="s">
        <v>8</v>
      </c>
      <c r="F6783">
        <v>2</v>
      </c>
      <c r="G6783" t="str">
        <f>VLOOKUP(D6783,Товары!A:I,3,0)</f>
        <v>Зеркальный шкаф Альба 60 со светильником правый цвет мята</v>
      </c>
      <c r="H6783">
        <f>VLOOKUP(D6783,Товары!A:I,6,0)</f>
        <v>75</v>
      </c>
      <c r="I6783" t="str">
        <f>VLOOKUP(C6783,Магазины!A:C,3,0)</f>
        <v>Набережные Челны</v>
      </c>
      <c r="J6783">
        <f>VLOOKUP(D6783,Товары!A:I,4,0)</f>
        <v>8910</v>
      </c>
      <c r="K6783">
        <f t="shared" si="105"/>
        <v>17820</v>
      </c>
    </row>
    <row r="6784" spans="1:11" hidden="1" x14ac:dyDescent="0.25">
      <c r="A6784">
        <v>6783</v>
      </c>
      <c r="B6784" s="1">
        <v>45749</v>
      </c>
      <c r="C6784" t="s">
        <v>63</v>
      </c>
      <c r="D6784" t="s">
        <v>31</v>
      </c>
      <c r="E6784" t="s">
        <v>8</v>
      </c>
      <c r="F6784">
        <v>1</v>
      </c>
      <c r="G6784" t="str">
        <f>VLOOKUP(D6784,Товары!A:I,3,0)</f>
        <v>Пенал напол. Виктория 350 белый 2 двери</v>
      </c>
      <c r="H6784">
        <f>VLOOKUP(D6784,Товары!A:I,6,0)</f>
        <v>190</v>
      </c>
      <c r="I6784" t="str">
        <f>VLOOKUP(C6784,Магазины!A:C,3,0)</f>
        <v>Ставрополь</v>
      </c>
      <c r="J6784">
        <f>VLOOKUP(D6784,Товары!A:I,4,0)</f>
        <v>14085</v>
      </c>
      <c r="K6784">
        <f t="shared" si="105"/>
        <v>14085</v>
      </c>
    </row>
    <row r="6785" spans="1:11" hidden="1" x14ac:dyDescent="0.25">
      <c r="A6785">
        <v>6784</v>
      </c>
      <c r="B6785" s="1">
        <v>45753</v>
      </c>
      <c r="C6785" t="s">
        <v>48</v>
      </c>
      <c r="D6785" t="s">
        <v>117</v>
      </c>
      <c r="E6785" t="s">
        <v>8</v>
      </c>
      <c r="F6785">
        <v>1</v>
      </c>
      <c r="G6785" t="str">
        <f>VLOOKUP(D6785,Товары!A:I,3,0)</f>
        <v>Тумба с раковиной  навес. Альба 700 антрацит 2 ящика с умыв. Слим</v>
      </c>
      <c r="H6785">
        <f>VLOOKUP(D6785,Товары!A:I,6,0)</f>
        <v>60</v>
      </c>
      <c r="I6785" t="str">
        <f>VLOOKUP(C6785,Магазины!A:C,3,0)</f>
        <v>Ставрополь</v>
      </c>
      <c r="J6785">
        <f>VLOOKUP(D6785,Товары!A:I,4,0)</f>
        <v>25095</v>
      </c>
      <c r="K6785">
        <f t="shared" si="105"/>
        <v>25095</v>
      </c>
    </row>
    <row r="6786" spans="1:11" hidden="1" x14ac:dyDescent="0.25">
      <c r="A6786">
        <v>6785</v>
      </c>
      <c r="B6786" s="1">
        <v>45751</v>
      </c>
      <c r="C6786" t="s">
        <v>35</v>
      </c>
      <c r="D6786" t="s">
        <v>76</v>
      </c>
      <c r="E6786" t="s">
        <v>13</v>
      </c>
      <c r="F6786">
        <v>3</v>
      </c>
      <c r="G6786" t="str">
        <f>VLOOKUP(D6786,Товары!A:I,3,0)</f>
        <v>Тумба с раковиной  напол. Леон 600 оникс 2 ящика с умыв. Слим</v>
      </c>
      <c r="H6786">
        <f>VLOOKUP(D6786,Товары!A:I,6,0)</f>
        <v>80</v>
      </c>
      <c r="I6786" t="str">
        <f>VLOOKUP(C6786,Магазины!A:C,3,0)</f>
        <v>Набережные Челны</v>
      </c>
      <c r="J6786">
        <f>VLOOKUP(D6786,Товары!A:I,4,0)</f>
        <v>25860</v>
      </c>
      <c r="K6786">
        <f t="shared" si="105"/>
        <v>77580</v>
      </c>
    </row>
    <row r="6787" spans="1:11" hidden="1" x14ac:dyDescent="0.25">
      <c r="A6787">
        <v>6786</v>
      </c>
      <c r="B6787" s="1">
        <v>45755</v>
      </c>
      <c r="C6787" t="s">
        <v>9</v>
      </c>
      <c r="D6787" t="s">
        <v>37</v>
      </c>
      <c r="E6787" t="s">
        <v>8</v>
      </c>
      <c r="F6787">
        <v>3</v>
      </c>
      <c r="G6787" t="str">
        <f>VLOOKUP(D6787,Товары!A:I,3,0)</f>
        <v>Зеркальный шкаф Сохо 70 белый со светильником правый цвет Белый глянец</v>
      </c>
      <c r="H6787">
        <f>VLOOKUP(D6787,Товары!A:I,6,0)</f>
        <v>75</v>
      </c>
      <c r="I6787" t="str">
        <f>VLOOKUP(C6787,Магазины!A:C,3,0)</f>
        <v>Кемерово</v>
      </c>
      <c r="J6787">
        <f>VLOOKUP(D6787,Товары!A:I,4,0)</f>
        <v>7935</v>
      </c>
      <c r="K6787">
        <f t="shared" ref="K6787:K6850" si="106">J6787*F6787</f>
        <v>23805</v>
      </c>
    </row>
    <row r="6788" spans="1:11" hidden="1" x14ac:dyDescent="0.25">
      <c r="A6788">
        <v>6787</v>
      </c>
      <c r="B6788" s="1">
        <v>45749</v>
      </c>
      <c r="C6788" t="s">
        <v>28</v>
      </c>
      <c r="D6788" t="s">
        <v>109</v>
      </c>
      <c r="E6788" t="s">
        <v>13</v>
      </c>
      <c r="F6788">
        <v>2</v>
      </c>
      <c r="G6788" t="str">
        <f>VLOOKUP(D6788,Товары!A:I,3,0)</f>
        <v>Тумба с раковиной  навес. Альба 600 антрацит 2 ящика с умыв. Океан</v>
      </c>
      <c r="H6788">
        <f>VLOOKUP(D6788,Товары!A:I,6,0)</f>
        <v>50</v>
      </c>
      <c r="I6788" t="str">
        <f>VLOOKUP(C6788,Магазины!A:C,3,0)</f>
        <v>Набережные Челны</v>
      </c>
      <c r="J6788">
        <f>VLOOKUP(D6788,Товары!A:I,4,0)</f>
        <v>24810</v>
      </c>
      <c r="K6788">
        <f t="shared" si="106"/>
        <v>49620</v>
      </c>
    </row>
    <row r="6789" spans="1:11" hidden="1" x14ac:dyDescent="0.25">
      <c r="A6789">
        <v>6788</v>
      </c>
      <c r="B6789" s="1">
        <v>45753</v>
      </c>
      <c r="C6789" t="s">
        <v>16</v>
      </c>
      <c r="D6789" t="s">
        <v>86</v>
      </c>
      <c r="E6789" t="s">
        <v>13</v>
      </c>
      <c r="F6789">
        <v>1</v>
      </c>
      <c r="G6789" t="str">
        <f>VLOOKUP(D6789,Товары!A:I,3,0)</f>
        <v>Комод Аква 50 напольный 1 ящик 2 двери белый</v>
      </c>
      <c r="H6789">
        <f>VLOOKUP(D6789,Товары!A:I,6,0)</f>
        <v>90</v>
      </c>
      <c r="I6789" t="str">
        <f>VLOOKUP(C6789,Магазины!A:C,3,0)</f>
        <v>Оренбург</v>
      </c>
      <c r="J6789">
        <f>VLOOKUP(D6789,Товары!A:I,4,0)</f>
        <v>7260</v>
      </c>
      <c r="K6789">
        <f t="shared" si="106"/>
        <v>7260</v>
      </c>
    </row>
    <row r="6790" spans="1:11" hidden="1" x14ac:dyDescent="0.25">
      <c r="A6790">
        <v>6789</v>
      </c>
      <c r="B6790" s="1">
        <v>45757</v>
      </c>
      <c r="C6790" t="s">
        <v>6</v>
      </c>
      <c r="D6790" t="s">
        <v>91</v>
      </c>
      <c r="E6790" t="s">
        <v>8</v>
      </c>
      <c r="F6790">
        <v>2</v>
      </c>
      <c r="G6790" t="str">
        <f>VLOOKUP(D6790,Товары!A:I,3,0)</f>
        <v>Пенал навес./напол. Альба 350 мята 2 двери</v>
      </c>
      <c r="H6790">
        <f>VLOOKUP(D6790,Товары!A:I,6,0)</f>
        <v>150</v>
      </c>
      <c r="I6790" t="str">
        <f>VLOOKUP(C6790,Магазины!A:C,3,0)</f>
        <v>Оренбург</v>
      </c>
      <c r="J6790">
        <f>VLOOKUP(D6790,Товары!A:I,4,0)</f>
        <v>11655</v>
      </c>
      <c r="K6790">
        <f t="shared" si="106"/>
        <v>23310</v>
      </c>
    </row>
    <row r="6791" spans="1:11" hidden="1" x14ac:dyDescent="0.25">
      <c r="A6791">
        <v>6790</v>
      </c>
      <c r="B6791" s="1">
        <v>45748</v>
      </c>
      <c r="C6791" t="s">
        <v>16</v>
      </c>
      <c r="D6791" t="s">
        <v>67</v>
      </c>
      <c r="E6791" t="s">
        <v>13</v>
      </c>
      <c r="F6791">
        <v>2</v>
      </c>
      <c r="G6791" t="str">
        <f>VLOOKUP(D6791,Товары!A:I,3,0)</f>
        <v>Пенал навес./напол. Альба 350 суфле 2 двери</v>
      </c>
      <c r="H6791">
        <f>VLOOKUP(D6791,Товары!A:I,6,0)</f>
        <v>150</v>
      </c>
      <c r="I6791" t="str">
        <f>VLOOKUP(C6791,Магазины!A:C,3,0)</f>
        <v>Оренбург</v>
      </c>
      <c r="J6791">
        <f>VLOOKUP(D6791,Товары!A:I,4,0)</f>
        <v>11655</v>
      </c>
      <c r="K6791">
        <f t="shared" si="106"/>
        <v>23310</v>
      </c>
    </row>
    <row r="6792" spans="1:11" hidden="1" x14ac:dyDescent="0.25">
      <c r="A6792">
        <v>6791</v>
      </c>
      <c r="B6792" s="1">
        <v>45755</v>
      </c>
      <c r="C6792" t="s">
        <v>111</v>
      </c>
      <c r="D6792" t="s">
        <v>19</v>
      </c>
      <c r="E6792" t="s">
        <v>8</v>
      </c>
      <c r="F6792">
        <v>3</v>
      </c>
      <c r="G6792" t="str">
        <f>VLOOKUP(D6792,Товары!A:I,3,0)</f>
        <v>Тумба с раковиной  навес. Леон 800 оникс 2 ящика с умыв. Слим</v>
      </c>
      <c r="H6792">
        <f>VLOOKUP(D6792,Товары!A:I,6,0)</f>
        <v>60</v>
      </c>
      <c r="I6792" t="str">
        <f>VLOOKUP(C6792,Магазины!A:C,3,0)</f>
        <v>Набережные Челны</v>
      </c>
      <c r="J6792">
        <f>VLOOKUP(D6792,Товары!A:I,4,0)</f>
        <v>27930</v>
      </c>
      <c r="K6792">
        <f t="shared" si="106"/>
        <v>83790</v>
      </c>
    </row>
    <row r="6793" spans="1:11" hidden="1" x14ac:dyDescent="0.25">
      <c r="A6793">
        <v>6792</v>
      </c>
      <c r="B6793" s="1">
        <v>45749</v>
      </c>
      <c r="C6793" t="s">
        <v>28</v>
      </c>
      <c r="D6793" t="s">
        <v>89</v>
      </c>
      <c r="E6793" t="s">
        <v>8</v>
      </c>
      <c r="F6793">
        <v>2</v>
      </c>
      <c r="G6793" t="str">
        <f>VLOOKUP(D6793,Товары!A:I,3,0)</f>
        <v>Тумба с раковиной  напол. Сохо 600 белый 2 двери с умыв. Океан</v>
      </c>
      <c r="H6793">
        <f>VLOOKUP(D6793,Товары!A:I,6,0)</f>
        <v>85</v>
      </c>
      <c r="I6793" t="str">
        <f>VLOOKUP(C6793,Магазины!A:C,3,0)</f>
        <v>Набережные Челны</v>
      </c>
      <c r="J6793">
        <f>VLOOKUP(D6793,Товары!A:I,4,0)</f>
        <v>14880</v>
      </c>
      <c r="K6793">
        <f t="shared" si="106"/>
        <v>29760</v>
      </c>
    </row>
    <row r="6794" spans="1:11" hidden="1" x14ac:dyDescent="0.25">
      <c r="A6794">
        <v>6793</v>
      </c>
      <c r="B6794" s="1">
        <v>45757</v>
      </c>
      <c r="C6794" t="s">
        <v>58</v>
      </c>
      <c r="D6794" t="s">
        <v>99</v>
      </c>
      <c r="E6794" t="s">
        <v>8</v>
      </c>
      <c r="F6794">
        <v>3</v>
      </c>
      <c r="G6794" t="str">
        <f>VLOOKUP(D6794,Товары!A:I,3,0)</f>
        <v>Тумба с раковиной  навес. Леон 600 оникс 2 ящика с умыв. Слим</v>
      </c>
      <c r="H6794">
        <f>VLOOKUP(D6794,Товары!A:I,6,0)</f>
        <v>60</v>
      </c>
      <c r="I6794" t="str">
        <f>VLOOKUP(C6794,Магазины!A:C,3,0)</f>
        <v>Ставрополь</v>
      </c>
      <c r="J6794">
        <f>VLOOKUP(D6794,Товары!A:I,4,0)</f>
        <v>25125</v>
      </c>
      <c r="K6794">
        <f t="shared" si="106"/>
        <v>75375</v>
      </c>
    </row>
    <row r="6795" spans="1:11" hidden="1" x14ac:dyDescent="0.25">
      <c r="A6795">
        <v>6794</v>
      </c>
      <c r="B6795" s="1">
        <v>45756</v>
      </c>
      <c r="C6795" t="s">
        <v>35</v>
      </c>
      <c r="D6795" t="s">
        <v>46</v>
      </c>
      <c r="E6795" t="s">
        <v>8</v>
      </c>
      <c r="F6795">
        <v>1</v>
      </c>
      <c r="G6795" t="str">
        <f>VLOOKUP(D6795,Товары!A:I,3,0)</f>
        <v>Тумба с раковиной  напол. Сохо 700 белый 2 ящика с умыв. Слим</v>
      </c>
      <c r="H6795">
        <f>VLOOKUP(D6795,Товары!A:I,6,0)</f>
        <v>85</v>
      </c>
      <c r="I6795" t="str">
        <f>VLOOKUP(C6795,Магазины!A:C,3,0)</f>
        <v>Набережные Челны</v>
      </c>
      <c r="J6795">
        <f>VLOOKUP(D6795,Товары!A:I,4,0)</f>
        <v>18405</v>
      </c>
      <c r="K6795">
        <f t="shared" si="106"/>
        <v>18405</v>
      </c>
    </row>
    <row r="6796" spans="1:11" hidden="1" x14ac:dyDescent="0.25">
      <c r="A6796">
        <v>6795</v>
      </c>
      <c r="B6796" s="1">
        <v>45753</v>
      </c>
      <c r="C6796" t="s">
        <v>48</v>
      </c>
      <c r="D6796" t="s">
        <v>119</v>
      </c>
      <c r="E6796" t="s">
        <v>8</v>
      </c>
      <c r="F6796">
        <v>1</v>
      </c>
      <c r="G6796" t="str">
        <f>VLOOKUP(D6796,Товары!A:I,3,0)</f>
        <v>Пенал навес./напол. Рица 350 cерый/керамика 2 двери</v>
      </c>
      <c r="H6796">
        <f>VLOOKUP(D6796,Товары!A:I,6,0)</f>
        <v>160</v>
      </c>
      <c r="I6796" t="str">
        <f>VLOOKUP(C6796,Магазины!A:C,3,0)</f>
        <v>Ставрополь</v>
      </c>
      <c r="J6796">
        <f>VLOOKUP(D6796,Товары!A:I,4,0)</f>
        <v>11250</v>
      </c>
      <c r="K6796">
        <f t="shared" si="106"/>
        <v>11250</v>
      </c>
    </row>
    <row r="6797" spans="1:11" hidden="1" x14ac:dyDescent="0.25">
      <c r="A6797">
        <v>6796</v>
      </c>
      <c r="B6797" s="1">
        <v>45754</v>
      </c>
      <c r="C6797" t="s">
        <v>41</v>
      </c>
      <c r="D6797" t="s">
        <v>93</v>
      </c>
      <c r="E6797" t="s">
        <v>13</v>
      </c>
      <c r="F6797">
        <v>1</v>
      </c>
      <c r="G6797" t="str">
        <f>VLOOKUP(D6797,Товары!A:I,3,0)</f>
        <v>Тумба с раковиной  напол. Леон Риф 800 солярис/белый риф 2 ящика с умыв. Слим</v>
      </c>
      <c r="H6797">
        <f>VLOOKUP(D6797,Товары!A:I,6,0)</f>
        <v>80</v>
      </c>
      <c r="I6797" t="str">
        <f>VLOOKUP(C6797,Магазины!A:C,3,0)</f>
        <v>Ставрополь</v>
      </c>
      <c r="J6797">
        <f>VLOOKUP(D6797,Товары!A:I,4,0)</f>
        <v>29340</v>
      </c>
      <c r="K6797">
        <f t="shared" si="106"/>
        <v>29340</v>
      </c>
    </row>
    <row r="6798" spans="1:11" hidden="1" x14ac:dyDescent="0.25">
      <c r="A6798">
        <v>6797</v>
      </c>
      <c r="B6798" s="1">
        <v>45753</v>
      </c>
      <c r="C6798" t="s">
        <v>11</v>
      </c>
      <c r="D6798" t="s">
        <v>120</v>
      </c>
      <c r="E6798" t="s">
        <v>13</v>
      </c>
      <c r="F6798">
        <v>2</v>
      </c>
      <c r="G6798" t="str">
        <f>VLOOKUP(D6798,Товары!A:I,3,0)</f>
        <v>Зеркальный шкаф Альба 60 со светильником правый цвет антрацит</v>
      </c>
      <c r="H6798">
        <f>VLOOKUP(D6798,Товары!A:I,6,0)</f>
        <v>75</v>
      </c>
      <c r="I6798" t="str">
        <f>VLOOKUP(C6798,Магазины!A:C,3,0)</f>
        <v>Кемерово</v>
      </c>
      <c r="J6798">
        <f>VLOOKUP(D6798,Товары!A:I,4,0)</f>
        <v>8910</v>
      </c>
      <c r="K6798">
        <f t="shared" si="106"/>
        <v>17820</v>
      </c>
    </row>
    <row r="6799" spans="1:11" hidden="1" x14ac:dyDescent="0.25">
      <c r="A6799">
        <v>6798</v>
      </c>
      <c r="B6799" s="1">
        <v>45753</v>
      </c>
      <c r="C6799" t="s">
        <v>28</v>
      </c>
      <c r="D6799" t="s">
        <v>19</v>
      </c>
      <c r="E6799" t="s">
        <v>8</v>
      </c>
      <c r="F6799">
        <v>1</v>
      </c>
      <c r="G6799" t="str">
        <f>VLOOKUP(D6799,Товары!A:I,3,0)</f>
        <v>Тумба с раковиной  навес. Леон 800 оникс 2 ящика с умыв. Слим</v>
      </c>
      <c r="H6799">
        <f>VLOOKUP(D6799,Товары!A:I,6,0)</f>
        <v>60</v>
      </c>
      <c r="I6799" t="str">
        <f>VLOOKUP(C6799,Магазины!A:C,3,0)</f>
        <v>Набережные Челны</v>
      </c>
      <c r="J6799">
        <f>VLOOKUP(D6799,Товары!A:I,4,0)</f>
        <v>27930</v>
      </c>
      <c r="K6799">
        <f t="shared" si="106"/>
        <v>27930</v>
      </c>
    </row>
    <row r="6800" spans="1:11" hidden="1" x14ac:dyDescent="0.25">
      <c r="A6800">
        <v>6799</v>
      </c>
      <c r="B6800" s="1">
        <v>45749</v>
      </c>
      <c r="C6800" t="s">
        <v>16</v>
      </c>
      <c r="D6800" t="s">
        <v>93</v>
      </c>
      <c r="E6800" t="s">
        <v>8</v>
      </c>
      <c r="F6800">
        <v>3</v>
      </c>
      <c r="G6800" t="str">
        <f>VLOOKUP(D6800,Товары!A:I,3,0)</f>
        <v>Тумба с раковиной  напол. Леон Риф 800 солярис/белый риф 2 ящика с умыв. Слим</v>
      </c>
      <c r="H6800">
        <f>VLOOKUP(D6800,Товары!A:I,6,0)</f>
        <v>80</v>
      </c>
      <c r="I6800" t="str">
        <f>VLOOKUP(C6800,Магазины!A:C,3,0)</f>
        <v>Оренбург</v>
      </c>
      <c r="J6800">
        <f>VLOOKUP(D6800,Товары!A:I,4,0)</f>
        <v>29340</v>
      </c>
      <c r="K6800">
        <f t="shared" si="106"/>
        <v>88020</v>
      </c>
    </row>
    <row r="6801" spans="1:11" hidden="1" x14ac:dyDescent="0.25">
      <c r="A6801">
        <v>6800</v>
      </c>
      <c r="B6801" s="1">
        <v>45751</v>
      </c>
      <c r="C6801" t="s">
        <v>20</v>
      </c>
      <c r="D6801" t="s">
        <v>61</v>
      </c>
      <c r="E6801" t="s">
        <v>13</v>
      </c>
      <c r="F6801">
        <v>1</v>
      </c>
      <c r="G6801" t="str">
        <f>VLOOKUP(D6801,Товары!A:I,3,0)</f>
        <v>Тумба под стиральную машину Леон Риф 57 напольная 2 ящика под ст/маш, без умывальника /под Marshall 120 Солярис/Белый Риф</v>
      </c>
      <c r="H6801">
        <f>VLOOKUP(D6801,Товары!A:I,6,0)</f>
        <v>85</v>
      </c>
      <c r="I6801" t="str">
        <f>VLOOKUP(C6801,Магазины!A:C,3,0)</f>
        <v>Оренбург</v>
      </c>
      <c r="J6801">
        <f>VLOOKUP(D6801,Товары!A:I,4,0)</f>
        <v>17430</v>
      </c>
      <c r="K6801">
        <f t="shared" si="106"/>
        <v>17430</v>
      </c>
    </row>
    <row r="6802" spans="1:11" hidden="1" x14ac:dyDescent="0.25">
      <c r="A6802">
        <v>6801</v>
      </c>
      <c r="B6802" s="1">
        <v>45748</v>
      </c>
      <c r="C6802" t="s">
        <v>43</v>
      </c>
      <c r="D6802" t="s">
        <v>45</v>
      </c>
      <c r="E6802" t="s">
        <v>13</v>
      </c>
      <c r="F6802">
        <v>2</v>
      </c>
      <c r="G6802" t="str">
        <f>VLOOKUP(D6802,Товары!A:I,3,0)</f>
        <v>Зеркальный шкаф Рица 80 со светильником правый цвет cерый/керамика</v>
      </c>
      <c r="H6802">
        <f>VLOOKUP(D6802,Товары!A:I,6,0)</f>
        <v>75</v>
      </c>
      <c r="I6802" t="str">
        <f>VLOOKUP(C6802,Магазины!A:C,3,0)</f>
        <v>Набережные Челны</v>
      </c>
      <c r="J6802">
        <f>VLOOKUP(D6802,Товары!A:I,4,0)</f>
        <v>9930</v>
      </c>
      <c r="K6802">
        <f t="shared" si="106"/>
        <v>19860</v>
      </c>
    </row>
    <row r="6803" spans="1:11" hidden="1" x14ac:dyDescent="0.25">
      <c r="A6803">
        <v>6802</v>
      </c>
      <c r="B6803" s="1">
        <v>45749</v>
      </c>
      <c r="C6803" t="s">
        <v>28</v>
      </c>
      <c r="D6803" t="s">
        <v>68</v>
      </c>
      <c r="E6803" t="s">
        <v>8</v>
      </c>
      <c r="F6803">
        <v>3</v>
      </c>
      <c r="G6803" t="str">
        <f>VLOOKUP(D6803,Товары!A:I,3,0)</f>
        <v>Тумба с раковиной  навес. Альба 600 антрацит 1 ящик с умыв. Океан</v>
      </c>
      <c r="H6803">
        <f>VLOOKUP(D6803,Товары!A:I,6,0)</f>
        <v>85</v>
      </c>
      <c r="I6803" t="str">
        <f>VLOOKUP(C6803,Магазины!A:C,3,0)</f>
        <v>Набережные Челны</v>
      </c>
      <c r="J6803">
        <f>VLOOKUP(D6803,Товары!A:I,4,0)</f>
        <v>17625</v>
      </c>
      <c r="K6803">
        <f t="shared" si="106"/>
        <v>52875</v>
      </c>
    </row>
    <row r="6804" spans="1:11" hidden="1" x14ac:dyDescent="0.25">
      <c r="A6804">
        <v>6803</v>
      </c>
      <c r="B6804" s="1">
        <v>45753</v>
      </c>
      <c r="C6804" t="s">
        <v>111</v>
      </c>
      <c r="D6804" t="s">
        <v>40</v>
      </c>
      <c r="E6804" t="s">
        <v>8</v>
      </c>
      <c r="F6804">
        <v>2</v>
      </c>
      <c r="G6804" t="str">
        <f>VLOOKUP(D6804,Товары!A:I,3,0)</f>
        <v>Тумба с раковиной  навес. Рица 800 cерый/керамика 1 ящик + ниша 1 с умыв. Слим</v>
      </c>
      <c r="H6804">
        <f>VLOOKUP(D6804,Товары!A:I,6,0)</f>
        <v>60</v>
      </c>
      <c r="I6804" t="str">
        <f>VLOOKUP(C6804,Магазины!A:C,3,0)</f>
        <v>Набережные Челны</v>
      </c>
      <c r="J6804">
        <f>VLOOKUP(D6804,Товары!A:I,4,0)</f>
        <v>22425</v>
      </c>
      <c r="K6804">
        <f t="shared" si="106"/>
        <v>44850</v>
      </c>
    </row>
    <row r="6805" spans="1:11" hidden="1" x14ac:dyDescent="0.25">
      <c r="A6805">
        <v>6804</v>
      </c>
      <c r="B6805" s="1">
        <v>45757</v>
      </c>
      <c r="C6805" t="s">
        <v>35</v>
      </c>
      <c r="D6805" t="s">
        <v>120</v>
      </c>
      <c r="E6805" t="s">
        <v>13</v>
      </c>
      <c r="F6805">
        <v>2</v>
      </c>
      <c r="G6805" t="str">
        <f>VLOOKUP(D6805,Товары!A:I,3,0)</f>
        <v>Зеркальный шкаф Альба 60 со светильником правый цвет антрацит</v>
      </c>
      <c r="H6805">
        <f>VLOOKUP(D6805,Товары!A:I,6,0)</f>
        <v>75</v>
      </c>
      <c r="I6805" t="str">
        <f>VLOOKUP(C6805,Магазины!A:C,3,0)</f>
        <v>Набережные Челны</v>
      </c>
      <c r="J6805">
        <f>VLOOKUP(D6805,Товары!A:I,4,0)</f>
        <v>8910</v>
      </c>
      <c r="K6805">
        <f t="shared" si="106"/>
        <v>17820</v>
      </c>
    </row>
    <row r="6806" spans="1:11" hidden="1" x14ac:dyDescent="0.25">
      <c r="A6806">
        <v>6805</v>
      </c>
      <c r="B6806" s="1">
        <v>45752</v>
      </c>
      <c r="C6806" t="s">
        <v>11</v>
      </c>
      <c r="D6806" t="s">
        <v>99</v>
      </c>
      <c r="E6806" t="s">
        <v>8</v>
      </c>
      <c r="F6806">
        <v>3</v>
      </c>
      <c r="G6806" t="str">
        <f>VLOOKUP(D6806,Товары!A:I,3,0)</f>
        <v>Тумба с раковиной  навес. Леон 600 оникс 2 ящика с умыв. Слим</v>
      </c>
      <c r="H6806">
        <f>VLOOKUP(D6806,Товары!A:I,6,0)</f>
        <v>60</v>
      </c>
      <c r="I6806" t="str">
        <f>VLOOKUP(C6806,Магазины!A:C,3,0)</f>
        <v>Кемерово</v>
      </c>
      <c r="J6806">
        <f>VLOOKUP(D6806,Товары!A:I,4,0)</f>
        <v>25125</v>
      </c>
      <c r="K6806">
        <f t="shared" si="106"/>
        <v>75375</v>
      </c>
    </row>
    <row r="6807" spans="1:11" hidden="1" x14ac:dyDescent="0.25">
      <c r="A6807">
        <v>6806</v>
      </c>
      <c r="B6807" s="1">
        <v>45756</v>
      </c>
      <c r="C6807" t="s">
        <v>92</v>
      </c>
      <c r="D6807" t="s">
        <v>37</v>
      </c>
      <c r="E6807" t="s">
        <v>8</v>
      </c>
      <c r="F6807">
        <v>1</v>
      </c>
      <c r="G6807" t="str">
        <f>VLOOKUP(D6807,Товары!A:I,3,0)</f>
        <v>Зеркальный шкаф Сохо 70 белый со светильником правый цвет Белый глянец</v>
      </c>
      <c r="H6807">
        <f>VLOOKUP(D6807,Товары!A:I,6,0)</f>
        <v>75</v>
      </c>
      <c r="I6807" t="str">
        <f>VLOOKUP(C6807,Магазины!A:C,3,0)</f>
        <v>Кемерово</v>
      </c>
      <c r="J6807">
        <f>VLOOKUP(D6807,Товары!A:I,4,0)</f>
        <v>7935</v>
      </c>
      <c r="K6807">
        <f t="shared" si="106"/>
        <v>7935</v>
      </c>
    </row>
    <row r="6808" spans="1:11" hidden="1" x14ac:dyDescent="0.25">
      <c r="A6808">
        <v>6807</v>
      </c>
      <c r="B6808" s="1">
        <v>45751</v>
      </c>
      <c r="C6808" t="s">
        <v>20</v>
      </c>
      <c r="D6808" t="s">
        <v>94</v>
      </c>
      <c r="E6808" t="s">
        <v>13</v>
      </c>
      <c r="F6808">
        <v>1</v>
      </c>
      <c r="G6808" t="str">
        <f>VLOOKUP(D6808,Товары!A:I,3,0)</f>
        <v>Зеркальный шкаф Альба 80 со светильником правый цвет антрацит</v>
      </c>
      <c r="H6808">
        <f>VLOOKUP(D6808,Товары!A:I,6,0)</f>
        <v>75</v>
      </c>
      <c r="I6808" t="str">
        <f>VLOOKUP(C6808,Магазины!A:C,3,0)</f>
        <v>Оренбург</v>
      </c>
      <c r="J6808">
        <f>VLOOKUP(D6808,Товары!A:I,4,0)</f>
        <v>9930</v>
      </c>
      <c r="K6808">
        <f t="shared" si="106"/>
        <v>9930</v>
      </c>
    </row>
    <row r="6809" spans="1:11" hidden="1" x14ac:dyDescent="0.25">
      <c r="A6809">
        <v>6808</v>
      </c>
      <c r="B6809" s="1">
        <v>45753</v>
      </c>
      <c r="C6809" t="s">
        <v>26</v>
      </c>
      <c r="D6809" t="s">
        <v>110</v>
      </c>
      <c r="E6809" t="s">
        <v>8</v>
      </c>
      <c r="F6809">
        <v>2</v>
      </c>
      <c r="G6809" t="str">
        <f>VLOOKUP(D6809,Товары!A:I,3,0)</f>
        <v>Тумба с раковиной  напол. Альба 600 антрацит 2 ящика с умыв. Океан</v>
      </c>
      <c r="H6809">
        <f>VLOOKUP(D6809,Товары!A:I,6,0)</f>
        <v>80</v>
      </c>
      <c r="I6809" t="str">
        <f>VLOOKUP(C6809,Магазины!A:C,3,0)</f>
        <v>Оренбург</v>
      </c>
      <c r="J6809">
        <f>VLOOKUP(D6809,Товары!A:I,4,0)</f>
        <v>26370</v>
      </c>
      <c r="K6809">
        <f t="shared" si="106"/>
        <v>52740</v>
      </c>
    </row>
    <row r="6810" spans="1:11" hidden="1" x14ac:dyDescent="0.25">
      <c r="A6810">
        <v>6809</v>
      </c>
      <c r="B6810" s="1">
        <v>45755</v>
      </c>
      <c r="C6810" t="s">
        <v>57</v>
      </c>
      <c r="D6810" t="s">
        <v>7</v>
      </c>
      <c r="E6810" t="s">
        <v>13</v>
      </c>
      <c r="F6810">
        <v>1</v>
      </c>
      <c r="G6810" t="str">
        <f>VLOOKUP(D6810,Товары!A:I,3,0)</f>
        <v>Пенал напол. Леон Риф 400 солярис/белый риф 2 двери + 1 ящик</v>
      </c>
      <c r="H6810">
        <f>VLOOKUP(D6810,Товары!A:I,6,0)</f>
        <v>190</v>
      </c>
      <c r="I6810" t="str">
        <f>VLOOKUP(C6810,Магазины!A:C,3,0)</f>
        <v>Оренбург</v>
      </c>
      <c r="J6810">
        <f>VLOOKUP(D6810,Товары!A:I,4,0)</f>
        <v>14490</v>
      </c>
      <c r="K6810">
        <f t="shared" si="106"/>
        <v>14490</v>
      </c>
    </row>
    <row r="6811" spans="1:11" hidden="1" x14ac:dyDescent="0.25">
      <c r="A6811">
        <v>6810</v>
      </c>
      <c r="B6811" s="1">
        <v>45750</v>
      </c>
      <c r="C6811" t="s">
        <v>43</v>
      </c>
      <c r="D6811" t="s">
        <v>116</v>
      </c>
      <c r="E6811" t="s">
        <v>13</v>
      </c>
      <c r="F6811">
        <v>3</v>
      </c>
      <c r="G6811" t="str">
        <f>VLOOKUP(D6811,Товары!A:I,3,0)</f>
        <v>Зеркало Нева 60 дуб/белый со светильником</v>
      </c>
      <c r="H6811">
        <f>VLOOKUP(D6811,Товары!A:I,6,0)</f>
        <v>80</v>
      </c>
      <c r="I6811" t="str">
        <f>VLOOKUP(C6811,Магазины!A:C,3,0)</f>
        <v>Набережные Челны</v>
      </c>
      <c r="J6811">
        <f>VLOOKUP(D6811,Товары!A:I,4,0)</f>
        <v>5100</v>
      </c>
      <c r="K6811">
        <f t="shared" si="106"/>
        <v>15300</v>
      </c>
    </row>
    <row r="6812" spans="1:11" hidden="1" x14ac:dyDescent="0.25">
      <c r="A6812">
        <v>6811</v>
      </c>
      <c r="B6812" s="1">
        <v>45750</v>
      </c>
      <c r="C6812" t="s">
        <v>58</v>
      </c>
      <c r="D6812" t="s">
        <v>72</v>
      </c>
      <c r="E6812" t="s">
        <v>13</v>
      </c>
      <c r="F6812">
        <v>2</v>
      </c>
      <c r="G6812" t="str">
        <f>VLOOKUP(D6812,Товары!A:I,3,0)</f>
        <v>Тумба с раковиной  напол. Сохо 600 белый 2 ящика с умыв. Океан</v>
      </c>
      <c r="H6812">
        <f>VLOOKUP(D6812,Товары!A:I,6,0)</f>
        <v>85</v>
      </c>
      <c r="I6812" t="str">
        <f>VLOOKUP(C6812,Магазины!A:C,3,0)</f>
        <v>Ставрополь</v>
      </c>
      <c r="J6812">
        <f>VLOOKUP(D6812,Товары!A:I,4,0)</f>
        <v>16140</v>
      </c>
      <c r="K6812">
        <f t="shared" si="106"/>
        <v>32280</v>
      </c>
    </row>
    <row r="6813" spans="1:11" hidden="1" x14ac:dyDescent="0.25">
      <c r="A6813">
        <v>6812</v>
      </c>
      <c r="B6813" s="1">
        <v>45757</v>
      </c>
      <c r="C6813" t="s">
        <v>26</v>
      </c>
      <c r="D6813" t="s">
        <v>121</v>
      </c>
      <c r="E6813" t="s">
        <v>8</v>
      </c>
      <c r="F6813">
        <v>1</v>
      </c>
      <c r="G6813" t="str">
        <f>VLOOKUP(D6813,Товары!A:I,3,0)</f>
        <v>Тумба с раковиной  напол. Куба Риф 600 белый 2 двери с умыв. Como</v>
      </c>
      <c r="H6813">
        <f>VLOOKUP(D6813,Товары!A:I,6,0)</f>
        <v>85</v>
      </c>
      <c r="I6813" t="str">
        <f>VLOOKUP(C6813,Магазины!A:C,3,0)</f>
        <v>Оренбург</v>
      </c>
      <c r="J6813">
        <f>VLOOKUP(D6813,Товары!A:I,4,0)</f>
        <v>13695</v>
      </c>
      <c r="K6813">
        <f t="shared" si="106"/>
        <v>13695</v>
      </c>
    </row>
    <row r="6814" spans="1:11" hidden="1" x14ac:dyDescent="0.25">
      <c r="A6814">
        <v>6813</v>
      </c>
      <c r="B6814" s="1">
        <v>45749</v>
      </c>
      <c r="C6814" t="s">
        <v>22</v>
      </c>
      <c r="D6814" t="s">
        <v>45</v>
      </c>
      <c r="E6814" t="s">
        <v>13</v>
      </c>
      <c r="F6814">
        <v>2</v>
      </c>
      <c r="G6814" t="str">
        <f>VLOOKUP(D6814,Товары!A:I,3,0)</f>
        <v>Зеркальный шкаф Рица 80 со светильником правый цвет cерый/керамика</v>
      </c>
      <c r="H6814">
        <f>VLOOKUP(D6814,Товары!A:I,6,0)</f>
        <v>75</v>
      </c>
      <c r="I6814" t="str">
        <f>VLOOKUP(C6814,Магазины!A:C,3,0)</f>
        <v>Кемерово</v>
      </c>
      <c r="J6814">
        <f>VLOOKUP(D6814,Товары!A:I,4,0)</f>
        <v>9930</v>
      </c>
      <c r="K6814">
        <f t="shared" si="106"/>
        <v>19860</v>
      </c>
    </row>
    <row r="6815" spans="1:11" hidden="1" x14ac:dyDescent="0.25">
      <c r="A6815">
        <v>6814</v>
      </c>
      <c r="B6815" s="1">
        <v>45754</v>
      </c>
      <c r="C6815" t="s">
        <v>33</v>
      </c>
      <c r="D6815" t="s">
        <v>82</v>
      </c>
      <c r="E6815" t="s">
        <v>8</v>
      </c>
      <c r="F6815">
        <v>1</v>
      </c>
      <c r="G6815" t="str">
        <f>VLOOKUP(D6815,Товары!A:I,3,0)</f>
        <v>Тумба с раковиной  навес. Леон 800 форест 2 ящика с умыв. Слим</v>
      </c>
      <c r="H6815">
        <f>VLOOKUP(D6815,Товары!A:I,6,0)</f>
        <v>60</v>
      </c>
      <c r="I6815" t="str">
        <f>VLOOKUP(C6815,Магазины!A:C,3,0)</f>
        <v>Набережные Челны</v>
      </c>
      <c r="J6815">
        <f>VLOOKUP(D6815,Товары!A:I,4,0)</f>
        <v>27930</v>
      </c>
      <c r="K6815">
        <f t="shared" si="106"/>
        <v>27930</v>
      </c>
    </row>
    <row r="6816" spans="1:11" hidden="1" x14ac:dyDescent="0.25">
      <c r="A6816">
        <v>6815</v>
      </c>
      <c r="B6816" s="1">
        <v>45750</v>
      </c>
      <c r="C6816" t="s">
        <v>18</v>
      </c>
      <c r="D6816" t="s">
        <v>44</v>
      </c>
      <c r="E6816" t="s">
        <v>13</v>
      </c>
      <c r="F6816">
        <v>3</v>
      </c>
      <c r="G6816" t="str">
        <f>VLOOKUP(D6816,Товары!A:I,3,0)</f>
        <v>Тумба с раковиной  навес. Кристалл 800 шато азур 2 ящика с умыв. Комфорт</v>
      </c>
      <c r="H6816">
        <f>VLOOKUP(D6816,Товары!A:I,6,0)</f>
        <v>55</v>
      </c>
      <c r="I6816" t="str">
        <f>VLOOKUP(C6816,Магазины!A:C,3,0)</f>
        <v>Набережные Челны</v>
      </c>
      <c r="J6816">
        <f>VLOOKUP(D6816,Товары!A:I,4,0)</f>
        <v>25080</v>
      </c>
      <c r="K6816">
        <f t="shared" si="106"/>
        <v>75240</v>
      </c>
    </row>
    <row r="6817" spans="1:11" hidden="1" x14ac:dyDescent="0.25">
      <c r="A6817">
        <v>6816</v>
      </c>
      <c r="B6817" s="1">
        <v>45757</v>
      </c>
      <c r="C6817" t="s">
        <v>18</v>
      </c>
      <c r="D6817" t="s">
        <v>39</v>
      </c>
      <c r="E6817" t="s">
        <v>8</v>
      </c>
      <c r="F6817">
        <v>1</v>
      </c>
      <c r="G6817" t="str">
        <f>VLOOKUP(D6817,Товары!A:I,3,0)</f>
        <v>Тумба с раковиной  напол. Альба 700 мята 2 ящика с умыв. Слим</v>
      </c>
      <c r="H6817">
        <f>VLOOKUP(D6817,Товары!A:I,6,0)</f>
        <v>85</v>
      </c>
      <c r="I6817" t="str">
        <f>VLOOKUP(C6817,Магазины!A:C,3,0)</f>
        <v>Набережные Челны</v>
      </c>
      <c r="J6817">
        <f>VLOOKUP(D6817,Товары!A:I,4,0)</f>
        <v>28695</v>
      </c>
      <c r="K6817">
        <f t="shared" si="106"/>
        <v>28695</v>
      </c>
    </row>
    <row r="6818" spans="1:11" hidden="1" x14ac:dyDescent="0.25">
      <c r="A6818">
        <v>6817</v>
      </c>
      <c r="B6818" s="1">
        <v>45753</v>
      </c>
      <c r="C6818" t="s">
        <v>18</v>
      </c>
      <c r="D6818" t="s">
        <v>60</v>
      </c>
      <c r="E6818" t="s">
        <v>13</v>
      </c>
      <c r="F6818">
        <v>2</v>
      </c>
      <c r="G6818" t="str">
        <f>VLOOKUP(D6818,Товары!A:I,3,0)</f>
        <v>Пенал навес. Куба Риф 350 белый 2 двери</v>
      </c>
      <c r="H6818">
        <f>VLOOKUP(D6818,Товары!A:I,6,0)</f>
        <v>150</v>
      </c>
      <c r="I6818" t="str">
        <f>VLOOKUP(C6818,Магазины!A:C,3,0)</f>
        <v>Набережные Челны</v>
      </c>
      <c r="J6818">
        <f>VLOOKUP(D6818,Товары!A:I,4,0)</f>
        <v>9720</v>
      </c>
      <c r="K6818">
        <f t="shared" si="106"/>
        <v>19440</v>
      </c>
    </row>
    <row r="6819" spans="1:11" hidden="1" x14ac:dyDescent="0.25">
      <c r="A6819">
        <v>6818</v>
      </c>
      <c r="B6819" s="1">
        <v>45754</v>
      </c>
      <c r="C6819" t="s">
        <v>18</v>
      </c>
      <c r="D6819" t="s">
        <v>84</v>
      </c>
      <c r="E6819" t="s">
        <v>8</v>
      </c>
      <c r="F6819">
        <v>1</v>
      </c>
      <c r="G6819" t="str">
        <f>VLOOKUP(D6819,Товары!A:I,3,0)</f>
        <v>Тумба с раковиной  напол. Куба Риф 800 белый 3 двери с умыв. Слим</v>
      </c>
      <c r="H6819">
        <f>VLOOKUP(D6819,Товары!A:I,6,0)</f>
        <v>85</v>
      </c>
      <c r="I6819" t="str">
        <f>VLOOKUP(C6819,Магазины!A:C,3,0)</f>
        <v>Набережные Челны</v>
      </c>
      <c r="J6819">
        <f>VLOOKUP(D6819,Товары!A:I,4,0)</f>
        <v>19920</v>
      </c>
      <c r="K6819">
        <f t="shared" si="106"/>
        <v>19920</v>
      </c>
    </row>
    <row r="6820" spans="1:11" hidden="1" x14ac:dyDescent="0.25">
      <c r="A6820">
        <v>6819</v>
      </c>
      <c r="B6820" s="1">
        <v>45748</v>
      </c>
      <c r="C6820" t="s">
        <v>63</v>
      </c>
      <c r="D6820" t="s">
        <v>107</v>
      </c>
      <c r="E6820" t="s">
        <v>13</v>
      </c>
      <c r="F6820">
        <v>1</v>
      </c>
      <c r="G6820" t="str">
        <f>VLOOKUP(D6820,Товары!A:I,3,0)</f>
        <v>Комод Аква 35 напольный 1 дверь белый правый</v>
      </c>
      <c r="H6820">
        <f>VLOOKUP(D6820,Товары!A:I,6,0)</f>
        <v>90</v>
      </c>
      <c r="I6820" t="str">
        <f>VLOOKUP(C6820,Магазины!A:C,3,0)</f>
        <v>Ставрополь</v>
      </c>
      <c r="J6820">
        <f>VLOOKUP(D6820,Товары!A:I,4,0)</f>
        <v>6705</v>
      </c>
      <c r="K6820">
        <f t="shared" si="106"/>
        <v>6705</v>
      </c>
    </row>
    <row r="6821" spans="1:11" hidden="1" x14ac:dyDescent="0.25">
      <c r="A6821">
        <v>6820</v>
      </c>
      <c r="B6821" s="1">
        <v>45752</v>
      </c>
      <c r="C6821" t="s">
        <v>22</v>
      </c>
      <c r="D6821" t="s">
        <v>69</v>
      </c>
      <c r="E6821" t="s">
        <v>8</v>
      </c>
      <c r="F6821">
        <v>3</v>
      </c>
      <c r="G6821" t="str">
        <f>VLOOKUP(D6821,Товары!A:I,3,0)</f>
        <v>Пенал навес./напол. Альба 350 антрацит 2 двери</v>
      </c>
      <c r="H6821">
        <f>VLOOKUP(D6821,Товары!A:I,6,0)</f>
        <v>150</v>
      </c>
      <c r="I6821" t="str">
        <f>VLOOKUP(C6821,Магазины!A:C,3,0)</f>
        <v>Кемерово</v>
      </c>
      <c r="J6821">
        <f>VLOOKUP(D6821,Товары!A:I,4,0)</f>
        <v>11655</v>
      </c>
      <c r="K6821">
        <f t="shared" si="106"/>
        <v>34965</v>
      </c>
    </row>
    <row r="6822" spans="1:11" hidden="1" x14ac:dyDescent="0.25">
      <c r="A6822">
        <v>6821</v>
      </c>
      <c r="B6822" s="1">
        <v>45753</v>
      </c>
      <c r="C6822" t="s">
        <v>63</v>
      </c>
      <c r="D6822" t="s">
        <v>120</v>
      </c>
      <c r="E6822" t="s">
        <v>8</v>
      </c>
      <c r="F6822">
        <v>3</v>
      </c>
      <c r="G6822" t="str">
        <f>VLOOKUP(D6822,Товары!A:I,3,0)</f>
        <v>Зеркальный шкаф Альба 60 со светильником правый цвет антрацит</v>
      </c>
      <c r="H6822">
        <f>VLOOKUP(D6822,Товары!A:I,6,0)</f>
        <v>75</v>
      </c>
      <c r="I6822" t="str">
        <f>VLOOKUP(C6822,Магазины!A:C,3,0)</f>
        <v>Ставрополь</v>
      </c>
      <c r="J6822">
        <f>VLOOKUP(D6822,Товары!A:I,4,0)</f>
        <v>8910</v>
      </c>
      <c r="K6822">
        <f t="shared" si="106"/>
        <v>26730</v>
      </c>
    </row>
    <row r="6823" spans="1:11" hidden="1" x14ac:dyDescent="0.25">
      <c r="A6823">
        <v>6822</v>
      </c>
      <c r="B6823" s="1">
        <v>45755</v>
      </c>
      <c r="C6823" t="s">
        <v>18</v>
      </c>
      <c r="D6823" t="s">
        <v>83</v>
      </c>
      <c r="E6823" t="s">
        <v>8</v>
      </c>
      <c r="F6823">
        <v>1</v>
      </c>
      <c r="G6823" t="str">
        <f>VLOOKUP(D6823,Товары!A:I,3,0)</f>
        <v>Зеркальный шкаф Альба 60 со светильником правый цвет суфле</v>
      </c>
      <c r="H6823">
        <f>VLOOKUP(D6823,Товары!A:I,6,0)</f>
        <v>75</v>
      </c>
      <c r="I6823" t="str">
        <f>VLOOKUP(C6823,Магазины!A:C,3,0)</f>
        <v>Набережные Челны</v>
      </c>
      <c r="J6823">
        <f>VLOOKUP(D6823,Товары!A:I,4,0)</f>
        <v>8910</v>
      </c>
      <c r="K6823">
        <f t="shared" si="106"/>
        <v>8910</v>
      </c>
    </row>
    <row r="6824" spans="1:11" hidden="1" x14ac:dyDescent="0.25">
      <c r="A6824">
        <v>6823</v>
      </c>
      <c r="B6824" s="1">
        <v>45755</v>
      </c>
      <c r="C6824" t="s">
        <v>11</v>
      </c>
      <c r="D6824" t="s">
        <v>24</v>
      </c>
      <c r="E6824" t="s">
        <v>13</v>
      </c>
      <c r="F6824">
        <v>2</v>
      </c>
      <c r="G6824" t="str">
        <f>VLOOKUP(D6824,Товары!A:I,3,0)</f>
        <v>Тумба с раковиной  напол. Леон 600 форест 2 ящика с умыв. Слим</v>
      </c>
      <c r="H6824">
        <f>VLOOKUP(D6824,Товары!A:I,6,0)</f>
        <v>80</v>
      </c>
      <c r="I6824" t="str">
        <f>VLOOKUP(C6824,Магазины!A:C,3,0)</f>
        <v>Кемерово</v>
      </c>
      <c r="J6824">
        <f>VLOOKUP(D6824,Товары!A:I,4,0)</f>
        <v>27150</v>
      </c>
      <c r="K6824">
        <f t="shared" si="106"/>
        <v>54300</v>
      </c>
    </row>
    <row r="6825" spans="1:11" hidden="1" x14ac:dyDescent="0.25">
      <c r="A6825">
        <v>6824</v>
      </c>
      <c r="B6825" s="1">
        <v>45750</v>
      </c>
      <c r="C6825" t="s">
        <v>9</v>
      </c>
      <c r="D6825" t="s">
        <v>45</v>
      </c>
      <c r="E6825" t="s">
        <v>13</v>
      </c>
      <c r="F6825">
        <v>1</v>
      </c>
      <c r="G6825" t="str">
        <f>VLOOKUP(D6825,Товары!A:I,3,0)</f>
        <v>Зеркальный шкаф Рица 80 со светильником правый цвет cерый/керамика</v>
      </c>
      <c r="H6825">
        <f>VLOOKUP(D6825,Товары!A:I,6,0)</f>
        <v>75</v>
      </c>
      <c r="I6825" t="str">
        <f>VLOOKUP(C6825,Магазины!A:C,3,0)</f>
        <v>Кемерово</v>
      </c>
      <c r="J6825">
        <f>VLOOKUP(D6825,Товары!A:I,4,0)</f>
        <v>9930</v>
      </c>
      <c r="K6825">
        <f t="shared" si="106"/>
        <v>9930</v>
      </c>
    </row>
    <row r="6826" spans="1:11" hidden="1" x14ac:dyDescent="0.25">
      <c r="A6826">
        <v>6825</v>
      </c>
      <c r="B6826" s="1">
        <v>45753</v>
      </c>
      <c r="C6826" t="s">
        <v>103</v>
      </c>
      <c r="D6826" t="s">
        <v>84</v>
      </c>
      <c r="E6826" t="s">
        <v>8</v>
      </c>
      <c r="F6826">
        <v>2</v>
      </c>
      <c r="G6826" t="str">
        <f>VLOOKUP(D6826,Товары!A:I,3,0)</f>
        <v>Тумба с раковиной  напол. Куба Риф 800 белый 3 двери с умыв. Слим</v>
      </c>
      <c r="H6826">
        <f>VLOOKUP(D6826,Товары!A:I,6,0)</f>
        <v>85</v>
      </c>
      <c r="I6826" t="str">
        <f>VLOOKUP(C6826,Магазины!A:C,3,0)</f>
        <v>Ставрополь</v>
      </c>
      <c r="J6826">
        <f>VLOOKUP(D6826,Товары!A:I,4,0)</f>
        <v>19920</v>
      </c>
      <c r="K6826">
        <f t="shared" si="106"/>
        <v>39840</v>
      </c>
    </row>
    <row r="6827" spans="1:11" hidden="1" x14ac:dyDescent="0.25">
      <c r="A6827">
        <v>6826</v>
      </c>
      <c r="B6827" s="1">
        <v>45750</v>
      </c>
      <c r="C6827" t="s">
        <v>54</v>
      </c>
      <c r="D6827" t="s">
        <v>31</v>
      </c>
      <c r="E6827" t="s">
        <v>8</v>
      </c>
      <c r="F6827">
        <v>3</v>
      </c>
      <c r="G6827" t="str">
        <f>VLOOKUP(D6827,Товары!A:I,3,0)</f>
        <v>Пенал напол. Виктория 350 белый 2 двери</v>
      </c>
      <c r="H6827">
        <f>VLOOKUP(D6827,Товары!A:I,6,0)</f>
        <v>190</v>
      </c>
      <c r="I6827" t="str">
        <f>VLOOKUP(C6827,Магазины!A:C,3,0)</f>
        <v>Ставрополь</v>
      </c>
      <c r="J6827">
        <f>VLOOKUP(D6827,Товары!A:I,4,0)</f>
        <v>14085</v>
      </c>
      <c r="K6827">
        <f t="shared" si="106"/>
        <v>42255</v>
      </c>
    </row>
    <row r="6828" spans="1:11" hidden="1" x14ac:dyDescent="0.25">
      <c r="A6828">
        <v>6827</v>
      </c>
      <c r="B6828" s="1">
        <v>45756</v>
      </c>
      <c r="C6828" t="s">
        <v>11</v>
      </c>
      <c r="D6828" t="s">
        <v>52</v>
      </c>
      <c r="E6828" t="s">
        <v>13</v>
      </c>
      <c r="F6828">
        <v>3</v>
      </c>
      <c r="G6828" t="str">
        <f>VLOOKUP(D6828,Товары!A:I,3,0)</f>
        <v>Тумба с раковиной  напол. Кристалл 600 суфле 2 ящика с умыв. Океан</v>
      </c>
      <c r="H6828">
        <f>VLOOKUP(D6828,Товары!A:I,6,0)</f>
        <v>80</v>
      </c>
      <c r="I6828" t="str">
        <f>VLOOKUP(C6828,Магазины!A:C,3,0)</f>
        <v>Кемерово</v>
      </c>
      <c r="J6828">
        <f>VLOOKUP(D6828,Товары!A:I,4,0)</f>
        <v>27600</v>
      </c>
      <c r="K6828">
        <f t="shared" si="106"/>
        <v>82800</v>
      </c>
    </row>
    <row r="6829" spans="1:11" hidden="1" x14ac:dyDescent="0.25">
      <c r="A6829">
        <v>6828</v>
      </c>
      <c r="B6829" s="1">
        <v>45755</v>
      </c>
      <c r="C6829" t="s">
        <v>9</v>
      </c>
      <c r="D6829" t="s">
        <v>99</v>
      </c>
      <c r="E6829" t="s">
        <v>8</v>
      </c>
      <c r="F6829">
        <v>1</v>
      </c>
      <c r="G6829" t="str">
        <f>VLOOKUP(D6829,Товары!A:I,3,0)</f>
        <v>Тумба с раковиной  навес. Леон 600 оникс 2 ящика с умыв. Слим</v>
      </c>
      <c r="H6829">
        <f>VLOOKUP(D6829,Товары!A:I,6,0)</f>
        <v>60</v>
      </c>
      <c r="I6829" t="str">
        <f>VLOOKUP(C6829,Магазины!A:C,3,0)</f>
        <v>Кемерово</v>
      </c>
      <c r="J6829">
        <f>VLOOKUP(D6829,Товары!A:I,4,0)</f>
        <v>25125</v>
      </c>
      <c r="K6829">
        <f t="shared" si="106"/>
        <v>25125</v>
      </c>
    </row>
    <row r="6830" spans="1:11" hidden="1" x14ac:dyDescent="0.25">
      <c r="A6830">
        <v>6829</v>
      </c>
      <c r="B6830" s="1">
        <v>45752</v>
      </c>
      <c r="C6830" t="s">
        <v>11</v>
      </c>
      <c r="D6830" t="s">
        <v>78</v>
      </c>
      <c r="E6830" t="s">
        <v>8</v>
      </c>
      <c r="F6830">
        <v>1</v>
      </c>
      <c r="G6830" t="str">
        <f>VLOOKUP(D6830,Товары!A:I,3,0)</f>
        <v>Зеркальный шкаф Кристалл 70 со светильником правый, ручка кнопка дуб цвет Шато Азур</v>
      </c>
      <c r="H6830">
        <f>VLOOKUP(D6830,Товары!A:I,6,0)</f>
        <v>75</v>
      </c>
      <c r="I6830" t="str">
        <f>VLOOKUP(C6830,Магазины!A:C,3,0)</f>
        <v>Кемерово</v>
      </c>
      <c r="J6830">
        <f>VLOOKUP(D6830,Товары!A:I,4,0)</f>
        <v>9615</v>
      </c>
      <c r="K6830">
        <f t="shared" si="106"/>
        <v>9615</v>
      </c>
    </row>
    <row r="6831" spans="1:11" hidden="1" x14ac:dyDescent="0.25">
      <c r="A6831">
        <v>6830</v>
      </c>
      <c r="B6831" s="1">
        <v>45756</v>
      </c>
      <c r="C6831" t="s">
        <v>92</v>
      </c>
      <c r="D6831" t="s">
        <v>127</v>
      </c>
      <c r="E6831" t="s">
        <v>8</v>
      </c>
      <c r="F6831">
        <v>2</v>
      </c>
      <c r="G6831" t="str">
        <f>VLOOKUP(D6831,Товары!A:I,3,0)</f>
        <v>Тумба с раковиной  навес. Альба 700 мята 1 ящик с умыв. Слим</v>
      </c>
      <c r="H6831">
        <f>VLOOKUP(D6831,Товары!A:I,6,0)</f>
        <v>45</v>
      </c>
      <c r="I6831" t="str">
        <f>VLOOKUP(C6831,Магазины!A:C,3,0)</f>
        <v>Кемерово</v>
      </c>
      <c r="J6831">
        <f>VLOOKUP(D6831,Товары!A:I,4,0)</f>
        <v>20130</v>
      </c>
      <c r="K6831">
        <f t="shared" si="106"/>
        <v>40260</v>
      </c>
    </row>
    <row r="6832" spans="1:11" hidden="1" x14ac:dyDescent="0.25">
      <c r="A6832">
        <v>6831</v>
      </c>
      <c r="B6832" s="1">
        <v>45753</v>
      </c>
      <c r="C6832" t="s">
        <v>9</v>
      </c>
      <c r="D6832" t="s">
        <v>71</v>
      </c>
      <c r="E6832" t="s">
        <v>13</v>
      </c>
      <c r="F6832">
        <v>3</v>
      </c>
      <c r="G6832" t="str">
        <f>VLOOKUP(D6832,Товары!A:I,3,0)</f>
        <v>Тумба с раковиной  навес. Альба 600 мята 2 ящика с умыв. Океан</v>
      </c>
      <c r="H6832">
        <f>VLOOKUP(D6832,Товары!A:I,6,0)</f>
        <v>50</v>
      </c>
      <c r="I6832" t="str">
        <f>VLOOKUP(C6832,Магазины!A:C,3,0)</f>
        <v>Кемерово</v>
      </c>
      <c r="J6832">
        <f>VLOOKUP(D6832,Товары!A:I,4,0)</f>
        <v>24810</v>
      </c>
      <c r="K6832">
        <f t="shared" si="106"/>
        <v>74430</v>
      </c>
    </row>
    <row r="6833" spans="1:11" hidden="1" x14ac:dyDescent="0.25">
      <c r="A6833">
        <v>6832</v>
      </c>
      <c r="B6833" s="1">
        <v>45749</v>
      </c>
      <c r="C6833" t="s">
        <v>14</v>
      </c>
      <c r="D6833" t="s">
        <v>36</v>
      </c>
      <c r="E6833" t="s">
        <v>13</v>
      </c>
      <c r="F6833">
        <v>2</v>
      </c>
      <c r="G6833" t="str">
        <f>VLOOKUP(D6833,Товары!A:I,3,0)</f>
        <v>Тумба с раковиной  напол. Альба 800 мята 2 ящика с умыв. Слим</v>
      </c>
      <c r="H6833">
        <f>VLOOKUP(D6833,Товары!A:I,6,0)</f>
        <v>80</v>
      </c>
      <c r="I6833" t="str">
        <f>VLOOKUP(C6833,Магазины!A:C,3,0)</f>
        <v>Оренбург</v>
      </c>
      <c r="J6833">
        <f>VLOOKUP(D6833,Товары!A:I,4,0)</f>
        <v>29340</v>
      </c>
      <c r="K6833">
        <f t="shared" si="106"/>
        <v>58680</v>
      </c>
    </row>
    <row r="6834" spans="1:11" hidden="1" x14ac:dyDescent="0.25">
      <c r="A6834">
        <v>6833</v>
      </c>
      <c r="B6834" s="1">
        <v>45749</v>
      </c>
      <c r="C6834" t="s">
        <v>43</v>
      </c>
      <c r="D6834" t="s">
        <v>72</v>
      </c>
      <c r="E6834" t="s">
        <v>8</v>
      </c>
      <c r="F6834">
        <v>1</v>
      </c>
      <c r="G6834" t="str">
        <f>VLOOKUP(D6834,Товары!A:I,3,0)</f>
        <v>Тумба с раковиной  напол. Сохо 600 белый 2 ящика с умыв. Океан</v>
      </c>
      <c r="H6834">
        <f>VLOOKUP(D6834,Товары!A:I,6,0)</f>
        <v>85</v>
      </c>
      <c r="I6834" t="str">
        <f>VLOOKUP(C6834,Магазины!A:C,3,0)</f>
        <v>Набережные Челны</v>
      </c>
      <c r="J6834">
        <f>VLOOKUP(D6834,Товары!A:I,4,0)</f>
        <v>16140</v>
      </c>
      <c r="K6834">
        <f t="shared" si="106"/>
        <v>16140</v>
      </c>
    </row>
    <row r="6835" spans="1:11" hidden="1" x14ac:dyDescent="0.25">
      <c r="A6835">
        <v>6834</v>
      </c>
      <c r="B6835" s="1">
        <v>45756</v>
      </c>
      <c r="C6835" t="s">
        <v>103</v>
      </c>
      <c r="D6835" t="s">
        <v>78</v>
      </c>
      <c r="E6835" t="s">
        <v>8</v>
      </c>
      <c r="F6835">
        <v>1</v>
      </c>
      <c r="G6835" t="str">
        <f>VLOOKUP(D6835,Товары!A:I,3,0)</f>
        <v>Зеркальный шкаф Кристалл 70 со светильником правый, ручка кнопка дуб цвет Шато Азур</v>
      </c>
      <c r="H6835">
        <f>VLOOKUP(D6835,Товары!A:I,6,0)</f>
        <v>75</v>
      </c>
      <c r="I6835" t="str">
        <f>VLOOKUP(C6835,Магазины!A:C,3,0)</f>
        <v>Ставрополь</v>
      </c>
      <c r="J6835">
        <f>VLOOKUP(D6835,Товары!A:I,4,0)</f>
        <v>9615</v>
      </c>
      <c r="K6835">
        <f t="shared" si="106"/>
        <v>9615</v>
      </c>
    </row>
    <row r="6836" spans="1:11" hidden="1" x14ac:dyDescent="0.25">
      <c r="A6836">
        <v>6835</v>
      </c>
      <c r="B6836" s="1">
        <v>45755</v>
      </c>
      <c r="C6836" t="s">
        <v>43</v>
      </c>
      <c r="D6836" t="s">
        <v>84</v>
      </c>
      <c r="E6836" t="s">
        <v>8</v>
      </c>
      <c r="F6836">
        <v>3</v>
      </c>
      <c r="G6836" t="str">
        <f>VLOOKUP(D6836,Товары!A:I,3,0)</f>
        <v>Тумба с раковиной  напол. Куба Риф 800 белый 3 двери с умыв. Слим</v>
      </c>
      <c r="H6836">
        <f>VLOOKUP(D6836,Товары!A:I,6,0)</f>
        <v>85</v>
      </c>
      <c r="I6836" t="str">
        <f>VLOOKUP(C6836,Магазины!A:C,3,0)</f>
        <v>Набережные Челны</v>
      </c>
      <c r="J6836">
        <f>VLOOKUP(D6836,Товары!A:I,4,0)</f>
        <v>19920</v>
      </c>
      <c r="K6836">
        <f t="shared" si="106"/>
        <v>59760</v>
      </c>
    </row>
    <row r="6837" spans="1:11" hidden="1" x14ac:dyDescent="0.25">
      <c r="A6837">
        <v>6836</v>
      </c>
      <c r="B6837" s="1">
        <v>45751</v>
      </c>
      <c r="C6837" t="s">
        <v>9</v>
      </c>
      <c r="D6837" t="s">
        <v>131</v>
      </c>
      <c r="E6837" t="s">
        <v>13</v>
      </c>
      <c r="F6837">
        <v>2</v>
      </c>
      <c r="G6837" t="str">
        <f>VLOOKUP(D6837,Товары!A:I,3,0)</f>
        <v>Тумба с раковиной  напол. Леон 800 форест 2 ящика с умыв. Слим</v>
      </c>
      <c r="H6837">
        <f>VLOOKUP(D6837,Товары!A:I,6,0)</f>
        <v>80</v>
      </c>
      <c r="I6837" t="str">
        <f>VLOOKUP(C6837,Магазины!A:C,3,0)</f>
        <v>Кемерово</v>
      </c>
      <c r="J6837">
        <f>VLOOKUP(D6837,Товары!A:I,4,0)</f>
        <v>29400</v>
      </c>
      <c r="K6837">
        <f t="shared" si="106"/>
        <v>58800</v>
      </c>
    </row>
    <row r="6838" spans="1:11" hidden="1" x14ac:dyDescent="0.25">
      <c r="A6838">
        <v>6837</v>
      </c>
      <c r="B6838" s="1">
        <v>45754</v>
      </c>
      <c r="C6838" t="s">
        <v>92</v>
      </c>
      <c r="D6838" t="s">
        <v>99</v>
      </c>
      <c r="E6838" t="s">
        <v>8</v>
      </c>
      <c r="F6838">
        <v>1</v>
      </c>
      <c r="G6838" t="str">
        <f>VLOOKUP(D6838,Товары!A:I,3,0)</f>
        <v>Тумба с раковиной  навес. Леон 600 оникс 2 ящика с умыв. Слим</v>
      </c>
      <c r="H6838">
        <f>VLOOKUP(D6838,Товары!A:I,6,0)</f>
        <v>60</v>
      </c>
      <c r="I6838" t="str">
        <f>VLOOKUP(C6838,Магазины!A:C,3,0)</f>
        <v>Кемерово</v>
      </c>
      <c r="J6838">
        <f>VLOOKUP(D6838,Товары!A:I,4,0)</f>
        <v>25125</v>
      </c>
      <c r="K6838">
        <f t="shared" si="106"/>
        <v>25125</v>
      </c>
    </row>
    <row r="6839" spans="1:11" hidden="1" x14ac:dyDescent="0.25">
      <c r="A6839">
        <v>6838</v>
      </c>
      <c r="B6839" s="1">
        <v>45756</v>
      </c>
      <c r="C6839" t="s">
        <v>20</v>
      </c>
      <c r="D6839" t="s">
        <v>131</v>
      </c>
      <c r="E6839" t="s">
        <v>8</v>
      </c>
      <c r="F6839">
        <v>2</v>
      </c>
      <c r="G6839" t="str">
        <f>VLOOKUP(D6839,Товары!A:I,3,0)</f>
        <v>Тумба с раковиной  напол. Леон 800 форест 2 ящика с умыв. Слим</v>
      </c>
      <c r="H6839">
        <f>VLOOKUP(D6839,Товары!A:I,6,0)</f>
        <v>80</v>
      </c>
      <c r="I6839" t="str">
        <f>VLOOKUP(C6839,Магазины!A:C,3,0)</f>
        <v>Оренбург</v>
      </c>
      <c r="J6839">
        <f>VLOOKUP(D6839,Товары!A:I,4,0)</f>
        <v>29400</v>
      </c>
      <c r="K6839">
        <f t="shared" si="106"/>
        <v>58800</v>
      </c>
    </row>
    <row r="6840" spans="1:11" hidden="1" x14ac:dyDescent="0.25">
      <c r="A6840">
        <v>6839</v>
      </c>
      <c r="B6840" s="1">
        <v>45751</v>
      </c>
      <c r="C6840" t="s">
        <v>43</v>
      </c>
      <c r="D6840" t="s">
        <v>31</v>
      </c>
      <c r="E6840" t="s">
        <v>8</v>
      </c>
      <c r="F6840">
        <v>3</v>
      </c>
      <c r="G6840" t="str">
        <f>VLOOKUP(D6840,Товары!A:I,3,0)</f>
        <v>Пенал напол. Виктория 350 белый 2 двери</v>
      </c>
      <c r="H6840">
        <f>VLOOKUP(D6840,Товары!A:I,6,0)</f>
        <v>190</v>
      </c>
      <c r="I6840" t="str">
        <f>VLOOKUP(C6840,Магазины!A:C,3,0)</f>
        <v>Набережные Челны</v>
      </c>
      <c r="J6840">
        <f>VLOOKUP(D6840,Товары!A:I,4,0)</f>
        <v>14085</v>
      </c>
      <c r="K6840">
        <f t="shared" si="106"/>
        <v>42255</v>
      </c>
    </row>
    <row r="6841" spans="1:11" hidden="1" x14ac:dyDescent="0.25">
      <c r="A6841">
        <v>6840</v>
      </c>
      <c r="B6841" s="1">
        <v>45748</v>
      </c>
      <c r="C6841" t="s">
        <v>103</v>
      </c>
      <c r="D6841" t="s">
        <v>83</v>
      </c>
      <c r="E6841" t="s">
        <v>13</v>
      </c>
      <c r="F6841">
        <v>3</v>
      </c>
      <c r="G6841" t="str">
        <f>VLOOKUP(D6841,Товары!A:I,3,0)</f>
        <v>Зеркальный шкаф Альба 60 со светильником правый цвет суфле</v>
      </c>
      <c r="H6841">
        <f>VLOOKUP(D6841,Товары!A:I,6,0)</f>
        <v>75</v>
      </c>
      <c r="I6841" t="str">
        <f>VLOOKUP(C6841,Магазины!A:C,3,0)</f>
        <v>Ставрополь</v>
      </c>
      <c r="J6841">
        <f>VLOOKUP(D6841,Товары!A:I,4,0)</f>
        <v>8910</v>
      </c>
      <c r="K6841">
        <f t="shared" si="106"/>
        <v>26730</v>
      </c>
    </row>
    <row r="6842" spans="1:11" hidden="1" x14ac:dyDescent="0.25">
      <c r="A6842">
        <v>6841</v>
      </c>
      <c r="B6842" s="1">
        <v>45757</v>
      </c>
      <c r="C6842" t="s">
        <v>92</v>
      </c>
      <c r="D6842" t="s">
        <v>127</v>
      </c>
      <c r="E6842" t="s">
        <v>13</v>
      </c>
      <c r="F6842">
        <v>1</v>
      </c>
      <c r="G6842" t="str">
        <f>VLOOKUP(D6842,Товары!A:I,3,0)</f>
        <v>Тумба с раковиной  навес. Альба 700 мята 1 ящик с умыв. Слим</v>
      </c>
      <c r="H6842">
        <f>VLOOKUP(D6842,Товары!A:I,6,0)</f>
        <v>45</v>
      </c>
      <c r="I6842" t="str">
        <f>VLOOKUP(C6842,Магазины!A:C,3,0)</f>
        <v>Кемерово</v>
      </c>
      <c r="J6842">
        <f>VLOOKUP(D6842,Товары!A:I,4,0)</f>
        <v>20130</v>
      </c>
      <c r="K6842">
        <f t="shared" si="106"/>
        <v>20130</v>
      </c>
    </row>
    <row r="6843" spans="1:11" hidden="1" x14ac:dyDescent="0.25">
      <c r="A6843">
        <v>6842</v>
      </c>
      <c r="B6843" s="1">
        <v>45751</v>
      </c>
      <c r="C6843" t="s">
        <v>28</v>
      </c>
      <c r="D6843" t="s">
        <v>34</v>
      </c>
      <c r="E6843" t="s">
        <v>8</v>
      </c>
      <c r="F6843">
        <v>1</v>
      </c>
      <c r="G6843" t="str">
        <f>VLOOKUP(D6843,Товары!A:I,3,0)</f>
        <v>Тумба с раковиной  навес. Леон 700 форест 2 ящика с умыв. Слим</v>
      </c>
      <c r="H6843">
        <f>VLOOKUP(D6843,Товары!A:I,6,0)</f>
        <v>60</v>
      </c>
      <c r="I6843" t="str">
        <f>VLOOKUP(C6843,Магазины!A:C,3,0)</f>
        <v>Набережные Челны</v>
      </c>
      <c r="J6843">
        <f>VLOOKUP(D6843,Товары!A:I,4,0)</f>
        <v>26220</v>
      </c>
      <c r="K6843">
        <f t="shared" si="106"/>
        <v>26220</v>
      </c>
    </row>
    <row r="6844" spans="1:11" hidden="1" x14ac:dyDescent="0.25">
      <c r="A6844">
        <v>6843</v>
      </c>
      <c r="B6844" s="1">
        <v>45756</v>
      </c>
      <c r="C6844" t="s">
        <v>18</v>
      </c>
      <c r="D6844" t="s">
        <v>101</v>
      </c>
      <c r="E6844" t="s">
        <v>8</v>
      </c>
      <c r="F6844">
        <v>1</v>
      </c>
      <c r="G6844" t="str">
        <f>VLOOKUP(D6844,Товары!A:I,3,0)</f>
        <v>Пенал напол. Сохо 400 белый 2 двери + 1 ящик</v>
      </c>
      <c r="H6844">
        <f>VLOOKUP(D6844,Товары!A:I,6,0)</f>
        <v>190</v>
      </c>
      <c r="I6844" t="str">
        <f>VLOOKUP(C6844,Магазины!A:C,3,0)</f>
        <v>Набережные Челны</v>
      </c>
      <c r="J6844">
        <f>VLOOKUP(D6844,Товары!A:I,4,0)</f>
        <v>11040</v>
      </c>
      <c r="K6844">
        <f t="shared" si="106"/>
        <v>11040</v>
      </c>
    </row>
    <row r="6845" spans="1:11" hidden="1" x14ac:dyDescent="0.25">
      <c r="A6845">
        <v>6844</v>
      </c>
      <c r="B6845" s="1">
        <v>45754</v>
      </c>
      <c r="C6845" t="s">
        <v>16</v>
      </c>
      <c r="D6845" t="s">
        <v>84</v>
      </c>
      <c r="E6845" t="s">
        <v>8</v>
      </c>
      <c r="F6845">
        <v>3</v>
      </c>
      <c r="G6845" t="str">
        <f>VLOOKUP(D6845,Товары!A:I,3,0)</f>
        <v>Тумба с раковиной  напол. Куба Риф 800 белый 3 двери с умыв. Слим</v>
      </c>
      <c r="H6845">
        <f>VLOOKUP(D6845,Товары!A:I,6,0)</f>
        <v>85</v>
      </c>
      <c r="I6845" t="str">
        <f>VLOOKUP(C6845,Магазины!A:C,3,0)</f>
        <v>Оренбург</v>
      </c>
      <c r="J6845">
        <f>VLOOKUP(D6845,Товары!A:I,4,0)</f>
        <v>19920</v>
      </c>
      <c r="K6845">
        <f t="shared" si="106"/>
        <v>59760</v>
      </c>
    </row>
    <row r="6846" spans="1:11" hidden="1" x14ac:dyDescent="0.25">
      <c r="A6846">
        <v>6845</v>
      </c>
      <c r="B6846" s="1">
        <v>45756</v>
      </c>
      <c r="C6846" t="s">
        <v>9</v>
      </c>
      <c r="D6846" t="s">
        <v>50</v>
      </c>
      <c r="E6846" t="s">
        <v>8</v>
      </c>
      <c r="F6846">
        <v>3</v>
      </c>
      <c r="G6846" t="str">
        <f>VLOOKUP(D6846,Товары!A:I,3,0)</f>
        <v>Тумба с раковиной  напол. Леон 800 оникс 2 ящика с умыв. Слим</v>
      </c>
      <c r="H6846">
        <f>VLOOKUP(D6846,Товары!A:I,6,0)</f>
        <v>80</v>
      </c>
      <c r="I6846" t="str">
        <f>VLOOKUP(C6846,Магазины!A:C,3,0)</f>
        <v>Кемерово</v>
      </c>
      <c r="J6846">
        <f>VLOOKUP(D6846,Товары!A:I,4,0)</f>
        <v>29400</v>
      </c>
      <c r="K6846">
        <f t="shared" si="106"/>
        <v>88200</v>
      </c>
    </row>
    <row r="6847" spans="1:11" hidden="1" x14ac:dyDescent="0.25">
      <c r="A6847">
        <v>6846</v>
      </c>
      <c r="B6847" s="1">
        <v>45755</v>
      </c>
      <c r="C6847" t="s">
        <v>9</v>
      </c>
      <c r="D6847" t="s">
        <v>118</v>
      </c>
      <c r="E6847" t="s">
        <v>13</v>
      </c>
      <c r="F6847">
        <v>1</v>
      </c>
      <c r="G6847" t="str">
        <f>VLOOKUP(D6847,Товары!A:I,3,0)</f>
        <v>Тумба с раковиной  напол. Сохо 800 белый 2 ящика с умыв. Слим</v>
      </c>
      <c r="H6847">
        <f>VLOOKUP(D6847,Товары!A:I,6,0)</f>
        <v>85</v>
      </c>
      <c r="I6847" t="str">
        <f>VLOOKUP(C6847,Магазины!A:C,3,0)</f>
        <v>Кемерово</v>
      </c>
      <c r="J6847">
        <f>VLOOKUP(D6847,Товары!A:I,4,0)</f>
        <v>19575</v>
      </c>
      <c r="K6847">
        <f t="shared" si="106"/>
        <v>19575</v>
      </c>
    </row>
    <row r="6848" spans="1:11" hidden="1" x14ac:dyDescent="0.25">
      <c r="A6848">
        <v>6847</v>
      </c>
      <c r="B6848" s="1">
        <v>45751</v>
      </c>
      <c r="C6848" t="s">
        <v>35</v>
      </c>
      <c r="D6848" t="s">
        <v>108</v>
      </c>
      <c r="E6848" t="s">
        <v>8</v>
      </c>
      <c r="F6848">
        <v>2</v>
      </c>
      <c r="G6848" t="str">
        <f>VLOOKUP(D6848,Товары!A:I,3,0)</f>
        <v>Тумба с раковиной  навес. Виктория 1000 белый 2 ящика с умыв. Слим</v>
      </c>
      <c r="H6848">
        <f>VLOOKUP(D6848,Товары!A:I,6,0)</f>
        <v>60</v>
      </c>
      <c r="I6848" t="str">
        <f>VLOOKUP(C6848,Магазины!A:C,3,0)</f>
        <v>Набережные Челны</v>
      </c>
      <c r="J6848">
        <f>VLOOKUP(D6848,Товары!A:I,4,0)</f>
        <v>29205</v>
      </c>
      <c r="K6848">
        <f t="shared" si="106"/>
        <v>58410</v>
      </c>
    </row>
    <row r="6849" spans="1:11" hidden="1" x14ac:dyDescent="0.25">
      <c r="A6849">
        <v>6848</v>
      </c>
      <c r="B6849" s="1">
        <v>45751</v>
      </c>
      <c r="C6849" t="s">
        <v>14</v>
      </c>
      <c r="D6849" t="s">
        <v>42</v>
      </c>
      <c r="E6849" t="s">
        <v>8</v>
      </c>
      <c r="F6849">
        <v>3</v>
      </c>
      <c r="G6849" t="str">
        <f>VLOOKUP(D6849,Товары!A:I,3,0)</f>
        <v>Тумба под стиральную машину Леон Риф 57 подвесная 2 ящика под ст/маш, без умывальника /под Marshall 120 Солярис/Белый Риф</v>
      </c>
      <c r="H6849">
        <f>VLOOKUP(D6849,Товары!A:I,6,0)</f>
        <v>60</v>
      </c>
      <c r="I6849" t="str">
        <f>VLOOKUP(C6849,Магазины!A:C,3,0)</f>
        <v>Оренбург</v>
      </c>
      <c r="J6849">
        <f>VLOOKUP(D6849,Товары!A:I,4,0)</f>
        <v>15495</v>
      </c>
      <c r="K6849">
        <f t="shared" si="106"/>
        <v>46485</v>
      </c>
    </row>
    <row r="6850" spans="1:11" hidden="1" x14ac:dyDescent="0.25">
      <c r="A6850">
        <v>6849</v>
      </c>
      <c r="B6850" s="1">
        <v>45751</v>
      </c>
      <c r="C6850" t="s">
        <v>63</v>
      </c>
      <c r="D6850" t="s">
        <v>77</v>
      </c>
      <c r="E6850" t="s">
        <v>13</v>
      </c>
      <c r="F6850">
        <v>2</v>
      </c>
      <c r="G6850" t="str">
        <f>VLOOKUP(D6850,Товары!A:I,3,0)</f>
        <v>Тумба с раковиной  напол. Куба Риф 600 белый 2 ящика с умыв. Como</v>
      </c>
      <c r="H6850">
        <f>VLOOKUP(D6850,Товары!A:I,6,0)</f>
        <v>85</v>
      </c>
      <c r="I6850" t="str">
        <f>VLOOKUP(C6850,Магазины!A:C,3,0)</f>
        <v>Ставрополь</v>
      </c>
      <c r="J6850">
        <f>VLOOKUP(D6850,Товары!A:I,4,0)</f>
        <v>15660</v>
      </c>
      <c r="K6850">
        <f t="shared" si="106"/>
        <v>31320</v>
      </c>
    </row>
    <row r="6851" spans="1:11" hidden="1" x14ac:dyDescent="0.25">
      <c r="A6851">
        <v>6850</v>
      </c>
      <c r="B6851" s="1">
        <v>45756</v>
      </c>
      <c r="C6851" t="s">
        <v>30</v>
      </c>
      <c r="D6851" t="s">
        <v>109</v>
      </c>
      <c r="E6851" t="s">
        <v>13</v>
      </c>
      <c r="F6851">
        <v>2</v>
      </c>
      <c r="G6851" t="str">
        <f>VLOOKUP(D6851,Товары!A:I,3,0)</f>
        <v>Тумба с раковиной  навес. Альба 600 антрацит 2 ящика с умыв. Океан</v>
      </c>
      <c r="H6851">
        <f>VLOOKUP(D6851,Товары!A:I,6,0)</f>
        <v>50</v>
      </c>
      <c r="I6851" t="str">
        <f>VLOOKUP(C6851,Магазины!A:C,3,0)</f>
        <v>Кемерово</v>
      </c>
      <c r="J6851">
        <f>VLOOKUP(D6851,Товары!A:I,4,0)</f>
        <v>24810</v>
      </c>
      <c r="K6851">
        <f t="shared" ref="K6851:K6914" si="107">J6851*F6851</f>
        <v>49620</v>
      </c>
    </row>
    <row r="6852" spans="1:11" hidden="1" x14ac:dyDescent="0.25">
      <c r="A6852">
        <v>6851</v>
      </c>
      <c r="B6852" s="1">
        <v>45755</v>
      </c>
      <c r="C6852" t="s">
        <v>14</v>
      </c>
      <c r="D6852" t="s">
        <v>15</v>
      </c>
      <c r="E6852" t="s">
        <v>8</v>
      </c>
      <c r="F6852">
        <v>2</v>
      </c>
      <c r="G6852" t="str">
        <f>VLOOKUP(D6852,Товары!A:I,3,0)</f>
        <v>Зеркальный шкаф Кристалл 60 со светильником правый, ручка кнопка дуб цвет Шато Азур</v>
      </c>
      <c r="H6852">
        <f>VLOOKUP(D6852,Товары!A:I,6,0)</f>
        <v>75</v>
      </c>
      <c r="I6852" t="str">
        <f>VLOOKUP(C6852,Магазины!A:C,3,0)</f>
        <v>Оренбург</v>
      </c>
      <c r="J6852">
        <f>VLOOKUP(D6852,Товары!A:I,4,0)</f>
        <v>9195</v>
      </c>
      <c r="K6852">
        <f t="shared" si="107"/>
        <v>18390</v>
      </c>
    </row>
    <row r="6853" spans="1:11" hidden="1" x14ac:dyDescent="0.25">
      <c r="A6853">
        <v>6852</v>
      </c>
      <c r="B6853" s="1">
        <v>45748</v>
      </c>
      <c r="C6853" t="s">
        <v>14</v>
      </c>
      <c r="D6853" t="s">
        <v>56</v>
      </c>
      <c r="E6853" t="s">
        <v>13</v>
      </c>
      <c r="F6853">
        <v>2</v>
      </c>
      <c r="G6853" t="str">
        <f>VLOOKUP(D6853,Товары!A:I,3,0)</f>
        <v>Зеркальный шкаф Альба 80 со светильником правый цвет мята</v>
      </c>
      <c r="H6853">
        <f>VLOOKUP(D6853,Товары!A:I,6,0)</f>
        <v>75</v>
      </c>
      <c r="I6853" t="str">
        <f>VLOOKUP(C6853,Магазины!A:C,3,0)</f>
        <v>Оренбург</v>
      </c>
      <c r="J6853">
        <f>VLOOKUP(D6853,Товары!A:I,4,0)</f>
        <v>9930</v>
      </c>
      <c r="K6853">
        <f t="shared" si="107"/>
        <v>19860</v>
      </c>
    </row>
    <row r="6854" spans="1:11" hidden="1" x14ac:dyDescent="0.25">
      <c r="A6854">
        <v>6853</v>
      </c>
      <c r="B6854" s="1">
        <v>45754</v>
      </c>
      <c r="C6854" t="s">
        <v>54</v>
      </c>
      <c r="D6854" t="s">
        <v>46</v>
      </c>
      <c r="E6854" t="s">
        <v>13</v>
      </c>
      <c r="F6854">
        <v>2</v>
      </c>
      <c r="G6854" t="str">
        <f>VLOOKUP(D6854,Товары!A:I,3,0)</f>
        <v>Тумба с раковиной  напол. Сохо 700 белый 2 ящика с умыв. Слим</v>
      </c>
      <c r="H6854">
        <f>VLOOKUP(D6854,Товары!A:I,6,0)</f>
        <v>85</v>
      </c>
      <c r="I6854" t="str">
        <f>VLOOKUP(C6854,Магазины!A:C,3,0)</f>
        <v>Ставрополь</v>
      </c>
      <c r="J6854">
        <f>VLOOKUP(D6854,Товары!A:I,4,0)</f>
        <v>18405</v>
      </c>
      <c r="K6854">
        <f t="shared" si="107"/>
        <v>36810</v>
      </c>
    </row>
    <row r="6855" spans="1:11" hidden="1" x14ac:dyDescent="0.25">
      <c r="A6855">
        <v>6854</v>
      </c>
      <c r="B6855" s="1">
        <v>45748</v>
      </c>
      <c r="C6855" t="s">
        <v>6</v>
      </c>
      <c r="D6855" t="s">
        <v>34</v>
      </c>
      <c r="E6855" t="s">
        <v>13</v>
      </c>
      <c r="F6855">
        <v>1</v>
      </c>
      <c r="G6855" t="str">
        <f>VLOOKUP(D6855,Товары!A:I,3,0)</f>
        <v>Тумба с раковиной  навес. Леон 700 форест 2 ящика с умыв. Слим</v>
      </c>
      <c r="H6855">
        <f>VLOOKUP(D6855,Товары!A:I,6,0)</f>
        <v>60</v>
      </c>
      <c r="I6855" t="str">
        <f>VLOOKUP(C6855,Магазины!A:C,3,0)</f>
        <v>Оренбург</v>
      </c>
      <c r="J6855">
        <f>VLOOKUP(D6855,Товары!A:I,4,0)</f>
        <v>26220</v>
      </c>
      <c r="K6855">
        <f t="shared" si="107"/>
        <v>26220</v>
      </c>
    </row>
    <row r="6856" spans="1:11" hidden="1" x14ac:dyDescent="0.25">
      <c r="A6856">
        <v>6855</v>
      </c>
      <c r="B6856" s="1">
        <v>45750</v>
      </c>
      <c r="C6856" t="s">
        <v>26</v>
      </c>
      <c r="D6856" t="s">
        <v>44</v>
      </c>
      <c r="E6856" t="s">
        <v>13</v>
      </c>
      <c r="F6856">
        <v>2</v>
      </c>
      <c r="G6856" t="str">
        <f>VLOOKUP(D6856,Товары!A:I,3,0)</f>
        <v>Тумба с раковиной  навес. Кристалл 800 шато азур 2 ящика с умыв. Комфорт</v>
      </c>
      <c r="H6856">
        <f>VLOOKUP(D6856,Товары!A:I,6,0)</f>
        <v>55</v>
      </c>
      <c r="I6856" t="str">
        <f>VLOOKUP(C6856,Магазины!A:C,3,0)</f>
        <v>Оренбург</v>
      </c>
      <c r="J6856">
        <f>VLOOKUP(D6856,Товары!A:I,4,0)</f>
        <v>25080</v>
      </c>
      <c r="K6856">
        <f t="shared" si="107"/>
        <v>50160</v>
      </c>
    </row>
    <row r="6857" spans="1:11" hidden="1" x14ac:dyDescent="0.25">
      <c r="A6857">
        <v>6856</v>
      </c>
      <c r="B6857" s="1">
        <v>45751</v>
      </c>
      <c r="C6857" t="s">
        <v>92</v>
      </c>
      <c r="D6857" t="s">
        <v>107</v>
      </c>
      <c r="E6857" t="s">
        <v>13</v>
      </c>
      <c r="F6857">
        <v>2</v>
      </c>
      <c r="G6857" t="str">
        <f>VLOOKUP(D6857,Товары!A:I,3,0)</f>
        <v>Комод Аква 35 напольный 1 дверь белый правый</v>
      </c>
      <c r="H6857">
        <f>VLOOKUP(D6857,Товары!A:I,6,0)</f>
        <v>90</v>
      </c>
      <c r="I6857" t="str">
        <f>VLOOKUP(C6857,Магазины!A:C,3,0)</f>
        <v>Кемерово</v>
      </c>
      <c r="J6857">
        <f>VLOOKUP(D6857,Товары!A:I,4,0)</f>
        <v>6705</v>
      </c>
      <c r="K6857">
        <f t="shared" si="107"/>
        <v>13410</v>
      </c>
    </row>
    <row r="6858" spans="1:11" hidden="1" x14ac:dyDescent="0.25">
      <c r="A6858">
        <v>6857</v>
      </c>
      <c r="B6858" s="1">
        <v>45752</v>
      </c>
      <c r="C6858" t="s">
        <v>14</v>
      </c>
      <c r="D6858" t="s">
        <v>81</v>
      </c>
      <c r="E6858" t="s">
        <v>8</v>
      </c>
      <c r="F6858">
        <v>2</v>
      </c>
      <c r="G6858" t="str">
        <f>VLOOKUP(D6858,Товары!A:I,3,0)</f>
        <v>Тумба с раковиной  навес. Рица 600 cерый/керамика 1 ящик + ниша 1 с умыв. Океан</v>
      </c>
      <c r="H6858">
        <f>VLOOKUP(D6858,Товары!A:I,6,0)</f>
        <v>60</v>
      </c>
      <c r="I6858" t="str">
        <f>VLOOKUP(C6858,Магазины!A:C,3,0)</f>
        <v>Оренбург</v>
      </c>
      <c r="J6858">
        <f>VLOOKUP(D6858,Товары!A:I,4,0)</f>
        <v>18900</v>
      </c>
      <c r="K6858">
        <f t="shared" si="107"/>
        <v>37800</v>
      </c>
    </row>
    <row r="6859" spans="1:11" hidden="1" x14ac:dyDescent="0.25">
      <c r="A6859">
        <v>6858</v>
      </c>
      <c r="B6859" s="1">
        <v>45753</v>
      </c>
      <c r="C6859" t="s">
        <v>35</v>
      </c>
      <c r="D6859" t="s">
        <v>75</v>
      </c>
      <c r="E6859" t="s">
        <v>13</v>
      </c>
      <c r="F6859">
        <v>2</v>
      </c>
      <c r="G6859" t="str">
        <f>VLOOKUP(D6859,Товары!A:I,3,0)</f>
        <v>Тумба с раковиной  напол. Альба 600 суфле 2 ящика с умыв. Океан</v>
      </c>
      <c r="H6859">
        <f>VLOOKUP(D6859,Товары!A:I,6,0)</f>
        <v>80</v>
      </c>
      <c r="I6859" t="str">
        <f>VLOOKUP(C6859,Магазины!A:C,3,0)</f>
        <v>Набережные Челны</v>
      </c>
      <c r="J6859">
        <f>VLOOKUP(D6859,Товары!A:I,4,0)</f>
        <v>26370</v>
      </c>
      <c r="K6859">
        <f t="shared" si="107"/>
        <v>52740</v>
      </c>
    </row>
    <row r="6860" spans="1:11" hidden="1" x14ac:dyDescent="0.25">
      <c r="A6860">
        <v>6859</v>
      </c>
      <c r="B6860" s="1">
        <v>45754</v>
      </c>
      <c r="C6860" t="s">
        <v>111</v>
      </c>
      <c r="D6860" t="s">
        <v>86</v>
      </c>
      <c r="E6860" t="s">
        <v>13</v>
      </c>
      <c r="F6860">
        <v>1</v>
      </c>
      <c r="G6860" t="str">
        <f>VLOOKUP(D6860,Товары!A:I,3,0)</f>
        <v>Комод Аква 50 напольный 1 ящик 2 двери белый</v>
      </c>
      <c r="H6860">
        <f>VLOOKUP(D6860,Товары!A:I,6,0)</f>
        <v>90</v>
      </c>
      <c r="I6860" t="str">
        <f>VLOOKUP(C6860,Магазины!A:C,3,0)</f>
        <v>Набережные Челны</v>
      </c>
      <c r="J6860">
        <f>VLOOKUP(D6860,Товары!A:I,4,0)</f>
        <v>7260</v>
      </c>
      <c r="K6860">
        <f t="shared" si="107"/>
        <v>7260</v>
      </c>
    </row>
    <row r="6861" spans="1:11" hidden="1" x14ac:dyDescent="0.25">
      <c r="A6861">
        <v>6860</v>
      </c>
      <c r="B6861" s="1">
        <v>45750</v>
      </c>
      <c r="C6861" t="s">
        <v>16</v>
      </c>
      <c r="D6861" t="s">
        <v>29</v>
      </c>
      <c r="E6861" t="s">
        <v>8</v>
      </c>
      <c r="F6861">
        <v>1</v>
      </c>
      <c r="G6861" t="str">
        <f>VLOOKUP(D6861,Товары!A:I,3,0)</f>
        <v>Тумба с раковиной  напол. Леон Риф 600 солярис/белый риф 2 ящика с умыв. Океан</v>
      </c>
      <c r="H6861">
        <f>VLOOKUP(D6861,Товары!A:I,6,0)</f>
        <v>80</v>
      </c>
      <c r="I6861" t="str">
        <f>VLOOKUP(C6861,Магазины!A:C,3,0)</f>
        <v>Оренбург</v>
      </c>
      <c r="J6861">
        <f>VLOOKUP(D6861,Товары!A:I,4,0)</f>
        <v>24150</v>
      </c>
      <c r="K6861">
        <f t="shared" si="107"/>
        <v>24150</v>
      </c>
    </row>
    <row r="6862" spans="1:11" hidden="1" x14ac:dyDescent="0.25">
      <c r="A6862">
        <v>6861</v>
      </c>
      <c r="B6862" s="1">
        <v>45750</v>
      </c>
      <c r="C6862" t="s">
        <v>111</v>
      </c>
      <c r="D6862" t="s">
        <v>116</v>
      </c>
      <c r="E6862" t="s">
        <v>8</v>
      </c>
      <c r="F6862">
        <v>2</v>
      </c>
      <c r="G6862" t="str">
        <f>VLOOKUP(D6862,Товары!A:I,3,0)</f>
        <v>Зеркало Нева 60 дуб/белый со светильником</v>
      </c>
      <c r="H6862">
        <f>VLOOKUP(D6862,Товары!A:I,6,0)</f>
        <v>80</v>
      </c>
      <c r="I6862" t="str">
        <f>VLOOKUP(C6862,Магазины!A:C,3,0)</f>
        <v>Набережные Челны</v>
      </c>
      <c r="J6862">
        <f>VLOOKUP(D6862,Товары!A:I,4,0)</f>
        <v>5100</v>
      </c>
      <c r="K6862">
        <f t="shared" si="107"/>
        <v>10200</v>
      </c>
    </row>
    <row r="6863" spans="1:11" hidden="1" x14ac:dyDescent="0.25">
      <c r="A6863">
        <v>6862</v>
      </c>
      <c r="B6863" s="1">
        <v>45749</v>
      </c>
      <c r="C6863" t="s">
        <v>48</v>
      </c>
      <c r="D6863" t="s">
        <v>131</v>
      </c>
      <c r="E6863" t="s">
        <v>13</v>
      </c>
      <c r="F6863">
        <v>3</v>
      </c>
      <c r="G6863" t="str">
        <f>VLOOKUP(D6863,Товары!A:I,3,0)</f>
        <v>Тумба с раковиной  напол. Леон 800 форест 2 ящика с умыв. Слим</v>
      </c>
      <c r="H6863">
        <f>VLOOKUP(D6863,Товары!A:I,6,0)</f>
        <v>80</v>
      </c>
      <c r="I6863" t="str">
        <f>VLOOKUP(C6863,Магазины!A:C,3,0)</f>
        <v>Ставрополь</v>
      </c>
      <c r="J6863">
        <f>VLOOKUP(D6863,Товары!A:I,4,0)</f>
        <v>29400</v>
      </c>
      <c r="K6863">
        <f t="shared" si="107"/>
        <v>88200</v>
      </c>
    </row>
    <row r="6864" spans="1:11" hidden="1" x14ac:dyDescent="0.25">
      <c r="A6864">
        <v>6863</v>
      </c>
      <c r="B6864" s="1">
        <v>45757</v>
      </c>
      <c r="C6864" t="s">
        <v>92</v>
      </c>
      <c r="D6864" t="s">
        <v>108</v>
      </c>
      <c r="E6864" t="s">
        <v>13</v>
      </c>
      <c r="F6864">
        <v>3</v>
      </c>
      <c r="G6864" t="str">
        <f>VLOOKUP(D6864,Товары!A:I,3,0)</f>
        <v>Тумба с раковиной  навес. Виктория 1000 белый 2 ящика с умыв. Слим</v>
      </c>
      <c r="H6864">
        <f>VLOOKUP(D6864,Товары!A:I,6,0)</f>
        <v>60</v>
      </c>
      <c r="I6864" t="str">
        <f>VLOOKUP(C6864,Магазины!A:C,3,0)</f>
        <v>Кемерово</v>
      </c>
      <c r="J6864">
        <f>VLOOKUP(D6864,Товары!A:I,4,0)</f>
        <v>29205</v>
      </c>
      <c r="K6864">
        <f t="shared" si="107"/>
        <v>87615</v>
      </c>
    </row>
    <row r="6865" spans="1:11" hidden="1" x14ac:dyDescent="0.25">
      <c r="A6865">
        <v>6864</v>
      </c>
      <c r="B6865" s="1">
        <v>45749</v>
      </c>
      <c r="C6865" t="s">
        <v>30</v>
      </c>
      <c r="D6865" t="s">
        <v>77</v>
      </c>
      <c r="E6865" t="s">
        <v>13</v>
      </c>
      <c r="F6865">
        <v>2</v>
      </c>
      <c r="G6865" t="str">
        <f>VLOOKUP(D6865,Товары!A:I,3,0)</f>
        <v>Тумба с раковиной  напол. Куба Риф 600 белый 2 ящика с умыв. Como</v>
      </c>
      <c r="H6865">
        <f>VLOOKUP(D6865,Товары!A:I,6,0)</f>
        <v>85</v>
      </c>
      <c r="I6865" t="str">
        <f>VLOOKUP(C6865,Магазины!A:C,3,0)</f>
        <v>Кемерово</v>
      </c>
      <c r="J6865">
        <f>VLOOKUP(D6865,Товары!A:I,4,0)</f>
        <v>15660</v>
      </c>
      <c r="K6865">
        <f t="shared" si="107"/>
        <v>31320</v>
      </c>
    </row>
    <row r="6866" spans="1:11" hidden="1" x14ac:dyDescent="0.25">
      <c r="A6866">
        <v>6865</v>
      </c>
      <c r="B6866" s="1">
        <v>45750</v>
      </c>
      <c r="C6866" t="s">
        <v>14</v>
      </c>
      <c r="D6866" t="s">
        <v>44</v>
      </c>
      <c r="E6866" t="s">
        <v>13</v>
      </c>
      <c r="F6866">
        <v>1</v>
      </c>
      <c r="G6866" t="str">
        <f>VLOOKUP(D6866,Товары!A:I,3,0)</f>
        <v>Тумба с раковиной  навес. Кристалл 800 шато азур 2 ящика с умыв. Комфорт</v>
      </c>
      <c r="H6866">
        <f>VLOOKUP(D6866,Товары!A:I,6,0)</f>
        <v>55</v>
      </c>
      <c r="I6866" t="str">
        <f>VLOOKUP(C6866,Магазины!A:C,3,0)</f>
        <v>Оренбург</v>
      </c>
      <c r="J6866">
        <f>VLOOKUP(D6866,Товары!A:I,4,0)</f>
        <v>25080</v>
      </c>
      <c r="K6866">
        <f t="shared" si="107"/>
        <v>25080</v>
      </c>
    </row>
    <row r="6867" spans="1:11" hidden="1" x14ac:dyDescent="0.25">
      <c r="A6867">
        <v>6866</v>
      </c>
      <c r="B6867" s="1">
        <v>45754</v>
      </c>
      <c r="C6867" t="s">
        <v>48</v>
      </c>
      <c r="D6867" t="s">
        <v>128</v>
      </c>
      <c r="E6867" t="s">
        <v>8</v>
      </c>
      <c r="F6867">
        <v>3</v>
      </c>
      <c r="G6867" t="str">
        <f>VLOOKUP(D6867,Товары!A:I,3,0)</f>
        <v>Тумба с раковиной  напол. Куба Риф 1000 белый 2 ящика с умыв. Слим</v>
      </c>
      <c r="H6867">
        <f>VLOOKUP(D6867,Товары!A:I,6,0)</f>
        <v>85</v>
      </c>
      <c r="I6867" t="str">
        <f>VLOOKUP(C6867,Магазины!A:C,3,0)</f>
        <v>Ставрополь</v>
      </c>
      <c r="J6867">
        <f>VLOOKUP(D6867,Товары!A:I,4,0)</f>
        <v>22905</v>
      </c>
      <c r="K6867">
        <f t="shared" si="107"/>
        <v>68715</v>
      </c>
    </row>
    <row r="6868" spans="1:11" hidden="1" x14ac:dyDescent="0.25">
      <c r="A6868">
        <v>6867</v>
      </c>
      <c r="B6868" s="1">
        <v>45752</v>
      </c>
      <c r="C6868" t="s">
        <v>14</v>
      </c>
      <c r="D6868" t="s">
        <v>12</v>
      </c>
      <c r="E6868" t="s">
        <v>13</v>
      </c>
      <c r="F6868">
        <v>1</v>
      </c>
      <c r="G6868" t="str">
        <f>VLOOKUP(D6868,Товары!A:I,3,0)</f>
        <v>Тумба с раковиной  напол. Сохо 700 белый 2 двери с умыв. Слим</v>
      </c>
      <c r="H6868">
        <f>VLOOKUP(D6868,Товары!A:I,6,0)</f>
        <v>85</v>
      </c>
      <c r="I6868" t="str">
        <f>VLOOKUP(C6868,Магазины!A:C,3,0)</f>
        <v>Оренбург</v>
      </c>
      <c r="J6868">
        <f>VLOOKUP(D6868,Товары!A:I,4,0)</f>
        <v>17160</v>
      </c>
      <c r="K6868">
        <f t="shared" si="107"/>
        <v>17160</v>
      </c>
    </row>
    <row r="6869" spans="1:11" hidden="1" x14ac:dyDescent="0.25">
      <c r="A6869">
        <v>6868</v>
      </c>
      <c r="B6869" s="1">
        <v>45755</v>
      </c>
      <c r="C6869" t="s">
        <v>43</v>
      </c>
      <c r="D6869" t="s">
        <v>60</v>
      </c>
      <c r="E6869" t="s">
        <v>8</v>
      </c>
      <c r="F6869">
        <v>3</v>
      </c>
      <c r="G6869" t="str">
        <f>VLOOKUP(D6869,Товары!A:I,3,0)</f>
        <v>Пенал навес. Куба Риф 350 белый 2 двери</v>
      </c>
      <c r="H6869">
        <f>VLOOKUP(D6869,Товары!A:I,6,0)</f>
        <v>150</v>
      </c>
      <c r="I6869" t="str">
        <f>VLOOKUP(C6869,Магазины!A:C,3,0)</f>
        <v>Набережные Челны</v>
      </c>
      <c r="J6869">
        <f>VLOOKUP(D6869,Товары!A:I,4,0)</f>
        <v>9720</v>
      </c>
      <c r="K6869">
        <f t="shared" si="107"/>
        <v>29160</v>
      </c>
    </row>
    <row r="6870" spans="1:11" hidden="1" x14ac:dyDescent="0.25">
      <c r="A6870">
        <v>6869</v>
      </c>
      <c r="B6870" s="1">
        <v>45748</v>
      </c>
      <c r="C6870" t="s">
        <v>9</v>
      </c>
      <c r="D6870" t="s">
        <v>32</v>
      </c>
      <c r="E6870" t="s">
        <v>13</v>
      </c>
      <c r="F6870">
        <v>1</v>
      </c>
      <c r="G6870" t="str">
        <f>VLOOKUP(D6870,Товары!A:I,3,0)</f>
        <v>Тумба с раковиной  напол. Леон Риф 700 солярис/белый риф 2 ящика с умыв. Слим</v>
      </c>
      <c r="H6870">
        <f>VLOOKUP(D6870,Товары!A:I,6,0)</f>
        <v>85</v>
      </c>
      <c r="I6870" t="str">
        <f>VLOOKUP(C6870,Магазины!A:C,3,0)</f>
        <v>Кемерово</v>
      </c>
      <c r="J6870">
        <f>VLOOKUP(D6870,Товары!A:I,4,0)</f>
        <v>26460</v>
      </c>
      <c r="K6870">
        <f t="shared" si="107"/>
        <v>26460</v>
      </c>
    </row>
    <row r="6871" spans="1:11" hidden="1" x14ac:dyDescent="0.25">
      <c r="A6871">
        <v>6870</v>
      </c>
      <c r="B6871" s="1">
        <v>45749</v>
      </c>
      <c r="C6871" t="s">
        <v>43</v>
      </c>
      <c r="D6871" t="s">
        <v>105</v>
      </c>
      <c r="E6871" t="s">
        <v>13</v>
      </c>
      <c r="F6871">
        <v>3</v>
      </c>
      <c r="G6871" t="str">
        <f>VLOOKUP(D6871,Товары!A:I,3,0)</f>
        <v>Тумба с раковиной  напол. Нева 600 белый 2 двери + 1 ящик с умыв. Como</v>
      </c>
      <c r="H6871">
        <f>VLOOKUP(D6871,Товары!A:I,6,0)</f>
        <v>80</v>
      </c>
      <c r="I6871" t="str">
        <f>VLOOKUP(C6871,Магазины!A:C,3,0)</f>
        <v>Набережные Челны</v>
      </c>
      <c r="J6871">
        <f>VLOOKUP(D6871,Товары!A:I,4,0)</f>
        <v>13470</v>
      </c>
      <c r="K6871">
        <f t="shared" si="107"/>
        <v>40410</v>
      </c>
    </row>
    <row r="6872" spans="1:11" hidden="1" x14ac:dyDescent="0.25">
      <c r="A6872">
        <v>6871</v>
      </c>
      <c r="B6872" s="1">
        <v>45751</v>
      </c>
      <c r="C6872" t="s">
        <v>30</v>
      </c>
      <c r="D6872" t="s">
        <v>94</v>
      </c>
      <c r="E6872" t="s">
        <v>8</v>
      </c>
      <c r="F6872">
        <v>3</v>
      </c>
      <c r="G6872" t="str">
        <f>VLOOKUP(D6872,Товары!A:I,3,0)</f>
        <v>Зеркальный шкаф Альба 80 со светильником правый цвет антрацит</v>
      </c>
      <c r="H6872">
        <f>VLOOKUP(D6872,Товары!A:I,6,0)</f>
        <v>75</v>
      </c>
      <c r="I6872" t="str">
        <f>VLOOKUP(C6872,Магазины!A:C,3,0)</f>
        <v>Кемерово</v>
      </c>
      <c r="J6872">
        <f>VLOOKUP(D6872,Товары!A:I,4,0)</f>
        <v>9930</v>
      </c>
      <c r="K6872">
        <f t="shared" si="107"/>
        <v>29790</v>
      </c>
    </row>
    <row r="6873" spans="1:11" hidden="1" x14ac:dyDescent="0.25">
      <c r="A6873">
        <v>6872</v>
      </c>
      <c r="B6873" s="1">
        <v>45755</v>
      </c>
      <c r="C6873" t="s">
        <v>33</v>
      </c>
      <c r="D6873" t="s">
        <v>98</v>
      </c>
      <c r="E6873" t="s">
        <v>8</v>
      </c>
      <c r="F6873">
        <v>2</v>
      </c>
      <c r="G6873" t="str">
        <f>VLOOKUP(D6873,Товары!A:I,3,0)</f>
        <v>Тумба с раковиной  напол. Рица 800 cерый/керамика 2 ящика с умыв. Слим</v>
      </c>
      <c r="H6873">
        <f>VLOOKUP(D6873,Товары!A:I,6,0)</f>
        <v>80</v>
      </c>
      <c r="I6873" t="str">
        <f>VLOOKUP(C6873,Магазины!A:C,3,0)</f>
        <v>Набережные Челны</v>
      </c>
      <c r="J6873">
        <f>VLOOKUP(D6873,Товары!A:I,4,0)</f>
        <v>28980</v>
      </c>
      <c r="K6873">
        <f t="shared" si="107"/>
        <v>57960</v>
      </c>
    </row>
    <row r="6874" spans="1:11" hidden="1" x14ac:dyDescent="0.25">
      <c r="A6874">
        <v>6873</v>
      </c>
      <c r="B6874" s="1">
        <v>45757</v>
      </c>
      <c r="C6874" t="s">
        <v>6</v>
      </c>
      <c r="D6874" t="s">
        <v>105</v>
      </c>
      <c r="E6874" t="s">
        <v>8</v>
      </c>
      <c r="F6874">
        <v>3</v>
      </c>
      <c r="G6874" t="str">
        <f>VLOOKUP(D6874,Товары!A:I,3,0)</f>
        <v>Тумба с раковиной  напол. Нева 600 белый 2 двери + 1 ящик с умыв. Como</v>
      </c>
      <c r="H6874">
        <f>VLOOKUP(D6874,Товары!A:I,6,0)</f>
        <v>80</v>
      </c>
      <c r="I6874" t="str">
        <f>VLOOKUP(C6874,Магазины!A:C,3,0)</f>
        <v>Оренбург</v>
      </c>
      <c r="J6874">
        <f>VLOOKUP(D6874,Товары!A:I,4,0)</f>
        <v>13470</v>
      </c>
      <c r="K6874">
        <f t="shared" si="107"/>
        <v>40410</v>
      </c>
    </row>
    <row r="6875" spans="1:11" hidden="1" x14ac:dyDescent="0.25">
      <c r="A6875">
        <v>6874</v>
      </c>
      <c r="B6875" s="1">
        <v>45750</v>
      </c>
      <c r="C6875" t="s">
        <v>6</v>
      </c>
      <c r="D6875" t="s">
        <v>108</v>
      </c>
      <c r="E6875" t="s">
        <v>8</v>
      </c>
      <c r="F6875">
        <v>2</v>
      </c>
      <c r="G6875" t="str">
        <f>VLOOKUP(D6875,Товары!A:I,3,0)</f>
        <v>Тумба с раковиной  навес. Виктория 1000 белый 2 ящика с умыв. Слим</v>
      </c>
      <c r="H6875">
        <f>VLOOKUP(D6875,Товары!A:I,6,0)</f>
        <v>60</v>
      </c>
      <c r="I6875" t="str">
        <f>VLOOKUP(C6875,Магазины!A:C,3,0)</f>
        <v>Оренбург</v>
      </c>
      <c r="J6875">
        <f>VLOOKUP(D6875,Товары!A:I,4,0)</f>
        <v>29205</v>
      </c>
      <c r="K6875">
        <f t="shared" si="107"/>
        <v>58410</v>
      </c>
    </row>
    <row r="6876" spans="1:11" hidden="1" x14ac:dyDescent="0.25">
      <c r="A6876">
        <v>6875</v>
      </c>
      <c r="B6876" s="1">
        <v>45748</v>
      </c>
      <c r="C6876" t="s">
        <v>43</v>
      </c>
      <c r="D6876" t="s">
        <v>118</v>
      </c>
      <c r="E6876" t="s">
        <v>13</v>
      </c>
      <c r="F6876">
        <v>3</v>
      </c>
      <c r="G6876" t="str">
        <f>VLOOKUP(D6876,Товары!A:I,3,0)</f>
        <v>Тумба с раковиной  напол. Сохо 800 белый 2 ящика с умыв. Слим</v>
      </c>
      <c r="H6876">
        <f>VLOOKUP(D6876,Товары!A:I,6,0)</f>
        <v>85</v>
      </c>
      <c r="I6876" t="str">
        <f>VLOOKUP(C6876,Магазины!A:C,3,0)</f>
        <v>Набережные Челны</v>
      </c>
      <c r="J6876">
        <f>VLOOKUP(D6876,Товары!A:I,4,0)</f>
        <v>19575</v>
      </c>
      <c r="K6876">
        <f t="shared" si="107"/>
        <v>58725</v>
      </c>
    </row>
    <row r="6877" spans="1:11" hidden="1" x14ac:dyDescent="0.25">
      <c r="A6877">
        <v>6876</v>
      </c>
      <c r="B6877" s="1">
        <v>45750</v>
      </c>
      <c r="C6877" t="s">
        <v>9</v>
      </c>
      <c r="D6877" t="s">
        <v>84</v>
      </c>
      <c r="E6877" t="s">
        <v>13</v>
      </c>
      <c r="F6877">
        <v>1</v>
      </c>
      <c r="G6877" t="str">
        <f>VLOOKUP(D6877,Товары!A:I,3,0)</f>
        <v>Тумба с раковиной  напол. Куба Риф 800 белый 3 двери с умыв. Слим</v>
      </c>
      <c r="H6877">
        <f>VLOOKUP(D6877,Товары!A:I,6,0)</f>
        <v>85</v>
      </c>
      <c r="I6877" t="str">
        <f>VLOOKUP(C6877,Магазины!A:C,3,0)</f>
        <v>Кемерово</v>
      </c>
      <c r="J6877">
        <f>VLOOKUP(D6877,Товары!A:I,4,0)</f>
        <v>19920</v>
      </c>
      <c r="K6877">
        <f t="shared" si="107"/>
        <v>19920</v>
      </c>
    </row>
    <row r="6878" spans="1:11" hidden="1" x14ac:dyDescent="0.25">
      <c r="A6878">
        <v>6877</v>
      </c>
      <c r="B6878" s="1">
        <v>45749</v>
      </c>
      <c r="C6878" t="s">
        <v>35</v>
      </c>
      <c r="D6878" t="s">
        <v>71</v>
      </c>
      <c r="E6878" t="s">
        <v>13</v>
      </c>
      <c r="F6878">
        <v>3</v>
      </c>
      <c r="G6878" t="str">
        <f>VLOOKUP(D6878,Товары!A:I,3,0)</f>
        <v>Тумба с раковиной  навес. Альба 600 мята 2 ящика с умыв. Океан</v>
      </c>
      <c r="H6878">
        <f>VLOOKUP(D6878,Товары!A:I,6,0)</f>
        <v>50</v>
      </c>
      <c r="I6878" t="str">
        <f>VLOOKUP(C6878,Магазины!A:C,3,0)</f>
        <v>Набережные Челны</v>
      </c>
      <c r="J6878">
        <f>VLOOKUP(D6878,Товары!A:I,4,0)</f>
        <v>24810</v>
      </c>
      <c r="K6878">
        <f t="shared" si="107"/>
        <v>74430</v>
      </c>
    </row>
    <row r="6879" spans="1:11" hidden="1" x14ac:dyDescent="0.25">
      <c r="A6879">
        <v>6878</v>
      </c>
      <c r="B6879" s="1">
        <v>45749</v>
      </c>
      <c r="C6879" t="s">
        <v>22</v>
      </c>
      <c r="D6879" t="s">
        <v>95</v>
      </c>
      <c r="E6879" t="s">
        <v>8</v>
      </c>
      <c r="F6879">
        <v>3</v>
      </c>
      <c r="G6879" t="str">
        <f>VLOOKUP(D6879,Товары!A:I,3,0)</f>
        <v>Тумба с раковиной  напол. Рица 600 антрацит 2 ящика с умыв. Океан</v>
      </c>
      <c r="H6879">
        <f>VLOOKUP(D6879,Товары!A:I,6,0)</f>
        <v>80</v>
      </c>
      <c r="I6879" t="str">
        <f>VLOOKUP(C6879,Магазины!A:C,3,0)</f>
        <v>Кемерово</v>
      </c>
      <c r="J6879">
        <f>VLOOKUP(D6879,Товары!A:I,4,0)</f>
        <v>25560</v>
      </c>
      <c r="K6879">
        <f t="shared" si="107"/>
        <v>76680</v>
      </c>
    </row>
    <row r="6880" spans="1:11" hidden="1" x14ac:dyDescent="0.25">
      <c r="A6880">
        <v>6879</v>
      </c>
      <c r="B6880" s="1">
        <v>45754</v>
      </c>
      <c r="C6880" t="s">
        <v>22</v>
      </c>
      <c r="D6880" t="s">
        <v>12</v>
      </c>
      <c r="E6880" t="s">
        <v>8</v>
      </c>
      <c r="F6880">
        <v>3</v>
      </c>
      <c r="G6880" t="str">
        <f>VLOOKUP(D6880,Товары!A:I,3,0)</f>
        <v>Тумба с раковиной  напол. Сохо 700 белый 2 двери с умыв. Слим</v>
      </c>
      <c r="H6880">
        <f>VLOOKUP(D6880,Товары!A:I,6,0)</f>
        <v>85</v>
      </c>
      <c r="I6880" t="str">
        <f>VLOOKUP(C6880,Магазины!A:C,3,0)</f>
        <v>Кемерово</v>
      </c>
      <c r="J6880">
        <f>VLOOKUP(D6880,Товары!A:I,4,0)</f>
        <v>17160</v>
      </c>
      <c r="K6880">
        <f t="shared" si="107"/>
        <v>51480</v>
      </c>
    </row>
    <row r="6881" spans="1:11" hidden="1" x14ac:dyDescent="0.25">
      <c r="A6881">
        <v>6880</v>
      </c>
      <c r="B6881" s="1">
        <v>45751</v>
      </c>
      <c r="C6881" t="s">
        <v>22</v>
      </c>
      <c r="D6881" t="s">
        <v>109</v>
      </c>
      <c r="E6881" t="s">
        <v>8</v>
      </c>
      <c r="F6881">
        <v>1</v>
      </c>
      <c r="G6881" t="str">
        <f>VLOOKUP(D6881,Товары!A:I,3,0)</f>
        <v>Тумба с раковиной  навес. Альба 600 антрацит 2 ящика с умыв. Океан</v>
      </c>
      <c r="H6881">
        <f>VLOOKUP(D6881,Товары!A:I,6,0)</f>
        <v>50</v>
      </c>
      <c r="I6881" t="str">
        <f>VLOOKUP(C6881,Магазины!A:C,3,0)</f>
        <v>Кемерово</v>
      </c>
      <c r="J6881">
        <f>VLOOKUP(D6881,Товары!A:I,4,0)</f>
        <v>24810</v>
      </c>
      <c r="K6881">
        <f t="shared" si="107"/>
        <v>24810</v>
      </c>
    </row>
    <row r="6882" spans="1:11" hidden="1" x14ac:dyDescent="0.25">
      <c r="A6882">
        <v>6881</v>
      </c>
      <c r="B6882" s="1">
        <v>45751</v>
      </c>
      <c r="C6882" t="s">
        <v>58</v>
      </c>
      <c r="D6882" t="s">
        <v>39</v>
      </c>
      <c r="E6882" t="s">
        <v>13</v>
      </c>
      <c r="F6882">
        <v>1</v>
      </c>
      <c r="G6882" t="str">
        <f>VLOOKUP(D6882,Товары!A:I,3,0)</f>
        <v>Тумба с раковиной  напол. Альба 700 мята 2 ящика с умыв. Слим</v>
      </c>
      <c r="H6882">
        <f>VLOOKUP(D6882,Товары!A:I,6,0)</f>
        <v>85</v>
      </c>
      <c r="I6882" t="str">
        <f>VLOOKUP(C6882,Магазины!A:C,3,0)</f>
        <v>Ставрополь</v>
      </c>
      <c r="J6882">
        <f>VLOOKUP(D6882,Товары!A:I,4,0)</f>
        <v>28695</v>
      </c>
      <c r="K6882">
        <f t="shared" si="107"/>
        <v>28695</v>
      </c>
    </row>
    <row r="6883" spans="1:11" hidden="1" x14ac:dyDescent="0.25">
      <c r="A6883">
        <v>6882</v>
      </c>
      <c r="B6883" s="1">
        <v>45757</v>
      </c>
      <c r="C6883" t="s">
        <v>111</v>
      </c>
      <c r="D6883" t="s">
        <v>75</v>
      </c>
      <c r="E6883" t="s">
        <v>13</v>
      </c>
      <c r="F6883">
        <v>1</v>
      </c>
      <c r="G6883" t="str">
        <f>VLOOKUP(D6883,Товары!A:I,3,0)</f>
        <v>Тумба с раковиной  напол. Альба 600 суфле 2 ящика с умыв. Океан</v>
      </c>
      <c r="H6883">
        <f>VLOOKUP(D6883,Товары!A:I,6,0)</f>
        <v>80</v>
      </c>
      <c r="I6883" t="str">
        <f>VLOOKUP(C6883,Магазины!A:C,3,0)</f>
        <v>Набережные Челны</v>
      </c>
      <c r="J6883">
        <f>VLOOKUP(D6883,Товары!A:I,4,0)</f>
        <v>26370</v>
      </c>
      <c r="K6883">
        <f t="shared" si="107"/>
        <v>26370</v>
      </c>
    </row>
    <row r="6884" spans="1:11" hidden="1" x14ac:dyDescent="0.25">
      <c r="A6884">
        <v>6883</v>
      </c>
      <c r="B6884" s="1">
        <v>45750</v>
      </c>
      <c r="C6884" t="s">
        <v>57</v>
      </c>
      <c r="D6884" t="s">
        <v>15</v>
      </c>
      <c r="E6884" t="s">
        <v>8</v>
      </c>
      <c r="F6884">
        <v>2</v>
      </c>
      <c r="G6884" t="str">
        <f>VLOOKUP(D6884,Товары!A:I,3,0)</f>
        <v>Зеркальный шкаф Кристалл 60 со светильником правый, ручка кнопка дуб цвет Шато Азур</v>
      </c>
      <c r="H6884">
        <f>VLOOKUP(D6884,Товары!A:I,6,0)</f>
        <v>75</v>
      </c>
      <c r="I6884" t="str">
        <f>VLOOKUP(C6884,Магазины!A:C,3,0)</f>
        <v>Оренбург</v>
      </c>
      <c r="J6884">
        <f>VLOOKUP(D6884,Товары!A:I,4,0)</f>
        <v>9195</v>
      </c>
      <c r="K6884">
        <f t="shared" si="107"/>
        <v>18390</v>
      </c>
    </row>
    <row r="6885" spans="1:11" hidden="1" x14ac:dyDescent="0.25">
      <c r="A6885">
        <v>6884</v>
      </c>
      <c r="B6885" s="1">
        <v>45752</v>
      </c>
      <c r="C6885" t="s">
        <v>28</v>
      </c>
      <c r="D6885" t="s">
        <v>73</v>
      </c>
      <c r="E6885" t="s">
        <v>13</v>
      </c>
      <c r="F6885">
        <v>2</v>
      </c>
      <c r="G6885" t="str">
        <f>VLOOKUP(D6885,Товары!A:I,3,0)</f>
        <v>Зеркальный шкаф Альба 70 со светильником правый цвет антрацит</v>
      </c>
      <c r="H6885">
        <f>VLOOKUP(D6885,Товары!A:I,6,0)</f>
        <v>75</v>
      </c>
      <c r="I6885" t="str">
        <f>VLOOKUP(C6885,Магазины!A:C,3,0)</f>
        <v>Набережные Челны</v>
      </c>
      <c r="J6885">
        <f>VLOOKUP(D6885,Товары!A:I,4,0)</f>
        <v>9615</v>
      </c>
      <c r="K6885">
        <f t="shared" si="107"/>
        <v>19230</v>
      </c>
    </row>
    <row r="6886" spans="1:11" hidden="1" x14ac:dyDescent="0.25">
      <c r="A6886">
        <v>6885</v>
      </c>
      <c r="B6886" s="1">
        <v>45751</v>
      </c>
      <c r="C6886" t="s">
        <v>22</v>
      </c>
      <c r="D6886" t="s">
        <v>24</v>
      </c>
      <c r="E6886" t="s">
        <v>8</v>
      </c>
      <c r="F6886">
        <v>3</v>
      </c>
      <c r="G6886" t="str">
        <f>VLOOKUP(D6886,Товары!A:I,3,0)</f>
        <v>Тумба с раковиной  напол. Леон 600 форест 2 ящика с умыв. Слим</v>
      </c>
      <c r="H6886">
        <f>VLOOKUP(D6886,Товары!A:I,6,0)</f>
        <v>80</v>
      </c>
      <c r="I6886" t="str">
        <f>VLOOKUP(C6886,Магазины!A:C,3,0)</f>
        <v>Кемерово</v>
      </c>
      <c r="J6886">
        <f>VLOOKUP(D6886,Товары!A:I,4,0)</f>
        <v>27150</v>
      </c>
      <c r="K6886">
        <f t="shared" si="107"/>
        <v>81450</v>
      </c>
    </row>
    <row r="6887" spans="1:11" hidden="1" x14ac:dyDescent="0.25">
      <c r="A6887">
        <v>6886</v>
      </c>
      <c r="B6887" s="1">
        <v>45756</v>
      </c>
      <c r="C6887" t="s">
        <v>63</v>
      </c>
      <c r="D6887" t="s">
        <v>115</v>
      </c>
      <c r="E6887" t="s">
        <v>8</v>
      </c>
      <c r="F6887">
        <v>2</v>
      </c>
      <c r="G6887" t="str">
        <f>VLOOKUP(D6887,Товары!A:I,3,0)</f>
        <v>Тумба под стиральную машину Куба Риф 57 напольная 2 ящика под ст/маш, без умывальника /под Marshall 120 Белый</v>
      </c>
      <c r="H6887">
        <f>VLOOKUP(D6887,Товары!A:I,6,0)</f>
        <v>85</v>
      </c>
      <c r="I6887" t="str">
        <f>VLOOKUP(C6887,Магазины!A:C,3,0)</f>
        <v>Ставрополь</v>
      </c>
      <c r="J6887">
        <f>VLOOKUP(D6887,Товары!A:I,4,0)</f>
        <v>10530</v>
      </c>
      <c r="K6887">
        <f t="shared" si="107"/>
        <v>21060</v>
      </c>
    </row>
    <row r="6888" spans="1:11" hidden="1" x14ac:dyDescent="0.25">
      <c r="A6888">
        <v>6887</v>
      </c>
      <c r="B6888" s="1">
        <v>45757</v>
      </c>
      <c r="C6888" t="s">
        <v>92</v>
      </c>
      <c r="D6888" t="s">
        <v>88</v>
      </c>
      <c r="E6888" t="s">
        <v>13</v>
      </c>
      <c r="F6888">
        <v>1</v>
      </c>
      <c r="G6888" t="str">
        <f>VLOOKUP(D6888,Товары!A:I,3,0)</f>
        <v>Тумба с раковиной  навес. Альба 800 антрацит 2 ящика с умыв. Слим</v>
      </c>
      <c r="H6888">
        <f>VLOOKUP(D6888,Товары!A:I,6,0)</f>
        <v>50</v>
      </c>
      <c r="I6888" t="str">
        <f>VLOOKUP(C6888,Магазины!A:C,3,0)</f>
        <v>Кемерово</v>
      </c>
      <c r="J6888">
        <f>VLOOKUP(D6888,Товары!A:I,4,0)</f>
        <v>26070</v>
      </c>
      <c r="K6888">
        <f t="shared" si="107"/>
        <v>26070</v>
      </c>
    </row>
    <row r="6889" spans="1:11" hidden="1" x14ac:dyDescent="0.25">
      <c r="A6889">
        <v>6888</v>
      </c>
      <c r="B6889" s="1">
        <v>45749</v>
      </c>
      <c r="C6889" t="s">
        <v>63</v>
      </c>
      <c r="D6889" t="s">
        <v>123</v>
      </c>
      <c r="E6889" t="s">
        <v>8</v>
      </c>
      <c r="F6889">
        <v>1</v>
      </c>
      <c r="G6889" t="str">
        <f>VLOOKUP(D6889,Товары!A:I,3,0)</f>
        <v>Тумба с раковиной  напол. Кристалл 800 суфле 2 ящика с умыв. Слим</v>
      </c>
      <c r="H6889">
        <f>VLOOKUP(D6889,Товары!A:I,6,0)</f>
        <v>80</v>
      </c>
      <c r="I6889" t="str">
        <f>VLOOKUP(C6889,Магазины!A:C,3,0)</f>
        <v>Ставрополь</v>
      </c>
      <c r="J6889">
        <f>VLOOKUP(D6889,Товары!A:I,4,0)</f>
        <v>31125</v>
      </c>
      <c r="K6889">
        <f t="shared" si="107"/>
        <v>31125</v>
      </c>
    </row>
    <row r="6890" spans="1:11" hidden="1" x14ac:dyDescent="0.25">
      <c r="A6890">
        <v>6889</v>
      </c>
      <c r="B6890" s="1">
        <v>45750</v>
      </c>
      <c r="C6890" t="s">
        <v>14</v>
      </c>
      <c r="D6890" t="s">
        <v>10</v>
      </c>
      <c r="E6890" t="s">
        <v>8</v>
      </c>
      <c r="F6890">
        <v>1</v>
      </c>
      <c r="G6890" t="str">
        <f>VLOOKUP(D6890,Товары!A:I,3,0)</f>
        <v>Тумба с раковиной  навес. Альба 700 антрацит 1 ящик с умыв. Слим</v>
      </c>
      <c r="H6890">
        <f>VLOOKUP(D6890,Товары!A:I,6,0)</f>
        <v>45</v>
      </c>
      <c r="I6890" t="str">
        <f>VLOOKUP(C6890,Магазины!A:C,3,0)</f>
        <v>Оренбург</v>
      </c>
      <c r="J6890">
        <f>VLOOKUP(D6890,Товары!A:I,4,0)</f>
        <v>20130</v>
      </c>
      <c r="K6890">
        <f t="shared" si="107"/>
        <v>20130</v>
      </c>
    </row>
    <row r="6891" spans="1:11" hidden="1" x14ac:dyDescent="0.25">
      <c r="A6891">
        <v>6890</v>
      </c>
      <c r="B6891" s="1">
        <v>45750</v>
      </c>
      <c r="C6891" t="s">
        <v>63</v>
      </c>
      <c r="D6891" t="s">
        <v>117</v>
      </c>
      <c r="E6891" t="s">
        <v>13</v>
      </c>
      <c r="F6891">
        <v>3</v>
      </c>
      <c r="G6891" t="str">
        <f>VLOOKUP(D6891,Товары!A:I,3,0)</f>
        <v>Тумба с раковиной  навес. Альба 700 антрацит 2 ящика с умыв. Слим</v>
      </c>
      <c r="H6891">
        <f>VLOOKUP(D6891,Товары!A:I,6,0)</f>
        <v>60</v>
      </c>
      <c r="I6891" t="str">
        <f>VLOOKUP(C6891,Магазины!A:C,3,0)</f>
        <v>Ставрополь</v>
      </c>
      <c r="J6891">
        <f>VLOOKUP(D6891,Товары!A:I,4,0)</f>
        <v>25095</v>
      </c>
      <c r="K6891">
        <f t="shared" si="107"/>
        <v>75285</v>
      </c>
    </row>
    <row r="6892" spans="1:11" hidden="1" x14ac:dyDescent="0.25">
      <c r="A6892">
        <v>6891</v>
      </c>
      <c r="B6892" s="1">
        <v>45757</v>
      </c>
      <c r="C6892" t="s">
        <v>14</v>
      </c>
      <c r="D6892" t="s">
        <v>93</v>
      </c>
      <c r="E6892" t="s">
        <v>8</v>
      </c>
      <c r="F6892">
        <v>3</v>
      </c>
      <c r="G6892" t="str">
        <f>VLOOKUP(D6892,Товары!A:I,3,0)</f>
        <v>Тумба с раковиной  напол. Леон Риф 800 солярис/белый риф 2 ящика с умыв. Слим</v>
      </c>
      <c r="H6892">
        <f>VLOOKUP(D6892,Товары!A:I,6,0)</f>
        <v>80</v>
      </c>
      <c r="I6892" t="str">
        <f>VLOOKUP(C6892,Магазины!A:C,3,0)</f>
        <v>Оренбург</v>
      </c>
      <c r="J6892">
        <f>VLOOKUP(D6892,Товары!A:I,4,0)</f>
        <v>29340</v>
      </c>
      <c r="K6892">
        <f t="shared" si="107"/>
        <v>88020</v>
      </c>
    </row>
    <row r="6893" spans="1:11" hidden="1" x14ac:dyDescent="0.25">
      <c r="A6893">
        <v>6892</v>
      </c>
      <c r="B6893" s="1">
        <v>45753</v>
      </c>
      <c r="C6893" t="s">
        <v>43</v>
      </c>
      <c r="D6893" t="s">
        <v>130</v>
      </c>
      <c r="E6893" t="s">
        <v>8</v>
      </c>
      <c r="F6893">
        <v>2</v>
      </c>
      <c r="G6893" t="str">
        <f>VLOOKUP(D6893,Товары!A:I,3,0)</f>
        <v>Пенал напол. Леон 400 форест 2 двери + 1 ящик</v>
      </c>
      <c r="H6893">
        <f>VLOOKUP(D6893,Товары!A:I,6,0)</f>
        <v>190</v>
      </c>
      <c r="I6893" t="str">
        <f>VLOOKUP(C6893,Магазины!A:C,3,0)</f>
        <v>Набережные Челны</v>
      </c>
      <c r="J6893">
        <f>VLOOKUP(D6893,Товары!A:I,4,0)</f>
        <v>18450</v>
      </c>
      <c r="K6893">
        <f t="shared" si="107"/>
        <v>36900</v>
      </c>
    </row>
    <row r="6894" spans="1:11" hidden="1" x14ac:dyDescent="0.25">
      <c r="A6894">
        <v>6893</v>
      </c>
      <c r="B6894" s="1">
        <v>45752</v>
      </c>
      <c r="C6894" t="s">
        <v>35</v>
      </c>
      <c r="D6894" t="s">
        <v>119</v>
      </c>
      <c r="E6894" t="s">
        <v>13</v>
      </c>
      <c r="F6894">
        <v>1</v>
      </c>
      <c r="G6894" t="str">
        <f>VLOOKUP(D6894,Товары!A:I,3,0)</f>
        <v>Пенал навес./напол. Рица 350 cерый/керамика 2 двери</v>
      </c>
      <c r="H6894">
        <f>VLOOKUP(D6894,Товары!A:I,6,0)</f>
        <v>160</v>
      </c>
      <c r="I6894" t="str">
        <f>VLOOKUP(C6894,Магазины!A:C,3,0)</f>
        <v>Набережные Челны</v>
      </c>
      <c r="J6894">
        <f>VLOOKUP(D6894,Товары!A:I,4,0)</f>
        <v>11250</v>
      </c>
      <c r="K6894">
        <f t="shared" si="107"/>
        <v>11250</v>
      </c>
    </row>
    <row r="6895" spans="1:11" hidden="1" x14ac:dyDescent="0.25">
      <c r="A6895">
        <v>6894</v>
      </c>
      <c r="B6895" s="1">
        <v>45750</v>
      </c>
      <c r="C6895" t="s">
        <v>26</v>
      </c>
      <c r="D6895" t="s">
        <v>72</v>
      </c>
      <c r="E6895" t="s">
        <v>8</v>
      </c>
      <c r="F6895">
        <v>3</v>
      </c>
      <c r="G6895" t="str">
        <f>VLOOKUP(D6895,Товары!A:I,3,0)</f>
        <v>Тумба с раковиной  напол. Сохо 600 белый 2 ящика с умыв. Океан</v>
      </c>
      <c r="H6895">
        <f>VLOOKUP(D6895,Товары!A:I,6,0)</f>
        <v>85</v>
      </c>
      <c r="I6895" t="str">
        <f>VLOOKUP(C6895,Магазины!A:C,3,0)</f>
        <v>Оренбург</v>
      </c>
      <c r="J6895">
        <f>VLOOKUP(D6895,Товары!A:I,4,0)</f>
        <v>16140</v>
      </c>
      <c r="K6895">
        <f t="shared" si="107"/>
        <v>48420</v>
      </c>
    </row>
    <row r="6896" spans="1:11" hidden="1" x14ac:dyDescent="0.25">
      <c r="A6896">
        <v>6895</v>
      </c>
      <c r="B6896" s="1">
        <v>45751</v>
      </c>
      <c r="C6896" t="s">
        <v>26</v>
      </c>
      <c r="D6896" t="s">
        <v>42</v>
      </c>
      <c r="E6896" t="s">
        <v>8</v>
      </c>
      <c r="F6896">
        <v>2</v>
      </c>
      <c r="G6896" t="str">
        <f>VLOOKUP(D6896,Товары!A:I,3,0)</f>
        <v>Тумба под стиральную машину Леон Риф 57 подвесная 2 ящика под ст/маш, без умывальника /под Marshall 120 Солярис/Белый Риф</v>
      </c>
      <c r="H6896">
        <f>VLOOKUP(D6896,Товары!A:I,6,0)</f>
        <v>60</v>
      </c>
      <c r="I6896" t="str">
        <f>VLOOKUP(C6896,Магазины!A:C,3,0)</f>
        <v>Оренбург</v>
      </c>
      <c r="J6896">
        <f>VLOOKUP(D6896,Товары!A:I,4,0)</f>
        <v>15495</v>
      </c>
      <c r="K6896">
        <f t="shared" si="107"/>
        <v>30990</v>
      </c>
    </row>
    <row r="6897" spans="1:11" hidden="1" x14ac:dyDescent="0.25">
      <c r="A6897">
        <v>6896</v>
      </c>
      <c r="B6897" s="1">
        <v>45756</v>
      </c>
      <c r="C6897" t="s">
        <v>58</v>
      </c>
      <c r="D6897" t="s">
        <v>98</v>
      </c>
      <c r="E6897" t="s">
        <v>13</v>
      </c>
      <c r="F6897">
        <v>1</v>
      </c>
      <c r="G6897" t="str">
        <f>VLOOKUP(D6897,Товары!A:I,3,0)</f>
        <v>Тумба с раковиной  напол. Рица 800 cерый/керамика 2 ящика с умыв. Слим</v>
      </c>
      <c r="H6897">
        <f>VLOOKUP(D6897,Товары!A:I,6,0)</f>
        <v>80</v>
      </c>
      <c r="I6897" t="str">
        <f>VLOOKUP(C6897,Магазины!A:C,3,0)</f>
        <v>Ставрополь</v>
      </c>
      <c r="J6897">
        <f>VLOOKUP(D6897,Товары!A:I,4,0)</f>
        <v>28980</v>
      </c>
      <c r="K6897">
        <f t="shared" si="107"/>
        <v>28980</v>
      </c>
    </row>
    <row r="6898" spans="1:11" hidden="1" x14ac:dyDescent="0.25">
      <c r="A6898">
        <v>6897</v>
      </c>
      <c r="B6898" s="1">
        <v>45754</v>
      </c>
      <c r="C6898" t="s">
        <v>22</v>
      </c>
      <c r="D6898" t="s">
        <v>80</v>
      </c>
      <c r="E6898" t="s">
        <v>8</v>
      </c>
      <c r="F6898">
        <v>2</v>
      </c>
      <c r="G6898" t="str">
        <f>VLOOKUP(D6898,Товары!A:I,3,0)</f>
        <v>Тумба с раковиной  навес. Сохо 600 белый 2 ящика с умыв. Океан</v>
      </c>
      <c r="H6898">
        <f>VLOOKUP(D6898,Товары!A:I,6,0)</f>
        <v>55</v>
      </c>
      <c r="I6898" t="str">
        <f>VLOOKUP(C6898,Магазины!A:C,3,0)</f>
        <v>Кемерово</v>
      </c>
      <c r="J6898">
        <f>VLOOKUP(D6898,Товары!A:I,4,0)</f>
        <v>13950</v>
      </c>
      <c r="K6898">
        <f t="shared" si="107"/>
        <v>27900</v>
      </c>
    </row>
    <row r="6899" spans="1:11" hidden="1" x14ac:dyDescent="0.25">
      <c r="A6899">
        <v>6898</v>
      </c>
      <c r="B6899" s="1">
        <v>45755</v>
      </c>
      <c r="C6899" t="s">
        <v>54</v>
      </c>
      <c r="D6899" t="s">
        <v>125</v>
      </c>
      <c r="E6899" t="s">
        <v>8</v>
      </c>
      <c r="F6899">
        <v>1</v>
      </c>
      <c r="G6899" t="str">
        <f>VLOOKUP(D6899,Товары!A:I,3,0)</f>
        <v>Зеркальный шкаф Сохо 60 белый со светильником правый цвет Белый глянец</v>
      </c>
      <c r="H6899">
        <f>VLOOKUP(D6899,Товары!A:I,6,0)</f>
        <v>75</v>
      </c>
      <c r="I6899" t="str">
        <f>VLOOKUP(C6899,Магазины!A:C,3,0)</f>
        <v>Ставрополь</v>
      </c>
      <c r="J6899">
        <f>VLOOKUP(D6899,Товары!A:I,4,0)</f>
        <v>7395</v>
      </c>
      <c r="K6899">
        <f t="shared" si="107"/>
        <v>7395</v>
      </c>
    </row>
    <row r="6900" spans="1:11" hidden="1" x14ac:dyDescent="0.25">
      <c r="A6900">
        <v>6899</v>
      </c>
      <c r="B6900" s="1">
        <v>45750</v>
      </c>
      <c r="C6900" t="s">
        <v>103</v>
      </c>
      <c r="D6900" t="s">
        <v>73</v>
      </c>
      <c r="E6900" t="s">
        <v>13</v>
      </c>
      <c r="F6900">
        <v>3</v>
      </c>
      <c r="G6900" t="str">
        <f>VLOOKUP(D6900,Товары!A:I,3,0)</f>
        <v>Зеркальный шкаф Альба 70 со светильником правый цвет антрацит</v>
      </c>
      <c r="H6900">
        <f>VLOOKUP(D6900,Товары!A:I,6,0)</f>
        <v>75</v>
      </c>
      <c r="I6900" t="str">
        <f>VLOOKUP(C6900,Магазины!A:C,3,0)</f>
        <v>Ставрополь</v>
      </c>
      <c r="J6900">
        <f>VLOOKUP(D6900,Товары!A:I,4,0)</f>
        <v>9615</v>
      </c>
      <c r="K6900">
        <f t="shared" si="107"/>
        <v>28845</v>
      </c>
    </row>
    <row r="6901" spans="1:11" hidden="1" x14ac:dyDescent="0.25">
      <c r="A6901">
        <v>6900</v>
      </c>
      <c r="B6901" s="1">
        <v>45753</v>
      </c>
      <c r="C6901" t="s">
        <v>92</v>
      </c>
      <c r="D6901" t="s">
        <v>50</v>
      </c>
      <c r="E6901" t="s">
        <v>8</v>
      </c>
      <c r="F6901">
        <v>1</v>
      </c>
      <c r="G6901" t="str">
        <f>VLOOKUP(D6901,Товары!A:I,3,0)</f>
        <v>Тумба с раковиной  напол. Леон 800 оникс 2 ящика с умыв. Слим</v>
      </c>
      <c r="H6901">
        <f>VLOOKUP(D6901,Товары!A:I,6,0)</f>
        <v>80</v>
      </c>
      <c r="I6901" t="str">
        <f>VLOOKUP(C6901,Магазины!A:C,3,0)</f>
        <v>Кемерово</v>
      </c>
      <c r="J6901">
        <f>VLOOKUP(D6901,Товары!A:I,4,0)</f>
        <v>29400</v>
      </c>
      <c r="K6901">
        <f t="shared" si="107"/>
        <v>29400</v>
      </c>
    </row>
    <row r="6902" spans="1:11" hidden="1" x14ac:dyDescent="0.25">
      <c r="A6902">
        <v>6901</v>
      </c>
      <c r="B6902" s="1">
        <v>45756</v>
      </c>
      <c r="C6902" t="s">
        <v>43</v>
      </c>
      <c r="D6902" t="s">
        <v>98</v>
      </c>
      <c r="E6902" t="s">
        <v>8</v>
      </c>
      <c r="F6902">
        <v>1</v>
      </c>
      <c r="G6902" t="str">
        <f>VLOOKUP(D6902,Товары!A:I,3,0)</f>
        <v>Тумба с раковиной  напол. Рица 800 cерый/керамика 2 ящика с умыв. Слим</v>
      </c>
      <c r="H6902">
        <f>VLOOKUP(D6902,Товары!A:I,6,0)</f>
        <v>80</v>
      </c>
      <c r="I6902" t="str">
        <f>VLOOKUP(C6902,Магазины!A:C,3,0)</f>
        <v>Набережные Челны</v>
      </c>
      <c r="J6902">
        <f>VLOOKUP(D6902,Товары!A:I,4,0)</f>
        <v>28980</v>
      </c>
      <c r="K6902">
        <f t="shared" si="107"/>
        <v>28980</v>
      </c>
    </row>
    <row r="6903" spans="1:11" hidden="1" x14ac:dyDescent="0.25">
      <c r="A6903">
        <v>6902</v>
      </c>
      <c r="B6903" s="1">
        <v>45753</v>
      </c>
      <c r="C6903" t="s">
        <v>58</v>
      </c>
      <c r="D6903" t="s">
        <v>32</v>
      </c>
      <c r="E6903" t="s">
        <v>13</v>
      </c>
      <c r="F6903">
        <v>2</v>
      </c>
      <c r="G6903" t="str">
        <f>VLOOKUP(D6903,Товары!A:I,3,0)</f>
        <v>Тумба с раковиной  напол. Леон Риф 700 солярис/белый риф 2 ящика с умыв. Слим</v>
      </c>
      <c r="H6903">
        <f>VLOOKUP(D6903,Товары!A:I,6,0)</f>
        <v>85</v>
      </c>
      <c r="I6903" t="str">
        <f>VLOOKUP(C6903,Магазины!A:C,3,0)</f>
        <v>Ставрополь</v>
      </c>
      <c r="J6903">
        <f>VLOOKUP(D6903,Товары!A:I,4,0)</f>
        <v>26460</v>
      </c>
      <c r="K6903">
        <f t="shared" si="107"/>
        <v>52920</v>
      </c>
    </row>
    <row r="6904" spans="1:11" hidden="1" x14ac:dyDescent="0.25">
      <c r="A6904">
        <v>6903</v>
      </c>
      <c r="B6904" s="1">
        <v>45754</v>
      </c>
      <c r="C6904" t="s">
        <v>16</v>
      </c>
      <c r="D6904" t="s">
        <v>116</v>
      </c>
      <c r="E6904" t="s">
        <v>13</v>
      </c>
      <c r="F6904">
        <v>3</v>
      </c>
      <c r="G6904" t="str">
        <f>VLOOKUP(D6904,Товары!A:I,3,0)</f>
        <v>Зеркало Нева 60 дуб/белый со светильником</v>
      </c>
      <c r="H6904">
        <f>VLOOKUP(D6904,Товары!A:I,6,0)</f>
        <v>80</v>
      </c>
      <c r="I6904" t="str">
        <f>VLOOKUP(C6904,Магазины!A:C,3,0)</f>
        <v>Оренбург</v>
      </c>
      <c r="J6904">
        <f>VLOOKUP(D6904,Товары!A:I,4,0)</f>
        <v>5100</v>
      </c>
      <c r="K6904">
        <f t="shared" si="107"/>
        <v>15300</v>
      </c>
    </row>
    <row r="6905" spans="1:11" hidden="1" x14ac:dyDescent="0.25">
      <c r="A6905">
        <v>6904</v>
      </c>
      <c r="B6905" s="1">
        <v>45754</v>
      </c>
      <c r="C6905" t="s">
        <v>54</v>
      </c>
      <c r="D6905" t="s">
        <v>46</v>
      </c>
      <c r="E6905" t="s">
        <v>13</v>
      </c>
      <c r="F6905">
        <v>3</v>
      </c>
      <c r="G6905" t="str">
        <f>VLOOKUP(D6905,Товары!A:I,3,0)</f>
        <v>Тумба с раковиной  напол. Сохо 700 белый 2 ящика с умыв. Слим</v>
      </c>
      <c r="H6905">
        <f>VLOOKUP(D6905,Товары!A:I,6,0)</f>
        <v>85</v>
      </c>
      <c r="I6905" t="str">
        <f>VLOOKUP(C6905,Магазины!A:C,3,0)</f>
        <v>Ставрополь</v>
      </c>
      <c r="J6905">
        <f>VLOOKUP(D6905,Товары!A:I,4,0)</f>
        <v>18405</v>
      </c>
      <c r="K6905">
        <f t="shared" si="107"/>
        <v>55215</v>
      </c>
    </row>
    <row r="6906" spans="1:11" hidden="1" x14ac:dyDescent="0.25">
      <c r="A6906">
        <v>6905</v>
      </c>
      <c r="B6906" s="1">
        <v>45752</v>
      </c>
      <c r="C6906" t="s">
        <v>20</v>
      </c>
      <c r="D6906" t="s">
        <v>60</v>
      </c>
      <c r="E6906" t="s">
        <v>13</v>
      </c>
      <c r="F6906">
        <v>3</v>
      </c>
      <c r="G6906" t="str">
        <f>VLOOKUP(D6906,Товары!A:I,3,0)</f>
        <v>Пенал навес. Куба Риф 350 белый 2 двери</v>
      </c>
      <c r="H6906">
        <f>VLOOKUP(D6906,Товары!A:I,6,0)</f>
        <v>150</v>
      </c>
      <c r="I6906" t="str">
        <f>VLOOKUP(C6906,Магазины!A:C,3,0)</f>
        <v>Оренбург</v>
      </c>
      <c r="J6906">
        <f>VLOOKUP(D6906,Товары!A:I,4,0)</f>
        <v>9720</v>
      </c>
      <c r="K6906">
        <f t="shared" si="107"/>
        <v>29160</v>
      </c>
    </row>
    <row r="6907" spans="1:11" hidden="1" x14ac:dyDescent="0.25">
      <c r="A6907">
        <v>6906</v>
      </c>
      <c r="B6907" s="1">
        <v>45756</v>
      </c>
      <c r="C6907" t="s">
        <v>63</v>
      </c>
      <c r="D6907" t="s">
        <v>105</v>
      </c>
      <c r="E6907" t="s">
        <v>13</v>
      </c>
      <c r="F6907">
        <v>3</v>
      </c>
      <c r="G6907" t="str">
        <f>VLOOKUP(D6907,Товары!A:I,3,0)</f>
        <v>Тумба с раковиной  напол. Нева 600 белый 2 двери + 1 ящик с умыв. Como</v>
      </c>
      <c r="H6907">
        <f>VLOOKUP(D6907,Товары!A:I,6,0)</f>
        <v>80</v>
      </c>
      <c r="I6907" t="str">
        <f>VLOOKUP(C6907,Магазины!A:C,3,0)</f>
        <v>Ставрополь</v>
      </c>
      <c r="J6907">
        <f>VLOOKUP(D6907,Товары!A:I,4,0)</f>
        <v>13470</v>
      </c>
      <c r="K6907">
        <f t="shared" si="107"/>
        <v>40410</v>
      </c>
    </row>
    <row r="6908" spans="1:11" hidden="1" x14ac:dyDescent="0.25">
      <c r="A6908">
        <v>6907</v>
      </c>
      <c r="B6908" s="1">
        <v>45751</v>
      </c>
      <c r="C6908" t="s">
        <v>57</v>
      </c>
      <c r="D6908" t="s">
        <v>75</v>
      </c>
      <c r="E6908" t="s">
        <v>8</v>
      </c>
      <c r="F6908">
        <v>3</v>
      </c>
      <c r="G6908" t="str">
        <f>VLOOKUP(D6908,Товары!A:I,3,0)</f>
        <v>Тумба с раковиной  напол. Альба 600 суфле 2 ящика с умыв. Океан</v>
      </c>
      <c r="H6908">
        <f>VLOOKUP(D6908,Товары!A:I,6,0)</f>
        <v>80</v>
      </c>
      <c r="I6908" t="str">
        <f>VLOOKUP(C6908,Магазины!A:C,3,0)</f>
        <v>Оренбург</v>
      </c>
      <c r="J6908">
        <f>VLOOKUP(D6908,Товары!A:I,4,0)</f>
        <v>26370</v>
      </c>
      <c r="K6908">
        <f t="shared" si="107"/>
        <v>79110</v>
      </c>
    </row>
    <row r="6909" spans="1:11" hidden="1" x14ac:dyDescent="0.25">
      <c r="A6909">
        <v>6908</v>
      </c>
      <c r="B6909" s="1">
        <v>45753</v>
      </c>
      <c r="C6909" t="s">
        <v>92</v>
      </c>
      <c r="D6909" t="s">
        <v>81</v>
      </c>
      <c r="E6909" t="s">
        <v>8</v>
      </c>
      <c r="F6909">
        <v>3</v>
      </c>
      <c r="G6909" t="str">
        <f>VLOOKUP(D6909,Товары!A:I,3,0)</f>
        <v>Тумба с раковиной  навес. Рица 600 cерый/керамика 1 ящик + ниша 1 с умыв. Океан</v>
      </c>
      <c r="H6909">
        <f>VLOOKUP(D6909,Товары!A:I,6,0)</f>
        <v>60</v>
      </c>
      <c r="I6909" t="str">
        <f>VLOOKUP(C6909,Магазины!A:C,3,0)</f>
        <v>Кемерово</v>
      </c>
      <c r="J6909">
        <f>VLOOKUP(D6909,Товары!A:I,4,0)</f>
        <v>18900</v>
      </c>
      <c r="K6909">
        <f t="shared" si="107"/>
        <v>56700</v>
      </c>
    </row>
    <row r="6910" spans="1:11" hidden="1" x14ac:dyDescent="0.25">
      <c r="A6910">
        <v>6909</v>
      </c>
      <c r="B6910" s="1">
        <v>45752</v>
      </c>
      <c r="C6910" t="s">
        <v>16</v>
      </c>
      <c r="D6910" t="s">
        <v>36</v>
      </c>
      <c r="E6910" t="s">
        <v>8</v>
      </c>
      <c r="F6910">
        <v>3</v>
      </c>
      <c r="G6910" t="str">
        <f>VLOOKUP(D6910,Товары!A:I,3,0)</f>
        <v>Тумба с раковиной  напол. Альба 800 мята 2 ящика с умыв. Слим</v>
      </c>
      <c r="H6910">
        <f>VLOOKUP(D6910,Товары!A:I,6,0)</f>
        <v>80</v>
      </c>
      <c r="I6910" t="str">
        <f>VLOOKUP(C6910,Магазины!A:C,3,0)</f>
        <v>Оренбург</v>
      </c>
      <c r="J6910">
        <f>VLOOKUP(D6910,Товары!A:I,4,0)</f>
        <v>29340</v>
      </c>
      <c r="K6910">
        <f t="shared" si="107"/>
        <v>88020</v>
      </c>
    </row>
    <row r="6911" spans="1:11" hidden="1" x14ac:dyDescent="0.25">
      <c r="A6911">
        <v>6910</v>
      </c>
      <c r="B6911" s="1">
        <v>45752</v>
      </c>
      <c r="C6911" t="s">
        <v>58</v>
      </c>
      <c r="D6911" t="s">
        <v>129</v>
      </c>
      <c r="E6911" t="s">
        <v>8</v>
      </c>
      <c r="F6911">
        <v>3</v>
      </c>
      <c r="G6911" t="str">
        <f>VLOOKUP(D6911,Товары!A:I,3,0)</f>
        <v>Тумба с раковиной  напол. Альба 700 антрацит 2 ящика с умыв. Слим</v>
      </c>
      <c r="H6911">
        <f>VLOOKUP(D6911,Товары!A:I,6,0)</f>
        <v>85</v>
      </c>
      <c r="I6911" t="str">
        <f>VLOOKUP(C6911,Магазины!A:C,3,0)</f>
        <v>Ставрополь</v>
      </c>
      <c r="J6911">
        <f>VLOOKUP(D6911,Товары!A:I,4,0)</f>
        <v>28695</v>
      </c>
      <c r="K6911">
        <f t="shared" si="107"/>
        <v>86085</v>
      </c>
    </row>
    <row r="6912" spans="1:11" hidden="1" x14ac:dyDescent="0.25">
      <c r="A6912">
        <v>6911</v>
      </c>
      <c r="B6912" s="1">
        <v>45753</v>
      </c>
      <c r="C6912" t="s">
        <v>92</v>
      </c>
      <c r="D6912" t="s">
        <v>15</v>
      </c>
      <c r="E6912" t="s">
        <v>13</v>
      </c>
      <c r="F6912">
        <v>1</v>
      </c>
      <c r="G6912" t="str">
        <f>VLOOKUP(D6912,Товары!A:I,3,0)</f>
        <v>Зеркальный шкаф Кристалл 60 со светильником правый, ручка кнопка дуб цвет Шато Азур</v>
      </c>
      <c r="H6912">
        <f>VLOOKUP(D6912,Товары!A:I,6,0)</f>
        <v>75</v>
      </c>
      <c r="I6912" t="str">
        <f>VLOOKUP(C6912,Магазины!A:C,3,0)</f>
        <v>Кемерово</v>
      </c>
      <c r="J6912">
        <f>VLOOKUP(D6912,Товары!A:I,4,0)</f>
        <v>9195</v>
      </c>
      <c r="K6912">
        <f t="shared" si="107"/>
        <v>9195</v>
      </c>
    </row>
    <row r="6913" spans="1:11" hidden="1" x14ac:dyDescent="0.25">
      <c r="A6913">
        <v>6912</v>
      </c>
      <c r="B6913" s="1">
        <v>45754</v>
      </c>
      <c r="C6913" t="s">
        <v>16</v>
      </c>
      <c r="D6913" t="s">
        <v>107</v>
      </c>
      <c r="E6913" t="s">
        <v>8</v>
      </c>
      <c r="F6913">
        <v>3</v>
      </c>
      <c r="G6913" t="str">
        <f>VLOOKUP(D6913,Товары!A:I,3,0)</f>
        <v>Комод Аква 35 напольный 1 дверь белый правый</v>
      </c>
      <c r="H6913">
        <f>VLOOKUP(D6913,Товары!A:I,6,0)</f>
        <v>90</v>
      </c>
      <c r="I6913" t="str">
        <f>VLOOKUP(C6913,Магазины!A:C,3,0)</f>
        <v>Оренбург</v>
      </c>
      <c r="J6913">
        <f>VLOOKUP(D6913,Товары!A:I,4,0)</f>
        <v>6705</v>
      </c>
      <c r="K6913">
        <f t="shared" si="107"/>
        <v>20115</v>
      </c>
    </row>
    <row r="6914" spans="1:11" hidden="1" x14ac:dyDescent="0.25">
      <c r="A6914">
        <v>6913</v>
      </c>
      <c r="B6914" s="1">
        <v>45756</v>
      </c>
      <c r="C6914" t="s">
        <v>33</v>
      </c>
      <c r="D6914" t="s">
        <v>127</v>
      </c>
      <c r="E6914" t="s">
        <v>13</v>
      </c>
      <c r="F6914">
        <v>1</v>
      </c>
      <c r="G6914" t="str">
        <f>VLOOKUP(D6914,Товары!A:I,3,0)</f>
        <v>Тумба с раковиной  навес. Альба 700 мята 1 ящик с умыв. Слим</v>
      </c>
      <c r="H6914">
        <f>VLOOKUP(D6914,Товары!A:I,6,0)</f>
        <v>45</v>
      </c>
      <c r="I6914" t="str">
        <f>VLOOKUP(C6914,Магазины!A:C,3,0)</f>
        <v>Набережные Челны</v>
      </c>
      <c r="J6914">
        <f>VLOOKUP(D6914,Товары!A:I,4,0)</f>
        <v>20130</v>
      </c>
      <c r="K6914">
        <f t="shared" si="107"/>
        <v>20130</v>
      </c>
    </row>
    <row r="6915" spans="1:11" hidden="1" x14ac:dyDescent="0.25">
      <c r="A6915">
        <v>6914</v>
      </c>
      <c r="B6915" s="1">
        <v>45753</v>
      </c>
      <c r="C6915" t="s">
        <v>20</v>
      </c>
      <c r="D6915" t="s">
        <v>99</v>
      </c>
      <c r="E6915" t="s">
        <v>8</v>
      </c>
      <c r="F6915">
        <v>2</v>
      </c>
      <c r="G6915" t="str">
        <f>VLOOKUP(D6915,Товары!A:I,3,0)</f>
        <v>Тумба с раковиной  навес. Леон 600 оникс 2 ящика с умыв. Слим</v>
      </c>
      <c r="H6915">
        <f>VLOOKUP(D6915,Товары!A:I,6,0)</f>
        <v>60</v>
      </c>
      <c r="I6915" t="str">
        <f>VLOOKUP(C6915,Магазины!A:C,3,0)</f>
        <v>Оренбург</v>
      </c>
      <c r="J6915">
        <f>VLOOKUP(D6915,Товары!A:I,4,0)</f>
        <v>25125</v>
      </c>
      <c r="K6915">
        <f t="shared" ref="K6915:K6978" si="108">J6915*F6915</f>
        <v>50250</v>
      </c>
    </row>
    <row r="6916" spans="1:11" hidden="1" x14ac:dyDescent="0.25">
      <c r="A6916">
        <v>6915</v>
      </c>
      <c r="B6916" s="1">
        <v>45748</v>
      </c>
      <c r="C6916" t="s">
        <v>22</v>
      </c>
      <c r="D6916" t="s">
        <v>65</v>
      </c>
      <c r="E6916" t="s">
        <v>13</v>
      </c>
      <c r="F6916">
        <v>3</v>
      </c>
      <c r="G6916" t="str">
        <f>VLOOKUP(D6916,Товары!A:I,3,0)</f>
        <v>Тумба с раковиной  навес. Альба 800 суфле 2 ящика с умыв. Слим</v>
      </c>
      <c r="H6916">
        <f>VLOOKUP(D6916,Товары!A:I,6,0)</f>
        <v>50</v>
      </c>
      <c r="I6916" t="str">
        <f>VLOOKUP(C6916,Магазины!A:C,3,0)</f>
        <v>Кемерово</v>
      </c>
      <c r="J6916">
        <f>VLOOKUP(D6916,Товары!A:I,4,0)</f>
        <v>26070</v>
      </c>
      <c r="K6916">
        <f t="shared" si="108"/>
        <v>78210</v>
      </c>
    </row>
    <row r="6917" spans="1:11" hidden="1" x14ac:dyDescent="0.25">
      <c r="A6917">
        <v>6916</v>
      </c>
      <c r="B6917" s="1">
        <v>45757</v>
      </c>
      <c r="C6917" t="s">
        <v>26</v>
      </c>
      <c r="D6917" t="s">
        <v>71</v>
      </c>
      <c r="E6917" t="s">
        <v>13</v>
      </c>
      <c r="F6917">
        <v>3</v>
      </c>
      <c r="G6917" t="str">
        <f>VLOOKUP(D6917,Товары!A:I,3,0)</f>
        <v>Тумба с раковиной  навес. Альба 600 мята 2 ящика с умыв. Океан</v>
      </c>
      <c r="H6917">
        <f>VLOOKUP(D6917,Товары!A:I,6,0)</f>
        <v>50</v>
      </c>
      <c r="I6917" t="str">
        <f>VLOOKUP(C6917,Магазины!A:C,3,0)</f>
        <v>Оренбург</v>
      </c>
      <c r="J6917">
        <f>VLOOKUP(D6917,Товары!A:I,4,0)</f>
        <v>24810</v>
      </c>
      <c r="K6917">
        <f t="shared" si="108"/>
        <v>74430</v>
      </c>
    </row>
    <row r="6918" spans="1:11" hidden="1" x14ac:dyDescent="0.25">
      <c r="A6918">
        <v>6917</v>
      </c>
      <c r="B6918" s="1">
        <v>45751</v>
      </c>
      <c r="C6918" t="s">
        <v>9</v>
      </c>
      <c r="D6918" t="s">
        <v>51</v>
      </c>
      <c r="E6918" t="s">
        <v>13</v>
      </c>
      <c r="F6918">
        <v>3</v>
      </c>
      <c r="G6918" t="str">
        <f>VLOOKUP(D6918,Товары!A:I,3,0)</f>
        <v>Зеркальный шкаф Альба 80 со светильником правый цвет суфле</v>
      </c>
      <c r="H6918">
        <f>VLOOKUP(D6918,Товары!A:I,6,0)</f>
        <v>75</v>
      </c>
      <c r="I6918" t="str">
        <f>VLOOKUP(C6918,Магазины!A:C,3,0)</f>
        <v>Кемерово</v>
      </c>
      <c r="J6918">
        <f>VLOOKUP(D6918,Товары!A:I,4,0)</f>
        <v>9930</v>
      </c>
      <c r="K6918">
        <f t="shared" si="108"/>
        <v>29790</v>
      </c>
    </row>
    <row r="6919" spans="1:11" hidden="1" x14ac:dyDescent="0.25">
      <c r="A6919">
        <v>6918</v>
      </c>
      <c r="B6919" s="1">
        <v>45752</v>
      </c>
      <c r="C6919" t="s">
        <v>26</v>
      </c>
      <c r="D6919" t="s">
        <v>76</v>
      </c>
      <c r="E6919" t="s">
        <v>13</v>
      </c>
      <c r="F6919">
        <v>2</v>
      </c>
      <c r="G6919" t="str">
        <f>VLOOKUP(D6919,Товары!A:I,3,0)</f>
        <v>Тумба с раковиной  напол. Леон 600 оникс 2 ящика с умыв. Слим</v>
      </c>
      <c r="H6919">
        <f>VLOOKUP(D6919,Товары!A:I,6,0)</f>
        <v>80</v>
      </c>
      <c r="I6919" t="str">
        <f>VLOOKUP(C6919,Магазины!A:C,3,0)</f>
        <v>Оренбург</v>
      </c>
      <c r="J6919">
        <f>VLOOKUP(D6919,Товары!A:I,4,0)</f>
        <v>25860</v>
      </c>
      <c r="K6919">
        <f t="shared" si="108"/>
        <v>51720</v>
      </c>
    </row>
    <row r="6920" spans="1:11" hidden="1" x14ac:dyDescent="0.25">
      <c r="A6920">
        <v>6919</v>
      </c>
      <c r="B6920" s="1">
        <v>45748</v>
      </c>
      <c r="C6920" t="s">
        <v>33</v>
      </c>
      <c r="D6920" t="s">
        <v>130</v>
      </c>
      <c r="E6920" t="s">
        <v>8</v>
      </c>
      <c r="F6920">
        <v>1</v>
      </c>
      <c r="G6920" t="str">
        <f>VLOOKUP(D6920,Товары!A:I,3,0)</f>
        <v>Пенал напол. Леон 400 форест 2 двери + 1 ящик</v>
      </c>
      <c r="H6920">
        <f>VLOOKUP(D6920,Товары!A:I,6,0)</f>
        <v>190</v>
      </c>
      <c r="I6920" t="str">
        <f>VLOOKUP(C6920,Магазины!A:C,3,0)</f>
        <v>Набережные Челны</v>
      </c>
      <c r="J6920">
        <f>VLOOKUP(D6920,Товары!A:I,4,0)</f>
        <v>18450</v>
      </c>
      <c r="K6920">
        <f t="shared" si="108"/>
        <v>18450</v>
      </c>
    </row>
    <row r="6921" spans="1:11" hidden="1" x14ac:dyDescent="0.25">
      <c r="A6921">
        <v>6920</v>
      </c>
      <c r="B6921" s="1">
        <v>45755</v>
      </c>
      <c r="C6921" t="s">
        <v>41</v>
      </c>
      <c r="D6921" t="s">
        <v>79</v>
      </c>
      <c r="E6921" t="s">
        <v>8</v>
      </c>
      <c r="F6921">
        <v>3</v>
      </c>
      <c r="G6921" t="str">
        <f>VLOOKUP(D6921,Товары!A:I,3,0)</f>
        <v>Зеркальный шкаф Альба 70 со светильником правый цвет мята</v>
      </c>
      <c r="H6921">
        <f>VLOOKUP(D6921,Товары!A:I,6,0)</f>
        <v>75</v>
      </c>
      <c r="I6921" t="str">
        <f>VLOOKUP(C6921,Магазины!A:C,3,0)</f>
        <v>Ставрополь</v>
      </c>
      <c r="J6921">
        <f>VLOOKUP(D6921,Товары!A:I,4,0)</f>
        <v>9615</v>
      </c>
      <c r="K6921">
        <f t="shared" si="108"/>
        <v>28845</v>
      </c>
    </row>
    <row r="6922" spans="1:11" hidden="1" x14ac:dyDescent="0.25">
      <c r="A6922">
        <v>6921</v>
      </c>
      <c r="B6922" s="1">
        <v>45756</v>
      </c>
      <c r="C6922" t="s">
        <v>35</v>
      </c>
      <c r="D6922" t="s">
        <v>116</v>
      </c>
      <c r="E6922" t="s">
        <v>8</v>
      </c>
      <c r="F6922">
        <v>3</v>
      </c>
      <c r="G6922" t="str">
        <f>VLOOKUP(D6922,Товары!A:I,3,0)</f>
        <v>Зеркало Нева 60 дуб/белый со светильником</v>
      </c>
      <c r="H6922">
        <f>VLOOKUP(D6922,Товары!A:I,6,0)</f>
        <v>80</v>
      </c>
      <c r="I6922" t="str">
        <f>VLOOKUP(C6922,Магазины!A:C,3,0)</f>
        <v>Набережные Челны</v>
      </c>
      <c r="J6922">
        <f>VLOOKUP(D6922,Товары!A:I,4,0)</f>
        <v>5100</v>
      </c>
      <c r="K6922">
        <f t="shared" si="108"/>
        <v>15300</v>
      </c>
    </row>
    <row r="6923" spans="1:11" hidden="1" x14ac:dyDescent="0.25">
      <c r="A6923">
        <v>6922</v>
      </c>
      <c r="B6923" s="1">
        <v>45757</v>
      </c>
      <c r="C6923" t="s">
        <v>18</v>
      </c>
      <c r="D6923" t="s">
        <v>7</v>
      </c>
      <c r="E6923" t="s">
        <v>13</v>
      </c>
      <c r="F6923">
        <v>1</v>
      </c>
      <c r="G6923" t="str">
        <f>VLOOKUP(D6923,Товары!A:I,3,0)</f>
        <v>Пенал напол. Леон Риф 400 солярис/белый риф 2 двери + 1 ящик</v>
      </c>
      <c r="H6923">
        <f>VLOOKUP(D6923,Товары!A:I,6,0)</f>
        <v>190</v>
      </c>
      <c r="I6923" t="str">
        <f>VLOOKUP(C6923,Магазины!A:C,3,0)</f>
        <v>Набережные Челны</v>
      </c>
      <c r="J6923">
        <f>VLOOKUP(D6923,Товары!A:I,4,0)</f>
        <v>14490</v>
      </c>
      <c r="K6923">
        <f t="shared" si="108"/>
        <v>14490</v>
      </c>
    </row>
    <row r="6924" spans="1:11" hidden="1" x14ac:dyDescent="0.25">
      <c r="A6924">
        <v>6923</v>
      </c>
      <c r="B6924" s="1">
        <v>45748</v>
      </c>
      <c r="C6924" t="s">
        <v>41</v>
      </c>
      <c r="D6924" t="s">
        <v>69</v>
      </c>
      <c r="E6924" t="s">
        <v>8</v>
      </c>
      <c r="F6924">
        <v>3</v>
      </c>
      <c r="G6924" t="str">
        <f>VLOOKUP(D6924,Товары!A:I,3,0)</f>
        <v>Пенал навес./напол. Альба 350 антрацит 2 двери</v>
      </c>
      <c r="H6924">
        <f>VLOOKUP(D6924,Товары!A:I,6,0)</f>
        <v>150</v>
      </c>
      <c r="I6924" t="str">
        <f>VLOOKUP(C6924,Магазины!A:C,3,0)</f>
        <v>Ставрополь</v>
      </c>
      <c r="J6924">
        <f>VLOOKUP(D6924,Товары!A:I,4,0)</f>
        <v>11655</v>
      </c>
      <c r="K6924">
        <f t="shared" si="108"/>
        <v>34965</v>
      </c>
    </row>
    <row r="6925" spans="1:11" hidden="1" x14ac:dyDescent="0.25">
      <c r="A6925">
        <v>6924</v>
      </c>
      <c r="B6925" s="1">
        <v>45757</v>
      </c>
      <c r="C6925" t="s">
        <v>11</v>
      </c>
      <c r="D6925" t="s">
        <v>120</v>
      </c>
      <c r="E6925" t="s">
        <v>8</v>
      </c>
      <c r="F6925">
        <v>1</v>
      </c>
      <c r="G6925" t="str">
        <f>VLOOKUP(D6925,Товары!A:I,3,0)</f>
        <v>Зеркальный шкаф Альба 60 со светильником правый цвет антрацит</v>
      </c>
      <c r="H6925">
        <f>VLOOKUP(D6925,Товары!A:I,6,0)</f>
        <v>75</v>
      </c>
      <c r="I6925" t="str">
        <f>VLOOKUP(C6925,Магазины!A:C,3,0)</f>
        <v>Кемерово</v>
      </c>
      <c r="J6925">
        <f>VLOOKUP(D6925,Товары!A:I,4,0)</f>
        <v>8910</v>
      </c>
      <c r="K6925">
        <f t="shared" si="108"/>
        <v>8910</v>
      </c>
    </row>
    <row r="6926" spans="1:11" hidden="1" x14ac:dyDescent="0.25">
      <c r="A6926">
        <v>6925</v>
      </c>
      <c r="B6926" s="1">
        <v>45750</v>
      </c>
      <c r="C6926" t="s">
        <v>18</v>
      </c>
      <c r="D6926" t="s">
        <v>124</v>
      </c>
      <c r="E6926" t="s">
        <v>8</v>
      </c>
      <c r="F6926">
        <v>2</v>
      </c>
      <c r="G6926" t="str">
        <f>VLOOKUP(D6926,Товары!A:I,3,0)</f>
        <v>Тумба с раковиной  напол. Леон 600 оникс 2 ящика с умыв. Океан</v>
      </c>
      <c r="H6926">
        <f>VLOOKUP(D6926,Товары!A:I,6,0)</f>
        <v>80</v>
      </c>
      <c r="I6926" t="str">
        <f>VLOOKUP(C6926,Магазины!A:C,3,0)</f>
        <v>Набережные Челны</v>
      </c>
      <c r="J6926">
        <f>VLOOKUP(D6926,Товары!A:I,4,0)</f>
        <v>25860</v>
      </c>
      <c r="K6926">
        <f t="shared" si="108"/>
        <v>51720</v>
      </c>
    </row>
    <row r="6927" spans="1:11" hidden="1" x14ac:dyDescent="0.25">
      <c r="A6927">
        <v>6926</v>
      </c>
      <c r="B6927" s="1">
        <v>45752</v>
      </c>
      <c r="C6927" t="s">
        <v>33</v>
      </c>
      <c r="D6927" t="s">
        <v>93</v>
      </c>
      <c r="E6927" t="s">
        <v>13</v>
      </c>
      <c r="F6927">
        <v>2</v>
      </c>
      <c r="G6927" t="str">
        <f>VLOOKUP(D6927,Товары!A:I,3,0)</f>
        <v>Тумба с раковиной  напол. Леон Риф 800 солярис/белый риф 2 ящика с умыв. Слим</v>
      </c>
      <c r="H6927">
        <f>VLOOKUP(D6927,Товары!A:I,6,0)</f>
        <v>80</v>
      </c>
      <c r="I6927" t="str">
        <f>VLOOKUP(C6927,Магазины!A:C,3,0)</f>
        <v>Набережные Челны</v>
      </c>
      <c r="J6927">
        <f>VLOOKUP(D6927,Товары!A:I,4,0)</f>
        <v>29340</v>
      </c>
      <c r="K6927">
        <f t="shared" si="108"/>
        <v>58680</v>
      </c>
    </row>
    <row r="6928" spans="1:11" hidden="1" x14ac:dyDescent="0.25">
      <c r="A6928">
        <v>6927</v>
      </c>
      <c r="B6928" s="1">
        <v>45752</v>
      </c>
      <c r="C6928" t="s">
        <v>63</v>
      </c>
      <c r="D6928" t="s">
        <v>87</v>
      </c>
      <c r="E6928" t="s">
        <v>13</v>
      </c>
      <c r="F6928">
        <v>1</v>
      </c>
      <c r="G6928" t="str">
        <f>VLOOKUP(D6928,Товары!A:I,3,0)</f>
        <v>Тумба с раковиной  напол. Леон 700 форест 2 ящика с умыв. Слим</v>
      </c>
      <c r="H6928">
        <f>VLOOKUP(D6928,Товары!A:I,6,0)</f>
        <v>80</v>
      </c>
      <c r="I6928" t="str">
        <f>VLOOKUP(C6928,Магазины!A:C,3,0)</f>
        <v>Ставрополь</v>
      </c>
      <c r="J6928">
        <f>VLOOKUP(D6928,Товары!A:I,4,0)</f>
        <v>28380</v>
      </c>
      <c r="K6928">
        <f t="shared" si="108"/>
        <v>28380</v>
      </c>
    </row>
    <row r="6929" spans="1:11" hidden="1" x14ac:dyDescent="0.25">
      <c r="A6929">
        <v>6928</v>
      </c>
      <c r="B6929" s="1">
        <v>45754</v>
      </c>
      <c r="C6929" t="s">
        <v>30</v>
      </c>
      <c r="D6929" t="s">
        <v>7</v>
      </c>
      <c r="E6929" t="s">
        <v>13</v>
      </c>
      <c r="F6929">
        <v>3</v>
      </c>
      <c r="G6929" t="str">
        <f>VLOOKUP(D6929,Товары!A:I,3,0)</f>
        <v>Пенал напол. Леон Риф 400 солярис/белый риф 2 двери + 1 ящик</v>
      </c>
      <c r="H6929">
        <f>VLOOKUP(D6929,Товары!A:I,6,0)</f>
        <v>190</v>
      </c>
      <c r="I6929" t="str">
        <f>VLOOKUP(C6929,Магазины!A:C,3,0)</f>
        <v>Кемерово</v>
      </c>
      <c r="J6929">
        <f>VLOOKUP(D6929,Товары!A:I,4,0)</f>
        <v>14490</v>
      </c>
      <c r="K6929">
        <f t="shared" si="108"/>
        <v>43470</v>
      </c>
    </row>
    <row r="6930" spans="1:11" hidden="1" x14ac:dyDescent="0.25">
      <c r="A6930">
        <v>6929</v>
      </c>
      <c r="B6930" s="1">
        <v>45751</v>
      </c>
      <c r="C6930" t="s">
        <v>43</v>
      </c>
      <c r="D6930" t="s">
        <v>77</v>
      </c>
      <c r="E6930" t="s">
        <v>8</v>
      </c>
      <c r="F6930">
        <v>2</v>
      </c>
      <c r="G6930" t="str">
        <f>VLOOKUP(D6930,Товары!A:I,3,0)</f>
        <v>Тумба с раковиной  напол. Куба Риф 600 белый 2 ящика с умыв. Como</v>
      </c>
      <c r="H6930">
        <f>VLOOKUP(D6930,Товары!A:I,6,0)</f>
        <v>85</v>
      </c>
      <c r="I6930" t="str">
        <f>VLOOKUP(C6930,Магазины!A:C,3,0)</f>
        <v>Набережные Челны</v>
      </c>
      <c r="J6930">
        <f>VLOOKUP(D6930,Товары!A:I,4,0)</f>
        <v>15660</v>
      </c>
      <c r="K6930">
        <f t="shared" si="108"/>
        <v>31320</v>
      </c>
    </row>
    <row r="6931" spans="1:11" hidden="1" x14ac:dyDescent="0.25">
      <c r="A6931">
        <v>6930</v>
      </c>
      <c r="B6931" s="1">
        <v>45755</v>
      </c>
      <c r="C6931" t="s">
        <v>63</v>
      </c>
      <c r="D6931" t="s">
        <v>74</v>
      </c>
      <c r="E6931" t="s">
        <v>13</v>
      </c>
      <c r="F6931">
        <v>1</v>
      </c>
      <c r="G6931" t="str">
        <f>VLOOKUP(D6931,Товары!A:I,3,0)</f>
        <v>Тумба с раковиной  напол. Альба 800 суфле 2 ящика с умыв. Слим</v>
      </c>
      <c r="H6931">
        <f>VLOOKUP(D6931,Товары!A:I,6,0)</f>
        <v>80</v>
      </c>
      <c r="I6931" t="str">
        <f>VLOOKUP(C6931,Магазины!A:C,3,0)</f>
        <v>Ставрополь</v>
      </c>
      <c r="J6931">
        <f>VLOOKUP(D6931,Товары!A:I,4,0)</f>
        <v>29340</v>
      </c>
      <c r="K6931">
        <f t="shared" si="108"/>
        <v>29340</v>
      </c>
    </row>
    <row r="6932" spans="1:11" hidden="1" x14ac:dyDescent="0.25">
      <c r="A6932">
        <v>6931</v>
      </c>
      <c r="B6932" s="1">
        <v>45755</v>
      </c>
      <c r="C6932" t="s">
        <v>41</v>
      </c>
      <c r="D6932" t="s">
        <v>95</v>
      </c>
      <c r="E6932" t="s">
        <v>8</v>
      </c>
      <c r="F6932">
        <v>1</v>
      </c>
      <c r="G6932" t="str">
        <f>VLOOKUP(D6932,Товары!A:I,3,0)</f>
        <v>Тумба с раковиной  напол. Рица 600 антрацит 2 ящика с умыв. Океан</v>
      </c>
      <c r="H6932">
        <f>VLOOKUP(D6932,Товары!A:I,6,0)</f>
        <v>80</v>
      </c>
      <c r="I6932" t="str">
        <f>VLOOKUP(C6932,Магазины!A:C,3,0)</f>
        <v>Ставрополь</v>
      </c>
      <c r="J6932">
        <f>VLOOKUP(D6932,Товары!A:I,4,0)</f>
        <v>25560</v>
      </c>
      <c r="K6932">
        <f t="shared" si="108"/>
        <v>25560</v>
      </c>
    </row>
    <row r="6933" spans="1:11" hidden="1" x14ac:dyDescent="0.25">
      <c r="A6933">
        <v>6932</v>
      </c>
      <c r="B6933" s="1">
        <v>45756</v>
      </c>
      <c r="C6933" t="s">
        <v>54</v>
      </c>
      <c r="D6933" t="s">
        <v>59</v>
      </c>
      <c r="E6933" t="s">
        <v>8</v>
      </c>
      <c r="F6933">
        <v>1</v>
      </c>
      <c r="G6933" t="str">
        <f>VLOOKUP(D6933,Товары!A:I,3,0)</f>
        <v>Тумба с раковиной  навес. Куба Риф 600 белый 2 ящика с умыв. Океан</v>
      </c>
      <c r="H6933">
        <f>VLOOKUP(D6933,Товары!A:I,6,0)</f>
        <v>55</v>
      </c>
      <c r="I6933" t="str">
        <f>VLOOKUP(C6933,Магазины!A:C,3,0)</f>
        <v>Ставрополь</v>
      </c>
      <c r="J6933">
        <f>VLOOKUP(D6933,Товары!A:I,4,0)</f>
        <v>15765</v>
      </c>
      <c r="K6933">
        <f t="shared" si="108"/>
        <v>15765</v>
      </c>
    </row>
    <row r="6934" spans="1:11" hidden="1" x14ac:dyDescent="0.25">
      <c r="A6934">
        <v>6933</v>
      </c>
      <c r="B6934" s="1">
        <v>45756</v>
      </c>
      <c r="C6934" t="s">
        <v>28</v>
      </c>
      <c r="D6934" t="s">
        <v>66</v>
      </c>
      <c r="E6934" t="s">
        <v>13</v>
      </c>
      <c r="F6934">
        <v>2</v>
      </c>
      <c r="G6934" t="str">
        <f>VLOOKUP(D6934,Товары!A:I,3,0)</f>
        <v>Тумба с раковиной  навес. Альба 800 мята 2 ящика с умыв. Слим</v>
      </c>
      <c r="H6934">
        <f>VLOOKUP(D6934,Товары!A:I,6,0)</f>
        <v>50</v>
      </c>
      <c r="I6934" t="str">
        <f>VLOOKUP(C6934,Магазины!A:C,3,0)</f>
        <v>Набережные Челны</v>
      </c>
      <c r="J6934">
        <f>VLOOKUP(D6934,Товары!A:I,4,0)</f>
        <v>26070</v>
      </c>
      <c r="K6934">
        <f t="shared" si="108"/>
        <v>52140</v>
      </c>
    </row>
    <row r="6935" spans="1:11" hidden="1" x14ac:dyDescent="0.25">
      <c r="A6935">
        <v>6934</v>
      </c>
      <c r="B6935" s="1">
        <v>45749</v>
      </c>
      <c r="C6935" t="s">
        <v>33</v>
      </c>
      <c r="D6935" t="s">
        <v>66</v>
      </c>
      <c r="E6935" t="s">
        <v>8</v>
      </c>
      <c r="F6935">
        <v>1</v>
      </c>
      <c r="G6935" t="str">
        <f>VLOOKUP(D6935,Товары!A:I,3,0)</f>
        <v>Тумба с раковиной  навес. Альба 800 мята 2 ящика с умыв. Слим</v>
      </c>
      <c r="H6935">
        <f>VLOOKUP(D6935,Товары!A:I,6,0)</f>
        <v>50</v>
      </c>
      <c r="I6935" t="str">
        <f>VLOOKUP(C6935,Магазины!A:C,3,0)</f>
        <v>Набережные Челны</v>
      </c>
      <c r="J6935">
        <f>VLOOKUP(D6935,Товары!A:I,4,0)</f>
        <v>26070</v>
      </c>
      <c r="K6935">
        <f t="shared" si="108"/>
        <v>26070</v>
      </c>
    </row>
    <row r="6936" spans="1:11" hidden="1" x14ac:dyDescent="0.25">
      <c r="A6936">
        <v>6935</v>
      </c>
      <c r="B6936" s="1">
        <v>45751</v>
      </c>
      <c r="C6936" t="s">
        <v>18</v>
      </c>
      <c r="D6936" t="s">
        <v>37</v>
      </c>
      <c r="E6936" t="s">
        <v>8</v>
      </c>
      <c r="F6936">
        <v>2</v>
      </c>
      <c r="G6936" t="str">
        <f>VLOOKUP(D6936,Товары!A:I,3,0)</f>
        <v>Зеркальный шкаф Сохо 70 белый со светильником правый цвет Белый глянец</v>
      </c>
      <c r="H6936">
        <f>VLOOKUP(D6936,Товары!A:I,6,0)</f>
        <v>75</v>
      </c>
      <c r="I6936" t="str">
        <f>VLOOKUP(C6936,Магазины!A:C,3,0)</f>
        <v>Набережные Челны</v>
      </c>
      <c r="J6936">
        <f>VLOOKUP(D6936,Товары!A:I,4,0)</f>
        <v>7935</v>
      </c>
      <c r="K6936">
        <f t="shared" si="108"/>
        <v>15870</v>
      </c>
    </row>
    <row r="6937" spans="1:11" hidden="1" x14ac:dyDescent="0.25">
      <c r="A6937">
        <v>6936</v>
      </c>
      <c r="B6937" s="1">
        <v>45756</v>
      </c>
      <c r="C6937" t="s">
        <v>35</v>
      </c>
      <c r="D6937" t="s">
        <v>130</v>
      </c>
      <c r="E6937" t="s">
        <v>13</v>
      </c>
      <c r="F6937">
        <v>1</v>
      </c>
      <c r="G6937" t="str">
        <f>VLOOKUP(D6937,Товары!A:I,3,0)</f>
        <v>Пенал напол. Леон 400 форест 2 двери + 1 ящик</v>
      </c>
      <c r="H6937">
        <f>VLOOKUP(D6937,Товары!A:I,6,0)</f>
        <v>190</v>
      </c>
      <c r="I6937" t="str">
        <f>VLOOKUP(C6937,Магазины!A:C,3,0)</f>
        <v>Набережные Челны</v>
      </c>
      <c r="J6937">
        <f>VLOOKUP(D6937,Товары!A:I,4,0)</f>
        <v>18450</v>
      </c>
      <c r="K6937">
        <f t="shared" si="108"/>
        <v>18450</v>
      </c>
    </row>
    <row r="6938" spans="1:11" hidden="1" x14ac:dyDescent="0.25">
      <c r="A6938">
        <v>6937</v>
      </c>
      <c r="B6938" s="1">
        <v>45750</v>
      </c>
      <c r="C6938" t="s">
        <v>103</v>
      </c>
      <c r="D6938" t="s">
        <v>10</v>
      </c>
      <c r="E6938" t="s">
        <v>13</v>
      </c>
      <c r="F6938">
        <v>3</v>
      </c>
      <c r="G6938" t="str">
        <f>VLOOKUP(D6938,Товары!A:I,3,0)</f>
        <v>Тумба с раковиной  навес. Альба 700 антрацит 1 ящик с умыв. Слим</v>
      </c>
      <c r="H6938">
        <f>VLOOKUP(D6938,Товары!A:I,6,0)</f>
        <v>45</v>
      </c>
      <c r="I6938" t="str">
        <f>VLOOKUP(C6938,Магазины!A:C,3,0)</f>
        <v>Ставрополь</v>
      </c>
      <c r="J6938">
        <f>VLOOKUP(D6938,Товары!A:I,4,0)</f>
        <v>20130</v>
      </c>
      <c r="K6938">
        <f t="shared" si="108"/>
        <v>60390</v>
      </c>
    </row>
    <row r="6939" spans="1:11" hidden="1" x14ac:dyDescent="0.25">
      <c r="A6939">
        <v>6938</v>
      </c>
      <c r="B6939" s="1">
        <v>45750</v>
      </c>
      <c r="C6939" t="s">
        <v>58</v>
      </c>
      <c r="D6939" t="s">
        <v>70</v>
      </c>
      <c r="E6939" t="s">
        <v>13</v>
      </c>
      <c r="F6939">
        <v>1</v>
      </c>
      <c r="G6939" t="str">
        <f>VLOOKUP(D6939,Товары!A:I,3,0)</f>
        <v>Тумба с раковиной  напол. Кристалл 700 шато азур 2 ящика с умыв. Слим</v>
      </c>
      <c r="H6939">
        <f>VLOOKUP(D6939,Товары!A:I,6,0)</f>
        <v>85</v>
      </c>
      <c r="I6939" t="str">
        <f>VLOOKUP(C6939,Магазины!A:C,3,0)</f>
        <v>Ставрополь</v>
      </c>
      <c r="J6939">
        <f>VLOOKUP(D6939,Товары!A:I,4,0)</f>
        <v>29910</v>
      </c>
      <c r="K6939">
        <f t="shared" si="108"/>
        <v>29910</v>
      </c>
    </row>
    <row r="6940" spans="1:11" hidden="1" x14ac:dyDescent="0.25">
      <c r="A6940">
        <v>6939</v>
      </c>
      <c r="B6940" s="1">
        <v>45752</v>
      </c>
      <c r="C6940" t="s">
        <v>43</v>
      </c>
      <c r="D6940" t="s">
        <v>80</v>
      </c>
      <c r="E6940" t="s">
        <v>8</v>
      </c>
      <c r="F6940">
        <v>2</v>
      </c>
      <c r="G6940" t="str">
        <f>VLOOKUP(D6940,Товары!A:I,3,0)</f>
        <v>Тумба с раковиной  навес. Сохо 600 белый 2 ящика с умыв. Океан</v>
      </c>
      <c r="H6940">
        <f>VLOOKUP(D6940,Товары!A:I,6,0)</f>
        <v>55</v>
      </c>
      <c r="I6940" t="str">
        <f>VLOOKUP(C6940,Магазины!A:C,3,0)</f>
        <v>Набережные Челны</v>
      </c>
      <c r="J6940">
        <f>VLOOKUP(D6940,Товары!A:I,4,0)</f>
        <v>13950</v>
      </c>
      <c r="K6940">
        <f t="shared" si="108"/>
        <v>27900</v>
      </c>
    </row>
    <row r="6941" spans="1:11" hidden="1" x14ac:dyDescent="0.25">
      <c r="A6941">
        <v>6940</v>
      </c>
      <c r="B6941" s="1">
        <v>45751</v>
      </c>
      <c r="C6941" t="s">
        <v>54</v>
      </c>
      <c r="D6941" t="s">
        <v>90</v>
      </c>
      <c r="E6941" t="s">
        <v>8</v>
      </c>
      <c r="F6941">
        <v>3</v>
      </c>
      <c r="G6941" t="str">
        <f>VLOOKUP(D6941,Товары!A:I,3,0)</f>
        <v>Пенал напол. Аква 350 белый 2 двери + 2 ящика</v>
      </c>
      <c r="H6941">
        <f>VLOOKUP(D6941,Товары!A:I,6,0)</f>
        <v>190</v>
      </c>
      <c r="I6941" t="str">
        <f>VLOOKUP(C6941,Магазины!A:C,3,0)</f>
        <v>Ставрополь</v>
      </c>
      <c r="J6941">
        <f>VLOOKUP(D6941,Товары!A:I,4,0)</f>
        <v>10650</v>
      </c>
      <c r="K6941">
        <f t="shared" si="108"/>
        <v>31950</v>
      </c>
    </row>
    <row r="6942" spans="1:11" hidden="1" x14ac:dyDescent="0.25">
      <c r="A6942">
        <v>6941</v>
      </c>
      <c r="B6942" s="1">
        <v>45755</v>
      </c>
      <c r="C6942" t="s">
        <v>43</v>
      </c>
      <c r="D6942" t="s">
        <v>59</v>
      </c>
      <c r="E6942" t="s">
        <v>13</v>
      </c>
      <c r="F6942">
        <v>3</v>
      </c>
      <c r="G6942" t="str">
        <f>VLOOKUP(D6942,Товары!A:I,3,0)</f>
        <v>Тумба с раковиной  навес. Куба Риф 600 белый 2 ящика с умыв. Океан</v>
      </c>
      <c r="H6942">
        <f>VLOOKUP(D6942,Товары!A:I,6,0)</f>
        <v>55</v>
      </c>
      <c r="I6942" t="str">
        <f>VLOOKUP(C6942,Магазины!A:C,3,0)</f>
        <v>Набережные Челны</v>
      </c>
      <c r="J6942">
        <f>VLOOKUP(D6942,Товары!A:I,4,0)</f>
        <v>15765</v>
      </c>
      <c r="K6942">
        <f t="shared" si="108"/>
        <v>47295</v>
      </c>
    </row>
    <row r="6943" spans="1:11" hidden="1" x14ac:dyDescent="0.25">
      <c r="A6943">
        <v>6942</v>
      </c>
      <c r="B6943" s="1">
        <v>45748</v>
      </c>
      <c r="C6943" t="s">
        <v>20</v>
      </c>
      <c r="D6943" t="s">
        <v>75</v>
      </c>
      <c r="E6943" t="s">
        <v>13</v>
      </c>
      <c r="F6943">
        <v>2</v>
      </c>
      <c r="G6943" t="str">
        <f>VLOOKUP(D6943,Товары!A:I,3,0)</f>
        <v>Тумба с раковиной  напол. Альба 600 суфле 2 ящика с умыв. Океан</v>
      </c>
      <c r="H6943">
        <f>VLOOKUP(D6943,Товары!A:I,6,0)</f>
        <v>80</v>
      </c>
      <c r="I6943" t="str">
        <f>VLOOKUP(C6943,Магазины!A:C,3,0)</f>
        <v>Оренбург</v>
      </c>
      <c r="J6943">
        <f>VLOOKUP(D6943,Товары!A:I,4,0)</f>
        <v>26370</v>
      </c>
      <c r="K6943">
        <f t="shared" si="108"/>
        <v>52740</v>
      </c>
    </row>
    <row r="6944" spans="1:11" hidden="1" x14ac:dyDescent="0.25">
      <c r="A6944">
        <v>6943</v>
      </c>
      <c r="B6944" s="1">
        <v>45754</v>
      </c>
      <c r="C6944" t="s">
        <v>20</v>
      </c>
      <c r="D6944" t="s">
        <v>59</v>
      </c>
      <c r="E6944" t="s">
        <v>13</v>
      </c>
      <c r="F6944">
        <v>1</v>
      </c>
      <c r="G6944" t="str">
        <f>VLOOKUP(D6944,Товары!A:I,3,0)</f>
        <v>Тумба с раковиной  навес. Куба Риф 600 белый 2 ящика с умыв. Океан</v>
      </c>
      <c r="H6944">
        <f>VLOOKUP(D6944,Товары!A:I,6,0)</f>
        <v>55</v>
      </c>
      <c r="I6944" t="str">
        <f>VLOOKUP(C6944,Магазины!A:C,3,0)</f>
        <v>Оренбург</v>
      </c>
      <c r="J6944">
        <f>VLOOKUP(D6944,Товары!A:I,4,0)</f>
        <v>15765</v>
      </c>
      <c r="K6944">
        <f t="shared" si="108"/>
        <v>15765</v>
      </c>
    </row>
    <row r="6945" spans="1:11" hidden="1" x14ac:dyDescent="0.25">
      <c r="A6945">
        <v>6944</v>
      </c>
      <c r="B6945" s="1">
        <v>45750</v>
      </c>
      <c r="C6945" t="s">
        <v>20</v>
      </c>
      <c r="D6945" t="s">
        <v>45</v>
      </c>
      <c r="E6945" t="s">
        <v>13</v>
      </c>
      <c r="F6945">
        <v>1</v>
      </c>
      <c r="G6945" t="str">
        <f>VLOOKUP(D6945,Товары!A:I,3,0)</f>
        <v>Зеркальный шкаф Рица 80 со светильником правый цвет cерый/керамика</v>
      </c>
      <c r="H6945">
        <f>VLOOKUP(D6945,Товары!A:I,6,0)</f>
        <v>75</v>
      </c>
      <c r="I6945" t="str">
        <f>VLOOKUP(C6945,Магазины!A:C,3,0)</f>
        <v>Оренбург</v>
      </c>
      <c r="J6945">
        <f>VLOOKUP(D6945,Товары!A:I,4,0)</f>
        <v>9930</v>
      </c>
      <c r="K6945">
        <f t="shared" si="108"/>
        <v>9930</v>
      </c>
    </row>
    <row r="6946" spans="1:11" hidden="1" x14ac:dyDescent="0.25">
      <c r="A6946">
        <v>6945</v>
      </c>
      <c r="B6946" s="1">
        <v>45754</v>
      </c>
      <c r="C6946" t="s">
        <v>22</v>
      </c>
      <c r="D6946" t="s">
        <v>24</v>
      </c>
      <c r="E6946" t="s">
        <v>13</v>
      </c>
      <c r="F6946">
        <v>2</v>
      </c>
      <c r="G6946" t="str">
        <f>VLOOKUP(D6946,Товары!A:I,3,0)</f>
        <v>Тумба с раковиной  напол. Леон 600 форест 2 ящика с умыв. Слим</v>
      </c>
      <c r="H6946">
        <f>VLOOKUP(D6946,Товары!A:I,6,0)</f>
        <v>80</v>
      </c>
      <c r="I6946" t="str">
        <f>VLOOKUP(C6946,Магазины!A:C,3,0)</f>
        <v>Кемерово</v>
      </c>
      <c r="J6946">
        <f>VLOOKUP(D6946,Товары!A:I,4,0)</f>
        <v>27150</v>
      </c>
      <c r="K6946">
        <f t="shared" si="108"/>
        <v>54300</v>
      </c>
    </row>
    <row r="6947" spans="1:11" hidden="1" x14ac:dyDescent="0.25">
      <c r="A6947">
        <v>6946</v>
      </c>
      <c r="B6947" s="1">
        <v>45756</v>
      </c>
      <c r="C6947" t="s">
        <v>26</v>
      </c>
      <c r="D6947" t="s">
        <v>94</v>
      </c>
      <c r="E6947" t="s">
        <v>8</v>
      </c>
      <c r="F6947">
        <v>2</v>
      </c>
      <c r="G6947" t="str">
        <f>VLOOKUP(D6947,Товары!A:I,3,0)</f>
        <v>Зеркальный шкаф Альба 80 со светильником правый цвет антрацит</v>
      </c>
      <c r="H6947">
        <f>VLOOKUP(D6947,Товары!A:I,6,0)</f>
        <v>75</v>
      </c>
      <c r="I6947" t="str">
        <f>VLOOKUP(C6947,Магазины!A:C,3,0)</f>
        <v>Оренбург</v>
      </c>
      <c r="J6947">
        <f>VLOOKUP(D6947,Товары!A:I,4,0)</f>
        <v>9930</v>
      </c>
      <c r="K6947">
        <f t="shared" si="108"/>
        <v>19860</v>
      </c>
    </row>
    <row r="6948" spans="1:11" hidden="1" x14ac:dyDescent="0.25">
      <c r="A6948">
        <v>6947</v>
      </c>
      <c r="B6948" s="1">
        <v>45750</v>
      </c>
      <c r="C6948" t="s">
        <v>43</v>
      </c>
      <c r="D6948" t="s">
        <v>65</v>
      </c>
      <c r="E6948" t="s">
        <v>13</v>
      </c>
      <c r="F6948">
        <v>2</v>
      </c>
      <c r="G6948" t="str">
        <f>VLOOKUP(D6948,Товары!A:I,3,0)</f>
        <v>Тумба с раковиной  навес. Альба 800 суфле 2 ящика с умыв. Слим</v>
      </c>
      <c r="H6948">
        <f>VLOOKUP(D6948,Товары!A:I,6,0)</f>
        <v>50</v>
      </c>
      <c r="I6948" t="str">
        <f>VLOOKUP(C6948,Магазины!A:C,3,0)</f>
        <v>Набережные Челны</v>
      </c>
      <c r="J6948">
        <f>VLOOKUP(D6948,Товары!A:I,4,0)</f>
        <v>26070</v>
      </c>
      <c r="K6948">
        <f t="shared" si="108"/>
        <v>52140</v>
      </c>
    </row>
    <row r="6949" spans="1:11" hidden="1" x14ac:dyDescent="0.25">
      <c r="A6949">
        <v>6948</v>
      </c>
      <c r="B6949" s="1">
        <v>45754</v>
      </c>
      <c r="C6949" t="s">
        <v>30</v>
      </c>
      <c r="D6949" t="s">
        <v>91</v>
      </c>
      <c r="E6949" t="s">
        <v>13</v>
      </c>
      <c r="F6949">
        <v>2</v>
      </c>
      <c r="G6949" t="str">
        <f>VLOOKUP(D6949,Товары!A:I,3,0)</f>
        <v>Пенал навес./напол. Альба 350 мята 2 двери</v>
      </c>
      <c r="H6949">
        <f>VLOOKUP(D6949,Товары!A:I,6,0)</f>
        <v>150</v>
      </c>
      <c r="I6949" t="str">
        <f>VLOOKUP(C6949,Магазины!A:C,3,0)</f>
        <v>Кемерово</v>
      </c>
      <c r="J6949">
        <f>VLOOKUP(D6949,Товары!A:I,4,0)</f>
        <v>11655</v>
      </c>
      <c r="K6949">
        <f t="shared" si="108"/>
        <v>23310</v>
      </c>
    </row>
    <row r="6950" spans="1:11" hidden="1" x14ac:dyDescent="0.25">
      <c r="A6950">
        <v>6949</v>
      </c>
      <c r="B6950" s="1">
        <v>45757</v>
      </c>
      <c r="C6950" t="s">
        <v>33</v>
      </c>
      <c r="D6950" t="s">
        <v>70</v>
      </c>
      <c r="E6950" t="s">
        <v>13</v>
      </c>
      <c r="F6950">
        <v>3</v>
      </c>
      <c r="G6950" t="str">
        <f>VLOOKUP(D6950,Товары!A:I,3,0)</f>
        <v>Тумба с раковиной  напол. Кристалл 700 шато азур 2 ящика с умыв. Слим</v>
      </c>
      <c r="H6950">
        <f>VLOOKUP(D6950,Товары!A:I,6,0)</f>
        <v>85</v>
      </c>
      <c r="I6950" t="str">
        <f>VLOOKUP(C6950,Магазины!A:C,3,0)</f>
        <v>Набережные Челны</v>
      </c>
      <c r="J6950">
        <f>VLOOKUP(D6950,Товары!A:I,4,0)</f>
        <v>29910</v>
      </c>
      <c r="K6950">
        <f t="shared" si="108"/>
        <v>89730</v>
      </c>
    </row>
    <row r="6951" spans="1:11" hidden="1" x14ac:dyDescent="0.25">
      <c r="A6951">
        <v>6950</v>
      </c>
      <c r="B6951" s="1">
        <v>45753</v>
      </c>
      <c r="C6951" t="s">
        <v>20</v>
      </c>
      <c r="D6951" t="s">
        <v>83</v>
      </c>
      <c r="E6951" t="s">
        <v>13</v>
      </c>
      <c r="F6951">
        <v>2</v>
      </c>
      <c r="G6951" t="str">
        <f>VLOOKUP(D6951,Товары!A:I,3,0)</f>
        <v>Зеркальный шкаф Альба 60 со светильником правый цвет суфле</v>
      </c>
      <c r="H6951">
        <f>VLOOKUP(D6951,Товары!A:I,6,0)</f>
        <v>75</v>
      </c>
      <c r="I6951" t="str">
        <f>VLOOKUP(C6951,Магазины!A:C,3,0)</f>
        <v>Оренбург</v>
      </c>
      <c r="J6951">
        <f>VLOOKUP(D6951,Товары!A:I,4,0)</f>
        <v>8910</v>
      </c>
      <c r="K6951">
        <f t="shared" si="108"/>
        <v>17820</v>
      </c>
    </row>
    <row r="6952" spans="1:11" hidden="1" x14ac:dyDescent="0.25">
      <c r="A6952">
        <v>6951</v>
      </c>
      <c r="B6952" s="1">
        <v>45757</v>
      </c>
      <c r="C6952" t="s">
        <v>30</v>
      </c>
      <c r="D6952" t="s">
        <v>79</v>
      </c>
      <c r="E6952" t="s">
        <v>8</v>
      </c>
      <c r="F6952">
        <v>3</v>
      </c>
      <c r="G6952" t="str">
        <f>VLOOKUP(D6952,Товары!A:I,3,0)</f>
        <v>Зеркальный шкаф Альба 70 со светильником правый цвет мята</v>
      </c>
      <c r="H6952">
        <f>VLOOKUP(D6952,Товары!A:I,6,0)</f>
        <v>75</v>
      </c>
      <c r="I6952" t="str">
        <f>VLOOKUP(C6952,Магазины!A:C,3,0)</f>
        <v>Кемерово</v>
      </c>
      <c r="J6952">
        <f>VLOOKUP(D6952,Товары!A:I,4,0)</f>
        <v>9615</v>
      </c>
      <c r="K6952">
        <f t="shared" si="108"/>
        <v>28845</v>
      </c>
    </row>
    <row r="6953" spans="1:11" hidden="1" x14ac:dyDescent="0.25">
      <c r="A6953">
        <v>6952</v>
      </c>
      <c r="B6953" s="1">
        <v>45751</v>
      </c>
      <c r="C6953" t="s">
        <v>6</v>
      </c>
      <c r="D6953" t="s">
        <v>34</v>
      </c>
      <c r="E6953" t="s">
        <v>8</v>
      </c>
      <c r="F6953">
        <v>1</v>
      </c>
      <c r="G6953" t="str">
        <f>VLOOKUP(D6953,Товары!A:I,3,0)</f>
        <v>Тумба с раковиной  навес. Леон 700 форест 2 ящика с умыв. Слим</v>
      </c>
      <c r="H6953">
        <f>VLOOKUP(D6953,Товары!A:I,6,0)</f>
        <v>60</v>
      </c>
      <c r="I6953" t="str">
        <f>VLOOKUP(C6953,Магазины!A:C,3,0)</f>
        <v>Оренбург</v>
      </c>
      <c r="J6953">
        <f>VLOOKUP(D6953,Товары!A:I,4,0)</f>
        <v>26220</v>
      </c>
      <c r="K6953">
        <f t="shared" si="108"/>
        <v>26220</v>
      </c>
    </row>
    <row r="6954" spans="1:11" hidden="1" x14ac:dyDescent="0.25">
      <c r="A6954">
        <v>6953</v>
      </c>
      <c r="B6954" s="1">
        <v>45757</v>
      </c>
      <c r="C6954" t="s">
        <v>41</v>
      </c>
      <c r="D6954" t="s">
        <v>61</v>
      </c>
      <c r="E6954" t="s">
        <v>8</v>
      </c>
      <c r="F6954">
        <v>3</v>
      </c>
      <c r="G6954" t="str">
        <f>VLOOKUP(D6954,Товары!A:I,3,0)</f>
        <v>Тумба под стиральную машину Леон Риф 57 напольная 2 ящика под ст/маш, без умывальника /под Marshall 120 Солярис/Белый Риф</v>
      </c>
      <c r="H6954">
        <f>VLOOKUP(D6954,Товары!A:I,6,0)</f>
        <v>85</v>
      </c>
      <c r="I6954" t="str">
        <f>VLOOKUP(C6954,Магазины!A:C,3,0)</f>
        <v>Ставрополь</v>
      </c>
      <c r="J6954">
        <f>VLOOKUP(D6954,Товары!A:I,4,0)</f>
        <v>17430</v>
      </c>
      <c r="K6954">
        <f t="shared" si="108"/>
        <v>52290</v>
      </c>
    </row>
    <row r="6955" spans="1:11" hidden="1" x14ac:dyDescent="0.25">
      <c r="A6955">
        <v>6954</v>
      </c>
      <c r="B6955" s="1">
        <v>45748</v>
      </c>
      <c r="C6955" t="s">
        <v>9</v>
      </c>
      <c r="D6955" t="s">
        <v>82</v>
      </c>
      <c r="E6955" t="s">
        <v>13</v>
      </c>
      <c r="F6955">
        <v>1</v>
      </c>
      <c r="G6955" t="str">
        <f>VLOOKUP(D6955,Товары!A:I,3,0)</f>
        <v>Тумба с раковиной  навес. Леон 800 форест 2 ящика с умыв. Слим</v>
      </c>
      <c r="H6955">
        <f>VLOOKUP(D6955,Товары!A:I,6,0)</f>
        <v>60</v>
      </c>
      <c r="I6955" t="str">
        <f>VLOOKUP(C6955,Магазины!A:C,3,0)</f>
        <v>Кемерово</v>
      </c>
      <c r="J6955">
        <f>VLOOKUP(D6955,Товары!A:I,4,0)</f>
        <v>27930</v>
      </c>
      <c r="K6955">
        <f t="shared" si="108"/>
        <v>27930</v>
      </c>
    </row>
    <row r="6956" spans="1:11" hidden="1" x14ac:dyDescent="0.25">
      <c r="A6956">
        <v>6955</v>
      </c>
      <c r="B6956" s="1">
        <v>45749</v>
      </c>
      <c r="C6956" t="s">
        <v>6</v>
      </c>
      <c r="D6956" t="s">
        <v>44</v>
      </c>
      <c r="E6956" t="s">
        <v>13</v>
      </c>
      <c r="F6956">
        <v>3</v>
      </c>
      <c r="G6956" t="str">
        <f>VLOOKUP(D6956,Товары!A:I,3,0)</f>
        <v>Тумба с раковиной  навес. Кристалл 800 шато азур 2 ящика с умыв. Комфорт</v>
      </c>
      <c r="H6956">
        <f>VLOOKUP(D6956,Товары!A:I,6,0)</f>
        <v>55</v>
      </c>
      <c r="I6956" t="str">
        <f>VLOOKUP(C6956,Магазины!A:C,3,0)</f>
        <v>Оренбург</v>
      </c>
      <c r="J6956">
        <f>VLOOKUP(D6956,Товары!A:I,4,0)</f>
        <v>25080</v>
      </c>
      <c r="K6956">
        <f t="shared" si="108"/>
        <v>75240</v>
      </c>
    </row>
    <row r="6957" spans="1:11" hidden="1" x14ac:dyDescent="0.25">
      <c r="A6957">
        <v>6956</v>
      </c>
      <c r="B6957" s="1">
        <v>45751</v>
      </c>
      <c r="C6957" t="s">
        <v>48</v>
      </c>
      <c r="D6957" t="s">
        <v>96</v>
      </c>
      <c r="E6957" t="s">
        <v>13</v>
      </c>
      <c r="F6957">
        <v>1</v>
      </c>
      <c r="G6957" t="str">
        <f>VLOOKUP(D6957,Товары!A:I,3,0)</f>
        <v>Тумба с раковиной  навес. Альба 600 мята 1 ящик с умыв. Океан</v>
      </c>
      <c r="H6957">
        <f>VLOOKUP(D6957,Товары!A:I,6,0)</f>
        <v>85</v>
      </c>
      <c r="I6957" t="str">
        <f>VLOOKUP(C6957,Магазины!A:C,3,0)</f>
        <v>Ставрополь</v>
      </c>
      <c r="J6957">
        <f>VLOOKUP(D6957,Товары!A:I,4,0)</f>
        <v>17625</v>
      </c>
      <c r="K6957">
        <f t="shared" si="108"/>
        <v>17625</v>
      </c>
    </row>
    <row r="6958" spans="1:11" hidden="1" x14ac:dyDescent="0.25">
      <c r="A6958">
        <v>6957</v>
      </c>
      <c r="B6958" s="1">
        <v>45748</v>
      </c>
      <c r="C6958" t="s">
        <v>111</v>
      </c>
      <c r="D6958" t="s">
        <v>129</v>
      </c>
      <c r="E6958" t="s">
        <v>13</v>
      </c>
      <c r="F6958">
        <v>3</v>
      </c>
      <c r="G6958" t="str">
        <f>VLOOKUP(D6958,Товары!A:I,3,0)</f>
        <v>Тумба с раковиной  напол. Альба 700 антрацит 2 ящика с умыв. Слим</v>
      </c>
      <c r="H6958">
        <f>VLOOKUP(D6958,Товары!A:I,6,0)</f>
        <v>85</v>
      </c>
      <c r="I6958" t="str">
        <f>VLOOKUP(C6958,Магазины!A:C,3,0)</f>
        <v>Набережные Челны</v>
      </c>
      <c r="J6958">
        <f>VLOOKUP(D6958,Товары!A:I,4,0)</f>
        <v>28695</v>
      </c>
      <c r="K6958">
        <f t="shared" si="108"/>
        <v>86085</v>
      </c>
    </row>
    <row r="6959" spans="1:11" hidden="1" x14ac:dyDescent="0.25">
      <c r="A6959">
        <v>6958</v>
      </c>
      <c r="B6959" s="1">
        <v>45756</v>
      </c>
      <c r="C6959" t="s">
        <v>26</v>
      </c>
      <c r="D6959" t="s">
        <v>49</v>
      </c>
      <c r="E6959" t="s">
        <v>13</v>
      </c>
      <c r="F6959">
        <v>2</v>
      </c>
      <c r="G6959" t="str">
        <f>VLOOKUP(D6959,Товары!A:I,3,0)</f>
        <v>Тумба с раковиной  напол. Леон 700 оникс 2 ящика с умыв. Слим</v>
      </c>
      <c r="H6959">
        <f>VLOOKUP(D6959,Товары!A:I,6,0)</f>
        <v>80</v>
      </c>
      <c r="I6959" t="str">
        <f>VLOOKUP(C6959,Магазины!A:C,3,0)</f>
        <v>Оренбург</v>
      </c>
      <c r="J6959">
        <f>VLOOKUP(D6959,Товары!A:I,4,0)</f>
        <v>28380</v>
      </c>
      <c r="K6959">
        <f t="shared" si="108"/>
        <v>56760</v>
      </c>
    </row>
    <row r="6960" spans="1:11" hidden="1" x14ac:dyDescent="0.25">
      <c r="A6960">
        <v>6959</v>
      </c>
      <c r="B6960" s="1">
        <v>45757</v>
      </c>
      <c r="C6960" t="s">
        <v>35</v>
      </c>
      <c r="D6960" t="s">
        <v>44</v>
      </c>
      <c r="E6960" t="s">
        <v>8</v>
      </c>
      <c r="F6960">
        <v>2</v>
      </c>
      <c r="G6960" t="str">
        <f>VLOOKUP(D6960,Товары!A:I,3,0)</f>
        <v>Тумба с раковиной  навес. Кристалл 800 шато азур 2 ящика с умыв. Комфорт</v>
      </c>
      <c r="H6960">
        <f>VLOOKUP(D6960,Товары!A:I,6,0)</f>
        <v>55</v>
      </c>
      <c r="I6960" t="str">
        <f>VLOOKUP(C6960,Магазины!A:C,3,0)</f>
        <v>Набережные Челны</v>
      </c>
      <c r="J6960">
        <f>VLOOKUP(D6960,Товары!A:I,4,0)</f>
        <v>25080</v>
      </c>
      <c r="K6960">
        <f t="shared" si="108"/>
        <v>50160</v>
      </c>
    </row>
    <row r="6961" spans="1:11" hidden="1" x14ac:dyDescent="0.25">
      <c r="A6961">
        <v>6960</v>
      </c>
      <c r="B6961" s="1">
        <v>45757</v>
      </c>
      <c r="C6961" t="s">
        <v>58</v>
      </c>
      <c r="D6961" t="s">
        <v>44</v>
      </c>
      <c r="E6961" t="s">
        <v>8</v>
      </c>
      <c r="F6961">
        <v>1</v>
      </c>
      <c r="G6961" t="str">
        <f>VLOOKUP(D6961,Товары!A:I,3,0)</f>
        <v>Тумба с раковиной  навес. Кристалл 800 шато азур 2 ящика с умыв. Комфорт</v>
      </c>
      <c r="H6961">
        <f>VLOOKUP(D6961,Товары!A:I,6,0)</f>
        <v>55</v>
      </c>
      <c r="I6961" t="str">
        <f>VLOOKUP(C6961,Магазины!A:C,3,0)</f>
        <v>Ставрополь</v>
      </c>
      <c r="J6961">
        <f>VLOOKUP(D6961,Товары!A:I,4,0)</f>
        <v>25080</v>
      </c>
      <c r="K6961">
        <f t="shared" si="108"/>
        <v>25080</v>
      </c>
    </row>
    <row r="6962" spans="1:11" hidden="1" x14ac:dyDescent="0.25">
      <c r="A6962">
        <v>6961</v>
      </c>
      <c r="B6962" s="1">
        <v>45749</v>
      </c>
      <c r="C6962" t="s">
        <v>33</v>
      </c>
      <c r="D6962" t="s">
        <v>130</v>
      </c>
      <c r="E6962" t="s">
        <v>8</v>
      </c>
      <c r="F6962">
        <v>2</v>
      </c>
      <c r="G6962" t="str">
        <f>VLOOKUP(D6962,Товары!A:I,3,0)</f>
        <v>Пенал напол. Леон 400 форест 2 двери + 1 ящик</v>
      </c>
      <c r="H6962">
        <f>VLOOKUP(D6962,Товары!A:I,6,0)</f>
        <v>190</v>
      </c>
      <c r="I6962" t="str">
        <f>VLOOKUP(C6962,Магазины!A:C,3,0)</f>
        <v>Набережные Челны</v>
      </c>
      <c r="J6962">
        <f>VLOOKUP(D6962,Товары!A:I,4,0)</f>
        <v>18450</v>
      </c>
      <c r="K6962">
        <f t="shared" si="108"/>
        <v>36900</v>
      </c>
    </row>
    <row r="6963" spans="1:11" hidden="1" x14ac:dyDescent="0.25">
      <c r="A6963">
        <v>6962</v>
      </c>
      <c r="B6963" s="1">
        <v>45753</v>
      </c>
      <c r="C6963" t="s">
        <v>9</v>
      </c>
      <c r="D6963" t="s">
        <v>116</v>
      </c>
      <c r="E6963" t="s">
        <v>8</v>
      </c>
      <c r="F6963">
        <v>3</v>
      </c>
      <c r="G6963" t="str">
        <f>VLOOKUP(D6963,Товары!A:I,3,0)</f>
        <v>Зеркало Нева 60 дуб/белый со светильником</v>
      </c>
      <c r="H6963">
        <f>VLOOKUP(D6963,Товары!A:I,6,0)</f>
        <v>80</v>
      </c>
      <c r="I6963" t="str">
        <f>VLOOKUP(C6963,Магазины!A:C,3,0)</f>
        <v>Кемерово</v>
      </c>
      <c r="J6963">
        <f>VLOOKUP(D6963,Товары!A:I,4,0)</f>
        <v>5100</v>
      </c>
      <c r="K6963">
        <f t="shared" si="108"/>
        <v>15300</v>
      </c>
    </row>
    <row r="6964" spans="1:11" hidden="1" x14ac:dyDescent="0.25">
      <c r="A6964">
        <v>6963</v>
      </c>
      <c r="B6964" s="1">
        <v>45752</v>
      </c>
      <c r="C6964" t="s">
        <v>6</v>
      </c>
      <c r="D6964" t="s">
        <v>19</v>
      </c>
      <c r="E6964" t="s">
        <v>8</v>
      </c>
      <c r="F6964">
        <v>2</v>
      </c>
      <c r="G6964" t="str">
        <f>VLOOKUP(D6964,Товары!A:I,3,0)</f>
        <v>Тумба с раковиной  навес. Леон 800 оникс 2 ящика с умыв. Слим</v>
      </c>
      <c r="H6964">
        <f>VLOOKUP(D6964,Товары!A:I,6,0)</f>
        <v>60</v>
      </c>
      <c r="I6964" t="str">
        <f>VLOOKUP(C6964,Магазины!A:C,3,0)</f>
        <v>Оренбург</v>
      </c>
      <c r="J6964">
        <f>VLOOKUP(D6964,Товары!A:I,4,0)</f>
        <v>27930</v>
      </c>
      <c r="K6964">
        <f t="shared" si="108"/>
        <v>55860</v>
      </c>
    </row>
    <row r="6965" spans="1:11" hidden="1" x14ac:dyDescent="0.25">
      <c r="A6965">
        <v>6964</v>
      </c>
      <c r="B6965" s="1">
        <v>45755</v>
      </c>
      <c r="C6965" t="s">
        <v>48</v>
      </c>
      <c r="D6965" t="s">
        <v>59</v>
      </c>
      <c r="E6965" t="s">
        <v>8</v>
      </c>
      <c r="F6965">
        <v>1</v>
      </c>
      <c r="G6965" t="str">
        <f>VLOOKUP(D6965,Товары!A:I,3,0)</f>
        <v>Тумба с раковиной  навес. Куба Риф 600 белый 2 ящика с умыв. Океан</v>
      </c>
      <c r="H6965">
        <f>VLOOKUP(D6965,Товары!A:I,6,0)</f>
        <v>55</v>
      </c>
      <c r="I6965" t="str">
        <f>VLOOKUP(C6965,Магазины!A:C,3,0)</f>
        <v>Ставрополь</v>
      </c>
      <c r="J6965">
        <f>VLOOKUP(D6965,Товары!A:I,4,0)</f>
        <v>15765</v>
      </c>
      <c r="K6965">
        <f t="shared" si="108"/>
        <v>15765</v>
      </c>
    </row>
    <row r="6966" spans="1:11" hidden="1" x14ac:dyDescent="0.25">
      <c r="A6966">
        <v>6965</v>
      </c>
      <c r="B6966" s="1">
        <v>45749</v>
      </c>
      <c r="C6966" t="s">
        <v>35</v>
      </c>
      <c r="D6966" t="s">
        <v>34</v>
      </c>
      <c r="E6966" t="s">
        <v>13</v>
      </c>
      <c r="F6966">
        <v>1</v>
      </c>
      <c r="G6966" t="str">
        <f>VLOOKUP(D6966,Товары!A:I,3,0)</f>
        <v>Тумба с раковиной  навес. Леон 700 форест 2 ящика с умыв. Слим</v>
      </c>
      <c r="H6966">
        <f>VLOOKUP(D6966,Товары!A:I,6,0)</f>
        <v>60</v>
      </c>
      <c r="I6966" t="str">
        <f>VLOOKUP(C6966,Магазины!A:C,3,0)</f>
        <v>Набережные Челны</v>
      </c>
      <c r="J6966">
        <f>VLOOKUP(D6966,Товары!A:I,4,0)</f>
        <v>26220</v>
      </c>
      <c r="K6966">
        <f t="shared" si="108"/>
        <v>26220</v>
      </c>
    </row>
    <row r="6967" spans="1:11" hidden="1" x14ac:dyDescent="0.25">
      <c r="A6967">
        <v>6966</v>
      </c>
      <c r="B6967" s="1">
        <v>45754</v>
      </c>
      <c r="C6967" t="s">
        <v>30</v>
      </c>
      <c r="D6967" t="s">
        <v>10</v>
      </c>
      <c r="E6967" t="s">
        <v>8</v>
      </c>
      <c r="F6967">
        <v>1</v>
      </c>
      <c r="G6967" t="str">
        <f>VLOOKUP(D6967,Товары!A:I,3,0)</f>
        <v>Тумба с раковиной  навес. Альба 700 антрацит 1 ящик с умыв. Слим</v>
      </c>
      <c r="H6967">
        <f>VLOOKUP(D6967,Товары!A:I,6,0)</f>
        <v>45</v>
      </c>
      <c r="I6967" t="str">
        <f>VLOOKUP(C6967,Магазины!A:C,3,0)</f>
        <v>Кемерово</v>
      </c>
      <c r="J6967">
        <f>VLOOKUP(D6967,Товары!A:I,4,0)</f>
        <v>20130</v>
      </c>
      <c r="K6967">
        <f t="shared" si="108"/>
        <v>20130</v>
      </c>
    </row>
    <row r="6968" spans="1:11" hidden="1" x14ac:dyDescent="0.25">
      <c r="A6968">
        <v>6967</v>
      </c>
      <c r="B6968" s="1">
        <v>45749</v>
      </c>
      <c r="C6968" t="s">
        <v>26</v>
      </c>
      <c r="D6968" t="s">
        <v>36</v>
      </c>
      <c r="E6968" t="s">
        <v>8</v>
      </c>
      <c r="F6968">
        <v>1</v>
      </c>
      <c r="G6968" t="str">
        <f>VLOOKUP(D6968,Товары!A:I,3,0)</f>
        <v>Тумба с раковиной  напол. Альба 800 мята 2 ящика с умыв. Слим</v>
      </c>
      <c r="H6968">
        <f>VLOOKUP(D6968,Товары!A:I,6,0)</f>
        <v>80</v>
      </c>
      <c r="I6968" t="str">
        <f>VLOOKUP(C6968,Магазины!A:C,3,0)</f>
        <v>Оренбург</v>
      </c>
      <c r="J6968">
        <f>VLOOKUP(D6968,Товары!A:I,4,0)</f>
        <v>29340</v>
      </c>
      <c r="K6968">
        <f t="shared" si="108"/>
        <v>29340</v>
      </c>
    </row>
    <row r="6969" spans="1:11" hidden="1" x14ac:dyDescent="0.25">
      <c r="A6969">
        <v>6968</v>
      </c>
      <c r="B6969" s="1">
        <v>45750</v>
      </c>
      <c r="C6969" t="s">
        <v>48</v>
      </c>
      <c r="D6969" t="s">
        <v>66</v>
      </c>
      <c r="E6969" t="s">
        <v>13</v>
      </c>
      <c r="F6969">
        <v>3</v>
      </c>
      <c r="G6969" t="str">
        <f>VLOOKUP(D6969,Товары!A:I,3,0)</f>
        <v>Тумба с раковиной  навес. Альба 800 мята 2 ящика с умыв. Слим</v>
      </c>
      <c r="H6969">
        <f>VLOOKUP(D6969,Товары!A:I,6,0)</f>
        <v>50</v>
      </c>
      <c r="I6969" t="str">
        <f>VLOOKUP(C6969,Магазины!A:C,3,0)</f>
        <v>Ставрополь</v>
      </c>
      <c r="J6969">
        <f>VLOOKUP(D6969,Товары!A:I,4,0)</f>
        <v>26070</v>
      </c>
      <c r="K6969">
        <f t="shared" si="108"/>
        <v>78210</v>
      </c>
    </row>
    <row r="6970" spans="1:11" hidden="1" x14ac:dyDescent="0.25">
      <c r="A6970">
        <v>6969</v>
      </c>
      <c r="B6970" s="1">
        <v>45752</v>
      </c>
      <c r="C6970" t="s">
        <v>92</v>
      </c>
      <c r="D6970" t="s">
        <v>128</v>
      </c>
      <c r="E6970" t="s">
        <v>8</v>
      </c>
      <c r="F6970">
        <v>1</v>
      </c>
      <c r="G6970" t="str">
        <f>VLOOKUP(D6970,Товары!A:I,3,0)</f>
        <v>Тумба с раковиной  напол. Куба Риф 1000 белый 2 ящика с умыв. Слим</v>
      </c>
      <c r="H6970">
        <f>VLOOKUP(D6970,Товары!A:I,6,0)</f>
        <v>85</v>
      </c>
      <c r="I6970" t="str">
        <f>VLOOKUP(C6970,Магазины!A:C,3,0)</f>
        <v>Кемерово</v>
      </c>
      <c r="J6970">
        <f>VLOOKUP(D6970,Товары!A:I,4,0)</f>
        <v>22905</v>
      </c>
      <c r="K6970">
        <f t="shared" si="108"/>
        <v>22905</v>
      </c>
    </row>
    <row r="6971" spans="1:11" hidden="1" x14ac:dyDescent="0.25">
      <c r="A6971">
        <v>6970</v>
      </c>
      <c r="B6971" s="1">
        <v>45750</v>
      </c>
      <c r="C6971" t="s">
        <v>18</v>
      </c>
      <c r="D6971" t="s">
        <v>37</v>
      </c>
      <c r="E6971" t="s">
        <v>8</v>
      </c>
      <c r="F6971">
        <v>2</v>
      </c>
      <c r="G6971" t="str">
        <f>VLOOKUP(D6971,Товары!A:I,3,0)</f>
        <v>Зеркальный шкаф Сохо 70 белый со светильником правый цвет Белый глянец</v>
      </c>
      <c r="H6971">
        <f>VLOOKUP(D6971,Товары!A:I,6,0)</f>
        <v>75</v>
      </c>
      <c r="I6971" t="str">
        <f>VLOOKUP(C6971,Магазины!A:C,3,0)</f>
        <v>Набережные Челны</v>
      </c>
      <c r="J6971">
        <f>VLOOKUP(D6971,Товары!A:I,4,0)</f>
        <v>7935</v>
      </c>
      <c r="K6971">
        <f t="shared" si="108"/>
        <v>15870</v>
      </c>
    </row>
    <row r="6972" spans="1:11" hidden="1" x14ac:dyDescent="0.25">
      <c r="A6972">
        <v>6971</v>
      </c>
      <c r="B6972" s="1">
        <v>45749</v>
      </c>
      <c r="C6972" t="s">
        <v>58</v>
      </c>
      <c r="D6972" t="s">
        <v>91</v>
      </c>
      <c r="E6972" t="s">
        <v>13</v>
      </c>
      <c r="F6972">
        <v>2</v>
      </c>
      <c r="G6972" t="str">
        <f>VLOOKUP(D6972,Товары!A:I,3,0)</f>
        <v>Пенал навес./напол. Альба 350 мята 2 двери</v>
      </c>
      <c r="H6972">
        <f>VLOOKUP(D6972,Товары!A:I,6,0)</f>
        <v>150</v>
      </c>
      <c r="I6972" t="str">
        <f>VLOOKUP(C6972,Магазины!A:C,3,0)</f>
        <v>Ставрополь</v>
      </c>
      <c r="J6972">
        <f>VLOOKUP(D6972,Товары!A:I,4,0)</f>
        <v>11655</v>
      </c>
      <c r="K6972">
        <f t="shared" si="108"/>
        <v>23310</v>
      </c>
    </row>
    <row r="6973" spans="1:11" hidden="1" x14ac:dyDescent="0.25">
      <c r="A6973">
        <v>6972</v>
      </c>
      <c r="B6973" s="1">
        <v>45750</v>
      </c>
      <c r="C6973" t="s">
        <v>92</v>
      </c>
      <c r="D6973" t="s">
        <v>27</v>
      </c>
      <c r="E6973" t="s">
        <v>13</v>
      </c>
      <c r="F6973">
        <v>3</v>
      </c>
      <c r="G6973" t="str">
        <f>VLOOKUP(D6973,Товары!A:I,3,0)</f>
        <v>Тумба с раковиной  навес. Виктория 800 белый 2 ящика с умыв. Слим</v>
      </c>
      <c r="H6973">
        <f>VLOOKUP(D6973,Товары!A:I,6,0)</f>
        <v>60</v>
      </c>
      <c r="I6973" t="str">
        <f>VLOOKUP(C6973,Магазины!A:C,3,0)</f>
        <v>Кемерово</v>
      </c>
      <c r="J6973">
        <f>VLOOKUP(D6973,Товары!A:I,4,0)</f>
        <v>25290</v>
      </c>
      <c r="K6973">
        <f t="shared" si="108"/>
        <v>75870</v>
      </c>
    </row>
    <row r="6974" spans="1:11" hidden="1" x14ac:dyDescent="0.25">
      <c r="A6974">
        <v>6973</v>
      </c>
      <c r="B6974" s="1">
        <v>45752</v>
      </c>
      <c r="C6974" t="s">
        <v>63</v>
      </c>
      <c r="D6974" t="s">
        <v>36</v>
      </c>
      <c r="E6974" t="s">
        <v>8</v>
      </c>
      <c r="F6974">
        <v>1</v>
      </c>
      <c r="G6974" t="str">
        <f>VLOOKUP(D6974,Товары!A:I,3,0)</f>
        <v>Тумба с раковиной  напол. Альба 800 мята 2 ящика с умыв. Слим</v>
      </c>
      <c r="H6974">
        <f>VLOOKUP(D6974,Товары!A:I,6,0)</f>
        <v>80</v>
      </c>
      <c r="I6974" t="str">
        <f>VLOOKUP(C6974,Магазины!A:C,3,0)</f>
        <v>Ставрополь</v>
      </c>
      <c r="J6974">
        <f>VLOOKUP(D6974,Товары!A:I,4,0)</f>
        <v>29340</v>
      </c>
      <c r="K6974">
        <f t="shared" si="108"/>
        <v>29340</v>
      </c>
    </row>
    <row r="6975" spans="1:11" hidden="1" x14ac:dyDescent="0.25">
      <c r="A6975">
        <v>6974</v>
      </c>
      <c r="B6975" s="1">
        <v>45757</v>
      </c>
      <c r="C6975" t="s">
        <v>35</v>
      </c>
      <c r="D6975" t="s">
        <v>27</v>
      </c>
      <c r="E6975" t="s">
        <v>8</v>
      </c>
      <c r="F6975">
        <v>3</v>
      </c>
      <c r="G6975" t="str">
        <f>VLOOKUP(D6975,Товары!A:I,3,0)</f>
        <v>Тумба с раковиной  навес. Виктория 800 белый 2 ящика с умыв. Слим</v>
      </c>
      <c r="H6975">
        <f>VLOOKUP(D6975,Товары!A:I,6,0)</f>
        <v>60</v>
      </c>
      <c r="I6975" t="str">
        <f>VLOOKUP(C6975,Магазины!A:C,3,0)</f>
        <v>Набережные Челны</v>
      </c>
      <c r="J6975">
        <f>VLOOKUP(D6975,Товары!A:I,4,0)</f>
        <v>25290</v>
      </c>
      <c r="K6975">
        <f t="shared" si="108"/>
        <v>75870</v>
      </c>
    </row>
    <row r="6976" spans="1:11" hidden="1" x14ac:dyDescent="0.25">
      <c r="A6976">
        <v>6975</v>
      </c>
      <c r="B6976" s="1">
        <v>45754</v>
      </c>
      <c r="C6976" t="s">
        <v>33</v>
      </c>
      <c r="D6976" t="s">
        <v>108</v>
      </c>
      <c r="E6976" t="s">
        <v>13</v>
      </c>
      <c r="F6976">
        <v>3</v>
      </c>
      <c r="G6976" t="str">
        <f>VLOOKUP(D6976,Товары!A:I,3,0)</f>
        <v>Тумба с раковиной  навес. Виктория 1000 белый 2 ящика с умыв. Слим</v>
      </c>
      <c r="H6976">
        <f>VLOOKUP(D6976,Товары!A:I,6,0)</f>
        <v>60</v>
      </c>
      <c r="I6976" t="str">
        <f>VLOOKUP(C6976,Магазины!A:C,3,0)</f>
        <v>Набережные Челны</v>
      </c>
      <c r="J6976">
        <f>VLOOKUP(D6976,Товары!A:I,4,0)</f>
        <v>29205</v>
      </c>
      <c r="K6976">
        <f t="shared" si="108"/>
        <v>87615</v>
      </c>
    </row>
    <row r="6977" spans="1:11" hidden="1" x14ac:dyDescent="0.25">
      <c r="A6977">
        <v>6976</v>
      </c>
      <c r="B6977" s="1">
        <v>45757</v>
      </c>
      <c r="C6977" t="s">
        <v>6</v>
      </c>
      <c r="D6977" t="s">
        <v>105</v>
      </c>
      <c r="E6977" t="s">
        <v>13</v>
      </c>
      <c r="F6977">
        <v>2</v>
      </c>
      <c r="G6977" t="str">
        <f>VLOOKUP(D6977,Товары!A:I,3,0)</f>
        <v>Тумба с раковиной  напол. Нева 600 белый 2 двери + 1 ящик с умыв. Como</v>
      </c>
      <c r="H6977">
        <f>VLOOKUP(D6977,Товары!A:I,6,0)</f>
        <v>80</v>
      </c>
      <c r="I6977" t="str">
        <f>VLOOKUP(C6977,Магазины!A:C,3,0)</f>
        <v>Оренбург</v>
      </c>
      <c r="J6977">
        <f>VLOOKUP(D6977,Товары!A:I,4,0)</f>
        <v>13470</v>
      </c>
      <c r="K6977">
        <f t="shared" si="108"/>
        <v>26940</v>
      </c>
    </row>
    <row r="6978" spans="1:11" hidden="1" x14ac:dyDescent="0.25">
      <c r="A6978">
        <v>6977</v>
      </c>
      <c r="B6978" s="1">
        <v>45755</v>
      </c>
      <c r="C6978" t="s">
        <v>14</v>
      </c>
      <c r="D6978" t="s">
        <v>129</v>
      </c>
      <c r="E6978" t="s">
        <v>8</v>
      </c>
      <c r="F6978">
        <v>3</v>
      </c>
      <c r="G6978" t="str">
        <f>VLOOKUP(D6978,Товары!A:I,3,0)</f>
        <v>Тумба с раковиной  напол. Альба 700 антрацит 2 ящика с умыв. Слим</v>
      </c>
      <c r="H6978">
        <f>VLOOKUP(D6978,Товары!A:I,6,0)</f>
        <v>85</v>
      </c>
      <c r="I6978" t="str">
        <f>VLOOKUP(C6978,Магазины!A:C,3,0)</f>
        <v>Оренбург</v>
      </c>
      <c r="J6978">
        <f>VLOOKUP(D6978,Товары!A:I,4,0)</f>
        <v>28695</v>
      </c>
      <c r="K6978">
        <f t="shared" si="108"/>
        <v>86085</v>
      </c>
    </row>
    <row r="6979" spans="1:11" hidden="1" x14ac:dyDescent="0.25">
      <c r="A6979">
        <v>6978</v>
      </c>
      <c r="B6979" s="1">
        <v>45755</v>
      </c>
      <c r="C6979" t="s">
        <v>33</v>
      </c>
      <c r="D6979" t="s">
        <v>78</v>
      </c>
      <c r="E6979" t="s">
        <v>8</v>
      </c>
      <c r="F6979">
        <v>2</v>
      </c>
      <c r="G6979" t="str">
        <f>VLOOKUP(D6979,Товары!A:I,3,0)</f>
        <v>Зеркальный шкаф Кристалл 70 со светильником правый, ручка кнопка дуб цвет Шато Азур</v>
      </c>
      <c r="H6979">
        <f>VLOOKUP(D6979,Товары!A:I,6,0)</f>
        <v>75</v>
      </c>
      <c r="I6979" t="str">
        <f>VLOOKUP(C6979,Магазины!A:C,3,0)</f>
        <v>Набережные Челны</v>
      </c>
      <c r="J6979">
        <f>VLOOKUP(D6979,Товары!A:I,4,0)</f>
        <v>9615</v>
      </c>
      <c r="K6979">
        <f t="shared" ref="K6979:K7042" si="109">J6979*F6979</f>
        <v>19230</v>
      </c>
    </row>
    <row r="6980" spans="1:11" hidden="1" x14ac:dyDescent="0.25">
      <c r="A6980">
        <v>6979</v>
      </c>
      <c r="B6980" s="1">
        <v>45755</v>
      </c>
      <c r="C6980" t="s">
        <v>57</v>
      </c>
      <c r="D6980" t="s">
        <v>40</v>
      </c>
      <c r="E6980" t="s">
        <v>8</v>
      </c>
      <c r="F6980">
        <v>3</v>
      </c>
      <c r="G6980" t="str">
        <f>VLOOKUP(D6980,Товары!A:I,3,0)</f>
        <v>Тумба с раковиной  навес. Рица 800 cерый/керамика 1 ящик + ниша 1 с умыв. Слим</v>
      </c>
      <c r="H6980">
        <f>VLOOKUP(D6980,Товары!A:I,6,0)</f>
        <v>60</v>
      </c>
      <c r="I6980" t="str">
        <f>VLOOKUP(C6980,Магазины!A:C,3,0)</f>
        <v>Оренбург</v>
      </c>
      <c r="J6980">
        <f>VLOOKUP(D6980,Товары!A:I,4,0)</f>
        <v>22425</v>
      </c>
      <c r="K6980">
        <f t="shared" si="109"/>
        <v>67275</v>
      </c>
    </row>
    <row r="6981" spans="1:11" hidden="1" x14ac:dyDescent="0.25">
      <c r="A6981">
        <v>6980</v>
      </c>
      <c r="B6981" s="1">
        <v>45750</v>
      </c>
      <c r="C6981" t="s">
        <v>9</v>
      </c>
      <c r="D6981" t="s">
        <v>80</v>
      </c>
      <c r="E6981" t="s">
        <v>13</v>
      </c>
      <c r="F6981">
        <v>2</v>
      </c>
      <c r="G6981" t="str">
        <f>VLOOKUP(D6981,Товары!A:I,3,0)</f>
        <v>Тумба с раковиной  навес. Сохо 600 белый 2 ящика с умыв. Океан</v>
      </c>
      <c r="H6981">
        <f>VLOOKUP(D6981,Товары!A:I,6,0)</f>
        <v>55</v>
      </c>
      <c r="I6981" t="str">
        <f>VLOOKUP(C6981,Магазины!A:C,3,0)</f>
        <v>Кемерово</v>
      </c>
      <c r="J6981">
        <f>VLOOKUP(D6981,Товары!A:I,4,0)</f>
        <v>13950</v>
      </c>
      <c r="K6981">
        <f t="shared" si="109"/>
        <v>27900</v>
      </c>
    </row>
    <row r="6982" spans="1:11" hidden="1" x14ac:dyDescent="0.25">
      <c r="A6982">
        <v>6981</v>
      </c>
      <c r="B6982" s="1">
        <v>45752</v>
      </c>
      <c r="C6982" t="s">
        <v>26</v>
      </c>
      <c r="D6982" t="s">
        <v>112</v>
      </c>
      <c r="E6982" t="s">
        <v>8</v>
      </c>
      <c r="F6982">
        <v>1</v>
      </c>
      <c r="G6982" t="str">
        <f>VLOOKUP(D6982,Товары!A:I,3,0)</f>
        <v>Тумба с раковиной  напол. Аква 560 белый 2 двери с умыв. Уют</v>
      </c>
      <c r="H6982">
        <f>VLOOKUP(D6982,Товары!A:I,6,0)</f>
        <v>85</v>
      </c>
      <c r="I6982" t="str">
        <f>VLOOKUP(C6982,Магазины!A:C,3,0)</f>
        <v>Оренбург</v>
      </c>
      <c r="J6982">
        <f>VLOOKUP(D6982,Товары!A:I,4,0)</f>
        <v>9330</v>
      </c>
      <c r="K6982">
        <f t="shared" si="109"/>
        <v>9330</v>
      </c>
    </row>
    <row r="6983" spans="1:11" hidden="1" x14ac:dyDescent="0.25">
      <c r="A6983">
        <v>6982</v>
      </c>
      <c r="B6983" s="1">
        <v>45754</v>
      </c>
      <c r="C6983" t="s">
        <v>57</v>
      </c>
      <c r="D6983" t="s">
        <v>94</v>
      </c>
      <c r="E6983" t="s">
        <v>13</v>
      </c>
      <c r="F6983">
        <v>2</v>
      </c>
      <c r="G6983" t="str">
        <f>VLOOKUP(D6983,Товары!A:I,3,0)</f>
        <v>Зеркальный шкаф Альба 80 со светильником правый цвет антрацит</v>
      </c>
      <c r="H6983">
        <f>VLOOKUP(D6983,Товары!A:I,6,0)</f>
        <v>75</v>
      </c>
      <c r="I6983" t="str">
        <f>VLOOKUP(C6983,Магазины!A:C,3,0)</f>
        <v>Оренбург</v>
      </c>
      <c r="J6983">
        <f>VLOOKUP(D6983,Товары!A:I,4,0)</f>
        <v>9930</v>
      </c>
      <c r="K6983">
        <f t="shared" si="109"/>
        <v>19860</v>
      </c>
    </row>
    <row r="6984" spans="1:11" hidden="1" x14ac:dyDescent="0.25">
      <c r="A6984">
        <v>6983</v>
      </c>
      <c r="B6984" s="1">
        <v>45754</v>
      </c>
      <c r="C6984" t="s">
        <v>11</v>
      </c>
      <c r="D6984" t="s">
        <v>89</v>
      </c>
      <c r="E6984" t="s">
        <v>13</v>
      </c>
      <c r="F6984">
        <v>3</v>
      </c>
      <c r="G6984" t="str">
        <f>VLOOKUP(D6984,Товары!A:I,3,0)</f>
        <v>Тумба с раковиной  напол. Сохо 600 белый 2 двери с умыв. Океан</v>
      </c>
      <c r="H6984">
        <f>VLOOKUP(D6984,Товары!A:I,6,0)</f>
        <v>85</v>
      </c>
      <c r="I6984" t="str">
        <f>VLOOKUP(C6984,Магазины!A:C,3,0)</f>
        <v>Кемерово</v>
      </c>
      <c r="J6984">
        <f>VLOOKUP(D6984,Товары!A:I,4,0)</f>
        <v>14880</v>
      </c>
      <c r="K6984">
        <f t="shared" si="109"/>
        <v>44640</v>
      </c>
    </row>
    <row r="6985" spans="1:11" hidden="1" x14ac:dyDescent="0.25">
      <c r="A6985">
        <v>6984</v>
      </c>
      <c r="B6985" s="1">
        <v>45753</v>
      </c>
      <c r="C6985" t="s">
        <v>18</v>
      </c>
      <c r="D6985" t="s">
        <v>68</v>
      </c>
      <c r="E6985" t="s">
        <v>8</v>
      </c>
      <c r="F6985">
        <v>1</v>
      </c>
      <c r="G6985" t="str">
        <f>VLOOKUP(D6985,Товары!A:I,3,0)</f>
        <v>Тумба с раковиной  навес. Альба 600 антрацит 1 ящик с умыв. Океан</v>
      </c>
      <c r="H6985">
        <f>VLOOKUP(D6985,Товары!A:I,6,0)</f>
        <v>85</v>
      </c>
      <c r="I6985" t="str">
        <f>VLOOKUP(C6985,Магазины!A:C,3,0)</f>
        <v>Набережные Челны</v>
      </c>
      <c r="J6985">
        <f>VLOOKUP(D6985,Товары!A:I,4,0)</f>
        <v>17625</v>
      </c>
      <c r="K6985">
        <f t="shared" si="109"/>
        <v>17625</v>
      </c>
    </row>
    <row r="6986" spans="1:11" hidden="1" x14ac:dyDescent="0.25">
      <c r="A6986">
        <v>6985</v>
      </c>
      <c r="B6986" s="1">
        <v>45755</v>
      </c>
      <c r="C6986" t="s">
        <v>111</v>
      </c>
      <c r="D6986" t="s">
        <v>52</v>
      </c>
      <c r="E6986" t="s">
        <v>8</v>
      </c>
      <c r="F6986">
        <v>3</v>
      </c>
      <c r="G6986" t="str">
        <f>VLOOKUP(D6986,Товары!A:I,3,0)</f>
        <v>Тумба с раковиной  напол. Кристалл 600 суфле 2 ящика с умыв. Океан</v>
      </c>
      <c r="H6986">
        <f>VLOOKUP(D6986,Товары!A:I,6,0)</f>
        <v>80</v>
      </c>
      <c r="I6986" t="str">
        <f>VLOOKUP(C6986,Магазины!A:C,3,0)</f>
        <v>Набережные Челны</v>
      </c>
      <c r="J6986">
        <f>VLOOKUP(D6986,Товары!A:I,4,0)</f>
        <v>27600</v>
      </c>
      <c r="K6986">
        <f t="shared" si="109"/>
        <v>82800</v>
      </c>
    </row>
    <row r="6987" spans="1:11" hidden="1" x14ac:dyDescent="0.25">
      <c r="A6987">
        <v>6986</v>
      </c>
      <c r="B6987" s="1">
        <v>45753</v>
      </c>
      <c r="C6987" t="s">
        <v>33</v>
      </c>
      <c r="D6987" t="s">
        <v>119</v>
      </c>
      <c r="E6987" t="s">
        <v>13</v>
      </c>
      <c r="F6987">
        <v>3</v>
      </c>
      <c r="G6987" t="str">
        <f>VLOOKUP(D6987,Товары!A:I,3,0)</f>
        <v>Пенал навес./напол. Рица 350 cерый/керамика 2 двери</v>
      </c>
      <c r="H6987">
        <f>VLOOKUP(D6987,Товары!A:I,6,0)</f>
        <v>160</v>
      </c>
      <c r="I6987" t="str">
        <f>VLOOKUP(C6987,Магазины!A:C,3,0)</f>
        <v>Набережные Челны</v>
      </c>
      <c r="J6987">
        <f>VLOOKUP(D6987,Товары!A:I,4,0)</f>
        <v>11250</v>
      </c>
      <c r="K6987">
        <f t="shared" si="109"/>
        <v>33750</v>
      </c>
    </row>
    <row r="6988" spans="1:11" hidden="1" x14ac:dyDescent="0.25">
      <c r="A6988">
        <v>6987</v>
      </c>
      <c r="B6988" s="1">
        <v>45752</v>
      </c>
      <c r="C6988" t="s">
        <v>22</v>
      </c>
      <c r="D6988" t="s">
        <v>95</v>
      </c>
      <c r="E6988" t="s">
        <v>13</v>
      </c>
      <c r="F6988">
        <v>1</v>
      </c>
      <c r="G6988" t="str">
        <f>VLOOKUP(D6988,Товары!A:I,3,0)</f>
        <v>Тумба с раковиной  напол. Рица 600 антрацит 2 ящика с умыв. Океан</v>
      </c>
      <c r="H6988">
        <f>VLOOKUP(D6988,Товары!A:I,6,0)</f>
        <v>80</v>
      </c>
      <c r="I6988" t="str">
        <f>VLOOKUP(C6988,Магазины!A:C,3,0)</f>
        <v>Кемерово</v>
      </c>
      <c r="J6988">
        <f>VLOOKUP(D6988,Товары!A:I,4,0)</f>
        <v>25560</v>
      </c>
      <c r="K6988">
        <f t="shared" si="109"/>
        <v>25560</v>
      </c>
    </row>
    <row r="6989" spans="1:11" hidden="1" x14ac:dyDescent="0.25">
      <c r="A6989">
        <v>6988</v>
      </c>
      <c r="B6989" s="1">
        <v>45752</v>
      </c>
      <c r="C6989" t="s">
        <v>57</v>
      </c>
      <c r="D6989" t="s">
        <v>116</v>
      </c>
      <c r="E6989" t="s">
        <v>8</v>
      </c>
      <c r="F6989">
        <v>1</v>
      </c>
      <c r="G6989" t="str">
        <f>VLOOKUP(D6989,Товары!A:I,3,0)</f>
        <v>Зеркало Нева 60 дуб/белый со светильником</v>
      </c>
      <c r="H6989">
        <f>VLOOKUP(D6989,Товары!A:I,6,0)</f>
        <v>80</v>
      </c>
      <c r="I6989" t="str">
        <f>VLOOKUP(C6989,Магазины!A:C,3,0)</f>
        <v>Оренбург</v>
      </c>
      <c r="J6989">
        <f>VLOOKUP(D6989,Товары!A:I,4,0)</f>
        <v>5100</v>
      </c>
      <c r="K6989">
        <f t="shared" si="109"/>
        <v>5100</v>
      </c>
    </row>
    <row r="6990" spans="1:11" hidden="1" x14ac:dyDescent="0.25">
      <c r="A6990">
        <v>6989</v>
      </c>
      <c r="B6990" s="1">
        <v>45751</v>
      </c>
      <c r="C6990" t="s">
        <v>28</v>
      </c>
      <c r="D6990" t="s">
        <v>52</v>
      </c>
      <c r="E6990" t="s">
        <v>13</v>
      </c>
      <c r="F6990">
        <v>3</v>
      </c>
      <c r="G6990" t="str">
        <f>VLOOKUP(D6990,Товары!A:I,3,0)</f>
        <v>Тумба с раковиной  напол. Кристалл 600 суфле 2 ящика с умыв. Океан</v>
      </c>
      <c r="H6990">
        <f>VLOOKUP(D6990,Товары!A:I,6,0)</f>
        <v>80</v>
      </c>
      <c r="I6990" t="str">
        <f>VLOOKUP(C6990,Магазины!A:C,3,0)</f>
        <v>Набережные Челны</v>
      </c>
      <c r="J6990">
        <f>VLOOKUP(D6990,Товары!A:I,4,0)</f>
        <v>27600</v>
      </c>
      <c r="K6990">
        <f t="shared" si="109"/>
        <v>82800</v>
      </c>
    </row>
    <row r="6991" spans="1:11" hidden="1" x14ac:dyDescent="0.25">
      <c r="A6991">
        <v>6990</v>
      </c>
      <c r="B6991" s="1">
        <v>45752</v>
      </c>
      <c r="C6991" t="s">
        <v>43</v>
      </c>
      <c r="D6991" t="s">
        <v>110</v>
      </c>
      <c r="E6991" t="s">
        <v>13</v>
      </c>
      <c r="F6991">
        <v>2</v>
      </c>
      <c r="G6991" t="str">
        <f>VLOOKUP(D6991,Товары!A:I,3,0)</f>
        <v>Тумба с раковиной  напол. Альба 600 антрацит 2 ящика с умыв. Океан</v>
      </c>
      <c r="H6991">
        <f>VLOOKUP(D6991,Товары!A:I,6,0)</f>
        <v>80</v>
      </c>
      <c r="I6991" t="str">
        <f>VLOOKUP(C6991,Магазины!A:C,3,0)</f>
        <v>Набережные Челны</v>
      </c>
      <c r="J6991">
        <f>VLOOKUP(D6991,Товары!A:I,4,0)</f>
        <v>26370</v>
      </c>
      <c r="K6991">
        <f t="shared" si="109"/>
        <v>52740</v>
      </c>
    </row>
    <row r="6992" spans="1:11" hidden="1" x14ac:dyDescent="0.25">
      <c r="A6992">
        <v>6991</v>
      </c>
      <c r="B6992" s="1">
        <v>45749</v>
      </c>
      <c r="C6992" t="s">
        <v>57</v>
      </c>
      <c r="D6992" t="s">
        <v>90</v>
      </c>
      <c r="E6992" t="s">
        <v>13</v>
      </c>
      <c r="F6992">
        <v>3</v>
      </c>
      <c r="G6992" t="str">
        <f>VLOOKUP(D6992,Товары!A:I,3,0)</f>
        <v>Пенал напол. Аква 350 белый 2 двери + 2 ящика</v>
      </c>
      <c r="H6992">
        <f>VLOOKUP(D6992,Товары!A:I,6,0)</f>
        <v>190</v>
      </c>
      <c r="I6992" t="str">
        <f>VLOOKUP(C6992,Магазины!A:C,3,0)</f>
        <v>Оренбург</v>
      </c>
      <c r="J6992">
        <f>VLOOKUP(D6992,Товары!A:I,4,0)</f>
        <v>10650</v>
      </c>
      <c r="K6992">
        <f t="shared" si="109"/>
        <v>31950</v>
      </c>
    </row>
    <row r="6993" spans="1:11" hidden="1" x14ac:dyDescent="0.25">
      <c r="A6993">
        <v>6992</v>
      </c>
      <c r="B6993" s="1">
        <v>45753</v>
      </c>
      <c r="C6993" t="s">
        <v>48</v>
      </c>
      <c r="D6993" t="s">
        <v>80</v>
      </c>
      <c r="E6993" t="s">
        <v>8</v>
      </c>
      <c r="F6993">
        <v>1</v>
      </c>
      <c r="G6993" t="str">
        <f>VLOOKUP(D6993,Товары!A:I,3,0)</f>
        <v>Тумба с раковиной  навес. Сохо 600 белый 2 ящика с умыв. Океан</v>
      </c>
      <c r="H6993">
        <f>VLOOKUP(D6993,Товары!A:I,6,0)</f>
        <v>55</v>
      </c>
      <c r="I6993" t="str">
        <f>VLOOKUP(C6993,Магазины!A:C,3,0)</f>
        <v>Ставрополь</v>
      </c>
      <c r="J6993">
        <f>VLOOKUP(D6993,Товары!A:I,4,0)</f>
        <v>13950</v>
      </c>
      <c r="K6993">
        <f t="shared" si="109"/>
        <v>13950</v>
      </c>
    </row>
    <row r="6994" spans="1:11" hidden="1" x14ac:dyDescent="0.25">
      <c r="A6994">
        <v>6993</v>
      </c>
      <c r="B6994" s="1">
        <v>45751</v>
      </c>
      <c r="C6994" t="s">
        <v>35</v>
      </c>
      <c r="D6994" t="s">
        <v>19</v>
      </c>
      <c r="E6994" t="s">
        <v>13</v>
      </c>
      <c r="F6994">
        <v>3</v>
      </c>
      <c r="G6994" t="str">
        <f>VLOOKUP(D6994,Товары!A:I,3,0)</f>
        <v>Тумба с раковиной  навес. Леон 800 оникс 2 ящика с умыв. Слим</v>
      </c>
      <c r="H6994">
        <f>VLOOKUP(D6994,Товары!A:I,6,0)</f>
        <v>60</v>
      </c>
      <c r="I6994" t="str">
        <f>VLOOKUP(C6994,Магазины!A:C,3,0)</f>
        <v>Набережные Челны</v>
      </c>
      <c r="J6994">
        <f>VLOOKUP(D6994,Товары!A:I,4,0)</f>
        <v>27930</v>
      </c>
      <c r="K6994">
        <f t="shared" si="109"/>
        <v>83790</v>
      </c>
    </row>
    <row r="6995" spans="1:11" hidden="1" x14ac:dyDescent="0.25">
      <c r="A6995">
        <v>6994</v>
      </c>
      <c r="B6995" s="1">
        <v>45748</v>
      </c>
      <c r="C6995" t="s">
        <v>16</v>
      </c>
      <c r="D6995" t="s">
        <v>64</v>
      </c>
      <c r="E6995" t="s">
        <v>8</v>
      </c>
      <c r="F6995">
        <v>2</v>
      </c>
      <c r="G6995" t="str">
        <f>VLOOKUP(D6995,Товары!A:I,3,0)</f>
        <v>Тумба с раковиной  напол. Рица 800 антрацит 2 ящика с умыв. Слим</v>
      </c>
      <c r="H6995">
        <f>VLOOKUP(D6995,Товары!A:I,6,0)</f>
        <v>80</v>
      </c>
      <c r="I6995" t="str">
        <f>VLOOKUP(C6995,Магазины!A:C,3,0)</f>
        <v>Оренбург</v>
      </c>
      <c r="J6995">
        <f>VLOOKUP(D6995,Товары!A:I,4,0)</f>
        <v>28980</v>
      </c>
      <c r="K6995">
        <f t="shared" si="109"/>
        <v>57960</v>
      </c>
    </row>
    <row r="6996" spans="1:11" hidden="1" x14ac:dyDescent="0.25">
      <c r="A6996">
        <v>6995</v>
      </c>
      <c r="B6996" s="1">
        <v>45748</v>
      </c>
      <c r="C6996" t="s">
        <v>26</v>
      </c>
      <c r="D6996" t="s">
        <v>61</v>
      </c>
      <c r="E6996" t="s">
        <v>13</v>
      </c>
      <c r="F6996">
        <v>2</v>
      </c>
      <c r="G6996" t="str">
        <f>VLOOKUP(D6996,Товары!A:I,3,0)</f>
        <v>Тумба под стиральную машину Леон Риф 57 напольная 2 ящика под ст/маш, без умывальника /под Marshall 120 Солярис/Белый Риф</v>
      </c>
      <c r="H6996">
        <f>VLOOKUP(D6996,Товары!A:I,6,0)</f>
        <v>85</v>
      </c>
      <c r="I6996" t="str">
        <f>VLOOKUP(C6996,Магазины!A:C,3,0)</f>
        <v>Оренбург</v>
      </c>
      <c r="J6996">
        <f>VLOOKUP(D6996,Товары!A:I,4,0)</f>
        <v>17430</v>
      </c>
      <c r="K6996">
        <f t="shared" si="109"/>
        <v>34860</v>
      </c>
    </row>
    <row r="6997" spans="1:11" hidden="1" x14ac:dyDescent="0.25">
      <c r="A6997">
        <v>6996</v>
      </c>
      <c r="B6997" s="1">
        <v>45749</v>
      </c>
      <c r="C6997" t="s">
        <v>28</v>
      </c>
      <c r="D6997" t="s">
        <v>75</v>
      </c>
      <c r="E6997" t="s">
        <v>8</v>
      </c>
      <c r="F6997">
        <v>2</v>
      </c>
      <c r="G6997" t="str">
        <f>VLOOKUP(D6997,Товары!A:I,3,0)</f>
        <v>Тумба с раковиной  напол. Альба 600 суфле 2 ящика с умыв. Океан</v>
      </c>
      <c r="H6997">
        <f>VLOOKUP(D6997,Товары!A:I,6,0)</f>
        <v>80</v>
      </c>
      <c r="I6997" t="str">
        <f>VLOOKUP(C6997,Магазины!A:C,3,0)</f>
        <v>Набережные Челны</v>
      </c>
      <c r="J6997">
        <f>VLOOKUP(D6997,Товары!A:I,4,0)</f>
        <v>26370</v>
      </c>
      <c r="K6997">
        <f t="shared" si="109"/>
        <v>52740</v>
      </c>
    </row>
    <row r="6998" spans="1:11" hidden="1" x14ac:dyDescent="0.25">
      <c r="A6998">
        <v>6997</v>
      </c>
      <c r="B6998" s="1">
        <v>45750</v>
      </c>
      <c r="C6998" t="s">
        <v>30</v>
      </c>
      <c r="D6998" t="s">
        <v>53</v>
      </c>
      <c r="E6998" t="s">
        <v>13</v>
      </c>
      <c r="F6998">
        <v>3</v>
      </c>
      <c r="G6998" t="str">
        <f>VLOOKUP(D6998,Товары!A:I,3,0)</f>
        <v>Тумба с раковиной  напол. Кристалл 600 шато азур 2 ящика с умыв. Океан</v>
      </c>
      <c r="H6998">
        <f>VLOOKUP(D6998,Товары!A:I,6,0)</f>
        <v>85</v>
      </c>
      <c r="I6998" t="str">
        <f>VLOOKUP(C6998,Магазины!A:C,3,0)</f>
        <v>Кемерово</v>
      </c>
      <c r="J6998">
        <f>VLOOKUP(D6998,Товары!A:I,4,0)</f>
        <v>27600</v>
      </c>
      <c r="K6998">
        <f t="shared" si="109"/>
        <v>82800</v>
      </c>
    </row>
    <row r="6999" spans="1:11" hidden="1" x14ac:dyDescent="0.25">
      <c r="A6999">
        <v>6998</v>
      </c>
      <c r="B6999" s="1">
        <v>45751</v>
      </c>
      <c r="C6999" t="s">
        <v>48</v>
      </c>
      <c r="D6999" t="s">
        <v>79</v>
      </c>
      <c r="E6999" t="s">
        <v>8</v>
      </c>
      <c r="F6999">
        <v>3</v>
      </c>
      <c r="G6999" t="str">
        <f>VLOOKUP(D6999,Товары!A:I,3,0)</f>
        <v>Зеркальный шкаф Альба 70 со светильником правый цвет мята</v>
      </c>
      <c r="H6999">
        <f>VLOOKUP(D6999,Товары!A:I,6,0)</f>
        <v>75</v>
      </c>
      <c r="I6999" t="str">
        <f>VLOOKUP(C6999,Магазины!A:C,3,0)</f>
        <v>Ставрополь</v>
      </c>
      <c r="J6999">
        <f>VLOOKUP(D6999,Товары!A:I,4,0)</f>
        <v>9615</v>
      </c>
      <c r="K6999">
        <f t="shared" si="109"/>
        <v>28845</v>
      </c>
    </row>
    <row r="7000" spans="1:11" hidden="1" x14ac:dyDescent="0.25">
      <c r="A7000">
        <v>6999</v>
      </c>
      <c r="B7000" s="1">
        <v>45754</v>
      </c>
      <c r="C7000" t="s">
        <v>18</v>
      </c>
      <c r="D7000" t="s">
        <v>129</v>
      </c>
      <c r="E7000" t="s">
        <v>8</v>
      </c>
      <c r="F7000">
        <v>1</v>
      </c>
      <c r="G7000" t="str">
        <f>VLOOKUP(D7000,Товары!A:I,3,0)</f>
        <v>Тумба с раковиной  напол. Альба 700 антрацит 2 ящика с умыв. Слим</v>
      </c>
      <c r="H7000">
        <f>VLOOKUP(D7000,Товары!A:I,6,0)</f>
        <v>85</v>
      </c>
      <c r="I7000" t="str">
        <f>VLOOKUP(C7000,Магазины!A:C,3,0)</f>
        <v>Набережные Челны</v>
      </c>
      <c r="J7000">
        <f>VLOOKUP(D7000,Товары!A:I,4,0)</f>
        <v>28695</v>
      </c>
      <c r="K7000">
        <f t="shared" si="109"/>
        <v>28695</v>
      </c>
    </row>
    <row r="7001" spans="1:11" hidden="1" x14ac:dyDescent="0.25">
      <c r="A7001">
        <v>7000</v>
      </c>
      <c r="B7001" s="1">
        <v>45755</v>
      </c>
      <c r="C7001" t="s">
        <v>30</v>
      </c>
      <c r="D7001" t="s">
        <v>70</v>
      </c>
      <c r="E7001" t="s">
        <v>13</v>
      </c>
      <c r="F7001">
        <v>3</v>
      </c>
      <c r="G7001" t="str">
        <f>VLOOKUP(D7001,Товары!A:I,3,0)</f>
        <v>Тумба с раковиной  напол. Кристалл 700 шато азур 2 ящика с умыв. Слим</v>
      </c>
      <c r="H7001">
        <f>VLOOKUP(D7001,Товары!A:I,6,0)</f>
        <v>85</v>
      </c>
      <c r="I7001" t="str">
        <f>VLOOKUP(C7001,Магазины!A:C,3,0)</f>
        <v>Кемерово</v>
      </c>
      <c r="J7001">
        <f>VLOOKUP(D7001,Товары!A:I,4,0)</f>
        <v>29910</v>
      </c>
      <c r="K7001">
        <f t="shared" si="109"/>
        <v>89730</v>
      </c>
    </row>
    <row r="7002" spans="1:11" hidden="1" x14ac:dyDescent="0.25">
      <c r="A7002">
        <v>7001</v>
      </c>
      <c r="B7002" s="1">
        <v>45748</v>
      </c>
      <c r="C7002" t="s">
        <v>48</v>
      </c>
      <c r="D7002" t="s">
        <v>42</v>
      </c>
      <c r="E7002" t="s">
        <v>13</v>
      </c>
      <c r="F7002">
        <v>2</v>
      </c>
      <c r="G7002" t="str">
        <f>VLOOKUP(D7002,Товары!A:I,3,0)</f>
        <v>Тумба под стиральную машину Леон Риф 57 подвесная 2 ящика под ст/маш, без умывальника /под Marshall 120 Солярис/Белый Риф</v>
      </c>
      <c r="H7002">
        <f>VLOOKUP(D7002,Товары!A:I,6,0)</f>
        <v>60</v>
      </c>
      <c r="I7002" t="str">
        <f>VLOOKUP(C7002,Магазины!A:C,3,0)</f>
        <v>Ставрополь</v>
      </c>
      <c r="J7002">
        <f>VLOOKUP(D7002,Товары!A:I,4,0)</f>
        <v>15495</v>
      </c>
      <c r="K7002">
        <f t="shared" si="109"/>
        <v>30990</v>
      </c>
    </row>
    <row r="7003" spans="1:11" hidden="1" x14ac:dyDescent="0.25">
      <c r="A7003">
        <v>7002</v>
      </c>
      <c r="B7003" s="1">
        <v>45749</v>
      </c>
      <c r="C7003" t="s">
        <v>14</v>
      </c>
      <c r="D7003" t="s">
        <v>83</v>
      </c>
      <c r="E7003" t="s">
        <v>8</v>
      </c>
      <c r="F7003">
        <v>1</v>
      </c>
      <c r="G7003" t="str">
        <f>VLOOKUP(D7003,Товары!A:I,3,0)</f>
        <v>Зеркальный шкаф Альба 60 со светильником правый цвет суфле</v>
      </c>
      <c r="H7003">
        <f>VLOOKUP(D7003,Товары!A:I,6,0)</f>
        <v>75</v>
      </c>
      <c r="I7003" t="str">
        <f>VLOOKUP(C7003,Магазины!A:C,3,0)</f>
        <v>Оренбург</v>
      </c>
      <c r="J7003">
        <f>VLOOKUP(D7003,Товары!A:I,4,0)</f>
        <v>8910</v>
      </c>
      <c r="K7003">
        <f t="shared" si="109"/>
        <v>8910</v>
      </c>
    </row>
    <row r="7004" spans="1:11" hidden="1" x14ac:dyDescent="0.25">
      <c r="A7004">
        <v>7003</v>
      </c>
      <c r="B7004" s="1">
        <v>45755</v>
      </c>
      <c r="C7004" t="s">
        <v>28</v>
      </c>
      <c r="D7004" t="s">
        <v>24</v>
      </c>
      <c r="E7004" t="s">
        <v>13</v>
      </c>
      <c r="F7004">
        <v>3</v>
      </c>
      <c r="G7004" t="str">
        <f>VLOOKUP(D7004,Товары!A:I,3,0)</f>
        <v>Тумба с раковиной  напол. Леон 600 форест 2 ящика с умыв. Слим</v>
      </c>
      <c r="H7004">
        <f>VLOOKUP(D7004,Товары!A:I,6,0)</f>
        <v>80</v>
      </c>
      <c r="I7004" t="str">
        <f>VLOOKUP(C7004,Магазины!A:C,3,0)</f>
        <v>Набережные Челны</v>
      </c>
      <c r="J7004">
        <f>VLOOKUP(D7004,Товары!A:I,4,0)</f>
        <v>27150</v>
      </c>
      <c r="K7004">
        <f t="shared" si="109"/>
        <v>81450</v>
      </c>
    </row>
    <row r="7005" spans="1:11" hidden="1" x14ac:dyDescent="0.25">
      <c r="A7005">
        <v>7004</v>
      </c>
      <c r="B7005" s="1">
        <v>45753</v>
      </c>
      <c r="C7005" t="s">
        <v>54</v>
      </c>
      <c r="D7005" t="s">
        <v>31</v>
      </c>
      <c r="E7005" t="s">
        <v>8</v>
      </c>
      <c r="F7005">
        <v>2</v>
      </c>
      <c r="G7005" t="str">
        <f>VLOOKUP(D7005,Товары!A:I,3,0)</f>
        <v>Пенал напол. Виктория 350 белый 2 двери</v>
      </c>
      <c r="H7005">
        <f>VLOOKUP(D7005,Товары!A:I,6,0)</f>
        <v>190</v>
      </c>
      <c r="I7005" t="str">
        <f>VLOOKUP(C7005,Магазины!A:C,3,0)</f>
        <v>Ставрополь</v>
      </c>
      <c r="J7005">
        <f>VLOOKUP(D7005,Товары!A:I,4,0)</f>
        <v>14085</v>
      </c>
      <c r="K7005">
        <f t="shared" si="109"/>
        <v>28170</v>
      </c>
    </row>
    <row r="7006" spans="1:11" hidden="1" x14ac:dyDescent="0.25">
      <c r="A7006">
        <v>7005</v>
      </c>
      <c r="B7006" s="1">
        <v>45755</v>
      </c>
      <c r="C7006" t="s">
        <v>11</v>
      </c>
      <c r="D7006" t="s">
        <v>53</v>
      </c>
      <c r="E7006" t="s">
        <v>13</v>
      </c>
      <c r="F7006">
        <v>3</v>
      </c>
      <c r="G7006" t="str">
        <f>VLOOKUP(D7006,Товары!A:I,3,0)</f>
        <v>Тумба с раковиной  напол. Кристалл 600 шато азур 2 ящика с умыв. Океан</v>
      </c>
      <c r="H7006">
        <f>VLOOKUP(D7006,Товары!A:I,6,0)</f>
        <v>85</v>
      </c>
      <c r="I7006" t="str">
        <f>VLOOKUP(C7006,Магазины!A:C,3,0)</f>
        <v>Кемерово</v>
      </c>
      <c r="J7006">
        <f>VLOOKUP(D7006,Товары!A:I,4,0)</f>
        <v>27600</v>
      </c>
      <c r="K7006">
        <f t="shared" si="109"/>
        <v>82800</v>
      </c>
    </row>
    <row r="7007" spans="1:11" hidden="1" x14ac:dyDescent="0.25">
      <c r="A7007">
        <v>7006</v>
      </c>
      <c r="B7007" s="1">
        <v>45757</v>
      </c>
      <c r="C7007" t="s">
        <v>35</v>
      </c>
      <c r="D7007" t="s">
        <v>21</v>
      </c>
      <c r="E7007" t="s">
        <v>8</v>
      </c>
      <c r="F7007">
        <v>1</v>
      </c>
      <c r="G7007" t="str">
        <f>VLOOKUP(D7007,Товары!A:I,3,0)</f>
        <v>Зеркальный шкаф Рица 60 со светильником правый цвет cерый/керамика</v>
      </c>
      <c r="H7007">
        <f>VLOOKUP(D7007,Товары!A:I,6,0)</f>
        <v>75</v>
      </c>
      <c r="I7007" t="str">
        <f>VLOOKUP(C7007,Магазины!A:C,3,0)</f>
        <v>Набережные Челны</v>
      </c>
      <c r="J7007">
        <f>VLOOKUP(D7007,Товары!A:I,4,0)</f>
        <v>8910</v>
      </c>
      <c r="K7007">
        <f t="shared" si="109"/>
        <v>8910</v>
      </c>
    </row>
    <row r="7008" spans="1:11" hidden="1" x14ac:dyDescent="0.25">
      <c r="A7008">
        <v>7007</v>
      </c>
      <c r="B7008" s="1">
        <v>45757</v>
      </c>
      <c r="C7008" t="s">
        <v>92</v>
      </c>
      <c r="D7008" t="s">
        <v>62</v>
      </c>
      <c r="E7008" t="s">
        <v>13</v>
      </c>
      <c r="F7008">
        <v>3</v>
      </c>
      <c r="G7008" t="str">
        <f>VLOOKUP(D7008,Товары!A:I,3,0)</f>
        <v>Тумба с раковиной  напол. Альба 600 мята 2 ящика с умыв. Океан</v>
      </c>
      <c r="H7008">
        <f>VLOOKUP(D7008,Товары!A:I,6,0)</f>
        <v>80</v>
      </c>
      <c r="I7008" t="str">
        <f>VLOOKUP(C7008,Магазины!A:C,3,0)</f>
        <v>Кемерово</v>
      </c>
      <c r="J7008">
        <f>VLOOKUP(D7008,Товары!A:I,4,0)</f>
        <v>26370</v>
      </c>
      <c r="K7008">
        <f t="shared" si="109"/>
        <v>79110</v>
      </c>
    </row>
    <row r="7009" spans="1:11" hidden="1" x14ac:dyDescent="0.25">
      <c r="A7009">
        <v>7008</v>
      </c>
      <c r="B7009" s="1">
        <v>45756</v>
      </c>
      <c r="C7009" t="s">
        <v>20</v>
      </c>
      <c r="D7009" t="s">
        <v>10</v>
      </c>
      <c r="E7009" t="s">
        <v>13</v>
      </c>
      <c r="F7009">
        <v>1</v>
      </c>
      <c r="G7009" t="str">
        <f>VLOOKUP(D7009,Товары!A:I,3,0)</f>
        <v>Тумба с раковиной  навес. Альба 700 антрацит 1 ящик с умыв. Слим</v>
      </c>
      <c r="H7009">
        <f>VLOOKUP(D7009,Товары!A:I,6,0)</f>
        <v>45</v>
      </c>
      <c r="I7009" t="str">
        <f>VLOOKUP(C7009,Магазины!A:C,3,0)</f>
        <v>Оренбург</v>
      </c>
      <c r="J7009">
        <f>VLOOKUP(D7009,Товары!A:I,4,0)</f>
        <v>20130</v>
      </c>
      <c r="K7009">
        <f t="shared" si="109"/>
        <v>20130</v>
      </c>
    </row>
    <row r="7010" spans="1:11" hidden="1" x14ac:dyDescent="0.25">
      <c r="A7010">
        <v>7009</v>
      </c>
      <c r="B7010" s="1">
        <v>45753</v>
      </c>
      <c r="C7010" t="s">
        <v>20</v>
      </c>
      <c r="D7010" t="s">
        <v>34</v>
      </c>
      <c r="E7010" t="s">
        <v>13</v>
      </c>
      <c r="F7010">
        <v>2</v>
      </c>
      <c r="G7010" t="str">
        <f>VLOOKUP(D7010,Товары!A:I,3,0)</f>
        <v>Тумба с раковиной  навес. Леон 700 форест 2 ящика с умыв. Слим</v>
      </c>
      <c r="H7010">
        <f>VLOOKUP(D7010,Товары!A:I,6,0)</f>
        <v>60</v>
      </c>
      <c r="I7010" t="str">
        <f>VLOOKUP(C7010,Магазины!A:C,3,0)</f>
        <v>Оренбург</v>
      </c>
      <c r="J7010">
        <f>VLOOKUP(D7010,Товары!A:I,4,0)</f>
        <v>26220</v>
      </c>
      <c r="K7010">
        <f t="shared" si="109"/>
        <v>52440</v>
      </c>
    </row>
    <row r="7011" spans="1:11" hidden="1" x14ac:dyDescent="0.25">
      <c r="A7011">
        <v>7010</v>
      </c>
      <c r="B7011" s="1">
        <v>45751</v>
      </c>
      <c r="C7011" t="s">
        <v>33</v>
      </c>
      <c r="D7011" t="s">
        <v>70</v>
      </c>
      <c r="E7011" t="s">
        <v>13</v>
      </c>
      <c r="F7011">
        <v>3</v>
      </c>
      <c r="G7011" t="str">
        <f>VLOOKUP(D7011,Товары!A:I,3,0)</f>
        <v>Тумба с раковиной  напол. Кристалл 700 шато азур 2 ящика с умыв. Слим</v>
      </c>
      <c r="H7011">
        <f>VLOOKUP(D7011,Товары!A:I,6,0)</f>
        <v>85</v>
      </c>
      <c r="I7011" t="str">
        <f>VLOOKUP(C7011,Магазины!A:C,3,0)</f>
        <v>Набережные Челны</v>
      </c>
      <c r="J7011">
        <f>VLOOKUP(D7011,Товары!A:I,4,0)</f>
        <v>29910</v>
      </c>
      <c r="K7011">
        <f t="shared" si="109"/>
        <v>89730</v>
      </c>
    </row>
    <row r="7012" spans="1:11" hidden="1" x14ac:dyDescent="0.25">
      <c r="A7012">
        <v>7011</v>
      </c>
      <c r="B7012" s="1">
        <v>45755</v>
      </c>
      <c r="C7012" t="s">
        <v>35</v>
      </c>
      <c r="D7012" t="s">
        <v>112</v>
      </c>
      <c r="E7012" t="s">
        <v>8</v>
      </c>
      <c r="F7012">
        <v>1</v>
      </c>
      <c r="G7012" t="str">
        <f>VLOOKUP(D7012,Товары!A:I,3,0)</f>
        <v>Тумба с раковиной  напол. Аква 560 белый 2 двери с умыв. Уют</v>
      </c>
      <c r="H7012">
        <f>VLOOKUP(D7012,Товары!A:I,6,0)</f>
        <v>85</v>
      </c>
      <c r="I7012" t="str">
        <f>VLOOKUP(C7012,Магазины!A:C,3,0)</f>
        <v>Набережные Челны</v>
      </c>
      <c r="J7012">
        <f>VLOOKUP(D7012,Товары!A:I,4,0)</f>
        <v>9330</v>
      </c>
      <c r="K7012">
        <f t="shared" si="109"/>
        <v>9330</v>
      </c>
    </row>
    <row r="7013" spans="1:11" hidden="1" x14ac:dyDescent="0.25">
      <c r="A7013">
        <v>7012</v>
      </c>
      <c r="B7013" s="1">
        <v>45752</v>
      </c>
      <c r="C7013" t="s">
        <v>26</v>
      </c>
      <c r="D7013" t="s">
        <v>118</v>
      </c>
      <c r="E7013" t="s">
        <v>13</v>
      </c>
      <c r="F7013">
        <v>1</v>
      </c>
      <c r="G7013" t="str">
        <f>VLOOKUP(D7013,Товары!A:I,3,0)</f>
        <v>Тумба с раковиной  напол. Сохо 800 белый 2 ящика с умыв. Слим</v>
      </c>
      <c r="H7013">
        <f>VLOOKUP(D7013,Товары!A:I,6,0)</f>
        <v>85</v>
      </c>
      <c r="I7013" t="str">
        <f>VLOOKUP(C7013,Магазины!A:C,3,0)</f>
        <v>Оренбург</v>
      </c>
      <c r="J7013">
        <f>VLOOKUP(D7013,Товары!A:I,4,0)</f>
        <v>19575</v>
      </c>
      <c r="K7013">
        <f t="shared" si="109"/>
        <v>19575</v>
      </c>
    </row>
    <row r="7014" spans="1:11" hidden="1" x14ac:dyDescent="0.25">
      <c r="A7014">
        <v>7013</v>
      </c>
      <c r="B7014" s="1">
        <v>45757</v>
      </c>
      <c r="C7014" t="s">
        <v>103</v>
      </c>
      <c r="D7014" t="s">
        <v>69</v>
      </c>
      <c r="E7014" t="s">
        <v>8</v>
      </c>
      <c r="F7014">
        <v>3</v>
      </c>
      <c r="G7014" t="str">
        <f>VLOOKUP(D7014,Товары!A:I,3,0)</f>
        <v>Пенал навес./напол. Альба 350 антрацит 2 двери</v>
      </c>
      <c r="H7014">
        <f>VLOOKUP(D7014,Товары!A:I,6,0)</f>
        <v>150</v>
      </c>
      <c r="I7014" t="str">
        <f>VLOOKUP(C7014,Магазины!A:C,3,0)</f>
        <v>Ставрополь</v>
      </c>
      <c r="J7014">
        <f>VLOOKUP(D7014,Товары!A:I,4,0)</f>
        <v>11655</v>
      </c>
      <c r="K7014">
        <f t="shared" si="109"/>
        <v>34965</v>
      </c>
    </row>
    <row r="7015" spans="1:11" hidden="1" x14ac:dyDescent="0.25">
      <c r="A7015">
        <v>7014</v>
      </c>
      <c r="B7015" s="1">
        <v>45753</v>
      </c>
      <c r="C7015" t="s">
        <v>26</v>
      </c>
      <c r="D7015" t="s">
        <v>115</v>
      </c>
      <c r="E7015" t="s">
        <v>13</v>
      </c>
      <c r="F7015">
        <v>1</v>
      </c>
      <c r="G7015" t="str">
        <f>VLOOKUP(D7015,Товары!A:I,3,0)</f>
        <v>Тумба под стиральную машину Куба Риф 57 напольная 2 ящика под ст/маш, без умывальника /под Marshall 120 Белый</v>
      </c>
      <c r="H7015">
        <f>VLOOKUP(D7015,Товары!A:I,6,0)</f>
        <v>85</v>
      </c>
      <c r="I7015" t="str">
        <f>VLOOKUP(C7015,Магазины!A:C,3,0)</f>
        <v>Оренбург</v>
      </c>
      <c r="J7015">
        <f>VLOOKUP(D7015,Товары!A:I,4,0)</f>
        <v>10530</v>
      </c>
      <c r="K7015">
        <f t="shared" si="109"/>
        <v>10530</v>
      </c>
    </row>
    <row r="7016" spans="1:11" hidden="1" x14ac:dyDescent="0.25">
      <c r="A7016">
        <v>7015</v>
      </c>
      <c r="B7016" s="1">
        <v>45754</v>
      </c>
      <c r="C7016" t="s">
        <v>57</v>
      </c>
      <c r="D7016" t="s">
        <v>73</v>
      </c>
      <c r="E7016" t="s">
        <v>8</v>
      </c>
      <c r="F7016">
        <v>3</v>
      </c>
      <c r="G7016" t="str">
        <f>VLOOKUP(D7016,Товары!A:I,3,0)</f>
        <v>Зеркальный шкаф Альба 70 со светильником правый цвет антрацит</v>
      </c>
      <c r="H7016">
        <f>VLOOKUP(D7016,Товары!A:I,6,0)</f>
        <v>75</v>
      </c>
      <c r="I7016" t="str">
        <f>VLOOKUP(C7016,Магазины!A:C,3,0)</f>
        <v>Оренбург</v>
      </c>
      <c r="J7016">
        <f>VLOOKUP(D7016,Товары!A:I,4,0)</f>
        <v>9615</v>
      </c>
      <c r="K7016">
        <f t="shared" si="109"/>
        <v>28845</v>
      </c>
    </row>
    <row r="7017" spans="1:11" hidden="1" x14ac:dyDescent="0.25">
      <c r="A7017">
        <v>7016</v>
      </c>
      <c r="B7017" s="1">
        <v>45753</v>
      </c>
      <c r="C7017" t="s">
        <v>63</v>
      </c>
      <c r="D7017" t="s">
        <v>36</v>
      </c>
      <c r="E7017" t="s">
        <v>13</v>
      </c>
      <c r="F7017">
        <v>1</v>
      </c>
      <c r="G7017" t="str">
        <f>VLOOKUP(D7017,Товары!A:I,3,0)</f>
        <v>Тумба с раковиной  напол. Альба 800 мята 2 ящика с умыв. Слим</v>
      </c>
      <c r="H7017">
        <f>VLOOKUP(D7017,Товары!A:I,6,0)</f>
        <v>80</v>
      </c>
      <c r="I7017" t="str">
        <f>VLOOKUP(C7017,Магазины!A:C,3,0)</f>
        <v>Ставрополь</v>
      </c>
      <c r="J7017">
        <f>VLOOKUP(D7017,Товары!A:I,4,0)</f>
        <v>29340</v>
      </c>
      <c r="K7017">
        <f t="shared" si="109"/>
        <v>29340</v>
      </c>
    </row>
    <row r="7018" spans="1:11" hidden="1" x14ac:dyDescent="0.25">
      <c r="A7018">
        <v>7017</v>
      </c>
      <c r="B7018" s="1">
        <v>45755</v>
      </c>
      <c r="C7018" t="s">
        <v>20</v>
      </c>
      <c r="D7018" t="s">
        <v>84</v>
      </c>
      <c r="E7018" t="s">
        <v>13</v>
      </c>
      <c r="F7018">
        <v>2</v>
      </c>
      <c r="G7018" t="str">
        <f>VLOOKUP(D7018,Товары!A:I,3,0)</f>
        <v>Тумба с раковиной  напол. Куба Риф 800 белый 3 двери с умыв. Слим</v>
      </c>
      <c r="H7018">
        <f>VLOOKUP(D7018,Товары!A:I,6,0)</f>
        <v>85</v>
      </c>
      <c r="I7018" t="str">
        <f>VLOOKUP(C7018,Магазины!A:C,3,0)</f>
        <v>Оренбург</v>
      </c>
      <c r="J7018">
        <f>VLOOKUP(D7018,Товары!A:I,4,0)</f>
        <v>19920</v>
      </c>
      <c r="K7018">
        <f t="shared" si="109"/>
        <v>39840</v>
      </c>
    </row>
    <row r="7019" spans="1:11" hidden="1" x14ac:dyDescent="0.25">
      <c r="A7019">
        <v>7018</v>
      </c>
      <c r="B7019" s="1">
        <v>45753</v>
      </c>
      <c r="C7019" t="s">
        <v>35</v>
      </c>
      <c r="D7019" t="s">
        <v>47</v>
      </c>
      <c r="E7019" t="s">
        <v>13</v>
      </c>
      <c r="F7019">
        <v>2</v>
      </c>
      <c r="G7019" t="str">
        <f>VLOOKUP(D7019,Товары!A:I,3,0)</f>
        <v>Пенал напол. Кристалл 350 шато азур 2 двери</v>
      </c>
      <c r="H7019">
        <f>VLOOKUP(D7019,Товары!A:I,6,0)</f>
        <v>190</v>
      </c>
      <c r="I7019" t="str">
        <f>VLOOKUP(C7019,Магазины!A:C,3,0)</f>
        <v>Набережные Челны</v>
      </c>
      <c r="J7019">
        <f>VLOOKUP(D7019,Товары!A:I,4,0)</f>
        <v>15810</v>
      </c>
      <c r="K7019">
        <f t="shared" si="109"/>
        <v>31620</v>
      </c>
    </row>
    <row r="7020" spans="1:11" hidden="1" x14ac:dyDescent="0.25">
      <c r="A7020">
        <v>7019</v>
      </c>
      <c r="B7020" s="1">
        <v>45749</v>
      </c>
      <c r="C7020" t="s">
        <v>57</v>
      </c>
      <c r="D7020" t="s">
        <v>44</v>
      </c>
      <c r="E7020" t="s">
        <v>8</v>
      </c>
      <c r="F7020">
        <v>1</v>
      </c>
      <c r="G7020" t="str">
        <f>VLOOKUP(D7020,Товары!A:I,3,0)</f>
        <v>Тумба с раковиной  навес. Кристалл 800 шато азур 2 ящика с умыв. Комфорт</v>
      </c>
      <c r="H7020">
        <f>VLOOKUP(D7020,Товары!A:I,6,0)</f>
        <v>55</v>
      </c>
      <c r="I7020" t="str">
        <f>VLOOKUP(C7020,Магазины!A:C,3,0)</f>
        <v>Оренбург</v>
      </c>
      <c r="J7020">
        <f>VLOOKUP(D7020,Товары!A:I,4,0)</f>
        <v>25080</v>
      </c>
      <c r="K7020">
        <f t="shared" si="109"/>
        <v>25080</v>
      </c>
    </row>
    <row r="7021" spans="1:11" hidden="1" x14ac:dyDescent="0.25">
      <c r="A7021">
        <v>7020</v>
      </c>
      <c r="B7021" s="1">
        <v>45757</v>
      </c>
      <c r="C7021" t="s">
        <v>28</v>
      </c>
      <c r="D7021" t="s">
        <v>61</v>
      </c>
      <c r="E7021" t="s">
        <v>13</v>
      </c>
      <c r="F7021">
        <v>1</v>
      </c>
      <c r="G7021" t="str">
        <f>VLOOKUP(D7021,Товары!A:I,3,0)</f>
        <v>Тумба под стиральную машину Леон Риф 57 напольная 2 ящика под ст/маш, без умывальника /под Marshall 120 Солярис/Белый Риф</v>
      </c>
      <c r="H7021">
        <f>VLOOKUP(D7021,Товары!A:I,6,0)</f>
        <v>85</v>
      </c>
      <c r="I7021" t="str">
        <f>VLOOKUP(C7021,Магазины!A:C,3,0)</f>
        <v>Набережные Челны</v>
      </c>
      <c r="J7021">
        <f>VLOOKUP(D7021,Товары!A:I,4,0)</f>
        <v>17430</v>
      </c>
      <c r="K7021">
        <f t="shared" si="109"/>
        <v>17430</v>
      </c>
    </row>
    <row r="7022" spans="1:11" hidden="1" x14ac:dyDescent="0.25">
      <c r="A7022">
        <v>7021</v>
      </c>
      <c r="B7022" s="1">
        <v>45751</v>
      </c>
      <c r="C7022" t="s">
        <v>41</v>
      </c>
      <c r="D7022" t="s">
        <v>115</v>
      </c>
      <c r="E7022" t="s">
        <v>8</v>
      </c>
      <c r="F7022">
        <v>1</v>
      </c>
      <c r="G7022" t="str">
        <f>VLOOKUP(D7022,Товары!A:I,3,0)</f>
        <v>Тумба под стиральную машину Куба Риф 57 напольная 2 ящика под ст/маш, без умывальника /под Marshall 120 Белый</v>
      </c>
      <c r="H7022">
        <f>VLOOKUP(D7022,Товары!A:I,6,0)</f>
        <v>85</v>
      </c>
      <c r="I7022" t="str">
        <f>VLOOKUP(C7022,Магазины!A:C,3,0)</f>
        <v>Ставрополь</v>
      </c>
      <c r="J7022">
        <f>VLOOKUP(D7022,Товары!A:I,4,0)</f>
        <v>10530</v>
      </c>
      <c r="K7022">
        <f t="shared" si="109"/>
        <v>10530</v>
      </c>
    </row>
    <row r="7023" spans="1:11" hidden="1" x14ac:dyDescent="0.25">
      <c r="A7023">
        <v>7022</v>
      </c>
      <c r="B7023" s="1">
        <v>45752</v>
      </c>
      <c r="C7023" t="s">
        <v>18</v>
      </c>
      <c r="D7023" t="s">
        <v>109</v>
      </c>
      <c r="E7023" t="s">
        <v>8</v>
      </c>
      <c r="F7023">
        <v>2</v>
      </c>
      <c r="G7023" t="str">
        <f>VLOOKUP(D7023,Товары!A:I,3,0)</f>
        <v>Тумба с раковиной  навес. Альба 600 антрацит 2 ящика с умыв. Океан</v>
      </c>
      <c r="H7023">
        <f>VLOOKUP(D7023,Товары!A:I,6,0)</f>
        <v>50</v>
      </c>
      <c r="I7023" t="str">
        <f>VLOOKUP(C7023,Магазины!A:C,3,0)</f>
        <v>Набережные Челны</v>
      </c>
      <c r="J7023">
        <f>VLOOKUP(D7023,Товары!A:I,4,0)</f>
        <v>24810</v>
      </c>
      <c r="K7023">
        <f t="shared" si="109"/>
        <v>49620</v>
      </c>
    </row>
    <row r="7024" spans="1:11" hidden="1" x14ac:dyDescent="0.25">
      <c r="A7024">
        <v>7023</v>
      </c>
      <c r="B7024" s="1">
        <v>45753</v>
      </c>
      <c r="C7024" t="s">
        <v>92</v>
      </c>
      <c r="D7024" t="s">
        <v>19</v>
      </c>
      <c r="E7024" t="s">
        <v>8</v>
      </c>
      <c r="F7024">
        <v>1</v>
      </c>
      <c r="G7024" t="str">
        <f>VLOOKUP(D7024,Товары!A:I,3,0)</f>
        <v>Тумба с раковиной  навес. Леон 800 оникс 2 ящика с умыв. Слим</v>
      </c>
      <c r="H7024">
        <f>VLOOKUP(D7024,Товары!A:I,6,0)</f>
        <v>60</v>
      </c>
      <c r="I7024" t="str">
        <f>VLOOKUP(C7024,Магазины!A:C,3,0)</f>
        <v>Кемерово</v>
      </c>
      <c r="J7024">
        <f>VLOOKUP(D7024,Товары!A:I,4,0)</f>
        <v>27930</v>
      </c>
      <c r="K7024">
        <f t="shared" si="109"/>
        <v>27930</v>
      </c>
    </row>
    <row r="7025" spans="1:11" hidden="1" x14ac:dyDescent="0.25">
      <c r="A7025">
        <v>7024</v>
      </c>
      <c r="B7025" s="1">
        <v>45749</v>
      </c>
      <c r="C7025" t="s">
        <v>6</v>
      </c>
      <c r="D7025" t="s">
        <v>102</v>
      </c>
      <c r="E7025" t="s">
        <v>8</v>
      </c>
      <c r="F7025">
        <v>3</v>
      </c>
      <c r="G7025" t="str">
        <f>VLOOKUP(D7025,Товары!A:I,3,0)</f>
        <v>Тумба с раковиной  напол. Леон Риф 1000 солярис/белый риф 2 ящика с умыв. Слим</v>
      </c>
      <c r="H7025">
        <f>VLOOKUP(D7025,Товары!A:I,6,0)</f>
        <v>85</v>
      </c>
      <c r="I7025" t="str">
        <f>VLOOKUP(C7025,Магазины!A:C,3,0)</f>
        <v>Оренбург</v>
      </c>
      <c r="J7025">
        <f>VLOOKUP(D7025,Товары!A:I,4,0)</f>
        <v>32085</v>
      </c>
      <c r="K7025">
        <f t="shared" si="109"/>
        <v>96255</v>
      </c>
    </row>
    <row r="7026" spans="1:11" hidden="1" x14ac:dyDescent="0.25">
      <c r="A7026">
        <v>7025</v>
      </c>
      <c r="B7026" s="1">
        <v>45752</v>
      </c>
      <c r="C7026" t="s">
        <v>30</v>
      </c>
      <c r="D7026" t="s">
        <v>96</v>
      </c>
      <c r="E7026" t="s">
        <v>8</v>
      </c>
      <c r="F7026">
        <v>2</v>
      </c>
      <c r="G7026" t="str">
        <f>VLOOKUP(D7026,Товары!A:I,3,0)</f>
        <v>Тумба с раковиной  навес. Альба 600 мята 1 ящик с умыв. Океан</v>
      </c>
      <c r="H7026">
        <f>VLOOKUP(D7026,Товары!A:I,6,0)</f>
        <v>85</v>
      </c>
      <c r="I7026" t="str">
        <f>VLOOKUP(C7026,Магазины!A:C,3,0)</f>
        <v>Кемерово</v>
      </c>
      <c r="J7026">
        <f>VLOOKUP(D7026,Товары!A:I,4,0)</f>
        <v>17625</v>
      </c>
      <c r="K7026">
        <f t="shared" si="109"/>
        <v>35250</v>
      </c>
    </row>
    <row r="7027" spans="1:11" hidden="1" x14ac:dyDescent="0.25">
      <c r="A7027">
        <v>7026</v>
      </c>
      <c r="B7027" s="1">
        <v>45750</v>
      </c>
      <c r="C7027" t="s">
        <v>54</v>
      </c>
      <c r="D7027" t="s">
        <v>124</v>
      </c>
      <c r="E7027" t="s">
        <v>8</v>
      </c>
      <c r="F7027">
        <v>2</v>
      </c>
      <c r="G7027" t="str">
        <f>VLOOKUP(D7027,Товары!A:I,3,0)</f>
        <v>Тумба с раковиной  напол. Леон 600 оникс 2 ящика с умыв. Океан</v>
      </c>
      <c r="H7027">
        <f>VLOOKUP(D7027,Товары!A:I,6,0)</f>
        <v>80</v>
      </c>
      <c r="I7027" t="str">
        <f>VLOOKUP(C7027,Магазины!A:C,3,0)</f>
        <v>Ставрополь</v>
      </c>
      <c r="J7027">
        <f>VLOOKUP(D7027,Товары!A:I,4,0)</f>
        <v>25860</v>
      </c>
      <c r="K7027">
        <f t="shared" si="109"/>
        <v>51720</v>
      </c>
    </row>
    <row r="7028" spans="1:11" hidden="1" x14ac:dyDescent="0.25">
      <c r="A7028">
        <v>7027</v>
      </c>
      <c r="B7028" s="1">
        <v>45748</v>
      </c>
      <c r="C7028" t="s">
        <v>58</v>
      </c>
      <c r="D7028" t="s">
        <v>123</v>
      </c>
      <c r="E7028" t="s">
        <v>8</v>
      </c>
      <c r="F7028">
        <v>1</v>
      </c>
      <c r="G7028" t="str">
        <f>VLOOKUP(D7028,Товары!A:I,3,0)</f>
        <v>Тумба с раковиной  напол. Кристалл 800 суфле 2 ящика с умыв. Слим</v>
      </c>
      <c r="H7028">
        <f>VLOOKUP(D7028,Товары!A:I,6,0)</f>
        <v>80</v>
      </c>
      <c r="I7028" t="str">
        <f>VLOOKUP(C7028,Магазины!A:C,3,0)</f>
        <v>Ставрополь</v>
      </c>
      <c r="J7028">
        <f>VLOOKUP(D7028,Товары!A:I,4,0)</f>
        <v>31125</v>
      </c>
      <c r="K7028">
        <f t="shared" si="109"/>
        <v>31125</v>
      </c>
    </row>
    <row r="7029" spans="1:11" hidden="1" x14ac:dyDescent="0.25">
      <c r="A7029">
        <v>7028</v>
      </c>
      <c r="B7029" s="1">
        <v>45754</v>
      </c>
      <c r="C7029" t="s">
        <v>92</v>
      </c>
      <c r="D7029" t="s">
        <v>49</v>
      </c>
      <c r="E7029" t="s">
        <v>13</v>
      </c>
      <c r="F7029">
        <v>3</v>
      </c>
      <c r="G7029" t="str">
        <f>VLOOKUP(D7029,Товары!A:I,3,0)</f>
        <v>Тумба с раковиной  напол. Леон 700 оникс 2 ящика с умыв. Слим</v>
      </c>
      <c r="H7029">
        <f>VLOOKUP(D7029,Товары!A:I,6,0)</f>
        <v>80</v>
      </c>
      <c r="I7029" t="str">
        <f>VLOOKUP(C7029,Магазины!A:C,3,0)</f>
        <v>Кемерово</v>
      </c>
      <c r="J7029">
        <f>VLOOKUP(D7029,Товары!A:I,4,0)</f>
        <v>28380</v>
      </c>
      <c r="K7029">
        <f t="shared" si="109"/>
        <v>85140</v>
      </c>
    </row>
    <row r="7030" spans="1:11" hidden="1" x14ac:dyDescent="0.25">
      <c r="A7030">
        <v>7029</v>
      </c>
      <c r="B7030" s="1">
        <v>45755</v>
      </c>
      <c r="C7030" t="s">
        <v>103</v>
      </c>
      <c r="D7030" t="s">
        <v>108</v>
      </c>
      <c r="E7030" t="s">
        <v>8</v>
      </c>
      <c r="F7030">
        <v>2</v>
      </c>
      <c r="G7030" t="str">
        <f>VLOOKUP(D7030,Товары!A:I,3,0)</f>
        <v>Тумба с раковиной  навес. Виктория 1000 белый 2 ящика с умыв. Слим</v>
      </c>
      <c r="H7030">
        <f>VLOOKUP(D7030,Товары!A:I,6,0)</f>
        <v>60</v>
      </c>
      <c r="I7030" t="str">
        <f>VLOOKUP(C7030,Магазины!A:C,3,0)</f>
        <v>Ставрополь</v>
      </c>
      <c r="J7030">
        <f>VLOOKUP(D7030,Товары!A:I,4,0)</f>
        <v>29205</v>
      </c>
      <c r="K7030">
        <f t="shared" si="109"/>
        <v>58410</v>
      </c>
    </row>
    <row r="7031" spans="1:11" hidden="1" x14ac:dyDescent="0.25">
      <c r="A7031">
        <v>7030</v>
      </c>
      <c r="B7031" s="1">
        <v>45756</v>
      </c>
      <c r="C7031" t="s">
        <v>20</v>
      </c>
      <c r="D7031" t="s">
        <v>104</v>
      </c>
      <c r="E7031" t="s">
        <v>13</v>
      </c>
      <c r="F7031">
        <v>2</v>
      </c>
      <c r="G7031" t="str">
        <f>VLOOKUP(D7031,Товары!A:I,3,0)</f>
        <v>Тумба под стиральную машину Куба Риф 57 подвесная 2 ящика под ст/маш, без умывальника /под Marshall 120 Белый</v>
      </c>
      <c r="H7031">
        <f>VLOOKUP(D7031,Товары!A:I,6,0)</f>
        <v>50</v>
      </c>
      <c r="I7031" t="str">
        <f>VLOOKUP(C7031,Магазины!A:C,3,0)</f>
        <v>Оренбург</v>
      </c>
      <c r="J7031">
        <f>VLOOKUP(D7031,Товары!A:I,4,0)</f>
        <v>8505</v>
      </c>
      <c r="K7031">
        <f t="shared" si="109"/>
        <v>17010</v>
      </c>
    </row>
    <row r="7032" spans="1:11" hidden="1" x14ac:dyDescent="0.25">
      <c r="A7032">
        <v>7031</v>
      </c>
      <c r="B7032" s="1">
        <v>45753</v>
      </c>
      <c r="C7032" t="s">
        <v>48</v>
      </c>
      <c r="D7032" t="s">
        <v>15</v>
      </c>
      <c r="E7032" t="s">
        <v>13</v>
      </c>
      <c r="F7032">
        <v>1</v>
      </c>
      <c r="G7032" t="str">
        <f>VLOOKUP(D7032,Товары!A:I,3,0)</f>
        <v>Зеркальный шкаф Кристалл 60 со светильником правый, ручка кнопка дуб цвет Шато Азур</v>
      </c>
      <c r="H7032">
        <f>VLOOKUP(D7032,Товары!A:I,6,0)</f>
        <v>75</v>
      </c>
      <c r="I7032" t="str">
        <f>VLOOKUP(C7032,Магазины!A:C,3,0)</f>
        <v>Ставрополь</v>
      </c>
      <c r="J7032">
        <f>VLOOKUP(D7032,Товары!A:I,4,0)</f>
        <v>9195</v>
      </c>
      <c r="K7032">
        <f t="shared" si="109"/>
        <v>9195</v>
      </c>
    </row>
    <row r="7033" spans="1:11" hidden="1" x14ac:dyDescent="0.25">
      <c r="A7033">
        <v>7032</v>
      </c>
      <c r="B7033" s="1">
        <v>45750</v>
      </c>
      <c r="C7033" t="s">
        <v>28</v>
      </c>
      <c r="D7033" t="s">
        <v>122</v>
      </c>
      <c r="E7033" t="s">
        <v>13</v>
      </c>
      <c r="F7033">
        <v>3</v>
      </c>
      <c r="G7033" t="str">
        <f>VLOOKUP(D7033,Товары!A:I,3,0)</f>
        <v>Тумба с раковиной  навес. Кристалл 600 шато азур 2 ящика с умыв. Океан</v>
      </c>
      <c r="H7033">
        <f>VLOOKUP(D7033,Товары!A:I,6,0)</f>
        <v>55</v>
      </c>
      <c r="I7033" t="str">
        <f>VLOOKUP(C7033,Магазины!A:C,3,0)</f>
        <v>Набережные Челны</v>
      </c>
      <c r="J7033">
        <f>VLOOKUP(D7033,Товары!A:I,4,0)</f>
        <v>21960</v>
      </c>
      <c r="K7033">
        <f t="shared" si="109"/>
        <v>65880</v>
      </c>
    </row>
    <row r="7034" spans="1:11" hidden="1" x14ac:dyDescent="0.25">
      <c r="A7034">
        <v>7033</v>
      </c>
      <c r="B7034" s="1">
        <v>45757</v>
      </c>
      <c r="C7034" t="s">
        <v>43</v>
      </c>
      <c r="D7034" t="s">
        <v>117</v>
      </c>
      <c r="E7034" t="s">
        <v>13</v>
      </c>
      <c r="F7034">
        <v>2</v>
      </c>
      <c r="G7034" t="str">
        <f>VLOOKUP(D7034,Товары!A:I,3,0)</f>
        <v>Тумба с раковиной  навес. Альба 700 антрацит 2 ящика с умыв. Слим</v>
      </c>
      <c r="H7034">
        <f>VLOOKUP(D7034,Товары!A:I,6,0)</f>
        <v>60</v>
      </c>
      <c r="I7034" t="str">
        <f>VLOOKUP(C7034,Магазины!A:C,3,0)</f>
        <v>Набережные Челны</v>
      </c>
      <c r="J7034">
        <f>VLOOKUP(D7034,Товары!A:I,4,0)</f>
        <v>25095</v>
      </c>
      <c r="K7034">
        <f t="shared" si="109"/>
        <v>50190</v>
      </c>
    </row>
    <row r="7035" spans="1:11" hidden="1" x14ac:dyDescent="0.25">
      <c r="A7035">
        <v>7034</v>
      </c>
      <c r="B7035" s="1">
        <v>45754</v>
      </c>
      <c r="C7035" t="s">
        <v>28</v>
      </c>
      <c r="D7035" t="s">
        <v>69</v>
      </c>
      <c r="E7035" t="s">
        <v>8</v>
      </c>
      <c r="F7035">
        <v>2</v>
      </c>
      <c r="G7035" t="str">
        <f>VLOOKUP(D7035,Товары!A:I,3,0)</f>
        <v>Пенал навес./напол. Альба 350 антрацит 2 двери</v>
      </c>
      <c r="H7035">
        <f>VLOOKUP(D7035,Товары!A:I,6,0)</f>
        <v>150</v>
      </c>
      <c r="I7035" t="str">
        <f>VLOOKUP(C7035,Магазины!A:C,3,0)</f>
        <v>Набережные Челны</v>
      </c>
      <c r="J7035">
        <f>VLOOKUP(D7035,Товары!A:I,4,0)</f>
        <v>11655</v>
      </c>
      <c r="K7035">
        <f t="shared" si="109"/>
        <v>23310</v>
      </c>
    </row>
    <row r="7036" spans="1:11" hidden="1" x14ac:dyDescent="0.25">
      <c r="A7036">
        <v>7035</v>
      </c>
      <c r="B7036" s="1">
        <v>45756</v>
      </c>
      <c r="C7036" t="s">
        <v>57</v>
      </c>
      <c r="D7036" t="s">
        <v>27</v>
      </c>
      <c r="E7036" t="s">
        <v>8</v>
      </c>
      <c r="F7036">
        <v>2</v>
      </c>
      <c r="G7036" t="str">
        <f>VLOOKUP(D7036,Товары!A:I,3,0)</f>
        <v>Тумба с раковиной  навес. Виктория 800 белый 2 ящика с умыв. Слим</v>
      </c>
      <c r="H7036">
        <f>VLOOKUP(D7036,Товары!A:I,6,0)</f>
        <v>60</v>
      </c>
      <c r="I7036" t="str">
        <f>VLOOKUP(C7036,Магазины!A:C,3,0)</f>
        <v>Оренбург</v>
      </c>
      <c r="J7036">
        <f>VLOOKUP(D7036,Товары!A:I,4,0)</f>
        <v>25290</v>
      </c>
      <c r="K7036">
        <f t="shared" si="109"/>
        <v>50580</v>
      </c>
    </row>
    <row r="7037" spans="1:11" hidden="1" x14ac:dyDescent="0.25">
      <c r="A7037">
        <v>7036</v>
      </c>
      <c r="B7037" s="1">
        <v>45754</v>
      </c>
      <c r="C7037" t="s">
        <v>58</v>
      </c>
      <c r="D7037" t="s">
        <v>61</v>
      </c>
      <c r="E7037" t="s">
        <v>13</v>
      </c>
      <c r="F7037">
        <v>1</v>
      </c>
      <c r="G7037" t="str">
        <f>VLOOKUP(D7037,Товары!A:I,3,0)</f>
        <v>Тумба под стиральную машину Леон Риф 57 напольная 2 ящика под ст/маш, без умывальника /под Marshall 120 Солярис/Белый Риф</v>
      </c>
      <c r="H7037">
        <f>VLOOKUP(D7037,Товары!A:I,6,0)</f>
        <v>85</v>
      </c>
      <c r="I7037" t="str">
        <f>VLOOKUP(C7037,Магазины!A:C,3,0)</f>
        <v>Ставрополь</v>
      </c>
      <c r="J7037">
        <f>VLOOKUP(D7037,Товары!A:I,4,0)</f>
        <v>17430</v>
      </c>
      <c r="K7037">
        <f t="shared" si="109"/>
        <v>17430</v>
      </c>
    </row>
    <row r="7038" spans="1:11" hidden="1" x14ac:dyDescent="0.25">
      <c r="A7038">
        <v>7037</v>
      </c>
      <c r="B7038" s="1">
        <v>45752</v>
      </c>
      <c r="C7038" t="s">
        <v>33</v>
      </c>
      <c r="D7038" t="s">
        <v>107</v>
      </c>
      <c r="E7038" t="s">
        <v>13</v>
      </c>
      <c r="F7038">
        <v>2</v>
      </c>
      <c r="G7038" t="str">
        <f>VLOOKUP(D7038,Товары!A:I,3,0)</f>
        <v>Комод Аква 35 напольный 1 дверь белый правый</v>
      </c>
      <c r="H7038">
        <f>VLOOKUP(D7038,Товары!A:I,6,0)</f>
        <v>90</v>
      </c>
      <c r="I7038" t="str">
        <f>VLOOKUP(C7038,Магазины!A:C,3,0)</f>
        <v>Набережные Челны</v>
      </c>
      <c r="J7038">
        <f>VLOOKUP(D7038,Товары!A:I,4,0)</f>
        <v>6705</v>
      </c>
      <c r="K7038">
        <f t="shared" si="109"/>
        <v>13410</v>
      </c>
    </row>
    <row r="7039" spans="1:11" hidden="1" x14ac:dyDescent="0.25">
      <c r="A7039">
        <v>7038</v>
      </c>
      <c r="B7039" s="1">
        <v>45755</v>
      </c>
      <c r="C7039" t="s">
        <v>33</v>
      </c>
      <c r="D7039" t="s">
        <v>77</v>
      </c>
      <c r="E7039" t="s">
        <v>13</v>
      </c>
      <c r="F7039">
        <v>2</v>
      </c>
      <c r="G7039" t="str">
        <f>VLOOKUP(D7039,Товары!A:I,3,0)</f>
        <v>Тумба с раковиной  напол. Куба Риф 600 белый 2 ящика с умыв. Como</v>
      </c>
      <c r="H7039">
        <f>VLOOKUP(D7039,Товары!A:I,6,0)</f>
        <v>85</v>
      </c>
      <c r="I7039" t="str">
        <f>VLOOKUP(C7039,Магазины!A:C,3,0)</f>
        <v>Набережные Челны</v>
      </c>
      <c r="J7039">
        <f>VLOOKUP(D7039,Товары!A:I,4,0)</f>
        <v>15660</v>
      </c>
      <c r="K7039">
        <f t="shared" si="109"/>
        <v>31320</v>
      </c>
    </row>
    <row r="7040" spans="1:11" hidden="1" x14ac:dyDescent="0.25">
      <c r="A7040">
        <v>7039</v>
      </c>
      <c r="B7040" s="1">
        <v>45748</v>
      </c>
      <c r="C7040" t="s">
        <v>43</v>
      </c>
      <c r="D7040" t="s">
        <v>108</v>
      </c>
      <c r="E7040" t="s">
        <v>8</v>
      </c>
      <c r="F7040">
        <v>2</v>
      </c>
      <c r="G7040" t="str">
        <f>VLOOKUP(D7040,Товары!A:I,3,0)</f>
        <v>Тумба с раковиной  навес. Виктория 1000 белый 2 ящика с умыв. Слим</v>
      </c>
      <c r="H7040">
        <f>VLOOKUP(D7040,Товары!A:I,6,0)</f>
        <v>60</v>
      </c>
      <c r="I7040" t="str">
        <f>VLOOKUP(C7040,Магазины!A:C,3,0)</f>
        <v>Набережные Челны</v>
      </c>
      <c r="J7040">
        <f>VLOOKUP(D7040,Товары!A:I,4,0)</f>
        <v>29205</v>
      </c>
      <c r="K7040">
        <f t="shared" si="109"/>
        <v>58410</v>
      </c>
    </row>
    <row r="7041" spans="1:11" hidden="1" x14ac:dyDescent="0.25">
      <c r="A7041">
        <v>7040</v>
      </c>
      <c r="B7041" s="1">
        <v>45749</v>
      </c>
      <c r="C7041" t="s">
        <v>33</v>
      </c>
      <c r="D7041" t="s">
        <v>128</v>
      </c>
      <c r="E7041" t="s">
        <v>8</v>
      </c>
      <c r="F7041">
        <v>2</v>
      </c>
      <c r="G7041" t="str">
        <f>VLOOKUP(D7041,Товары!A:I,3,0)</f>
        <v>Тумба с раковиной  напол. Куба Риф 1000 белый 2 ящика с умыв. Слим</v>
      </c>
      <c r="H7041">
        <f>VLOOKUP(D7041,Товары!A:I,6,0)</f>
        <v>85</v>
      </c>
      <c r="I7041" t="str">
        <f>VLOOKUP(C7041,Магазины!A:C,3,0)</f>
        <v>Набережные Челны</v>
      </c>
      <c r="J7041">
        <f>VLOOKUP(D7041,Товары!A:I,4,0)</f>
        <v>22905</v>
      </c>
      <c r="K7041">
        <f t="shared" si="109"/>
        <v>45810</v>
      </c>
    </row>
    <row r="7042" spans="1:11" hidden="1" x14ac:dyDescent="0.25">
      <c r="A7042">
        <v>7041</v>
      </c>
      <c r="B7042" s="1">
        <v>45750</v>
      </c>
      <c r="C7042" t="s">
        <v>9</v>
      </c>
      <c r="D7042" t="s">
        <v>102</v>
      </c>
      <c r="E7042" t="s">
        <v>8</v>
      </c>
      <c r="F7042">
        <v>2</v>
      </c>
      <c r="G7042" t="str">
        <f>VLOOKUP(D7042,Товары!A:I,3,0)</f>
        <v>Тумба с раковиной  напол. Леон Риф 1000 солярис/белый риф 2 ящика с умыв. Слим</v>
      </c>
      <c r="H7042">
        <f>VLOOKUP(D7042,Товары!A:I,6,0)</f>
        <v>85</v>
      </c>
      <c r="I7042" t="str">
        <f>VLOOKUP(C7042,Магазины!A:C,3,0)</f>
        <v>Кемерово</v>
      </c>
      <c r="J7042">
        <f>VLOOKUP(D7042,Товары!A:I,4,0)</f>
        <v>32085</v>
      </c>
      <c r="K7042">
        <f t="shared" si="109"/>
        <v>64170</v>
      </c>
    </row>
    <row r="7043" spans="1:11" hidden="1" x14ac:dyDescent="0.25">
      <c r="A7043">
        <v>7042</v>
      </c>
      <c r="B7043" s="1">
        <v>45752</v>
      </c>
      <c r="C7043" t="s">
        <v>48</v>
      </c>
      <c r="D7043" t="s">
        <v>69</v>
      </c>
      <c r="E7043" t="s">
        <v>8</v>
      </c>
      <c r="F7043">
        <v>3</v>
      </c>
      <c r="G7043" t="str">
        <f>VLOOKUP(D7043,Товары!A:I,3,0)</f>
        <v>Пенал навес./напол. Альба 350 антрацит 2 двери</v>
      </c>
      <c r="H7043">
        <f>VLOOKUP(D7043,Товары!A:I,6,0)</f>
        <v>150</v>
      </c>
      <c r="I7043" t="str">
        <f>VLOOKUP(C7043,Магазины!A:C,3,0)</f>
        <v>Ставрополь</v>
      </c>
      <c r="J7043">
        <f>VLOOKUP(D7043,Товары!A:I,4,0)</f>
        <v>11655</v>
      </c>
      <c r="K7043">
        <f t="shared" ref="K7043:K7106" si="110">J7043*F7043</f>
        <v>34965</v>
      </c>
    </row>
    <row r="7044" spans="1:11" hidden="1" x14ac:dyDescent="0.25">
      <c r="A7044">
        <v>7043</v>
      </c>
      <c r="B7044" s="1">
        <v>45748</v>
      </c>
      <c r="C7044" t="s">
        <v>35</v>
      </c>
      <c r="D7044" t="s">
        <v>62</v>
      </c>
      <c r="E7044" t="s">
        <v>8</v>
      </c>
      <c r="F7044">
        <v>1</v>
      </c>
      <c r="G7044" t="str">
        <f>VLOOKUP(D7044,Товары!A:I,3,0)</f>
        <v>Тумба с раковиной  напол. Альба 600 мята 2 ящика с умыв. Океан</v>
      </c>
      <c r="H7044">
        <f>VLOOKUP(D7044,Товары!A:I,6,0)</f>
        <v>80</v>
      </c>
      <c r="I7044" t="str">
        <f>VLOOKUP(C7044,Магазины!A:C,3,0)</f>
        <v>Набережные Челны</v>
      </c>
      <c r="J7044">
        <f>VLOOKUP(D7044,Товары!A:I,4,0)</f>
        <v>26370</v>
      </c>
      <c r="K7044">
        <f t="shared" si="110"/>
        <v>26370</v>
      </c>
    </row>
    <row r="7045" spans="1:11" hidden="1" x14ac:dyDescent="0.25">
      <c r="A7045">
        <v>7044</v>
      </c>
      <c r="B7045" s="1">
        <v>45750</v>
      </c>
      <c r="C7045" t="s">
        <v>22</v>
      </c>
      <c r="D7045" t="s">
        <v>106</v>
      </c>
      <c r="E7045" t="s">
        <v>13</v>
      </c>
      <c r="F7045">
        <v>1</v>
      </c>
      <c r="G7045" t="str">
        <f>VLOOKUP(D7045,Товары!A:I,3,0)</f>
        <v>Тумба с раковиной  навес. Кристалл 700 шато азур 2 ящика с умыв. Слим</v>
      </c>
      <c r="H7045">
        <f>VLOOKUP(D7045,Товары!A:I,6,0)</f>
        <v>60</v>
      </c>
      <c r="I7045" t="str">
        <f>VLOOKUP(C7045,Магазины!A:C,3,0)</f>
        <v>Кемерово</v>
      </c>
      <c r="J7045">
        <f>VLOOKUP(D7045,Товары!A:I,4,0)</f>
        <v>24150</v>
      </c>
      <c r="K7045">
        <f t="shared" si="110"/>
        <v>24150</v>
      </c>
    </row>
    <row r="7046" spans="1:11" hidden="1" x14ac:dyDescent="0.25">
      <c r="A7046">
        <v>7045</v>
      </c>
      <c r="B7046" s="1">
        <v>45755</v>
      </c>
      <c r="C7046" t="s">
        <v>35</v>
      </c>
      <c r="D7046" t="s">
        <v>96</v>
      </c>
      <c r="E7046" t="s">
        <v>8</v>
      </c>
      <c r="F7046">
        <v>3</v>
      </c>
      <c r="G7046" t="str">
        <f>VLOOKUP(D7046,Товары!A:I,3,0)</f>
        <v>Тумба с раковиной  навес. Альба 600 мята 1 ящик с умыв. Океан</v>
      </c>
      <c r="H7046">
        <f>VLOOKUP(D7046,Товары!A:I,6,0)</f>
        <v>85</v>
      </c>
      <c r="I7046" t="str">
        <f>VLOOKUP(C7046,Магазины!A:C,3,0)</f>
        <v>Набережные Челны</v>
      </c>
      <c r="J7046">
        <f>VLOOKUP(D7046,Товары!A:I,4,0)</f>
        <v>17625</v>
      </c>
      <c r="K7046">
        <f t="shared" si="110"/>
        <v>52875</v>
      </c>
    </row>
    <row r="7047" spans="1:11" hidden="1" x14ac:dyDescent="0.25">
      <c r="A7047">
        <v>7046</v>
      </c>
      <c r="B7047" s="1">
        <v>45756</v>
      </c>
      <c r="C7047" t="s">
        <v>111</v>
      </c>
      <c r="D7047" t="s">
        <v>125</v>
      </c>
      <c r="E7047" t="s">
        <v>13</v>
      </c>
      <c r="F7047">
        <v>2</v>
      </c>
      <c r="G7047" t="str">
        <f>VLOOKUP(D7047,Товары!A:I,3,0)</f>
        <v>Зеркальный шкаф Сохо 60 белый со светильником правый цвет Белый глянец</v>
      </c>
      <c r="H7047">
        <f>VLOOKUP(D7047,Товары!A:I,6,0)</f>
        <v>75</v>
      </c>
      <c r="I7047" t="str">
        <f>VLOOKUP(C7047,Магазины!A:C,3,0)</f>
        <v>Набережные Челны</v>
      </c>
      <c r="J7047">
        <f>VLOOKUP(D7047,Товары!A:I,4,0)</f>
        <v>7395</v>
      </c>
      <c r="K7047">
        <f t="shared" si="110"/>
        <v>14790</v>
      </c>
    </row>
    <row r="7048" spans="1:11" hidden="1" x14ac:dyDescent="0.25">
      <c r="A7048">
        <v>7047</v>
      </c>
      <c r="B7048" s="1">
        <v>45748</v>
      </c>
      <c r="C7048" t="s">
        <v>54</v>
      </c>
      <c r="D7048" t="s">
        <v>107</v>
      </c>
      <c r="E7048" t="s">
        <v>8</v>
      </c>
      <c r="F7048">
        <v>1</v>
      </c>
      <c r="G7048" t="str">
        <f>VLOOKUP(D7048,Товары!A:I,3,0)</f>
        <v>Комод Аква 35 напольный 1 дверь белый правый</v>
      </c>
      <c r="H7048">
        <f>VLOOKUP(D7048,Товары!A:I,6,0)</f>
        <v>90</v>
      </c>
      <c r="I7048" t="str">
        <f>VLOOKUP(C7048,Магазины!A:C,3,0)</f>
        <v>Ставрополь</v>
      </c>
      <c r="J7048">
        <f>VLOOKUP(D7048,Товары!A:I,4,0)</f>
        <v>6705</v>
      </c>
      <c r="K7048">
        <f t="shared" si="110"/>
        <v>6705</v>
      </c>
    </row>
    <row r="7049" spans="1:11" hidden="1" x14ac:dyDescent="0.25">
      <c r="A7049">
        <v>7048</v>
      </c>
      <c r="B7049" s="1">
        <v>45755</v>
      </c>
      <c r="C7049" t="s">
        <v>6</v>
      </c>
      <c r="D7049" t="s">
        <v>100</v>
      </c>
      <c r="E7049" t="s">
        <v>13</v>
      </c>
      <c r="F7049">
        <v>2</v>
      </c>
      <c r="G7049" t="str">
        <f>VLOOKUP(D7049,Товары!A:I,3,0)</f>
        <v>Тумба с раковиной  навес. Альба 800 мята 1 ящик с умыв. Слим</v>
      </c>
      <c r="H7049">
        <f>VLOOKUP(D7049,Товары!A:I,6,0)</f>
        <v>45</v>
      </c>
      <c r="I7049" t="str">
        <f>VLOOKUP(C7049,Магазины!A:C,3,0)</f>
        <v>Оренбург</v>
      </c>
      <c r="J7049">
        <f>VLOOKUP(D7049,Товары!A:I,4,0)</f>
        <v>21630</v>
      </c>
      <c r="K7049">
        <f t="shared" si="110"/>
        <v>43260</v>
      </c>
    </row>
    <row r="7050" spans="1:11" hidden="1" x14ac:dyDescent="0.25">
      <c r="A7050">
        <v>7049</v>
      </c>
      <c r="B7050" s="1">
        <v>45757</v>
      </c>
      <c r="C7050" t="s">
        <v>63</v>
      </c>
      <c r="D7050" t="s">
        <v>85</v>
      </c>
      <c r="E7050" t="s">
        <v>8</v>
      </c>
      <c r="F7050">
        <v>1</v>
      </c>
      <c r="G7050" t="str">
        <f>VLOOKUP(D7050,Товары!A:I,3,0)</f>
        <v>Пенал напол. Аква 450 белый 2 двери + 2 ящика + корзина</v>
      </c>
      <c r="H7050">
        <f>VLOOKUP(D7050,Товары!A:I,6,0)</f>
        <v>190</v>
      </c>
      <c r="I7050" t="str">
        <f>VLOOKUP(C7050,Магазины!A:C,3,0)</f>
        <v>Ставрополь</v>
      </c>
      <c r="J7050">
        <f>VLOOKUP(D7050,Товары!A:I,4,0)</f>
        <v>13335</v>
      </c>
      <c r="K7050">
        <f t="shared" si="110"/>
        <v>13335</v>
      </c>
    </row>
    <row r="7051" spans="1:11" hidden="1" x14ac:dyDescent="0.25">
      <c r="A7051">
        <v>7050</v>
      </c>
      <c r="B7051" s="1">
        <v>45749</v>
      </c>
      <c r="C7051" t="s">
        <v>28</v>
      </c>
      <c r="D7051" t="s">
        <v>113</v>
      </c>
      <c r="E7051" t="s">
        <v>13</v>
      </c>
      <c r="F7051">
        <v>2</v>
      </c>
      <c r="G7051" t="str">
        <f>VLOOKUP(D7051,Товары!A:I,3,0)</f>
        <v>Зеркальный шкаф Альба 60 со светильником правый цвет мята</v>
      </c>
      <c r="H7051">
        <f>VLOOKUP(D7051,Товары!A:I,6,0)</f>
        <v>75</v>
      </c>
      <c r="I7051" t="str">
        <f>VLOOKUP(C7051,Магазины!A:C,3,0)</f>
        <v>Набережные Челны</v>
      </c>
      <c r="J7051">
        <f>VLOOKUP(D7051,Товары!A:I,4,0)</f>
        <v>8910</v>
      </c>
      <c r="K7051">
        <f t="shared" si="110"/>
        <v>17820</v>
      </c>
    </row>
    <row r="7052" spans="1:11" hidden="1" x14ac:dyDescent="0.25">
      <c r="A7052">
        <v>7051</v>
      </c>
      <c r="B7052" s="1">
        <v>45757</v>
      </c>
      <c r="C7052" t="s">
        <v>57</v>
      </c>
      <c r="D7052" t="s">
        <v>19</v>
      </c>
      <c r="E7052" t="s">
        <v>13</v>
      </c>
      <c r="F7052">
        <v>2</v>
      </c>
      <c r="G7052" t="str">
        <f>VLOOKUP(D7052,Товары!A:I,3,0)</f>
        <v>Тумба с раковиной  навес. Леон 800 оникс 2 ящика с умыв. Слим</v>
      </c>
      <c r="H7052">
        <f>VLOOKUP(D7052,Товары!A:I,6,0)</f>
        <v>60</v>
      </c>
      <c r="I7052" t="str">
        <f>VLOOKUP(C7052,Магазины!A:C,3,0)</f>
        <v>Оренбург</v>
      </c>
      <c r="J7052">
        <f>VLOOKUP(D7052,Товары!A:I,4,0)</f>
        <v>27930</v>
      </c>
      <c r="K7052">
        <f t="shared" si="110"/>
        <v>55860</v>
      </c>
    </row>
    <row r="7053" spans="1:11" hidden="1" x14ac:dyDescent="0.25">
      <c r="A7053">
        <v>7052</v>
      </c>
      <c r="B7053" s="1">
        <v>45748</v>
      </c>
      <c r="C7053" t="s">
        <v>16</v>
      </c>
      <c r="D7053" t="s">
        <v>118</v>
      </c>
      <c r="E7053" t="s">
        <v>8</v>
      </c>
      <c r="F7053">
        <v>3</v>
      </c>
      <c r="G7053" t="str">
        <f>VLOOKUP(D7053,Товары!A:I,3,0)</f>
        <v>Тумба с раковиной  напол. Сохо 800 белый 2 ящика с умыв. Слим</v>
      </c>
      <c r="H7053">
        <f>VLOOKUP(D7053,Товары!A:I,6,0)</f>
        <v>85</v>
      </c>
      <c r="I7053" t="str">
        <f>VLOOKUP(C7053,Магазины!A:C,3,0)</f>
        <v>Оренбург</v>
      </c>
      <c r="J7053">
        <f>VLOOKUP(D7053,Товары!A:I,4,0)</f>
        <v>19575</v>
      </c>
      <c r="K7053">
        <f t="shared" si="110"/>
        <v>58725</v>
      </c>
    </row>
    <row r="7054" spans="1:11" hidden="1" x14ac:dyDescent="0.25">
      <c r="A7054">
        <v>7053</v>
      </c>
      <c r="B7054" s="1">
        <v>45748</v>
      </c>
      <c r="C7054" t="s">
        <v>11</v>
      </c>
      <c r="D7054" t="s">
        <v>36</v>
      </c>
      <c r="E7054" t="s">
        <v>8</v>
      </c>
      <c r="F7054">
        <v>2</v>
      </c>
      <c r="G7054" t="str">
        <f>VLOOKUP(D7054,Товары!A:I,3,0)</f>
        <v>Тумба с раковиной  напол. Альба 800 мята 2 ящика с умыв. Слим</v>
      </c>
      <c r="H7054">
        <f>VLOOKUP(D7054,Товары!A:I,6,0)</f>
        <v>80</v>
      </c>
      <c r="I7054" t="str">
        <f>VLOOKUP(C7054,Магазины!A:C,3,0)</f>
        <v>Кемерово</v>
      </c>
      <c r="J7054">
        <f>VLOOKUP(D7054,Товары!A:I,4,0)</f>
        <v>29340</v>
      </c>
      <c r="K7054">
        <f t="shared" si="110"/>
        <v>58680</v>
      </c>
    </row>
    <row r="7055" spans="1:11" hidden="1" x14ac:dyDescent="0.25">
      <c r="A7055">
        <v>7054</v>
      </c>
      <c r="B7055" s="1">
        <v>45751</v>
      </c>
      <c r="C7055" t="s">
        <v>92</v>
      </c>
      <c r="D7055" t="s">
        <v>82</v>
      </c>
      <c r="E7055" t="s">
        <v>13</v>
      </c>
      <c r="F7055">
        <v>3</v>
      </c>
      <c r="G7055" t="str">
        <f>VLOOKUP(D7055,Товары!A:I,3,0)</f>
        <v>Тумба с раковиной  навес. Леон 800 форест 2 ящика с умыв. Слим</v>
      </c>
      <c r="H7055">
        <f>VLOOKUP(D7055,Товары!A:I,6,0)</f>
        <v>60</v>
      </c>
      <c r="I7055" t="str">
        <f>VLOOKUP(C7055,Магазины!A:C,3,0)</f>
        <v>Кемерово</v>
      </c>
      <c r="J7055">
        <f>VLOOKUP(D7055,Товары!A:I,4,0)</f>
        <v>27930</v>
      </c>
      <c r="K7055">
        <f t="shared" si="110"/>
        <v>83790</v>
      </c>
    </row>
    <row r="7056" spans="1:11" hidden="1" x14ac:dyDescent="0.25">
      <c r="A7056">
        <v>7055</v>
      </c>
      <c r="B7056" s="1">
        <v>45755</v>
      </c>
      <c r="C7056" t="s">
        <v>14</v>
      </c>
      <c r="D7056" t="s">
        <v>69</v>
      </c>
      <c r="E7056" t="s">
        <v>8</v>
      </c>
      <c r="F7056">
        <v>2</v>
      </c>
      <c r="G7056" t="str">
        <f>VLOOKUP(D7056,Товары!A:I,3,0)</f>
        <v>Пенал навес./напол. Альба 350 антрацит 2 двери</v>
      </c>
      <c r="H7056">
        <f>VLOOKUP(D7056,Товары!A:I,6,0)</f>
        <v>150</v>
      </c>
      <c r="I7056" t="str">
        <f>VLOOKUP(C7056,Магазины!A:C,3,0)</f>
        <v>Оренбург</v>
      </c>
      <c r="J7056">
        <f>VLOOKUP(D7056,Товары!A:I,4,0)</f>
        <v>11655</v>
      </c>
      <c r="K7056">
        <f t="shared" si="110"/>
        <v>23310</v>
      </c>
    </row>
    <row r="7057" spans="1:11" hidden="1" x14ac:dyDescent="0.25">
      <c r="A7057">
        <v>7056</v>
      </c>
      <c r="B7057" s="1">
        <v>45755</v>
      </c>
      <c r="C7057" t="s">
        <v>9</v>
      </c>
      <c r="D7057" t="s">
        <v>117</v>
      </c>
      <c r="E7057" t="s">
        <v>8</v>
      </c>
      <c r="F7057">
        <v>3</v>
      </c>
      <c r="G7057" t="str">
        <f>VLOOKUP(D7057,Товары!A:I,3,0)</f>
        <v>Тумба с раковиной  навес. Альба 700 антрацит 2 ящика с умыв. Слим</v>
      </c>
      <c r="H7057">
        <f>VLOOKUP(D7057,Товары!A:I,6,0)</f>
        <v>60</v>
      </c>
      <c r="I7057" t="str">
        <f>VLOOKUP(C7057,Магазины!A:C,3,0)</f>
        <v>Кемерово</v>
      </c>
      <c r="J7057">
        <f>VLOOKUP(D7057,Товары!A:I,4,0)</f>
        <v>25095</v>
      </c>
      <c r="K7057">
        <f t="shared" si="110"/>
        <v>75285</v>
      </c>
    </row>
    <row r="7058" spans="1:11" hidden="1" x14ac:dyDescent="0.25">
      <c r="A7058">
        <v>7057</v>
      </c>
      <c r="B7058" s="1">
        <v>45751</v>
      </c>
      <c r="C7058" t="s">
        <v>20</v>
      </c>
      <c r="D7058" t="s">
        <v>21</v>
      </c>
      <c r="E7058" t="s">
        <v>13</v>
      </c>
      <c r="F7058">
        <v>2</v>
      </c>
      <c r="G7058" t="str">
        <f>VLOOKUP(D7058,Товары!A:I,3,0)</f>
        <v>Зеркальный шкаф Рица 60 со светильником правый цвет cерый/керамика</v>
      </c>
      <c r="H7058">
        <f>VLOOKUP(D7058,Товары!A:I,6,0)</f>
        <v>75</v>
      </c>
      <c r="I7058" t="str">
        <f>VLOOKUP(C7058,Магазины!A:C,3,0)</f>
        <v>Оренбург</v>
      </c>
      <c r="J7058">
        <f>VLOOKUP(D7058,Товары!A:I,4,0)</f>
        <v>8910</v>
      </c>
      <c r="K7058">
        <f t="shared" si="110"/>
        <v>17820</v>
      </c>
    </row>
    <row r="7059" spans="1:11" hidden="1" x14ac:dyDescent="0.25">
      <c r="A7059">
        <v>7058</v>
      </c>
      <c r="B7059" s="1">
        <v>45749</v>
      </c>
      <c r="C7059" t="s">
        <v>35</v>
      </c>
      <c r="D7059" t="s">
        <v>75</v>
      </c>
      <c r="E7059" t="s">
        <v>13</v>
      </c>
      <c r="F7059">
        <v>3</v>
      </c>
      <c r="G7059" t="str">
        <f>VLOOKUP(D7059,Товары!A:I,3,0)</f>
        <v>Тумба с раковиной  напол. Альба 600 суфле 2 ящика с умыв. Океан</v>
      </c>
      <c r="H7059">
        <f>VLOOKUP(D7059,Товары!A:I,6,0)</f>
        <v>80</v>
      </c>
      <c r="I7059" t="str">
        <f>VLOOKUP(C7059,Магазины!A:C,3,0)</f>
        <v>Набережные Челны</v>
      </c>
      <c r="J7059">
        <f>VLOOKUP(D7059,Товары!A:I,4,0)</f>
        <v>26370</v>
      </c>
      <c r="K7059">
        <f t="shared" si="110"/>
        <v>79110</v>
      </c>
    </row>
    <row r="7060" spans="1:11" hidden="1" x14ac:dyDescent="0.25">
      <c r="A7060">
        <v>7059</v>
      </c>
      <c r="B7060" s="1">
        <v>45750</v>
      </c>
      <c r="C7060" t="s">
        <v>6</v>
      </c>
      <c r="D7060" t="s">
        <v>78</v>
      </c>
      <c r="E7060" t="s">
        <v>13</v>
      </c>
      <c r="F7060">
        <v>3</v>
      </c>
      <c r="G7060" t="str">
        <f>VLOOKUP(D7060,Товары!A:I,3,0)</f>
        <v>Зеркальный шкаф Кристалл 70 со светильником правый, ручка кнопка дуб цвет Шато Азур</v>
      </c>
      <c r="H7060">
        <f>VLOOKUP(D7060,Товары!A:I,6,0)</f>
        <v>75</v>
      </c>
      <c r="I7060" t="str">
        <f>VLOOKUP(C7060,Магазины!A:C,3,0)</f>
        <v>Оренбург</v>
      </c>
      <c r="J7060">
        <f>VLOOKUP(D7060,Товары!A:I,4,0)</f>
        <v>9615</v>
      </c>
      <c r="K7060">
        <f t="shared" si="110"/>
        <v>28845</v>
      </c>
    </row>
    <row r="7061" spans="1:11" hidden="1" x14ac:dyDescent="0.25">
      <c r="A7061">
        <v>7060</v>
      </c>
      <c r="B7061" s="1">
        <v>45754</v>
      </c>
      <c r="C7061" t="s">
        <v>92</v>
      </c>
      <c r="D7061" t="s">
        <v>105</v>
      </c>
      <c r="E7061" t="s">
        <v>13</v>
      </c>
      <c r="F7061">
        <v>1</v>
      </c>
      <c r="G7061" t="str">
        <f>VLOOKUP(D7061,Товары!A:I,3,0)</f>
        <v>Тумба с раковиной  напол. Нева 600 белый 2 двери + 1 ящик с умыв. Como</v>
      </c>
      <c r="H7061">
        <f>VLOOKUP(D7061,Товары!A:I,6,0)</f>
        <v>80</v>
      </c>
      <c r="I7061" t="str">
        <f>VLOOKUP(C7061,Магазины!A:C,3,0)</f>
        <v>Кемерово</v>
      </c>
      <c r="J7061">
        <f>VLOOKUP(D7061,Товары!A:I,4,0)</f>
        <v>13470</v>
      </c>
      <c r="K7061">
        <f t="shared" si="110"/>
        <v>13470</v>
      </c>
    </row>
    <row r="7062" spans="1:11" hidden="1" x14ac:dyDescent="0.25">
      <c r="A7062">
        <v>7061</v>
      </c>
      <c r="B7062" s="1">
        <v>45748</v>
      </c>
      <c r="C7062" t="s">
        <v>63</v>
      </c>
      <c r="D7062" t="s">
        <v>123</v>
      </c>
      <c r="E7062" t="s">
        <v>8</v>
      </c>
      <c r="F7062">
        <v>3</v>
      </c>
      <c r="G7062" t="str">
        <f>VLOOKUP(D7062,Товары!A:I,3,0)</f>
        <v>Тумба с раковиной  напол. Кристалл 800 суфле 2 ящика с умыв. Слим</v>
      </c>
      <c r="H7062">
        <f>VLOOKUP(D7062,Товары!A:I,6,0)</f>
        <v>80</v>
      </c>
      <c r="I7062" t="str">
        <f>VLOOKUP(C7062,Магазины!A:C,3,0)</f>
        <v>Ставрополь</v>
      </c>
      <c r="J7062">
        <f>VLOOKUP(D7062,Товары!A:I,4,0)</f>
        <v>31125</v>
      </c>
      <c r="K7062">
        <f t="shared" si="110"/>
        <v>93375</v>
      </c>
    </row>
    <row r="7063" spans="1:11" hidden="1" x14ac:dyDescent="0.25">
      <c r="A7063">
        <v>7062</v>
      </c>
      <c r="B7063" s="1">
        <v>45757</v>
      </c>
      <c r="C7063" t="s">
        <v>18</v>
      </c>
      <c r="D7063" t="s">
        <v>90</v>
      </c>
      <c r="E7063" t="s">
        <v>13</v>
      </c>
      <c r="F7063">
        <v>1</v>
      </c>
      <c r="G7063" t="str">
        <f>VLOOKUP(D7063,Товары!A:I,3,0)</f>
        <v>Пенал напол. Аква 350 белый 2 двери + 2 ящика</v>
      </c>
      <c r="H7063">
        <f>VLOOKUP(D7063,Товары!A:I,6,0)</f>
        <v>190</v>
      </c>
      <c r="I7063" t="str">
        <f>VLOOKUP(C7063,Магазины!A:C,3,0)</f>
        <v>Набережные Челны</v>
      </c>
      <c r="J7063">
        <f>VLOOKUP(D7063,Товары!A:I,4,0)</f>
        <v>10650</v>
      </c>
      <c r="K7063">
        <f t="shared" si="110"/>
        <v>10650</v>
      </c>
    </row>
    <row r="7064" spans="1:11" hidden="1" x14ac:dyDescent="0.25">
      <c r="A7064">
        <v>7063</v>
      </c>
      <c r="B7064" s="1">
        <v>45753</v>
      </c>
      <c r="C7064" t="s">
        <v>11</v>
      </c>
      <c r="D7064" t="s">
        <v>53</v>
      </c>
      <c r="E7064" t="s">
        <v>8</v>
      </c>
      <c r="F7064">
        <v>2</v>
      </c>
      <c r="G7064" t="str">
        <f>VLOOKUP(D7064,Товары!A:I,3,0)</f>
        <v>Тумба с раковиной  напол. Кристалл 600 шато азур 2 ящика с умыв. Океан</v>
      </c>
      <c r="H7064">
        <f>VLOOKUP(D7064,Товары!A:I,6,0)</f>
        <v>85</v>
      </c>
      <c r="I7064" t="str">
        <f>VLOOKUP(C7064,Магазины!A:C,3,0)</f>
        <v>Кемерово</v>
      </c>
      <c r="J7064">
        <f>VLOOKUP(D7064,Товары!A:I,4,0)</f>
        <v>27600</v>
      </c>
      <c r="K7064">
        <f t="shared" si="110"/>
        <v>55200</v>
      </c>
    </row>
    <row r="7065" spans="1:11" hidden="1" x14ac:dyDescent="0.25">
      <c r="A7065">
        <v>7064</v>
      </c>
      <c r="B7065" s="1">
        <v>45755</v>
      </c>
      <c r="C7065" t="s">
        <v>43</v>
      </c>
      <c r="D7065" t="s">
        <v>7</v>
      </c>
      <c r="E7065" t="s">
        <v>13</v>
      </c>
      <c r="F7065">
        <v>3</v>
      </c>
      <c r="G7065" t="str">
        <f>VLOOKUP(D7065,Товары!A:I,3,0)</f>
        <v>Пенал напол. Леон Риф 400 солярис/белый риф 2 двери + 1 ящик</v>
      </c>
      <c r="H7065">
        <f>VLOOKUP(D7065,Товары!A:I,6,0)</f>
        <v>190</v>
      </c>
      <c r="I7065" t="str">
        <f>VLOOKUP(C7065,Магазины!A:C,3,0)</f>
        <v>Набережные Челны</v>
      </c>
      <c r="J7065">
        <f>VLOOKUP(D7065,Товары!A:I,4,0)</f>
        <v>14490</v>
      </c>
      <c r="K7065">
        <f t="shared" si="110"/>
        <v>43470</v>
      </c>
    </row>
    <row r="7066" spans="1:11" hidden="1" x14ac:dyDescent="0.25">
      <c r="A7066">
        <v>7065</v>
      </c>
      <c r="B7066" s="1">
        <v>45752</v>
      </c>
      <c r="C7066" t="s">
        <v>58</v>
      </c>
      <c r="D7066" t="s">
        <v>76</v>
      </c>
      <c r="E7066" t="s">
        <v>8</v>
      </c>
      <c r="F7066">
        <v>1</v>
      </c>
      <c r="G7066" t="str">
        <f>VLOOKUP(D7066,Товары!A:I,3,0)</f>
        <v>Тумба с раковиной  напол. Леон 600 оникс 2 ящика с умыв. Слим</v>
      </c>
      <c r="H7066">
        <f>VLOOKUP(D7066,Товары!A:I,6,0)</f>
        <v>80</v>
      </c>
      <c r="I7066" t="str">
        <f>VLOOKUP(C7066,Магазины!A:C,3,0)</f>
        <v>Ставрополь</v>
      </c>
      <c r="J7066">
        <f>VLOOKUP(D7066,Товары!A:I,4,0)</f>
        <v>25860</v>
      </c>
      <c r="K7066">
        <f t="shared" si="110"/>
        <v>25860</v>
      </c>
    </row>
    <row r="7067" spans="1:11" hidden="1" x14ac:dyDescent="0.25">
      <c r="A7067">
        <v>7066</v>
      </c>
      <c r="B7067" s="1">
        <v>45756</v>
      </c>
      <c r="C7067" t="s">
        <v>14</v>
      </c>
      <c r="D7067" t="s">
        <v>116</v>
      </c>
      <c r="E7067" t="s">
        <v>13</v>
      </c>
      <c r="F7067">
        <v>1</v>
      </c>
      <c r="G7067" t="str">
        <f>VLOOKUP(D7067,Товары!A:I,3,0)</f>
        <v>Зеркало Нева 60 дуб/белый со светильником</v>
      </c>
      <c r="H7067">
        <f>VLOOKUP(D7067,Товары!A:I,6,0)</f>
        <v>80</v>
      </c>
      <c r="I7067" t="str">
        <f>VLOOKUP(C7067,Магазины!A:C,3,0)</f>
        <v>Оренбург</v>
      </c>
      <c r="J7067">
        <f>VLOOKUP(D7067,Товары!A:I,4,0)</f>
        <v>5100</v>
      </c>
      <c r="K7067">
        <f t="shared" si="110"/>
        <v>5100</v>
      </c>
    </row>
    <row r="7068" spans="1:11" hidden="1" x14ac:dyDescent="0.25">
      <c r="A7068">
        <v>7067</v>
      </c>
      <c r="B7068" s="1">
        <v>45754</v>
      </c>
      <c r="C7068" t="s">
        <v>58</v>
      </c>
      <c r="D7068" t="s">
        <v>29</v>
      </c>
      <c r="E7068" t="s">
        <v>8</v>
      </c>
      <c r="F7068">
        <v>2</v>
      </c>
      <c r="G7068" t="str">
        <f>VLOOKUP(D7068,Товары!A:I,3,0)</f>
        <v>Тумба с раковиной  напол. Леон Риф 600 солярис/белый риф 2 ящика с умыв. Океан</v>
      </c>
      <c r="H7068">
        <f>VLOOKUP(D7068,Товары!A:I,6,0)</f>
        <v>80</v>
      </c>
      <c r="I7068" t="str">
        <f>VLOOKUP(C7068,Магазины!A:C,3,0)</f>
        <v>Ставрополь</v>
      </c>
      <c r="J7068">
        <f>VLOOKUP(D7068,Товары!A:I,4,0)</f>
        <v>24150</v>
      </c>
      <c r="K7068">
        <f t="shared" si="110"/>
        <v>48300</v>
      </c>
    </row>
    <row r="7069" spans="1:11" hidden="1" x14ac:dyDescent="0.25">
      <c r="A7069">
        <v>7068</v>
      </c>
      <c r="B7069" s="1">
        <v>45755</v>
      </c>
      <c r="C7069" t="s">
        <v>6</v>
      </c>
      <c r="D7069" t="s">
        <v>27</v>
      </c>
      <c r="E7069" t="s">
        <v>8</v>
      </c>
      <c r="F7069">
        <v>3</v>
      </c>
      <c r="G7069" t="str">
        <f>VLOOKUP(D7069,Товары!A:I,3,0)</f>
        <v>Тумба с раковиной  навес. Виктория 800 белый 2 ящика с умыв. Слим</v>
      </c>
      <c r="H7069">
        <f>VLOOKUP(D7069,Товары!A:I,6,0)</f>
        <v>60</v>
      </c>
      <c r="I7069" t="str">
        <f>VLOOKUP(C7069,Магазины!A:C,3,0)</f>
        <v>Оренбург</v>
      </c>
      <c r="J7069">
        <f>VLOOKUP(D7069,Товары!A:I,4,0)</f>
        <v>25290</v>
      </c>
      <c r="K7069">
        <f t="shared" si="110"/>
        <v>75870</v>
      </c>
    </row>
    <row r="7070" spans="1:11" hidden="1" x14ac:dyDescent="0.25">
      <c r="A7070">
        <v>7069</v>
      </c>
      <c r="B7070" s="1">
        <v>45752</v>
      </c>
      <c r="C7070" t="s">
        <v>30</v>
      </c>
      <c r="D7070" t="s">
        <v>55</v>
      </c>
      <c r="E7070" t="s">
        <v>8</v>
      </c>
      <c r="F7070">
        <v>3</v>
      </c>
      <c r="G7070" t="str">
        <f>VLOOKUP(D7070,Товары!A:I,3,0)</f>
        <v>Тумба с раковиной  напол. Рица 600 cерый/керамика 2 ящика с умыв. Океан</v>
      </c>
      <c r="H7070">
        <f>VLOOKUP(D7070,Товары!A:I,6,0)</f>
        <v>80</v>
      </c>
      <c r="I7070" t="str">
        <f>VLOOKUP(C7070,Магазины!A:C,3,0)</f>
        <v>Кемерово</v>
      </c>
      <c r="J7070">
        <f>VLOOKUP(D7070,Товары!A:I,4,0)</f>
        <v>25560</v>
      </c>
      <c r="K7070">
        <f t="shared" si="110"/>
        <v>76680</v>
      </c>
    </row>
    <row r="7071" spans="1:11" hidden="1" x14ac:dyDescent="0.25">
      <c r="A7071">
        <v>7070</v>
      </c>
      <c r="B7071" s="1">
        <v>45757</v>
      </c>
      <c r="C7071" t="s">
        <v>103</v>
      </c>
      <c r="D7071" t="s">
        <v>118</v>
      </c>
      <c r="E7071" t="s">
        <v>13</v>
      </c>
      <c r="F7071">
        <v>1</v>
      </c>
      <c r="G7071" t="str">
        <f>VLOOKUP(D7071,Товары!A:I,3,0)</f>
        <v>Тумба с раковиной  напол. Сохо 800 белый 2 ящика с умыв. Слим</v>
      </c>
      <c r="H7071">
        <f>VLOOKUP(D7071,Товары!A:I,6,0)</f>
        <v>85</v>
      </c>
      <c r="I7071" t="str">
        <f>VLOOKUP(C7071,Магазины!A:C,3,0)</f>
        <v>Ставрополь</v>
      </c>
      <c r="J7071">
        <f>VLOOKUP(D7071,Товары!A:I,4,0)</f>
        <v>19575</v>
      </c>
      <c r="K7071">
        <f t="shared" si="110"/>
        <v>19575</v>
      </c>
    </row>
    <row r="7072" spans="1:11" hidden="1" x14ac:dyDescent="0.25">
      <c r="A7072">
        <v>7071</v>
      </c>
      <c r="B7072" s="1">
        <v>45749</v>
      </c>
      <c r="C7072" t="s">
        <v>48</v>
      </c>
      <c r="D7072" t="s">
        <v>66</v>
      </c>
      <c r="E7072" t="s">
        <v>8</v>
      </c>
      <c r="F7072">
        <v>3</v>
      </c>
      <c r="G7072" t="str">
        <f>VLOOKUP(D7072,Товары!A:I,3,0)</f>
        <v>Тумба с раковиной  навес. Альба 800 мята 2 ящика с умыв. Слим</v>
      </c>
      <c r="H7072">
        <f>VLOOKUP(D7072,Товары!A:I,6,0)</f>
        <v>50</v>
      </c>
      <c r="I7072" t="str">
        <f>VLOOKUP(C7072,Магазины!A:C,3,0)</f>
        <v>Ставрополь</v>
      </c>
      <c r="J7072">
        <f>VLOOKUP(D7072,Товары!A:I,4,0)</f>
        <v>26070</v>
      </c>
      <c r="K7072">
        <f t="shared" si="110"/>
        <v>78210</v>
      </c>
    </row>
    <row r="7073" spans="1:11" hidden="1" x14ac:dyDescent="0.25">
      <c r="A7073">
        <v>7072</v>
      </c>
      <c r="B7073" s="1">
        <v>45753</v>
      </c>
      <c r="C7073" t="s">
        <v>11</v>
      </c>
      <c r="D7073" t="s">
        <v>32</v>
      </c>
      <c r="E7073" t="s">
        <v>13</v>
      </c>
      <c r="F7073">
        <v>2</v>
      </c>
      <c r="G7073" t="str">
        <f>VLOOKUP(D7073,Товары!A:I,3,0)</f>
        <v>Тумба с раковиной  напол. Леон Риф 700 солярис/белый риф 2 ящика с умыв. Слим</v>
      </c>
      <c r="H7073">
        <f>VLOOKUP(D7073,Товары!A:I,6,0)</f>
        <v>85</v>
      </c>
      <c r="I7073" t="str">
        <f>VLOOKUP(C7073,Магазины!A:C,3,0)</f>
        <v>Кемерово</v>
      </c>
      <c r="J7073">
        <f>VLOOKUP(D7073,Товары!A:I,4,0)</f>
        <v>26460</v>
      </c>
      <c r="K7073">
        <f t="shared" si="110"/>
        <v>52920</v>
      </c>
    </row>
    <row r="7074" spans="1:11" hidden="1" x14ac:dyDescent="0.25">
      <c r="A7074">
        <v>7073</v>
      </c>
      <c r="B7074" s="1">
        <v>45753</v>
      </c>
      <c r="C7074" t="s">
        <v>26</v>
      </c>
      <c r="D7074" t="s">
        <v>31</v>
      </c>
      <c r="E7074" t="s">
        <v>8</v>
      </c>
      <c r="F7074">
        <v>2</v>
      </c>
      <c r="G7074" t="str">
        <f>VLOOKUP(D7074,Товары!A:I,3,0)</f>
        <v>Пенал напол. Виктория 350 белый 2 двери</v>
      </c>
      <c r="H7074">
        <f>VLOOKUP(D7074,Товары!A:I,6,0)</f>
        <v>190</v>
      </c>
      <c r="I7074" t="str">
        <f>VLOOKUP(C7074,Магазины!A:C,3,0)</f>
        <v>Оренбург</v>
      </c>
      <c r="J7074">
        <f>VLOOKUP(D7074,Товары!A:I,4,0)</f>
        <v>14085</v>
      </c>
      <c r="K7074">
        <f t="shared" si="110"/>
        <v>28170</v>
      </c>
    </row>
    <row r="7075" spans="1:11" hidden="1" x14ac:dyDescent="0.25">
      <c r="A7075">
        <v>7074</v>
      </c>
      <c r="B7075" s="1">
        <v>45753</v>
      </c>
      <c r="C7075" t="s">
        <v>26</v>
      </c>
      <c r="D7075" t="s">
        <v>80</v>
      </c>
      <c r="E7075" t="s">
        <v>13</v>
      </c>
      <c r="F7075">
        <v>3</v>
      </c>
      <c r="G7075" t="str">
        <f>VLOOKUP(D7075,Товары!A:I,3,0)</f>
        <v>Тумба с раковиной  навес. Сохо 600 белый 2 ящика с умыв. Океан</v>
      </c>
      <c r="H7075">
        <f>VLOOKUP(D7075,Товары!A:I,6,0)</f>
        <v>55</v>
      </c>
      <c r="I7075" t="str">
        <f>VLOOKUP(C7075,Магазины!A:C,3,0)</f>
        <v>Оренбург</v>
      </c>
      <c r="J7075">
        <f>VLOOKUP(D7075,Товары!A:I,4,0)</f>
        <v>13950</v>
      </c>
      <c r="K7075">
        <f t="shared" si="110"/>
        <v>41850</v>
      </c>
    </row>
    <row r="7076" spans="1:11" hidden="1" x14ac:dyDescent="0.25">
      <c r="A7076">
        <v>7075</v>
      </c>
      <c r="B7076" s="1">
        <v>45748</v>
      </c>
      <c r="C7076" t="s">
        <v>16</v>
      </c>
      <c r="D7076" t="s">
        <v>102</v>
      </c>
      <c r="E7076" t="s">
        <v>8</v>
      </c>
      <c r="F7076">
        <v>2</v>
      </c>
      <c r="G7076" t="str">
        <f>VLOOKUP(D7076,Товары!A:I,3,0)</f>
        <v>Тумба с раковиной  напол. Леон Риф 1000 солярис/белый риф 2 ящика с умыв. Слим</v>
      </c>
      <c r="H7076">
        <f>VLOOKUP(D7076,Товары!A:I,6,0)</f>
        <v>85</v>
      </c>
      <c r="I7076" t="str">
        <f>VLOOKUP(C7076,Магазины!A:C,3,0)</f>
        <v>Оренбург</v>
      </c>
      <c r="J7076">
        <f>VLOOKUP(D7076,Товары!A:I,4,0)</f>
        <v>32085</v>
      </c>
      <c r="K7076">
        <f t="shared" si="110"/>
        <v>64170</v>
      </c>
    </row>
    <row r="7077" spans="1:11" hidden="1" x14ac:dyDescent="0.25">
      <c r="A7077">
        <v>7076</v>
      </c>
      <c r="B7077" s="1">
        <v>45748</v>
      </c>
      <c r="C7077" t="s">
        <v>14</v>
      </c>
      <c r="D7077" t="s">
        <v>108</v>
      </c>
      <c r="E7077" t="s">
        <v>13</v>
      </c>
      <c r="F7077">
        <v>1</v>
      </c>
      <c r="G7077" t="str">
        <f>VLOOKUP(D7077,Товары!A:I,3,0)</f>
        <v>Тумба с раковиной  навес. Виктория 1000 белый 2 ящика с умыв. Слим</v>
      </c>
      <c r="H7077">
        <f>VLOOKUP(D7077,Товары!A:I,6,0)</f>
        <v>60</v>
      </c>
      <c r="I7077" t="str">
        <f>VLOOKUP(C7077,Магазины!A:C,3,0)</f>
        <v>Оренбург</v>
      </c>
      <c r="J7077">
        <f>VLOOKUP(D7077,Товары!A:I,4,0)</f>
        <v>29205</v>
      </c>
      <c r="K7077">
        <f t="shared" si="110"/>
        <v>29205</v>
      </c>
    </row>
    <row r="7078" spans="1:11" hidden="1" x14ac:dyDescent="0.25">
      <c r="A7078">
        <v>7077</v>
      </c>
      <c r="B7078" s="1">
        <v>45749</v>
      </c>
      <c r="C7078" t="s">
        <v>63</v>
      </c>
      <c r="D7078" t="s">
        <v>84</v>
      </c>
      <c r="E7078" t="s">
        <v>13</v>
      </c>
      <c r="F7078">
        <v>2</v>
      </c>
      <c r="G7078" t="str">
        <f>VLOOKUP(D7078,Товары!A:I,3,0)</f>
        <v>Тумба с раковиной  напол. Куба Риф 800 белый 3 двери с умыв. Слим</v>
      </c>
      <c r="H7078">
        <f>VLOOKUP(D7078,Товары!A:I,6,0)</f>
        <v>85</v>
      </c>
      <c r="I7078" t="str">
        <f>VLOOKUP(C7078,Магазины!A:C,3,0)</f>
        <v>Ставрополь</v>
      </c>
      <c r="J7078">
        <f>VLOOKUP(D7078,Товары!A:I,4,0)</f>
        <v>19920</v>
      </c>
      <c r="K7078">
        <f t="shared" si="110"/>
        <v>39840</v>
      </c>
    </row>
    <row r="7079" spans="1:11" hidden="1" x14ac:dyDescent="0.25">
      <c r="A7079">
        <v>7078</v>
      </c>
      <c r="B7079" s="1">
        <v>45752</v>
      </c>
      <c r="C7079" t="s">
        <v>14</v>
      </c>
      <c r="D7079" t="s">
        <v>100</v>
      </c>
      <c r="E7079" t="s">
        <v>13</v>
      </c>
      <c r="F7079">
        <v>2</v>
      </c>
      <c r="G7079" t="str">
        <f>VLOOKUP(D7079,Товары!A:I,3,0)</f>
        <v>Тумба с раковиной  навес. Альба 800 мята 1 ящик с умыв. Слим</v>
      </c>
      <c r="H7079">
        <f>VLOOKUP(D7079,Товары!A:I,6,0)</f>
        <v>45</v>
      </c>
      <c r="I7079" t="str">
        <f>VLOOKUP(C7079,Магазины!A:C,3,0)</f>
        <v>Оренбург</v>
      </c>
      <c r="J7079">
        <f>VLOOKUP(D7079,Товары!A:I,4,0)</f>
        <v>21630</v>
      </c>
      <c r="K7079">
        <f t="shared" si="110"/>
        <v>43260</v>
      </c>
    </row>
    <row r="7080" spans="1:11" hidden="1" x14ac:dyDescent="0.25">
      <c r="A7080">
        <v>7079</v>
      </c>
      <c r="B7080" s="1">
        <v>45748</v>
      </c>
      <c r="C7080" t="s">
        <v>28</v>
      </c>
      <c r="D7080" t="s">
        <v>128</v>
      </c>
      <c r="E7080" t="s">
        <v>13</v>
      </c>
      <c r="F7080">
        <v>3</v>
      </c>
      <c r="G7080" t="str">
        <f>VLOOKUP(D7080,Товары!A:I,3,0)</f>
        <v>Тумба с раковиной  напол. Куба Риф 1000 белый 2 ящика с умыв. Слим</v>
      </c>
      <c r="H7080">
        <f>VLOOKUP(D7080,Товары!A:I,6,0)</f>
        <v>85</v>
      </c>
      <c r="I7080" t="str">
        <f>VLOOKUP(C7080,Магазины!A:C,3,0)</f>
        <v>Набережные Челны</v>
      </c>
      <c r="J7080">
        <f>VLOOKUP(D7080,Товары!A:I,4,0)</f>
        <v>22905</v>
      </c>
      <c r="K7080">
        <f t="shared" si="110"/>
        <v>68715</v>
      </c>
    </row>
    <row r="7081" spans="1:11" hidden="1" x14ac:dyDescent="0.25">
      <c r="A7081">
        <v>7080</v>
      </c>
      <c r="B7081" s="1">
        <v>45756</v>
      </c>
      <c r="C7081" t="s">
        <v>33</v>
      </c>
      <c r="D7081" t="s">
        <v>110</v>
      </c>
      <c r="E7081" t="s">
        <v>8</v>
      </c>
      <c r="F7081">
        <v>3</v>
      </c>
      <c r="G7081" t="str">
        <f>VLOOKUP(D7081,Товары!A:I,3,0)</f>
        <v>Тумба с раковиной  напол. Альба 600 антрацит 2 ящика с умыв. Океан</v>
      </c>
      <c r="H7081">
        <f>VLOOKUP(D7081,Товары!A:I,6,0)</f>
        <v>80</v>
      </c>
      <c r="I7081" t="str">
        <f>VLOOKUP(C7081,Магазины!A:C,3,0)</f>
        <v>Набережные Челны</v>
      </c>
      <c r="J7081">
        <f>VLOOKUP(D7081,Товары!A:I,4,0)</f>
        <v>26370</v>
      </c>
      <c r="K7081">
        <f t="shared" si="110"/>
        <v>79110</v>
      </c>
    </row>
    <row r="7082" spans="1:11" hidden="1" x14ac:dyDescent="0.25">
      <c r="A7082">
        <v>7081</v>
      </c>
      <c r="B7082" s="1">
        <v>45755</v>
      </c>
      <c r="C7082" t="s">
        <v>28</v>
      </c>
      <c r="D7082" t="s">
        <v>85</v>
      </c>
      <c r="E7082" t="s">
        <v>8</v>
      </c>
      <c r="F7082">
        <v>3</v>
      </c>
      <c r="G7082" t="str">
        <f>VLOOKUP(D7082,Товары!A:I,3,0)</f>
        <v>Пенал напол. Аква 450 белый 2 двери + 2 ящика + корзина</v>
      </c>
      <c r="H7082">
        <f>VLOOKUP(D7082,Товары!A:I,6,0)</f>
        <v>190</v>
      </c>
      <c r="I7082" t="str">
        <f>VLOOKUP(C7082,Магазины!A:C,3,0)</f>
        <v>Набережные Челны</v>
      </c>
      <c r="J7082">
        <f>VLOOKUP(D7082,Товары!A:I,4,0)</f>
        <v>13335</v>
      </c>
      <c r="K7082">
        <f t="shared" si="110"/>
        <v>40005</v>
      </c>
    </row>
    <row r="7083" spans="1:11" hidden="1" x14ac:dyDescent="0.25">
      <c r="A7083">
        <v>7082</v>
      </c>
      <c r="B7083" s="1">
        <v>45753</v>
      </c>
      <c r="C7083" t="s">
        <v>58</v>
      </c>
      <c r="D7083" t="s">
        <v>64</v>
      </c>
      <c r="E7083" t="s">
        <v>8</v>
      </c>
      <c r="F7083">
        <v>1</v>
      </c>
      <c r="G7083" t="str">
        <f>VLOOKUP(D7083,Товары!A:I,3,0)</f>
        <v>Тумба с раковиной  напол. Рица 800 антрацит 2 ящика с умыв. Слим</v>
      </c>
      <c r="H7083">
        <f>VLOOKUP(D7083,Товары!A:I,6,0)</f>
        <v>80</v>
      </c>
      <c r="I7083" t="str">
        <f>VLOOKUP(C7083,Магазины!A:C,3,0)</f>
        <v>Ставрополь</v>
      </c>
      <c r="J7083">
        <f>VLOOKUP(D7083,Товары!A:I,4,0)</f>
        <v>28980</v>
      </c>
      <c r="K7083">
        <f t="shared" si="110"/>
        <v>28980</v>
      </c>
    </row>
    <row r="7084" spans="1:11" hidden="1" x14ac:dyDescent="0.25">
      <c r="A7084">
        <v>7083</v>
      </c>
      <c r="B7084" s="1">
        <v>45753</v>
      </c>
      <c r="C7084" t="s">
        <v>18</v>
      </c>
      <c r="D7084" t="s">
        <v>39</v>
      </c>
      <c r="E7084" t="s">
        <v>13</v>
      </c>
      <c r="F7084">
        <v>1</v>
      </c>
      <c r="G7084" t="str">
        <f>VLOOKUP(D7084,Товары!A:I,3,0)</f>
        <v>Тумба с раковиной  напол. Альба 700 мята 2 ящика с умыв. Слим</v>
      </c>
      <c r="H7084">
        <f>VLOOKUP(D7084,Товары!A:I,6,0)</f>
        <v>85</v>
      </c>
      <c r="I7084" t="str">
        <f>VLOOKUP(C7084,Магазины!A:C,3,0)</f>
        <v>Набережные Челны</v>
      </c>
      <c r="J7084">
        <f>VLOOKUP(D7084,Товары!A:I,4,0)</f>
        <v>28695</v>
      </c>
      <c r="K7084">
        <f t="shared" si="110"/>
        <v>28695</v>
      </c>
    </row>
    <row r="7085" spans="1:11" hidden="1" x14ac:dyDescent="0.25">
      <c r="A7085">
        <v>7084</v>
      </c>
      <c r="B7085" s="1">
        <v>45750</v>
      </c>
      <c r="C7085" t="s">
        <v>92</v>
      </c>
      <c r="D7085" t="s">
        <v>21</v>
      </c>
      <c r="E7085" t="s">
        <v>13</v>
      </c>
      <c r="F7085">
        <v>3</v>
      </c>
      <c r="G7085" t="str">
        <f>VLOOKUP(D7085,Товары!A:I,3,0)</f>
        <v>Зеркальный шкаф Рица 60 со светильником правый цвет cерый/керамика</v>
      </c>
      <c r="H7085">
        <f>VLOOKUP(D7085,Товары!A:I,6,0)</f>
        <v>75</v>
      </c>
      <c r="I7085" t="str">
        <f>VLOOKUP(C7085,Магазины!A:C,3,0)</f>
        <v>Кемерово</v>
      </c>
      <c r="J7085">
        <f>VLOOKUP(D7085,Товары!A:I,4,0)</f>
        <v>8910</v>
      </c>
      <c r="K7085">
        <f t="shared" si="110"/>
        <v>26730</v>
      </c>
    </row>
    <row r="7086" spans="1:11" hidden="1" x14ac:dyDescent="0.25">
      <c r="A7086">
        <v>7085</v>
      </c>
      <c r="B7086" s="1">
        <v>45750</v>
      </c>
      <c r="C7086" t="s">
        <v>26</v>
      </c>
      <c r="D7086" t="s">
        <v>15</v>
      </c>
      <c r="E7086" t="s">
        <v>13</v>
      </c>
      <c r="F7086">
        <v>3</v>
      </c>
      <c r="G7086" t="str">
        <f>VLOOKUP(D7086,Товары!A:I,3,0)</f>
        <v>Зеркальный шкаф Кристалл 60 со светильником правый, ручка кнопка дуб цвет Шато Азур</v>
      </c>
      <c r="H7086">
        <f>VLOOKUP(D7086,Товары!A:I,6,0)</f>
        <v>75</v>
      </c>
      <c r="I7086" t="str">
        <f>VLOOKUP(C7086,Магазины!A:C,3,0)</f>
        <v>Оренбург</v>
      </c>
      <c r="J7086">
        <f>VLOOKUP(D7086,Товары!A:I,4,0)</f>
        <v>9195</v>
      </c>
      <c r="K7086">
        <f t="shared" si="110"/>
        <v>27585</v>
      </c>
    </row>
    <row r="7087" spans="1:11" hidden="1" x14ac:dyDescent="0.25">
      <c r="A7087">
        <v>7086</v>
      </c>
      <c r="B7087" s="1">
        <v>45753</v>
      </c>
      <c r="C7087" t="s">
        <v>20</v>
      </c>
      <c r="D7087" t="s">
        <v>80</v>
      </c>
      <c r="E7087" t="s">
        <v>13</v>
      </c>
      <c r="F7087">
        <v>1</v>
      </c>
      <c r="G7087" t="str">
        <f>VLOOKUP(D7087,Товары!A:I,3,0)</f>
        <v>Тумба с раковиной  навес. Сохо 600 белый 2 ящика с умыв. Океан</v>
      </c>
      <c r="H7087">
        <f>VLOOKUP(D7087,Товары!A:I,6,0)</f>
        <v>55</v>
      </c>
      <c r="I7087" t="str">
        <f>VLOOKUP(C7087,Магазины!A:C,3,0)</f>
        <v>Оренбург</v>
      </c>
      <c r="J7087">
        <f>VLOOKUP(D7087,Товары!A:I,4,0)</f>
        <v>13950</v>
      </c>
      <c r="K7087">
        <f t="shared" si="110"/>
        <v>13950</v>
      </c>
    </row>
    <row r="7088" spans="1:11" hidden="1" x14ac:dyDescent="0.25">
      <c r="A7088">
        <v>7087</v>
      </c>
      <c r="B7088" s="1">
        <v>45755</v>
      </c>
      <c r="C7088" t="s">
        <v>18</v>
      </c>
      <c r="D7088" t="s">
        <v>55</v>
      </c>
      <c r="E7088" t="s">
        <v>13</v>
      </c>
      <c r="F7088">
        <v>1</v>
      </c>
      <c r="G7088" t="str">
        <f>VLOOKUP(D7088,Товары!A:I,3,0)</f>
        <v>Тумба с раковиной  напол. Рица 600 cерый/керамика 2 ящика с умыв. Океан</v>
      </c>
      <c r="H7088">
        <f>VLOOKUP(D7088,Товары!A:I,6,0)</f>
        <v>80</v>
      </c>
      <c r="I7088" t="str">
        <f>VLOOKUP(C7088,Магазины!A:C,3,0)</f>
        <v>Набережные Челны</v>
      </c>
      <c r="J7088">
        <f>VLOOKUP(D7088,Товары!A:I,4,0)</f>
        <v>25560</v>
      </c>
      <c r="K7088">
        <f t="shared" si="110"/>
        <v>25560</v>
      </c>
    </row>
    <row r="7089" spans="1:11" hidden="1" x14ac:dyDescent="0.25">
      <c r="A7089">
        <v>7088</v>
      </c>
      <c r="B7089" s="1">
        <v>45755</v>
      </c>
      <c r="C7089" t="s">
        <v>111</v>
      </c>
      <c r="D7089" t="s">
        <v>86</v>
      </c>
      <c r="E7089" t="s">
        <v>8</v>
      </c>
      <c r="F7089">
        <v>1</v>
      </c>
      <c r="G7089" t="str">
        <f>VLOOKUP(D7089,Товары!A:I,3,0)</f>
        <v>Комод Аква 50 напольный 1 ящик 2 двери белый</v>
      </c>
      <c r="H7089">
        <f>VLOOKUP(D7089,Товары!A:I,6,0)</f>
        <v>90</v>
      </c>
      <c r="I7089" t="str">
        <f>VLOOKUP(C7089,Магазины!A:C,3,0)</f>
        <v>Набережные Челны</v>
      </c>
      <c r="J7089">
        <f>VLOOKUP(D7089,Товары!A:I,4,0)</f>
        <v>7260</v>
      </c>
      <c r="K7089">
        <f t="shared" si="110"/>
        <v>7260</v>
      </c>
    </row>
    <row r="7090" spans="1:11" hidden="1" x14ac:dyDescent="0.25">
      <c r="A7090">
        <v>7089</v>
      </c>
      <c r="B7090" s="1">
        <v>45751</v>
      </c>
      <c r="C7090" t="s">
        <v>20</v>
      </c>
      <c r="D7090" t="s">
        <v>80</v>
      </c>
      <c r="E7090" t="s">
        <v>8</v>
      </c>
      <c r="F7090">
        <v>1</v>
      </c>
      <c r="G7090" t="str">
        <f>VLOOKUP(D7090,Товары!A:I,3,0)</f>
        <v>Тумба с раковиной  навес. Сохо 600 белый 2 ящика с умыв. Океан</v>
      </c>
      <c r="H7090">
        <f>VLOOKUP(D7090,Товары!A:I,6,0)</f>
        <v>55</v>
      </c>
      <c r="I7090" t="str">
        <f>VLOOKUP(C7090,Магазины!A:C,3,0)</f>
        <v>Оренбург</v>
      </c>
      <c r="J7090">
        <f>VLOOKUP(D7090,Товары!A:I,4,0)</f>
        <v>13950</v>
      </c>
      <c r="K7090">
        <f t="shared" si="110"/>
        <v>13950</v>
      </c>
    </row>
    <row r="7091" spans="1:11" hidden="1" x14ac:dyDescent="0.25">
      <c r="A7091">
        <v>7090</v>
      </c>
      <c r="B7091" s="1">
        <v>45749</v>
      </c>
      <c r="C7091" t="s">
        <v>63</v>
      </c>
      <c r="D7091" t="s">
        <v>105</v>
      </c>
      <c r="E7091" t="s">
        <v>13</v>
      </c>
      <c r="F7091">
        <v>3</v>
      </c>
      <c r="G7091" t="str">
        <f>VLOOKUP(D7091,Товары!A:I,3,0)</f>
        <v>Тумба с раковиной  напол. Нева 600 белый 2 двери + 1 ящик с умыв. Como</v>
      </c>
      <c r="H7091">
        <f>VLOOKUP(D7091,Товары!A:I,6,0)</f>
        <v>80</v>
      </c>
      <c r="I7091" t="str">
        <f>VLOOKUP(C7091,Магазины!A:C,3,0)</f>
        <v>Ставрополь</v>
      </c>
      <c r="J7091">
        <f>VLOOKUP(D7091,Товары!A:I,4,0)</f>
        <v>13470</v>
      </c>
      <c r="K7091">
        <f t="shared" si="110"/>
        <v>40410</v>
      </c>
    </row>
    <row r="7092" spans="1:11" hidden="1" x14ac:dyDescent="0.25">
      <c r="A7092">
        <v>7091</v>
      </c>
      <c r="B7092" s="1">
        <v>45752</v>
      </c>
      <c r="C7092" t="s">
        <v>16</v>
      </c>
      <c r="D7092" t="s">
        <v>25</v>
      </c>
      <c r="E7092" t="s">
        <v>8</v>
      </c>
      <c r="F7092">
        <v>1</v>
      </c>
      <c r="G7092" t="str">
        <f>VLOOKUP(D7092,Товары!A:I,3,0)</f>
        <v>Пенал напол. Леон 400 оникс 2 двери + 1 ящик</v>
      </c>
      <c r="H7092">
        <f>VLOOKUP(D7092,Товары!A:I,6,0)</f>
        <v>190</v>
      </c>
      <c r="I7092" t="str">
        <f>VLOOKUP(C7092,Магазины!A:C,3,0)</f>
        <v>Оренбург</v>
      </c>
      <c r="J7092">
        <f>VLOOKUP(D7092,Товары!A:I,4,0)</f>
        <v>18450</v>
      </c>
      <c r="K7092">
        <f t="shared" si="110"/>
        <v>18450</v>
      </c>
    </row>
    <row r="7093" spans="1:11" hidden="1" x14ac:dyDescent="0.25">
      <c r="A7093">
        <v>7092</v>
      </c>
      <c r="B7093" s="1">
        <v>45757</v>
      </c>
      <c r="C7093" t="s">
        <v>20</v>
      </c>
      <c r="D7093" t="s">
        <v>95</v>
      </c>
      <c r="E7093" t="s">
        <v>13</v>
      </c>
      <c r="F7093">
        <v>1</v>
      </c>
      <c r="G7093" t="str">
        <f>VLOOKUP(D7093,Товары!A:I,3,0)</f>
        <v>Тумба с раковиной  напол. Рица 600 антрацит 2 ящика с умыв. Океан</v>
      </c>
      <c r="H7093">
        <f>VLOOKUP(D7093,Товары!A:I,6,0)</f>
        <v>80</v>
      </c>
      <c r="I7093" t="str">
        <f>VLOOKUP(C7093,Магазины!A:C,3,0)</f>
        <v>Оренбург</v>
      </c>
      <c r="J7093">
        <f>VLOOKUP(D7093,Товары!A:I,4,0)</f>
        <v>25560</v>
      </c>
      <c r="K7093">
        <f t="shared" si="110"/>
        <v>25560</v>
      </c>
    </row>
    <row r="7094" spans="1:11" hidden="1" x14ac:dyDescent="0.25">
      <c r="A7094">
        <v>7093</v>
      </c>
      <c r="B7094" s="1">
        <v>45752</v>
      </c>
      <c r="C7094" t="s">
        <v>30</v>
      </c>
      <c r="D7094" t="s">
        <v>81</v>
      </c>
      <c r="E7094" t="s">
        <v>13</v>
      </c>
      <c r="F7094">
        <v>3</v>
      </c>
      <c r="G7094" t="str">
        <f>VLOOKUP(D7094,Товары!A:I,3,0)</f>
        <v>Тумба с раковиной  навес. Рица 600 cерый/керамика 1 ящик + ниша 1 с умыв. Океан</v>
      </c>
      <c r="H7094">
        <f>VLOOKUP(D7094,Товары!A:I,6,0)</f>
        <v>60</v>
      </c>
      <c r="I7094" t="str">
        <f>VLOOKUP(C7094,Магазины!A:C,3,0)</f>
        <v>Кемерово</v>
      </c>
      <c r="J7094">
        <f>VLOOKUP(D7094,Товары!A:I,4,0)</f>
        <v>18900</v>
      </c>
      <c r="K7094">
        <f t="shared" si="110"/>
        <v>56700</v>
      </c>
    </row>
    <row r="7095" spans="1:11" hidden="1" x14ac:dyDescent="0.25">
      <c r="A7095">
        <v>7094</v>
      </c>
      <c r="B7095" s="1">
        <v>45750</v>
      </c>
      <c r="C7095" t="s">
        <v>63</v>
      </c>
      <c r="D7095" t="s">
        <v>73</v>
      </c>
      <c r="E7095" t="s">
        <v>8</v>
      </c>
      <c r="F7095">
        <v>3</v>
      </c>
      <c r="G7095" t="str">
        <f>VLOOKUP(D7095,Товары!A:I,3,0)</f>
        <v>Зеркальный шкаф Альба 70 со светильником правый цвет антрацит</v>
      </c>
      <c r="H7095">
        <f>VLOOKUP(D7095,Товары!A:I,6,0)</f>
        <v>75</v>
      </c>
      <c r="I7095" t="str">
        <f>VLOOKUP(C7095,Магазины!A:C,3,0)</f>
        <v>Ставрополь</v>
      </c>
      <c r="J7095">
        <f>VLOOKUP(D7095,Товары!A:I,4,0)</f>
        <v>9615</v>
      </c>
      <c r="K7095">
        <f t="shared" si="110"/>
        <v>28845</v>
      </c>
    </row>
    <row r="7096" spans="1:11" hidden="1" x14ac:dyDescent="0.25">
      <c r="A7096">
        <v>7095</v>
      </c>
      <c r="B7096" s="1">
        <v>45756</v>
      </c>
      <c r="C7096" t="s">
        <v>111</v>
      </c>
      <c r="D7096" t="s">
        <v>76</v>
      </c>
      <c r="E7096" t="s">
        <v>8</v>
      </c>
      <c r="F7096">
        <v>1</v>
      </c>
      <c r="G7096" t="str">
        <f>VLOOKUP(D7096,Товары!A:I,3,0)</f>
        <v>Тумба с раковиной  напол. Леон 600 оникс 2 ящика с умыв. Слим</v>
      </c>
      <c r="H7096">
        <f>VLOOKUP(D7096,Товары!A:I,6,0)</f>
        <v>80</v>
      </c>
      <c r="I7096" t="str">
        <f>VLOOKUP(C7096,Магазины!A:C,3,0)</f>
        <v>Набережные Челны</v>
      </c>
      <c r="J7096">
        <f>VLOOKUP(D7096,Товары!A:I,4,0)</f>
        <v>25860</v>
      </c>
      <c r="K7096">
        <f t="shared" si="110"/>
        <v>25860</v>
      </c>
    </row>
    <row r="7097" spans="1:11" hidden="1" x14ac:dyDescent="0.25">
      <c r="A7097">
        <v>7096</v>
      </c>
      <c r="B7097" s="1">
        <v>45755</v>
      </c>
      <c r="C7097" t="s">
        <v>28</v>
      </c>
      <c r="D7097" t="s">
        <v>124</v>
      </c>
      <c r="E7097" t="s">
        <v>8</v>
      </c>
      <c r="F7097">
        <v>3</v>
      </c>
      <c r="G7097" t="str">
        <f>VLOOKUP(D7097,Товары!A:I,3,0)</f>
        <v>Тумба с раковиной  напол. Леон 600 оникс 2 ящика с умыв. Океан</v>
      </c>
      <c r="H7097">
        <f>VLOOKUP(D7097,Товары!A:I,6,0)</f>
        <v>80</v>
      </c>
      <c r="I7097" t="str">
        <f>VLOOKUP(C7097,Магазины!A:C,3,0)</f>
        <v>Набережные Челны</v>
      </c>
      <c r="J7097">
        <f>VLOOKUP(D7097,Товары!A:I,4,0)</f>
        <v>25860</v>
      </c>
      <c r="K7097">
        <f t="shared" si="110"/>
        <v>77580</v>
      </c>
    </row>
    <row r="7098" spans="1:11" hidden="1" x14ac:dyDescent="0.25">
      <c r="A7098">
        <v>7097</v>
      </c>
      <c r="B7098" s="1">
        <v>45757</v>
      </c>
      <c r="C7098" t="s">
        <v>63</v>
      </c>
      <c r="D7098" t="s">
        <v>62</v>
      </c>
      <c r="E7098" t="s">
        <v>8</v>
      </c>
      <c r="F7098">
        <v>2</v>
      </c>
      <c r="G7098" t="str">
        <f>VLOOKUP(D7098,Товары!A:I,3,0)</f>
        <v>Тумба с раковиной  напол. Альба 600 мята 2 ящика с умыв. Океан</v>
      </c>
      <c r="H7098">
        <f>VLOOKUP(D7098,Товары!A:I,6,0)</f>
        <v>80</v>
      </c>
      <c r="I7098" t="str">
        <f>VLOOKUP(C7098,Магазины!A:C,3,0)</f>
        <v>Ставрополь</v>
      </c>
      <c r="J7098">
        <f>VLOOKUP(D7098,Товары!A:I,4,0)</f>
        <v>26370</v>
      </c>
      <c r="K7098">
        <f t="shared" si="110"/>
        <v>52740</v>
      </c>
    </row>
    <row r="7099" spans="1:11" hidden="1" x14ac:dyDescent="0.25">
      <c r="A7099">
        <v>7098</v>
      </c>
      <c r="B7099" s="1">
        <v>45748</v>
      </c>
      <c r="C7099" t="s">
        <v>18</v>
      </c>
      <c r="D7099" t="s">
        <v>17</v>
      </c>
      <c r="E7099" t="s">
        <v>8</v>
      </c>
      <c r="F7099">
        <v>2</v>
      </c>
      <c r="G7099" t="str">
        <f>VLOOKUP(D7099,Товары!A:I,3,0)</f>
        <v>Тумба с раковиной  навес. Альба 800 антрацит 1 ящик с умыв. Слим</v>
      </c>
      <c r="H7099">
        <f>VLOOKUP(D7099,Товары!A:I,6,0)</f>
        <v>45</v>
      </c>
      <c r="I7099" t="str">
        <f>VLOOKUP(C7099,Магазины!A:C,3,0)</f>
        <v>Набережные Челны</v>
      </c>
      <c r="J7099">
        <f>VLOOKUP(D7099,Товары!A:I,4,0)</f>
        <v>21630</v>
      </c>
      <c r="K7099">
        <f t="shared" si="110"/>
        <v>43260</v>
      </c>
    </row>
    <row r="7100" spans="1:11" hidden="1" x14ac:dyDescent="0.25">
      <c r="A7100">
        <v>7099</v>
      </c>
      <c r="B7100" s="1">
        <v>45754</v>
      </c>
      <c r="C7100" t="s">
        <v>35</v>
      </c>
      <c r="D7100" t="s">
        <v>21</v>
      </c>
      <c r="E7100" t="s">
        <v>8</v>
      </c>
      <c r="F7100">
        <v>2</v>
      </c>
      <c r="G7100" t="str">
        <f>VLOOKUP(D7100,Товары!A:I,3,0)</f>
        <v>Зеркальный шкаф Рица 60 со светильником правый цвет cерый/керамика</v>
      </c>
      <c r="H7100">
        <f>VLOOKUP(D7100,Товары!A:I,6,0)</f>
        <v>75</v>
      </c>
      <c r="I7100" t="str">
        <f>VLOOKUP(C7100,Магазины!A:C,3,0)</f>
        <v>Набережные Челны</v>
      </c>
      <c r="J7100">
        <f>VLOOKUP(D7100,Товары!A:I,4,0)</f>
        <v>8910</v>
      </c>
      <c r="K7100">
        <f t="shared" si="110"/>
        <v>17820</v>
      </c>
    </row>
    <row r="7101" spans="1:11" hidden="1" x14ac:dyDescent="0.25">
      <c r="A7101">
        <v>7100</v>
      </c>
      <c r="B7101" s="1">
        <v>45750</v>
      </c>
      <c r="C7101" t="s">
        <v>9</v>
      </c>
      <c r="D7101" t="s">
        <v>46</v>
      </c>
      <c r="E7101" t="s">
        <v>8</v>
      </c>
      <c r="F7101">
        <v>1</v>
      </c>
      <c r="G7101" t="str">
        <f>VLOOKUP(D7101,Товары!A:I,3,0)</f>
        <v>Тумба с раковиной  напол. Сохо 700 белый 2 ящика с умыв. Слим</v>
      </c>
      <c r="H7101">
        <f>VLOOKUP(D7101,Товары!A:I,6,0)</f>
        <v>85</v>
      </c>
      <c r="I7101" t="str">
        <f>VLOOKUP(C7101,Магазины!A:C,3,0)</f>
        <v>Кемерово</v>
      </c>
      <c r="J7101">
        <f>VLOOKUP(D7101,Товары!A:I,4,0)</f>
        <v>18405</v>
      </c>
      <c r="K7101">
        <f t="shared" si="110"/>
        <v>18405</v>
      </c>
    </row>
    <row r="7102" spans="1:11" hidden="1" x14ac:dyDescent="0.25">
      <c r="A7102">
        <v>7101</v>
      </c>
      <c r="B7102" s="1">
        <v>45757</v>
      </c>
      <c r="C7102" t="s">
        <v>18</v>
      </c>
      <c r="D7102" t="s">
        <v>61</v>
      </c>
      <c r="E7102" t="s">
        <v>13</v>
      </c>
      <c r="F7102">
        <v>1</v>
      </c>
      <c r="G7102" t="str">
        <f>VLOOKUP(D7102,Товары!A:I,3,0)</f>
        <v>Тумба под стиральную машину Леон Риф 57 напольная 2 ящика под ст/маш, без умывальника /под Marshall 120 Солярис/Белый Риф</v>
      </c>
      <c r="H7102">
        <f>VLOOKUP(D7102,Товары!A:I,6,0)</f>
        <v>85</v>
      </c>
      <c r="I7102" t="str">
        <f>VLOOKUP(C7102,Магазины!A:C,3,0)</f>
        <v>Набережные Челны</v>
      </c>
      <c r="J7102">
        <f>VLOOKUP(D7102,Товары!A:I,4,0)</f>
        <v>17430</v>
      </c>
      <c r="K7102">
        <f t="shared" si="110"/>
        <v>17430</v>
      </c>
    </row>
    <row r="7103" spans="1:11" hidden="1" x14ac:dyDescent="0.25">
      <c r="A7103">
        <v>7102</v>
      </c>
      <c r="B7103" s="1">
        <v>45751</v>
      </c>
      <c r="C7103" t="s">
        <v>6</v>
      </c>
      <c r="D7103" t="s">
        <v>46</v>
      </c>
      <c r="E7103" t="s">
        <v>13</v>
      </c>
      <c r="F7103">
        <v>2</v>
      </c>
      <c r="G7103" t="str">
        <f>VLOOKUP(D7103,Товары!A:I,3,0)</f>
        <v>Тумба с раковиной  напол. Сохо 700 белый 2 ящика с умыв. Слим</v>
      </c>
      <c r="H7103">
        <f>VLOOKUP(D7103,Товары!A:I,6,0)</f>
        <v>85</v>
      </c>
      <c r="I7103" t="str">
        <f>VLOOKUP(C7103,Магазины!A:C,3,0)</f>
        <v>Оренбург</v>
      </c>
      <c r="J7103">
        <f>VLOOKUP(D7103,Товары!A:I,4,0)</f>
        <v>18405</v>
      </c>
      <c r="K7103">
        <f t="shared" si="110"/>
        <v>36810</v>
      </c>
    </row>
    <row r="7104" spans="1:11" hidden="1" x14ac:dyDescent="0.25">
      <c r="A7104">
        <v>7103</v>
      </c>
      <c r="B7104" s="1">
        <v>45754</v>
      </c>
      <c r="C7104" t="s">
        <v>41</v>
      </c>
      <c r="D7104" t="s">
        <v>107</v>
      </c>
      <c r="E7104" t="s">
        <v>13</v>
      </c>
      <c r="F7104">
        <v>2</v>
      </c>
      <c r="G7104" t="str">
        <f>VLOOKUP(D7104,Товары!A:I,3,0)</f>
        <v>Комод Аква 35 напольный 1 дверь белый правый</v>
      </c>
      <c r="H7104">
        <f>VLOOKUP(D7104,Товары!A:I,6,0)</f>
        <v>90</v>
      </c>
      <c r="I7104" t="str">
        <f>VLOOKUP(C7104,Магазины!A:C,3,0)</f>
        <v>Ставрополь</v>
      </c>
      <c r="J7104">
        <f>VLOOKUP(D7104,Товары!A:I,4,0)</f>
        <v>6705</v>
      </c>
      <c r="K7104">
        <f t="shared" si="110"/>
        <v>13410</v>
      </c>
    </row>
    <row r="7105" spans="1:11" hidden="1" x14ac:dyDescent="0.25">
      <c r="A7105">
        <v>7104</v>
      </c>
      <c r="B7105" s="1">
        <v>45748</v>
      </c>
      <c r="C7105" t="s">
        <v>9</v>
      </c>
      <c r="D7105" t="s">
        <v>59</v>
      </c>
      <c r="E7105" t="s">
        <v>13</v>
      </c>
      <c r="F7105">
        <v>1</v>
      </c>
      <c r="G7105" t="str">
        <f>VLOOKUP(D7105,Товары!A:I,3,0)</f>
        <v>Тумба с раковиной  навес. Куба Риф 600 белый 2 ящика с умыв. Океан</v>
      </c>
      <c r="H7105">
        <f>VLOOKUP(D7105,Товары!A:I,6,0)</f>
        <v>55</v>
      </c>
      <c r="I7105" t="str">
        <f>VLOOKUP(C7105,Магазины!A:C,3,0)</f>
        <v>Кемерово</v>
      </c>
      <c r="J7105">
        <f>VLOOKUP(D7105,Товары!A:I,4,0)</f>
        <v>15765</v>
      </c>
      <c r="K7105">
        <f t="shared" si="110"/>
        <v>15765</v>
      </c>
    </row>
    <row r="7106" spans="1:11" hidden="1" x14ac:dyDescent="0.25">
      <c r="A7106">
        <v>7105</v>
      </c>
      <c r="B7106" s="1">
        <v>45753</v>
      </c>
      <c r="C7106" t="s">
        <v>28</v>
      </c>
      <c r="D7106" t="s">
        <v>114</v>
      </c>
      <c r="E7106" t="s">
        <v>13</v>
      </c>
      <c r="F7106">
        <v>1</v>
      </c>
      <c r="G7106" t="str">
        <f>VLOOKUP(D7106,Товары!A:I,3,0)</f>
        <v>Тумба с раковиной  навес. Альба 700 мята 2 ящика с умыв. Слим</v>
      </c>
      <c r="H7106">
        <f>VLOOKUP(D7106,Товары!A:I,6,0)</f>
        <v>60</v>
      </c>
      <c r="I7106" t="str">
        <f>VLOOKUP(C7106,Магазины!A:C,3,0)</f>
        <v>Набережные Челны</v>
      </c>
      <c r="J7106">
        <f>VLOOKUP(D7106,Товары!A:I,4,0)</f>
        <v>25095</v>
      </c>
      <c r="K7106">
        <f t="shared" si="110"/>
        <v>25095</v>
      </c>
    </row>
    <row r="7107" spans="1:11" hidden="1" x14ac:dyDescent="0.25">
      <c r="A7107">
        <v>7106</v>
      </c>
      <c r="B7107" s="1">
        <v>45752</v>
      </c>
      <c r="C7107" t="s">
        <v>22</v>
      </c>
      <c r="D7107" t="s">
        <v>84</v>
      </c>
      <c r="E7107" t="s">
        <v>13</v>
      </c>
      <c r="F7107">
        <v>2</v>
      </c>
      <c r="G7107" t="str">
        <f>VLOOKUP(D7107,Товары!A:I,3,0)</f>
        <v>Тумба с раковиной  напол. Куба Риф 800 белый 3 двери с умыв. Слим</v>
      </c>
      <c r="H7107">
        <f>VLOOKUP(D7107,Товары!A:I,6,0)</f>
        <v>85</v>
      </c>
      <c r="I7107" t="str">
        <f>VLOOKUP(C7107,Магазины!A:C,3,0)</f>
        <v>Кемерово</v>
      </c>
      <c r="J7107">
        <f>VLOOKUP(D7107,Товары!A:I,4,0)</f>
        <v>19920</v>
      </c>
      <c r="K7107">
        <f t="shared" ref="K7107:K7170" si="111">J7107*F7107</f>
        <v>39840</v>
      </c>
    </row>
    <row r="7108" spans="1:11" hidden="1" x14ac:dyDescent="0.25">
      <c r="A7108">
        <v>7107</v>
      </c>
      <c r="B7108" s="1">
        <v>45749</v>
      </c>
      <c r="C7108" t="s">
        <v>33</v>
      </c>
      <c r="D7108" t="s">
        <v>102</v>
      </c>
      <c r="E7108" t="s">
        <v>8</v>
      </c>
      <c r="F7108">
        <v>1</v>
      </c>
      <c r="G7108" t="str">
        <f>VLOOKUP(D7108,Товары!A:I,3,0)</f>
        <v>Тумба с раковиной  напол. Леон Риф 1000 солярис/белый риф 2 ящика с умыв. Слим</v>
      </c>
      <c r="H7108">
        <f>VLOOKUP(D7108,Товары!A:I,6,0)</f>
        <v>85</v>
      </c>
      <c r="I7108" t="str">
        <f>VLOOKUP(C7108,Магазины!A:C,3,0)</f>
        <v>Набережные Челны</v>
      </c>
      <c r="J7108">
        <f>VLOOKUP(D7108,Товары!A:I,4,0)</f>
        <v>32085</v>
      </c>
      <c r="K7108">
        <f t="shared" si="111"/>
        <v>32085</v>
      </c>
    </row>
    <row r="7109" spans="1:11" hidden="1" x14ac:dyDescent="0.25">
      <c r="A7109">
        <v>7108</v>
      </c>
      <c r="B7109" s="1">
        <v>45757</v>
      </c>
      <c r="C7109" t="s">
        <v>6</v>
      </c>
      <c r="D7109" t="s">
        <v>79</v>
      </c>
      <c r="E7109" t="s">
        <v>13</v>
      </c>
      <c r="F7109">
        <v>2</v>
      </c>
      <c r="G7109" t="str">
        <f>VLOOKUP(D7109,Товары!A:I,3,0)</f>
        <v>Зеркальный шкаф Альба 70 со светильником правый цвет мята</v>
      </c>
      <c r="H7109">
        <f>VLOOKUP(D7109,Товары!A:I,6,0)</f>
        <v>75</v>
      </c>
      <c r="I7109" t="str">
        <f>VLOOKUP(C7109,Магазины!A:C,3,0)</f>
        <v>Оренбург</v>
      </c>
      <c r="J7109">
        <f>VLOOKUP(D7109,Товары!A:I,4,0)</f>
        <v>9615</v>
      </c>
      <c r="K7109">
        <f t="shared" si="111"/>
        <v>19230</v>
      </c>
    </row>
    <row r="7110" spans="1:11" hidden="1" x14ac:dyDescent="0.25">
      <c r="A7110">
        <v>7109</v>
      </c>
      <c r="B7110" s="1">
        <v>45755</v>
      </c>
      <c r="C7110" t="s">
        <v>28</v>
      </c>
      <c r="D7110" t="s">
        <v>97</v>
      </c>
      <c r="E7110" t="s">
        <v>8</v>
      </c>
      <c r="F7110">
        <v>2</v>
      </c>
      <c r="G7110" t="str">
        <f>VLOOKUP(D7110,Товары!A:I,3,0)</f>
        <v>Пенал напол. Кристалл 350 суфле 2 двери</v>
      </c>
      <c r="H7110">
        <f>VLOOKUP(D7110,Товары!A:I,6,0)</f>
        <v>190</v>
      </c>
      <c r="I7110" t="str">
        <f>VLOOKUP(C7110,Магазины!A:C,3,0)</f>
        <v>Набережные Челны</v>
      </c>
      <c r="J7110">
        <f>VLOOKUP(D7110,Товары!A:I,4,0)</f>
        <v>15810</v>
      </c>
      <c r="K7110">
        <f t="shared" si="111"/>
        <v>31620</v>
      </c>
    </row>
    <row r="7111" spans="1:11" hidden="1" x14ac:dyDescent="0.25">
      <c r="A7111">
        <v>7110</v>
      </c>
      <c r="B7111" s="1">
        <v>45751</v>
      </c>
      <c r="C7111" t="s">
        <v>54</v>
      </c>
      <c r="D7111" t="s">
        <v>122</v>
      </c>
      <c r="E7111" t="s">
        <v>8</v>
      </c>
      <c r="F7111">
        <v>2</v>
      </c>
      <c r="G7111" t="str">
        <f>VLOOKUP(D7111,Товары!A:I,3,0)</f>
        <v>Тумба с раковиной  навес. Кристалл 600 шато азур 2 ящика с умыв. Океан</v>
      </c>
      <c r="H7111">
        <f>VLOOKUP(D7111,Товары!A:I,6,0)</f>
        <v>55</v>
      </c>
      <c r="I7111" t="str">
        <f>VLOOKUP(C7111,Магазины!A:C,3,0)</f>
        <v>Ставрополь</v>
      </c>
      <c r="J7111">
        <f>VLOOKUP(D7111,Товары!A:I,4,0)</f>
        <v>21960</v>
      </c>
      <c r="K7111">
        <f t="shared" si="111"/>
        <v>43920</v>
      </c>
    </row>
    <row r="7112" spans="1:11" hidden="1" x14ac:dyDescent="0.25">
      <c r="A7112">
        <v>7111</v>
      </c>
      <c r="B7112" s="1">
        <v>45756</v>
      </c>
      <c r="C7112" t="s">
        <v>28</v>
      </c>
      <c r="D7112" t="s">
        <v>112</v>
      </c>
      <c r="E7112" t="s">
        <v>8</v>
      </c>
      <c r="F7112">
        <v>1</v>
      </c>
      <c r="G7112" t="str">
        <f>VLOOKUP(D7112,Товары!A:I,3,0)</f>
        <v>Тумба с раковиной  напол. Аква 560 белый 2 двери с умыв. Уют</v>
      </c>
      <c r="H7112">
        <f>VLOOKUP(D7112,Товары!A:I,6,0)</f>
        <v>85</v>
      </c>
      <c r="I7112" t="str">
        <f>VLOOKUP(C7112,Магазины!A:C,3,0)</f>
        <v>Набережные Челны</v>
      </c>
      <c r="J7112">
        <f>VLOOKUP(D7112,Товары!A:I,4,0)</f>
        <v>9330</v>
      </c>
      <c r="K7112">
        <f t="shared" si="111"/>
        <v>9330</v>
      </c>
    </row>
    <row r="7113" spans="1:11" hidden="1" x14ac:dyDescent="0.25">
      <c r="A7113">
        <v>7112</v>
      </c>
      <c r="B7113" s="1">
        <v>45757</v>
      </c>
      <c r="C7113" t="s">
        <v>26</v>
      </c>
      <c r="D7113" t="s">
        <v>110</v>
      </c>
      <c r="E7113" t="s">
        <v>8</v>
      </c>
      <c r="F7113">
        <v>3</v>
      </c>
      <c r="G7113" t="str">
        <f>VLOOKUP(D7113,Товары!A:I,3,0)</f>
        <v>Тумба с раковиной  напол. Альба 600 антрацит 2 ящика с умыв. Океан</v>
      </c>
      <c r="H7113">
        <f>VLOOKUP(D7113,Товары!A:I,6,0)</f>
        <v>80</v>
      </c>
      <c r="I7113" t="str">
        <f>VLOOKUP(C7113,Магазины!A:C,3,0)</f>
        <v>Оренбург</v>
      </c>
      <c r="J7113">
        <f>VLOOKUP(D7113,Товары!A:I,4,0)</f>
        <v>26370</v>
      </c>
      <c r="K7113">
        <f t="shared" si="111"/>
        <v>79110</v>
      </c>
    </row>
    <row r="7114" spans="1:11" hidden="1" x14ac:dyDescent="0.25">
      <c r="A7114">
        <v>7113</v>
      </c>
      <c r="B7114" s="1">
        <v>45748</v>
      </c>
      <c r="C7114" t="s">
        <v>14</v>
      </c>
      <c r="D7114" t="s">
        <v>96</v>
      </c>
      <c r="E7114" t="s">
        <v>13</v>
      </c>
      <c r="F7114">
        <v>1</v>
      </c>
      <c r="G7114" t="str">
        <f>VLOOKUP(D7114,Товары!A:I,3,0)</f>
        <v>Тумба с раковиной  навес. Альба 600 мята 1 ящик с умыв. Океан</v>
      </c>
      <c r="H7114">
        <f>VLOOKUP(D7114,Товары!A:I,6,0)</f>
        <v>85</v>
      </c>
      <c r="I7114" t="str">
        <f>VLOOKUP(C7114,Магазины!A:C,3,0)</f>
        <v>Оренбург</v>
      </c>
      <c r="J7114">
        <f>VLOOKUP(D7114,Товары!A:I,4,0)</f>
        <v>17625</v>
      </c>
      <c r="K7114">
        <f t="shared" si="111"/>
        <v>17625</v>
      </c>
    </row>
    <row r="7115" spans="1:11" hidden="1" x14ac:dyDescent="0.25">
      <c r="A7115">
        <v>7114</v>
      </c>
      <c r="B7115" s="1">
        <v>45757</v>
      </c>
      <c r="C7115" t="s">
        <v>22</v>
      </c>
      <c r="D7115" t="s">
        <v>93</v>
      </c>
      <c r="E7115" t="s">
        <v>8</v>
      </c>
      <c r="F7115">
        <v>1</v>
      </c>
      <c r="G7115" t="str">
        <f>VLOOKUP(D7115,Товары!A:I,3,0)</f>
        <v>Тумба с раковиной  напол. Леон Риф 800 солярис/белый риф 2 ящика с умыв. Слим</v>
      </c>
      <c r="H7115">
        <f>VLOOKUP(D7115,Товары!A:I,6,0)</f>
        <v>80</v>
      </c>
      <c r="I7115" t="str">
        <f>VLOOKUP(C7115,Магазины!A:C,3,0)</f>
        <v>Кемерово</v>
      </c>
      <c r="J7115">
        <f>VLOOKUP(D7115,Товары!A:I,4,0)</f>
        <v>29340</v>
      </c>
      <c r="K7115">
        <f t="shared" si="111"/>
        <v>29340</v>
      </c>
    </row>
    <row r="7116" spans="1:11" hidden="1" x14ac:dyDescent="0.25">
      <c r="A7116">
        <v>7115</v>
      </c>
      <c r="B7116" s="1">
        <v>45750</v>
      </c>
      <c r="C7116" t="s">
        <v>18</v>
      </c>
      <c r="D7116" t="s">
        <v>87</v>
      </c>
      <c r="E7116" t="s">
        <v>8</v>
      </c>
      <c r="F7116">
        <v>1</v>
      </c>
      <c r="G7116" t="str">
        <f>VLOOKUP(D7116,Товары!A:I,3,0)</f>
        <v>Тумба с раковиной  напол. Леон 700 форест 2 ящика с умыв. Слим</v>
      </c>
      <c r="H7116">
        <f>VLOOKUP(D7116,Товары!A:I,6,0)</f>
        <v>80</v>
      </c>
      <c r="I7116" t="str">
        <f>VLOOKUP(C7116,Магазины!A:C,3,0)</f>
        <v>Набережные Челны</v>
      </c>
      <c r="J7116">
        <f>VLOOKUP(D7116,Товары!A:I,4,0)</f>
        <v>28380</v>
      </c>
      <c r="K7116">
        <f t="shared" si="111"/>
        <v>28380</v>
      </c>
    </row>
    <row r="7117" spans="1:11" hidden="1" x14ac:dyDescent="0.25">
      <c r="A7117">
        <v>7116</v>
      </c>
      <c r="B7117" s="1">
        <v>45755</v>
      </c>
      <c r="C7117" t="s">
        <v>22</v>
      </c>
      <c r="D7117" t="s">
        <v>32</v>
      </c>
      <c r="E7117" t="s">
        <v>13</v>
      </c>
      <c r="F7117">
        <v>2</v>
      </c>
      <c r="G7117" t="str">
        <f>VLOOKUP(D7117,Товары!A:I,3,0)</f>
        <v>Тумба с раковиной  напол. Леон Риф 700 солярис/белый риф 2 ящика с умыв. Слим</v>
      </c>
      <c r="H7117">
        <f>VLOOKUP(D7117,Товары!A:I,6,0)</f>
        <v>85</v>
      </c>
      <c r="I7117" t="str">
        <f>VLOOKUP(C7117,Магазины!A:C,3,0)</f>
        <v>Кемерово</v>
      </c>
      <c r="J7117">
        <f>VLOOKUP(D7117,Товары!A:I,4,0)</f>
        <v>26460</v>
      </c>
      <c r="K7117">
        <f t="shared" si="111"/>
        <v>52920</v>
      </c>
    </row>
    <row r="7118" spans="1:11" hidden="1" x14ac:dyDescent="0.25">
      <c r="A7118">
        <v>7117</v>
      </c>
      <c r="B7118" s="1">
        <v>45748</v>
      </c>
      <c r="C7118" t="s">
        <v>41</v>
      </c>
      <c r="D7118" t="s">
        <v>91</v>
      </c>
      <c r="E7118" t="s">
        <v>8</v>
      </c>
      <c r="F7118">
        <v>2</v>
      </c>
      <c r="G7118" t="str">
        <f>VLOOKUP(D7118,Товары!A:I,3,0)</f>
        <v>Пенал навес./напол. Альба 350 мята 2 двери</v>
      </c>
      <c r="H7118">
        <f>VLOOKUP(D7118,Товары!A:I,6,0)</f>
        <v>150</v>
      </c>
      <c r="I7118" t="str">
        <f>VLOOKUP(C7118,Магазины!A:C,3,0)</f>
        <v>Ставрополь</v>
      </c>
      <c r="J7118">
        <f>VLOOKUP(D7118,Товары!A:I,4,0)</f>
        <v>11655</v>
      </c>
      <c r="K7118">
        <f t="shared" si="111"/>
        <v>23310</v>
      </c>
    </row>
    <row r="7119" spans="1:11" hidden="1" x14ac:dyDescent="0.25">
      <c r="A7119">
        <v>7118</v>
      </c>
      <c r="B7119" s="1">
        <v>45754</v>
      </c>
      <c r="C7119" t="s">
        <v>63</v>
      </c>
      <c r="D7119" t="s">
        <v>74</v>
      </c>
      <c r="E7119" t="s">
        <v>8</v>
      </c>
      <c r="F7119">
        <v>2</v>
      </c>
      <c r="G7119" t="str">
        <f>VLOOKUP(D7119,Товары!A:I,3,0)</f>
        <v>Тумба с раковиной  напол. Альба 800 суфле 2 ящика с умыв. Слим</v>
      </c>
      <c r="H7119">
        <f>VLOOKUP(D7119,Товары!A:I,6,0)</f>
        <v>80</v>
      </c>
      <c r="I7119" t="str">
        <f>VLOOKUP(C7119,Магазины!A:C,3,0)</f>
        <v>Ставрополь</v>
      </c>
      <c r="J7119">
        <f>VLOOKUP(D7119,Товары!A:I,4,0)</f>
        <v>29340</v>
      </c>
      <c r="K7119">
        <f t="shared" si="111"/>
        <v>58680</v>
      </c>
    </row>
    <row r="7120" spans="1:11" hidden="1" x14ac:dyDescent="0.25">
      <c r="A7120">
        <v>7119</v>
      </c>
      <c r="B7120" s="1">
        <v>45754</v>
      </c>
      <c r="C7120" t="s">
        <v>58</v>
      </c>
      <c r="D7120" t="s">
        <v>12</v>
      </c>
      <c r="E7120" t="s">
        <v>13</v>
      </c>
      <c r="F7120">
        <v>2</v>
      </c>
      <c r="G7120" t="str">
        <f>VLOOKUP(D7120,Товары!A:I,3,0)</f>
        <v>Тумба с раковиной  напол. Сохо 700 белый 2 двери с умыв. Слим</v>
      </c>
      <c r="H7120">
        <f>VLOOKUP(D7120,Товары!A:I,6,0)</f>
        <v>85</v>
      </c>
      <c r="I7120" t="str">
        <f>VLOOKUP(C7120,Магазины!A:C,3,0)</f>
        <v>Ставрополь</v>
      </c>
      <c r="J7120">
        <f>VLOOKUP(D7120,Товары!A:I,4,0)</f>
        <v>17160</v>
      </c>
      <c r="K7120">
        <f t="shared" si="111"/>
        <v>34320</v>
      </c>
    </row>
    <row r="7121" spans="1:11" hidden="1" x14ac:dyDescent="0.25">
      <c r="A7121">
        <v>7120</v>
      </c>
      <c r="B7121" s="1">
        <v>45757</v>
      </c>
      <c r="C7121" t="s">
        <v>92</v>
      </c>
      <c r="D7121" t="s">
        <v>72</v>
      </c>
      <c r="E7121" t="s">
        <v>8</v>
      </c>
      <c r="F7121">
        <v>2</v>
      </c>
      <c r="G7121" t="str">
        <f>VLOOKUP(D7121,Товары!A:I,3,0)</f>
        <v>Тумба с раковиной  напол. Сохо 600 белый 2 ящика с умыв. Океан</v>
      </c>
      <c r="H7121">
        <f>VLOOKUP(D7121,Товары!A:I,6,0)</f>
        <v>85</v>
      </c>
      <c r="I7121" t="str">
        <f>VLOOKUP(C7121,Магазины!A:C,3,0)</f>
        <v>Кемерово</v>
      </c>
      <c r="J7121">
        <f>VLOOKUP(D7121,Товары!A:I,4,0)</f>
        <v>16140</v>
      </c>
      <c r="K7121">
        <f t="shared" si="111"/>
        <v>32280</v>
      </c>
    </row>
    <row r="7122" spans="1:11" hidden="1" x14ac:dyDescent="0.25">
      <c r="A7122">
        <v>7121</v>
      </c>
      <c r="B7122" s="1">
        <v>45752</v>
      </c>
      <c r="C7122" t="s">
        <v>33</v>
      </c>
      <c r="D7122" t="s">
        <v>44</v>
      </c>
      <c r="E7122" t="s">
        <v>13</v>
      </c>
      <c r="F7122">
        <v>2</v>
      </c>
      <c r="G7122" t="str">
        <f>VLOOKUP(D7122,Товары!A:I,3,0)</f>
        <v>Тумба с раковиной  навес. Кристалл 800 шато азур 2 ящика с умыв. Комфорт</v>
      </c>
      <c r="H7122">
        <f>VLOOKUP(D7122,Товары!A:I,6,0)</f>
        <v>55</v>
      </c>
      <c r="I7122" t="str">
        <f>VLOOKUP(C7122,Магазины!A:C,3,0)</f>
        <v>Набережные Челны</v>
      </c>
      <c r="J7122">
        <f>VLOOKUP(D7122,Товары!A:I,4,0)</f>
        <v>25080</v>
      </c>
      <c r="K7122">
        <f t="shared" si="111"/>
        <v>50160</v>
      </c>
    </row>
    <row r="7123" spans="1:11" hidden="1" x14ac:dyDescent="0.25">
      <c r="A7123">
        <v>7122</v>
      </c>
      <c r="B7123" s="1">
        <v>45754</v>
      </c>
      <c r="C7123" t="s">
        <v>63</v>
      </c>
      <c r="D7123" t="s">
        <v>17</v>
      </c>
      <c r="E7123" t="s">
        <v>8</v>
      </c>
      <c r="F7123">
        <v>3</v>
      </c>
      <c r="G7123" t="str">
        <f>VLOOKUP(D7123,Товары!A:I,3,0)</f>
        <v>Тумба с раковиной  навес. Альба 800 антрацит 1 ящик с умыв. Слим</v>
      </c>
      <c r="H7123">
        <f>VLOOKUP(D7123,Товары!A:I,6,0)</f>
        <v>45</v>
      </c>
      <c r="I7123" t="str">
        <f>VLOOKUP(C7123,Магазины!A:C,3,0)</f>
        <v>Ставрополь</v>
      </c>
      <c r="J7123">
        <f>VLOOKUP(D7123,Товары!A:I,4,0)</f>
        <v>21630</v>
      </c>
      <c r="K7123">
        <f t="shared" si="111"/>
        <v>64890</v>
      </c>
    </row>
    <row r="7124" spans="1:11" hidden="1" x14ac:dyDescent="0.25">
      <c r="A7124">
        <v>7123</v>
      </c>
      <c r="B7124" s="1">
        <v>45752</v>
      </c>
      <c r="C7124" t="s">
        <v>9</v>
      </c>
      <c r="D7124" t="s">
        <v>10</v>
      </c>
      <c r="E7124" t="s">
        <v>13</v>
      </c>
      <c r="F7124">
        <v>1</v>
      </c>
      <c r="G7124" t="str">
        <f>VLOOKUP(D7124,Товары!A:I,3,0)</f>
        <v>Тумба с раковиной  навес. Альба 700 антрацит 1 ящик с умыв. Слим</v>
      </c>
      <c r="H7124">
        <f>VLOOKUP(D7124,Товары!A:I,6,0)</f>
        <v>45</v>
      </c>
      <c r="I7124" t="str">
        <f>VLOOKUP(C7124,Магазины!A:C,3,0)</f>
        <v>Кемерово</v>
      </c>
      <c r="J7124">
        <f>VLOOKUP(D7124,Товары!A:I,4,0)</f>
        <v>20130</v>
      </c>
      <c r="K7124">
        <f t="shared" si="111"/>
        <v>20130</v>
      </c>
    </row>
    <row r="7125" spans="1:11" hidden="1" x14ac:dyDescent="0.25">
      <c r="A7125">
        <v>7124</v>
      </c>
      <c r="B7125" s="1">
        <v>45749</v>
      </c>
      <c r="C7125" t="s">
        <v>35</v>
      </c>
      <c r="D7125" t="s">
        <v>65</v>
      </c>
      <c r="E7125" t="s">
        <v>8</v>
      </c>
      <c r="F7125">
        <v>2</v>
      </c>
      <c r="G7125" t="str">
        <f>VLOOKUP(D7125,Товары!A:I,3,0)</f>
        <v>Тумба с раковиной  навес. Альба 800 суфле 2 ящика с умыв. Слим</v>
      </c>
      <c r="H7125">
        <f>VLOOKUP(D7125,Товары!A:I,6,0)</f>
        <v>50</v>
      </c>
      <c r="I7125" t="str">
        <f>VLOOKUP(C7125,Магазины!A:C,3,0)</f>
        <v>Набережные Челны</v>
      </c>
      <c r="J7125">
        <f>VLOOKUP(D7125,Товары!A:I,4,0)</f>
        <v>26070</v>
      </c>
      <c r="K7125">
        <f t="shared" si="111"/>
        <v>52140</v>
      </c>
    </row>
    <row r="7126" spans="1:11" hidden="1" x14ac:dyDescent="0.25">
      <c r="A7126">
        <v>7125</v>
      </c>
      <c r="B7126" s="1">
        <v>45752</v>
      </c>
      <c r="C7126" t="s">
        <v>6</v>
      </c>
      <c r="D7126" t="s">
        <v>10</v>
      </c>
      <c r="E7126" t="s">
        <v>8</v>
      </c>
      <c r="F7126">
        <v>2</v>
      </c>
      <c r="G7126" t="str">
        <f>VLOOKUP(D7126,Товары!A:I,3,0)</f>
        <v>Тумба с раковиной  навес. Альба 700 антрацит 1 ящик с умыв. Слим</v>
      </c>
      <c r="H7126">
        <f>VLOOKUP(D7126,Товары!A:I,6,0)</f>
        <v>45</v>
      </c>
      <c r="I7126" t="str">
        <f>VLOOKUP(C7126,Магазины!A:C,3,0)</f>
        <v>Оренбург</v>
      </c>
      <c r="J7126">
        <f>VLOOKUP(D7126,Товары!A:I,4,0)</f>
        <v>20130</v>
      </c>
      <c r="K7126">
        <f t="shared" si="111"/>
        <v>40260</v>
      </c>
    </row>
    <row r="7127" spans="1:11" hidden="1" x14ac:dyDescent="0.25">
      <c r="A7127">
        <v>7126</v>
      </c>
      <c r="B7127" s="1">
        <v>45749</v>
      </c>
      <c r="C7127" t="s">
        <v>35</v>
      </c>
      <c r="D7127" t="s">
        <v>89</v>
      </c>
      <c r="E7127" t="s">
        <v>8</v>
      </c>
      <c r="F7127">
        <v>2</v>
      </c>
      <c r="G7127" t="str">
        <f>VLOOKUP(D7127,Товары!A:I,3,0)</f>
        <v>Тумба с раковиной  напол. Сохо 600 белый 2 двери с умыв. Океан</v>
      </c>
      <c r="H7127">
        <f>VLOOKUP(D7127,Товары!A:I,6,0)</f>
        <v>85</v>
      </c>
      <c r="I7127" t="str">
        <f>VLOOKUP(C7127,Магазины!A:C,3,0)</f>
        <v>Набережные Челны</v>
      </c>
      <c r="J7127">
        <f>VLOOKUP(D7127,Товары!A:I,4,0)</f>
        <v>14880</v>
      </c>
      <c r="K7127">
        <f t="shared" si="111"/>
        <v>29760</v>
      </c>
    </row>
    <row r="7128" spans="1:11" hidden="1" x14ac:dyDescent="0.25">
      <c r="A7128">
        <v>7127</v>
      </c>
      <c r="B7128" s="1">
        <v>45748</v>
      </c>
      <c r="C7128" t="s">
        <v>20</v>
      </c>
      <c r="D7128" t="s">
        <v>68</v>
      </c>
      <c r="E7128" t="s">
        <v>13</v>
      </c>
      <c r="F7128">
        <v>2</v>
      </c>
      <c r="G7128" t="str">
        <f>VLOOKUP(D7128,Товары!A:I,3,0)</f>
        <v>Тумба с раковиной  навес. Альба 600 антрацит 1 ящик с умыв. Океан</v>
      </c>
      <c r="H7128">
        <f>VLOOKUP(D7128,Товары!A:I,6,0)</f>
        <v>85</v>
      </c>
      <c r="I7128" t="str">
        <f>VLOOKUP(C7128,Магазины!A:C,3,0)</f>
        <v>Оренбург</v>
      </c>
      <c r="J7128">
        <f>VLOOKUP(D7128,Товары!A:I,4,0)</f>
        <v>17625</v>
      </c>
      <c r="K7128">
        <f t="shared" si="111"/>
        <v>35250</v>
      </c>
    </row>
    <row r="7129" spans="1:11" hidden="1" x14ac:dyDescent="0.25">
      <c r="A7129">
        <v>7128</v>
      </c>
      <c r="B7129" s="1">
        <v>45754</v>
      </c>
      <c r="C7129" t="s">
        <v>43</v>
      </c>
      <c r="D7129" t="s">
        <v>44</v>
      </c>
      <c r="E7129" t="s">
        <v>13</v>
      </c>
      <c r="F7129">
        <v>3</v>
      </c>
      <c r="G7129" t="str">
        <f>VLOOKUP(D7129,Товары!A:I,3,0)</f>
        <v>Тумба с раковиной  навес. Кристалл 800 шато азур 2 ящика с умыв. Комфорт</v>
      </c>
      <c r="H7129">
        <f>VLOOKUP(D7129,Товары!A:I,6,0)</f>
        <v>55</v>
      </c>
      <c r="I7129" t="str">
        <f>VLOOKUP(C7129,Магазины!A:C,3,0)</f>
        <v>Набережные Челны</v>
      </c>
      <c r="J7129">
        <f>VLOOKUP(D7129,Товары!A:I,4,0)</f>
        <v>25080</v>
      </c>
      <c r="K7129">
        <f t="shared" si="111"/>
        <v>75240</v>
      </c>
    </row>
    <row r="7130" spans="1:11" hidden="1" x14ac:dyDescent="0.25">
      <c r="A7130">
        <v>7129</v>
      </c>
      <c r="B7130" s="1">
        <v>45755</v>
      </c>
      <c r="C7130" t="s">
        <v>92</v>
      </c>
      <c r="D7130" t="s">
        <v>44</v>
      </c>
      <c r="E7130" t="s">
        <v>8</v>
      </c>
      <c r="F7130">
        <v>1</v>
      </c>
      <c r="G7130" t="str">
        <f>VLOOKUP(D7130,Товары!A:I,3,0)</f>
        <v>Тумба с раковиной  навес. Кристалл 800 шато азур 2 ящика с умыв. Комфорт</v>
      </c>
      <c r="H7130">
        <f>VLOOKUP(D7130,Товары!A:I,6,0)</f>
        <v>55</v>
      </c>
      <c r="I7130" t="str">
        <f>VLOOKUP(C7130,Магазины!A:C,3,0)</f>
        <v>Кемерово</v>
      </c>
      <c r="J7130">
        <f>VLOOKUP(D7130,Товары!A:I,4,0)</f>
        <v>25080</v>
      </c>
      <c r="K7130">
        <f t="shared" si="111"/>
        <v>25080</v>
      </c>
    </row>
    <row r="7131" spans="1:11" hidden="1" x14ac:dyDescent="0.25">
      <c r="A7131">
        <v>7130</v>
      </c>
      <c r="B7131" s="1">
        <v>45750</v>
      </c>
      <c r="C7131" t="s">
        <v>33</v>
      </c>
      <c r="D7131" t="s">
        <v>80</v>
      </c>
      <c r="E7131" t="s">
        <v>8</v>
      </c>
      <c r="F7131">
        <v>1</v>
      </c>
      <c r="G7131" t="str">
        <f>VLOOKUP(D7131,Товары!A:I,3,0)</f>
        <v>Тумба с раковиной  навес. Сохо 600 белый 2 ящика с умыв. Океан</v>
      </c>
      <c r="H7131">
        <f>VLOOKUP(D7131,Товары!A:I,6,0)</f>
        <v>55</v>
      </c>
      <c r="I7131" t="str">
        <f>VLOOKUP(C7131,Магазины!A:C,3,0)</f>
        <v>Набережные Челны</v>
      </c>
      <c r="J7131">
        <f>VLOOKUP(D7131,Товары!A:I,4,0)</f>
        <v>13950</v>
      </c>
      <c r="K7131">
        <f t="shared" si="111"/>
        <v>13950</v>
      </c>
    </row>
    <row r="7132" spans="1:11" hidden="1" x14ac:dyDescent="0.25">
      <c r="A7132">
        <v>7131</v>
      </c>
      <c r="B7132" s="1">
        <v>45750</v>
      </c>
      <c r="C7132" t="s">
        <v>54</v>
      </c>
      <c r="D7132" t="s">
        <v>121</v>
      </c>
      <c r="E7132" t="s">
        <v>8</v>
      </c>
      <c r="F7132">
        <v>1</v>
      </c>
      <c r="G7132" t="str">
        <f>VLOOKUP(D7132,Товары!A:I,3,0)</f>
        <v>Тумба с раковиной  напол. Куба Риф 600 белый 2 двери с умыв. Como</v>
      </c>
      <c r="H7132">
        <f>VLOOKUP(D7132,Товары!A:I,6,0)</f>
        <v>85</v>
      </c>
      <c r="I7132" t="str">
        <f>VLOOKUP(C7132,Магазины!A:C,3,0)</f>
        <v>Ставрополь</v>
      </c>
      <c r="J7132">
        <f>VLOOKUP(D7132,Товары!A:I,4,0)</f>
        <v>13695</v>
      </c>
      <c r="K7132">
        <f t="shared" si="111"/>
        <v>13695</v>
      </c>
    </row>
    <row r="7133" spans="1:11" hidden="1" x14ac:dyDescent="0.25">
      <c r="A7133">
        <v>7132</v>
      </c>
      <c r="B7133" s="1">
        <v>45748</v>
      </c>
      <c r="C7133" t="s">
        <v>14</v>
      </c>
      <c r="D7133" t="s">
        <v>79</v>
      </c>
      <c r="E7133" t="s">
        <v>8</v>
      </c>
      <c r="F7133">
        <v>3</v>
      </c>
      <c r="G7133" t="str">
        <f>VLOOKUP(D7133,Товары!A:I,3,0)</f>
        <v>Зеркальный шкаф Альба 70 со светильником правый цвет мята</v>
      </c>
      <c r="H7133">
        <f>VLOOKUP(D7133,Товары!A:I,6,0)</f>
        <v>75</v>
      </c>
      <c r="I7133" t="str">
        <f>VLOOKUP(C7133,Магазины!A:C,3,0)</f>
        <v>Оренбург</v>
      </c>
      <c r="J7133">
        <f>VLOOKUP(D7133,Товары!A:I,4,0)</f>
        <v>9615</v>
      </c>
      <c r="K7133">
        <f t="shared" si="111"/>
        <v>28845</v>
      </c>
    </row>
    <row r="7134" spans="1:11" hidden="1" x14ac:dyDescent="0.25">
      <c r="A7134">
        <v>7133</v>
      </c>
      <c r="B7134" s="1">
        <v>45752</v>
      </c>
      <c r="C7134" t="s">
        <v>22</v>
      </c>
      <c r="D7134" t="s">
        <v>87</v>
      </c>
      <c r="E7134" t="s">
        <v>8</v>
      </c>
      <c r="F7134">
        <v>3</v>
      </c>
      <c r="G7134" t="str">
        <f>VLOOKUP(D7134,Товары!A:I,3,0)</f>
        <v>Тумба с раковиной  напол. Леон 700 форест 2 ящика с умыв. Слим</v>
      </c>
      <c r="H7134">
        <f>VLOOKUP(D7134,Товары!A:I,6,0)</f>
        <v>80</v>
      </c>
      <c r="I7134" t="str">
        <f>VLOOKUP(C7134,Магазины!A:C,3,0)</f>
        <v>Кемерово</v>
      </c>
      <c r="J7134">
        <f>VLOOKUP(D7134,Товары!A:I,4,0)</f>
        <v>28380</v>
      </c>
      <c r="K7134">
        <f t="shared" si="111"/>
        <v>85140</v>
      </c>
    </row>
    <row r="7135" spans="1:11" hidden="1" x14ac:dyDescent="0.25">
      <c r="A7135">
        <v>7134</v>
      </c>
      <c r="B7135" s="1">
        <v>45752</v>
      </c>
      <c r="C7135" t="s">
        <v>43</v>
      </c>
      <c r="D7135" t="s">
        <v>122</v>
      </c>
      <c r="E7135" t="s">
        <v>8</v>
      </c>
      <c r="F7135">
        <v>1</v>
      </c>
      <c r="G7135" t="str">
        <f>VLOOKUP(D7135,Товары!A:I,3,0)</f>
        <v>Тумба с раковиной  навес. Кристалл 600 шато азур 2 ящика с умыв. Океан</v>
      </c>
      <c r="H7135">
        <f>VLOOKUP(D7135,Товары!A:I,6,0)</f>
        <v>55</v>
      </c>
      <c r="I7135" t="str">
        <f>VLOOKUP(C7135,Магазины!A:C,3,0)</f>
        <v>Набережные Челны</v>
      </c>
      <c r="J7135">
        <f>VLOOKUP(D7135,Товары!A:I,4,0)</f>
        <v>21960</v>
      </c>
      <c r="K7135">
        <f t="shared" si="111"/>
        <v>21960</v>
      </c>
    </row>
    <row r="7136" spans="1:11" hidden="1" x14ac:dyDescent="0.25">
      <c r="A7136">
        <v>7135</v>
      </c>
      <c r="B7136" s="1">
        <v>45748</v>
      </c>
      <c r="C7136" t="s">
        <v>9</v>
      </c>
      <c r="D7136" t="s">
        <v>125</v>
      </c>
      <c r="E7136" t="s">
        <v>8</v>
      </c>
      <c r="F7136">
        <v>3</v>
      </c>
      <c r="G7136" t="str">
        <f>VLOOKUP(D7136,Товары!A:I,3,0)</f>
        <v>Зеркальный шкаф Сохо 60 белый со светильником правый цвет Белый глянец</v>
      </c>
      <c r="H7136">
        <f>VLOOKUP(D7136,Товары!A:I,6,0)</f>
        <v>75</v>
      </c>
      <c r="I7136" t="str">
        <f>VLOOKUP(C7136,Магазины!A:C,3,0)</f>
        <v>Кемерово</v>
      </c>
      <c r="J7136">
        <f>VLOOKUP(D7136,Товары!A:I,4,0)</f>
        <v>7395</v>
      </c>
      <c r="K7136">
        <f t="shared" si="111"/>
        <v>22185</v>
      </c>
    </row>
    <row r="7137" spans="1:11" hidden="1" x14ac:dyDescent="0.25">
      <c r="A7137">
        <v>7136</v>
      </c>
      <c r="B7137" s="1">
        <v>45755</v>
      </c>
      <c r="C7137" t="s">
        <v>57</v>
      </c>
      <c r="D7137" t="s">
        <v>38</v>
      </c>
      <c r="E7137" t="s">
        <v>8</v>
      </c>
      <c r="F7137">
        <v>2</v>
      </c>
      <c r="G7137" t="str">
        <f>VLOOKUP(D7137,Товары!A:I,3,0)</f>
        <v>Тумба с раковиной  навес. Куба Риф 600 белый 2 ящика с умыв. Como</v>
      </c>
      <c r="H7137">
        <f>VLOOKUP(D7137,Товары!A:I,6,0)</f>
        <v>55</v>
      </c>
      <c r="I7137" t="str">
        <f>VLOOKUP(C7137,Магазины!A:C,3,0)</f>
        <v>Оренбург</v>
      </c>
      <c r="J7137">
        <f>VLOOKUP(D7137,Товары!A:I,4,0)</f>
        <v>14265</v>
      </c>
      <c r="K7137">
        <f t="shared" si="111"/>
        <v>28530</v>
      </c>
    </row>
    <row r="7138" spans="1:11" hidden="1" x14ac:dyDescent="0.25">
      <c r="A7138">
        <v>7137</v>
      </c>
      <c r="B7138" s="1">
        <v>45756</v>
      </c>
      <c r="C7138" t="s">
        <v>58</v>
      </c>
      <c r="D7138" t="s">
        <v>42</v>
      </c>
      <c r="E7138" t="s">
        <v>13</v>
      </c>
      <c r="F7138">
        <v>1</v>
      </c>
      <c r="G7138" t="str">
        <f>VLOOKUP(D7138,Товары!A:I,3,0)</f>
        <v>Тумба под стиральную машину Леон Риф 57 подвесная 2 ящика под ст/маш, без умывальника /под Marshall 120 Солярис/Белый Риф</v>
      </c>
      <c r="H7138">
        <f>VLOOKUP(D7138,Товары!A:I,6,0)</f>
        <v>60</v>
      </c>
      <c r="I7138" t="str">
        <f>VLOOKUP(C7138,Магазины!A:C,3,0)</f>
        <v>Ставрополь</v>
      </c>
      <c r="J7138">
        <f>VLOOKUP(D7138,Товары!A:I,4,0)</f>
        <v>15495</v>
      </c>
      <c r="K7138">
        <f t="shared" si="111"/>
        <v>15495</v>
      </c>
    </row>
    <row r="7139" spans="1:11" hidden="1" x14ac:dyDescent="0.25">
      <c r="A7139">
        <v>7138</v>
      </c>
      <c r="B7139" s="1">
        <v>45754</v>
      </c>
      <c r="C7139" t="s">
        <v>43</v>
      </c>
      <c r="D7139" t="s">
        <v>89</v>
      </c>
      <c r="E7139" t="s">
        <v>13</v>
      </c>
      <c r="F7139">
        <v>3</v>
      </c>
      <c r="G7139" t="str">
        <f>VLOOKUP(D7139,Товары!A:I,3,0)</f>
        <v>Тумба с раковиной  напол. Сохо 600 белый 2 двери с умыв. Океан</v>
      </c>
      <c r="H7139">
        <f>VLOOKUP(D7139,Товары!A:I,6,0)</f>
        <v>85</v>
      </c>
      <c r="I7139" t="str">
        <f>VLOOKUP(C7139,Магазины!A:C,3,0)</f>
        <v>Набережные Челны</v>
      </c>
      <c r="J7139">
        <f>VLOOKUP(D7139,Товары!A:I,4,0)</f>
        <v>14880</v>
      </c>
      <c r="K7139">
        <f t="shared" si="111"/>
        <v>44640</v>
      </c>
    </row>
    <row r="7140" spans="1:11" hidden="1" x14ac:dyDescent="0.25">
      <c r="A7140">
        <v>7139</v>
      </c>
      <c r="B7140" s="1">
        <v>45754</v>
      </c>
      <c r="C7140" t="s">
        <v>18</v>
      </c>
      <c r="D7140" t="s">
        <v>17</v>
      </c>
      <c r="E7140" t="s">
        <v>13</v>
      </c>
      <c r="F7140">
        <v>3</v>
      </c>
      <c r="G7140" t="str">
        <f>VLOOKUP(D7140,Товары!A:I,3,0)</f>
        <v>Тумба с раковиной  навес. Альба 800 антрацит 1 ящик с умыв. Слим</v>
      </c>
      <c r="H7140">
        <f>VLOOKUP(D7140,Товары!A:I,6,0)</f>
        <v>45</v>
      </c>
      <c r="I7140" t="str">
        <f>VLOOKUP(C7140,Магазины!A:C,3,0)</f>
        <v>Набережные Челны</v>
      </c>
      <c r="J7140">
        <f>VLOOKUP(D7140,Товары!A:I,4,0)</f>
        <v>21630</v>
      </c>
      <c r="K7140">
        <f t="shared" si="111"/>
        <v>64890</v>
      </c>
    </row>
    <row r="7141" spans="1:11" hidden="1" x14ac:dyDescent="0.25">
      <c r="A7141">
        <v>7140</v>
      </c>
      <c r="B7141" s="1">
        <v>45749</v>
      </c>
      <c r="C7141" t="s">
        <v>58</v>
      </c>
      <c r="D7141" t="s">
        <v>62</v>
      </c>
      <c r="E7141" t="s">
        <v>13</v>
      </c>
      <c r="F7141">
        <v>3</v>
      </c>
      <c r="G7141" t="str">
        <f>VLOOKUP(D7141,Товары!A:I,3,0)</f>
        <v>Тумба с раковиной  напол. Альба 600 мята 2 ящика с умыв. Океан</v>
      </c>
      <c r="H7141">
        <f>VLOOKUP(D7141,Товары!A:I,6,0)</f>
        <v>80</v>
      </c>
      <c r="I7141" t="str">
        <f>VLOOKUP(C7141,Магазины!A:C,3,0)</f>
        <v>Ставрополь</v>
      </c>
      <c r="J7141">
        <f>VLOOKUP(D7141,Товары!A:I,4,0)</f>
        <v>26370</v>
      </c>
      <c r="K7141">
        <f t="shared" si="111"/>
        <v>79110</v>
      </c>
    </row>
    <row r="7142" spans="1:11" hidden="1" x14ac:dyDescent="0.25">
      <c r="A7142">
        <v>7141</v>
      </c>
      <c r="B7142" s="1">
        <v>45749</v>
      </c>
      <c r="C7142" t="s">
        <v>35</v>
      </c>
      <c r="D7142" t="s">
        <v>114</v>
      </c>
      <c r="E7142" t="s">
        <v>13</v>
      </c>
      <c r="F7142">
        <v>2</v>
      </c>
      <c r="G7142" t="str">
        <f>VLOOKUP(D7142,Товары!A:I,3,0)</f>
        <v>Тумба с раковиной  навес. Альба 700 мята 2 ящика с умыв. Слим</v>
      </c>
      <c r="H7142">
        <f>VLOOKUP(D7142,Товары!A:I,6,0)</f>
        <v>60</v>
      </c>
      <c r="I7142" t="str">
        <f>VLOOKUP(C7142,Магазины!A:C,3,0)</f>
        <v>Набережные Челны</v>
      </c>
      <c r="J7142">
        <f>VLOOKUP(D7142,Товары!A:I,4,0)</f>
        <v>25095</v>
      </c>
      <c r="K7142">
        <f t="shared" si="111"/>
        <v>50190</v>
      </c>
    </row>
    <row r="7143" spans="1:11" hidden="1" x14ac:dyDescent="0.25">
      <c r="A7143">
        <v>7142</v>
      </c>
      <c r="B7143" s="1">
        <v>45754</v>
      </c>
      <c r="C7143" t="s">
        <v>111</v>
      </c>
      <c r="D7143" t="s">
        <v>122</v>
      </c>
      <c r="E7143" t="s">
        <v>13</v>
      </c>
      <c r="F7143">
        <v>1</v>
      </c>
      <c r="G7143" t="str">
        <f>VLOOKUP(D7143,Товары!A:I,3,0)</f>
        <v>Тумба с раковиной  навес. Кристалл 600 шато азур 2 ящика с умыв. Океан</v>
      </c>
      <c r="H7143">
        <f>VLOOKUP(D7143,Товары!A:I,6,0)</f>
        <v>55</v>
      </c>
      <c r="I7143" t="str">
        <f>VLOOKUP(C7143,Магазины!A:C,3,0)</f>
        <v>Набережные Челны</v>
      </c>
      <c r="J7143">
        <f>VLOOKUP(D7143,Товары!A:I,4,0)</f>
        <v>21960</v>
      </c>
      <c r="K7143">
        <f t="shared" si="111"/>
        <v>21960</v>
      </c>
    </row>
    <row r="7144" spans="1:11" hidden="1" x14ac:dyDescent="0.25">
      <c r="A7144">
        <v>7143</v>
      </c>
      <c r="B7144" s="1">
        <v>45751</v>
      </c>
      <c r="C7144" t="s">
        <v>58</v>
      </c>
      <c r="D7144" t="s">
        <v>124</v>
      </c>
      <c r="E7144" t="s">
        <v>13</v>
      </c>
      <c r="F7144">
        <v>3</v>
      </c>
      <c r="G7144" t="str">
        <f>VLOOKUP(D7144,Товары!A:I,3,0)</f>
        <v>Тумба с раковиной  напол. Леон 600 оникс 2 ящика с умыв. Океан</v>
      </c>
      <c r="H7144">
        <f>VLOOKUP(D7144,Товары!A:I,6,0)</f>
        <v>80</v>
      </c>
      <c r="I7144" t="str">
        <f>VLOOKUP(C7144,Магазины!A:C,3,0)</f>
        <v>Ставрополь</v>
      </c>
      <c r="J7144">
        <f>VLOOKUP(D7144,Товары!A:I,4,0)</f>
        <v>25860</v>
      </c>
      <c r="K7144">
        <f t="shared" si="111"/>
        <v>77580</v>
      </c>
    </row>
    <row r="7145" spans="1:11" hidden="1" x14ac:dyDescent="0.25">
      <c r="A7145">
        <v>7144</v>
      </c>
      <c r="B7145" s="1">
        <v>45751</v>
      </c>
      <c r="C7145" t="s">
        <v>28</v>
      </c>
      <c r="D7145" t="s">
        <v>36</v>
      </c>
      <c r="E7145" t="s">
        <v>13</v>
      </c>
      <c r="F7145">
        <v>2</v>
      </c>
      <c r="G7145" t="str">
        <f>VLOOKUP(D7145,Товары!A:I,3,0)</f>
        <v>Тумба с раковиной  напол. Альба 800 мята 2 ящика с умыв. Слим</v>
      </c>
      <c r="H7145">
        <f>VLOOKUP(D7145,Товары!A:I,6,0)</f>
        <v>80</v>
      </c>
      <c r="I7145" t="str">
        <f>VLOOKUP(C7145,Магазины!A:C,3,0)</f>
        <v>Набережные Челны</v>
      </c>
      <c r="J7145">
        <f>VLOOKUP(D7145,Товары!A:I,4,0)</f>
        <v>29340</v>
      </c>
      <c r="K7145">
        <f t="shared" si="111"/>
        <v>58680</v>
      </c>
    </row>
    <row r="7146" spans="1:11" hidden="1" x14ac:dyDescent="0.25">
      <c r="A7146">
        <v>7145</v>
      </c>
      <c r="B7146" s="1">
        <v>45751</v>
      </c>
      <c r="C7146" t="s">
        <v>16</v>
      </c>
      <c r="D7146" t="s">
        <v>72</v>
      </c>
      <c r="E7146" t="s">
        <v>8</v>
      </c>
      <c r="F7146">
        <v>3</v>
      </c>
      <c r="G7146" t="str">
        <f>VLOOKUP(D7146,Товары!A:I,3,0)</f>
        <v>Тумба с раковиной  напол. Сохо 600 белый 2 ящика с умыв. Океан</v>
      </c>
      <c r="H7146">
        <f>VLOOKUP(D7146,Товары!A:I,6,0)</f>
        <v>85</v>
      </c>
      <c r="I7146" t="str">
        <f>VLOOKUP(C7146,Магазины!A:C,3,0)</f>
        <v>Оренбург</v>
      </c>
      <c r="J7146">
        <f>VLOOKUP(D7146,Товары!A:I,4,0)</f>
        <v>16140</v>
      </c>
      <c r="K7146">
        <f t="shared" si="111"/>
        <v>48420</v>
      </c>
    </row>
    <row r="7147" spans="1:11" hidden="1" x14ac:dyDescent="0.25">
      <c r="A7147">
        <v>7146</v>
      </c>
      <c r="B7147" s="1">
        <v>45754</v>
      </c>
      <c r="C7147" t="s">
        <v>22</v>
      </c>
      <c r="D7147" t="s">
        <v>106</v>
      </c>
      <c r="E7147" t="s">
        <v>8</v>
      </c>
      <c r="F7147">
        <v>2</v>
      </c>
      <c r="G7147" t="str">
        <f>VLOOKUP(D7147,Товары!A:I,3,0)</f>
        <v>Тумба с раковиной  навес. Кристалл 700 шато азур 2 ящика с умыв. Слим</v>
      </c>
      <c r="H7147">
        <f>VLOOKUP(D7147,Товары!A:I,6,0)</f>
        <v>60</v>
      </c>
      <c r="I7147" t="str">
        <f>VLOOKUP(C7147,Магазины!A:C,3,0)</f>
        <v>Кемерово</v>
      </c>
      <c r="J7147">
        <f>VLOOKUP(D7147,Товары!A:I,4,0)</f>
        <v>24150</v>
      </c>
      <c r="K7147">
        <f t="shared" si="111"/>
        <v>48300</v>
      </c>
    </row>
    <row r="7148" spans="1:11" hidden="1" x14ac:dyDescent="0.25">
      <c r="A7148">
        <v>7147</v>
      </c>
      <c r="B7148" s="1">
        <v>45751</v>
      </c>
      <c r="C7148" t="s">
        <v>18</v>
      </c>
      <c r="D7148" t="s">
        <v>113</v>
      </c>
      <c r="E7148" t="s">
        <v>8</v>
      </c>
      <c r="F7148">
        <v>2</v>
      </c>
      <c r="G7148" t="str">
        <f>VLOOKUP(D7148,Товары!A:I,3,0)</f>
        <v>Зеркальный шкаф Альба 60 со светильником правый цвет мята</v>
      </c>
      <c r="H7148">
        <f>VLOOKUP(D7148,Товары!A:I,6,0)</f>
        <v>75</v>
      </c>
      <c r="I7148" t="str">
        <f>VLOOKUP(C7148,Магазины!A:C,3,0)</f>
        <v>Набережные Челны</v>
      </c>
      <c r="J7148">
        <f>VLOOKUP(D7148,Товары!A:I,4,0)</f>
        <v>8910</v>
      </c>
      <c r="K7148">
        <f t="shared" si="111"/>
        <v>17820</v>
      </c>
    </row>
    <row r="7149" spans="1:11" hidden="1" x14ac:dyDescent="0.25">
      <c r="A7149">
        <v>7148</v>
      </c>
      <c r="B7149" s="1">
        <v>45748</v>
      </c>
      <c r="C7149" t="s">
        <v>22</v>
      </c>
      <c r="D7149" t="s">
        <v>85</v>
      </c>
      <c r="E7149" t="s">
        <v>13</v>
      </c>
      <c r="F7149">
        <v>2</v>
      </c>
      <c r="G7149" t="str">
        <f>VLOOKUP(D7149,Товары!A:I,3,0)</f>
        <v>Пенал напол. Аква 450 белый 2 двери + 2 ящика + корзина</v>
      </c>
      <c r="H7149">
        <f>VLOOKUP(D7149,Товары!A:I,6,0)</f>
        <v>190</v>
      </c>
      <c r="I7149" t="str">
        <f>VLOOKUP(C7149,Магазины!A:C,3,0)</f>
        <v>Кемерово</v>
      </c>
      <c r="J7149">
        <f>VLOOKUP(D7149,Товары!A:I,4,0)</f>
        <v>13335</v>
      </c>
      <c r="K7149">
        <f t="shared" si="111"/>
        <v>26670</v>
      </c>
    </row>
    <row r="7150" spans="1:11" hidden="1" x14ac:dyDescent="0.25">
      <c r="A7150">
        <v>7149</v>
      </c>
      <c r="B7150" s="1">
        <v>45756</v>
      </c>
      <c r="C7150" t="s">
        <v>111</v>
      </c>
      <c r="D7150" t="s">
        <v>83</v>
      </c>
      <c r="E7150" t="s">
        <v>8</v>
      </c>
      <c r="F7150">
        <v>1</v>
      </c>
      <c r="G7150" t="str">
        <f>VLOOKUP(D7150,Товары!A:I,3,0)</f>
        <v>Зеркальный шкаф Альба 60 со светильником правый цвет суфле</v>
      </c>
      <c r="H7150">
        <f>VLOOKUP(D7150,Товары!A:I,6,0)</f>
        <v>75</v>
      </c>
      <c r="I7150" t="str">
        <f>VLOOKUP(C7150,Магазины!A:C,3,0)</f>
        <v>Набережные Челны</v>
      </c>
      <c r="J7150">
        <f>VLOOKUP(D7150,Товары!A:I,4,0)</f>
        <v>8910</v>
      </c>
      <c r="K7150">
        <f t="shared" si="111"/>
        <v>8910</v>
      </c>
    </row>
    <row r="7151" spans="1:11" hidden="1" x14ac:dyDescent="0.25">
      <c r="A7151">
        <v>7150</v>
      </c>
      <c r="B7151" s="1">
        <v>45757</v>
      </c>
      <c r="C7151" t="s">
        <v>92</v>
      </c>
      <c r="D7151" t="s">
        <v>56</v>
      </c>
      <c r="E7151" t="s">
        <v>13</v>
      </c>
      <c r="F7151">
        <v>1</v>
      </c>
      <c r="G7151" t="str">
        <f>VLOOKUP(D7151,Товары!A:I,3,0)</f>
        <v>Зеркальный шкаф Альба 80 со светильником правый цвет мята</v>
      </c>
      <c r="H7151">
        <f>VLOOKUP(D7151,Товары!A:I,6,0)</f>
        <v>75</v>
      </c>
      <c r="I7151" t="str">
        <f>VLOOKUP(C7151,Магазины!A:C,3,0)</f>
        <v>Кемерово</v>
      </c>
      <c r="J7151">
        <f>VLOOKUP(D7151,Товары!A:I,4,0)</f>
        <v>9930</v>
      </c>
      <c r="K7151">
        <f t="shared" si="111"/>
        <v>9930</v>
      </c>
    </row>
    <row r="7152" spans="1:11" hidden="1" x14ac:dyDescent="0.25">
      <c r="A7152">
        <v>7151</v>
      </c>
      <c r="B7152" s="1">
        <v>45750</v>
      </c>
      <c r="C7152" t="s">
        <v>9</v>
      </c>
      <c r="D7152" t="s">
        <v>88</v>
      </c>
      <c r="E7152" t="s">
        <v>8</v>
      </c>
      <c r="F7152">
        <v>2</v>
      </c>
      <c r="G7152" t="str">
        <f>VLOOKUP(D7152,Товары!A:I,3,0)</f>
        <v>Тумба с раковиной  навес. Альба 800 антрацит 2 ящика с умыв. Слим</v>
      </c>
      <c r="H7152">
        <f>VLOOKUP(D7152,Товары!A:I,6,0)</f>
        <v>50</v>
      </c>
      <c r="I7152" t="str">
        <f>VLOOKUP(C7152,Магазины!A:C,3,0)</f>
        <v>Кемерово</v>
      </c>
      <c r="J7152">
        <f>VLOOKUP(D7152,Товары!A:I,4,0)</f>
        <v>26070</v>
      </c>
      <c r="K7152">
        <f t="shared" si="111"/>
        <v>52140</v>
      </c>
    </row>
    <row r="7153" spans="1:11" hidden="1" x14ac:dyDescent="0.25">
      <c r="A7153">
        <v>7152</v>
      </c>
      <c r="B7153" s="1">
        <v>45752</v>
      </c>
      <c r="C7153" t="s">
        <v>18</v>
      </c>
      <c r="D7153" t="s">
        <v>86</v>
      </c>
      <c r="E7153" t="s">
        <v>8</v>
      </c>
      <c r="F7153">
        <v>1</v>
      </c>
      <c r="G7153" t="str">
        <f>VLOOKUP(D7153,Товары!A:I,3,0)</f>
        <v>Комод Аква 50 напольный 1 ящик 2 двери белый</v>
      </c>
      <c r="H7153">
        <f>VLOOKUP(D7153,Товары!A:I,6,0)</f>
        <v>90</v>
      </c>
      <c r="I7153" t="str">
        <f>VLOOKUP(C7153,Магазины!A:C,3,0)</f>
        <v>Набережные Челны</v>
      </c>
      <c r="J7153">
        <f>VLOOKUP(D7153,Товары!A:I,4,0)</f>
        <v>7260</v>
      </c>
      <c r="K7153">
        <f t="shared" si="111"/>
        <v>7260</v>
      </c>
    </row>
    <row r="7154" spans="1:11" hidden="1" x14ac:dyDescent="0.25">
      <c r="A7154">
        <v>7153</v>
      </c>
      <c r="B7154" s="1">
        <v>45748</v>
      </c>
      <c r="C7154" t="s">
        <v>54</v>
      </c>
      <c r="D7154" t="s">
        <v>86</v>
      </c>
      <c r="E7154" t="s">
        <v>8</v>
      </c>
      <c r="F7154">
        <v>3</v>
      </c>
      <c r="G7154" t="str">
        <f>VLOOKUP(D7154,Товары!A:I,3,0)</f>
        <v>Комод Аква 50 напольный 1 ящик 2 двери белый</v>
      </c>
      <c r="H7154">
        <f>VLOOKUP(D7154,Товары!A:I,6,0)</f>
        <v>90</v>
      </c>
      <c r="I7154" t="str">
        <f>VLOOKUP(C7154,Магазины!A:C,3,0)</f>
        <v>Ставрополь</v>
      </c>
      <c r="J7154">
        <f>VLOOKUP(D7154,Товары!A:I,4,0)</f>
        <v>7260</v>
      </c>
      <c r="K7154">
        <f t="shared" si="111"/>
        <v>21780</v>
      </c>
    </row>
    <row r="7155" spans="1:11" hidden="1" x14ac:dyDescent="0.25">
      <c r="A7155">
        <v>7154</v>
      </c>
      <c r="B7155" s="1">
        <v>45754</v>
      </c>
      <c r="C7155" t="s">
        <v>22</v>
      </c>
      <c r="D7155" t="s">
        <v>109</v>
      </c>
      <c r="E7155" t="s">
        <v>13</v>
      </c>
      <c r="F7155">
        <v>3</v>
      </c>
      <c r="G7155" t="str">
        <f>VLOOKUP(D7155,Товары!A:I,3,0)</f>
        <v>Тумба с раковиной  навес. Альба 600 антрацит 2 ящика с умыв. Океан</v>
      </c>
      <c r="H7155">
        <f>VLOOKUP(D7155,Товары!A:I,6,0)</f>
        <v>50</v>
      </c>
      <c r="I7155" t="str">
        <f>VLOOKUP(C7155,Магазины!A:C,3,0)</f>
        <v>Кемерово</v>
      </c>
      <c r="J7155">
        <f>VLOOKUP(D7155,Товары!A:I,4,0)</f>
        <v>24810</v>
      </c>
      <c r="K7155">
        <f t="shared" si="111"/>
        <v>74430</v>
      </c>
    </row>
    <row r="7156" spans="1:11" hidden="1" x14ac:dyDescent="0.25">
      <c r="A7156">
        <v>7155</v>
      </c>
      <c r="B7156" s="1">
        <v>45750</v>
      </c>
      <c r="C7156" t="s">
        <v>22</v>
      </c>
      <c r="D7156" t="s">
        <v>36</v>
      </c>
      <c r="E7156" t="s">
        <v>13</v>
      </c>
      <c r="F7156">
        <v>1</v>
      </c>
      <c r="G7156" t="str">
        <f>VLOOKUP(D7156,Товары!A:I,3,0)</f>
        <v>Тумба с раковиной  напол. Альба 800 мята 2 ящика с умыв. Слим</v>
      </c>
      <c r="H7156">
        <f>VLOOKUP(D7156,Товары!A:I,6,0)</f>
        <v>80</v>
      </c>
      <c r="I7156" t="str">
        <f>VLOOKUP(C7156,Магазины!A:C,3,0)</f>
        <v>Кемерово</v>
      </c>
      <c r="J7156">
        <f>VLOOKUP(D7156,Товары!A:I,4,0)</f>
        <v>29340</v>
      </c>
      <c r="K7156">
        <f t="shared" si="111"/>
        <v>29340</v>
      </c>
    </row>
    <row r="7157" spans="1:11" hidden="1" x14ac:dyDescent="0.25">
      <c r="A7157">
        <v>7156</v>
      </c>
      <c r="B7157" s="1">
        <v>45749</v>
      </c>
      <c r="C7157" t="s">
        <v>30</v>
      </c>
      <c r="D7157" t="s">
        <v>46</v>
      </c>
      <c r="E7157" t="s">
        <v>13</v>
      </c>
      <c r="F7157">
        <v>1</v>
      </c>
      <c r="G7157" t="str">
        <f>VLOOKUP(D7157,Товары!A:I,3,0)</f>
        <v>Тумба с раковиной  напол. Сохо 700 белый 2 ящика с умыв. Слим</v>
      </c>
      <c r="H7157">
        <f>VLOOKUP(D7157,Товары!A:I,6,0)</f>
        <v>85</v>
      </c>
      <c r="I7157" t="str">
        <f>VLOOKUP(C7157,Магазины!A:C,3,0)</f>
        <v>Кемерово</v>
      </c>
      <c r="J7157">
        <f>VLOOKUP(D7157,Товары!A:I,4,0)</f>
        <v>18405</v>
      </c>
      <c r="K7157">
        <f t="shared" si="111"/>
        <v>18405</v>
      </c>
    </row>
    <row r="7158" spans="1:11" hidden="1" x14ac:dyDescent="0.25">
      <c r="A7158">
        <v>7157</v>
      </c>
      <c r="B7158" s="1">
        <v>45750</v>
      </c>
      <c r="C7158" t="s">
        <v>16</v>
      </c>
      <c r="D7158" t="s">
        <v>115</v>
      </c>
      <c r="E7158" t="s">
        <v>8</v>
      </c>
      <c r="F7158">
        <v>3</v>
      </c>
      <c r="G7158" t="str">
        <f>VLOOKUP(D7158,Товары!A:I,3,0)</f>
        <v>Тумба под стиральную машину Куба Риф 57 напольная 2 ящика под ст/маш, без умывальника /под Marshall 120 Белый</v>
      </c>
      <c r="H7158">
        <f>VLOOKUP(D7158,Товары!A:I,6,0)</f>
        <v>85</v>
      </c>
      <c r="I7158" t="str">
        <f>VLOOKUP(C7158,Магазины!A:C,3,0)</f>
        <v>Оренбург</v>
      </c>
      <c r="J7158">
        <f>VLOOKUP(D7158,Товары!A:I,4,0)</f>
        <v>10530</v>
      </c>
      <c r="K7158">
        <f t="shared" si="111"/>
        <v>31590</v>
      </c>
    </row>
    <row r="7159" spans="1:11" hidden="1" x14ac:dyDescent="0.25">
      <c r="A7159">
        <v>7158</v>
      </c>
      <c r="B7159" s="1">
        <v>45748</v>
      </c>
      <c r="C7159" t="s">
        <v>28</v>
      </c>
      <c r="D7159" t="s">
        <v>25</v>
      </c>
      <c r="E7159" t="s">
        <v>13</v>
      </c>
      <c r="F7159">
        <v>3</v>
      </c>
      <c r="G7159" t="str">
        <f>VLOOKUP(D7159,Товары!A:I,3,0)</f>
        <v>Пенал напол. Леон 400 оникс 2 двери + 1 ящик</v>
      </c>
      <c r="H7159">
        <f>VLOOKUP(D7159,Товары!A:I,6,0)</f>
        <v>190</v>
      </c>
      <c r="I7159" t="str">
        <f>VLOOKUP(C7159,Магазины!A:C,3,0)</f>
        <v>Набережные Челны</v>
      </c>
      <c r="J7159">
        <f>VLOOKUP(D7159,Товары!A:I,4,0)</f>
        <v>18450</v>
      </c>
      <c r="K7159">
        <f t="shared" si="111"/>
        <v>55350</v>
      </c>
    </row>
    <row r="7160" spans="1:11" hidden="1" x14ac:dyDescent="0.25">
      <c r="A7160">
        <v>7159</v>
      </c>
      <c r="B7160" s="1">
        <v>45753</v>
      </c>
      <c r="C7160" t="s">
        <v>43</v>
      </c>
      <c r="D7160" t="s">
        <v>50</v>
      </c>
      <c r="E7160" t="s">
        <v>8</v>
      </c>
      <c r="F7160">
        <v>3</v>
      </c>
      <c r="G7160" t="str">
        <f>VLOOKUP(D7160,Товары!A:I,3,0)</f>
        <v>Тумба с раковиной  напол. Леон 800 оникс 2 ящика с умыв. Слим</v>
      </c>
      <c r="H7160">
        <f>VLOOKUP(D7160,Товары!A:I,6,0)</f>
        <v>80</v>
      </c>
      <c r="I7160" t="str">
        <f>VLOOKUP(C7160,Магазины!A:C,3,0)</f>
        <v>Набережные Челны</v>
      </c>
      <c r="J7160">
        <f>VLOOKUP(D7160,Товары!A:I,4,0)</f>
        <v>29400</v>
      </c>
      <c r="K7160">
        <f t="shared" si="111"/>
        <v>88200</v>
      </c>
    </row>
    <row r="7161" spans="1:11" hidden="1" x14ac:dyDescent="0.25">
      <c r="A7161">
        <v>7160</v>
      </c>
      <c r="B7161" s="1">
        <v>45753</v>
      </c>
      <c r="C7161" t="s">
        <v>18</v>
      </c>
      <c r="D7161" t="s">
        <v>17</v>
      </c>
      <c r="E7161" t="s">
        <v>8</v>
      </c>
      <c r="F7161">
        <v>3</v>
      </c>
      <c r="G7161" t="str">
        <f>VLOOKUP(D7161,Товары!A:I,3,0)</f>
        <v>Тумба с раковиной  навес. Альба 800 антрацит 1 ящик с умыв. Слим</v>
      </c>
      <c r="H7161">
        <f>VLOOKUP(D7161,Товары!A:I,6,0)</f>
        <v>45</v>
      </c>
      <c r="I7161" t="str">
        <f>VLOOKUP(C7161,Магазины!A:C,3,0)</f>
        <v>Набережные Челны</v>
      </c>
      <c r="J7161">
        <f>VLOOKUP(D7161,Товары!A:I,4,0)</f>
        <v>21630</v>
      </c>
      <c r="K7161">
        <f t="shared" si="111"/>
        <v>64890</v>
      </c>
    </row>
    <row r="7162" spans="1:11" hidden="1" x14ac:dyDescent="0.25">
      <c r="A7162">
        <v>7161</v>
      </c>
      <c r="B7162" s="1">
        <v>45751</v>
      </c>
      <c r="C7162" t="s">
        <v>41</v>
      </c>
      <c r="D7162" t="s">
        <v>64</v>
      </c>
      <c r="E7162" t="s">
        <v>8</v>
      </c>
      <c r="F7162">
        <v>3</v>
      </c>
      <c r="G7162" t="str">
        <f>VLOOKUP(D7162,Товары!A:I,3,0)</f>
        <v>Тумба с раковиной  напол. Рица 800 антрацит 2 ящика с умыв. Слим</v>
      </c>
      <c r="H7162">
        <f>VLOOKUP(D7162,Товары!A:I,6,0)</f>
        <v>80</v>
      </c>
      <c r="I7162" t="str">
        <f>VLOOKUP(C7162,Магазины!A:C,3,0)</f>
        <v>Ставрополь</v>
      </c>
      <c r="J7162">
        <f>VLOOKUP(D7162,Товары!A:I,4,0)</f>
        <v>28980</v>
      </c>
      <c r="K7162">
        <f t="shared" si="111"/>
        <v>86940</v>
      </c>
    </row>
    <row r="7163" spans="1:11" hidden="1" x14ac:dyDescent="0.25">
      <c r="A7163">
        <v>7162</v>
      </c>
      <c r="B7163" s="1">
        <v>45748</v>
      </c>
      <c r="C7163" t="s">
        <v>22</v>
      </c>
      <c r="D7163" t="s">
        <v>77</v>
      </c>
      <c r="E7163" t="s">
        <v>8</v>
      </c>
      <c r="F7163">
        <v>1</v>
      </c>
      <c r="G7163" t="str">
        <f>VLOOKUP(D7163,Товары!A:I,3,0)</f>
        <v>Тумба с раковиной  напол. Куба Риф 600 белый 2 ящика с умыв. Como</v>
      </c>
      <c r="H7163">
        <f>VLOOKUP(D7163,Товары!A:I,6,0)</f>
        <v>85</v>
      </c>
      <c r="I7163" t="str">
        <f>VLOOKUP(C7163,Магазины!A:C,3,0)</f>
        <v>Кемерово</v>
      </c>
      <c r="J7163">
        <f>VLOOKUP(D7163,Товары!A:I,4,0)</f>
        <v>15660</v>
      </c>
      <c r="K7163">
        <f t="shared" si="111"/>
        <v>15660</v>
      </c>
    </row>
    <row r="7164" spans="1:11" hidden="1" x14ac:dyDescent="0.25">
      <c r="A7164">
        <v>7163</v>
      </c>
      <c r="B7164" s="1">
        <v>45750</v>
      </c>
      <c r="C7164" t="s">
        <v>43</v>
      </c>
      <c r="D7164" t="s">
        <v>98</v>
      </c>
      <c r="E7164" t="s">
        <v>8</v>
      </c>
      <c r="F7164">
        <v>3</v>
      </c>
      <c r="G7164" t="str">
        <f>VLOOKUP(D7164,Товары!A:I,3,0)</f>
        <v>Тумба с раковиной  напол. Рица 800 cерый/керамика 2 ящика с умыв. Слим</v>
      </c>
      <c r="H7164">
        <f>VLOOKUP(D7164,Товары!A:I,6,0)</f>
        <v>80</v>
      </c>
      <c r="I7164" t="str">
        <f>VLOOKUP(C7164,Магазины!A:C,3,0)</f>
        <v>Набережные Челны</v>
      </c>
      <c r="J7164">
        <f>VLOOKUP(D7164,Товары!A:I,4,0)</f>
        <v>28980</v>
      </c>
      <c r="K7164">
        <f t="shared" si="111"/>
        <v>86940</v>
      </c>
    </row>
    <row r="7165" spans="1:11" hidden="1" x14ac:dyDescent="0.25">
      <c r="A7165">
        <v>7164</v>
      </c>
      <c r="B7165" s="1">
        <v>45750</v>
      </c>
      <c r="C7165" t="s">
        <v>92</v>
      </c>
      <c r="D7165" t="s">
        <v>83</v>
      </c>
      <c r="E7165" t="s">
        <v>13</v>
      </c>
      <c r="F7165">
        <v>1</v>
      </c>
      <c r="G7165" t="str">
        <f>VLOOKUP(D7165,Товары!A:I,3,0)</f>
        <v>Зеркальный шкаф Альба 60 со светильником правый цвет суфле</v>
      </c>
      <c r="H7165">
        <f>VLOOKUP(D7165,Товары!A:I,6,0)</f>
        <v>75</v>
      </c>
      <c r="I7165" t="str">
        <f>VLOOKUP(C7165,Магазины!A:C,3,0)</f>
        <v>Кемерово</v>
      </c>
      <c r="J7165">
        <f>VLOOKUP(D7165,Товары!A:I,4,0)</f>
        <v>8910</v>
      </c>
      <c r="K7165">
        <f t="shared" si="111"/>
        <v>8910</v>
      </c>
    </row>
    <row r="7166" spans="1:11" hidden="1" x14ac:dyDescent="0.25">
      <c r="A7166">
        <v>7165</v>
      </c>
      <c r="B7166" s="1">
        <v>45748</v>
      </c>
      <c r="C7166" t="s">
        <v>18</v>
      </c>
      <c r="D7166" t="s">
        <v>97</v>
      </c>
      <c r="E7166" t="s">
        <v>8</v>
      </c>
      <c r="F7166">
        <v>2</v>
      </c>
      <c r="G7166" t="str">
        <f>VLOOKUP(D7166,Товары!A:I,3,0)</f>
        <v>Пенал напол. Кристалл 350 суфле 2 двери</v>
      </c>
      <c r="H7166">
        <f>VLOOKUP(D7166,Товары!A:I,6,0)</f>
        <v>190</v>
      </c>
      <c r="I7166" t="str">
        <f>VLOOKUP(C7166,Магазины!A:C,3,0)</f>
        <v>Набережные Челны</v>
      </c>
      <c r="J7166">
        <f>VLOOKUP(D7166,Товары!A:I,4,0)</f>
        <v>15810</v>
      </c>
      <c r="K7166">
        <f t="shared" si="111"/>
        <v>31620</v>
      </c>
    </row>
    <row r="7167" spans="1:11" hidden="1" x14ac:dyDescent="0.25">
      <c r="A7167">
        <v>7166</v>
      </c>
      <c r="B7167" s="1">
        <v>45756</v>
      </c>
      <c r="C7167" t="s">
        <v>6</v>
      </c>
      <c r="D7167" t="s">
        <v>121</v>
      </c>
      <c r="E7167" t="s">
        <v>8</v>
      </c>
      <c r="F7167">
        <v>3</v>
      </c>
      <c r="G7167" t="str">
        <f>VLOOKUP(D7167,Товары!A:I,3,0)</f>
        <v>Тумба с раковиной  напол. Куба Риф 600 белый 2 двери с умыв. Como</v>
      </c>
      <c r="H7167">
        <f>VLOOKUP(D7167,Товары!A:I,6,0)</f>
        <v>85</v>
      </c>
      <c r="I7167" t="str">
        <f>VLOOKUP(C7167,Магазины!A:C,3,0)</f>
        <v>Оренбург</v>
      </c>
      <c r="J7167">
        <f>VLOOKUP(D7167,Товары!A:I,4,0)</f>
        <v>13695</v>
      </c>
      <c r="K7167">
        <f t="shared" si="111"/>
        <v>41085</v>
      </c>
    </row>
    <row r="7168" spans="1:11" hidden="1" x14ac:dyDescent="0.25">
      <c r="A7168">
        <v>7167</v>
      </c>
      <c r="B7168" s="1">
        <v>45752</v>
      </c>
      <c r="C7168" t="s">
        <v>111</v>
      </c>
      <c r="D7168" t="s">
        <v>69</v>
      </c>
      <c r="E7168" t="s">
        <v>8</v>
      </c>
      <c r="F7168">
        <v>3</v>
      </c>
      <c r="G7168" t="str">
        <f>VLOOKUP(D7168,Товары!A:I,3,0)</f>
        <v>Пенал навес./напол. Альба 350 антрацит 2 двери</v>
      </c>
      <c r="H7168">
        <f>VLOOKUP(D7168,Товары!A:I,6,0)</f>
        <v>150</v>
      </c>
      <c r="I7168" t="str">
        <f>VLOOKUP(C7168,Магазины!A:C,3,0)</f>
        <v>Набережные Челны</v>
      </c>
      <c r="J7168">
        <f>VLOOKUP(D7168,Товары!A:I,4,0)</f>
        <v>11655</v>
      </c>
      <c r="K7168">
        <f t="shared" si="111"/>
        <v>34965</v>
      </c>
    </row>
    <row r="7169" spans="1:11" hidden="1" x14ac:dyDescent="0.25">
      <c r="A7169">
        <v>7168</v>
      </c>
      <c r="B7169" s="1">
        <v>45752</v>
      </c>
      <c r="C7169" t="s">
        <v>103</v>
      </c>
      <c r="D7169" t="s">
        <v>52</v>
      </c>
      <c r="E7169" t="s">
        <v>13</v>
      </c>
      <c r="F7169">
        <v>2</v>
      </c>
      <c r="G7169" t="str">
        <f>VLOOKUP(D7169,Товары!A:I,3,0)</f>
        <v>Тумба с раковиной  напол. Кристалл 600 суфле 2 ящика с умыв. Океан</v>
      </c>
      <c r="H7169">
        <f>VLOOKUP(D7169,Товары!A:I,6,0)</f>
        <v>80</v>
      </c>
      <c r="I7169" t="str">
        <f>VLOOKUP(C7169,Магазины!A:C,3,0)</f>
        <v>Ставрополь</v>
      </c>
      <c r="J7169">
        <f>VLOOKUP(D7169,Товары!A:I,4,0)</f>
        <v>27600</v>
      </c>
      <c r="K7169">
        <f t="shared" si="111"/>
        <v>55200</v>
      </c>
    </row>
    <row r="7170" spans="1:11" hidden="1" x14ac:dyDescent="0.25">
      <c r="A7170">
        <v>7169</v>
      </c>
      <c r="B7170" s="1">
        <v>45748</v>
      </c>
      <c r="C7170" t="s">
        <v>63</v>
      </c>
      <c r="D7170" t="s">
        <v>131</v>
      </c>
      <c r="E7170" t="s">
        <v>8</v>
      </c>
      <c r="F7170">
        <v>2</v>
      </c>
      <c r="G7170" t="str">
        <f>VLOOKUP(D7170,Товары!A:I,3,0)</f>
        <v>Тумба с раковиной  напол. Леон 800 форест 2 ящика с умыв. Слим</v>
      </c>
      <c r="H7170">
        <f>VLOOKUP(D7170,Товары!A:I,6,0)</f>
        <v>80</v>
      </c>
      <c r="I7170" t="str">
        <f>VLOOKUP(C7170,Магазины!A:C,3,0)</f>
        <v>Ставрополь</v>
      </c>
      <c r="J7170">
        <f>VLOOKUP(D7170,Товары!A:I,4,0)</f>
        <v>29400</v>
      </c>
      <c r="K7170">
        <f t="shared" si="111"/>
        <v>58800</v>
      </c>
    </row>
    <row r="7171" spans="1:11" hidden="1" x14ac:dyDescent="0.25">
      <c r="A7171">
        <v>7170</v>
      </c>
      <c r="B7171" s="1">
        <v>45752</v>
      </c>
      <c r="C7171" t="s">
        <v>11</v>
      </c>
      <c r="D7171" t="s">
        <v>75</v>
      </c>
      <c r="E7171" t="s">
        <v>8</v>
      </c>
      <c r="F7171">
        <v>3</v>
      </c>
      <c r="G7171" t="str">
        <f>VLOOKUP(D7171,Товары!A:I,3,0)</f>
        <v>Тумба с раковиной  напол. Альба 600 суфле 2 ящика с умыв. Океан</v>
      </c>
      <c r="H7171">
        <f>VLOOKUP(D7171,Товары!A:I,6,0)</f>
        <v>80</v>
      </c>
      <c r="I7171" t="str">
        <f>VLOOKUP(C7171,Магазины!A:C,3,0)</f>
        <v>Кемерово</v>
      </c>
      <c r="J7171">
        <f>VLOOKUP(D7171,Товары!A:I,4,0)</f>
        <v>26370</v>
      </c>
      <c r="K7171">
        <f t="shared" ref="K7171:K7234" si="112">J7171*F7171</f>
        <v>79110</v>
      </c>
    </row>
    <row r="7172" spans="1:11" hidden="1" x14ac:dyDescent="0.25">
      <c r="A7172">
        <v>7171</v>
      </c>
      <c r="B7172" s="1">
        <v>45754</v>
      </c>
      <c r="C7172" t="s">
        <v>63</v>
      </c>
      <c r="D7172" t="s">
        <v>39</v>
      </c>
      <c r="E7172" t="s">
        <v>8</v>
      </c>
      <c r="F7172">
        <v>3</v>
      </c>
      <c r="G7172" t="str">
        <f>VLOOKUP(D7172,Товары!A:I,3,0)</f>
        <v>Тумба с раковиной  напол. Альба 700 мята 2 ящика с умыв. Слим</v>
      </c>
      <c r="H7172">
        <f>VLOOKUP(D7172,Товары!A:I,6,0)</f>
        <v>85</v>
      </c>
      <c r="I7172" t="str">
        <f>VLOOKUP(C7172,Магазины!A:C,3,0)</f>
        <v>Ставрополь</v>
      </c>
      <c r="J7172">
        <f>VLOOKUP(D7172,Товары!A:I,4,0)</f>
        <v>28695</v>
      </c>
      <c r="K7172">
        <f t="shared" si="112"/>
        <v>86085</v>
      </c>
    </row>
    <row r="7173" spans="1:11" hidden="1" x14ac:dyDescent="0.25">
      <c r="A7173">
        <v>7172</v>
      </c>
      <c r="B7173" s="1">
        <v>45752</v>
      </c>
      <c r="C7173" t="s">
        <v>28</v>
      </c>
      <c r="D7173" t="s">
        <v>109</v>
      </c>
      <c r="E7173" t="s">
        <v>8</v>
      </c>
      <c r="F7173">
        <v>1</v>
      </c>
      <c r="G7173" t="str">
        <f>VLOOKUP(D7173,Товары!A:I,3,0)</f>
        <v>Тумба с раковиной  навес. Альба 600 антрацит 2 ящика с умыв. Океан</v>
      </c>
      <c r="H7173">
        <f>VLOOKUP(D7173,Товары!A:I,6,0)</f>
        <v>50</v>
      </c>
      <c r="I7173" t="str">
        <f>VLOOKUP(C7173,Магазины!A:C,3,0)</f>
        <v>Набережные Челны</v>
      </c>
      <c r="J7173">
        <f>VLOOKUP(D7173,Товары!A:I,4,0)</f>
        <v>24810</v>
      </c>
      <c r="K7173">
        <f t="shared" si="112"/>
        <v>24810</v>
      </c>
    </row>
    <row r="7174" spans="1:11" hidden="1" x14ac:dyDescent="0.25">
      <c r="A7174">
        <v>7173</v>
      </c>
      <c r="B7174" s="1">
        <v>45757</v>
      </c>
      <c r="C7174" t="s">
        <v>14</v>
      </c>
      <c r="D7174" t="s">
        <v>7</v>
      </c>
      <c r="E7174" t="s">
        <v>13</v>
      </c>
      <c r="F7174">
        <v>1</v>
      </c>
      <c r="G7174" t="str">
        <f>VLOOKUP(D7174,Товары!A:I,3,0)</f>
        <v>Пенал напол. Леон Риф 400 солярис/белый риф 2 двери + 1 ящик</v>
      </c>
      <c r="H7174">
        <f>VLOOKUP(D7174,Товары!A:I,6,0)</f>
        <v>190</v>
      </c>
      <c r="I7174" t="str">
        <f>VLOOKUP(C7174,Магазины!A:C,3,0)</f>
        <v>Оренбург</v>
      </c>
      <c r="J7174">
        <f>VLOOKUP(D7174,Товары!A:I,4,0)</f>
        <v>14490</v>
      </c>
      <c r="K7174">
        <f t="shared" si="112"/>
        <v>14490</v>
      </c>
    </row>
    <row r="7175" spans="1:11" hidden="1" x14ac:dyDescent="0.25">
      <c r="A7175">
        <v>7174</v>
      </c>
      <c r="B7175" s="1">
        <v>45756</v>
      </c>
      <c r="C7175" t="s">
        <v>11</v>
      </c>
      <c r="D7175" t="s">
        <v>72</v>
      </c>
      <c r="E7175" t="s">
        <v>13</v>
      </c>
      <c r="F7175">
        <v>1</v>
      </c>
      <c r="G7175" t="str">
        <f>VLOOKUP(D7175,Товары!A:I,3,0)</f>
        <v>Тумба с раковиной  напол. Сохо 600 белый 2 ящика с умыв. Океан</v>
      </c>
      <c r="H7175">
        <f>VLOOKUP(D7175,Товары!A:I,6,0)</f>
        <v>85</v>
      </c>
      <c r="I7175" t="str">
        <f>VLOOKUP(C7175,Магазины!A:C,3,0)</f>
        <v>Кемерово</v>
      </c>
      <c r="J7175">
        <f>VLOOKUP(D7175,Товары!A:I,4,0)</f>
        <v>16140</v>
      </c>
      <c r="K7175">
        <f t="shared" si="112"/>
        <v>16140</v>
      </c>
    </row>
    <row r="7176" spans="1:11" hidden="1" x14ac:dyDescent="0.25">
      <c r="A7176">
        <v>7175</v>
      </c>
      <c r="B7176" s="1">
        <v>45751</v>
      </c>
      <c r="C7176" t="s">
        <v>43</v>
      </c>
      <c r="D7176" t="s">
        <v>68</v>
      </c>
      <c r="E7176" t="s">
        <v>13</v>
      </c>
      <c r="F7176">
        <v>3</v>
      </c>
      <c r="G7176" t="str">
        <f>VLOOKUP(D7176,Товары!A:I,3,0)</f>
        <v>Тумба с раковиной  навес. Альба 600 антрацит 1 ящик с умыв. Океан</v>
      </c>
      <c r="H7176">
        <f>VLOOKUP(D7176,Товары!A:I,6,0)</f>
        <v>85</v>
      </c>
      <c r="I7176" t="str">
        <f>VLOOKUP(C7176,Магазины!A:C,3,0)</f>
        <v>Набережные Челны</v>
      </c>
      <c r="J7176">
        <f>VLOOKUP(D7176,Товары!A:I,4,0)</f>
        <v>17625</v>
      </c>
      <c r="K7176">
        <f t="shared" si="112"/>
        <v>52875</v>
      </c>
    </row>
    <row r="7177" spans="1:11" hidden="1" x14ac:dyDescent="0.25">
      <c r="A7177">
        <v>7176</v>
      </c>
      <c r="B7177" s="1">
        <v>45751</v>
      </c>
      <c r="C7177" t="s">
        <v>16</v>
      </c>
      <c r="D7177" t="s">
        <v>42</v>
      </c>
      <c r="E7177" t="s">
        <v>8</v>
      </c>
      <c r="F7177">
        <v>1</v>
      </c>
      <c r="G7177" t="str">
        <f>VLOOKUP(D7177,Товары!A:I,3,0)</f>
        <v>Тумба под стиральную машину Леон Риф 57 подвесная 2 ящика под ст/маш, без умывальника /под Marshall 120 Солярис/Белый Риф</v>
      </c>
      <c r="H7177">
        <f>VLOOKUP(D7177,Товары!A:I,6,0)</f>
        <v>60</v>
      </c>
      <c r="I7177" t="str">
        <f>VLOOKUP(C7177,Магазины!A:C,3,0)</f>
        <v>Оренбург</v>
      </c>
      <c r="J7177">
        <f>VLOOKUP(D7177,Товары!A:I,4,0)</f>
        <v>15495</v>
      </c>
      <c r="K7177">
        <f t="shared" si="112"/>
        <v>15495</v>
      </c>
    </row>
    <row r="7178" spans="1:11" hidden="1" x14ac:dyDescent="0.25">
      <c r="A7178">
        <v>7177</v>
      </c>
      <c r="B7178" s="1">
        <v>45748</v>
      </c>
      <c r="C7178" t="s">
        <v>54</v>
      </c>
      <c r="D7178" t="s">
        <v>97</v>
      </c>
      <c r="E7178" t="s">
        <v>8</v>
      </c>
      <c r="F7178">
        <v>3</v>
      </c>
      <c r="G7178" t="str">
        <f>VLOOKUP(D7178,Товары!A:I,3,0)</f>
        <v>Пенал напол. Кристалл 350 суфле 2 двери</v>
      </c>
      <c r="H7178">
        <f>VLOOKUP(D7178,Товары!A:I,6,0)</f>
        <v>190</v>
      </c>
      <c r="I7178" t="str">
        <f>VLOOKUP(C7178,Магазины!A:C,3,0)</f>
        <v>Ставрополь</v>
      </c>
      <c r="J7178">
        <f>VLOOKUP(D7178,Товары!A:I,4,0)</f>
        <v>15810</v>
      </c>
      <c r="K7178">
        <f t="shared" si="112"/>
        <v>47430</v>
      </c>
    </row>
    <row r="7179" spans="1:11" hidden="1" x14ac:dyDescent="0.25">
      <c r="A7179">
        <v>7178</v>
      </c>
      <c r="B7179" s="1">
        <v>45749</v>
      </c>
      <c r="C7179" t="s">
        <v>63</v>
      </c>
      <c r="D7179" t="s">
        <v>34</v>
      </c>
      <c r="E7179" t="s">
        <v>8</v>
      </c>
      <c r="F7179">
        <v>3</v>
      </c>
      <c r="G7179" t="str">
        <f>VLOOKUP(D7179,Товары!A:I,3,0)</f>
        <v>Тумба с раковиной  навес. Леон 700 форест 2 ящика с умыв. Слим</v>
      </c>
      <c r="H7179">
        <f>VLOOKUP(D7179,Товары!A:I,6,0)</f>
        <v>60</v>
      </c>
      <c r="I7179" t="str">
        <f>VLOOKUP(C7179,Магазины!A:C,3,0)</f>
        <v>Ставрополь</v>
      </c>
      <c r="J7179">
        <f>VLOOKUP(D7179,Товары!A:I,4,0)</f>
        <v>26220</v>
      </c>
      <c r="K7179">
        <f t="shared" si="112"/>
        <v>78660</v>
      </c>
    </row>
    <row r="7180" spans="1:11" hidden="1" x14ac:dyDescent="0.25">
      <c r="A7180">
        <v>7179</v>
      </c>
      <c r="B7180" s="1">
        <v>45757</v>
      </c>
      <c r="C7180" t="s">
        <v>9</v>
      </c>
      <c r="D7180" t="s">
        <v>80</v>
      </c>
      <c r="E7180" t="s">
        <v>8</v>
      </c>
      <c r="F7180">
        <v>1</v>
      </c>
      <c r="G7180" t="str">
        <f>VLOOKUP(D7180,Товары!A:I,3,0)</f>
        <v>Тумба с раковиной  навес. Сохо 600 белый 2 ящика с умыв. Океан</v>
      </c>
      <c r="H7180">
        <f>VLOOKUP(D7180,Товары!A:I,6,0)</f>
        <v>55</v>
      </c>
      <c r="I7180" t="str">
        <f>VLOOKUP(C7180,Магазины!A:C,3,0)</f>
        <v>Кемерово</v>
      </c>
      <c r="J7180">
        <f>VLOOKUP(D7180,Товары!A:I,4,0)</f>
        <v>13950</v>
      </c>
      <c r="K7180">
        <f t="shared" si="112"/>
        <v>13950</v>
      </c>
    </row>
    <row r="7181" spans="1:11" hidden="1" x14ac:dyDescent="0.25">
      <c r="A7181">
        <v>7180</v>
      </c>
      <c r="B7181" s="1">
        <v>45752</v>
      </c>
      <c r="C7181" t="s">
        <v>41</v>
      </c>
      <c r="D7181" t="s">
        <v>119</v>
      </c>
      <c r="E7181" t="s">
        <v>13</v>
      </c>
      <c r="F7181">
        <v>3</v>
      </c>
      <c r="G7181" t="str">
        <f>VLOOKUP(D7181,Товары!A:I,3,0)</f>
        <v>Пенал навес./напол. Рица 350 cерый/керамика 2 двери</v>
      </c>
      <c r="H7181">
        <f>VLOOKUP(D7181,Товары!A:I,6,0)</f>
        <v>160</v>
      </c>
      <c r="I7181" t="str">
        <f>VLOOKUP(C7181,Магазины!A:C,3,0)</f>
        <v>Ставрополь</v>
      </c>
      <c r="J7181">
        <f>VLOOKUP(D7181,Товары!A:I,4,0)</f>
        <v>11250</v>
      </c>
      <c r="K7181">
        <f t="shared" si="112"/>
        <v>33750</v>
      </c>
    </row>
    <row r="7182" spans="1:11" hidden="1" x14ac:dyDescent="0.25">
      <c r="A7182">
        <v>7181</v>
      </c>
      <c r="B7182" s="1">
        <v>45755</v>
      </c>
      <c r="C7182" t="s">
        <v>54</v>
      </c>
      <c r="D7182" t="s">
        <v>116</v>
      </c>
      <c r="E7182" t="s">
        <v>13</v>
      </c>
      <c r="F7182">
        <v>2</v>
      </c>
      <c r="G7182" t="str">
        <f>VLOOKUP(D7182,Товары!A:I,3,0)</f>
        <v>Зеркало Нева 60 дуб/белый со светильником</v>
      </c>
      <c r="H7182">
        <f>VLOOKUP(D7182,Товары!A:I,6,0)</f>
        <v>80</v>
      </c>
      <c r="I7182" t="str">
        <f>VLOOKUP(C7182,Магазины!A:C,3,0)</f>
        <v>Ставрополь</v>
      </c>
      <c r="J7182">
        <f>VLOOKUP(D7182,Товары!A:I,4,0)</f>
        <v>5100</v>
      </c>
      <c r="K7182">
        <f t="shared" si="112"/>
        <v>10200</v>
      </c>
    </row>
    <row r="7183" spans="1:11" hidden="1" x14ac:dyDescent="0.25">
      <c r="A7183">
        <v>7182</v>
      </c>
      <c r="B7183" s="1">
        <v>45754</v>
      </c>
      <c r="C7183" t="s">
        <v>30</v>
      </c>
      <c r="D7183" t="s">
        <v>65</v>
      </c>
      <c r="E7183" t="s">
        <v>8</v>
      </c>
      <c r="F7183">
        <v>1</v>
      </c>
      <c r="G7183" t="str">
        <f>VLOOKUP(D7183,Товары!A:I,3,0)</f>
        <v>Тумба с раковиной  навес. Альба 800 суфле 2 ящика с умыв. Слим</v>
      </c>
      <c r="H7183">
        <f>VLOOKUP(D7183,Товары!A:I,6,0)</f>
        <v>50</v>
      </c>
      <c r="I7183" t="str">
        <f>VLOOKUP(C7183,Магазины!A:C,3,0)</f>
        <v>Кемерово</v>
      </c>
      <c r="J7183">
        <f>VLOOKUP(D7183,Товары!A:I,4,0)</f>
        <v>26070</v>
      </c>
      <c r="K7183">
        <f t="shared" si="112"/>
        <v>26070</v>
      </c>
    </row>
    <row r="7184" spans="1:11" hidden="1" x14ac:dyDescent="0.25">
      <c r="A7184">
        <v>7183</v>
      </c>
      <c r="B7184" s="1">
        <v>45754</v>
      </c>
      <c r="C7184" t="s">
        <v>35</v>
      </c>
      <c r="D7184" t="s">
        <v>131</v>
      </c>
      <c r="E7184" t="s">
        <v>13</v>
      </c>
      <c r="F7184">
        <v>2</v>
      </c>
      <c r="G7184" t="str">
        <f>VLOOKUP(D7184,Товары!A:I,3,0)</f>
        <v>Тумба с раковиной  напол. Леон 800 форест 2 ящика с умыв. Слим</v>
      </c>
      <c r="H7184">
        <f>VLOOKUP(D7184,Товары!A:I,6,0)</f>
        <v>80</v>
      </c>
      <c r="I7184" t="str">
        <f>VLOOKUP(C7184,Магазины!A:C,3,0)</f>
        <v>Набережные Челны</v>
      </c>
      <c r="J7184">
        <f>VLOOKUP(D7184,Товары!A:I,4,0)</f>
        <v>29400</v>
      </c>
      <c r="K7184">
        <f t="shared" si="112"/>
        <v>58800</v>
      </c>
    </row>
    <row r="7185" spans="1:11" hidden="1" x14ac:dyDescent="0.25">
      <c r="A7185">
        <v>7184</v>
      </c>
      <c r="B7185" s="1">
        <v>45749</v>
      </c>
      <c r="C7185" t="s">
        <v>35</v>
      </c>
      <c r="D7185" t="s">
        <v>81</v>
      </c>
      <c r="E7185" t="s">
        <v>13</v>
      </c>
      <c r="F7185">
        <v>1</v>
      </c>
      <c r="G7185" t="str">
        <f>VLOOKUP(D7185,Товары!A:I,3,0)</f>
        <v>Тумба с раковиной  навес. Рица 600 cерый/керамика 1 ящик + ниша 1 с умыв. Океан</v>
      </c>
      <c r="H7185">
        <f>VLOOKUP(D7185,Товары!A:I,6,0)</f>
        <v>60</v>
      </c>
      <c r="I7185" t="str">
        <f>VLOOKUP(C7185,Магазины!A:C,3,0)</f>
        <v>Набережные Челны</v>
      </c>
      <c r="J7185">
        <f>VLOOKUP(D7185,Товары!A:I,4,0)</f>
        <v>18900</v>
      </c>
      <c r="K7185">
        <f t="shared" si="112"/>
        <v>18900</v>
      </c>
    </row>
    <row r="7186" spans="1:11" hidden="1" x14ac:dyDescent="0.25">
      <c r="A7186">
        <v>7185</v>
      </c>
      <c r="B7186" s="1">
        <v>45748</v>
      </c>
      <c r="C7186" t="s">
        <v>103</v>
      </c>
      <c r="D7186" t="s">
        <v>122</v>
      </c>
      <c r="E7186" t="s">
        <v>13</v>
      </c>
      <c r="F7186">
        <v>2</v>
      </c>
      <c r="G7186" t="str">
        <f>VLOOKUP(D7186,Товары!A:I,3,0)</f>
        <v>Тумба с раковиной  навес. Кристалл 600 шато азур 2 ящика с умыв. Океан</v>
      </c>
      <c r="H7186">
        <f>VLOOKUP(D7186,Товары!A:I,6,0)</f>
        <v>55</v>
      </c>
      <c r="I7186" t="str">
        <f>VLOOKUP(C7186,Магазины!A:C,3,0)</f>
        <v>Ставрополь</v>
      </c>
      <c r="J7186">
        <f>VLOOKUP(D7186,Товары!A:I,4,0)</f>
        <v>21960</v>
      </c>
      <c r="K7186">
        <f t="shared" si="112"/>
        <v>43920</v>
      </c>
    </row>
    <row r="7187" spans="1:11" hidden="1" x14ac:dyDescent="0.25">
      <c r="A7187">
        <v>7186</v>
      </c>
      <c r="B7187" s="1">
        <v>45748</v>
      </c>
      <c r="C7187" t="s">
        <v>48</v>
      </c>
      <c r="D7187" t="s">
        <v>97</v>
      </c>
      <c r="E7187" t="s">
        <v>8</v>
      </c>
      <c r="F7187">
        <v>1</v>
      </c>
      <c r="G7187" t="str">
        <f>VLOOKUP(D7187,Товары!A:I,3,0)</f>
        <v>Пенал напол. Кристалл 350 суфле 2 двери</v>
      </c>
      <c r="H7187">
        <f>VLOOKUP(D7187,Товары!A:I,6,0)</f>
        <v>190</v>
      </c>
      <c r="I7187" t="str">
        <f>VLOOKUP(C7187,Магазины!A:C,3,0)</f>
        <v>Ставрополь</v>
      </c>
      <c r="J7187">
        <f>VLOOKUP(D7187,Товары!A:I,4,0)</f>
        <v>15810</v>
      </c>
      <c r="K7187">
        <f t="shared" si="112"/>
        <v>15810</v>
      </c>
    </row>
    <row r="7188" spans="1:11" hidden="1" x14ac:dyDescent="0.25">
      <c r="A7188">
        <v>7187</v>
      </c>
      <c r="B7188" s="1">
        <v>45750</v>
      </c>
      <c r="C7188" t="s">
        <v>11</v>
      </c>
      <c r="D7188" t="s">
        <v>130</v>
      </c>
      <c r="E7188" t="s">
        <v>8</v>
      </c>
      <c r="F7188">
        <v>3</v>
      </c>
      <c r="G7188" t="str">
        <f>VLOOKUP(D7188,Товары!A:I,3,0)</f>
        <v>Пенал напол. Леон 400 форест 2 двери + 1 ящик</v>
      </c>
      <c r="H7188">
        <f>VLOOKUP(D7188,Товары!A:I,6,0)</f>
        <v>190</v>
      </c>
      <c r="I7188" t="str">
        <f>VLOOKUP(C7188,Магазины!A:C,3,0)</f>
        <v>Кемерово</v>
      </c>
      <c r="J7188">
        <f>VLOOKUP(D7188,Товары!A:I,4,0)</f>
        <v>18450</v>
      </c>
      <c r="K7188">
        <f t="shared" si="112"/>
        <v>55350</v>
      </c>
    </row>
    <row r="7189" spans="1:11" hidden="1" x14ac:dyDescent="0.25">
      <c r="A7189">
        <v>7188</v>
      </c>
      <c r="B7189" s="1">
        <v>45752</v>
      </c>
      <c r="C7189" t="s">
        <v>28</v>
      </c>
      <c r="D7189" t="s">
        <v>115</v>
      </c>
      <c r="E7189" t="s">
        <v>13</v>
      </c>
      <c r="F7189">
        <v>2</v>
      </c>
      <c r="G7189" t="str">
        <f>VLOOKUP(D7189,Товары!A:I,3,0)</f>
        <v>Тумба под стиральную машину Куба Риф 57 напольная 2 ящика под ст/маш, без умывальника /под Marshall 120 Белый</v>
      </c>
      <c r="H7189">
        <f>VLOOKUP(D7189,Товары!A:I,6,0)</f>
        <v>85</v>
      </c>
      <c r="I7189" t="str">
        <f>VLOOKUP(C7189,Магазины!A:C,3,0)</f>
        <v>Набережные Челны</v>
      </c>
      <c r="J7189">
        <f>VLOOKUP(D7189,Товары!A:I,4,0)</f>
        <v>10530</v>
      </c>
      <c r="K7189">
        <f t="shared" si="112"/>
        <v>21060</v>
      </c>
    </row>
    <row r="7190" spans="1:11" hidden="1" x14ac:dyDescent="0.25">
      <c r="A7190">
        <v>7189</v>
      </c>
      <c r="B7190" s="1">
        <v>45753</v>
      </c>
      <c r="C7190" t="s">
        <v>18</v>
      </c>
      <c r="D7190" t="s">
        <v>122</v>
      </c>
      <c r="E7190" t="s">
        <v>13</v>
      </c>
      <c r="F7190">
        <v>2</v>
      </c>
      <c r="G7190" t="str">
        <f>VLOOKUP(D7190,Товары!A:I,3,0)</f>
        <v>Тумба с раковиной  навес. Кристалл 600 шато азур 2 ящика с умыв. Океан</v>
      </c>
      <c r="H7190">
        <f>VLOOKUP(D7190,Товары!A:I,6,0)</f>
        <v>55</v>
      </c>
      <c r="I7190" t="str">
        <f>VLOOKUP(C7190,Магазины!A:C,3,0)</f>
        <v>Набережные Челны</v>
      </c>
      <c r="J7190">
        <f>VLOOKUP(D7190,Товары!A:I,4,0)</f>
        <v>21960</v>
      </c>
      <c r="K7190">
        <f t="shared" si="112"/>
        <v>43920</v>
      </c>
    </row>
    <row r="7191" spans="1:11" hidden="1" x14ac:dyDescent="0.25">
      <c r="A7191">
        <v>7190</v>
      </c>
      <c r="B7191" s="1">
        <v>45757</v>
      </c>
      <c r="C7191" t="s">
        <v>26</v>
      </c>
      <c r="D7191" t="s">
        <v>49</v>
      </c>
      <c r="E7191" t="s">
        <v>8</v>
      </c>
      <c r="F7191">
        <v>2</v>
      </c>
      <c r="G7191" t="str">
        <f>VLOOKUP(D7191,Товары!A:I,3,0)</f>
        <v>Тумба с раковиной  напол. Леон 700 оникс 2 ящика с умыв. Слим</v>
      </c>
      <c r="H7191">
        <f>VLOOKUP(D7191,Товары!A:I,6,0)</f>
        <v>80</v>
      </c>
      <c r="I7191" t="str">
        <f>VLOOKUP(C7191,Магазины!A:C,3,0)</f>
        <v>Оренбург</v>
      </c>
      <c r="J7191">
        <f>VLOOKUP(D7191,Товары!A:I,4,0)</f>
        <v>28380</v>
      </c>
      <c r="K7191">
        <f t="shared" si="112"/>
        <v>56760</v>
      </c>
    </row>
    <row r="7192" spans="1:11" hidden="1" x14ac:dyDescent="0.25">
      <c r="A7192">
        <v>7191</v>
      </c>
      <c r="B7192" s="1">
        <v>45753</v>
      </c>
      <c r="C7192" t="s">
        <v>14</v>
      </c>
      <c r="D7192" t="s">
        <v>64</v>
      </c>
      <c r="E7192" t="s">
        <v>13</v>
      </c>
      <c r="F7192">
        <v>1</v>
      </c>
      <c r="G7192" t="str">
        <f>VLOOKUP(D7192,Товары!A:I,3,0)</f>
        <v>Тумба с раковиной  напол. Рица 800 антрацит 2 ящика с умыв. Слим</v>
      </c>
      <c r="H7192">
        <f>VLOOKUP(D7192,Товары!A:I,6,0)</f>
        <v>80</v>
      </c>
      <c r="I7192" t="str">
        <f>VLOOKUP(C7192,Магазины!A:C,3,0)</f>
        <v>Оренбург</v>
      </c>
      <c r="J7192">
        <f>VLOOKUP(D7192,Товары!A:I,4,0)</f>
        <v>28980</v>
      </c>
      <c r="K7192">
        <f t="shared" si="112"/>
        <v>28980</v>
      </c>
    </row>
    <row r="7193" spans="1:11" hidden="1" x14ac:dyDescent="0.25">
      <c r="A7193">
        <v>7192</v>
      </c>
      <c r="B7193" s="1">
        <v>45756</v>
      </c>
      <c r="C7193" t="s">
        <v>22</v>
      </c>
      <c r="D7193" t="s">
        <v>52</v>
      </c>
      <c r="E7193" t="s">
        <v>13</v>
      </c>
      <c r="F7193">
        <v>3</v>
      </c>
      <c r="G7193" t="str">
        <f>VLOOKUP(D7193,Товары!A:I,3,0)</f>
        <v>Тумба с раковиной  напол. Кристалл 600 суфле 2 ящика с умыв. Океан</v>
      </c>
      <c r="H7193">
        <f>VLOOKUP(D7193,Товары!A:I,6,0)</f>
        <v>80</v>
      </c>
      <c r="I7193" t="str">
        <f>VLOOKUP(C7193,Магазины!A:C,3,0)</f>
        <v>Кемерово</v>
      </c>
      <c r="J7193">
        <f>VLOOKUP(D7193,Товары!A:I,4,0)</f>
        <v>27600</v>
      </c>
      <c r="K7193">
        <f t="shared" si="112"/>
        <v>82800</v>
      </c>
    </row>
    <row r="7194" spans="1:11" hidden="1" x14ac:dyDescent="0.25">
      <c r="A7194">
        <v>7193</v>
      </c>
      <c r="B7194" s="1">
        <v>45754</v>
      </c>
      <c r="C7194" t="s">
        <v>48</v>
      </c>
      <c r="D7194" t="s">
        <v>39</v>
      </c>
      <c r="E7194" t="s">
        <v>13</v>
      </c>
      <c r="F7194">
        <v>1</v>
      </c>
      <c r="G7194" t="str">
        <f>VLOOKUP(D7194,Товары!A:I,3,0)</f>
        <v>Тумба с раковиной  напол. Альба 700 мята 2 ящика с умыв. Слим</v>
      </c>
      <c r="H7194">
        <f>VLOOKUP(D7194,Товары!A:I,6,0)</f>
        <v>85</v>
      </c>
      <c r="I7194" t="str">
        <f>VLOOKUP(C7194,Магазины!A:C,3,0)</f>
        <v>Ставрополь</v>
      </c>
      <c r="J7194">
        <f>VLOOKUP(D7194,Товары!A:I,4,0)</f>
        <v>28695</v>
      </c>
      <c r="K7194">
        <f t="shared" si="112"/>
        <v>28695</v>
      </c>
    </row>
    <row r="7195" spans="1:11" hidden="1" x14ac:dyDescent="0.25">
      <c r="A7195">
        <v>7194</v>
      </c>
      <c r="B7195" s="1">
        <v>45757</v>
      </c>
      <c r="C7195" t="s">
        <v>41</v>
      </c>
      <c r="D7195" t="s">
        <v>130</v>
      </c>
      <c r="E7195" t="s">
        <v>13</v>
      </c>
      <c r="F7195">
        <v>3</v>
      </c>
      <c r="G7195" t="str">
        <f>VLOOKUP(D7195,Товары!A:I,3,0)</f>
        <v>Пенал напол. Леон 400 форест 2 двери + 1 ящик</v>
      </c>
      <c r="H7195">
        <f>VLOOKUP(D7195,Товары!A:I,6,0)</f>
        <v>190</v>
      </c>
      <c r="I7195" t="str">
        <f>VLOOKUP(C7195,Магазины!A:C,3,0)</f>
        <v>Ставрополь</v>
      </c>
      <c r="J7195">
        <f>VLOOKUP(D7195,Товары!A:I,4,0)</f>
        <v>18450</v>
      </c>
      <c r="K7195">
        <f t="shared" si="112"/>
        <v>55350</v>
      </c>
    </row>
    <row r="7196" spans="1:11" hidden="1" x14ac:dyDescent="0.25">
      <c r="A7196">
        <v>7195</v>
      </c>
      <c r="B7196" s="1">
        <v>45754</v>
      </c>
      <c r="C7196" t="s">
        <v>20</v>
      </c>
      <c r="D7196" t="s">
        <v>96</v>
      </c>
      <c r="E7196" t="s">
        <v>8</v>
      </c>
      <c r="F7196">
        <v>1</v>
      </c>
      <c r="G7196" t="str">
        <f>VLOOKUP(D7196,Товары!A:I,3,0)</f>
        <v>Тумба с раковиной  навес. Альба 600 мята 1 ящик с умыв. Океан</v>
      </c>
      <c r="H7196">
        <f>VLOOKUP(D7196,Товары!A:I,6,0)</f>
        <v>85</v>
      </c>
      <c r="I7196" t="str">
        <f>VLOOKUP(C7196,Магазины!A:C,3,0)</f>
        <v>Оренбург</v>
      </c>
      <c r="J7196">
        <f>VLOOKUP(D7196,Товары!A:I,4,0)</f>
        <v>17625</v>
      </c>
      <c r="K7196">
        <f t="shared" si="112"/>
        <v>17625</v>
      </c>
    </row>
    <row r="7197" spans="1:11" hidden="1" x14ac:dyDescent="0.25">
      <c r="A7197">
        <v>7196</v>
      </c>
      <c r="B7197" s="1">
        <v>45749</v>
      </c>
      <c r="C7197" t="s">
        <v>54</v>
      </c>
      <c r="D7197" t="s">
        <v>100</v>
      </c>
      <c r="E7197" t="s">
        <v>8</v>
      </c>
      <c r="F7197">
        <v>2</v>
      </c>
      <c r="G7197" t="str">
        <f>VLOOKUP(D7197,Товары!A:I,3,0)</f>
        <v>Тумба с раковиной  навес. Альба 800 мята 1 ящик с умыв. Слим</v>
      </c>
      <c r="H7197">
        <f>VLOOKUP(D7197,Товары!A:I,6,0)</f>
        <v>45</v>
      </c>
      <c r="I7197" t="str">
        <f>VLOOKUP(C7197,Магазины!A:C,3,0)</f>
        <v>Ставрополь</v>
      </c>
      <c r="J7197">
        <f>VLOOKUP(D7197,Товары!A:I,4,0)</f>
        <v>21630</v>
      </c>
      <c r="K7197">
        <f t="shared" si="112"/>
        <v>43260</v>
      </c>
    </row>
    <row r="7198" spans="1:11" hidden="1" x14ac:dyDescent="0.25">
      <c r="A7198">
        <v>7197</v>
      </c>
      <c r="B7198" s="1">
        <v>45748</v>
      </c>
      <c r="C7198" t="s">
        <v>43</v>
      </c>
      <c r="D7198" t="s">
        <v>68</v>
      </c>
      <c r="E7198" t="s">
        <v>13</v>
      </c>
      <c r="F7198">
        <v>1</v>
      </c>
      <c r="G7198" t="str">
        <f>VLOOKUP(D7198,Товары!A:I,3,0)</f>
        <v>Тумба с раковиной  навес. Альба 600 антрацит 1 ящик с умыв. Океан</v>
      </c>
      <c r="H7198">
        <f>VLOOKUP(D7198,Товары!A:I,6,0)</f>
        <v>85</v>
      </c>
      <c r="I7198" t="str">
        <f>VLOOKUP(C7198,Магазины!A:C,3,0)</f>
        <v>Набережные Челны</v>
      </c>
      <c r="J7198">
        <f>VLOOKUP(D7198,Товары!A:I,4,0)</f>
        <v>17625</v>
      </c>
      <c r="K7198">
        <f t="shared" si="112"/>
        <v>17625</v>
      </c>
    </row>
    <row r="7199" spans="1:11" hidden="1" x14ac:dyDescent="0.25">
      <c r="A7199">
        <v>7198</v>
      </c>
      <c r="B7199" s="1">
        <v>45755</v>
      </c>
      <c r="C7199" t="s">
        <v>63</v>
      </c>
      <c r="D7199" t="s">
        <v>46</v>
      </c>
      <c r="E7199" t="s">
        <v>8</v>
      </c>
      <c r="F7199">
        <v>2</v>
      </c>
      <c r="G7199" t="str">
        <f>VLOOKUP(D7199,Товары!A:I,3,0)</f>
        <v>Тумба с раковиной  напол. Сохо 700 белый 2 ящика с умыв. Слим</v>
      </c>
      <c r="H7199">
        <f>VLOOKUP(D7199,Товары!A:I,6,0)</f>
        <v>85</v>
      </c>
      <c r="I7199" t="str">
        <f>VLOOKUP(C7199,Магазины!A:C,3,0)</f>
        <v>Ставрополь</v>
      </c>
      <c r="J7199">
        <f>VLOOKUP(D7199,Товары!A:I,4,0)</f>
        <v>18405</v>
      </c>
      <c r="K7199">
        <f t="shared" si="112"/>
        <v>36810</v>
      </c>
    </row>
    <row r="7200" spans="1:11" hidden="1" x14ac:dyDescent="0.25">
      <c r="A7200">
        <v>7199</v>
      </c>
      <c r="B7200" s="1">
        <v>45752</v>
      </c>
      <c r="C7200" t="s">
        <v>20</v>
      </c>
      <c r="D7200" t="s">
        <v>119</v>
      </c>
      <c r="E7200" t="s">
        <v>13</v>
      </c>
      <c r="F7200">
        <v>3</v>
      </c>
      <c r="G7200" t="str">
        <f>VLOOKUP(D7200,Товары!A:I,3,0)</f>
        <v>Пенал навес./напол. Рица 350 cерый/керамика 2 двери</v>
      </c>
      <c r="H7200">
        <f>VLOOKUP(D7200,Товары!A:I,6,0)</f>
        <v>160</v>
      </c>
      <c r="I7200" t="str">
        <f>VLOOKUP(C7200,Магазины!A:C,3,0)</f>
        <v>Оренбург</v>
      </c>
      <c r="J7200">
        <f>VLOOKUP(D7200,Товары!A:I,4,0)</f>
        <v>11250</v>
      </c>
      <c r="K7200">
        <f t="shared" si="112"/>
        <v>33750</v>
      </c>
    </row>
    <row r="7201" spans="1:11" hidden="1" x14ac:dyDescent="0.25">
      <c r="A7201">
        <v>7200</v>
      </c>
      <c r="B7201" s="1">
        <v>45756</v>
      </c>
      <c r="C7201" t="s">
        <v>63</v>
      </c>
      <c r="D7201" t="s">
        <v>29</v>
      </c>
      <c r="E7201" t="s">
        <v>13</v>
      </c>
      <c r="F7201">
        <v>2</v>
      </c>
      <c r="G7201" t="str">
        <f>VLOOKUP(D7201,Товары!A:I,3,0)</f>
        <v>Тумба с раковиной  напол. Леон Риф 600 солярис/белый риф 2 ящика с умыв. Океан</v>
      </c>
      <c r="H7201">
        <f>VLOOKUP(D7201,Товары!A:I,6,0)</f>
        <v>80</v>
      </c>
      <c r="I7201" t="str">
        <f>VLOOKUP(C7201,Магазины!A:C,3,0)</f>
        <v>Ставрополь</v>
      </c>
      <c r="J7201">
        <f>VLOOKUP(D7201,Товары!A:I,4,0)</f>
        <v>24150</v>
      </c>
      <c r="K7201">
        <f t="shared" si="112"/>
        <v>48300</v>
      </c>
    </row>
    <row r="7202" spans="1:11" hidden="1" x14ac:dyDescent="0.25">
      <c r="A7202">
        <v>7201</v>
      </c>
      <c r="B7202" s="1">
        <v>45756</v>
      </c>
      <c r="C7202" t="s">
        <v>30</v>
      </c>
      <c r="D7202" t="s">
        <v>29</v>
      </c>
      <c r="E7202" t="s">
        <v>8</v>
      </c>
      <c r="F7202">
        <v>1</v>
      </c>
      <c r="G7202" t="str">
        <f>VLOOKUP(D7202,Товары!A:I,3,0)</f>
        <v>Тумба с раковиной  напол. Леон Риф 600 солярис/белый риф 2 ящика с умыв. Океан</v>
      </c>
      <c r="H7202">
        <f>VLOOKUP(D7202,Товары!A:I,6,0)</f>
        <v>80</v>
      </c>
      <c r="I7202" t="str">
        <f>VLOOKUP(C7202,Магазины!A:C,3,0)</f>
        <v>Кемерово</v>
      </c>
      <c r="J7202">
        <f>VLOOKUP(D7202,Товары!A:I,4,0)</f>
        <v>24150</v>
      </c>
      <c r="K7202">
        <f t="shared" si="112"/>
        <v>24150</v>
      </c>
    </row>
    <row r="7203" spans="1:11" hidden="1" x14ac:dyDescent="0.25">
      <c r="A7203">
        <v>7202</v>
      </c>
      <c r="B7203" s="1">
        <v>45748</v>
      </c>
      <c r="C7203" t="s">
        <v>41</v>
      </c>
      <c r="D7203" t="s">
        <v>66</v>
      </c>
      <c r="E7203" t="s">
        <v>13</v>
      </c>
      <c r="F7203">
        <v>1</v>
      </c>
      <c r="G7203" t="str">
        <f>VLOOKUP(D7203,Товары!A:I,3,0)</f>
        <v>Тумба с раковиной  навес. Альба 800 мята 2 ящика с умыв. Слим</v>
      </c>
      <c r="H7203">
        <f>VLOOKUP(D7203,Товары!A:I,6,0)</f>
        <v>50</v>
      </c>
      <c r="I7203" t="str">
        <f>VLOOKUP(C7203,Магазины!A:C,3,0)</f>
        <v>Ставрополь</v>
      </c>
      <c r="J7203">
        <f>VLOOKUP(D7203,Товары!A:I,4,0)</f>
        <v>26070</v>
      </c>
      <c r="K7203">
        <f t="shared" si="112"/>
        <v>26070</v>
      </c>
    </row>
    <row r="7204" spans="1:11" hidden="1" x14ac:dyDescent="0.25">
      <c r="A7204">
        <v>7203</v>
      </c>
      <c r="B7204" s="1">
        <v>45753</v>
      </c>
      <c r="C7204" t="s">
        <v>9</v>
      </c>
      <c r="D7204" t="s">
        <v>39</v>
      </c>
      <c r="E7204" t="s">
        <v>8</v>
      </c>
      <c r="F7204">
        <v>1</v>
      </c>
      <c r="G7204" t="str">
        <f>VLOOKUP(D7204,Товары!A:I,3,0)</f>
        <v>Тумба с раковиной  напол. Альба 700 мята 2 ящика с умыв. Слим</v>
      </c>
      <c r="H7204">
        <f>VLOOKUP(D7204,Товары!A:I,6,0)</f>
        <v>85</v>
      </c>
      <c r="I7204" t="str">
        <f>VLOOKUP(C7204,Магазины!A:C,3,0)</f>
        <v>Кемерово</v>
      </c>
      <c r="J7204">
        <f>VLOOKUP(D7204,Товары!A:I,4,0)</f>
        <v>28695</v>
      </c>
      <c r="K7204">
        <f t="shared" si="112"/>
        <v>28695</v>
      </c>
    </row>
    <row r="7205" spans="1:11" hidden="1" x14ac:dyDescent="0.25">
      <c r="A7205">
        <v>7204</v>
      </c>
      <c r="B7205" s="1">
        <v>45757</v>
      </c>
      <c r="C7205" t="s">
        <v>92</v>
      </c>
      <c r="D7205" t="s">
        <v>90</v>
      </c>
      <c r="E7205" t="s">
        <v>8</v>
      </c>
      <c r="F7205">
        <v>1</v>
      </c>
      <c r="G7205" t="str">
        <f>VLOOKUP(D7205,Товары!A:I,3,0)</f>
        <v>Пенал напол. Аква 350 белый 2 двери + 2 ящика</v>
      </c>
      <c r="H7205">
        <f>VLOOKUP(D7205,Товары!A:I,6,0)</f>
        <v>190</v>
      </c>
      <c r="I7205" t="str">
        <f>VLOOKUP(C7205,Магазины!A:C,3,0)</f>
        <v>Кемерово</v>
      </c>
      <c r="J7205">
        <f>VLOOKUP(D7205,Товары!A:I,4,0)</f>
        <v>10650</v>
      </c>
      <c r="K7205">
        <f t="shared" si="112"/>
        <v>10650</v>
      </c>
    </row>
    <row r="7206" spans="1:11" hidden="1" x14ac:dyDescent="0.25">
      <c r="A7206">
        <v>7205</v>
      </c>
      <c r="B7206" s="1">
        <v>45755</v>
      </c>
      <c r="C7206" t="s">
        <v>33</v>
      </c>
      <c r="D7206" t="s">
        <v>82</v>
      </c>
      <c r="E7206" t="s">
        <v>8</v>
      </c>
      <c r="F7206">
        <v>3</v>
      </c>
      <c r="G7206" t="str">
        <f>VLOOKUP(D7206,Товары!A:I,3,0)</f>
        <v>Тумба с раковиной  навес. Леон 800 форест 2 ящика с умыв. Слим</v>
      </c>
      <c r="H7206">
        <f>VLOOKUP(D7206,Товары!A:I,6,0)</f>
        <v>60</v>
      </c>
      <c r="I7206" t="str">
        <f>VLOOKUP(C7206,Магазины!A:C,3,0)</f>
        <v>Набережные Челны</v>
      </c>
      <c r="J7206">
        <f>VLOOKUP(D7206,Товары!A:I,4,0)</f>
        <v>27930</v>
      </c>
      <c r="K7206">
        <f t="shared" si="112"/>
        <v>83790</v>
      </c>
    </row>
    <row r="7207" spans="1:11" hidden="1" x14ac:dyDescent="0.25">
      <c r="A7207">
        <v>7206</v>
      </c>
      <c r="B7207" s="1">
        <v>45756</v>
      </c>
      <c r="C7207" t="s">
        <v>48</v>
      </c>
      <c r="D7207" t="s">
        <v>34</v>
      </c>
      <c r="E7207" t="s">
        <v>13</v>
      </c>
      <c r="F7207">
        <v>1</v>
      </c>
      <c r="G7207" t="str">
        <f>VLOOKUP(D7207,Товары!A:I,3,0)</f>
        <v>Тумба с раковиной  навес. Леон 700 форест 2 ящика с умыв. Слим</v>
      </c>
      <c r="H7207">
        <f>VLOOKUP(D7207,Товары!A:I,6,0)</f>
        <v>60</v>
      </c>
      <c r="I7207" t="str">
        <f>VLOOKUP(C7207,Магазины!A:C,3,0)</f>
        <v>Ставрополь</v>
      </c>
      <c r="J7207">
        <f>VLOOKUP(D7207,Товары!A:I,4,0)</f>
        <v>26220</v>
      </c>
      <c r="K7207">
        <f t="shared" si="112"/>
        <v>26220</v>
      </c>
    </row>
    <row r="7208" spans="1:11" hidden="1" x14ac:dyDescent="0.25">
      <c r="A7208">
        <v>7207</v>
      </c>
      <c r="B7208" s="1">
        <v>45748</v>
      </c>
      <c r="C7208" t="s">
        <v>35</v>
      </c>
      <c r="D7208" t="s">
        <v>130</v>
      </c>
      <c r="E7208" t="s">
        <v>8</v>
      </c>
      <c r="F7208">
        <v>3</v>
      </c>
      <c r="G7208" t="str">
        <f>VLOOKUP(D7208,Товары!A:I,3,0)</f>
        <v>Пенал напол. Леон 400 форест 2 двери + 1 ящик</v>
      </c>
      <c r="H7208">
        <f>VLOOKUP(D7208,Товары!A:I,6,0)</f>
        <v>190</v>
      </c>
      <c r="I7208" t="str">
        <f>VLOOKUP(C7208,Магазины!A:C,3,0)</f>
        <v>Набережные Челны</v>
      </c>
      <c r="J7208">
        <f>VLOOKUP(D7208,Товары!A:I,4,0)</f>
        <v>18450</v>
      </c>
      <c r="K7208">
        <f t="shared" si="112"/>
        <v>55350</v>
      </c>
    </row>
    <row r="7209" spans="1:11" hidden="1" x14ac:dyDescent="0.25">
      <c r="A7209">
        <v>7208</v>
      </c>
      <c r="B7209" s="1">
        <v>45751</v>
      </c>
      <c r="C7209" t="s">
        <v>92</v>
      </c>
      <c r="D7209" t="s">
        <v>42</v>
      </c>
      <c r="E7209" t="s">
        <v>13</v>
      </c>
      <c r="F7209">
        <v>2</v>
      </c>
      <c r="G7209" t="str">
        <f>VLOOKUP(D7209,Товары!A:I,3,0)</f>
        <v>Тумба под стиральную машину Леон Риф 57 подвесная 2 ящика под ст/маш, без умывальника /под Marshall 120 Солярис/Белый Риф</v>
      </c>
      <c r="H7209">
        <f>VLOOKUP(D7209,Товары!A:I,6,0)</f>
        <v>60</v>
      </c>
      <c r="I7209" t="str">
        <f>VLOOKUP(C7209,Магазины!A:C,3,0)</f>
        <v>Кемерово</v>
      </c>
      <c r="J7209">
        <f>VLOOKUP(D7209,Товары!A:I,4,0)</f>
        <v>15495</v>
      </c>
      <c r="K7209">
        <f t="shared" si="112"/>
        <v>30990</v>
      </c>
    </row>
    <row r="7210" spans="1:11" hidden="1" x14ac:dyDescent="0.25">
      <c r="A7210">
        <v>7209</v>
      </c>
      <c r="B7210" s="1">
        <v>45750</v>
      </c>
      <c r="C7210" t="s">
        <v>111</v>
      </c>
      <c r="D7210" t="s">
        <v>130</v>
      </c>
      <c r="E7210" t="s">
        <v>13</v>
      </c>
      <c r="F7210">
        <v>3</v>
      </c>
      <c r="G7210" t="str">
        <f>VLOOKUP(D7210,Товары!A:I,3,0)</f>
        <v>Пенал напол. Леон 400 форест 2 двери + 1 ящик</v>
      </c>
      <c r="H7210">
        <f>VLOOKUP(D7210,Товары!A:I,6,0)</f>
        <v>190</v>
      </c>
      <c r="I7210" t="str">
        <f>VLOOKUP(C7210,Магазины!A:C,3,0)</f>
        <v>Набережные Челны</v>
      </c>
      <c r="J7210">
        <f>VLOOKUP(D7210,Товары!A:I,4,0)</f>
        <v>18450</v>
      </c>
      <c r="K7210">
        <f t="shared" si="112"/>
        <v>55350</v>
      </c>
    </row>
    <row r="7211" spans="1:11" hidden="1" x14ac:dyDescent="0.25">
      <c r="A7211">
        <v>7210</v>
      </c>
      <c r="B7211" s="1">
        <v>45751</v>
      </c>
      <c r="C7211" t="s">
        <v>22</v>
      </c>
      <c r="D7211" t="s">
        <v>94</v>
      </c>
      <c r="E7211" t="s">
        <v>13</v>
      </c>
      <c r="F7211">
        <v>3</v>
      </c>
      <c r="G7211" t="str">
        <f>VLOOKUP(D7211,Товары!A:I,3,0)</f>
        <v>Зеркальный шкаф Альба 80 со светильником правый цвет антрацит</v>
      </c>
      <c r="H7211">
        <f>VLOOKUP(D7211,Товары!A:I,6,0)</f>
        <v>75</v>
      </c>
      <c r="I7211" t="str">
        <f>VLOOKUP(C7211,Магазины!A:C,3,0)</f>
        <v>Кемерово</v>
      </c>
      <c r="J7211">
        <f>VLOOKUP(D7211,Товары!A:I,4,0)</f>
        <v>9930</v>
      </c>
      <c r="K7211">
        <f t="shared" si="112"/>
        <v>29790</v>
      </c>
    </row>
    <row r="7212" spans="1:11" hidden="1" x14ac:dyDescent="0.25">
      <c r="A7212">
        <v>7211</v>
      </c>
      <c r="B7212" s="1">
        <v>45753</v>
      </c>
      <c r="C7212" t="s">
        <v>18</v>
      </c>
      <c r="D7212" t="s">
        <v>71</v>
      </c>
      <c r="E7212" t="s">
        <v>13</v>
      </c>
      <c r="F7212">
        <v>1</v>
      </c>
      <c r="G7212" t="str">
        <f>VLOOKUP(D7212,Товары!A:I,3,0)</f>
        <v>Тумба с раковиной  навес. Альба 600 мята 2 ящика с умыв. Океан</v>
      </c>
      <c r="H7212">
        <f>VLOOKUP(D7212,Товары!A:I,6,0)</f>
        <v>50</v>
      </c>
      <c r="I7212" t="str">
        <f>VLOOKUP(C7212,Магазины!A:C,3,0)</f>
        <v>Набережные Челны</v>
      </c>
      <c r="J7212">
        <f>VLOOKUP(D7212,Товары!A:I,4,0)</f>
        <v>24810</v>
      </c>
      <c r="K7212">
        <f t="shared" si="112"/>
        <v>24810</v>
      </c>
    </row>
    <row r="7213" spans="1:11" hidden="1" x14ac:dyDescent="0.25">
      <c r="A7213">
        <v>7212</v>
      </c>
      <c r="B7213" s="1">
        <v>45756</v>
      </c>
      <c r="C7213" t="s">
        <v>26</v>
      </c>
      <c r="D7213" t="s">
        <v>104</v>
      </c>
      <c r="E7213" t="s">
        <v>13</v>
      </c>
      <c r="F7213">
        <v>1</v>
      </c>
      <c r="G7213" t="str">
        <f>VLOOKUP(D7213,Товары!A:I,3,0)</f>
        <v>Тумба под стиральную машину Куба Риф 57 подвесная 2 ящика под ст/маш, без умывальника /под Marshall 120 Белый</v>
      </c>
      <c r="H7213">
        <f>VLOOKUP(D7213,Товары!A:I,6,0)</f>
        <v>50</v>
      </c>
      <c r="I7213" t="str">
        <f>VLOOKUP(C7213,Магазины!A:C,3,0)</f>
        <v>Оренбург</v>
      </c>
      <c r="J7213">
        <f>VLOOKUP(D7213,Товары!A:I,4,0)</f>
        <v>8505</v>
      </c>
      <c r="K7213">
        <f t="shared" si="112"/>
        <v>8505</v>
      </c>
    </row>
    <row r="7214" spans="1:11" hidden="1" x14ac:dyDescent="0.25">
      <c r="A7214">
        <v>7213</v>
      </c>
      <c r="B7214" s="1">
        <v>45757</v>
      </c>
      <c r="C7214" t="s">
        <v>33</v>
      </c>
      <c r="D7214" t="s">
        <v>90</v>
      </c>
      <c r="E7214" t="s">
        <v>13</v>
      </c>
      <c r="F7214">
        <v>2</v>
      </c>
      <c r="G7214" t="str">
        <f>VLOOKUP(D7214,Товары!A:I,3,0)</f>
        <v>Пенал напол. Аква 350 белый 2 двери + 2 ящика</v>
      </c>
      <c r="H7214">
        <f>VLOOKUP(D7214,Товары!A:I,6,0)</f>
        <v>190</v>
      </c>
      <c r="I7214" t="str">
        <f>VLOOKUP(C7214,Магазины!A:C,3,0)</f>
        <v>Набережные Челны</v>
      </c>
      <c r="J7214">
        <f>VLOOKUP(D7214,Товары!A:I,4,0)</f>
        <v>10650</v>
      </c>
      <c r="K7214">
        <f t="shared" si="112"/>
        <v>21300</v>
      </c>
    </row>
    <row r="7215" spans="1:11" hidden="1" x14ac:dyDescent="0.25">
      <c r="A7215">
        <v>7214</v>
      </c>
      <c r="B7215" s="1">
        <v>45757</v>
      </c>
      <c r="C7215" t="s">
        <v>63</v>
      </c>
      <c r="D7215" t="s">
        <v>110</v>
      </c>
      <c r="E7215" t="s">
        <v>8</v>
      </c>
      <c r="F7215">
        <v>3</v>
      </c>
      <c r="G7215" t="str">
        <f>VLOOKUP(D7215,Товары!A:I,3,0)</f>
        <v>Тумба с раковиной  напол. Альба 600 антрацит 2 ящика с умыв. Океан</v>
      </c>
      <c r="H7215">
        <f>VLOOKUP(D7215,Товары!A:I,6,0)</f>
        <v>80</v>
      </c>
      <c r="I7215" t="str">
        <f>VLOOKUP(C7215,Магазины!A:C,3,0)</f>
        <v>Ставрополь</v>
      </c>
      <c r="J7215">
        <f>VLOOKUP(D7215,Товары!A:I,4,0)</f>
        <v>26370</v>
      </c>
      <c r="K7215">
        <f t="shared" si="112"/>
        <v>79110</v>
      </c>
    </row>
    <row r="7216" spans="1:11" hidden="1" x14ac:dyDescent="0.25">
      <c r="A7216">
        <v>7215</v>
      </c>
      <c r="B7216" s="1">
        <v>45748</v>
      </c>
      <c r="C7216" t="s">
        <v>14</v>
      </c>
      <c r="D7216" t="s">
        <v>87</v>
      </c>
      <c r="E7216" t="s">
        <v>13</v>
      </c>
      <c r="F7216">
        <v>2</v>
      </c>
      <c r="G7216" t="str">
        <f>VLOOKUP(D7216,Товары!A:I,3,0)</f>
        <v>Тумба с раковиной  напол. Леон 700 форест 2 ящика с умыв. Слим</v>
      </c>
      <c r="H7216">
        <f>VLOOKUP(D7216,Товары!A:I,6,0)</f>
        <v>80</v>
      </c>
      <c r="I7216" t="str">
        <f>VLOOKUP(C7216,Магазины!A:C,3,0)</f>
        <v>Оренбург</v>
      </c>
      <c r="J7216">
        <f>VLOOKUP(D7216,Товары!A:I,4,0)</f>
        <v>28380</v>
      </c>
      <c r="K7216">
        <f t="shared" si="112"/>
        <v>56760</v>
      </c>
    </row>
    <row r="7217" spans="1:11" hidden="1" x14ac:dyDescent="0.25">
      <c r="A7217">
        <v>7216</v>
      </c>
      <c r="B7217" s="1">
        <v>45753</v>
      </c>
      <c r="C7217" t="s">
        <v>30</v>
      </c>
      <c r="D7217" t="s">
        <v>65</v>
      </c>
      <c r="E7217" t="s">
        <v>8</v>
      </c>
      <c r="F7217">
        <v>1</v>
      </c>
      <c r="G7217" t="str">
        <f>VLOOKUP(D7217,Товары!A:I,3,0)</f>
        <v>Тумба с раковиной  навес. Альба 800 суфле 2 ящика с умыв. Слим</v>
      </c>
      <c r="H7217">
        <f>VLOOKUP(D7217,Товары!A:I,6,0)</f>
        <v>50</v>
      </c>
      <c r="I7217" t="str">
        <f>VLOOKUP(C7217,Магазины!A:C,3,0)</f>
        <v>Кемерово</v>
      </c>
      <c r="J7217">
        <f>VLOOKUP(D7217,Товары!A:I,4,0)</f>
        <v>26070</v>
      </c>
      <c r="K7217">
        <f t="shared" si="112"/>
        <v>26070</v>
      </c>
    </row>
    <row r="7218" spans="1:11" hidden="1" x14ac:dyDescent="0.25">
      <c r="A7218">
        <v>7217</v>
      </c>
      <c r="B7218" s="1">
        <v>45750</v>
      </c>
      <c r="C7218" t="s">
        <v>43</v>
      </c>
      <c r="D7218" t="s">
        <v>73</v>
      </c>
      <c r="E7218" t="s">
        <v>8</v>
      </c>
      <c r="F7218">
        <v>3</v>
      </c>
      <c r="G7218" t="str">
        <f>VLOOKUP(D7218,Товары!A:I,3,0)</f>
        <v>Зеркальный шкаф Альба 70 со светильником правый цвет антрацит</v>
      </c>
      <c r="H7218">
        <f>VLOOKUP(D7218,Товары!A:I,6,0)</f>
        <v>75</v>
      </c>
      <c r="I7218" t="str">
        <f>VLOOKUP(C7218,Магазины!A:C,3,0)</f>
        <v>Набережные Челны</v>
      </c>
      <c r="J7218">
        <f>VLOOKUP(D7218,Товары!A:I,4,0)</f>
        <v>9615</v>
      </c>
      <c r="K7218">
        <f t="shared" si="112"/>
        <v>28845</v>
      </c>
    </row>
    <row r="7219" spans="1:11" hidden="1" x14ac:dyDescent="0.25">
      <c r="A7219">
        <v>7218</v>
      </c>
      <c r="B7219" s="1">
        <v>45756</v>
      </c>
      <c r="C7219" t="s">
        <v>35</v>
      </c>
      <c r="D7219" t="s">
        <v>107</v>
      </c>
      <c r="E7219" t="s">
        <v>13</v>
      </c>
      <c r="F7219">
        <v>1</v>
      </c>
      <c r="G7219" t="str">
        <f>VLOOKUP(D7219,Товары!A:I,3,0)</f>
        <v>Комод Аква 35 напольный 1 дверь белый правый</v>
      </c>
      <c r="H7219">
        <f>VLOOKUP(D7219,Товары!A:I,6,0)</f>
        <v>90</v>
      </c>
      <c r="I7219" t="str">
        <f>VLOOKUP(C7219,Магазины!A:C,3,0)</f>
        <v>Набережные Челны</v>
      </c>
      <c r="J7219">
        <f>VLOOKUP(D7219,Товары!A:I,4,0)</f>
        <v>6705</v>
      </c>
      <c r="K7219">
        <f t="shared" si="112"/>
        <v>6705</v>
      </c>
    </row>
    <row r="7220" spans="1:11" hidden="1" x14ac:dyDescent="0.25">
      <c r="A7220">
        <v>7219</v>
      </c>
      <c r="B7220" s="1">
        <v>45755</v>
      </c>
      <c r="C7220" t="s">
        <v>16</v>
      </c>
      <c r="D7220" t="s">
        <v>124</v>
      </c>
      <c r="E7220" t="s">
        <v>13</v>
      </c>
      <c r="F7220">
        <v>1</v>
      </c>
      <c r="G7220" t="str">
        <f>VLOOKUP(D7220,Товары!A:I,3,0)</f>
        <v>Тумба с раковиной  напол. Леон 600 оникс 2 ящика с умыв. Океан</v>
      </c>
      <c r="H7220">
        <f>VLOOKUP(D7220,Товары!A:I,6,0)</f>
        <v>80</v>
      </c>
      <c r="I7220" t="str">
        <f>VLOOKUP(C7220,Магазины!A:C,3,0)</f>
        <v>Оренбург</v>
      </c>
      <c r="J7220">
        <f>VLOOKUP(D7220,Товары!A:I,4,0)</f>
        <v>25860</v>
      </c>
      <c r="K7220">
        <f t="shared" si="112"/>
        <v>25860</v>
      </c>
    </row>
    <row r="7221" spans="1:11" hidden="1" x14ac:dyDescent="0.25">
      <c r="A7221">
        <v>7220</v>
      </c>
      <c r="B7221" s="1">
        <v>45749</v>
      </c>
      <c r="C7221" t="s">
        <v>92</v>
      </c>
      <c r="D7221" t="s">
        <v>12</v>
      </c>
      <c r="E7221" t="s">
        <v>13</v>
      </c>
      <c r="F7221">
        <v>3</v>
      </c>
      <c r="G7221" t="str">
        <f>VLOOKUP(D7221,Товары!A:I,3,0)</f>
        <v>Тумба с раковиной  напол. Сохо 700 белый 2 двери с умыв. Слим</v>
      </c>
      <c r="H7221">
        <f>VLOOKUP(D7221,Товары!A:I,6,0)</f>
        <v>85</v>
      </c>
      <c r="I7221" t="str">
        <f>VLOOKUP(C7221,Магазины!A:C,3,0)</f>
        <v>Кемерово</v>
      </c>
      <c r="J7221">
        <f>VLOOKUP(D7221,Товары!A:I,4,0)</f>
        <v>17160</v>
      </c>
      <c r="K7221">
        <f t="shared" si="112"/>
        <v>51480</v>
      </c>
    </row>
    <row r="7222" spans="1:11" hidden="1" x14ac:dyDescent="0.25">
      <c r="A7222">
        <v>7221</v>
      </c>
      <c r="B7222" s="1">
        <v>45748</v>
      </c>
      <c r="C7222" t="s">
        <v>54</v>
      </c>
      <c r="D7222" t="s">
        <v>62</v>
      </c>
      <c r="E7222" t="s">
        <v>8</v>
      </c>
      <c r="F7222">
        <v>1</v>
      </c>
      <c r="G7222" t="str">
        <f>VLOOKUP(D7222,Товары!A:I,3,0)</f>
        <v>Тумба с раковиной  напол. Альба 600 мята 2 ящика с умыв. Океан</v>
      </c>
      <c r="H7222">
        <f>VLOOKUP(D7222,Товары!A:I,6,0)</f>
        <v>80</v>
      </c>
      <c r="I7222" t="str">
        <f>VLOOKUP(C7222,Магазины!A:C,3,0)</f>
        <v>Ставрополь</v>
      </c>
      <c r="J7222">
        <f>VLOOKUP(D7222,Товары!A:I,4,0)</f>
        <v>26370</v>
      </c>
      <c r="K7222">
        <f t="shared" si="112"/>
        <v>26370</v>
      </c>
    </row>
    <row r="7223" spans="1:11" hidden="1" x14ac:dyDescent="0.25">
      <c r="A7223">
        <v>7222</v>
      </c>
      <c r="B7223" s="1">
        <v>45748</v>
      </c>
      <c r="C7223" t="s">
        <v>35</v>
      </c>
      <c r="D7223" t="s">
        <v>74</v>
      </c>
      <c r="E7223" t="s">
        <v>13</v>
      </c>
      <c r="F7223">
        <v>3</v>
      </c>
      <c r="G7223" t="str">
        <f>VLOOKUP(D7223,Товары!A:I,3,0)</f>
        <v>Тумба с раковиной  напол. Альба 800 суфле 2 ящика с умыв. Слим</v>
      </c>
      <c r="H7223">
        <f>VLOOKUP(D7223,Товары!A:I,6,0)</f>
        <v>80</v>
      </c>
      <c r="I7223" t="str">
        <f>VLOOKUP(C7223,Магазины!A:C,3,0)</f>
        <v>Набережные Челны</v>
      </c>
      <c r="J7223">
        <f>VLOOKUP(D7223,Товары!A:I,4,0)</f>
        <v>29340</v>
      </c>
      <c r="K7223">
        <f t="shared" si="112"/>
        <v>88020</v>
      </c>
    </row>
    <row r="7224" spans="1:11" hidden="1" x14ac:dyDescent="0.25">
      <c r="A7224">
        <v>7223</v>
      </c>
      <c r="B7224" s="1">
        <v>45748</v>
      </c>
      <c r="C7224" t="s">
        <v>48</v>
      </c>
      <c r="D7224" t="s">
        <v>50</v>
      </c>
      <c r="E7224" t="s">
        <v>13</v>
      </c>
      <c r="F7224">
        <v>3</v>
      </c>
      <c r="G7224" t="str">
        <f>VLOOKUP(D7224,Товары!A:I,3,0)</f>
        <v>Тумба с раковиной  напол. Леон 800 оникс 2 ящика с умыв. Слим</v>
      </c>
      <c r="H7224">
        <f>VLOOKUP(D7224,Товары!A:I,6,0)</f>
        <v>80</v>
      </c>
      <c r="I7224" t="str">
        <f>VLOOKUP(C7224,Магазины!A:C,3,0)</f>
        <v>Ставрополь</v>
      </c>
      <c r="J7224">
        <f>VLOOKUP(D7224,Товары!A:I,4,0)</f>
        <v>29400</v>
      </c>
      <c r="K7224">
        <f t="shared" si="112"/>
        <v>88200</v>
      </c>
    </row>
    <row r="7225" spans="1:11" hidden="1" x14ac:dyDescent="0.25">
      <c r="A7225">
        <v>7224</v>
      </c>
      <c r="B7225" s="1">
        <v>45750</v>
      </c>
      <c r="C7225" t="s">
        <v>48</v>
      </c>
      <c r="D7225" t="s">
        <v>115</v>
      </c>
      <c r="E7225" t="s">
        <v>8</v>
      </c>
      <c r="F7225">
        <v>1</v>
      </c>
      <c r="G7225" t="str">
        <f>VLOOKUP(D7225,Товары!A:I,3,0)</f>
        <v>Тумба под стиральную машину Куба Риф 57 напольная 2 ящика под ст/маш, без умывальника /под Marshall 120 Белый</v>
      </c>
      <c r="H7225">
        <f>VLOOKUP(D7225,Товары!A:I,6,0)</f>
        <v>85</v>
      </c>
      <c r="I7225" t="str">
        <f>VLOOKUP(C7225,Магазины!A:C,3,0)</f>
        <v>Ставрополь</v>
      </c>
      <c r="J7225">
        <f>VLOOKUP(D7225,Товары!A:I,4,0)</f>
        <v>10530</v>
      </c>
      <c r="K7225">
        <f t="shared" si="112"/>
        <v>10530</v>
      </c>
    </row>
    <row r="7226" spans="1:11" hidden="1" x14ac:dyDescent="0.25">
      <c r="A7226">
        <v>7225</v>
      </c>
      <c r="B7226" s="1">
        <v>45751</v>
      </c>
      <c r="C7226" t="s">
        <v>58</v>
      </c>
      <c r="D7226" t="s">
        <v>112</v>
      </c>
      <c r="E7226" t="s">
        <v>8</v>
      </c>
      <c r="F7226">
        <v>3</v>
      </c>
      <c r="G7226" t="str">
        <f>VLOOKUP(D7226,Товары!A:I,3,0)</f>
        <v>Тумба с раковиной  напол. Аква 560 белый 2 двери с умыв. Уют</v>
      </c>
      <c r="H7226">
        <f>VLOOKUP(D7226,Товары!A:I,6,0)</f>
        <v>85</v>
      </c>
      <c r="I7226" t="str">
        <f>VLOOKUP(C7226,Магазины!A:C,3,0)</f>
        <v>Ставрополь</v>
      </c>
      <c r="J7226">
        <f>VLOOKUP(D7226,Товары!A:I,4,0)</f>
        <v>9330</v>
      </c>
      <c r="K7226">
        <f t="shared" si="112"/>
        <v>27990</v>
      </c>
    </row>
    <row r="7227" spans="1:11" hidden="1" x14ac:dyDescent="0.25">
      <c r="A7227">
        <v>7226</v>
      </c>
      <c r="B7227" s="1">
        <v>45752</v>
      </c>
      <c r="C7227" t="s">
        <v>103</v>
      </c>
      <c r="D7227" t="s">
        <v>130</v>
      </c>
      <c r="E7227" t="s">
        <v>8</v>
      </c>
      <c r="F7227">
        <v>2</v>
      </c>
      <c r="G7227" t="str">
        <f>VLOOKUP(D7227,Товары!A:I,3,0)</f>
        <v>Пенал напол. Леон 400 форест 2 двери + 1 ящик</v>
      </c>
      <c r="H7227">
        <f>VLOOKUP(D7227,Товары!A:I,6,0)</f>
        <v>190</v>
      </c>
      <c r="I7227" t="str">
        <f>VLOOKUP(C7227,Магазины!A:C,3,0)</f>
        <v>Ставрополь</v>
      </c>
      <c r="J7227">
        <f>VLOOKUP(D7227,Товары!A:I,4,0)</f>
        <v>18450</v>
      </c>
      <c r="K7227">
        <f t="shared" si="112"/>
        <v>36900</v>
      </c>
    </row>
    <row r="7228" spans="1:11" hidden="1" x14ac:dyDescent="0.25">
      <c r="A7228">
        <v>7227</v>
      </c>
      <c r="B7228" s="1">
        <v>45756</v>
      </c>
      <c r="C7228" t="s">
        <v>111</v>
      </c>
      <c r="D7228" t="s">
        <v>121</v>
      </c>
      <c r="E7228" t="s">
        <v>13</v>
      </c>
      <c r="F7228">
        <v>1</v>
      </c>
      <c r="G7228" t="str">
        <f>VLOOKUP(D7228,Товары!A:I,3,0)</f>
        <v>Тумба с раковиной  напол. Куба Риф 600 белый 2 двери с умыв. Como</v>
      </c>
      <c r="H7228">
        <f>VLOOKUP(D7228,Товары!A:I,6,0)</f>
        <v>85</v>
      </c>
      <c r="I7228" t="str">
        <f>VLOOKUP(C7228,Магазины!A:C,3,0)</f>
        <v>Набережные Челны</v>
      </c>
      <c r="J7228">
        <f>VLOOKUP(D7228,Товары!A:I,4,0)</f>
        <v>13695</v>
      </c>
      <c r="K7228">
        <f t="shared" si="112"/>
        <v>13695</v>
      </c>
    </row>
    <row r="7229" spans="1:11" hidden="1" x14ac:dyDescent="0.25">
      <c r="A7229">
        <v>7228</v>
      </c>
      <c r="B7229" s="1">
        <v>45748</v>
      </c>
      <c r="C7229" t="s">
        <v>57</v>
      </c>
      <c r="D7229" t="s">
        <v>36</v>
      </c>
      <c r="E7229" t="s">
        <v>8</v>
      </c>
      <c r="F7229">
        <v>2</v>
      </c>
      <c r="G7229" t="str">
        <f>VLOOKUP(D7229,Товары!A:I,3,0)</f>
        <v>Тумба с раковиной  напол. Альба 800 мята 2 ящика с умыв. Слим</v>
      </c>
      <c r="H7229">
        <f>VLOOKUP(D7229,Товары!A:I,6,0)</f>
        <v>80</v>
      </c>
      <c r="I7229" t="str">
        <f>VLOOKUP(C7229,Магазины!A:C,3,0)</f>
        <v>Оренбург</v>
      </c>
      <c r="J7229">
        <f>VLOOKUP(D7229,Товары!A:I,4,0)</f>
        <v>29340</v>
      </c>
      <c r="K7229">
        <f t="shared" si="112"/>
        <v>58680</v>
      </c>
    </row>
    <row r="7230" spans="1:11" hidden="1" x14ac:dyDescent="0.25">
      <c r="A7230">
        <v>7229</v>
      </c>
      <c r="B7230" s="1">
        <v>45749</v>
      </c>
      <c r="C7230" t="s">
        <v>6</v>
      </c>
      <c r="D7230" t="s">
        <v>120</v>
      </c>
      <c r="E7230" t="s">
        <v>8</v>
      </c>
      <c r="F7230">
        <v>1</v>
      </c>
      <c r="G7230" t="str">
        <f>VLOOKUP(D7230,Товары!A:I,3,0)</f>
        <v>Зеркальный шкаф Альба 60 со светильником правый цвет антрацит</v>
      </c>
      <c r="H7230">
        <f>VLOOKUP(D7230,Товары!A:I,6,0)</f>
        <v>75</v>
      </c>
      <c r="I7230" t="str">
        <f>VLOOKUP(C7230,Магазины!A:C,3,0)</f>
        <v>Оренбург</v>
      </c>
      <c r="J7230">
        <f>VLOOKUP(D7230,Товары!A:I,4,0)</f>
        <v>8910</v>
      </c>
      <c r="K7230">
        <f t="shared" si="112"/>
        <v>8910</v>
      </c>
    </row>
    <row r="7231" spans="1:11" hidden="1" x14ac:dyDescent="0.25">
      <c r="A7231">
        <v>7230</v>
      </c>
      <c r="B7231" s="1">
        <v>45752</v>
      </c>
      <c r="C7231" t="s">
        <v>14</v>
      </c>
      <c r="D7231" t="s">
        <v>76</v>
      </c>
      <c r="E7231" t="s">
        <v>8</v>
      </c>
      <c r="F7231">
        <v>3</v>
      </c>
      <c r="G7231" t="str">
        <f>VLOOKUP(D7231,Товары!A:I,3,0)</f>
        <v>Тумба с раковиной  напол. Леон 600 оникс 2 ящика с умыв. Слим</v>
      </c>
      <c r="H7231">
        <f>VLOOKUP(D7231,Товары!A:I,6,0)</f>
        <v>80</v>
      </c>
      <c r="I7231" t="str">
        <f>VLOOKUP(C7231,Магазины!A:C,3,0)</f>
        <v>Оренбург</v>
      </c>
      <c r="J7231">
        <f>VLOOKUP(D7231,Товары!A:I,4,0)</f>
        <v>25860</v>
      </c>
      <c r="K7231">
        <f t="shared" si="112"/>
        <v>77580</v>
      </c>
    </row>
    <row r="7232" spans="1:11" hidden="1" x14ac:dyDescent="0.25">
      <c r="A7232">
        <v>7231</v>
      </c>
      <c r="B7232" s="1">
        <v>45755</v>
      </c>
      <c r="C7232" t="s">
        <v>30</v>
      </c>
      <c r="D7232" t="s">
        <v>60</v>
      </c>
      <c r="E7232" t="s">
        <v>13</v>
      </c>
      <c r="F7232">
        <v>2</v>
      </c>
      <c r="G7232" t="str">
        <f>VLOOKUP(D7232,Товары!A:I,3,0)</f>
        <v>Пенал навес. Куба Риф 350 белый 2 двери</v>
      </c>
      <c r="H7232">
        <f>VLOOKUP(D7232,Товары!A:I,6,0)</f>
        <v>150</v>
      </c>
      <c r="I7232" t="str">
        <f>VLOOKUP(C7232,Магазины!A:C,3,0)</f>
        <v>Кемерово</v>
      </c>
      <c r="J7232">
        <f>VLOOKUP(D7232,Товары!A:I,4,0)</f>
        <v>9720</v>
      </c>
      <c r="K7232">
        <f t="shared" si="112"/>
        <v>19440</v>
      </c>
    </row>
    <row r="7233" spans="1:11" hidden="1" x14ac:dyDescent="0.25">
      <c r="A7233">
        <v>7232</v>
      </c>
      <c r="B7233" s="1">
        <v>45750</v>
      </c>
      <c r="C7233" t="s">
        <v>26</v>
      </c>
      <c r="D7233" t="s">
        <v>38</v>
      </c>
      <c r="E7233" t="s">
        <v>13</v>
      </c>
      <c r="F7233">
        <v>3</v>
      </c>
      <c r="G7233" t="str">
        <f>VLOOKUP(D7233,Товары!A:I,3,0)</f>
        <v>Тумба с раковиной  навес. Куба Риф 600 белый 2 ящика с умыв. Como</v>
      </c>
      <c r="H7233">
        <f>VLOOKUP(D7233,Товары!A:I,6,0)</f>
        <v>55</v>
      </c>
      <c r="I7233" t="str">
        <f>VLOOKUP(C7233,Магазины!A:C,3,0)</f>
        <v>Оренбург</v>
      </c>
      <c r="J7233">
        <f>VLOOKUP(D7233,Товары!A:I,4,0)</f>
        <v>14265</v>
      </c>
      <c r="K7233">
        <f t="shared" si="112"/>
        <v>42795</v>
      </c>
    </row>
    <row r="7234" spans="1:11" hidden="1" x14ac:dyDescent="0.25">
      <c r="A7234">
        <v>7233</v>
      </c>
      <c r="B7234" s="1">
        <v>45757</v>
      </c>
      <c r="C7234" t="s">
        <v>26</v>
      </c>
      <c r="D7234" t="s">
        <v>66</v>
      </c>
      <c r="E7234" t="s">
        <v>13</v>
      </c>
      <c r="F7234">
        <v>1</v>
      </c>
      <c r="G7234" t="str">
        <f>VLOOKUP(D7234,Товары!A:I,3,0)</f>
        <v>Тумба с раковиной  навес. Альба 800 мята 2 ящика с умыв. Слим</v>
      </c>
      <c r="H7234">
        <f>VLOOKUP(D7234,Товары!A:I,6,0)</f>
        <v>50</v>
      </c>
      <c r="I7234" t="str">
        <f>VLOOKUP(C7234,Магазины!A:C,3,0)</f>
        <v>Оренбург</v>
      </c>
      <c r="J7234">
        <f>VLOOKUP(D7234,Товары!A:I,4,0)</f>
        <v>26070</v>
      </c>
      <c r="K7234">
        <f t="shared" si="112"/>
        <v>26070</v>
      </c>
    </row>
    <row r="7235" spans="1:11" hidden="1" x14ac:dyDescent="0.25">
      <c r="A7235">
        <v>7234</v>
      </c>
      <c r="B7235" s="1">
        <v>45755</v>
      </c>
      <c r="C7235" t="s">
        <v>103</v>
      </c>
      <c r="D7235" t="s">
        <v>129</v>
      </c>
      <c r="E7235" t="s">
        <v>13</v>
      </c>
      <c r="F7235">
        <v>1</v>
      </c>
      <c r="G7235" t="str">
        <f>VLOOKUP(D7235,Товары!A:I,3,0)</f>
        <v>Тумба с раковиной  напол. Альба 700 антрацит 2 ящика с умыв. Слим</v>
      </c>
      <c r="H7235">
        <f>VLOOKUP(D7235,Товары!A:I,6,0)</f>
        <v>85</v>
      </c>
      <c r="I7235" t="str">
        <f>VLOOKUP(C7235,Магазины!A:C,3,0)</f>
        <v>Ставрополь</v>
      </c>
      <c r="J7235">
        <f>VLOOKUP(D7235,Товары!A:I,4,0)</f>
        <v>28695</v>
      </c>
      <c r="K7235">
        <f t="shared" ref="K7235:K7298" si="113">J7235*F7235</f>
        <v>28695</v>
      </c>
    </row>
    <row r="7236" spans="1:11" hidden="1" x14ac:dyDescent="0.25">
      <c r="A7236">
        <v>7235</v>
      </c>
      <c r="B7236" s="1">
        <v>45755</v>
      </c>
      <c r="C7236" t="s">
        <v>11</v>
      </c>
      <c r="D7236" t="s">
        <v>65</v>
      </c>
      <c r="E7236" t="s">
        <v>13</v>
      </c>
      <c r="F7236">
        <v>1</v>
      </c>
      <c r="G7236" t="str">
        <f>VLOOKUP(D7236,Товары!A:I,3,0)</f>
        <v>Тумба с раковиной  навес. Альба 800 суфле 2 ящика с умыв. Слим</v>
      </c>
      <c r="H7236">
        <f>VLOOKUP(D7236,Товары!A:I,6,0)</f>
        <v>50</v>
      </c>
      <c r="I7236" t="str">
        <f>VLOOKUP(C7236,Магазины!A:C,3,0)</f>
        <v>Кемерово</v>
      </c>
      <c r="J7236">
        <f>VLOOKUP(D7236,Товары!A:I,4,0)</f>
        <v>26070</v>
      </c>
      <c r="K7236">
        <f t="shared" si="113"/>
        <v>26070</v>
      </c>
    </row>
    <row r="7237" spans="1:11" hidden="1" x14ac:dyDescent="0.25">
      <c r="A7237">
        <v>7236</v>
      </c>
      <c r="B7237" s="1">
        <v>45757</v>
      </c>
      <c r="C7237" t="s">
        <v>54</v>
      </c>
      <c r="D7237" t="s">
        <v>83</v>
      </c>
      <c r="E7237" t="s">
        <v>13</v>
      </c>
      <c r="F7237">
        <v>3</v>
      </c>
      <c r="G7237" t="str">
        <f>VLOOKUP(D7237,Товары!A:I,3,0)</f>
        <v>Зеркальный шкаф Альба 60 со светильником правый цвет суфле</v>
      </c>
      <c r="H7237">
        <f>VLOOKUP(D7237,Товары!A:I,6,0)</f>
        <v>75</v>
      </c>
      <c r="I7237" t="str">
        <f>VLOOKUP(C7237,Магазины!A:C,3,0)</f>
        <v>Ставрополь</v>
      </c>
      <c r="J7237">
        <f>VLOOKUP(D7237,Товары!A:I,4,0)</f>
        <v>8910</v>
      </c>
      <c r="K7237">
        <f t="shared" si="113"/>
        <v>26730</v>
      </c>
    </row>
    <row r="7238" spans="1:11" hidden="1" x14ac:dyDescent="0.25">
      <c r="A7238">
        <v>7237</v>
      </c>
      <c r="B7238" s="1">
        <v>45753</v>
      </c>
      <c r="C7238" t="s">
        <v>54</v>
      </c>
      <c r="D7238" t="s">
        <v>50</v>
      </c>
      <c r="E7238" t="s">
        <v>13</v>
      </c>
      <c r="F7238">
        <v>3</v>
      </c>
      <c r="G7238" t="str">
        <f>VLOOKUP(D7238,Товары!A:I,3,0)</f>
        <v>Тумба с раковиной  напол. Леон 800 оникс 2 ящика с умыв. Слим</v>
      </c>
      <c r="H7238">
        <f>VLOOKUP(D7238,Товары!A:I,6,0)</f>
        <v>80</v>
      </c>
      <c r="I7238" t="str">
        <f>VLOOKUP(C7238,Магазины!A:C,3,0)</f>
        <v>Ставрополь</v>
      </c>
      <c r="J7238">
        <f>VLOOKUP(D7238,Товары!A:I,4,0)</f>
        <v>29400</v>
      </c>
      <c r="K7238">
        <f t="shared" si="113"/>
        <v>88200</v>
      </c>
    </row>
    <row r="7239" spans="1:11" hidden="1" x14ac:dyDescent="0.25">
      <c r="A7239">
        <v>7238</v>
      </c>
      <c r="B7239" s="1">
        <v>45755</v>
      </c>
      <c r="C7239" t="s">
        <v>41</v>
      </c>
      <c r="D7239" t="s">
        <v>82</v>
      </c>
      <c r="E7239" t="s">
        <v>13</v>
      </c>
      <c r="F7239">
        <v>3</v>
      </c>
      <c r="G7239" t="str">
        <f>VLOOKUP(D7239,Товары!A:I,3,0)</f>
        <v>Тумба с раковиной  навес. Леон 800 форест 2 ящика с умыв. Слим</v>
      </c>
      <c r="H7239">
        <f>VLOOKUP(D7239,Товары!A:I,6,0)</f>
        <v>60</v>
      </c>
      <c r="I7239" t="str">
        <f>VLOOKUP(C7239,Магазины!A:C,3,0)</f>
        <v>Ставрополь</v>
      </c>
      <c r="J7239">
        <f>VLOOKUP(D7239,Товары!A:I,4,0)</f>
        <v>27930</v>
      </c>
      <c r="K7239">
        <f t="shared" si="113"/>
        <v>83790</v>
      </c>
    </row>
    <row r="7240" spans="1:11" hidden="1" x14ac:dyDescent="0.25">
      <c r="A7240">
        <v>7239</v>
      </c>
      <c r="B7240" s="1">
        <v>45755</v>
      </c>
      <c r="C7240" t="s">
        <v>28</v>
      </c>
      <c r="D7240" t="s">
        <v>46</v>
      </c>
      <c r="E7240" t="s">
        <v>13</v>
      </c>
      <c r="F7240">
        <v>2</v>
      </c>
      <c r="G7240" t="str">
        <f>VLOOKUP(D7240,Товары!A:I,3,0)</f>
        <v>Тумба с раковиной  напол. Сохо 700 белый 2 ящика с умыв. Слим</v>
      </c>
      <c r="H7240">
        <f>VLOOKUP(D7240,Товары!A:I,6,0)</f>
        <v>85</v>
      </c>
      <c r="I7240" t="str">
        <f>VLOOKUP(C7240,Магазины!A:C,3,0)</f>
        <v>Набережные Челны</v>
      </c>
      <c r="J7240">
        <f>VLOOKUP(D7240,Товары!A:I,4,0)</f>
        <v>18405</v>
      </c>
      <c r="K7240">
        <f t="shared" si="113"/>
        <v>36810</v>
      </c>
    </row>
    <row r="7241" spans="1:11" hidden="1" x14ac:dyDescent="0.25">
      <c r="A7241">
        <v>7240</v>
      </c>
      <c r="B7241" s="1">
        <v>45757</v>
      </c>
      <c r="C7241" t="s">
        <v>57</v>
      </c>
      <c r="D7241" t="s">
        <v>76</v>
      </c>
      <c r="E7241" t="s">
        <v>8</v>
      </c>
      <c r="F7241">
        <v>2</v>
      </c>
      <c r="G7241" t="str">
        <f>VLOOKUP(D7241,Товары!A:I,3,0)</f>
        <v>Тумба с раковиной  напол. Леон 600 оникс 2 ящика с умыв. Слим</v>
      </c>
      <c r="H7241">
        <f>VLOOKUP(D7241,Товары!A:I,6,0)</f>
        <v>80</v>
      </c>
      <c r="I7241" t="str">
        <f>VLOOKUP(C7241,Магазины!A:C,3,0)</f>
        <v>Оренбург</v>
      </c>
      <c r="J7241">
        <f>VLOOKUP(D7241,Товары!A:I,4,0)</f>
        <v>25860</v>
      </c>
      <c r="K7241">
        <f t="shared" si="113"/>
        <v>51720</v>
      </c>
    </row>
    <row r="7242" spans="1:11" hidden="1" x14ac:dyDescent="0.25">
      <c r="A7242">
        <v>7241</v>
      </c>
      <c r="B7242" s="1">
        <v>45753</v>
      </c>
      <c r="C7242" t="s">
        <v>41</v>
      </c>
      <c r="D7242" t="s">
        <v>115</v>
      </c>
      <c r="E7242" t="s">
        <v>13</v>
      </c>
      <c r="F7242">
        <v>1</v>
      </c>
      <c r="G7242" t="str">
        <f>VLOOKUP(D7242,Товары!A:I,3,0)</f>
        <v>Тумба под стиральную машину Куба Риф 57 напольная 2 ящика под ст/маш, без умывальника /под Marshall 120 Белый</v>
      </c>
      <c r="H7242">
        <f>VLOOKUP(D7242,Товары!A:I,6,0)</f>
        <v>85</v>
      </c>
      <c r="I7242" t="str">
        <f>VLOOKUP(C7242,Магазины!A:C,3,0)</f>
        <v>Ставрополь</v>
      </c>
      <c r="J7242">
        <f>VLOOKUP(D7242,Товары!A:I,4,0)</f>
        <v>10530</v>
      </c>
      <c r="K7242">
        <f t="shared" si="113"/>
        <v>10530</v>
      </c>
    </row>
    <row r="7243" spans="1:11" hidden="1" x14ac:dyDescent="0.25">
      <c r="A7243">
        <v>7242</v>
      </c>
      <c r="B7243" s="1">
        <v>45753</v>
      </c>
      <c r="C7243" t="s">
        <v>30</v>
      </c>
      <c r="D7243" t="s">
        <v>130</v>
      </c>
      <c r="E7243" t="s">
        <v>13</v>
      </c>
      <c r="F7243">
        <v>3</v>
      </c>
      <c r="G7243" t="str">
        <f>VLOOKUP(D7243,Товары!A:I,3,0)</f>
        <v>Пенал напол. Леон 400 форест 2 двери + 1 ящик</v>
      </c>
      <c r="H7243">
        <f>VLOOKUP(D7243,Товары!A:I,6,0)</f>
        <v>190</v>
      </c>
      <c r="I7243" t="str">
        <f>VLOOKUP(C7243,Магазины!A:C,3,0)</f>
        <v>Кемерово</v>
      </c>
      <c r="J7243">
        <f>VLOOKUP(D7243,Товары!A:I,4,0)</f>
        <v>18450</v>
      </c>
      <c r="K7243">
        <f t="shared" si="113"/>
        <v>55350</v>
      </c>
    </row>
    <row r="7244" spans="1:11" hidden="1" x14ac:dyDescent="0.25">
      <c r="A7244">
        <v>7243</v>
      </c>
      <c r="B7244" s="1">
        <v>45754</v>
      </c>
      <c r="C7244" t="s">
        <v>18</v>
      </c>
      <c r="D7244" t="s">
        <v>67</v>
      </c>
      <c r="E7244" t="s">
        <v>8</v>
      </c>
      <c r="F7244">
        <v>3</v>
      </c>
      <c r="G7244" t="str">
        <f>VLOOKUP(D7244,Товары!A:I,3,0)</f>
        <v>Пенал навес./напол. Альба 350 суфле 2 двери</v>
      </c>
      <c r="H7244">
        <f>VLOOKUP(D7244,Товары!A:I,6,0)</f>
        <v>150</v>
      </c>
      <c r="I7244" t="str">
        <f>VLOOKUP(C7244,Магазины!A:C,3,0)</f>
        <v>Набережные Челны</v>
      </c>
      <c r="J7244">
        <f>VLOOKUP(D7244,Товары!A:I,4,0)</f>
        <v>11655</v>
      </c>
      <c r="K7244">
        <f t="shared" si="113"/>
        <v>34965</v>
      </c>
    </row>
    <row r="7245" spans="1:11" hidden="1" x14ac:dyDescent="0.25">
      <c r="A7245">
        <v>7244</v>
      </c>
      <c r="B7245" s="1">
        <v>45755</v>
      </c>
      <c r="C7245" t="s">
        <v>26</v>
      </c>
      <c r="D7245" t="s">
        <v>69</v>
      </c>
      <c r="E7245" t="s">
        <v>8</v>
      </c>
      <c r="F7245">
        <v>2</v>
      </c>
      <c r="G7245" t="str">
        <f>VLOOKUP(D7245,Товары!A:I,3,0)</f>
        <v>Пенал навес./напол. Альба 350 антрацит 2 двери</v>
      </c>
      <c r="H7245">
        <f>VLOOKUP(D7245,Товары!A:I,6,0)</f>
        <v>150</v>
      </c>
      <c r="I7245" t="str">
        <f>VLOOKUP(C7245,Магазины!A:C,3,0)</f>
        <v>Оренбург</v>
      </c>
      <c r="J7245">
        <f>VLOOKUP(D7245,Товары!A:I,4,0)</f>
        <v>11655</v>
      </c>
      <c r="K7245">
        <f t="shared" si="113"/>
        <v>23310</v>
      </c>
    </row>
    <row r="7246" spans="1:11" hidden="1" x14ac:dyDescent="0.25">
      <c r="A7246">
        <v>7245</v>
      </c>
      <c r="B7246" s="1">
        <v>45754</v>
      </c>
      <c r="C7246" t="s">
        <v>18</v>
      </c>
      <c r="D7246" t="s">
        <v>10</v>
      </c>
      <c r="E7246" t="s">
        <v>13</v>
      </c>
      <c r="F7246">
        <v>3</v>
      </c>
      <c r="G7246" t="str">
        <f>VLOOKUP(D7246,Товары!A:I,3,0)</f>
        <v>Тумба с раковиной  навес. Альба 700 антрацит 1 ящик с умыв. Слим</v>
      </c>
      <c r="H7246">
        <f>VLOOKUP(D7246,Товары!A:I,6,0)</f>
        <v>45</v>
      </c>
      <c r="I7246" t="str">
        <f>VLOOKUP(C7246,Магазины!A:C,3,0)</f>
        <v>Набережные Челны</v>
      </c>
      <c r="J7246">
        <f>VLOOKUP(D7246,Товары!A:I,4,0)</f>
        <v>20130</v>
      </c>
      <c r="K7246">
        <f t="shared" si="113"/>
        <v>60390</v>
      </c>
    </row>
    <row r="7247" spans="1:11" hidden="1" x14ac:dyDescent="0.25">
      <c r="A7247">
        <v>7246</v>
      </c>
      <c r="B7247" s="1">
        <v>45757</v>
      </c>
      <c r="C7247" t="s">
        <v>14</v>
      </c>
      <c r="D7247" t="s">
        <v>77</v>
      </c>
      <c r="E7247" t="s">
        <v>8</v>
      </c>
      <c r="F7247">
        <v>1</v>
      </c>
      <c r="G7247" t="str">
        <f>VLOOKUP(D7247,Товары!A:I,3,0)</f>
        <v>Тумба с раковиной  напол. Куба Риф 600 белый 2 ящика с умыв. Como</v>
      </c>
      <c r="H7247">
        <f>VLOOKUP(D7247,Товары!A:I,6,0)</f>
        <v>85</v>
      </c>
      <c r="I7247" t="str">
        <f>VLOOKUP(C7247,Магазины!A:C,3,0)</f>
        <v>Оренбург</v>
      </c>
      <c r="J7247">
        <f>VLOOKUP(D7247,Товары!A:I,4,0)</f>
        <v>15660</v>
      </c>
      <c r="K7247">
        <f t="shared" si="113"/>
        <v>15660</v>
      </c>
    </row>
    <row r="7248" spans="1:11" hidden="1" x14ac:dyDescent="0.25">
      <c r="A7248">
        <v>7247</v>
      </c>
      <c r="B7248" s="1">
        <v>45754</v>
      </c>
      <c r="C7248" t="s">
        <v>18</v>
      </c>
      <c r="D7248" t="s">
        <v>123</v>
      </c>
      <c r="E7248" t="s">
        <v>13</v>
      </c>
      <c r="F7248">
        <v>2</v>
      </c>
      <c r="G7248" t="str">
        <f>VLOOKUP(D7248,Товары!A:I,3,0)</f>
        <v>Тумба с раковиной  напол. Кристалл 800 суфле 2 ящика с умыв. Слим</v>
      </c>
      <c r="H7248">
        <f>VLOOKUP(D7248,Товары!A:I,6,0)</f>
        <v>80</v>
      </c>
      <c r="I7248" t="str">
        <f>VLOOKUP(C7248,Магазины!A:C,3,0)</f>
        <v>Набережные Челны</v>
      </c>
      <c r="J7248">
        <f>VLOOKUP(D7248,Товары!A:I,4,0)</f>
        <v>31125</v>
      </c>
      <c r="K7248">
        <f t="shared" si="113"/>
        <v>62250</v>
      </c>
    </row>
    <row r="7249" spans="1:11" hidden="1" x14ac:dyDescent="0.25">
      <c r="A7249">
        <v>7248</v>
      </c>
      <c r="B7249" s="1">
        <v>45754</v>
      </c>
      <c r="C7249" t="s">
        <v>111</v>
      </c>
      <c r="D7249" t="s">
        <v>124</v>
      </c>
      <c r="E7249" t="s">
        <v>13</v>
      </c>
      <c r="F7249">
        <v>3</v>
      </c>
      <c r="G7249" t="str">
        <f>VLOOKUP(D7249,Товары!A:I,3,0)</f>
        <v>Тумба с раковиной  напол. Леон 600 оникс 2 ящика с умыв. Океан</v>
      </c>
      <c r="H7249">
        <f>VLOOKUP(D7249,Товары!A:I,6,0)</f>
        <v>80</v>
      </c>
      <c r="I7249" t="str">
        <f>VLOOKUP(C7249,Магазины!A:C,3,0)</f>
        <v>Набережные Челны</v>
      </c>
      <c r="J7249">
        <f>VLOOKUP(D7249,Товары!A:I,4,0)</f>
        <v>25860</v>
      </c>
      <c r="K7249">
        <f t="shared" si="113"/>
        <v>77580</v>
      </c>
    </row>
    <row r="7250" spans="1:11" hidden="1" x14ac:dyDescent="0.25">
      <c r="A7250">
        <v>7249</v>
      </c>
      <c r="B7250" s="1">
        <v>45755</v>
      </c>
      <c r="C7250" t="s">
        <v>63</v>
      </c>
      <c r="D7250" t="s">
        <v>96</v>
      </c>
      <c r="E7250" t="s">
        <v>8</v>
      </c>
      <c r="F7250">
        <v>2</v>
      </c>
      <c r="G7250" t="str">
        <f>VLOOKUP(D7250,Товары!A:I,3,0)</f>
        <v>Тумба с раковиной  навес. Альба 600 мята 1 ящик с умыв. Океан</v>
      </c>
      <c r="H7250">
        <f>VLOOKUP(D7250,Товары!A:I,6,0)</f>
        <v>85</v>
      </c>
      <c r="I7250" t="str">
        <f>VLOOKUP(C7250,Магазины!A:C,3,0)</f>
        <v>Ставрополь</v>
      </c>
      <c r="J7250">
        <f>VLOOKUP(D7250,Товары!A:I,4,0)</f>
        <v>17625</v>
      </c>
      <c r="K7250">
        <f t="shared" si="113"/>
        <v>35250</v>
      </c>
    </row>
    <row r="7251" spans="1:11" hidden="1" x14ac:dyDescent="0.25">
      <c r="A7251">
        <v>7250</v>
      </c>
      <c r="B7251" s="1">
        <v>45752</v>
      </c>
      <c r="C7251" t="s">
        <v>20</v>
      </c>
      <c r="D7251" t="s">
        <v>27</v>
      </c>
      <c r="E7251" t="s">
        <v>13</v>
      </c>
      <c r="F7251">
        <v>2</v>
      </c>
      <c r="G7251" t="str">
        <f>VLOOKUP(D7251,Товары!A:I,3,0)</f>
        <v>Тумба с раковиной  навес. Виктория 800 белый 2 ящика с умыв. Слим</v>
      </c>
      <c r="H7251">
        <f>VLOOKUP(D7251,Товары!A:I,6,0)</f>
        <v>60</v>
      </c>
      <c r="I7251" t="str">
        <f>VLOOKUP(C7251,Магазины!A:C,3,0)</f>
        <v>Оренбург</v>
      </c>
      <c r="J7251">
        <f>VLOOKUP(D7251,Товары!A:I,4,0)</f>
        <v>25290</v>
      </c>
      <c r="K7251">
        <f t="shared" si="113"/>
        <v>50580</v>
      </c>
    </row>
    <row r="7252" spans="1:11" hidden="1" x14ac:dyDescent="0.25">
      <c r="A7252">
        <v>7251</v>
      </c>
      <c r="B7252" s="1">
        <v>45751</v>
      </c>
      <c r="C7252" t="s">
        <v>63</v>
      </c>
      <c r="D7252" t="s">
        <v>95</v>
      </c>
      <c r="E7252" t="s">
        <v>8</v>
      </c>
      <c r="F7252">
        <v>2</v>
      </c>
      <c r="G7252" t="str">
        <f>VLOOKUP(D7252,Товары!A:I,3,0)</f>
        <v>Тумба с раковиной  напол. Рица 600 антрацит 2 ящика с умыв. Океан</v>
      </c>
      <c r="H7252">
        <f>VLOOKUP(D7252,Товары!A:I,6,0)</f>
        <v>80</v>
      </c>
      <c r="I7252" t="str">
        <f>VLOOKUP(C7252,Магазины!A:C,3,0)</f>
        <v>Ставрополь</v>
      </c>
      <c r="J7252">
        <f>VLOOKUP(D7252,Товары!A:I,4,0)</f>
        <v>25560</v>
      </c>
      <c r="K7252">
        <f t="shared" si="113"/>
        <v>51120</v>
      </c>
    </row>
    <row r="7253" spans="1:11" hidden="1" x14ac:dyDescent="0.25">
      <c r="A7253">
        <v>7252</v>
      </c>
      <c r="B7253" s="1">
        <v>45754</v>
      </c>
      <c r="C7253" t="s">
        <v>18</v>
      </c>
      <c r="D7253" t="s">
        <v>108</v>
      </c>
      <c r="E7253" t="s">
        <v>13</v>
      </c>
      <c r="F7253">
        <v>1</v>
      </c>
      <c r="G7253" t="str">
        <f>VLOOKUP(D7253,Товары!A:I,3,0)</f>
        <v>Тумба с раковиной  навес. Виктория 1000 белый 2 ящика с умыв. Слим</v>
      </c>
      <c r="H7253">
        <f>VLOOKUP(D7253,Товары!A:I,6,0)</f>
        <v>60</v>
      </c>
      <c r="I7253" t="str">
        <f>VLOOKUP(C7253,Магазины!A:C,3,0)</f>
        <v>Набережные Челны</v>
      </c>
      <c r="J7253">
        <f>VLOOKUP(D7253,Товары!A:I,4,0)</f>
        <v>29205</v>
      </c>
      <c r="K7253">
        <f t="shared" si="113"/>
        <v>29205</v>
      </c>
    </row>
    <row r="7254" spans="1:11" hidden="1" x14ac:dyDescent="0.25">
      <c r="A7254">
        <v>7253</v>
      </c>
      <c r="B7254" s="1">
        <v>45754</v>
      </c>
      <c r="C7254" t="s">
        <v>41</v>
      </c>
      <c r="D7254" t="s">
        <v>127</v>
      </c>
      <c r="E7254" t="s">
        <v>8</v>
      </c>
      <c r="F7254">
        <v>3</v>
      </c>
      <c r="G7254" t="str">
        <f>VLOOKUP(D7254,Товары!A:I,3,0)</f>
        <v>Тумба с раковиной  навес. Альба 700 мята 1 ящик с умыв. Слим</v>
      </c>
      <c r="H7254">
        <f>VLOOKUP(D7254,Товары!A:I,6,0)</f>
        <v>45</v>
      </c>
      <c r="I7254" t="str">
        <f>VLOOKUP(C7254,Магазины!A:C,3,0)</f>
        <v>Ставрополь</v>
      </c>
      <c r="J7254">
        <f>VLOOKUP(D7254,Товары!A:I,4,0)</f>
        <v>20130</v>
      </c>
      <c r="K7254">
        <f t="shared" si="113"/>
        <v>60390</v>
      </c>
    </row>
    <row r="7255" spans="1:11" hidden="1" x14ac:dyDescent="0.25">
      <c r="A7255">
        <v>7254</v>
      </c>
      <c r="B7255" s="1">
        <v>45755</v>
      </c>
      <c r="C7255" t="s">
        <v>11</v>
      </c>
      <c r="D7255" t="s">
        <v>130</v>
      </c>
      <c r="E7255" t="s">
        <v>8</v>
      </c>
      <c r="F7255">
        <v>1</v>
      </c>
      <c r="G7255" t="str">
        <f>VLOOKUP(D7255,Товары!A:I,3,0)</f>
        <v>Пенал напол. Леон 400 форест 2 двери + 1 ящик</v>
      </c>
      <c r="H7255">
        <f>VLOOKUP(D7255,Товары!A:I,6,0)</f>
        <v>190</v>
      </c>
      <c r="I7255" t="str">
        <f>VLOOKUP(C7255,Магазины!A:C,3,0)</f>
        <v>Кемерово</v>
      </c>
      <c r="J7255">
        <f>VLOOKUP(D7255,Товары!A:I,4,0)</f>
        <v>18450</v>
      </c>
      <c r="K7255">
        <f t="shared" si="113"/>
        <v>18450</v>
      </c>
    </row>
    <row r="7256" spans="1:11" hidden="1" x14ac:dyDescent="0.25">
      <c r="A7256">
        <v>7255</v>
      </c>
      <c r="B7256" s="1">
        <v>45753</v>
      </c>
      <c r="C7256" t="s">
        <v>58</v>
      </c>
      <c r="D7256" t="s">
        <v>19</v>
      </c>
      <c r="E7256" t="s">
        <v>13</v>
      </c>
      <c r="F7256">
        <v>3</v>
      </c>
      <c r="G7256" t="str">
        <f>VLOOKUP(D7256,Товары!A:I,3,0)</f>
        <v>Тумба с раковиной  навес. Леон 800 оникс 2 ящика с умыв. Слим</v>
      </c>
      <c r="H7256">
        <f>VLOOKUP(D7256,Товары!A:I,6,0)</f>
        <v>60</v>
      </c>
      <c r="I7256" t="str">
        <f>VLOOKUP(C7256,Магазины!A:C,3,0)</f>
        <v>Ставрополь</v>
      </c>
      <c r="J7256">
        <f>VLOOKUP(D7256,Товары!A:I,4,0)</f>
        <v>27930</v>
      </c>
      <c r="K7256">
        <f t="shared" si="113"/>
        <v>83790</v>
      </c>
    </row>
    <row r="7257" spans="1:11" hidden="1" x14ac:dyDescent="0.25">
      <c r="A7257">
        <v>7256</v>
      </c>
      <c r="B7257" s="1">
        <v>45748</v>
      </c>
      <c r="C7257" t="s">
        <v>43</v>
      </c>
      <c r="D7257" t="s">
        <v>66</v>
      </c>
      <c r="E7257" t="s">
        <v>13</v>
      </c>
      <c r="F7257">
        <v>1</v>
      </c>
      <c r="G7257" t="str">
        <f>VLOOKUP(D7257,Товары!A:I,3,0)</f>
        <v>Тумба с раковиной  навес. Альба 800 мята 2 ящика с умыв. Слим</v>
      </c>
      <c r="H7257">
        <f>VLOOKUP(D7257,Товары!A:I,6,0)</f>
        <v>50</v>
      </c>
      <c r="I7257" t="str">
        <f>VLOOKUP(C7257,Магазины!A:C,3,0)</f>
        <v>Набережные Челны</v>
      </c>
      <c r="J7257">
        <f>VLOOKUP(D7257,Товары!A:I,4,0)</f>
        <v>26070</v>
      </c>
      <c r="K7257">
        <f t="shared" si="113"/>
        <v>26070</v>
      </c>
    </row>
    <row r="7258" spans="1:11" hidden="1" x14ac:dyDescent="0.25">
      <c r="A7258">
        <v>7257</v>
      </c>
      <c r="B7258" s="1">
        <v>45752</v>
      </c>
      <c r="C7258" t="s">
        <v>30</v>
      </c>
      <c r="D7258" t="s">
        <v>66</v>
      </c>
      <c r="E7258" t="s">
        <v>8</v>
      </c>
      <c r="F7258">
        <v>1</v>
      </c>
      <c r="G7258" t="str">
        <f>VLOOKUP(D7258,Товары!A:I,3,0)</f>
        <v>Тумба с раковиной  навес. Альба 800 мята 2 ящика с умыв. Слим</v>
      </c>
      <c r="H7258">
        <f>VLOOKUP(D7258,Товары!A:I,6,0)</f>
        <v>50</v>
      </c>
      <c r="I7258" t="str">
        <f>VLOOKUP(C7258,Магазины!A:C,3,0)</f>
        <v>Кемерово</v>
      </c>
      <c r="J7258">
        <f>VLOOKUP(D7258,Товары!A:I,4,0)</f>
        <v>26070</v>
      </c>
      <c r="K7258">
        <f t="shared" si="113"/>
        <v>26070</v>
      </c>
    </row>
    <row r="7259" spans="1:11" hidden="1" x14ac:dyDescent="0.25">
      <c r="A7259">
        <v>7258</v>
      </c>
      <c r="B7259" s="1">
        <v>45752</v>
      </c>
      <c r="C7259" t="s">
        <v>30</v>
      </c>
      <c r="D7259" t="s">
        <v>127</v>
      </c>
      <c r="E7259" t="s">
        <v>13</v>
      </c>
      <c r="F7259">
        <v>3</v>
      </c>
      <c r="G7259" t="str">
        <f>VLOOKUP(D7259,Товары!A:I,3,0)</f>
        <v>Тумба с раковиной  навес. Альба 700 мята 1 ящик с умыв. Слим</v>
      </c>
      <c r="H7259">
        <f>VLOOKUP(D7259,Товары!A:I,6,0)</f>
        <v>45</v>
      </c>
      <c r="I7259" t="str">
        <f>VLOOKUP(C7259,Магазины!A:C,3,0)</f>
        <v>Кемерово</v>
      </c>
      <c r="J7259">
        <f>VLOOKUP(D7259,Товары!A:I,4,0)</f>
        <v>20130</v>
      </c>
      <c r="K7259">
        <f t="shared" si="113"/>
        <v>60390</v>
      </c>
    </row>
    <row r="7260" spans="1:11" hidden="1" x14ac:dyDescent="0.25">
      <c r="A7260">
        <v>7259</v>
      </c>
      <c r="B7260" s="1">
        <v>45755</v>
      </c>
      <c r="C7260" t="s">
        <v>14</v>
      </c>
      <c r="D7260" t="s">
        <v>124</v>
      </c>
      <c r="E7260" t="s">
        <v>13</v>
      </c>
      <c r="F7260">
        <v>3</v>
      </c>
      <c r="G7260" t="str">
        <f>VLOOKUP(D7260,Товары!A:I,3,0)</f>
        <v>Тумба с раковиной  напол. Леон 600 оникс 2 ящика с умыв. Океан</v>
      </c>
      <c r="H7260">
        <f>VLOOKUP(D7260,Товары!A:I,6,0)</f>
        <v>80</v>
      </c>
      <c r="I7260" t="str">
        <f>VLOOKUP(C7260,Магазины!A:C,3,0)</f>
        <v>Оренбург</v>
      </c>
      <c r="J7260">
        <f>VLOOKUP(D7260,Товары!A:I,4,0)</f>
        <v>25860</v>
      </c>
      <c r="K7260">
        <f t="shared" si="113"/>
        <v>77580</v>
      </c>
    </row>
    <row r="7261" spans="1:11" hidden="1" x14ac:dyDescent="0.25">
      <c r="A7261">
        <v>7260</v>
      </c>
      <c r="B7261" s="1">
        <v>45749</v>
      </c>
      <c r="C7261" t="s">
        <v>30</v>
      </c>
      <c r="D7261" t="s">
        <v>116</v>
      </c>
      <c r="E7261" t="s">
        <v>8</v>
      </c>
      <c r="F7261">
        <v>1</v>
      </c>
      <c r="G7261" t="str">
        <f>VLOOKUP(D7261,Товары!A:I,3,0)</f>
        <v>Зеркало Нева 60 дуб/белый со светильником</v>
      </c>
      <c r="H7261">
        <f>VLOOKUP(D7261,Товары!A:I,6,0)</f>
        <v>80</v>
      </c>
      <c r="I7261" t="str">
        <f>VLOOKUP(C7261,Магазины!A:C,3,0)</f>
        <v>Кемерово</v>
      </c>
      <c r="J7261">
        <f>VLOOKUP(D7261,Товары!A:I,4,0)</f>
        <v>5100</v>
      </c>
      <c r="K7261">
        <f t="shared" si="113"/>
        <v>5100</v>
      </c>
    </row>
    <row r="7262" spans="1:11" hidden="1" x14ac:dyDescent="0.25">
      <c r="A7262">
        <v>7261</v>
      </c>
      <c r="B7262" s="1">
        <v>45754</v>
      </c>
      <c r="C7262" t="s">
        <v>33</v>
      </c>
      <c r="D7262" t="s">
        <v>128</v>
      </c>
      <c r="E7262" t="s">
        <v>8</v>
      </c>
      <c r="F7262">
        <v>3</v>
      </c>
      <c r="G7262" t="str">
        <f>VLOOKUP(D7262,Товары!A:I,3,0)</f>
        <v>Тумба с раковиной  напол. Куба Риф 1000 белый 2 ящика с умыв. Слим</v>
      </c>
      <c r="H7262">
        <f>VLOOKUP(D7262,Товары!A:I,6,0)</f>
        <v>85</v>
      </c>
      <c r="I7262" t="str">
        <f>VLOOKUP(C7262,Магазины!A:C,3,0)</f>
        <v>Набережные Челны</v>
      </c>
      <c r="J7262">
        <f>VLOOKUP(D7262,Товары!A:I,4,0)</f>
        <v>22905</v>
      </c>
      <c r="K7262">
        <f t="shared" si="113"/>
        <v>68715</v>
      </c>
    </row>
    <row r="7263" spans="1:11" hidden="1" x14ac:dyDescent="0.25">
      <c r="A7263">
        <v>7262</v>
      </c>
      <c r="B7263" s="1">
        <v>45750</v>
      </c>
      <c r="C7263" t="s">
        <v>30</v>
      </c>
      <c r="D7263" t="s">
        <v>126</v>
      </c>
      <c r="E7263" t="s">
        <v>8</v>
      </c>
      <c r="F7263">
        <v>2</v>
      </c>
      <c r="G7263" t="str">
        <f>VLOOKUP(D7263,Товары!A:I,3,0)</f>
        <v>Тумба с раковиной  напол. Кристалл 800 шато азур 2 ящика с умыв. Комфорт</v>
      </c>
      <c r="H7263">
        <f>VLOOKUP(D7263,Товары!A:I,6,0)</f>
        <v>85</v>
      </c>
      <c r="I7263" t="str">
        <f>VLOOKUP(C7263,Магазины!A:C,3,0)</f>
        <v>Кемерово</v>
      </c>
      <c r="J7263">
        <f>VLOOKUP(D7263,Товары!A:I,4,0)</f>
        <v>31125</v>
      </c>
      <c r="K7263">
        <f t="shared" si="113"/>
        <v>62250</v>
      </c>
    </row>
    <row r="7264" spans="1:11" hidden="1" x14ac:dyDescent="0.25">
      <c r="A7264">
        <v>7263</v>
      </c>
      <c r="B7264" s="1">
        <v>45750</v>
      </c>
      <c r="C7264" t="s">
        <v>18</v>
      </c>
      <c r="D7264" t="s">
        <v>105</v>
      </c>
      <c r="E7264" t="s">
        <v>8</v>
      </c>
      <c r="F7264">
        <v>3</v>
      </c>
      <c r="G7264" t="str">
        <f>VLOOKUP(D7264,Товары!A:I,3,0)</f>
        <v>Тумба с раковиной  напол. Нева 600 белый 2 двери + 1 ящик с умыв. Como</v>
      </c>
      <c r="H7264">
        <f>VLOOKUP(D7264,Товары!A:I,6,0)</f>
        <v>80</v>
      </c>
      <c r="I7264" t="str">
        <f>VLOOKUP(C7264,Магазины!A:C,3,0)</f>
        <v>Набережные Челны</v>
      </c>
      <c r="J7264">
        <f>VLOOKUP(D7264,Товары!A:I,4,0)</f>
        <v>13470</v>
      </c>
      <c r="K7264">
        <f t="shared" si="113"/>
        <v>40410</v>
      </c>
    </row>
    <row r="7265" spans="1:11" hidden="1" x14ac:dyDescent="0.25">
      <c r="A7265">
        <v>7264</v>
      </c>
      <c r="B7265" s="1">
        <v>45749</v>
      </c>
      <c r="C7265" t="s">
        <v>22</v>
      </c>
      <c r="D7265" t="s">
        <v>44</v>
      </c>
      <c r="E7265" t="s">
        <v>8</v>
      </c>
      <c r="F7265">
        <v>2</v>
      </c>
      <c r="G7265" t="str">
        <f>VLOOKUP(D7265,Товары!A:I,3,0)</f>
        <v>Тумба с раковиной  навес. Кристалл 800 шато азур 2 ящика с умыв. Комфорт</v>
      </c>
      <c r="H7265">
        <f>VLOOKUP(D7265,Товары!A:I,6,0)</f>
        <v>55</v>
      </c>
      <c r="I7265" t="str">
        <f>VLOOKUP(C7265,Магазины!A:C,3,0)</f>
        <v>Кемерово</v>
      </c>
      <c r="J7265">
        <f>VLOOKUP(D7265,Товары!A:I,4,0)</f>
        <v>25080</v>
      </c>
      <c r="K7265">
        <f t="shared" si="113"/>
        <v>50160</v>
      </c>
    </row>
    <row r="7266" spans="1:11" hidden="1" x14ac:dyDescent="0.25">
      <c r="A7266">
        <v>7265</v>
      </c>
      <c r="B7266" s="1">
        <v>45752</v>
      </c>
      <c r="C7266" t="s">
        <v>6</v>
      </c>
      <c r="D7266" t="s">
        <v>79</v>
      </c>
      <c r="E7266" t="s">
        <v>13</v>
      </c>
      <c r="F7266">
        <v>2</v>
      </c>
      <c r="G7266" t="str">
        <f>VLOOKUP(D7266,Товары!A:I,3,0)</f>
        <v>Зеркальный шкаф Альба 70 со светильником правый цвет мята</v>
      </c>
      <c r="H7266">
        <f>VLOOKUP(D7266,Товары!A:I,6,0)</f>
        <v>75</v>
      </c>
      <c r="I7266" t="str">
        <f>VLOOKUP(C7266,Магазины!A:C,3,0)</f>
        <v>Оренбург</v>
      </c>
      <c r="J7266">
        <f>VLOOKUP(D7266,Товары!A:I,4,0)</f>
        <v>9615</v>
      </c>
      <c r="K7266">
        <f t="shared" si="113"/>
        <v>19230</v>
      </c>
    </row>
    <row r="7267" spans="1:11" hidden="1" x14ac:dyDescent="0.25">
      <c r="A7267">
        <v>7266</v>
      </c>
      <c r="B7267" s="1">
        <v>45749</v>
      </c>
      <c r="C7267" t="s">
        <v>48</v>
      </c>
      <c r="D7267" t="s">
        <v>53</v>
      </c>
      <c r="E7267" t="s">
        <v>8</v>
      </c>
      <c r="F7267">
        <v>3</v>
      </c>
      <c r="G7267" t="str">
        <f>VLOOKUP(D7267,Товары!A:I,3,0)</f>
        <v>Тумба с раковиной  напол. Кристалл 600 шато азур 2 ящика с умыв. Океан</v>
      </c>
      <c r="H7267">
        <f>VLOOKUP(D7267,Товары!A:I,6,0)</f>
        <v>85</v>
      </c>
      <c r="I7267" t="str">
        <f>VLOOKUP(C7267,Магазины!A:C,3,0)</f>
        <v>Ставрополь</v>
      </c>
      <c r="J7267">
        <f>VLOOKUP(D7267,Товары!A:I,4,0)</f>
        <v>27600</v>
      </c>
      <c r="K7267">
        <f t="shared" si="113"/>
        <v>82800</v>
      </c>
    </row>
    <row r="7268" spans="1:11" hidden="1" x14ac:dyDescent="0.25">
      <c r="A7268">
        <v>7267</v>
      </c>
      <c r="B7268" s="1">
        <v>45749</v>
      </c>
      <c r="C7268" t="s">
        <v>6</v>
      </c>
      <c r="D7268" t="s">
        <v>46</v>
      </c>
      <c r="E7268" t="s">
        <v>13</v>
      </c>
      <c r="F7268">
        <v>3</v>
      </c>
      <c r="G7268" t="str">
        <f>VLOOKUP(D7268,Товары!A:I,3,0)</f>
        <v>Тумба с раковиной  напол. Сохо 700 белый 2 ящика с умыв. Слим</v>
      </c>
      <c r="H7268">
        <f>VLOOKUP(D7268,Товары!A:I,6,0)</f>
        <v>85</v>
      </c>
      <c r="I7268" t="str">
        <f>VLOOKUP(C7268,Магазины!A:C,3,0)</f>
        <v>Оренбург</v>
      </c>
      <c r="J7268">
        <f>VLOOKUP(D7268,Товары!A:I,4,0)</f>
        <v>18405</v>
      </c>
      <c r="K7268">
        <f t="shared" si="113"/>
        <v>55215</v>
      </c>
    </row>
    <row r="7269" spans="1:11" hidden="1" x14ac:dyDescent="0.25">
      <c r="A7269">
        <v>7268</v>
      </c>
      <c r="B7269" s="1">
        <v>45754</v>
      </c>
      <c r="C7269" t="s">
        <v>6</v>
      </c>
      <c r="D7269" t="s">
        <v>71</v>
      </c>
      <c r="E7269" t="s">
        <v>13</v>
      </c>
      <c r="F7269">
        <v>2</v>
      </c>
      <c r="G7269" t="str">
        <f>VLOOKUP(D7269,Товары!A:I,3,0)</f>
        <v>Тумба с раковиной  навес. Альба 600 мята 2 ящика с умыв. Океан</v>
      </c>
      <c r="H7269">
        <f>VLOOKUP(D7269,Товары!A:I,6,0)</f>
        <v>50</v>
      </c>
      <c r="I7269" t="str">
        <f>VLOOKUP(C7269,Магазины!A:C,3,0)</f>
        <v>Оренбург</v>
      </c>
      <c r="J7269">
        <f>VLOOKUP(D7269,Товары!A:I,4,0)</f>
        <v>24810</v>
      </c>
      <c r="K7269">
        <f t="shared" si="113"/>
        <v>49620</v>
      </c>
    </row>
    <row r="7270" spans="1:11" hidden="1" x14ac:dyDescent="0.25">
      <c r="A7270">
        <v>7269</v>
      </c>
      <c r="B7270" s="1">
        <v>45753</v>
      </c>
      <c r="C7270" t="s">
        <v>30</v>
      </c>
      <c r="D7270" t="s">
        <v>99</v>
      </c>
      <c r="E7270" t="s">
        <v>13</v>
      </c>
      <c r="F7270">
        <v>3</v>
      </c>
      <c r="G7270" t="str">
        <f>VLOOKUP(D7270,Товары!A:I,3,0)</f>
        <v>Тумба с раковиной  навес. Леон 600 оникс 2 ящика с умыв. Слим</v>
      </c>
      <c r="H7270">
        <f>VLOOKUP(D7270,Товары!A:I,6,0)</f>
        <v>60</v>
      </c>
      <c r="I7270" t="str">
        <f>VLOOKUP(C7270,Магазины!A:C,3,0)</f>
        <v>Кемерово</v>
      </c>
      <c r="J7270">
        <f>VLOOKUP(D7270,Товары!A:I,4,0)</f>
        <v>25125</v>
      </c>
      <c r="K7270">
        <f t="shared" si="113"/>
        <v>75375</v>
      </c>
    </row>
    <row r="7271" spans="1:11" hidden="1" x14ac:dyDescent="0.25">
      <c r="A7271">
        <v>7270</v>
      </c>
      <c r="B7271" s="1">
        <v>45756</v>
      </c>
      <c r="C7271" t="s">
        <v>41</v>
      </c>
      <c r="D7271" t="s">
        <v>126</v>
      </c>
      <c r="E7271" t="s">
        <v>13</v>
      </c>
      <c r="F7271">
        <v>1</v>
      </c>
      <c r="G7271" t="str">
        <f>VLOOKUP(D7271,Товары!A:I,3,0)</f>
        <v>Тумба с раковиной  напол. Кристалл 800 шато азур 2 ящика с умыв. Комфорт</v>
      </c>
      <c r="H7271">
        <f>VLOOKUP(D7271,Товары!A:I,6,0)</f>
        <v>85</v>
      </c>
      <c r="I7271" t="str">
        <f>VLOOKUP(C7271,Магазины!A:C,3,0)</f>
        <v>Ставрополь</v>
      </c>
      <c r="J7271">
        <f>VLOOKUP(D7271,Товары!A:I,4,0)</f>
        <v>31125</v>
      </c>
      <c r="K7271">
        <f t="shared" si="113"/>
        <v>31125</v>
      </c>
    </row>
    <row r="7272" spans="1:11" hidden="1" x14ac:dyDescent="0.25">
      <c r="A7272">
        <v>7271</v>
      </c>
      <c r="B7272" s="1">
        <v>45753</v>
      </c>
      <c r="C7272" t="s">
        <v>26</v>
      </c>
      <c r="D7272" t="s">
        <v>115</v>
      </c>
      <c r="E7272" t="s">
        <v>13</v>
      </c>
      <c r="F7272">
        <v>1</v>
      </c>
      <c r="G7272" t="str">
        <f>VLOOKUP(D7272,Товары!A:I,3,0)</f>
        <v>Тумба под стиральную машину Куба Риф 57 напольная 2 ящика под ст/маш, без умывальника /под Marshall 120 Белый</v>
      </c>
      <c r="H7272">
        <f>VLOOKUP(D7272,Товары!A:I,6,0)</f>
        <v>85</v>
      </c>
      <c r="I7272" t="str">
        <f>VLOOKUP(C7272,Магазины!A:C,3,0)</f>
        <v>Оренбург</v>
      </c>
      <c r="J7272">
        <f>VLOOKUP(D7272,Товары!A:I,4,0)</f>
        <v>10530</v>
      </c>
      <c r="K7272">
        <f t="shared" si="113"/>
        <v>10530</v>
      </c>
    </row>
    <row r="7273" spans="1:11" hidden="1" x14ac:dyDescent="0.25">
      <c r="A7273">
        <v>7272</v>
      </c>
      <c r="B7273" s="1">
        <v>45751</v>
      </c>
      <c r="C7273" t="s">
        <v>63</v>
      </c>
      <c r="D7273" t="s">
        <v>94</v>
      </c>
      <c r="E7273" t="s">
        <v>13</v>
      </c>
      <c r="F7273">
        <v>1</v>
      </c>
      <c r="G7273" t="str">
        <f>VLOOKUP(D7273,Товары!A:I,3,0)</f>
        <v>Зеркальный шкаф Альба 80 со светильником правый цвет антрацит</v>
      </c>
      <c r="H7273">
        <f>VLOOKUP(D7273,Товары!A:I,6,0)</f>
        <v>75</v>
      </c>
      <c r="I7273" t="str">
        <f>VLOOKUP(C7273,Магазины!A:C,3,0)</f>
        <v>Ставрополь</v>
      </c>
      <c r="J7273">
        <f>VLOOKUP(D7273,Товары!A:I,4,0)</f>
        <v>9930</v>
      </c>
      <c r="K7273">
        <f t="shared" si="113"/>
        <v>9930</v>
      </c>
    </row>
    <row r="7274" spans="1:11" hidden="1" x14ac:dyDescent="0.25">
      <c r="A7274">
        <v>7273</v>
      </c>
      <c r="B7274" s="1">
        <v>45751</v>
      </c>
      <c r="C7274" t="s">
        <v>6</v>
      </c>
      <c r="D7274" t="s">
        <v>21</v>
      </c>
      <c r="E7274" t="s">
        <v>8</v>
      </c>
      <c r="F7274">
        <v>3</v>
      </c>
      <c r="G7274" t="str">
        <f>VLOOKUP(D7274,Товары!A:I,3,0)</f>
        <v>Зеркальный шкаф Рица 60 со светильником правый цвет cерый/керамика</v>
      </c>
      <c r="H7274">
        <f>VLOOKUP(D7274,Товары!A:I,6,0)</f>
        <v>75</v>
      </c>
      <c r="I7274" t="str">
        <f>VLOOKUP(C7274,Магазины!A:C,3,0)</f>
        <v>Оренбург</v>
      </c>
      <c r="J7274">
        <f>VLOOKUP(D7274,Товары!A:I,4,0)</f>
        <v>8910</v>
      </c>
      <c r="K7274">
        <f t="shared" si="113"/>
        <v>26730</v>
      </c>
    </row>
    <row r="7275" spans="1:11" hidden="1" x14ac:dyDescent="0.25">
      <c r="A7275">
        <v>7274</v>
      </c>
      <c r="B7275" s="1">
        <v>45749</v>
      </c>
      <c r="C7275" t="s">
        <v>103</v>
      </c>
      <c r="D7275" t="s">
        <v>80</v>
      </c>
      <c r="E7275" t="s">
        <v>13</v>
      </c>
      <c r="F7275">
        <v>2</v>
      </c>
      <c r="G7275" t="str">
        <f>VLOOKUP(D7275,Товары!A:I,3,0)</f>
        <v>Тумба с раковиной  навес. Сохо 600 белый 2 ящика с умыв. Океан</v>
      </c>
      <c r="H7275">
        <f>VLOOKUP(D7275,Товары!A:I,6,0)</f>
        <v>55</v>
      </c>
      <c r="I7275" t="str">
        <f>VLOOKUP(C7275,Магазины!A:C,3,0)</f>
        <v>Ставрополь</v>
      </c>
      <c r="J7275">
        <f>VLOOKUP(D7275,Товары!A:I,4,0)</f>
        <v>13950</v>
      </c>
      <c r="K7275">
        <f t="shared" si="113"/>
        <v>27900</v>
      </c>
    </row>
    <row r="7276" spans="1:11" hidden="1" x14ac:dyDescent="0.25">
      <c r="A7276">
        <v>7275</v>
      </c>
      <c r="B7276" s="1">
        <v>45749</v>
      </c>
      <c r="C7276" t="s">
        <v>35</v>
      </c>
      <c r="D7276" t="s">
        <v>127</v>
      </c>
      <c r="E7276" t="s">
        <v>13</v>
      </c>
      <c r="F7276">
        <v>2</v>
      </c>
      <c r="G7276" t="str">
        <f>VLOOKUP(D7276,Товары!A:I,3,0)</f>
        <v>Тумба с раковиной  навес. Альба 700 мята 1 ящик с умыв. Слим</v>
      </c>
      <c r="H7276">
        <f>VLOOKUP(D7276,Товары!A:I,6,0)</f>
        <v>45</v>
      </c>
      <c r="I7276" t="str">
        <f>VLOOKUP(C7276,Магазины!A:C,3,0)</f>
        <v>Набережные Челны</v>
      </c>
      <c r="J7276">
        <f>VLOOKUP(D7276,Товары!A:I,4,0)</f>
        <v>20130</v>
      </c>
      <c r="K7276">
        <f t="shared" si="113"/>
        <v>40260</v>
      </c>
    </row>
    <row r="7277" spans="1:11" hidden="1" x14ac:dyDescent="0.25">
      <c r="A7277">
        <v>7276</v>
      </c>
      <c r="B7277" s="1">
        <v>45753</v>
      </c>
      <c r="C7277" t="s">
        <v>54</v>
      </c>
      <c r="D7277" t="s">
        <v>97</v>
      </c>
      <c r="E7277" t="s">
        <v>8</v>
      </c>
      <c r="F7277">
        <v>1</v>
      </c>
      <c r="G7277" t="str">
        <f>VLOOKUP(D7277,Товары!A:I,3,0)</f>
        <v>Пенал напол. Кристалл 350 суфле 2 двери</v>
      </c>
      <c r="H7277">
        <f>VLOOKUP(D7277,Товары!A:I,6,0)</f>
        <v>190</v>
      </c>
      <c r="I7277" t="str">
        <f>VLOOKUP(C7277,Магазины!A:C,3,0)</f>
        <v>Ставрополь</v>
      </c>
      <c r="J7277">
        <f>VLOOKUP(D7277,Товары!A:I,4,0)</f>
        <v>15810</v>
      </c>
      <c r="K7277">
        <f t="shared" si="113"/>
        <v>15810</v>
      </c>
    </row>
    <row r="7278" spans="1:11" hidden="1" x14ac:dyDescent="0.25">
      <c r="A7278">
        <v>7277</v>
      </c>
      <c r="B7278" s="1">
        <v>45756</v>
      </c>
      <c r="C7278" t="s">
        <v>103</v>
      </c>
      <c r="D7278" t="s">
        <v>73</v>
      </c>
      <c r="E7278" t="s">
        <v>8</v>
      </c>
      <c r="F7278">
        <v>1</v>
      </c>
      <c r="G7278" t="str">
        <f>VLOOKUP(D7278,Товары!A:I,3,0)</f>
        <v>Зеркальный шкаф Альба 70 со светильником правый цвет антрацит</v>
      </c>
      <c r="H7278">
        <f>VLOOKUP(D7278,Товары!A:I,6,0)</f>
        <v>75</v>
      </c>
      <c r="I7278" t="str">
        <f>VLOOKUP(C7278,Магазины!A:C,3,0)</f>
        <v>Ставрополь</v>
      </c>
      <c r="J7278">
        <f>VLOOKUP(D7278,Товары!A:I,4,0)</f>
        <v>9615</v>
      </c>
      <c r="K7278">
        <f t="shared" si="113"/>
        <v>9615</v>
      </c>
    </row>
    <row r="7279" spans="1:11" hidden="1" x14ac:dyDescent="0.25">
      <c r="A7279">
        <v>7278</v>
      </c>
      <c r="B7279" s="1">
        <v>45750</v>
      </c>
      <c r="C7279" t="s">
        <v>54</v>
      </c>
      <c r="D7279" t="s">
        <v>99</v>
      </c>
      <c r="E7279" t="s">
        <v>8</v>
      </c>
      <c r="F7279">
        <v>2</v>
      </c>
      <c r="G7279" t="str">
        <f>VLOOKUP(D7279,Товары!A:I,3,0)</f>
        <v>Тумба с раковиной  навес. Леон 600 оникс 2 ящика с умыв. Слим</v>
      </c>
      <c r="H7279">
        <f>VLOOKUP(D7279,Товары!A:I,6,0)</f>
        <v>60</v>
      </c>
      <c r="I7279" t="str">
        <f>VLOOKUP(C7279,Магазины!A:C,3,0)</f>
        <v>Ставрополь</v>
      </c>
      <c r="J7279">
        <f>VLOOKUP(D7279,Товары!A:I,4,0)</f>
        <v>25125</v>
      </c>
      <c r="K7279">
        <f t="shared" si="113"/>
        <v>50250</v>
      </c>
    </row>
    <row r="7280" spans="1:11" hidden="1" x14ac:dyDescent="0.25">
      <c r="A7280">
        <v>7279</v>
      </c>
      <c r="B7280" s="1">
        <v>45753</v>
      </c>
      <c r="C7280" t="s">
        <v>11</v>
      </c>
      <c r="D7280" t="s">
        <v>93</v>
      </c>
      <c r="E7280" t="s">
        <v>8</v>
      </c>
      <c r="F7280">
        <v>3</v>
      </c>
      <c r="G7280" t="str">
        <f>VLOOKUP(D7280,Товары!A:I,3,0)</f>
        <v>Тумба с раковиной  напол. Леон Риф 800 солярис/белый риф 2 ящика с умыв. Слим</v>
      </c>
      <c r="H7280">
        <f>VLOOKUP(D7280,Товары!A:I,6,0)</f>
        <v>80</v>
      </c>
      <c r="I7280" t="str">
        <f>VLOOKUP(C7280,Магазины!A:C,3,0)</f>
        <v>Кемерово</v>
      </c>
      <c r="J7280">
        <f>VLOOKUP(D7280,Товары!A:I,4,0)</f>
        <v>29340</v>
      </c>
      <c r="K7280">
        <f t="shared" si="113"/>
        <v>88020</v>
      </c>
    </row>
    <row r="7281" spans="1:11" hidden="1" x14ac:dyDescent="0.25">
      <c r="A7281">
        <v>7280</v>
      </c>
      <c r="B7281" s="1">
        <v>45752</v>
      </c>
      <c r="C7281" t="s">
        <v>26</v>
      </c>
      <c r="D7281" t="s">
        <v>131</v>
      </c>
      <c r="E7281" t="s">
        <v>8</v>
      </c>
      <c r="F7281">
        <v>3</v>
      </c>
      <c r="G7281" t="str">
        <f>VLOOKUP(D7281,Товары!A:I,3,0)</f>
        <v>Тумба с раковиной  напол. Леон 800 форест 2 ящика с умыв. Слим</v>
      </c>
      <c r="H7281">
        <f>VLOOKUP(D7281,Товары!A:I,6,0)</f>
        <v>80</v>
      </c>
      <c r="I7281" t="str">
        <f>VLOOKUP(C7281,Магазины!A:C,3,0)</f>
        <v>Оренбург</v>
      </c>
      <c r="J7281">
        <f>VLOOKUP(D7281,Товары!A:I,4,0)</f>
        <v>29400</v>
      </c>
      <c r="K7281">
        <f t="shared" si="113"/>
        <v>88200</v>
      </c>
    </row>
    <row r="7282" spans="1:11" hidden="1" x14ac:dyDescent="0.25">
      <c r="A7282">
        <v>7281</v>
      </c>
      <c r="B7282" s="1">
        <v>45756</v>
      </c>
      <c r="C7282" t="s">
        <v>54</v>
      </c>
      <c r="D7282" t="s">
        <v>88</v>
      </c>
      <c r="E7282" t="s">
        <v>8</v>
      </c>
      <c r="F7282">
        <v>1</v>
      </c>
      <c r="G7282" t="str">
        <f>VLOOKUP(D7282,Товары!A:I,3,0)</f>
        <v>Тумба с раковиной  навес. Альба 800 антрацит 2 ящика с умыв. Слим</v>
      </c>
      <c r="H7282">
        <f>VLOOKUP(D7282,Товары!A:I,6,0)</f>
        <v>50</v>
      </c>
      <c r="I7282" t="str">
        <f>VLOOKUP(C7282,Магазины!A:C,3,0)</f>
        <v>Ставрополь</v>
      </c>
      <c r="J7282">
        <f>VLOOKUP(D7282,Товары!A:I,4,0)</f>
        <v>26070</v>
      </c>
      <c r="K7282">
        <f t="shared" si="113"/>
        <v>26070</v>
      </c>
    </row>
    <row r="7283" spans="1:11" hidden="1" x14ac:dyDescent="0.25">
      <c r="A7283">
        <v>7282</v>
      </c>
      <c r="B7283" s="1">
        <v>45755</v>
      </c>
      <c r="C7283" t="s">
        <v>30</v>
      </c>
      <c r="D7283" t="s">
        <v>45</v>
      </c>
      <c r="E7283" t="s">
        <v>8</v>
      </c>
      <c r="F7283">
        <v>2</v>
      </c>
      <c r="G7283" t="str">
        <f>VLOOKUP(D7283,Товары!A:I,3,0)</f>
        <v>Зеркальный шкаф Рица 80 со светильником правый цвет cерый/керамика</v>
      </c>
      <c r="H7283">
        <f>VLOOKUP(D7283,Товары!A:I,6,0)</f>
        <v>75</v>
      </c>
      <c r="I7283" t="str">
        <f>VLOOKUP(C7283,Магазины!A:C,3,0)</f>
        <v>Кемерово</v>
      </c>
      <c r="J7283">
        <f>VLOOKUP(D7283,Товары!A:I,4,0)</f>
        <v>9930</v>
      </c>
      <c r="K7283">
        <f t="shared" si="113"/>
        <v>19860</v>
      </c>
    </row>
    <row r="7284" spans="1:11" hidden="1" x14ac:dyDescent="0.25">
      <c r="A7284">
        <v>7283</v>
      </c>
      <c r="B7284" s="1">
        <v>45754</v>
      </c>
      <c r="C7284" t="s">
        <v>14</v>
      </c>
      <c r="D7284" t="s">
        <v>81</v>
      </c>
      <c r="E7284" t="s">
        <v>13</v>
      </c>
      <c r="F7284">
        <v>3</v>
      </c>
      <c r="G7284" t="str">
        <f>VLOOKUP(D7284,Товары!A:I,3,0)</f>
        <v>Тумба с раковиной  навес. Рица 600 cерый/керамика 1 ящик + ниша 1 с умыв. Океан</v>
      </c>
      <c r="H7284">
        <f>VLOOKUP(D7284,Товары!A:I,6,0)</f>
        <v>60</v>
      </c>
      <c r="I7284" t="str">
        <f>VLOOKUP(C7284,Магазины!A:C,3,0)</f>
        <v>Оренбург</v>
      </c>
      <c r="J7284">
        <f>VLOOKUP(D7284,Товары!A:I,4,0)</f>
        <v>18900</v>
      </c>
      <c r="K7284">
        <f t="shared" si="113"/>
        <v>56700</v>
      </c>
    </row>
    <row r="7285" spans="1:11" hidden="1" x14ac:dyDescent="0.25">
      <c r="A7285">
        <v>7284</v>
      </c>
      <c r="B7285" s="1">
        <v>45757</v>
      </c>
      <c r="C7285" t="s">
        <v>11</v>
      </c>
      <c r="D7285" t="s">
        <v>112</v>
      </c>
      <c r="E7285" t="s">
        <v>8</v>
      </c>
      <c r="F7285">
        <v>1</v>
      </c>
      <c r="G7285" t="str">
        <f>VLOOKUP(D7285,Товары!A:I,3,0)</f>
        <v>Тумба с раковиной  напол. Аква 560 белый 2 двери с умыв. Уют</v>
      </c>
      <c r="H7285">
        <f>VLOOKUP(D7285,Товары!A:I,6,0)</f>
        <v>85</v>
      </c>
      <c r="I7285" t="str">
        <f>VLOOKUP(C7285,Магазины!A:C,3,0)</f>
        <v>Кемерово</v>
      </c>
      <c r="J7285">
        <f>VLOOKUP(D7285,Товары!A:I,4,0)</f>
        <v>9330</v>
      </c>
      <c r="K7285">
        <f t="shared" si="113"/>
        <v>9330</v>
      </c>
    </row>
    <row r="7286" spans="1:11" hidden="1" x14ac:dyDescent="0.25">
      <c r="A7286">
        <v>7285</v>
      </c>
      <c r="B7286" s="1">
        <v>45748</v>
      </c>
      <c r="C7286" t="s">
        <v>14</v>
      </c>
      <c r="D7286" t="s">
        <v>45</v>
      </c>
      <c r="E7286" t="s">
        <v>8</v>
      </c>
      <c r="F7286">
        <v>2</v>
      </c>
      <c r="G7286" t="str">
        <f>VLOOKUP(D7286,Товары!A:I,3,0)</f>
        <v>Зеркальный шкаф Рица 80 со светильником правый цвет cерый/керамика</v>
      </c>
      <c r="H7286">
        <f>VLOOKUP(D7286,Товары!A:I,6,0)</f>
        <v>75</v>
      </c>
      <c r="I7286" t="str">
        <f>VLOOKUP(C7286,Магазины!A:C,3,0)</f>
        <v>Оренбург</v>
      </c>
      <c r="J7286">
        <f>VLOOKUP(D7286,Товары!A:I,4,0)</f>
        <v>9930</v>
      </c>
      <c r="K7286">
        <f t="shared" si="113"/>
        <v>19860</v>
      </c>
    </row>
    <row r="7287" spans="1:11" hidden="1" x14ac:dyDescent="0.25">
      <c r="A7287">
        <v>7286</v>
      </c>
      <c r="B7287" s="1">
        <v>45753</v>
      </c>
      <c r="C7287" t="s">
        <v>48</v>
      </c>
      <c r="D7287" t="s">
        <v>104</v>
      </c>
      <c r="E7287" t="s">
        <v>13</v>
      </c>
      <c r="F7287">
        <v>3</v>
      </c>
      <c r="G7287" t="str">
        <f>VLOOKUP(D7287,Товары!A:I,3,0)</f>
        <v>Тумба под стиральную машину Куба Риф 57 подвесная 2 ящика под ст/маш, без умывальника /под Marshall 120 Белый</v>
      </c>
      <c r="H7287">
        <f>VLOOKUP(D7287,Товары!A:I,6,0)</f>
        <v>50</v>
      </c>
      <c r="I7287" t="str">
        <f>VLOOKUP(C7287,Магазины!A:C,3,0)</f>
        <v>Ставрополь</v>
      </c>
      <c r="J7287">
        <f>VLOOKUP(D7287,Товары!A:I,4,0)</f>
        <v>8505</v>
      </c>
      <c r="K7287">
        <f t="shared" si="113"/>
        <v>25515</v>
      </c>
    </row>
    <row r="7288" spans="1:11" hidden="1" x14ac:dyDescent="0.25">
      <c r="A7288">
        <v>7287</v>
      </c>
      <c r="B7288" s="1">
        <v>45750</v>
      </c>
      <c r="C7288" t="s">
        <v>41</v>
      </c>
      <c r="D7288" t="s">
        <v>108</v>
      </c>
      <c r="E7288" t="s">
        <v>8</v>
      </c>
      <c r="F7288">
        <v>3</v>
      </c>
      <c r="G7288" t="str">
        <f>VLOOKUP(D7288,Товары!A:I,3,0)</f>
        <v>Тумба с раковиной  навес. Виктория 1000 белый 2 ящика с умыв. Слим</v>
      </c>
      <c r="H7288">
        <f>VLOOKUP(D7288,Товары!A:I,6,0)</f>
        <v>60</v>
      </c>
      <c r="I7288" t="str">
        <f>VLOOKUP(C7288,Магазины!A:C,3,0)</f>
        <v>Ставрополь</v>
      </c>
      <c r="J7288">
        <f>VLOOKUP(D7288,Товары!A:I,4,0)</f>
        <v>29205</v>
      </c>
      <c r="K7288">
        <f t="shared" si="113"/>
        <v>87615</v>
      </c>
    </row>
    <row r="7289" spans="1:11" hidden="1" x14ac:dyDescent="0.25">
      <c r="A7289">
        <v>7288</v>
      </c>
      <c r="B7289" s="1">
        <v>45752</v>
      </c>
      <c r="C7289" t="s">
        <v>18</v>
      </c>
      <c r="D7289" t="s">
        <v>37</v>
      </c>
      <c r="E7289" t="s">
        <v>8</v>
      </c>
      <c r="F7289">
        <v>3</v>
      </c>
      <c r="G7289" t="str">
        <f>VLOOKUP(D7289,Товары!A:I,3,0)</f>
        <v>Зеркальный шкаф Сохо 70 белый со светильником правый цвет Белый глянец</v>
      </c>
      <c r="H7289">
        <f>VLOOKUP(D7289,Товары!A:I,6,0)</f>
        <v>75</v>
      </c>
      <c r="I7289" t="str">
        <f>VLOOKUP(C7289,Магазины!A:C,3,0)</f>
        <v>Набережные Челны</v>
      </c>
      <c r="J7289">
        <f>VLOOKUP(D7289,Товары!A:I,4,0)</f>
        <v>7935</v>
      </c>
      <c r="K7289">
        <f t="shared" si="113"/>
        <v>23805</v>
      </c>
    </row>
    <row r="7290" spans="1:11" hidden="1" x14ac:dyDescent="0.25">
      <c r="A7290">
        <v>7289</v>
      </c>
      <c r="B7290" s="1">
        <v>45749</v>
      </c>
      <c r="C7290" t="s">
        <v>11</v>
      </c>
      <c r="D7290" t="s">
        <v>119</v>
      </c>
      <c r="E7290" t="s">
        <v>8</v>
      </c>
      <c r="F7290">
        <v>3</v>
      </c>
      <c r="G7290" t="str">
        <f>VLOOKUP(D7290,Товары!A:I,3,0)</f>
        <v>Пенал навес./напол. Рица 350 cерый/керамика 2 двери</v>
      </c>
      <c r="H7290">
        <f>VLOOKUP(D7290,Товары!A:I,6,0)</f>
        <v>160</v>
      </c>
      <c r="I7290" t="str">
        <f>VLOOKUP(C7290,Магазины!A:C,3,0)</f>
        <v>Кемерово</v>
      </c>
      <c r="J7290">
        <f>VLOOKUP(D7290,Товары!A:I,4,0)</f>
        <v>11250</v>
      </c>
      <c r="K7290">
        <f t="shared" si="113"/>
        <v>33750</v>
      </c>
    </row>
    <row r="7291" spans="1:11" hidden="1" x14ac:dyDescent="0.25">
      <c r="A7291">
        <v>7290</v>
      </c>
      <c r="B7291" s="1">
        <v>45756</v>
      </c>
      <c r="C7291" t="s">
        <v>6</v>
      </c>
      <c r="D7291" t="s">
        <v>49</v>
      </c>
      <c r="E7291" t="s">
        <v>13</v>
      </c>
      <c r="F7291">
        <v>3</v>
      </c>
      <c r="G7291" t="str">
        <f>VLOOKUP(D7291,Товары!A:I,3,0)</f>
        <v>Тумба с раковиной  напол. Леон 700 оникс 2 ящика с умыв. Слим</v>
      </c>
      <c r="H7291">
        <f>VLOOKUP(D7291,Товары!A:I,6,0)</f>
        <v>80</v>
      </c>
      <c r="I7291" t="str">
        <f>VLOOKUP(C7291,Магазины!A:C,3,0)</f>
        <v>Оренбург</v>
      </c>
      <c r="J7291">
        <f>VLOOKUP(D7291,Товары!A:I,4,0)</f>
        <v>28380</v>
      </c>
      <c r="K7291">
        <f t="shared" si="113"/>
        <v>85140</v>
      </c>
    </row>
    <row r="7292" spans="1:11" hidden="1" x14ac:dyDescent="0.25">
      <c r="A7292">
        <v>7291</v>
      </c>
      <c r="B7292" s="1">
        <v>45757</v>
      </c>
      <c r="C7292" t="s">
        <v>63</v>
      </c>
      <c r="D7292" t="s">
        <v>32</v>
      </c>
      <c r="E7292" t="s">
        <v>13</v>
      </c>
      <c r="F7292">
        <v>1</v>
      </c>
      <c r="G7292" t="str">
        <f>VLOOKUP(D7292,Товары!A:I,3,0)</f>
        <v>Тумба с раковиной  напол. Леон Риф 700 солярис/белый риф 2 ящика с умыв. Слим</v>
      </c>
      <c r="H7292">
        <f>VLOOKUP(D7292,Товары!A:I,6,0)</f>
        <v>85</v>
      </c>
      <c r="I7292" t="str">
        <f>VLOOKUP(C7292,Магазины!A:C,3,0)</f>
        <v>Ставрополь</v>
      </c>
      <c r="J7292">
        <f>VLOOKUP(D7292,Товары!A:I,4,0)</f>
        <v>26460</v>
      </c>
      <c r="K7292">
        <f t="shared" si="113"/>
        <v>26460</v>
      </c>
    </row>
    <row r="7293" spans="1:11" hidden="1" x14ac:dyDescent="0.25">
      <c r="A7293">
        <v>7292</v>
      </c>
      <c r="B7293" s="1">
        <v>45750</v>
      </c>
      <c r="C7293" t="s">
        <v>41</v>
      </c>
      <c r="D7293" t="s">
        <v>62</v>
      </c>
      <c r="E7293" t="s">
        <v>13</v>
      </c>
      <c r="F7293">
        <v>1</v>
      </c>
      <c r="G7293" t="str">
        <f>VLOOKUP(D7293,Товары!A:I,3,0)</f>
        <v>Тумба с раковиной  напол. Альба 600 мята 2 ящика с умыв. Океан</v>
      </c>
      <c r="H7293">
        <f>VLOOKUP(D7293,Товары!A:I,6,0)</f>
        <v>80</v>
      </c>
      <c r="I7293" t="str">
        <f>VLOOKUP(C7293,Магазины!A:C,3,0)</f>
        <v>Ставрополь</v>
      </c>
      <c r="J7293">
        <f>VLOOKUP(D7293,Товары!A:I,4,0)</f>
        <v>26370</v>
      </c>
      <c r="K7293">
        <f t="shared" si="113"/>
        <v>26370</v>
      </c>
    </row>
    <row r="7294" spans="1:11" hidden="1" x14ac:dyDescent="0.25">
      <c r="A7294">
        <v>7293</v>
      </c>
      <c r="B7294" s="1">
        <v>45754</v>
      </c>
      <c r="C7294" t="s">
        <v>54</v>
      </c>
      <c r="D7294" t="s">
        <v>46</v>
      </c>
      <c r="E7294" t="s">
        <v>13</v>
      </c>
      <c r="F7294">
        <v>1</v>
      </c>
      <c r="G7294" t="str">
        <f>VLOOKUP(D7294,Товары!A:I,3,0)</f>
        <v>Тумба с раковиной  напол. Сохо 700 белый 2 ящика с умыв. Слим</v>
      </c>
      <c r="H7294">
        <f>VLOOKUP(D7294,Товары!A:I,6,0)</f>
        <v>85</v>
      </c>
      <c r="I7294" t="str">
        <f>VLOOKUP(C7294,Магазины!A:C,3,0)</f>
        <v>Ставрополь</v>
      </c>
      <c r="J7294">
        <f>VLOOKUP(D7294,Товары!A:I,4,0)</f>
        <v>18405</v>
      </c>
      <c r="K7294">
        <f t="shared" si="113"/>
        <v>18405</v>
      </c>
    </row>
    <row r="7295" spans="1:11" hidden="1" x14ac:dyDescent="0.25">
      <c r="A7295">
        <v>7294</v>
      </c>
      <c r="B7295" s="1">
        <v>45749</v>
      </c>
      <c r="C7295" t="s">
        <v>11</v>
      </c>
      <c r="D7295" t="s">
        <v>108</v>
      </c>
      <c r="E7295" t="s">
        <v>13</v>
      </c>
      <c r="F7295">
        <v>1</v>
      </c>
      <c r="G7295" t="str">
        <f>VLOOKUP(D7295,Товары!A:I,3,0)</f>
        <v>Тумба с раковиной  навес. Виктория 1000 белый 2 ящика с умыв. Слим</v>
      </c>
      <c r="H7295">
        <f>VLOOKUP(D7295,Товары!A:I,6,0)</f>
        <v>60</v>
      </c>
      <c r="I7295" t="str">
        <f>VLOOKUP(C7295,Магазины!A:C,3,0)</f>
        <v>Кемерово</v>
      </c>
      <c r="J7295">
        <f>VLOOKUP(D7295,Товары!A:I,4,0)</f>
        <v>29205</v>
      </c>
      <c r="K7295">
        <f t="shared" si="113"/>
        <v>29205</v>
      </c>
    </row>
    <row r="7296" spans="1:11" hidden="1" x14ac:dyDescent="0.25">
      <c r="A7296">
        <v>7295</v>
      </c>
      <c r="B7296" s="1">
        <v>45751</v>
      </c>
      <c r="C7296" t="s">
        <v>58</v>
      </c>
      <c r="D7296" t="s">
        <v>21</v>
      </c>
      <c r="E7296" t="s">
        <v>8</v>
      </c>
      <c r="F7296">
        <v>2</v>
      </c>
      <c r="G7296" t="str">
        <f>VLOOKUP(D7296,Товары!A:I,3,0)</f>
        <v>Зеркальный шкаф Рица 60 со светильником правый цвет cерый/керамика</v>
      </c>
      <c r="H7296">
        <f>VLOOKUP(D7296,Товары!A:I,6,0)</f>
        <v>75</v>
      </c>
      <c r="I7296" t="str">
        <f>VLOOKUP(C7296,Магазины!A:C,3,0)</f>
        <v>Ставрополь</v>
      </c>
      <c r="J7296">
        <f>VLOOKUP(D7296,Товары!A:I,4,0)</f>
        <v>8910</v>
      </c>
      <c r="K7296">
        <f t="shared" si="113"/>
        <v>17820</v>
      </c>
    </row>
    <row r="7297" spans="1:11" hidden="1" x14ac:dyDescent="0.25">
      <c r="A7297">
        <v>7296</v>
      </c>
      <c r="B7297" s="1">
        <v>45754</v>
      </c>
      <c r="C7297" t="s">
        <v>41</v>
      </c>
      <c r="D7297" t="s">
        <v>75</v>
      </c>
      <c r="E7297" t="s">
        <v>8</v>
      </c>
      <c r="F7297">
        <v>3</v>
      </c>
      <c r="G7297" t="str">
        <f>VLOOKUP(D7297,Товары!A:I,3,0)</f>
        <v>Тумба с раковиной  напол. Альба 600 суфле 2 ящика с умыв. Океан</v>
      </c>
      <c r="H7297">
        <f>VLOOKUP(D7297,Товары!A:I,6,0)</f>
        <v>80</v>
      </c>
      <c r="I7297" t="str">
        <f>VLOOKUP(C7297,Магазины!A:C,3,0)</f>
        <v>Ставрополь</v>
      </c>
      <c r="J7297">
        <f>VLOOKUP(D7297,Товары!A:I,4,0)</f>
        <v>26370</v>
      </c>
      <c r="K7297">
        <f t="shared" si="113"/>
        <v>79110</v>
      </c>
    </row>
    <row r="7298" spans="1:11" hidden="1" x14ac:dyDescent="0.25">
      <c r="A7298">
        <v>7297</v>
      </c>
      <c r="B7298" s="1">
        <v>45749</v>
      </c>
      <c r="C7298" t="s">
        <v>9</v>
      </c>
      <c r="D7298" t="s">
        <v>105</v>
      </c>
      <c r="E7298" t="s">
        <v>13</v>
      </c>
      <c r="F7298">
        <v>2</v>
      </c>
      <c r="G7298" t="str">
        <f>VLOOKUP(D7298,Товары!A:I,3,0)</f>
        <v>Тумба с раковиной  напол. Нева 600 белый 2 двери + 1 ящик с умыв. Como</v>
      </c>
      <c r="H7298">
        <f>VLOOKUP(D7298,Товары!A:I,6,0)</f>
        <v>80</v>
      </c>
      <c r="I7298" t="str">
        <f>VLOOKUP(C7298,Магазины!A:C,3,0)</f>
        <v>Кемерово</v>
      </c>
      <c r="J7298">
        <f>VLOOKUP(D7298,Товары!A:I,4,0)</f>
        <v>13470</v>
      </c>
      <c r="K7298">
        <f t="shared" si="113"/>
        <v>26940</v>
      </c>
    </row>
    <row r="7299" spans="1:11" hidden="1" x14ac:dyDescent="0.25">
      <c r="A7299">
        <v>7298</v>
      </c>
      <c r="B7299" s="1">
        <v>45752</v>
      </c>
      <c r="C7299" t="s">
        <v>26</v>
      </c>
      <c r="D7299" t="s">
        <v>105</v>
      </c>
      <c r="E7299" t="s">
        <v>13</v>
      </c>
      <c r="F7299">
        <v>1</v>
      </c>
      <c r="G7299" t="str">
        <f>VLOOKUP(D7299,Товары!A:I,3,0)</f>
        <v>Тумба с раковиной  напол. Нева 600 белый 2 двери + 1 ящик с умыв. Como</v>
      </c>
      <c r="H7299">
        <f>VLOOKUP(D7299,Товары!A:I,6,0)</f>
        <v>80</v>
      </c>
      <c r="I7299" t="str">
        <f>VLOOKUP(C7299,Магазины!A:C,3,0)</f>
        <v>Оренбург</v>
      </c>
      <c r="J7299">
        <f>VLOOKUP(D7299,Товары!A:I,4,0)</f>
        <v>13470</v>
      </c>
      <c r="K7299">
        <f t="shared" ref="K7299:K7362" si="114">J7299*F7299</f>
        <v>13470</v>
      </c>
    </row>
    <row r="7300" spans="1:11" hidden="1" x14ac:dyDescent="0.25">
      <c r="A7300">
        <v>7299</v>
      </c>
      <c r="B7300" s="1">
        <v>45752</v>
      </c>
      <c r="C7300" t="s">
        <v>111</v>
      </c>
      <c r="D7300" t="s">
        <v>15</v>
      </c>
      <c r="E7300" t="s">
        <v>8</v>
      </c>
      <c r="F7300">
        <v>1</v>
      </c>
      <c r="G7300" t="str">
        <f>VLOOKUP(D7300,Товары!A:I,3,0)</f>
        <v>Зеркальный шкаф Кристалл 60 со светильником правый, ручка кнопка дуб цвет Шато Азур</v>
      </c>
      <c r="H7300">
        <f>VLOOKUP(D7300,Товары!A:I,6,0)</f>
        <v>75</v>
      </c>
      <c r="I7300" t="str">
        <f>VLOOKUP(C7300,Магазины!A:C,3,0)</f>
        <v>Набережные Челны</v>
      </c>
      <c r="J7300">
        <f>VLOOKUP(D7300,Товары!A:I,4,0)</f>
        <v>9195</v>
      </c>
      <c r="K7300">
        <f t="shared" si="114"/>
        <v>9195</v>
      </c>
    </row>
    <row r="7301" spans="1:11" hidden="1" x14ac:dyDescent="0.25">
      <c r="A7301">
        <v>7300</v>
      </c>
      <c r="B7301" s="1">
        <v>45750</v>
      </c>
      <c r="C7301" t="s">
        <v>18</v>
      </c>
      <c r="D7301" t="s">
        <v>78</v>
      </c>
      <c r="E7301" t="s">
        <v>13</v>
      </c>
      <c r="F7301">
        <v>1</v>
      </c>
      <c r="G7301" t="str">
        <f>VLOOKUP(D7301,Товары!A:I,3,0)</f>
        <v>Зеркальный шкаф Кристалл 70 со светильником правый, ручка кнопка дуб цвет Шато Азур</v>
      </c>
      <c r="H7301">
        <f>VLOOKUP(D7301,Товары!A:I,6,0)</f>
        <v>75</v>
      </c>
      <c r="I7301" t="str">
        <f>VLOOKUP(C7301,Магазины!A:C,3,0)</f>
        <v>Набережные Челны</v>
      </c>
      <c r="J7301">
        <f>VLOOKUP(D7301,Товары!A:I,4,0)</f>
        <v>9615</v>
      </c>
      <c r="K7301">
        <f t="shared" si="114"/>
        <v>9615</v>
      </c>
    </row>
    <row r="7302" spans="1:11" hidden="1" x14ac:dyDescent="0.25">
      <c r="A7302">
        <v>7301</v>
      </c>
      <c r="B7302" s="1">
        <v>45757</v>
      </c>
      <c r="C7302" t="s">
        <v>14</v>
      </c>
      <c r="D7302" t="s">
        <v>98</v>
      </c>
      <c r="E7302" t="s">
        <v>13</v>
      </c>
      <c r="F7302">
        <v>2</v>
      </c>
      <c r="G7302" t="str">
        <f>VLOOKUP(D7302,Товары!A:I,3,0)</f>
        <v>Тумба с раковиной  напол. Рица 800 cерый/керамика 2 ящика с умыв. Слим</v>
      </c>
      <c r="H7302">
        <f>VLOOKUP(D7302,Товары!A:I,6,0)</f>
        <v>80</v>
      </c>
      <c r="I7302" t="str">
        <f>VLOOKUP(C7302,Магазины!A:C,3,0)</f>
        <v>Оренбург</v>
      </c>
      <c r="J7302">
        <f>VLOOKUP(D7302,Товары!A:I,4,0)</f>
        <v>28980</v>
      </c>
      <c r="K7302">
        <f t="shared" si="114"/>
        <v>57960</v>
      </c>
    </row>
    <row r="7303" spans="1:11" hidden="1" x14ac:dyDescent="0.25">
      <c r="A7303">
        <v>7302</v>
      </c>
      <c r="B7303" s="1">
        <v>45748</v>
      </c>
      <c r="C7303" t="s">
        <v>111</v>
      </c>
      <c r="D7303" t="s">
        <v>124</v>
      </c>
      <c r="E7303" t="s">
        <v>13</v>
      </c>
      <c r="F7303">
        <v>3</v>
      </c>
      <c r="G7303" t="str">
        <f>VLOOKUP(D7303,Товары!A:I,3,0)</f>
        <v>Тумба с раковиной  напол. Леон 600 оникс 2 ящика с умыв. Океан</v>
      </c>
      <c r="H7303">
        <f>VLOOKUP(D7303,Товары!A:I,6,0)</f>
        <v>80</v>
      </c>
      <c r="I7303" t="str">
        <f>VLOOKUP(C7303,Магазины!A:C,3,0)</f>
        <v>Набережные Челны</v>
      </c>
      <c r="J7303">
        <f>VLOOKUP(D7303,Товары!A:I,4,0)</f>
        <v>25860</v>
      </c>
      <c r="K7303">
        <f t="shared" si="114"/>
        <v>77580</v>
      </c>
    </row>
    <row r="7304" spans="1:11" hidden="1" x14ac:dyDescent="0.25">
      <c r="A7304">
        <v>7303</v>
      </c>
      <c r="B7304" s="1">
        <v>45748</v>
      </c>
      <c r="C7304" t="s">
        <v>14</v>
      </c>
      <c r="D7304" t="s">
        <v>53</v>
      </c>
      <c r="E7304" t="s">
        <v>8</v>
      </c>
      <c r="F7304">
        <v>1</v>
      </c>
      <c r="G7304" t="str">
        <f>VLOOKUP(D7304,Товары!A:I,3,0)</f>
        <v>Тумба с раковиной  напол. Кристалл 600 шато азур 2 ящика с умыв. Океан</v>
      </c>
      <c r="H7304">
        <f>VLOOKUP(D7304,Товары!A:I,6,0)</f>
        <v>85</v>
      </c>
      <c r="I7304" t="str">
        <f>VLOOKUP(C7304,Магазины!A:C,3,0)</f>
        <v>Оренбург</v>
      </c>
      <c r="J7304">
        <f>VLOOKUP(D7304,Товары!A:I,4,0)</f>
        <v>27600</v>
      </c>
      <c r="K7304">
        <f t="shared" si="114"/>
        <v>27600</v>
      </c>
    </row>
    <row r="7305" spans="1:11" hidden="1" x14ac:dyDescent="0.25">
      <c r="A7305">
        <v>7304</v>
      </c>
      <c r="B7305" s="1">
        <v>45753</v>
      </c>
      <c r="C7305" t="s">
        <v>33</v>
      </c>
      <c r="D7305" t="s">
        <v>86</v>
      </c>
      <c r="E7305" t="s">
        <v>8</v>
      </c>
      <c r="F7305">
        <v>2</v>
      </c>
      <c r="G7305" t="str">
        <f>VLOOKUP(D7305,Товары!A:I,3,0)</f>
        <v>Комод Аква 50 напольный 1 ящик 2 двери белый</v>
      </c>
      <c r="H7305">
        <f>VLOOKUP(D7305,Товары!A:I,6,0)</f>
        <v>90</v>
      </c>
      <c r="I7305" t="str">
        <f>VLOOKUP(C7305,Магазины!A:C,3,0)</f>
        <v>Набережные Челны</v>
      </c>
      <c r="J7305">
        <f>VLOOKUP(D7305,Товары!A:I,4,0)</f>
        <v>7260</v>
      </c>
      <c r="K7305">
        <f t="shared" si="114"/>
        <v>14520</v>
      </c>
    </row>
    <row r="7306" spans="1:11" hidden="1" x14ac:dyDescent="0.25">
      <c r="A7306">
        <v>7305</v>
      </c>
      <c r="B7306" s="1">
        <v>45757</v>
      </c>
      <c r="C7306" t="s">
        <v>35</v>
      </c>
      <c r="D7306" t="s">
        <v>34</v>
      </c>
      <c r="E7306" t="s">
        <v>8</v>
      </c>
      <c r="F7306">
        <v>1</v>
      </c>
      <c r="G7306" t="str">
        <f>VLOOKUP(D7306,Товары!A:I,3,0)</f>
        <v>Тумба с раковиной  навес. Леон 700 форест 2 ящика с умыв. Слим</v>
      </c>
      <c r="H7306">
        <f>VLOOKUP(D7306,Товары!A:I,6,0)</f>
        <v>60</v>
      </c>
      <c r="I7306" t="str">
        <f>VLOOKUP(C7306,Магазины!A:C,3,0)</f>
        <v>Набережные Челны</v>
      </c>
      <c r="J7306">
        <f>VLOOKUP(D7306,Товары!A:I,4,0)</f>
        <v>26220</v>
      </c>
      <c r="K7306">
        <f t="shared" si="114"/>
        <v>26220</v>
      </c>
    </row>
    <row r="7307" spans="1:11" hidden="1" x14ac:dyDescent="0.25">
      <c r="A7307">
        <v>7306</v>
      </c>
      <c r="B7307" s="1">
        <v>45752</v>
      </c>
      <c r="C7307" t="s">
        <v>57</v>
      </c>
      <c r="D7307" t="s">
        <v>40</v>
      </c>
      <c r="E7307" t="s">
        <v>13</v>
      </c>
      <c r="F7307">
        <v>3</v>
      </c>
      <c r="G7307" t="str">
        <f>VLOOKUP(D7307,Товары!A:I,3,0)</f>
        <v>Тумба с раковиной  навес. Рица 800 cерый/керамика 1 ящик + ниша 1 с умыв. Слим</v>
      </c>
      <c r="H7307">
        <f>VLOOKUP(D7307,Товары!A:I,6,0)</f>
        <v>60</v>
      </c>
      <c r="I7307" t="str">
        <f>VLOOKUP(C7307,Магазины!A:C,3,0)</f>
        <v>Оренбург</v>
      </c>
      <c r="J7307">
        <f>VLOOKUP(D7307,Товары!A:I,4,0)</f>
        <v>22425</v>
      </c>
      <c r="K7307">
        <f t="shared" si="114"/>
        <v>67275</v>
      </c>
    </row>
    <row r="7308" spans="1:11" hidden="1" x14ac:dyDescent="0.25">
      <c r="A7308">
        <v>7307</v>
      </c>
      <c r="B7308" s="1">
        <v>45755</v>
      </c>
      <c r="C7308" t="s">
        <v>6</v>
      </c>
      <c r="D7308" t="s">
        <v>123</v>
      </c>
      <c r="E7308" t="s">
        <v>8</v>
      </c>
      <c r="F7308">
        <v>3</v>
      </c>
      <c r="G7308" t="str">
        <f>VLOOKUP(D7308,Товары!A:I,3,0)</f>
        <v>Тумба с раковиной  напол. Кристалл 800 суфле 2 ящика с умыв. Слим</v>
      </c>
      <c r="H7308">
        <f>VLOOKUP(D7308,Товары!A:I,6,0)</f>
        <v>80</v>
      </c>
      <c r="I7308" t="str">
        <f>VLOOKUP(C7308,Магазины!A:C,3,0)</f>
        <v>Оренбург</v>
      </c>
      <c r="J7308">
        <f>VLOOKUP(D7308,Товары!A:I,4,0)</f>
        <v>31125</v>
      </c>
      <c r="K7308">
        <f t="shared" si="114"/>
        <v>93375</v>
      </c>
    </row>
    <row r="7309" spans="1:11" hidden="1" x14ac:dyDescent="0.25">
      <c r="A7309">
        <v>7308</v>
      </c>
      <c r="B7309" s="1">
        <v>45749</v>
      </c>
      <c r="C7309" t="s">
        <v>103</v>
      </c>
      <c r="D7309" t="s">
        <v>118</v>
      </c>
      <c r="E7309" t="s">
        <v>8</v>
      </c>
      <c r="F7309">
        <v>2</v>
      </c>
      <c r="G7309" t="str">
        <f>VLOOKUP(D7309,Товары!A:I,3,0)</f>
        <v>Тумба с раковиной  напол. Сохо 800 белый 2 ящика с умыв. Слим</v>
      </c>
      <c r="H7309">
        <f>VLOOKUP(D7309,Товары!A:I,6,0)</f>
        <v>85</v>
      </c>
      <c r="I7309" t="str">
        <f>VLOOKUP(C7309,Магазины!A:C,3,0)</f>
        <v>Ставрополь</v>
      </c>
      <c r="J7309">
        <f>VLOOKUP(D7309,Товары!A:I,4,0)</f>
        <v>19575</v>
      </c>
      <c r="K7309">
        <f t="shared" si="114"/>
        <v>39150</v>
      </c>
    </row>
    <row r="7310" spans="1:11" hidden="1" x14ac:dyDescent="0.25">
      <c r="A7310">
        <v>7309</v>
      </c>
      <c r="B7310" s="1">
        <v>45751</v>
      </c>
      <c r="C7310" t="s">
        <v>18</v>
      </c>
      <c r="D7310" t="s">
        <v>131</v>
      </c>
      <c r="E7310" t="s">
        <v>8</v>
      </c>
      <c r="F7310">
        <v>2</v>
      </c>
      <c r="G7310" t="str">
        <f>VLOOKUP(D7310,Товары!A:I,3,0)</f>
        <v>Тумба с раковиной  напол. Леон 800 форест 2 ящика с умыв. Слим</v>
      </c>
      <c r="H7310">
        <f>VLOOKUP(D7310,Товары!A:I,6,0)</f>
        <v>80</v>
      </c>
      <c r="I7310" t="str">
        <f>VLOOKUP(C7310,Магазины!A:C,3,0)</f>
        <v>Набережные Челны</v>
      </c>
      <c r="J7310">
        <f>VLOOKUP(D7310,Товары!A:I,4,0)</f>
        <v>29400</v>
      </c>
      <c r="K7310">
        <f t="shared" si="114"/>
        <v>58800</v>
      </c>
    </row>
    <row r="7311" spans="1:11" hidden="1" x14ac:dyDescent="0.25">
      <c r="A7311">
        <v>7310</v>
      </c>
      <c r="B7311" s="1">
        <v>45757</v>
      </c>
      <c r="C7311" t="s">
        <v>58</v>
      </c>
      <c r="D7311" t="s">
        <v>88</v>
      </c>
      <c r="E7311" t="s">
        <v>8</v>
      </c>
      <c r="F7311">
        <v>3</v>
      </c>
      <c r="G7311" t="str">
        <f>VLOOKUP(D7311,Товары!A:I,3,0)</f>
        <v>Тумба с раковиной  навес. Альба 800 антрацит 2 ящика с умыв. Слим</v>
      </c>
      <c r="H7311">
        <f>VLOOKUP(D7311,Товары!A:I,6,0)</f>
        <v>50</v>
      </c>
      <c r="I7311" t="str">
        <f>VLOOKUP(C7311,Магазины!A:C,3,0)</f>
        <v>Ставрополь</v>
      </c>
      <c r="J7311">
        <f>VLOOKUP(D7311,Товары!A:I,4,0)</f>
        <v>26070</v>
      </c>
      <c r="K7311">
        <f t="shared" si="114"/>
        <v>78210</v>
      </c>
    </row>
    <row r="7312" spans="1:11" hidden="1" x14ac:dyDescent="0.25">
      <c r="A7312">
        <v>7311</v>
      </c>
      <c r="B7312" s="1">
        <v>45748</v>
      </c>
      <c r="C7312" t="s">
        <v>54</v>
      </c>
      <c r="D7312" t="s">
        <v>15</v>
      </c>
      <c r="E7312" t="s">
        <v>13</v>
      </c>
      <c r="F7312">
        <v>3</v>
      </c>
      <c r="G7312" t="str">
        <f>VLOOKUP(D7312,Товары!A:I,3,0)</f>
        <v>Зеркальный шкаф Кристалл 60 со светильником правый, ручка кнопка дуб цвет Шато Азур</v>
      </c>
      <c r="H7312">
        <f>VLOOKUP(D7312,Товары!A:I,6,0)</f>
        <v>75</v>
      </c>
      <c r="I7312" t="str">
        <f>VLOOKUP(C7312,Магазины!A:C,3,0)</f>
        <v>Ставрополь</v>
      </c>
      <c r="J7312">
        <f>VLOOKUP(D7312,Товары!A:I,4,0)</f>
        <v>9195</v>
      </c>
      <c r="K7312">
        <f t="shared" si="114"/>
        <v>27585</v>
      </c>
    </row>
    <row r="7313" spans="1:11" hidden="1" x14ac:dyDescent="0.25">
      <c r="A7313">
        <v>7312</v>
      </c>
      <c r="B7313" s="1">
        <v>45757</v>
      </c>
      <c r="C7313" t="s">
        <v>28</v>
      </c>
      <c r="D7313" t="s">
        <v>65</v>
      </c>
      <c r="E7313" t="s">
        <v>8</v>
      </c>
      <c r="F7313">
        <v>1</v>
      </c>
      <c r="G7313" t="str">
        <f>VLOOKUP(D7313,Товары!A:I,3,0)</f>
        <v>Тумба с раковиной  навес. Альба 800 суфле 2 ящика с умыв. Слим</v>
      </c>
      <c r="H7313">
        <f>VLOOKUP(D7313,Товары!A:I,6,0)</f>
        <v>50</v>
      </c>
      <c r="I7313" t="str">
        <f>VLOOKUP(C7313,Магазины!A:C,3,0)</f>
        <v>Набережные Челны</v>
      </c>
      <c r="J7313">
        <f>VLOOKUP(D7313,Товары!A:I,4,0)</f>
        <v>26070</v>
      </c>
      <c r="K7313">
        <f t="shared" si="114"/>
        <v>26070</v>
      </c>
    </row>
    <row r="7314" spans="1:11" hidden="1" x14ac:dyDescent="0.25">
      <c r="A7314">
        <v>7313</v>
      </c>
      <c r="B7314" s="1">
        <v>45756</v>
      </c>
      <c r="C7314" t="s">
        <v>111</v>
      </c>
      <c r="D7314" t="s">
        <v>78</v>
      </c>
      <c r="E7314" t="s">
        <v>13</v>
      </c>
      <c r="F7314">
        <v>3</v>
      </c>
      <c r="G7314" t="str">
        <f>VLOOKUP(D7314,Товары!A:I,3,0)</f>
        <v>Зеркальный шкаф Кристалл 70 со светильником правый, ручка кнопка дуб цвет Шато Азур</v>
      </c>
      <c r="H7314">
        <f>VLOOKUP(D7314,Товары!A:I,6,0)</f>
        <v>75</v>
      </c>
      <c r="I7314" t="str">
        <f>VLOOKUP(C7314,Магазины!A:C,3,0)</f>
        <v>Набережные Челны</v>
      </c>
      <c r="J7314">
        <f>VLOOKUP(D7314,Товары!A:I,4,0)</f>
        <v>9615</v>
      </c>
      <c r="K7314">
        <f t="shared" si="114"/>
        <v>28845</v>
      </c>
    </row>
    <row r="7315" spans="1:11" hidden="1" x14ac:dyDescent="0.25">
      <c r="A7315">
        <v>7314</v>
      </c>
      <c r="B7315" s="1">
        <v>45752</v>
      </c>
      <c r="C7315" t="s">
        <v>57</v>
      </c>
      <c r="D7315" t="s">
        <v>104</v>
      </c>
      <c r="E7315" t="s">
        <v>13</v>
      </c>
      <c r="F7315">
        <v>1</v>
      </c>
      <c r="G7315" t="str">
        <f>VLOOKUP(D7315,Товары!A:I,3,0)</f>
        <v>Тумба под стиральную машину Куба Риф 57 подвесная 2 ящика под ст/маш, без умывальника /под Marshall 120 Белый</v>
      </c>
      <c r="H7315">
        <f>VLOOKUP(D7315,Товары!A:I,6,0)</f>
        <v>50</v>
      </c>
      <c r="I7315" t="str">
        <f>VLOOKUP(C7315,Магазины!A:C,3,0)</f>
        <v>Оренбург</v>
      </c>
      <c r="J7315">
        <f>VLOOKUP(D7315,Товары!A:I,4,0)</f>
        <v>8505</v>
      </c>
      <c r="K7315">
        <f t="shared" si="114"/>
        <v>8505</v>
      </c>
    </row>
    <row r="7316" spans="1:11" hidden="1" x14ac:dyDescent="0.25">
      <c r="A7316">
        <v>7315</v>
      </c>
      <c r="B7316" s="1">
        <v>45751</v>
      </c>
      <c r="C7316" t="s">
        <v>43</v>
      </c>
      <c r="D7316" t="s">
        <v>100</v>
      </c>
      <c r="E7316" t="s">
        <v>13</v>
      </c>
      <c r="F7316">
        <v>1</v>
      </c>
      <c r="G7316" t="str">
        <f>VLOOKUP(D7316,Товары!A:I,3,0)</f>
        <v>Тумба с раковиной  навес. Альба 800 мята 1 ящик с умыв. Слим</v>
      </c>
      <c r="H7316">
        <f>VLOOKUP(D7316,Товары!A:I,6,0)</f>
        <v>45</v>
      </c>
      <c r="I7316" t="str">
        <f>VLOOKUP(C7316,Магазины!A:C,3,0)</f>
        <v>Набережные Челны</v>
      </c>
      <c r="J7316">
        <f>VLOOKUP(D7316,Товары!A:I,4,0)</f>
        <v>21630</v>
      </c>
      <c r="K7316">
        <f t="shared" si="114"/>
        <v>21630</v>
      </c>
    </row>
    <row r="7317" spans="1:11" hidden="1" x14ac:dyDescent="0.25">
      <c r="A7317">
        <v>7316</v>
      </c>
      <c r="B7317" s="1">
        <v>45749</v>
      </c>
      <c r="C7317" t="s">
        <v>18</v>
      </c>
      <c r="D7317" t="s">
        <v>118</v>
      </c>
      <c r="E7317" t="s">
        <v>8</v>
      </c>
      <c r="F7317">
        <v>2</v>
      </c>
      <c r="G7317" t="str">
        <f>VLOOKUP(D7317,Товары!A:I,3,0)</f>
        <v>Тумба с раковиной  напол. Сохо 800 белый 2 ящика с умыв. Слим</v>
      </c>
      <c r="H7317">
        <f>VLOOKUP(D7317,Товары!A:I,6,0)</f>
        <v>85</v>
      </c>
      <c r="I7317" t="str">
        <f>VLOOKUP(C7317,Магазины!A:C,3,0)</f>
        <v>Набережные Челны</v>
      </c>
      <c r="J7317">
        <f>VLOOKUP(D7317,Товары!A:I,4,0)</f>
        <v>19575</v>
      </c>
      <c r="K7317">
        <f t="shared" si="114"/>
        <v>39150</v>
      </c>
    </row>
    <row r="7318" spans="1:11" hidden="1" x14ac:dyDescent="0.25">
      <c r="A7318">
        <v>7317</v>
      </c>
      <c r="B7318" s="1">
        <v>45752</v>
      </c>
      <c r="C7318" t="s">
        <v>111</v>
      </c>
      <c r="D7318" t="s">
        <v>53</v>
      </c>
      <c r="E7318" t="s">
        <v>13</v>
      </c>
      <c r="F7318">
        <v>3</v>
      </c>
      <c r="G7318" t="str">
        <f>VLOOKUP(D7318,Товары!A:I,3,0)</f>
        <v>Тумба с раковиной  напол. Кристалл 600 шато азур 2 ящика с умыв. Океан</v>
      </c>
      <c r="H7318">
        <f>VLOOKUP(D7318,Товары!A:I,6,0)</f>
        <v>85</v>
      </c>
      <c r="I7318" t="str">
        <f>VLOOKUP(C7318,Магазины!A:C,3,0)</f>
        <v>Набережные Челны</v>
      </c>
      <c r="J7318">
        <f>VLOOKUP(D7318,Товары!A:I,4,0)</f>
        <v>27600</v>
      </c>
      <c r="K7318">
        <f t="shared" si="114"/>
        <v>82800</v>
      </c>
    </row>
    <row r="7319" spans="1:11" hidden="1" x14ac:dyDescent="0.25">
      <c r="A7319">
        <v>7318</v>
      </c>
      <c r="B7319" s="1">
        <v>45752</v>
      </c>
      <c r="C7319" t="s">
        <v>22</v>
      </c>
      <c r="D7319" t="s">
        <v>21</v>
      </c>
      <c r="E7319" t="s">
        <v>8</v>
      </c>
      <c r="F7319">
        <v>2</v>
      </c>
      <c r="G7319" t="str">
        <f>VLOOKUP(D7319,Товары!A:I,3,0)</f>
        <v>Зеркальный шкаф Рица 60 со светильником правый цвет cерый/керамика</v>
      </c>
      <c r="H7319">
        <f>VLOOKUP(D7319,Товары!A:I,6,0)</f>
        <v>75</v>
      </c>
      <c r="I7319" t="str">
        <f>VLOOKUP(C7319,Магазины!A:C,3,0)</f>
        <v>Кемерово</v>
      </c>
      <c r="J7319">
        <f>VLOOKUP(D7319,Товары!A:I,4,0)</f>
        <v>8910</v>
      </c>
      <c r="K7319">
        <f t="shared" si="114"/>
        <v>17820</v>
      </c>
    </row>
    <row r="7320" spans="1:11" hidden="1" x14ac:dyDescent="0.25">
      <c r="A7320">
        <v>7319</v>
      </c>
      <c r="B7320" s="1">
        <v>45751</v>
      </c>
      <c r="C7320" t="s">
        <v>9</v>
      </c>
      <c r="D7320" t="s">
        <v>102</v>
      </c>
      <c r="E7320" t="s">
        <v>13</v>
      </c>
      <c r="F7320">
        <v>3</v>
      </c>
      <c r="G7320" t="str">
        <f>VLOOKUP(D7320,Товары!A:I,3,0)</f>
        <v>Тумба с раковиной  напол. Леон Риф 1000 солярис/белый риф 2 ящика с умыв. Слим</v>
      </c>
      <c r="H7320">
        <f>VLOOKUP(D7320,Товары!A:I,6,0)</f>
        <v>85</v>
      </c>
      <c r="I7320" t="str">
        <f>VLOOKUP(C7320,Магазины!A:C,3,0)</f>
        <v>Кемерово</v>
      </c>
      <c r="J7320">
        <f>VLOOKUP(D7320,Товары!A:I,4,0)</f>
        <v>32085</v>
      </c>
      <c r="K7320">
        <f t="shared" si="114"/>
        <v>96255</v>
      </c>
    </row>
    <row r="7321" spans="1:11" hidden="1" x14ac:dyDescent="0.25">
      <c r="A7321">
        <v>7320</v>
      </c>
      <c r="B7321" s="1">
        <v>45755</v>
      </c>
      <c r="C7321" t="s">
        <v>20</v>
      </c>
      <c r="D7321" t="s">
        <v>86</v>
      </c>
      <c r="E7321" t="s">
        <v>13</v>
      </c>
      <c r="F7321">
        <v>2</v>
      </c>
      <c r="G7321" t="str">
        <f>VLOOKUP(D7321,Товары!A:I,3,0)</f>
        <v>Комод Аква 50 напольный 1 ящик 2 двери белый</v>
      </c>
      <c r="H7321">
        <f>VLOOKUP(D7321,Товары!A:I,6,0)</f>
        <v>90</v>
      </c>
      <c r="I7321" t="str">
        <f>VLOOKUP(C7321,Магазины!A:C,3,0)</f>
        <v>Оренбург</v>
      </c>
      <c r="J7321">
        <f>VLOOKUP(D7321,Товары!A:I,4,0)</f>
        <v>7260</v>
      </c>
      <c r="K7321">
        <f t="shared" si="114"/>
        <v>14520</v>
      </c>
    </row>
    <row r="7322" spans="1:11" hidden="1" x14ac:dyDescent="0.25">
      <c r="A7322">
        <v>7321</v>
      </c>
      <c r="B7322" s="1">
        <v>45757</v>
      </c>
      <c r="C7322" t="s">
        <v>48</v>
      </c>
      <c r="D7322" t="s">
        <v>17</v>
      </c>
      <c r="E7322" t="s">
        <v>13</v>
      </c>
      <c r="F7322">
        <v>2</v>
      </c>
      <c r="G7322" t="str">
        <f>VLOOKUP(D7322,Товары!A:I,3,0)</f>
        <v>Тумба с раковиной  навес. Альба 800 антрацит 1 ящик с умыв. Слим</v>
      </c>
      <c r="H7322">
        <f>VLOOKUP(D7322,Товары!A:I,6,0)</f>
        <v>45</v>
      </c>
      <c r="I7322" t="str">
        <f>VLOOKUP(C7322,Магазины!A:C,3,0)</f>
        <v>Ставрополь</v>
      </c>
      <c r="J7322">
        <f>VLOOKUP(D7322,Товары!A:I,4,0)</f>
        <v>21630</v>
      </c>
      <c r="K7322">
        <f t="shared" si="114"/>
        <v>43260</v>
      </c>
    </row>
    <row r="7323" spans="1:11" hidden="1" x14ac:dyDescent="0.25">
      <c r="A7323">
        <v>7322</v>
      </c>
      <c r="B7323" s="1">
        <v>45753</v>
      </c>
      <c r="C7323" t="s">
        <v>43</v>
      </c>
      <c r="D7323" t="s">
        <v>120</v>
      </c>
      <c r="E7323" t="s">
        <v>8</v>
      </c>
      <c r="F7323">
        <v>3</v>
      </c>
      <c r="G7323" t="str">
        <f>VLOOKUP(D7323,Товары!A:I,3,0)</f>
        <v>Зеркальный шкаф Альба 60 со светильником правый цвет антрацит</v>
      </c>
      <c r="H7323">
        <f>VLOOKUP(D7323,Товары!A:I,6,0)</f>
        <v>75</v>
      </c>
      <c r="I7323" t="str">
        <f>VLOOKUP(C7323,Магазины!A:C,3,0)</f>
        <v>Набережные Челны</v>
      </c>
      <c r="J7323">
        <f>VLOOKUP(D7323,Товары!A:I,4,0)</f>
        <v>8910</v>
      </c>
      <c r="K7323">
        <f t="shared" si="114"/>
        <v>26730</v>
      </c>
    </row>
    <row r="7324" spans="1:11" hidden="1" x14ac:dyDescent="0.25">
      <c r="A7324">
        <v>7323</v>
      </c>
      <c r="B7324" s="1">
        <v>45753</v>
      </c>
      <c r="C7324" t="s">
        <v>58</v>
      </c>
      <c r="D7324" t="s">
        <v>87</v>
      </c>
      <c r="E7324" t="s">
        <v>8</v>
      </c>
      <c r="F7324">
        <v>2</v>
      </c>
      <c r="G7324" t="str">
        <f>VLOOKUP(D7324,Товары!A:I,3,0)</f>
        <v>Тумба с раковиной  напол. Леон 700 форест 2 ящика с умыв. Слим</v>
      </c>
      <c r="H7324">
        <f>VLOOKUP(D7324,Товары!A:I,6,0)</f>
        <v>80</v>
      </c>
      <c r="I7324" t="str">
        <f>VLOOKUP(C7324,Магазины!A:C,3,0)</f>
        <v>Ставрополь</v>
      </c>
      <c r="J7324">
        <f>VLOOKUP(D7324,Товары!A:I,4,0)</f>
        <v>28380</v>
      </c>
      <c r="K7324">
        <f t="shared" si="114"/>
        <v>56760</v>
      </c>
    </row>
    <row r="7325" spans="1:11" hidden="1" x14ac:dyDescent="0.25">
      <c r="A7325">
        <v>7324</v>
      </c>
      <c r="B7325" s="1">
        <v>45752</v>
      </c>
      <c r="C7325" t="s">
        <v>18</v>
      </c>
      <c r="D7325" t="s">
        <v>89</v>
      </c>
      <c r="E7325" t="s">
        <v>13</v>
      </c>
      <c r="F7325">
        <v>3</v>
      </c>
      <c r="G7325" t="str">
        <f>VLOOKUP(D7325,Товары!A:I,3,0)</f>
        <v>Тумба с раковиной  напол. Сохо 600 белый 2 двери с умыв. Океан</v>
      </c>
      <c r="H7325">
        <f>VLOOKUP(D7325,Товары!A:I,6,0)</f>
        <v>85</v>
      </c>
      <c r="I7325" t="str">
        <f>VLOOKUP(C7325,Магазины!A:C,3,0)</f>
        <v>Набережные Челны</v>
      </c>
      <c r="J7325">
        <f>VLOOKUP(D7325,Товары!A:I,4,0)</f>
        <v>14880</v>
      </c>
      <c r="K7325">
        <f t="shared" si="114"/>
        <v>44640</v>
      </c>
    </row>
    <row r="7326" spans="1:11" hidden="1" x14ac:dyDescent="0.25">
      <c r="A7326">
        <v>7325</v>
      </c>
      <c r="B7326" s="1">
        <v>45755</v>
      </c>
      <c r="C7326" t="s">
        <v>54</v>
      </c>
      <c r="D7326" t="s">
        <v>97</v>
      </c>
      <c r="E7326" t="s">
        <v>13</v>
      </c>
      <c r="F7326">
        <v>1</v>
      </c>
      <c r="G7326" t="str">
        <f>VLOOKUP(D7326,Товары!A:I,3,0)</f>
        <v>Пенал напол. Кристалл 350 суфле 2 двери</v>
      </c>
      <c r="H7326">
        <f>VLOOKUP(D7326,Товары!A:I,6,0)</f>
        <v>190</v>
      </c>
      <c r="I7326" t="str">
        <f>VLOOKUP(C7326,Магазины!A:C,3,0)</f>
        <v>Ставрополь</v>
      </c>
      <c r="J7326">
        <f>VLOOKUP(D7326,Товары!A:I,4,0)</f>
        <v>15810</v>
      </c>
      <c r="K7326">
        <f t="shared" si="114"/>
        <v>15810</v>
      </c>
    </row>
    <row r="7327" spans="1:11" hidden="1" x14ac:dyDescent="0.25">
      <c r="A7327">
        <v>7326</v>
      </c>
      <c r="B7327" s="1">
        <v>45748</v>
      </c>
      <c r="C7327" t="s">
        <v>54</v>
      </c>
      <c r="D7327" t="s">
        <v>128</v>
      </c>
      <c r="E7327" t="s">
        <v>8</v>
      </c>
      <c r="F7327">
        <v>2</v>
      </c>
      <c r="G7327" t="str">
        <f>VLOOKUP(D7327,Товары!A:I,3,0)</f>
        <v>Тумба с раковиной  напол. Куба Риф 1000 белый 2 ящика с умыв. Слим</v>
      </c>
      <c r="H7327">
        <f>VLOOKUP(D7327,Товары!A:I,6,0)</f>
        <v>85</v>
      </c>
      <c r="I7327" t="str">
        <f>VLOOKUP(C7327,Магазины!A:C,3,0)</f>
        <v>Ставрополь</v>
      </c>
      <c r="J7327">
        <f>VLOOKUP(D7327,Товары!A:I,4,0)</f>
        <v>22905</v>
      </c>
      <c r="K7327">
        <f t="shared" si="114"/>
        <v>45810</v>
      </c>
    </row>
    <row r="7328" spans="1:11" hidden="1" x14ac:dyDescent="0.25">
      <c r="A7328">
        <v>7327</v>
      </c>
      <c r="B7328" s="1">
        <v>45757</v>
      </c>
      <c r="C7328" t="s">
        <v>111</v>
      </c>
      <c r="D7328" t="s">
        <v>109</v>
      </c>
      <c r="E7328" t="s">
        <v>13</v>
      </c>
      <c r="F7328">
        <v>1</v>
      </c>
      <c r="G7328" t="str">
        <f>VLOOKUP(D7328,Товары!A:I,3,0)</f>
        <v>Тумба с раковиной  навес. Альба 600 антрацит 2 ящика с умыв. Океан</v>
      </c>
      <c r="H7328">
        <f>VLOOKUP(D7328,Товары!A:I,6,0)</f>
        <v>50</v>
      </c>
      <c r="I7328" t="str">
        <f>VLOOKUP(C7328,Магазины!A:C,3,0)</f>
        <v>Набережные Челны</v>
      </c>
      <c r="J7328">
        <f>VLOOKUP(D7328,Товары!A:I,4,0)</f>
        <v>24810</v>
      </c>
      <c r="K7328">
        <f t="shared" si="114"/>
        <v>24810</v>
      </c>
    </row>
    <row r="7329" spans="1:11" hidden="1" x14ac:dyDescent="0.25">
      <c r="A7329">
        <v>7328</v>
      </c>
      <c r="B7329" s="1">
        <v>45751</v>
      </c>
      <c r="C7329" t="s">
        <v>57</v>
      </c>
      <c r="D7329" t="s">
        <v>93</v>
      </c>
      <c r="E7329" t="s">
        <v>13</v>
      </c>
      <c r="F7329">
        <v>2</v>
      </c>
      <c r="G7329" t="str">
        <f>VLOOKUP(D7329,Товары!A:I,3,0)</f>
        <v>Тумба с раковиной  напол. Леон Риф 800 солярис/белый риф 2 ящика с умыв. Слим</v>
      </c>
      <c r="H7329">
        <f>VLOOKUP(D7329,Товары!A:I,6,0)</f>
        <v>80</v>
      </c>
      <c r="I7329" t="str">
        <f>VLOOKUP(C7329,Магазины!A:C,3,0)</f>
        <v>Оренбург</v>
      </c>
      <c r="J7329">
        <f>VLOOKUP(D7329,Товары!A:I,4,0)</f>
        <v>29340</v>
      </c>
      <c r="K7329">
        <f t="shared" si="114"/>
        <v>58680</v>
      </c>
    </row>
    <row r="7330" spans="1:11" hidden="1" x14ac:dyDescent="0.25">
      <c r="A7330">
        <v>7329</v>
      </c>
      <c r="B7330" s="1">
        <v>45752</v>
      </c>
      <c r="C7330" t="s">
        <v>28</v>
      </c>
      <c r="D7330" t="s">
        <v>71</v>
      </c>
      <c r="E7330" t="s">
        <v>13</v>
      </c>
      <c r="F7330">
        <v>3</v>
      </c>
      <c r="G7330" t="str">
        <f>VLOOKUP(D7330,Товары!A:I,3,0)</f>
        <v>Тумба с раковиной  навес. Альба 600 мята 2 ящика с умыв. Океан</v>
      </c>
      <c r="H7330">
        <f>VLOOKUP(D7330,Товары!A:I,6,0)</f>
        <v>50</v>
      </c>
      <c r="I7330" t="str">
        <f>VLOOKUP(C7330,Магазины!A:C,3,0)</f>
        <v>Набережные Челны</v>
      </c>
      <c r="J7330">
        <f>VLOOKUP(D7330,Товары!A:I,4,0)</f>
        <v>24810</v>
      </c>
      <c r="K7330">
        <f t="shared" si="114"/>
        <v>74430</v>
      </c>
    </row>
    <row r="7331" spans="1:11" hidden="1" x14ac:dyDescent="0.25">
      <c r="A7331">
        <v>7330</v>
      </c>
      <c r="B7331" s="1">
        <v>45751</v>
      </c>
      <c r="C7331" t="s">
        <v>6</v>
      </c>
      <c r="D7331" t="s">
        <v>42</v>
      </c>
      <c r="E7331" t="s">
        <v>13</v>
      </c>
      <c r="F7331">
        <v>1</v>
      </c>
      <c r="G7331" t="str">
        <f>VLOOKUP(D7331,Товары!A:I,3,0)</f>
        <v>Тумба под стиральную машину Леон Риф 57 подвесная 2 ящика под ст/маш, без умывальника /под Marshall 120 Солярис/Белый Риф</v>
      </c>
      <c r="H7331">
        <f>VLOOKUP(D7331,Товары!A:I,6,0)</f>
        <v>60</v>
      </c>
      <c r="I7331" t="str">
        <f>VLOOKUP(C7331,Магазины!A:C,3,0)</f>
        <v>Оренбург</v>
      </c>
      <c r="J7331">
        <f>VLOOKUP(D7331,Товары!A:I,4,0)</f>
        <v>15495</v>
      </c>
      <c r="K7331">
        <f t="shared" si="114"/>
        <v>15495</v>
      </c>
    </row>
    <row r="7332" spans="1:11" hidden="1" x14ac:dyDescent="0.25">
      <c r="A7332">
        <v>7331</v>
      </c>
      <c r="B7332" s="1">
        <v>45757</v>
      </c>
      <c r="C7332" t="s">
        <v>54</v>
      </c>
      <c r="D7332" t="s">
        <v>124</v>
      </c>
      <c r="E7332" t="s">
        <v>13</v>
      </c>
      <c r="F7332">
        <v>2</v>
      </c>
      <c r="G7332" t="str">
        <f>VLOOKUP(D7332,Товары!A:I,3,0)</f>
        <v>Тумба с раковиной  напол. Леон 600 оникс 2 ящика с умыв. Океан</v>
      </c>
      <c r="H7332">
        <f>VLOOKUP(D7332,Товары!A:I,6,0)</f>
        <v>80</v>
      </c>
      <c r="I7332" t="str">
        <f>VLOOKUP(C7332,Магазины!A:C,3,0)</f>
        <v>Ставрополь</v>
      </c>
      <c r="J7332">
        <f>VLOOKUP(D7332,Товары!A:I,4,0)</f>
        <v>25860</v>
      </c>
      <c r="K7332">
        <f t="shared" si="114"/>
        <v>51720</v>
      </c>
    </row>
    <row r="7333" spans="1:11" hidden="1" x14ac:dyDescent="0.25">
      <c r="A7333">
        <v>7332</v>
      </c>
      <c r="B7333" s="1">
        <v>45748</v>
      </c>
      <c r="C7333" t="s">
        <v>43</v>
      </c>
      <c r="D7333" t="s">
        <v>105</v>
      </c>
      <c r="E7333" t="s">
        <v>13</v>
      </c>
      <c r="F7333">
        <v>2</v>
      </c>
      <c r="G7333" t="str">
        <f>VLOOKUP(D7333,Товары!A:I,3,0)</f>
        <v>Тумба с раковиной  напол. Нева 600 белый 2 двери + 1 ящик с умыв. Como</v>
      </c>
      <c r="H7333">
        <f>VLOOKUP(D7333,Товары!A:I,6,0)</f>
        <v>80</v>
      </c>
      <c r="I7333" t="str">
        <f>VLOOKUP(C7333,Магазины!A:C,3,0)</f>
        <v>Набережные Челны</v>
      </c>
      <c r="J7333">
        <f>VLOOKUP(D7333,Товары!A:I,4,0)</f>
        <v>13470</v>
      </c>
      <c r="K7333">
        <f t="shared" si="114"/>
        <v>26940</v>
      </c>
    </row>
    <row r="7334" spans="1:11" hidden="1" x14ac:dyDescent="0.25">
      <c r="A7334">
        <v>7333</v>
      </c>
      <c r="B7334" s="1">
        <v>45750</v>
      </c>
      <c r="C7334" t="s">
        <v>9</v>
      </c>
      <c r="D7334" t="s">
        <v>99</v>
      </c>
      <c r="E7334" t="s">
        <v>13</v>
      </c>
      <c r="F7334">
        <v>2</v>
      </c>
      <c r="G7334" t="str">
        <f>VLOOKUP(D7334,Товары!A:I,3,0)</f>
        <v>Тумба с раковиной  навес. Леон 600 оникс 2 ящика с умыв. Слим</v>
      </c>
      <c r="H7334">
        <f>VLOOKUP(D7334,Товары!A:I,6,0)</f>
        <v>60</v>
      </c>
      <c r="I7334" t="str">
        <f>VLOOKUP(C7334,Магазины!A:C,3,0)</f>
        <v>Кемерово</v>
      </c>
      <c r="J7334">
        <f>VLOOKUP(D7334,Товары!A:I,4,0)</f>
        <v>25125</v>
      </c>
      <c r="K7334">
        <f t="shared" si="114"/>
        <v>50250</v>
      </c>
    </row>
    <row r="7335" spans="1:11" hidden="1" x14ac:dyDescent="0.25">
      <c r="A7335">
        <v>7334</v>
      </c>
      <c r="B7335" s="1">
        <v>45755</v>
      </c>
      <c r="C7335" t="s">
        <v>103</v>
      </c>
      <c r="D7335" t="s">
        <v>85</v>
      </c>
      <c r="E7335" t="s">
        <v>13</v>
      </c>
      <c r="F7335">
        <v>1</v>
      </c>
      <c r="G7335" t="str">
        <f>VLOOKUP(D7335,Товары!A:I,3,0)</f>
        <v>Пенал напол. Аква 450 белый 2 двери + 2 ящика + корзина</v>
      </c>
      <c r="H7335">
        <f>VLOOKUP(D7335,Товары!A:I,6,0)</f>
        <v>190</v>
      </c>
      <c r="I7335" t="str">
        <f>VLOOKUP(C7335,Магазины!A:C,3,0)</f>
        <v>Ставрополь</v>
      </c>
      <c r="J7335">
        <f>VLOOKUP(D7335,Товары!A:I,4,0)</f>
        <v>13335</v>
      </c>
      <c r="K7335">
        <f t="shared" si="114"/>
        <v>13335</v>
      </c>
    </row>
    <row r="7336" spans="1:11" hidden="1" x14ac:dyDescent="0.25">
      <c r="A7336">
        <v>7335</v>
      </c>
      <c r="B7336" s="1">
        <v>45754</v>
      </c>
      <c r="C7336" t="s">
        <v>20</v>
      </c>
      <c r="D7336" t="s">
        <v>90</v>
      </c>
      <c r="E7336" t="s">
        <v>13</v>
      </c>
      <c r="F7336">
        <v>1</v>
      </c>
      <c r="G7336" t="str">
        <f>VLOOKUP(D7336,Товары!A:I,3,0)</f>
        <v>Пенал напол. Аква 350 белый 2 двери + 2 ящика</v>
      </c>
      <c r="H7336">
        <f>VLOOKUP(D7336,Товары!A:I,6,0)</f>
        <v>190</v>
      </c>
      <c r="I7336" t="str">
        <f>VLOOKUP(C7336,Магазины!A:C,3,0)</f>
        <v>Оренбург</v>
      </c>
      <c r="J7336">
        <f>VLOOKUP(D7336,Товары!A:I,4,0)</f>
        <v>10650</v>
      </c>
      <c r="K7336">
        <f t="shared" si="114"/>
        <v>10650</v>
      </c>
    </row>
    <row r="7337" spans="1:11" hidden="1" x14ac:dyDescent="0.25">
      <c r="A7337">
        <v>7336</v>
      </c>
      <c r="B7337" s="1">
        <v>45748</v>
      </c>
      <c r="C7337" t="s">
        <v>18</v>
      </c>
      <c r="D7337" t="s">
        <v>71</v>
      </c>
      <c r="E7337" t="s">
        <v>13</v>
      </c>
      <c r="F7337">
        <v>2</v>
      </c>
      <c r="G7337" t="str">
        <f>VLOOKUP(D7337,Товары!A:I,3,0)</f>
        <v>Тумба с раковиной  навес. Альба 600 мята 2 ящика с умыв. Океан</v>
      </c>
      <c r="H7337">
        <f>VLOOKUP(D7337,Товары!A:I,6,0)</f>
        <v>50</v>
      </c>
      <c r="I7337" t="str">
        <f>VLOOKUP(C7337,Магазины!A:C,3,0)</f>
        <v>Набережные Челны</v>
      </c>
      <c r="J7337">
        <f>VLOOKUP(D7337,Товары!A:I,4,0)</f>
        <v>24810</v>
      </c>
      <c r="K7337">
        <f t="shared" si="114"/>
        <v>49620</v>
      </c>
    </row>
    <row r="7338" spans="1:11" hidden="1" x14ac:dyDescent="0.25">
      <c r="A7338">
        <v>7337</v>
      </c>
      <c r="B7338" s="1">
        <v>45752</v>
      </c>
      <c r="C7338" t="s">
        <v>63</v>
      </c>
      <c r="D7338" t="s">
        <v>31</v>
      </c>
      <c r="E7338" t="s">
        <v>8</v>
      </c>
      <c r="F7338">
        <v>3</v>
      </c>
      <c r="G7338" t="str">
        <f>VLOOKUP(D7338,Товары!A:I,3,0)</f>
        <v>Пенал напол. Виктория 350 белый 2 двери</v>
      </c>
      <c r="H7338">
        <f>VLOOKUP(D7338,Товары!A:I,6,0)</f>
        <v>190</v>
      </c>
      <c r="I7338" t="str">
        <f>VLOOKUP(C7338,Магазины!A:C,3,0)</f>
        <v>Ставрополь</v>
      </c>
      <c r="J7338">
        <f>VLOOKUP(D7338,Товары!A:I,4,0)</f>
        <v>14085</v>
      </c>
      <c r="K7338">
        <f t="shared" si="114"/>
        <v>42255</v>
      </c>
    </row>
    <row r="7339" spans="1:11" hidden="1" x14ac:dyDescent="0.25">
      <c r="A7339">
        <v>7338</v>
      </c>
      <c r="B7339" s="1">
        <v>45752</v>
      </c>
      <c r="C7339" t="s">
        <v>43</v>
      </c>
      <c r="D7339" t="s">
        <v>120</v>
      </c>
      <c r="E7339" t="s">
        <v>13</v>
      </c>
      <c r="F7339">
        <v>3</v>
      </c>
      <c r="G7339" t="str">
        <f>VLOOKUP(D7339,Товары!A:I,3,0)</f>
        <v>Зеркальный шкаф Альба 60 со светильником правый цвет антрацит</v>
      </c>
      <c r="H7339">
        <f>VLOOKUP(D7339,Товары!A:I,6,0)</f>
        <v>75</v>
      </c>
      <c r="I7339" t="str">
        <f>VLOOKUP(C7339,Магазины!A:C,3,0)</f>
        <v>Набережные Челны</v>
      </c>
      <c r="J7339">
        <f>VLOOKUP(D7339,Товары!A:I,4,0)</f>
        <v>8910</v>
      </c>
      <c r="K7339">
        <f t="shared" si="114"/>
        <v>26730</v>
      </c>
    </row>
    <row r="7340" spans="1:11" hidden="1" x14ac:dyDescent="0.25">
      <c r="A7340">
        <v>7339</v>
      </c>
      <c r="B7340" s="1">
        <v>45755</v>
      </c>
      <c r="C7340" t="s">
        <v>20</v>
      </c>
      <c r="D7340" t="s">
        <v>75</v>
      </c>
      <c r="E7340" t="s">
        <v>8</v>
      </c>
      <c r="F7340">
        <v>2</v>
      </c>
      <c r="G7340" t="str">
        <f>VLOOKUP(D7340,Товары!A:I,3,0)</f>
        <v>Тумба с раковиной  напол. Альба 600 суфле 2 ящика с умыв. Океан</v>
      </c>
      <c r="H7340">
        <f>VLOOKUP(D7340,Товары!A:I,6,0)</f>
        <v>80</v>
      </c>
      <c r="I7340" t="str">
        <f>VLOOKUP(C7340,Магазины!A:C,3,0)</f>
        <v>Оренбург</v>
      </c>
      <c r="J7340">
        <f>VLOOKUP(D7340,Товары!A:I,4,0)</f>
        <v>26370</v>
      </c>
      <c r="K7340">
        <f t="shared" si="114"/>
        <v>52740</v>
      </c>
    </row>
    <row r="7341" spans="1:11" hidden="1" x14ac:dyDescent="0.25">
      <c r="A7341">
        <v>7340</v>
      </c>
      <c r="B7341" s="1">
        <v>45749</v>
      </c>
      <c r="C7341" t="s">
        <v>11</v>
      </c>
      <c r="D7341" t="s">
        <v>116</v>
      </c>
      <c r="E7341" t="s">
        <v>8</v>
      </c>
      <c r="F7341">
        <v>2</v>
      </c>
      <c r="G7341" t="str">
        <f>VLOOKUP(D7341,Товары!A:I,3,0)</f>
        <v>Зеркало Нева 60 дуб/белый со светильником</v>
      </c>
      <c r="H7341">
        <f>VLOOKUP(D7341,Товары!A:I,6,0)</f>
        <v>80</v>
      </c>
      <c r="I7341" t="str">
        <f>VLOOKUP(C7341,Магазины!A:C,3,0)</f>
        <v>Кемерово</v>
      </c>
      <c r="J7341">
        <f>VLOOKUP(D7341,Товары!A:I,4,0)</f>
        <v>5100</v>
      </c>
      <c r="K7341">
        <f t="shared" si="114"/>
        <v>10200</v>
      </c>
    </row>
    <row r="7342" spans="1:11" hidden="1" x14ac:dyDescent="0.25">
      <c r="A7342">
        <v>7341</v>
      </c>
      <c r="B7342" s="1">
        <v>45752</v>
      </c>
      <c r="C7342" t="s">
        <v>103</v>
      </c>
      <c r="D7342" t="s">
        <v>84</v>
      </c>
      <c r="E7342" t="s">
        <v>13</v>
      </c>
      <c r="F7342">
        <v>2</v>
      </c>
      <c r="G7342" t="str">
        <f>VLOOKUP(D7342,Товары!A:I,3,0)</f>
        <v>Тумба с раковиной  напол. Куба Риф 800 белый 3 двери с умыв. Слим</v>
      </c>
      <c r="H7342">
        <f>VLOOKUP(D7342,Товары!A:I,6,0)</f>
        <v>85</v>
      </c>
      <c r="I7342" t="str">
        <f>VLOOKUP(C7342,Магазины!A:C,3,0)</f>
        <v>Ставрополь</v>
      </c>
      <c r="J7342">
        <f>VLOOKUP(D7342,Товары!A:I,4,0)</f>
        <v>19920</v>
      </c>
      <c r="K7342">
        <f t="shared" si="114"/>
        <v>39840</v>
      </c>
    </row>
    <row r="7343" spans="1:11" hidden="1" x14ac:dyDescent="0.25">
      <c r="A7343">
        <v>7342</v>
      </c>
      <c r="B7343" s="1">
        <v>45757</v>
      </c>
      <c r="C7343" t="s">
        <v>6</v>
      </c>
      <c r="D7343" t="s">
        <v>116</v>
      </c>
      <c r="E7343" t="s">
        <v>13</v>
      </c>
      <c r="F7343">
        <v>2</v>
      </c>
      <c r="G7343" t="str">
        <f>VLOOKUP(D7343,Товары!A:I,3,0)</f>
        <v>Зеркало Нева 60 дуб/белый со светильником</v>
      </c>
      <c r="H7343">
        <f>VLOOKUP(D7343,Товары!A:I,6,0)</f>
        <v>80</v>
      </c>
      <c r="I7343" t="str">
        <f>VLOOKUP(C7343,Магазины!A:C,3,0)</f>
        <v>Оренбург</v>
      </c>
      <c r="J7343">
        <f>VLOOKUP(D7343,Товары!A:I,4,0)</f>
        <v>5100</v>
      </c>
      <c r="K7343">
        <f t="shared" si="114"/>
        <v>10200</v>
      </c>
    </row>
    <row r="7344" spans="1:11" hidden="1" x14ac:dyDescent="0.25">
      <c r="A7344">
        <v>7343</v>
      </c>
      <c r="B7344" s="1">
        <v>45753</v>
      </c>
      <c r="C7344" t="s">
        <v>63</v>
      </c>
      <c r="D7344" t="s">
        <v>87</v>
      </c>
      <c r="E7344" t="s">
        <v>13</v>
      </c>
      <c r="F7344">
        <v>1</v>
      </c>
      <c r="G7344" t="str">
        <f>VLOOKUP(D7344,Товары!A:I,3,0)</f>
        <v>Тумба с раковиной  напол. Леон 700 форест 2 ящика с умыв. Слим</v>
      </c>
      <c r="H7344">
        <f>VLOOKUP(D7344,Товары!A:I,6,0)</f>
        <v>80</v>
      </c>
      <c r="I7344" t="str">
        <f>VLOOKUP(C7344,Магазины!A:C,3,0)</f>
        <v>Ставрополь</v>
      </c>
      <c r="J7344">
        <f>VLOOKUP(D7344,Товары!A:I,4,0)</f>
        <v>28380</v>
      </c>
      <c r="K7344">
        <f t="shared" si="114"/>
        <v>28380</v>
      </c>
    </row>
    <row r="7345" spans="1:11" hidden="1" x14ac:dyDescent="0.25">
      <c r="A7345">
        <v>7344</v>
      </c>
      <c r="B7345" s="1">
        <v>45749</v>
      </c>
      <c r="C7345" t="s">
        <v>30</v>
      </c>
      <c r="D7345" t="s">
        <v>52</v>
      </c>
      <c r="E7345" t="s">
        <v>13</v>
      </c>
      <c r="F7345">
        <v>2</v>
      </c>
      <c r="G7345" t="str">
        <f>VLOOKUP(D7345,Товары!A:I,3,0)</f>
        <v>Тумба с раковиной  напол. Кристалл 600 суфле 2 ящика с умыв. Океан</v>
      </c>
      <c r="H7345">
        <f>VLOOKUP(D7345,Товары!A:I,6,0)</f>
        <v>80</v>
      </c>
      <c r="I7345" t="str">
        <f>VLOOKUP(C7345,Магазины!A:C,3,0)</f>
        <v>Кемерово</v>
      </c>
      <c r="J7345">
        <f>VLOOKUP(D7345,Товары!A:I,4,0)</f>
        <v>27600</v>
      </c>
      <c r="K7345">
        <f t="shared" si="114"/>
        <v>55200</v>
      </c>
    </row>
    <row r="7346" spans="1:11" hidden="1" x14ac:dyDescent="0.25">
      <c r="A7346">
        <v>7345</v>
      </c>
      <c r="B7346" s="1">
        <v>45756</v>
      </c>
      <c r="C7346" t="s">
        <v>11</v>
      </c>
      <c r="D7346" t="s">
        <v>56</v>
      </c>
      <c r="E7346" t="s">
        <v>13</v>
      </c>
      <c r="F7346">
        <v>1</v>
      </c>
      <c r="G7346" t="str">
        <f>VLOOKUP(D7346,Товары!A:I,3,0)</f>
        <v>Зеркальный шкаф Альба 80 со светильником правый цвет мята</v>
      </c>
      <c r="H7346">
        <f>VLOOKUP(D7346,Товары!A:I,6,0)</f>
        <v>75</v>
      </c>
      <c r="I7346" t="str">
        <f>VLOOKUP(C7346,Магазины!A:C,3,0)</f>
        <v>Кемерово</v>
      </c>
      <c r="J7346">
        <f>VLOOKUP(D7346,Товары!A:I,4,0)</f>
        <v>9930</v>
      </c>
      <c r="K7346">
        <f t="shared" si="114"/>
        <v>9930</v>
      </c>
    </row>
    <row r="7347" spans="1:11" hidden="1" x14ac:dyDescent="0.25">
      <c r="A7347">
        <v>7346</v>
      </c>
      <c r="B7347" s="1">
        <v>45755</v>
      </c>
      <c r="C7347" t="s">
        <v>26</v>
      </c>
      <c r="D7347" t="s">
        <v>127</v>
      </c>
      <c r="E7347" t="s">
        <v>13</v>
      </c>
      <c r="F7347">
        <v>1</v>
      </c>
      <c r="G7347" t="str">
        <f>VLOOKUP(D7347,Товары!A:I,3,0)</f>
        <v>Тумба с раковиной  навес. Альба 700 мята 1 ящик с умыв. Слим</v>
      </c>
      <c r="H7347">
        <f>VLOOKUP(D7347,Товары!A:I,6,0)</f>
        <v>45</v>
      </c>
      <c r="I7347" t="str">
        <f>VLOOKUP(C7347,Магазины!A:C,3,0)</f>
        <v>Оренбург</v>
      </c>
      <c r="J7347">
        <f>VLOOKUP(D7347,Товары!A:I,4,0)</f>
        <v>20130</v>
      </c>
      <c r="K7347">
        <f t="shared" si="114"/>
        <v>20130</v>
      </c>
    </row>
    <row r="7348" spans="1:11" hidden="1" x14ac:dyDescent="0.25">
      <c r="A7348">
        <v>7347</v>
      </c>
      <c r="B7348" s="1">
        <v>45753</v>
      </c>
      <c r="C7348" t="s">
        <v>28</v>
      </c>
      <c r="D7348" t="s">
        <v>91</v>
      </c>
      <c r="E7348" t="s">
        <v>13</v>
      </c>
      <c r="F7348">
        <v>1</v>
      </c>
      <c r="G7348" t="str">
        <f>VLOOKUP(D7348,Товары!A:I,3,0)</f>
        <v>Пенал навес./напол. Альба 350 мята 2 двери</v>
      </c>
      <c r="H7348">
        <f>VLOOKUP(D7348,Товары!A:I,6,0)</f>
        <v>150</v>
      </c>
      <c r="I7348" t="str">
        <f>VLOOKUP(C7348,Магазины!A:C,3,0)</f>
        <v>Набережные Челны</v>
      </c>
      <c r="J7348">
        <f>VLOOKUP(D7348,Товары!A:I,4,0)</f>
        <v>11655</v>
      </c>
      <c r="K7348">
        <f t="shared" si="114"/>
        <v>11655</v>
      </c>
    </row>
    <row r="7349" spans="1:11" hidden="1" x14ac:dyDescent="0.25">
      <c r="A7349">
        <v>7348</v>
      </c>
      <c r="B7349" s="1">
        <v>45756</v>
      </c>
      <c r="C7349" t="s">
        <v>26</v>
      </c>
      <c r="D7349" t="s">
        <v>65</v>
      </c>
      <c r="E7349" t="s">
        <v>13</v>
      </c>
      <c r="F7349">
        <v>2</v>
      </c>
      <c r="G7349" t="str">
        <f>VLOOKUP(D7349,Товары!A:I,3,0)</f>
        <v>Тумба с раковиной  навес. Альба 800 суфле 2 ящика с умыв. Слим</v>
      </c>
      <c r="H7349">
        <f>VLOOKUP(D7349,Товары!A:I,6,0)</f>
        <v>50</v>
      </c>
      <c r="I7349" t="str">
        <f>VLOOKUP(C7349,Магазины!A:C,3,0)</f>
        <v>Оренбург</v>
      </c>
      <c r="J7349">
        <f>VLOOKUP(D7349,Товары!A:I,4,0)</f>
        <v>26070</v>
      </c>
      <c r="K7349">
        <f t="shared" si="114"/>
        <v>52140</v>
      </c>
    </row>
    <row r="7350" spans="1:11" hidden="1" x14ac:dyDescent="0.25">
      <c r="A7350">
        <v>7349</v>
      </c>
      <c r="B7350" s="1">
        <v>45754</v>
      </c>
      <c r="C7350" t="s">
        <v>35</v>
      </c>
      <c r="D7350" t="s">
        <v>90</v>
      </c>
      <c r="E7350" t="s">
        <v>13</v>
      </c>
      <c r="F7350">
        <v>2</v>
      </c>
      <c r="G7350" t="str">
        <f>VLOOKUP(D7350,Товары!A:I,3,0)</f>
        <v>Пенал напол. Аква 350 белый 2 двери + 2 ящика</v>
      </c>
      <c r="H7350">
        <f>VLOOKUP(D7350,Товары!A:I,6,0)</f>
        <v>190</v>
      </c>
      <c r="I7350" t="str">
        <f>VLOOKUP(C7350,Магазины!A:C,3,0)</f>
        <v>Набережные Челны</v>
      </c>
      <c r="J7350">
        <f>VLOOKUP(D7350,Товары!A:I,4,0)</f>
        <v>10650</v>
      </c>
      <c r="K7350">
        <f t="shared" si="114"/>
        <v>21300</v>
      </c>
    </row>
    <row r="7351" spans="1:11" hidden="1" x14ac:dyDescent="0.25">
      <c r="A7351">
        <v>7350</v>
      </c>
      <c r="B7351" s="1">
        <v>45752</v>
      </c>
      <c r="C7351" t="s">
        <v>92</v>
      </c>
      <c r="D7351" t="s">
        <v>10</v>
      </c>
      <c r="E7351" t="s">
        <v>13</v>
      </c>
      <c r="F7351">
        <v>2</v>
      </c>
      <c r="G7351" t="str">
        <f>VLOOKUP(D7351,Товары!A:I,3,0)</f>
        <v>Тумба с раковиной  навес. Альба 700 антрацит 1 ящик с умыв. Слим</v>
      </c>
      <c r="H7351">
        <f>VLOOKUP(D7351,Товары!A:I,6,0)</f>
        <v>45</v>
      </c>
      <c r="I7351" t="str">
        <f>VLOOKUP(C7351,Магазины!A:C,3,0)</f>
        <v>Кемерово</v>
      </c>
      <c r="J7351">
        <f>VLOOKUP(D7351,Товары!A:I,4,0)</f>
        <v>20130</v>
      </c>
      <c r="K7351">
        <f t="shared" si="114"/>
        <v>40260</v>
      </c>
    </row>
    <row r="7352" spans="1:11" hidden="1" x14ac:dyDescent="0.25">
      <c r="A7352">
        <v>7351</v>
      </c>
      <c r="B7352" s="1">
        <v>45752</v>
      </c>
      <c r="C7352" t="s">
        <v>63</v>
      </c>
      <c r="D7352" t="s">
        <v>102</v>
      </c>
      <c r="E7352" t="s">
        <v>8</v>
      </c>
      <c r="F7352">
        <v>3</v>
      </c>
      <c r="G7352" t="str">
        <f>VLOOKUP(D7352,Товары!A:I,3,0)</f>
        <v>Тумба с раковиной  напол. Леон Риф 1000 солярис/белый риф 2 ящика с умыв. Слим</v>
      </c>
      <c r="H7352">
        <f>VLOOKUP(D7352,Товары!A:I,6,0)</f>
        <v>85</v>
      </c>
      <c r="I7352" t="str">
        <f>VLOOKUP(C7352,Магазины!A:C,3,0)</f>
        <v>Ставрополь</v>
      </c>
      <c r="J7352">
        <f>VLOOKUP(D7352,Товары!A:I,4,0)</f>
        <v>32085</v>
      </c>
      <c r="K7352">
        <f t="shared" si="114"/>
        <v>96255</v>
      </c>
    </row>
    <row r="7353" spans="1:11" hidden="1" x14ac:dyDescent="0.25">
      <c r="A7353">
        <v>7352</v>
      </c>
      <c r="B7353" s="1">
        <v>45748</v>
      </c>
      <c r="C7353" t="s">
        <v>18</v>
      </c>
      <c r="D7353" t="s">
        <v>75</v>
      </c>
      <c r="E7353" t="s">
        <v>8</v>
      </c>
      <c r="F7353">
        <v>2</v>
      </c>
      <c r="G7353" t="str">
        <f>VLOOKUP(D7353,Товары!A:I,3,0)</f>
        <v>Тумба с раковиной  напол. Альба 600 суфле 2 ящика с умыв. Океан</v>
      </c>
      <c r="H7353">
        <f>VLOOKUP(D7353,Товары!A:I,6,0)</f>
        <v>80</v>
      </c>
      <c r="I7353" t="str">
        <f>VLOOKUP(C7353,Магазины!A:C,3,0)</f>
        <v>Набережные Челны</v>
      </c>
      <c r="J7353">
        <f>VLOOKUP(D7353,Товары!A:I,4,0)</f>
        <v>26370</v>
      </c>
      <c r="K7353">
        <f t="shared" si="114"/>
        <v>52740</v>
      </c>
    </row>
    <row r="7354" spans="1:11" hidden="1" x14ac:dyDescent="0.25">
      <c r="A7354">
        <v>7353</v>
      </c>
      <c r="B7354" s="1">
        <v>45756</v>
      </c>
      <c r="C7354" t="s">
        <v>26</v>
      </c>
      <c r="D7354" t="s">
        <v>24</v>
      </c>
      <c r="E7354" t="s">
        <v>8</v>
      </c>
      <c r="F7354">
        <v>1</v>
      </c>
      <c r="G7354" t="str">
        <f>VLOOKUP(D7354,Товары!A:I,3,0)</f>
        <v>Тумба с раковиной  напол. Леон 600 форест 2 ящика с умыв. Слим</v>
      </c>
      <c r="H7354">
        <f>VLOOKUP(D7354,Товары!A:I,6,0)</f>
        <v>80</v>
      </c>
      <c r="I7354" t="str">
        <f>VLOOKUP(C7354,Магазины!A:C,3,0)</f>
        <v>Оренбург</v>
      </c>
      <c r="J7354">
        <f>VLOOKUP(D7354,Товары!A:I,4,0)</f>
        <v>27150</v>
      </c>
      <c r="K7354">
        <f t="shared" si="114"/>
        <v>27150</v>
      </c>
    </row>
    <row r="7355" spans="1:11" hidden="1" x14ac:dyDescent="0.25">
      <c r="A7355">
        <v>7354</v>
      </c>
      <c r="B7355" s="1">
        <v>45753</v>
      </c>
      <c r="C7355" t="s">
        <v>63</v>
      </c>
      <c r="D7355" t="s">
        <v>31</v>
      </c>
      <c r="E7355" t="s">
        <v>13</v>
      </c>
      <c r="F7355">
        <v>3</v>
      </c>
      <c r="G7355" t="str">
        <f>VLOOKUP(D7355,Товары!A:I,3,0)</f>
        <v>Пенал напол. Виктория 350 белый 2 двери</v>
      </c>
      <c r="H7355">
        <f>VLOOKUP(D7355,Товары!A:I,6,0)</f>
        <v>190</v>
      </c>
      <c r="I7355" t="str">
        <f>VLOOKUP(C7355,Магазины!A:C,3,0)</f>
        <v>Ставрополь</v>
      </c>
      <c r="J7355">
        <f>VLOOKUP(D7355,Товары!A:I,4,0)</f>
        <v>14085</v>
      </c>
      <c r="K7355">
        <f t="shared" si="114"/>
        <v>42255</v>
      </c>
    </row>
    <row r="7356" spans="1:11" hidden="1" x14ac:dyDescent="0.25">
      <c r="A7356">
        <v>7355</v>
      </c>
      <c r="B7356" s="1">
        <v>45755</v>
      </c>
      <c r="C7356" t="s">
        <v>103</v>
      </c>
      <c r="D7356" t="s">
        <v>36</v>
      </c>
      <c r="E7356" t="s">
        <v>8</v>
      </c>
      <c r="F7356">
        <v>3</v>
      </c>
      <c r="G7356" t="str">
        <f>VLOOKUP(D7356,Товары!A:I,3,0)</f>
        <v>Тумба с раковиной  напол. Альба 800 мята 2 ящика с умыв. Слим</v>
      </c>
      <c r="H7356">
        <f>VLOOKUP(D7356,Товары!A:I,6,0)</f>
        <v>80</v>
      </c>
      <c r="I7356" t="str">
        <f>VLOOKUP(C7356,Магазины!A:C,3,0)</f>
        <v>Ставрополь</v>
      </c>
      <c r="J7356">
        <f>VLOOKUP(D7356,Товары!A:I,4,0)</f>
        <v>29340</v>
      </c>
      <c r="K7356">
        <f t="shared" si="114"/>
        <v>88020</v>
      </c>
    </row>
    <row r="7357" spans="1:11" hidden="1" x14ac:dyDescent="0.25">
      <c r="A7357">
        <v>7356</v>
      </c>
      <c r="B7357" s="1">
        <v>45751</v>
      </c>
      <c r="C7357" t="s">
        <v>92</v>
      </c>
      <c r="D7357" t="s">
        <v>25</v>
      </c>
      <c r="E7357" t="s">
        <v>13</v>
      </c>
      <c r="F7357">
        <v>3</v>
      </c>
      <c r="G7357" t="str">
        <f>VLOOKUP(D7357,Товары!A:I,3,0)</f>
        <v>Пенал напол. Леон 400 оникс 2 двери + 1 ящик</v>
      </c>
      <c r="H7357">
        <f>VLOOKUP(D7357,Товары!A:I,6,0)</f>
        <v>190</v>
      </c>
      <c r="I7357" t="str">
        <f>VLOOKUP(C7357,Магазины!A:C,3,0)</f>
        <v>Кемерово</v>
      </c>
      <c r="J7357">
        <f>VLOOKUP(D7357,Товары!A:I,4,0)</f>
        <v>18450</v>
      </c>
      <c r="K7357">
        <f t="shared" si="114"/>
        <v>55350</v>
      </c>
    </row>
    <row r="7358" spans="1:11" hidden="1" x14ac:dyDescent="0.25">
      <c r="A7358">
        <v>7357</v>
      </c>
      <c r="B7358" s="1">
        <v>45753</v>
      </c>
      <c r="C7358" t="s">
        <v>43</v>
      </c>
      <c r="D7358" t="s">
        <v>115</v>
      </c>
      <c r="E7358" t="s">
        <v>8</v>
      </c>
      <c r="F7358">
        <v>3</v>
      </c>
      <c r="G7358" t="str">
        <f>VLOOKUP(D7358,Товары!A:I,3,0)</f>
        <v>Тумба под стиральную машину Куба Риф 57 напольная 2 ящика под ст/маш, без умывальника /под Marshall 120 Белый</v>
      </c>
      <c r="H7358">
        <f>VLOOKUP(D7358,Товары!A:I,6,0)</f>
        <v>85</v>
      </c>
      <c r="I7358" t="str">
        <f>VLOOKUP(C7358,Магазины!A:C,3,0)</f>
        <v>Набережные Челны</v>
      </c>
      <c r="J7358">
        <f>VLOOKUP(D7358,Товары!A:I,4,0)</f>
        <v>10530</v>
      </c>
      <c r="K7358">
        <f t="shared" si="114"/>
        <v>31590</v>
      </c>
    </row>
    <row r="7359" spans="1:11" hidden="1" x14ac:dyDescent="0.25">
      <c r="A7359">
        <v>7358</v>
      </c>
      <c r="B7359" s="1">
        <v>45751</v>
      </c>
      <c r="C7359" t="s">
        <v>92</v>
      </c>
      <c r="D7359" t="s">
        <v>36</v>
      </c>
      <c r="E7359" t="s">
        <v>8</v>
      </c>
      <c r="F7359">
        <v>2</v>
      </c>
      <c r="G7359" t="str">
        <f>VLOOKUP(D7359,Товары!A:I,3,0)</f>
        <v>Тумба с раковиной  напол. Альба 800 мята 2 ящика с умыв. Слим</v>
      </c>
      <c r="H7359">
        <f>VLOOKUP(D7359,Товары!A:I,6,0)</f>
        <v>80</v>
      </c>
      <c r="I7359" t="str">
        <f>VLOOKUP(C7359,Магазины!A:C,3,0)</f>
        <v>Кемерово</v>
      </c>
      <c r="J7359">
        <f>VLOOKUP(D7359,Товары!A:I,4,0)</f>
        <v>29340</v>
      </c>
      <c r="K7359">
        <f t="shared" si="114"/>
        <v>58680</v>
      </c>
    </row>
    <row r="7360" spans="1:11" hidden="1" x14ac:dyDescent="0.25">
      <c r="A7360">
        <v>7359</v>
      </c>
      <c r="B7360" s="1">
        <v>45754</v>
      </c>
      <c r="C7360" t="s">
        <v>33</v>
      </c>
      <c r="D7360" t="s">
        <v>84</v>
      </c>
      <c r="E7360" t="s">
        <v>13</v>
      </c>
      <c r="F7360">
        <v>2</v>
      </c>
      <c r="G7360" t="str">
        <f>VLOOKUP(D7360,Товары!A:I,3,0)</f>
        <v>Тумба с раковиной  напол. Куба Риф 800 белый 3 двери с умыв. Слим</v>
      </c>
      <c r="H7360">
        <f>VLOOKUP(D7360,Товары!A:I,6,0)</f>
        <v>85</v>
      </c>
      <c r="I7360" t="str">
        <f>VLOOKUP(C7360,Магазины!A:C,3,0)</f>
        <v>Набережные Челны</v>
      </c>
      <c r="J7360">
        <f>VLOOKUP(D7360,Товары!A:I,4,0)</f>
        <v>19920</v>
      </c>
      <c r="K7360">
        <f t="shared" si="114"/>
        <v>39840</v>
      </c>
    </row>
    <row r="7361" spans="1:11" hidden="1" x14ac:dyDescent="0.25">
      <c r="A7361">
        <v>7360</v>
      </c>
      <c r="B7361" s="1">
        <v>45756</v>
      </c>
      <c r="C7361" t="s">
        <v>111</v>
      </c>
      <c r="D7361" t="s">
        <v>55</v>
      </c>
      <c r="E7361" t="s">
        <v>13</v>
      </c>
      <c r="F7361">
        <v>2</v>
      </c>
      <c r="G7361" t="str">
        <f>VLOOKUP(D7361,Товары!A:I,3,0)</f>
        <v>Тумба с раковиной  напол. Рица 600 cерый/керамика 2 ящика с умыв. Океан</v>
      </c>
      <c r="H7361">
        <f>VLOOKUP(D7361,Товары!A:I,6,0)</f>
        <v>80</v>
      </c>
      <c r="I7361" t="str">
        <f>VLOOKUP(C7361,Магазины!A:C,3,0)</f>
        <v>Набережные Челны</v>
      </c>
      <c r="J7361">
        <f>VLOOKUP(D7361,Товары!A:I,4,0)</f>
        <v>25560</v>
      </c>
      <c r="K7361">
        <f t="shared" si="114"/>
        <v>51120</v>
      </c>
    </row>
    <row r="7362" spans="1:11" hidden="1" x14ac:dyDescent="0.25">
      <c r="A7362">
        <v>7361</v>
      </c>
      <c r="B7362" s="1">
        <v>45751</v>
      </c>
      <c r="C7362" t="s">
        <v>11</v>
      </c>
      <c r="D7362" t="s">
        <v>86</v>
      </c>
      <c r="E7362" t="s">
        <v>13</v>
      </c>
      <c r="F7362">
        <v>2</v>
      </c>
      <c r="G7362" t="str">
        <f>VLOOKUP(D7362,Товары!A:I,3,0)</f>
        <v>Комод Аква 50 напольный 1 ящик 2 двери белый</v>
      </c>
      <c r="H7362">
        <f>VLOOKUP(D7362,Товары!A:I,6,0)</f>
        <v>90</v>
      </c>
      <c r="I7362" t="str">
        <f>VLOOKUP(C7362,Магазины!A:C,3,0)</f>
        <v>Кемерово</v>
      </c>
      <c r="J7362">
        <f>VLOOKUP(D7362,Товары!A:I,4,0)</f>
        <v>7260</v>
      </c>
      <c r="K7362">
        <f t="shared" si="114"/>
        <v>14520</v>
      </c>
    </row>
    <row r="7363" spans="1:11" hidden="1" x14ac:dyDescent="0.25">
      <c r="A7363">
        <v>7362</v>
      </c>
      <c r="B7363" s="1">
        <v>45750</v>
      </c>
      <c r="C7363" t="s">
        <v>33</v>
      </c>
      <c r="D7363" t="s">
        <v>69</v>
      </c>
      <c r="E7363" t="s">
        <v>8</v>
      </c>
      <c r="F7363">
        <v>1</v>
      </c>
      <c r="G7363" t="str">
        <f>VLOOKUP(D7363,Товары!A:I,3,0)</f>
        <v>Пенал навес./напол. Альба 350 антрацит 2 двери</v>
      </c>
      <c r="H7363">
        <f>VLOOKUP(D7363,Товары!A:I,6,0)</f>
        <v>150</v>
      </c>
      <c r="I7363" t="str">
        <f>VLOOKUP(C7363,Магазины!A:C,3,0)</f>
        <v>Набережные Челны</v>
      </c>
      <c r="J7363">
        <f>VLOOKUP(D7363,Товары!A:I,4,0)</f>
        <v>11655</v>
      </c>
      <c r="K7363">
        <f t="shared" ref="K7363:K7426" si="115">J7363*F7363</f>
        <v>11655</v>
      </c>
    </row>
    <row r="7364" spans="1:11" hidden="1" x14ac:dyDescent="0.25">
      <c r="A7364">
        <v>7363</v>
      </c>
      <c r="B7364" s="1">
        <v>45752</v>
      </c>
      <c r="C7364" t="s">
        <v>103</v>
      </c>
      <c r="D7364" t="s">
        <v>51</v>
      </c>
      <c r="E7364" t="s">
        <v>8</v>
      </c>
      <c r="F7364">
        <v>2</v>
      </c>
      <c r="G7364" t="str">
        <f>VLOOKUP(D7364,Товары!A:I,3,0)</f>
        <v>Зеркальный шкаф Альба 80 со светильником правый цвет суфле</v>
      </c>
      <c r="H7364">
        <f>VLOOKUP(D7364,Товары!A:I,6,0)</f>
        <v>75</v>
      </c>
      <c r="I7364" t="str">
        <f>VLOOKUP(C7364,Магазины!A:C,3,0)</f>
        <v>Ставрополь</v>
      </c>
      <c r="J7364">
        <f>VLOOKUP(D7364,Товары!A:I,4,0)</f>
        <v>9930</v>
      </c>
      <c r="K7364">
        <f t="shared" si="115"/>
        <v>19860</v>
      </c>
    </row>
    <row r="7365" spans="1:11" hidden="1" x14ac:dyDescent="0.25">
      <c r="A7365">
        <v>7364</v>
      </c>
      <c r="B7365" s="1">
        <v>45754</v>
      </c>
      <c r="C7365" t="s">
        <v>11</v>
      </c>
      <c r="D7365" t="s">
        <v>38</v>
      </c>
      <c r="E7365" t="s">
        <v>13</v>
      </c>
      <c r="F7365">
        <v>1</v>
      </c>
      <c r="G7365" t="str">
        <f>VLOOKUP(D7365,Товары!A:I,3,0)</f>
        <v>Тумба с раковиной  навес. Куба Риф 600 белый 2 ящика с умыв. Como</v>
      </c>
      <c r="H7365">
        <f>VLOOKUP(D7365,Товары!A:I,6,0)</f>
        <v>55</v>
      </c>
      <c r="I7365" t="str">
        <f>VLOOKUP(C7365,Магазины!A:C,3,0)</f>
        <v>Кемерово</v>
      </c>
      <c r="J7365">
        <f>VLOOKUP(D7365,Товары!A:I,4,0)</f>
        <v>14265</v>
      </c>
      <c r="K7365">
        <f t="shared" si="115"/>
        <v>14265</v>
      </c>
    </row>
    <row r="7366" spans="1:11" hidden="1" x14ac:dyDescent="0.25">
      <c r="A7366">
        <v>7365</v>
      </c>
      <c r="B7366" s="1">
        <v>45748</v>
      </c>
      <c r="C7366" t="s">
        <v>9</v>
      </c>
      <c r="D7366" t="s">
        <v>89</v>
      </c>
      <c r="E7366" t="s">
        <v>8</v>
      </c>
      <c r="F7366">
        <v>2</v>
      </c>
      <c r="G7366" t="str">
        <f>VLOOKUP(D7366,Товары!A:I,3,0)</f>
        <v>Тумба с раковиной  напол. Сохо 600 белый 2 двери с умыв. Океан</v>
      </c>
      <c r="H7366">
        <f>VLOOKUP(D7366,Товары!A:I,6,0)</f>
        <v>85</v>
      </c>
      <c r="I7366" t="str">
        <f>VLOOKUP(C7366,Магазины!A:C,3,0)</f>
        <v>Кемерово</v>
      </c>
      <c r="J7366">
        <f>VLOOKUP(D7366,Товары!A:I,4,0)</f>
        <v>14880</v>
      </c>
      <c r="K7366">
        <f t="shared" si="115"/>
        <v>29760</v>
      </c>
    </row>
    <row r="7367" spans="1:11" hidden="1" x14ac:dyDescent="0.25">
      <c r="A7367">
        <v>7366</v>
      </c>
      <c r="B7367" s="1">
        <v>45748</v>
      </c>
      <c r="C7367" t="s">
        <v>30</v>
      </c>
      <c r="D7367" t="s">
        <v>68</v>
      </c>
      <c r="E7367" t="s">
        <v>13</v>
      </c>
      <c r="F7367">
        <v>2</v>
      </c>
      <c r="G7367" t="str">
        <f>VLOOKUP(D7367,Товары!A:I,3,0)</f>
        <v>Тумба с раковиной  навес. Альба 600 антрацит 1 ящик с умыв. Океан</v>
      </c>
      <c r="H7367">
        <f>VLOOKUP(D7367,Товары!A:I,6,0)</f>
        <v>85</v>
      </c>
      <c r="I7367" t="str">
        <f>VLOOKUP(C7367,Магазины!A:C,3,0)</f>
        <v>Кемерово</v>
      </c>
      <c r="J7367">
        <f>VLOOKUP(D7367,Товары!A:I,4,0)</f>
        <v>17625</v>
      </c>
      <c r="K7367">
        <f t="shared" si="115"/>
        <v>35250</v>
      </c>
    </row>
    <row r="7368" spans="1:11" hidden="1" x14ac:dyDescent="0.25">
      <c r="A7368">
        <v>7367</v>
      </c>
      <c r="B7368" s="1">
        <v>45756</v>
      </c>
      <c r="C7368" t="s">
        <v>22</v>
      </c>
      <c r="D7368" t="s">
        <v>90</v>
      </c>
      <c r="E7368" t="s">
        <v>13</v>
      </c>
      <c r="F7368">
        <v>1</v>
      </c>
      <c r="G7368" t="str">
        <f>VLOOKUP(D7368,Товары!A:I,3,0)</f>
        <v>Пенал напол. Аква 350 белый 2 двери + 2 ящика</v>
      </c>
      <c r="H7368">
        <f>VLOOKUP(D7368,Товары!A:I,6,0)</f>
        <v>190</v>
      </c>
      <c r="I7368" t="str">
        <f>VLOOKUP(C7368,Магазины!A:C,3,0)</f>
        <v>Кемерово</v>
      </c>
      <c r="J7368">
        <f>VLOOKUP(D7368,Товары!A:I,4,0)</f>
        <v>10650</v>
      </c>
      <c r="K7368">
        <f t="shared" si="115"/>
        <v>10650</v>
      </c>
    </row>
    <row r="7369" spans="1:11" hidden="1" x14ac:dyDescent="0.25">
      <c r="A7369">
        <v>7368</v>
      </c>
      <c r="B7369" s="1">
        <v>45752</v>
      </c>
      <c r="C7369" t="s">
        <v>63</v>
      </c>
      <c r="D7369" t="s">
        <v>61</v>
      </c>
      <c r="E7369" t="s">
        <v>8</v>
      </c>
      <c r="F7369">
        <v>2</v>
      </c>
      <c r="G7369" t="str">
        <f>VLOOKUP(D7369,Товары!A:I,3,0)</f>
        <v>Тумба под стиральную машину Леон Риф 57 напольная 2 ящика под ст/маш, без умывальника /под Marshall 120 Солярис/Белый Риф</v>
      </c>
      <c r="H7369">
        <f>VLOOKUP(D7369,Товары!A:I,6,0)</f>
        <v>85</v>
      </c>
      <c r="I7369" t="str">
        <f>VLOOKUP(C7369,Магазины!A:C,3,0)</f>
        <v>Ставрополь</v>
      </c>
      <c r="J7369">
        <f>VLOOKUP(D7369,Товары!A:I,4,0)</f>
        <v>17430</v>
      </c>
      <c r="K7369">
        <f t="shared" si="115"/>
        <v>34860</v>
      </c>
    </row>
    <row r="7370" spans="1:11" hidden="1" x14ac:dyDescent="0.25">
      <c r="A7370">
        <v>7369</v>
      </c>
      <c r="B7370" s="1">
        <v>45756</v>
      </c>
      <c r="C7370" t="s">
        <v>18</v>
      </c>
      <c r="D7370" t="s">
        <v>86</v>
      </c>
      <c r="E7370" t="s">
        <v>13</v>
      </c>
      <c r="F7370">
        <v>2</v>
      </c>
      <c r="G7370" t="str">
        <f>VLOOKUP(D7370,Товары!A:I,3,0)</f>
        <v>Комод Аква 50 напольный 1 ящик 2 двери белый</v>
      </c>
      <c r="H7370">
        <f>VLOOKUP(D7370,Товары!A:I,6,0)</f>
        <v>90</v>
      </c>
      <c r="I7370" t="str">
        <f>VLOOKUP(C7370,Магазины!A:C,3,0)</f>
        <v>Набережные Челны</v>
      </c>
      <c r="J7370">
        <f>VLOOKUP(D7370,Товары!A:I,4,0)</f>
        <v>7260</v>
      </c>
      <c r="K7370">
        <f t="shared" si="115"/>
        <v>14520</v>
      </c>
    </row>
    <row r="7371" spans="1:11" hidden="1" x14ac:dyDescent="0.25">
      <c r="A7371">
        <v>7370</v>
      </c>
      <c r="B7371" s="1">
        <v>45753</v>
      </c>
      <c r="C7371" t="s">
        <v>18</v>
      </c>
      <c r="D7371" t="s">
        <v>77</v>
      </c>
      <c r="E7371" t="s">
        <v>13</v>
      </c>
      <c r="F7371">
        <v>2</v>
      </c>
      <c r="G7371" t="str">
        <f>VLOOKUP(D7371,Товары!A:I,3,0)</f>
        <v>Тумба с раковиной  напол. Куба Риф 600 белый 2 ящика с умыв. Como</v>
      </c>
      <c r="H7371">
        <f>VLOOKUP(D7371,Товары!A:I,6,0)</f>
        <v>85</v>
      </c>
      <c r="I7371" t="str">
        <f>VLOOKUP(C7371,Магазины!A:C,3,0)</f>
        <v>Набережные Челны</v>
      </c>
      <c r="J7371">
        <f>VLOOKUP(D7371,Товары!A:I,4,0)</f>
        <v>15660</v>
      </c>
      <c r="K7371">
        <f t="shared" si="115"/>
        <v>31320</v>
      </c>
    </row>
    <row r="7372" spans="1:11" hidden="1" x14ac:dyDescent="0.25">
      <c r="A7372">
        <v>7371</v>
      </c>
      <c r="B7372" s="1">
        <v>45753</v>
      </c>
      <c r="C7372" t="s">
        <v>103</v>
      </c>
      <c r="D7372" t="s">
        <v>130</v>
      </c>
      <c r="E7372" t="s">
        <v>8</v>
      </c>
      <c r="F7372">
        <v>3</v>
      </c>
      <c r="G7372" t="str">
        <f>VLOOKUP(D7372,Товары!A:I,3,0)</f>
        <v>Пенал напол. Леон 400 форест 2 двери + 1 ящик</v>
      </c>
      <c r="H7372">
        <f>VLOOKUP(D7372,Товары!A:I,6,0)</f>
        <v>190</v>
      </c>
      <c r="I7372" t="str">
        <f>VLOOKUP(C7372,Магазины!A:C,3,0)</f>
        <v>Ставрополь</v>
      </c>
      <c r="J7372">
        <f>VLOOKUP(D7372,Товары!A:I,4,0)</f>
        <v>18450</v>
      </c>
      <c r="K7372">
        <f t="shared" si="115"/>
        <v>55350</v>
      </c>
    </row>
    <row r="7373" spans="1:11" hidden="1" x14ac:dyDescent="0.25">
      <c r="A7373">
        <v>7372</v>
      </c>
      <c r="B7373" s="1">
        <v>45752</v>
      </c>
      <c r="C7373" t="s">
        <v>54</v>
      </c>
      <c r="D7373" t="s">
        <v>116</v>
      </c>
      <c r="E7373" t="s">
        <v>13</v>
      </c>
      <c r="F7373">
        <v>3</v>
      </c>
      <c r="G7373" t="str">
        <f>VLOOKUP(D7373,Товары!A:I,3,0)</f>
        <v>Зеркало Нева 60 дуб/белый со светильником</v>
      </c>
      <c r="H7373">
        <f>VLOOKUP(D7373,Товары!A:I,6,0)</f>
        <v>80</v>
      </c>
      <c r="I7373" t="str">
        <f>VLOOKUP(C7373,Магазины!A:C,3,0)</f>
        <v>Ставрополь</v>
      </c>
      <c r="J7373">
        <f>VLOOKUP(D7373,Товары!A:I,4,0)</f>
        <v>5100</v>
      </c>
      <c r="K7373">
        <f t="shared" si="115"/>
        <v>15300</v>
      </c>
    </row>
    <row r="7374" spans="1:11" hidden="1" x14ac:dyDescent="0.25">
      <c r="A7374">
        <v>7373</v>
      </c>
      <c r="B7374" s="1">
        <v>45756</v>
      </c>
      <c r="C7374" t="s">
        <v>111</v>
      </c>
      <c r="D7374" t="s">
        <v>32</v>
      </c>
      <c r="E7374" t="s">
        <v>13</v>
      </c>
      <c r="F7374">
        <v>1</v>
      </c>
      <c r="G7374" t="str">
        <f>VLOOKUP(D7374,Товары!A:I,3,0)</f>
        <v>Тумба с раковиной  напол. Леон Риф 700 солярис/белый риф 2 ящика с умыв. Слим</v>
      </c>
      <c r="H7374">
        <f>VLOOKUP(D7374,Товары!A:I,6,0)</f>
        <v>85</v>
      </c>
      <c r="I7374" t="str">
        <f>VLOOKUP(C7374,Магазины!A:C,3,0)</f>
        <v>Набережные Челны</v>
      </c>
      <c r="J7374">
        <f>VLOOKUP(D7374,Товары!A:I,4,0)</f>
        <v>26460</v>
      </c>
      <c r="K7374">
        <f t="shared" si="115"/>
        <v>26460</v>
      </c>
    </row>
    <row r="7375" spans="1:11" hidden="1" x14ac:dyDescent="0.25">
      <c r="A7375">
        <v>7374</v>
      </c>
      <c r="B7375" s="1">
        <v>45754</v>
      </c>
      <c r="C7375" t="s">
        <v>35</v>
      </c>
      <c r="D7375" t="s">
        <v>25</v>
      </c>
      <c r="E7375" t="s">
        <v>13</v>
      </c>
      <c r="F7375">
        <v>2</v>
      </c>
      <c r="G7375" t="str">
        <f>VLOOKUP(D7375,Товары!A:I,3,0)</f>
        <v>Пенал напол. Леон 400 оникс 2 двери + 1 ящик</v>
      </c>
      <c r="H7375">
        <f>VLOOKUP(D7375,Товары!A:I,6,0)</f>
        <v>190</v>
      </c>
      <c r="I7375" t="str">
        <f>VLOOKUP(C7375,Магазины!A:C,3,0)</f>
        <v>Набережные Челны</v>
      </c>
      <c r="J7375">
        <f>VLOOKUP(D7375,Товары!A:I,4,0)</f>
        <v>18450</v>
      </c>
      <c r="K7375">
        <f t="shared" si="115"/>
        <v>36900</v>
      </c>
    </row>
    <row r="7376" spans="1:11" hidden="1" x14ac:dyDescent="0.25">
      <c r="A7376">
        <v>7375</v>
      </c>
      <c r="B7376" s="1">
        <v>45749</v>
      </c>
      <c r="C7376" t="s">
        <v>111</v>
      </c>
      <c r="D7376" t="s">
        <v>29</v>
      </c>
      <c r="E7376" t="s">
        <v>8</v>
      </c>
      <c r="F7376">
        <v>1</v>
      </c>
      <c r="G7376" t="str">
        <f>VLOOKUP(D7376,Товары!A:I,3,0)</f>
        <v>Тумба с раковиной  напол. Леон Риф 600 солярис/белый риф 2 ящика с умыв. Океан</v>
      </c>
      <c r="H7376">
        <f>VLOOKUP(D7376,Товары!A:I,6,0)</f>
        <v>80</v>
      </c>
      <c r="I7376" t="str">
        <f>VLOOKUP(C7376,Магазины!A:C,3,0)</f>
        <v>Набережные Челны</v>
      </c>
      <c r="J7376">
        <f>VLOOKUP(D7376,Товары!A:I,4,0)</f>
        <v>24150</v>
      </c>
      <c r="K7376">
        <f t="shared" si="115"/>
        <v>24150</v>
      </c>
    </row>
    <row r="7377" spans="1:11" hidden="1" x14ac:dyDescent="0.25">
      <c r="A7377">
        <v>7376</v>
      </c>
      <c r="B7377" s="1">
        <v>45754</v>
      </c>
      <c r="C7377" t="s">
        <v>9</v>
      </c>
      <c r="D7377" t="s">
        <v>109</v>
      </c>
      <c r="E7377" t="s">
        <v>8</v>
      </c>
      <c r="F7377">
        <v>2</v>
      </c>
      <c r="G7377" t="str">
        <f>VLOOKUP(D7377,Товары!A:I,3,0)</f>
        <v>Тумба с раковиной  навес. Альба 600 антрацит 2 ящика с умыв. Океан</v>
      </c>
      <c r="H7377">
        <f>VLOOKUP(D7377,Товары!A:I,6,0)</f>
        <v>50</v>
      </c>
      <c r="I7377" t="str">
        <f>VLOOKUP(C7377,Магазины!A:C,3,0)</f>
        <v>Кемерово</v>
      </c>
      <c r="J7377">
        <f>VLOOKUP(D7377,Товары!A:I,4,0)</f>
        <v>24810</v>
      </c>
      <c r="K7377">
        <f t="shared" si="115"/>
        <v>49620</v>
      </c>
    </row>
    <row r="7378" spans="1:11" hidden="1" x14ac:dyDescent="0.25">
      <c r="A7378">
        <v>7377</v>
      </c>
      <c r="B7378" s="1">
        <v>45756</v>
      </c>
      <c r="C7378" t="s">
        <v>33</v>
      </c>
      <c r="D7378" t="s">
        <v>119</v>
      </c>
      <c r="E7378" t="s">
        <v>8</v>
      </c>
      <c r="F7378">
        <v>1</v>
      </c>
      <c r="G7378" t="str">
        <f>VLOOKUP(D7378,Товары!A:I,3,0)</f>
        <v>Пенал навес./напол. Рица 350 cерый/керамика 2 двери</v>
      </c>
      <c r="H7378">
        <f>VLOOKUP(D7378,Товары!A:I,6,0)</f>
        <v>160</v>
      </c>
      <c r="I7378" t="str">
        <f>VLOOKUP(C7378,Магазины!A:C,3,0)</f>
        <v>Набережные Челны</v>
      </c>
      <c r="J7378">
        <f>VLOOKUP(D7378,Товары!A:I,4,0)</f>
        <v>11250</v>
      </c>
      <c r="K7378">
        <f t="shared" si="115"/>
        <v>11250</v>
      </c>
    </row>
    <row r="7379" spans="1:11" hidden="1" x14ac:dyDescent="0.25">
      <c r="A7379">
        <v>7378</v>
      </c>
      <c r="B7379" s="1">
        <v>45756</v>
      </c>
      <c r="C7379" t="s">
        <v>63</v>
      </c>
      <c r="D7379" t="s">
        <v>124</v>
      </c>
      <c r="E7379" t="s">
        <v>13</v>
      </c>
      <c r="F7379">
        <v>3</v>
      </c>
      <c r="G7379" t="str">
        <f>VLOOKUP(D7379,Товары!A:I,3,0)</f>
        <v>Тумба с раковиной  напол. Леон 600 оникс 2 ящика с умыв. Океан</v>
      </c>
      <c r="H7379">
        <f>VLOOKUP(D7379,Товары!A:I,6,0)</f>
        <v>80</v>
      </c>
      <c r="I7379" t="str">
        <f>VLOOKUP(C7379,Магазины!A:C,3,0)</f>
        <v>Ставрополь</v>
      </c>
      <c r="J7379">
        <f>VLOOKUP(D7379,Товары!A:I,4,0)</f>
        <v>25860</v>
      </c>
      <c r="K7379">
        <f t="shared" si="115"/>
        <v>77580</v>
      </c>
    </row>
    <row r="7380" spans="1:11" hidden="1" x14ac:dyDescent="0.25">
      <c r="A7380">
        <v>7379</v>
      </c>
      <c r="B7380" s="1">
        <v>45749</v>
      </c>
      <c r="C7380" t="s">
        <v>9</v>
      </c>
      <c r="D7380" t="s">
        <v>56</v>
      </c>
      <c r="E7380" t="s">
        <v>8</v>
      </c>
      <c r="F7380">
        <v>1</v>
      </c>
      <c r="G7380" t="str">
        <f>VLOOKUP(D7380,Товары!A:I,3,0)</f>
        <v>Зеркальный шкаф Альба 80 со светильником правый цвет мята</v>
      </c>
      <c r="H7380">
        <f>VLOOKUP(D7380,Товары!A:I,6,0)</f>
        <v>75</v>
      </c>
      <c r="I7380" t="str">
        <f>VLOOKUP(C7380,Магазины!A:C,3,0)</f>
        <v>Кемерово</v>
      </c>
      <c r="J7380">
        <f>VLOOKUP(D7380,Товары!A:I,4,0)</f>
        <v>9930</v>
      </c>
      <c r="K7380">
        <f t="shared" si="115"/>
        <v>9930</v>
      </c>
    </row>
    <row r="7381" spans="1:11" hidden="1" x14ac:dyDescent="0.25">
      <c r="A7381">
        <v>7380</v>
      </c>
      <c r="B7381" s="1">
        <v>45753</v>
      </c>
      <c r="C7381" t="s">
        <v>26</v>
      </c>
      <c r="D7381" t="s">
        <v>127</v>
      </c>
      <c r="E7381" t="s">
        <v>13</v>
      </c>
      <c r="F7381">
        <v>2</v>
      </c>
      <c r="G7381" t="str">
        <f>VLOOKUP(D7381,Товары!A:I,3,0)</f>
        <v>Тумба с раковиной  навес. Альба 700 мята 1 ящик с умыв. Слим</v>
      </c>
      <c r="H7381">
        <f>VLOOKUP(D7381,Товары!A:I,6,0)</f>
        <v>45</v>
      </c>
      <c r="I7381" t="str">
        <f>VLOOKUP(C7381,Магазины!A:C,3,0)</f>
        <v>Оренбург</v>
      </c>
      <c r="J7381">
        <f>VLOOKUP(D7381,Товары!A:I,4,0)</f>
        <v>20130</v>
      </c>
      <c r="K7381">
        <f t="shared" si="115"/>
        <v>40260</v>
      </c>
    </row>
    <row r="7382" spans="1:11" hidden="1" x14ac:dyDescent="0.25">
      <c r="A7382">
        <v>7381</v>
      </c>
      <c r="B7382" s="1">
        <v>45749</v>
      </c>
      <c r="C7382" t="s">
        <v>18</v>
      </c>
      <c r="D7382" t="s">
        <v>45</v>
      </c>
      <c r="E7382" t="s">
        <v>13</v>
      </c>
      <c r="F7382">
        <v>3</v>
      </c>
      <c r="G7382" t="str">
        <f>VLOOKUP(D7382,Товары!A:I,3,0)</f>
        <v>Зеркальный шкаф Рица 80 со светильником правый цвет cерый/керамика</v>
      </c>
      <c r="H7382">
        <f>VLOOKUP(D7382,Товары!A:I,6,0)</f>
        <v>75</v>
      </c>
      <c r="I7382" t="str">
        <f>VLOOKUP(C7382,Магазины!A:C,3,0)</f>
        <v>Набережные Челны</v>
      </c>
      <c r="J7382">
        <f>VLOOKUP(D7382,Товары!A:I,4,0)</f>
        <v>9930</v>
      </c>
      <c r="K7382">
        <f t="shared" si="115"/>
        <v>29790</v>
      </c>
    </row>
    <row r="7383" spans="1:11" hidden="1" x14ac:dyDescent="0.25">
      <c r="A7383">
        <v>7382</v>
      </c>
      <c r="B7383" s="1">
        <v>45754</v>
      </c>
      <c r="C7383" t="s">
        <v>30</v>
      </c>
      <c r="D7383" t="s">
        <v>76</v>
      </c>
      <c r="E7383" t="s">
        <v>13</v>
      </c>
      <c r="F7383">
        <v>2</v>
      </c>
      <c r="G7383" t="str">
        <f>VLOOKUP(D7383,Товары!A:I,3,0)</f>
        <v>Тумба с раковиной  напол. Леон 600 оникс 2 ящика с умыв. Слим</v>
      </c>
      <c r="H7383">
        <f>VLOOKUP(D7383,Товары!A:I,6,0)</f>
        <v>80</v>
      </c>
      <c r="I7383" t="str">
        <f>VLOOKUP(C7383,Магазины!A:C,3,0)</f>
        <v>Кемерово</v>
      </c>
      <c r="J7383">
        <f>VLOOKUP(D7383,Товары!A:I,4,0)</f>
        <v>25860</v>
      </c>
      <c r="K7383">
        <f t="shared" si="115"/>
        <v>51720</v>
      </c>
    </row>
    <row r="7384" spans="1:11" hidden="1" x14ac:dyDescent="0.25">
      <c r="A7384">
        <v>7383</v>
      </c>
      <c r="B7384" s="1">
        <v>45754</v>
      </c>
      <c r="C7384" t="s">
        <v>11</v>
      </c>
      <c r="D7384" t="s">
        <v>50</v>
      </c>
      <c r="E7384" t="s">
        <v>13</v>
      </c>
      <c r="F7384">
        <v>1</v>
      </c>
      <c r="G7384" t="str">
        <f>VLOOKUP(D7384,Товары!A:I,3,0)</f>
        <v>Тумба с раковиной  напол. Леон 800 оникс 2 ящика с умыв. Слим</v>
      </c>
      <c r="H7384">
        <f>VLOOKUP(D7384,Товары!A:I,6,0)</f>
        <v>80</v>
      </c>
      <c r="I7384" t="str">
        <f>VLOOKUP(C7384,Магазины!A:C,3,0)</f>
        <v>Кемерово</v>
      </c>
      <c r="J7384">
        <f>VLOOKUP(D7384,Товары!A:I,4,0)</f>
        <v>29400</v>
      </c>
      <c r="K7384">
        <f t="shared" si="115"/>
        <v>29400</v>
      </c>
    </row>
    <row r="7385" spans="1:11" hidden="1" x14ac:dyDescent="0.25">
      <c r="A7385">
        <v>7384</v>
      </c>
      <c r="B7385" s="1">
        <v>45755</v>
      </c>
      <c r="C7385" t="s">
        <v>11</v>
      </c>
      <c r="D7385" t="s">
        <v>40</v>
      </c>
      <c r="E7385" t="s">
        <v>13</v>
      </c>
      <c r="F7385">
        <v>1</v>
      </c>
      <c r="G7385" t="str">
        <f>VLOOKUP(D7385,Товары!A:I,3,0)</f>
        <v>Тумба с раковиной  навес. Рица 800 cерый/керамика 1 ящик + ниша 1 с умыв. Слим</v>
      </c>
      <c r="H7385">
        <f>VLOOKUP(D7385,Товары!A:I,6,0)</f>
        <v>60</v>
      </c>
      <c r="I7385" t="str">
        <f>VLOOKUP(C7385,Магазины!A:C,3,0)</f>
        <v>Кемерово</v>
      </c>
      <c r="J7385">
        <f>VLOOKUP(D7385,Товары!A:I,4,0)</f>
        <v>22425</v>
      </c>
      <c r="K7385">
        <f t="shared" si="115"/>
        <v>22425</v>
      </c>
    </row>
    <row r="7386" spans="1:11" hidden="1" x14ac:dyDescent="0.25">
      <c r="A7386">
        <v>7385</v>
      </c>
      <c r="B7386" s="1">
        <v>45756</v>
      </c>
      <c r="C7386" t="s">
        <v>14</v>
      </c>
      <c r="D7386" t="s">
        <v>73</v>
      </c>
      <c r="E7386" t="s">
        <v>8</v>
      </c>
      <c r="F7386">
        <v>1</v>
      </c>
      <c r="G7386" t="str">
        <f>VLOOKUP(D7386,Товары!A:I,3,0)</f>
        <v>Зеркальный шкаф Альба 70 со светильником правый цвет антрацит</v>
      </c>
      <c r="H7386">
        <f>VLOOKUP(D7386,Товары!A:I,6,0)</f>
        <v>75</v>
      </c>
      <c r="I7386" t="str">
        <f>VLOOKUP(C7386,Магазины!A:C,3,0)</f>
        <v>Оренбург</v>
      </c>
      <c r="J7386">
        <f>VLOOKUP(D7386,Товары!A:I,4,0)</f>
        <v>9615</v>
      </c>
      <c r="K7386">
        <f t="shared" si="115"/>
        <v>9615</v>
      </c>
    </row>
    <row r="7387" spans="1:11" hidden="1" x14ac:dyDescent="0.25">
      <c r="A7387">
        <v>7386</v>
      </c>
      <c r="B7387" s="1">
        <v>45756</v>
      </c>
      <c r="C7387" t="s">
        <v>16</v>
      </c>
      <c r="D7387" t="s">
        <v>125</v>
      </c>
      <c r="E7387" t="s">
        <v>8</v>
      </c>
      <c r="F7387">
        <v>1</v>
      </c>
      <c r="G7387" t="str">
        <f>VLOOKUP(D7387,Товары!A:I,3,0)</f>
        <v>Зеркальный шкаф Сохо 60 белый со светильником правый цвет Белый глянец</v>
      </c>
      <c r="H7387">
        <f>VLOOKUP(D7387,Товары!A:I,6,0)</f>
        <v>75</v>
      </c>
      <c r="I7387" t="str">
        <f>VLOOKUP(C7387,Магазины!A:C,3,0)</f>
        <v>Оренбург</v>
      </c>
      <c r="J7387">
        <f>VLOOKUP(D7387,Товары!A:I,4,0)</f>
        <v>7395</v>
      </c>
      <c r="K7387">
        <f t="shared" si="115"/>
        <v>7395</v>
      </c>
    </row>
    <row r="7388" spans="1:11" hidden="1" x14ac:dyDescent="0.25">
      <c r="A7388">
        <v>7387</v>
      </c>
      <c r="B7388" s="1">
        <v>45749</v>
      </c>
      <c r="C7388" t="s">
        <v>26</v>
      </c>
      <c r="D7388" t="s">
        <v>68</v>
      </c>
      <c r="E7388" t="s">
        <v>13</v>
      </c>
      <c r="F7388">
        <v>1</v>
      </c>
      <c r="G7388" t="str">
        <f>VLOOKUP(D7388,Товары!A:I,3,0)</f>
        <v>Тумба с раковиной  навес. Альба 600 антрацит 1 ящик с умыв. Океан</v>
      </c>
      <c r="H7388">
        <f>VLOOKUP(D7388,Товары!A:I,6,0)</f>
        <v>85</v>
      </c>
      <c r="I7388" t="str">
        <f>VLOOKUP(C7388,Магазины!A:C,3,0)</f>
        <v>Оренбург</v>
      </c>
      <c r="J7388">
        <f>VLOOKUP(D7388,Товары!A:I,4,0)</f>
        <v>17625</v>
      </c>
      <c r="K7388">
        <f t="shared" si="115"/>
        <v>17625</v>
      </c>
    </row>
    <row r="7389" spans="1:11" hidden="1" x14ac:dyDescent="0.25">
      <c r="A7389">
        <v>7388</v>
      </c>
      <c r="B7389" s="1">
        <v>45750</v>
      </c>
      <c r="C7389" t="s">
        <v>11</v>
      </c>
      <c r="D7389" t="s">
        <v>52</v>
      </c>
      <c r="E7389" t="s">
        <v>13</v>
      </c>
      <c r="F7389">
        <v>3</v>
      </c>
      <c r="G7389" t="str">
        <f>VLOOKUP(D7389,Товары!A:I,3,0)</f>
        <v>Тумба с раковиной  напол. Кристалл 600 суфле 2 ящика с умыв. Океан</v>
      </c>
      <c r="H7389">
        <f>VLOOKUP(D7389,Товары!A:I,6,0)</f>
        <v>80</v>
      </c>
      <c r="I7389" t="str">
        <f>VLOOKUP(C7389,Магазины!A:C,3,0)</f>
        <v>Кемерово</v>
      </c>
      <c r="J7389">
        <f>VLOOKUP(D7389,Товары!A:I,4,0)</f>
        <v>27600</v>
      </c>
      <c r="K7389">
        <f t="shared" si="115"/>
        <v>82800</v>
      </c>
    </row>
    <row r="7390" spans="1:11" hidden="1" x14ac:dyDescent="0.25">
      <c r="A7390">
        <v>7389</v>
      </c>
      <c r="B7390" s="1">
        <v>45751</v>
      </c>
      <c r="C7390" t="s">
        <v>28</v>
      </c>
      <c r="D7390" t="s">
        <v>83</v>
      </c>
      <c r="E7390" t="s">
        <v>8</v>
      </c>
      <c r="F7390">
        <v>2</v>
      </c>
      <c r="G7390" t="str">
        <f>VLOOKUP(D7390,Товары!A:I,3,0)</f>
        <v>Зеркальный шкаф Альба 60 со светильником правый цвет суфле</v>
      </c>
      <c r="H7390">
        <f>VLOOKUP(D7390,Товары!A:I,6,0)</f>
        <v>75</v>
      </c>
      <c r="I7390" t="str">
        <f>VLOOKUP(C7390,Магазины!A:C,3,0)</f>
        <v>Набережные Челны</v>
      </c>
      <c r="J7390">
        <f>VLOOKUP(D7390,Товары!A:I,4,0)</f>
        <v>8910</v>
      </c>
      <c r="K7390">
        <f t="shared" si="115"/>
        <v>17820</v>
      </c>
    </row>
    <row r="7391" spans="1:11" hidden="1" x14ac:dyDescent="0.25">
      <c r="A7391">
        <v>7390</v>
      </c>
      <c r="B7391" s="1">
        <v>45756</v>
      </c>
      <c r="C7391" t="s">
        <v>30</v>
      </c>
      <c r="D7391" t="s">
        <v>51</v>
      </c>
      <c r="E7391" t="s">
        <v>8</v>
      </c>
      <c r="F7391">
        <v>2</v>
      </c>
      <c r="G7391" t="str">
        <f>VLOOKUP(D7391,Товары!A:I,3,0)</f>
        <v>Зеркальный шкаф Альба 80 со светильником правый цвет суфле</v>
      </c>
      <c r="H7391">
        <f>VLOOKUP(D7391,Товары!A:I,6,0)</f>
        <v>75</v>
      </c>
      <c r="I7391" t="str">
        <f>VLOOKUP(C7391,Магазины!A:C,3,0)</f>
        <v>Кемерово</v>
      </c>
      <c r="J7391">
        <f>VLOOKUP(D7391,Товары!A:I,4,0)</f>
        <v>9930</v>
      </c>
      <c r="K7391">
        <f t="shared" si="115"/>
        <v>19860</v>
      </c>
    </row>
    <row r="7392" spans="1:11" hidden="1" x14ac:dyDescent="0.25">
      <c r="A7392">
        <v>7391</v>
      </c>
      <c r="B7392" s="1">
        <v>45750</v>
      </c>
      <c r="C7392" t="s">
        <v>18</v>
      </c>
      <c r="D7392" t="s">
        <v>86</v>
      </c>
      <c r="E7392" t="s">
        <v>8</v>
      </c>
      <c r="F7392">
        <v>2</v>
      </c>
      <c r="G7392" t="str">
        <f>VLOOKUP(D7392,Товары!A:I,3,0)</f>
        <v>Комод Аква 50 напольный 1 ящик 2 двери белый</v>
      </c>
      <c r="H7392">
        <f>VLOOKUP(D7392,Товары!A:I,6,0)</f>
        <v>90</v>
      </c>
      <c r="I7392" t="str">
        <f>VLOOKUP(C7392,Магазины!A:C,3,0)</f>
        <v>Набережные Челны</v>
      </c>
      <c r="J7392">
        <f>VLOOKUP(D7392,Товары!A:I,4,0)</f>
        <v>7260</v>
      </c>
      <c r="K7392">
        <f t="shared" si="115"/>
        <v>14520</v>
      </c>
    </row>
    <row r="7393" spans="1:11" hidden="1" x14ac:dyDescent="0.25">
      <c r="A7393">
        <v>7392</v>
      </c>
      <c r="B7393" s="1">
        <v>45749</v>
      </c>
      <c r="C7393" t="s">
        <v>48</v>
      </c>
      <c r="D7393" t="s">
        <v>100</v>
      </c>
      <c r="E7393" t="s">
        <v>8</v>
      </c>
      <c r="F7393">
        <v>1</v>
      </c>
      <c r="G7393" t="str">
        <f>VLOOKUP(D7393,Товары!A:I,3,0)</f>
        <v>Тумба с раковиной  навес. Альба 800 мята 1 ящик с умыв. Слим</v>
      </c>
      <c r="H7393">
        <f>VLOOKUP(D7393,Товары!A:I,6,0)</f>
        <v>45</v>
      </c>
      <c r="I7393" t="str">
        <f>VLOOKUP(C7393,Магазины!A:C,3,0)</f>
        <v>Ставрополь</v>
      </c>
      <c r="J7393">
        <f>VLOOKUP(D7393,Товары!A:I,4,0)</f>
        <v>21630</v>
      </c>
      <c r="K7393">
        <f t="shared" si="115"/>
        <v>21630</v>
      </c>
    </row>
    <row r="7394" spans="1:11" hidden="1" x14ac:dyDescent="0.25">
      <c r="A7394">
        <v>7393</v>
      </c>
      <c r="B7394" s="1">
        <v>45755</v>
      </c>
      <c r="C7394" t="s">
        <v>58</v>
      </c>
      <c r="D7394" t="s">
        <v>94</v>
      </c>
      <c r="E7394" t="s">
        <v>8</v>
      </c>
      <c r="F7394">
        <v>2</v>
      </c>
      <c r="G7394" t="str">
        <f>VLOOKUP(D7394,Товары!A:I,3,0)</f>
        <v>Зеркальный шкаф Альба 80 со светильником правый цвет антрацит</v>
      </c>
      <c r="H7394">
        <f>VLOOKUP(D7394,Товары!A:I,6,0)</f>
        <v>75</v>
      </c>
      <c r="I7394" t="str">
        <f>VLOOKUP(C7394,Магазины!A:C,3,0)</f>
        <v>Ставрополь</v>
      </c>
      <c r="J7394">
        <f>VLOOKUP(D7394,Товары!A:I,4,0)</f>
        <v>9930</v>
      </c>
      <c r="K7394">
        <f t="shared" si="115"/>
        <v>19860</v>
      </c>
    </row>
    <row r="7395" spans="1:11" hidden="1" x14ac:dyDescent="0.25">
      <c r="A7395">
        <v>7394</v>
      </c>
      <c r="B7395" s="1">
        <v>45749</v>
      </c>
      <c r="C7395" t="s">
        <v>58</v>
      </c>
      <c r="D7395" t="s">
        <v>81</v>
      </c>
      <c r="E7395" t="s">
        <v>13</v>
      </c>
      <c r="F7395">
        <v>1</v>
      </c>
      <c r="G7395" t="str">
        <f>VLOOKUP(D7395,Товары!A:I,3,0)</f>
        <v>Тумба с раковиной  навес. Рица 600 cерый/керамика 1 ящик + ниша 1 с умыв. Океан</v>
      </c>
      <c r="H7395">
        <f>VLOOKUP(D7395,Товары!A:I,6,0)</f>
        <v>60</v>
      </c>
      <c r="I7395" t="str">
        <f>VLOOKUP(C7395,Магазины!A:C,3,0)</f>
        <v>Ставрополь</v>
      </c>
      <c r="J7395">
        <f>VLOOKUP(D7395,Товары!A:I,4,0)</f>
        <v>18900</v>
      </c>
      <c r="K7395">
        <f t="shared" si="115"/>
        <v>18900</v>
      </c>
    </row>
    <row r="7396" spans="1:11" hidden="1" x14ac:dyDescent="0.25">
      <c r="A7396">
        <v>7395</v>
      </c>
      <c r="B7396" s="1">
        <v>45754</v>
      </c>
      <c r="C7396" t="s">
        <v>14</v>
      </c>
      <c r="D7396" t="s">
        <v>82</v>
      </c>
      <c r="E7396" t="s">
        <v>8</v>
      </c>
      <c r="F7396">
        <v>2</v>
      </c>
      <c r="G7396" t="str">
        <f>VLOOKUP(D7396,Товары!A:I,3,0)</f>
        <v>Тумба с раковиной  навес. Леон 800 форест 2 ящика с умыв. Слим</v>
      </c>
      <c r="H7396">
        <f>VLOOKUP(D7396,Товары!A:I,6,0)</f>
        <v>60</v>
      </c>
      <c r="I7396" t="str">
        <f>VLOOKUP(C7396,Магазины!A:C,3,0)</f>
        <v>Оренбург</v>
      </c>
      <c r="J7396">
        <f>VLOOKUP(D7396,Товары!A:I,4,0)</f>
        <v>27930</v>
      </c>
      <c r="K7396">
        <f t="shared" si="115"/>
        <v>55860</v>
      </c>
    </row>
    <row r="7397" spans="1:11" hidden="1" x14ac:dyDescent="0.25">
      <c r="A7397">
        <v>7396</v>
      </c>
      <c r="B7397" s="1">
        <v>45752</v>
      </c>
      <c r="C7397" t="s">
        <v>92</v>
      </c>
      <c r="D7397" t="s">
        <v>90</v>
      </c>
      <c r="E7397" t="s">
        <v>13</v>
      </c>
      <c r="F7397">
        <v>3</v>
      </c>
      <c r="G7397" t="str">
        <f>VLOOKUP(D7397,Товары!A:I,3,0)</f>
        <v>Пенал напол. Аква 350 белый 2 двери + 2 ящика</v>
      </c>
      <c r="H7397">
        <f>VLOOKUP(D7397,Товары!A:I,6,0)</f>
        <v>190</v>
      </c>
      <c r="I7397" t="str">
        <f>VLOOKUP(C7397,Магазины!A:C,3,0)</f>
        <v>Кемерово</v>
      </c>
      <c r="J7397">
        <f>VLOOKUP(D7397,Товары!A:I,4,0)</f>
        <v>10650</v>
      </c>
      <c r="K7397">
        <f t="shared" si="115"/>
        <v>31950</v>
      </c>
    </row>
    <row r="7398" spans="1:11" hidden="1" x14ac:dyDescent="0.25">
      <c r="A7398">
        <v>7397</v>
      </c>
      <c r="B7398" s="1">
        <v>45753</v>
      </c>
      <c r="C7398" t="s">
        <v>54</v>
      </c>
      <c r="D7398" t="s">
        <v>120</v>
      </c>
      <c r="E7398" t="s">
        <v>13</v>
      </c>
      <c r="F7398">
        <v>2</v>
      </c>
      <c r="G7398" t="str">
        <f>VLOOKUP(D7398,Товары!A:I,3,0)</f>
        <v>Зеркальный шкаф Альба 60 со светильником правый цвет антрацит</v>
      </c>
      <c r="H7398">
        <f>VLOOKUP(D7398,Товары!A:I,6,0)</f>
        <v>75</v>
      </c>
      <c r="I7398" t="str">
        <f>VLOOKUP(C7398,Магазины!A:C,3,0)</f>
        <v>Ставрополь</v>
      </c>
      <c r="J7398">
        <f>VLOOKUP(D7398,Товары!A:I,4,0)</f>
        <v>8910</v>
      </c>
      <c r="K7398">
        <f t="shared" si="115"/>
        <v>17820</v>
      </c>
    </row>
    <row r="7399" spans="1:11" hidden="1" x14ac:dyDescent="0.25">
      <c r="A7399">
        <v>7398</v>
      </c>
      <c r="B7399" s="1">
        <v>45754</v>
      </c>
      <c r="C7399" t="s">
        <v>11</v>
      </c>
      <c r="D7399" t="s">
        <v>117</v>
      </c>
      <c r="E7399" t="s">
        <v>13</v>
      </c>
      <c r="F7399">
        <v>1</v>
      </c>
      <c r="G7399" t="str">
        <f>VLOOKUP(D7399,Товары!A:I,3,0)</f>
        <v>Тумба с раковиной  навес. Альба 700 антрацит 2 ящика с умыв. Слим</v>
      </c>
      <c r="H7399">
        <f>VLOOKUP(D7399,Товары!A:I,6,0)</f>
        <v>60</v>
      </c>
      <c r="I7399" t="str">
        <f>VLOOKUP(C7399,Магазины!A:C,3,0)</f>
        <v>Кемерово</v>
      </c>
      <c r="J7399">
        <f>VLOOKUP(D7399,Товары!A:I,4,0)</f>
        <v>25095</v>
      </c>
      <c r="K7399">
        <f t="shared" si="115"/>
        <v>25095</v>
      </c>
    </row>
    <row r="7400" spans="1:11" hidden="1" x14ac:dyDescent="0.25">
      <c r="A7400">
        <v>7399</v>
      </c>
      <c r="B7400" s="1">
        <v>45756</v>
      </c>
      <c r="C7400" t="s">
        <v>6</v>
      </c>
      <c r="D7400" t="s">
        <v>46</v>
      </c>
      <c r="E7400" t="s">
        <v>8</v>
      </c>
      <c r="F7400">
        <v>1</v>
      </c>
      <c r="G7400" t="str">
        <f>VLOOKUP(D7400,Товары!A:I,3,0)</f>
        <v>Тумба с раковиной  напол. Сохо 700 белый 2 ящика с умыв. Слим</v>
      </c>
      <c r="H7400">
        <f>VLOOKUP(D7400,Товары!A:I,6,0)</f>
        <v>85</v>
      </c>
      <c r="I7400" t="str">
        <f>VLOOKUP(C7400,Магазины!A:C,3,0)</f>
        <v>Оренбург</v>
      </c>
      <c r="J7400">
        <f>VLOOKUP(D7400,Товары!A:I,4,0)</f>
        <v>18405</v>
      </c>
      <c r="K7400">
        <f t="shared" si="115"/>
        <v>18405</v>
      </c>
    </row>
    <row r="7401" spans="1:11" hidden="1" x14ac:dyDescent="0.25">
      <c r="A7401">
        <v>7400</v>
      </c>
      <c r="B7401" s="1">
        <v>45753</v>
      </c>
      <c r="C7401" t="s">
        <v>41</v>
      </c>
      <c r="D7401" t="s">
        <v>27</v>
      </c>
      <c r="E7401" t="s">
        <v>13</v>
      </c>
      <c r="F7401">
        <v>1</v>
      </c>
      <c r="G7401" t="str">
        <f>VLOOKUP(D7401,Товары!A:I,3,0)</f>
        <v>Тумба с раковиной  навес. Виктория 800 белый 2 ящика с умыв. Слим</v>
      </c>
      <c r="H7401">
        <f>VLOOKUP(D7401,Товары!A:I,6,0)</f>
        <v>60</v>
      </c>
      <c r="I7401" t="str">
        <f>VLOOKUP(C7401,Магазины!A:C,3,0)</f>
        <v>Ставрополь</v>
      </c>
      <c r="J7401">
        <f>VLOOKUP(D7401,Товары!A:I,4,0)</f>
        <v>25290</v>
      </c>
      <c r="K7401">
        <f t="shared" si="115"/>
        <v>25290</v>
      </c>
    </row>
    <row r="7402" spans="1:11" hidden="1" x14ac:dyDescent="0.25">
      <c r="A7402">
        <v>7401</v>
      </c>
      <c r="B7402" s="1">
        <v>45752</v>
      </c>
      <c r="C7402" t="s">
        <v>26</v>
      </c>
      <c r="D7402" t="s">
        <v>110</v>
      </c>
      <c r="E7402" t="s">
        <v>13</v>
      </c>
      <c r="F7402">
        <v>3</v>
      </c>
      <c r="G7402" t="str">
        <f>VLOOKUP(D7402,Товары!A:I,3,0)</f>
        <v>Тумба с раковиной  напол. Альба 600 антрацит 2 ящика с умыв. Океан</v>
      </c>
      <c r="H7402">
        <f>VLOOKUP(D7402,Товары!A:I,6,0)</f>
        <v>80</v>
      </c>
      <c r="I7402" t="str">
        <f>VLOOKUP(C7402,Магазины!A:C,3,0)</f>
        <v>Оренбург</v>
      </c>
      <c r="J7402">
        <f>VLOOKUP(D7402,Товары!A:I,4,0)</f>
        <v>26370</v>
      </c>
      <c r="K7402">
        <f t="shared" si="115"/>
        <v>79110</v>
      </c>
    </row>
    <row r="7403" spans="1:11" hidden="1" x14ac:dyDescent="0.25">
      <c r="A7403">
        <v>7402</v>
      </c>
      <c r="B7403" s="1">
        <v>45753</v>
      </c>
      <c r="C7403" t="s">
        <v>11</v>
      </c>
      <c r="D7403" t="s">
        <v>116</v>
      </c>
      <c r="E7403" t="s">
        <v>8</v>
      </c>
      <c r="F7403">
        <v>1</v>
      </c>
      <c r="G7403" t="str">
        <f>VLOOKUP(D7403,Товары!A:I,3,0)</f>
        <v>Зеркало Нева 60 дуб/белый со светильником</v>
      </c>
      <c r="H7403">
        <f>VLOOKUP(D7403,Товары!A:I,6,0)</f>
        <v>80</v>
      </c>
      <c r="I7403" t="str">
        <f>VLOOKUP(C7403,Магазины!A:C,3,0)</f>
        <v>Кемерово</v>
      </c>
      <c r="J7403">
        <f>VLOOKUP(D7403,Товары!A:I,4,0)</f>
        <v>5100</v>
      </c>
      <c r="K7403">
        <f t="shared" si="115"/>
        <v>5100</v>
      </c>
    </row>
    <row r="7404" spans="1:11" hidden="1" x14ac:dyDescent="0.25">
      <c r="A7404">
        <v>7403</v>
      </c>
      <c r="B7404" s="1">
        <v>45755</v>
      </c>
      <c r="C7404" t="s">
        <v>57</v>
      </c>
      <c r="D7404" t="s">
        <v>120</v>
      </c>
      <c r="E7404" t="s">
        <v>13</v>
      </c>
      <c r="F7404">
        <v>3</v>
      </c>
      <c r="G7404" t="str">
        <f>VLOOKUP(D7404,Товары!A:I,3,0)</f>
        <v>Зеркальный шкаф Альба 60 со светильником правый цвет антрацит</v>
      </c>
      <c r="H7404">
        <f>VLOOKUP(D7404,Товары!A:I,6,0)</f>
        <v>75</v>
      </c>
      <c r="I7404" t="str">
        <f>VLOOKUP(C7404,Магазины!A:C,3,0)</f>
        <v>Оренбург</v>
      </c>
      <c r="J7404">
        <f>VLOOKUP(D7404,Товары!A:I,4,0)</f>
        <v>8910</v>
      </c>
      <c r="K7404">
        <f t="shared" si="115"/>
        <v>26730</v>
      </c>
    </row>
    <row r="7405" spans="1:11" hidden="1" x14ac:dyDescent="0.25">
      <c r="A7405">
        <v>7404</v>
      </c>
      <c r="B7405" s="1">
        <v>45755</v>
      </c>
      <c r="C7405" t="s">
        <v>6</v>
      </c>
      <c r="D7405" t="s">
        <v>47</v>
      </c>
      <c r="E7405" t="s">
        <v>8</v>
      </c>
      <c r="F7405">
        <v>1</v>
      </c>
      <c r="G7405" t="str">
        <f>VLOOKUP(D7405,Товары!A:I,3,0)</f>
        <v>Пенал напол. Кристалл 350 шато азур 2 двери</v>
      </c>
      <c r="H7405">
        <f>VLOOKUP(D7405,Товары!A:I,6,0)</f>
        <v>190</v>
      </c>
      <c r="I7405" t="str">
        <f>VLOOKUP(C7405,Магазины!A:C,3,0)</f>
        <v>Оренбург</v>
      </c>
      <c r="J7405">
        <f>VLOOKUP(D7405,Товары!A:I,4,0)</f>
        <v>15810</v>
      </c>
      <c r="K7405">
        <f t="shared" si="115"/>
        <v>15810</v>
      </c>
    </row>
    <row r="7406" spans="1:11" hidden="1" x14ac:dyDescent="0.25">
      <c r="A7406">
        <v>7405</v>
      </c>
      <c r="B7406" s="1">
        <v>45750</v>
      </c>
      <c r="C7406" t="s">
        <v>6</v>
      </c>
      <c r="D7406" t="s">
        <v>21</v>
      </c>
      <c r="E7406" t="s">
        <v>13</v>
      </c>
      <c r="F7406">
        <v>2</v>
      </c>
      <c r="G7406" t="str">
        <f>VLOOKUP(D7406,Товары!A:I,3,0)</f>
        <v>Зеркальный шкаф Рица 60 со светильником правый цвет cерый/керамика</v>
      </c>
      <c r="H7406">
        <f>VLOOKUP(D7406,Товары!A:I,6,0)</f>
        <v>75</v>
      </c>
      <c r="I7406" t="str">
        <f>VLOOKUP(C7406,Магазины!A:C,3,0)</f>
        <v>Оренбург</v>
      </c>
      <c r="J7406">
        <f>VLOOKUP(D7406,Товары!A:I,4,0)</f>
        <v>8910</v>
      </c>
      <c r="K7406">
        <f t="shared" si="115"/>
        <v>17820</v>
      </c>
    </row>
    <row r="7407" spans="1:11" hidden="1" x14ac:dyDescent="0.25">
      <c r="A7407">
        <v>7406</v>
      </c>
      <c r="B7407" s="1">
        <v>45749</v>
      </c>
      <c r="C7407" t="s">
        <v>9</v>
      </c>
      <c r="D7407" t="s">
        <v>24</v>
      </c>
      <c r="E7407" t="s">
        <v>8</v>
      </c>
      <c r="F7407">
        <v>3</v>
      </c>
      <c r="G7407" t="str">
        <f>VLOOKUP(D7407,Товары!A:I,3,0)</f>
        <v>Тумба с раковиной  напол. Леон 600 форест 2 ящика с умыв. Слим</v>
      </c>
      <c r="H7407">
        <f>VLOOKUP(D7407,Товары!A:I,6,0)</f>
        <v>80</v>
      </c>
      <c r="I7407" t="str">
        <f>VLOOKUP(C7407,Магазины!A:C,3,0)</f>
        <v>Кемерово</v>
      </c>
      <c r="J7407">
        <f>VLOOKUP(D7407,Товары!A:I,4,0)</f>
        <v>27150</v>
      </c>
      <c r="K7407">
        <f t="shared" si="115"/>
        <v>81450</v>
      </c>
    </row>
    <row r="7408" spans="1:11" hidden="1" x14ac:dyDescent="0.25">
      <c r="A7408">
        <v>7407</v>
      </c>
      <c r="B7408" s="1">
        <v>45749</v>
      </c>
      <c r="C7408" t="s">
        <v>103</v>
      </c>
      <c r="D7408" t="s">
        <v>97</v>
      </c>
      <c r="E7408" t="s">
        <v>13</v>
      </c>
      <c r="F7408">
        <v>1</v>
      </c>
      <c r="G7408" t="str">
        <f>VLOOKUP(D7408,Товары!A:I,3,0)</f>
        <v>Пенал напол. Кристалл 350 суфле 2 двери</v>
      </c>
      <c r="H7408">
        <f>VLOOKUP(D7408,Товары!A:I,6,0)</f>
        <v>190</v>
      </c>
      <c r="I7408" t="str">
        <f>VLOOKUP(C7408,Магазины!A:C,3,0)</f>
        <v>Ставрополь</v>
      </c>
      <c r="J7408">
        <f>VLOOKUP(D7408,Товары!A:I,4,0)</f>
        <v>15810</v>
      </c>
      <c r="K7408">
        <f t="shared" si="115"/>
        <v>15810</v>
      </c>
    </row>
    <row r="7409" spans="1:11" hidden="1" x14ac:dyDescent="0.25">
      <c r="A7409">
        <v>7408</v>
      </c>
      <c r="B7409" s="1">
        <v>45751</v>
      </c>
      <c r="C7409" t="s">
        <v>43</v>
      </c>
      <c r="D7409" t="s">
        <v>84</v>
      </c>
      <c r="E7409" t="s">
        <v>13</v>
      </c>
      <c r="F7409">
        <v>1</v>
      </c>
      <c r="G7409" t="str">
        <f>VLOOKUP(D7409,Товары!A:I,3,0)</f>
        <v>Тумба с раковиной  напол. Куба Риф 800 белый 3 двери с умыв. Слим</v>
      </c>
      <c r="H7409">
        <f>VLOOKUP(D7409,Товары!A:I,6,0)</f>
        <v>85</v>
      </c>
      <c r="I7409" t="str">
        <f>VLOOKUP(C7409,Магазины!A:C,3,0)</f>
        <v>Набережные Челны</v>
      </c>
      <c r="J7409">
        <f>VLOOKUP(D7409,Товары!A:I,4,0)</f>
        <v>19920</v>
      </c>
      <c r="K7409">
        <f t="shared" si="115"/>
        <v>19920</v>
      </c>
    </row>
    <row r="7410" spans="1:11" hidden="1" x14ac:dyDescent="0.25">
      <c r="A7410">
        <v>7409</v>
      </c>
      <c r="B7410" s="1">
        <v>45748</v>
      </c>
      <c r="C7410" t="s">
        <v>20</v>
      </c>
      <c r="D7410" t="s">
        <v>23</v>
      </c>
      <c r="E7410" t="s">
        <v>13</v>
      </c>
      <c r="F7410">
        <v>1</v>
      </c>
      <c r="G7410" t="str">
        <f>VLOOKUP(D7410,Товары!A:I,3,0)</f>
        <v>Тумба с раковиной  напол. Альба 800 антрацит 2 ящика с умыв. Слим</v>
      </c>
      <c r="H7410">
        <f>VLOOKUP(D7410,Товары!A:I,6,0)</f>
        <v>80</v>
      </c>
      <c r="I7410" t="str">
        <f>VLOOKUP(C7410,Магазины!A:C,3,0)</f>
        <v>Оренбург</v>
      </c>
      <c r="J7410">
        <f>VLOOKUP(D7410,Товары!A:I,4,0)</f>
        <v>29340</v>
      </c>
      <c r="K7410">
        <f t="shared" si="115"/>
        <v>29340</v>
      </c>
    </row>
    <row r="7411" spans="1:11" hidden="1" x14ac:dyDescent="0.25">
      <c r="A7411">
        <v>7410</v>
      </c>
      <c r="B7411" s="1">
        <v>45749</v>
      </c>
      <c r="C7411" t="s">
        <v>28</v>
      </c>
      <c r="D7411" t="s">
        <v>87</v>
      </c>
      <c r="E7411" t="s">
        <v>13</v>
      </c>
      <c r="F7411">
        <v>2</v>
      </c>
      <c r="G7411" t="str">
        <f>VLOOKUP(D7411,Товары!A:I,3,0)</f>
        <v>Тумба с раковиной  напол. Леон 700 форест 2 ящика с умыв. Слим</v>
      </c>
      <c r="H7411">
        <f>VLOOKUP(D7411,Товары!A:I,6,0)</f>
        <v>80</v>
      </c>
      <c r="I7411" t="str">
        <f>VLOOKUP(C7411,Магазины!A:C,3,0)</f>
        <v>Набережные Челны</v>
      </c>
      <c r="J7411">
        <f>VLOOKUP(D7411,Товары!A:I,4,0)</f>
        <v>28380</v>
      </c>
      <c r="K7411">
        <f t="shared" si="115"/>
        <v>56760</v>
      </c>
    </row>
    <row r="7412" spans="1:11" hidden="1" x14ac:dyDescent="0.25">
      <c r="A7412">
        <v>7411</v>
      </c>
      <c r="B7412" s="1">
        <v>45753</v>
      </c>
      <c r="C7412" t="s">
        <v>11</v>
      </c>
      <c r="D7412" t="s">
        <v>81</v>
      </c>
      <c r="E7412" t="s">
        <v>13</v>
      </c>
      <c r="F7412">
        <v>3</v>
      </c>
      <c r="G7412" t="str">
        <f>VLOOKUP(D7412,Товары!A:I,3,0)</f>
        <v>Тумба с раковиной  навес. Рица 600 cерый/керамика 1 ящик + ниша 1 с умыв. Океан</v>
      </c>
      <c r="H7412">
        <f>VLOOKUP(D7412,Товары!A:I,6,0)</f>
        <v>60</v>
      </c>
      <c r="I7412" t="str">
        <f>VLOOKUP(C7412,Магазины!A:C,3,0)</f>
        <v>Кемерово</v>
      </c>
      <c r="J7412">
        <f>VLOOKUP(D7412,Товары!A:I,4,0)</f>
        <v>18900</v>
      </c>
      <c r="K7412">
        <f t="shared" si="115"/>
        <v>56700</v>
      </c>
    </row>
    <row r="7413" spans="1:11" hidden="1" x14ac:dyDescent="0.25">
      <c r="A7413">
        <v>7412</v>
      </c>
      <c r="B7413" s="1">
        <v>45757</v>
      </c>
      <c r="C7413" t="s">
        <v>48</v>
      </c>
      <c r="D7413" t="s">
        <v>85</v>
      </c>
      <c r="E7413" t="s">
        <v>8</v>
      </c>
      <c r="F7413">
        <v>3</v>
      </c>
      <c r="G7413" t="str">
        <f>VLOOKUP(D7413,Товары!A:I,3,0)</f>
        <v>Пенал напол. Аква 450 белый 2 двери + 2 ящика + корзина</v>
      </c>
      <c r="H7413">
        <f>VLOOKUP(D7413,Товары!A:I,6,0)</f>
        <v>190</v>
      </c>
      <c r="I7413" t="str">
        <f>VLOOKUP(C7413,Магазины!A:C,3,0)</f>
        <v>Ставрополь</v>
      </c>
      <c r="J7413">
        <f>VLOOKUP(D7413,Товары!A:I,4,0)</f>
        <v>13335</v>
      </c>
      <c r="K7413">
        <f t="shared" si="115"/>
        <v>40005</v>
      </c>
    </row>
    <row r="7414" spans="1:11" hidden="1" x14ac:dyDescent="0.25">
      <c r="A7414">
        <v>7413</v>
      </c>
      <c r="B7414" s="1">
        <v>45754</v>
      </c>
      <c r="C7414" t="s">
        <v>9</v>
      </c>
      <c r="D7414" t="s">
        <v>49</v>
      </c>
      <c r="E7414" t="s">
        <v>8</v>
      </c>
      <c r="F7414">
        <v>1</v>
      </c>
      <c r="G7414" t="str">
        <f>VLOOKUP(D7414,Товары!A:I,3,0)</f>
        <v>Тумба с раковиной  напол. Леон 700 оникс 2 ящика с умыв. Слим</v>
      </c>
      <c r="H7414">
        <f>VLOOKUP(D7414,Товары!A:I,6,0)</f>
        <v>80</v>
      </c>
      <c r="I7414" t="str">
        <f>VLOOKUP(C7414,Магазины!A:C,3,0)</f>
        <v>Кемерово</v>
      </c>
      <c r="J7414">
        <f>VLOOKUP(D7414,Товары!A:I,4,0)</f>
        <v>28380</v>
      </c>
      <c r="K7414">
        <f t="shared" si="115"/>
        <v>28380</v>
      </c>
    </row>
    <row r="7415" spans="1:11" hidden="1" x14ac:dyDescent="0.25">
      <c r="A7415">
        <v>7414</v>
      </c>
      <c r="B7415" s="1">
        <v>45754</v>
      </c>
      <c r="C7415" t="s">
        <v>54</v>
      </c>
      <c r="D7415" t="s">
        <v>34</v>
      </c>
      <c r="E7415" t="s">
        <v>8</v>
      </c>
      <c r="F7415">
        <v>3</v>
      </c>
      <c r="G7415" t="str">
        <f>VLOOKUP(D7415,Товары!A:I,3,0)</f>
        <v>Тумба с раковиной  навес. Леон 700 форест 2 ящика с умыв. Слим</v>
      </c>
      <c r="H7415">
        <f>VLOOKUP(D7415,Товары!A:I,6,0)</f>
        <v>60</v>
      </c>
      <c r="I7415" t="str">
        <f>VLOOKUP(C7415,Магазины!A:C,3,0)</f>
        <v>Ставрополь</v>
      </c>
      <c r="J7415">
        <f>VLOOKUP(D7415,Товары!A:I,4,0)</f>
        <v>26220</v>
      </c>
      <c r="K7415">
        <f t="shared" si="115"/>
        <v>78660</v>
      </c>
    </row>
    <row r="7416" spans="1:11" hidden="1" x14ac:dyDescent="0.25">
      <c r="A7416">
        <v>7415</v>
      </c>
      <c r="B7416" s="1">
        <v>45748</v>
      </c>
      <c r="C7416" t="s">
        <v>6</v>
      </c>
      <c r="D7416" t="s">
        <v>125</v>
      </c>
      <c r="E7416" t="s">
        <v>8</v>
      </c>
      <c r="F7416">
        <v>2</v>
      </c>
      <c r="G7416" t="str">
        <f>VLOOKUP(D7416,Товары!A:I,3,0)</f>
        <v>Зеркальный шкаф Сохо 60 белый со светильником правый цвет Белый глянец</v>
      </c>
      <c r="H7416">
        <f>VLOOKUP(D7416,Товары!A:I,6,0)</f>
        <v>75</v>
      </c>
      <c r="I7416" t="str">
        <f>VLOOKUP(C7416,Магазины!A:C,3,0)</f>
        <v>Оренбург</v>
      </c>
      <c r="J7416">
        <f>VLOOKUP(D7416,Товары!A:I,4,0)</f>
        <v>7395</v>
      </c>
      <c r="K7416">
        <f t="shared" si="115"/>
        <v>14790</v>
      </c>
    </row>
    <row r="7417" spans="1:11" hidden="1" x14ac:dyDescent="0.25">
      <c r="A7417">
        <v>7416</v>
      </c>
      <c r="B7417" s="1">
        <v>45753</v>
      </c>
      <c r="C7417" t="s">
        <v>58</v>
      </c>
      <c r="D7417" t="s">
        <v>77</v>
      </c>
      <c r="E7417" t="s">
        <v>8</v>
      </c>
      <c r="F7417">
        <v>2</v>
      </c>
      <c r="G7417" t="str">
        <f>VLOOKUP(D7417,Товары!A:I,3,0)</f>
        <v>Тумба с раковиной  напол. Куба Риф 600 белый 2 ящика с умыв. Como</v>
      </c>
      <c r="H7417">
        <f>VLOOKUP(D7417,Товары!A:I,6,0)</f>
        <v>85</v>
      </c>
      <c r="I7417" t="str">
        <f>VLOOKUP(C7417,Магазины!A:C,3,0)</f>
        <v>Ставрополь</v>
      </c>
      <c r="J7417">
        <f>VLOOKUP(D7417,Товары!A:I,4,0)</f>
        <v>15660</v>
      </c>
      <c r="K7417">
        <f t="shared" si="115"/>
        <v>31320</v>
      </c>
    </row>
    <row r="7418" spans="1:11" hidden="1" x14ac:dyDescent="0.25">
      <c r="A7418">
        <v>7417</v>
      </c>
      <c r="B7418" s="1">
        <v>45754</v>
      </c>
      <c r="C7418" t="s">
        <v>111</v>
      </c>
      <c r="D7418" t="s">
        <v>127</v>
      </c>
      <c r="E7418" t="s">
        <v>13</v>
      </c>
      <c r="F7418">
        <v>1</v>
      </c>
      <c r="G7418" t="str">
        <f>VLOOKUP(D7418,Товары!A:I,3,0)</f>
        <v>Тумба с раковиной  навес. Альба 700 мята 1 ящик с умыв. Слим</v>
      </c>
      <c r="H7418">
        <f>VLOOKUP(D7418,Товары!A:I,6,0)</f>
        <v>45</v>
      </c>
      <c r="I7418" t="str">
        <f>VLOOKUP(C7418,Магазины!A:C,3,0)</f>
        <v>Набережные Челны</v>
      </c>
      <c r="J7418">
        <f>VLOOKUP(D7418,Товары!A:I,4,0)</f>
        <v>20130</v>
      </c>
      <c r="K7418">
        <f t="shared" si="115"/>
        <v>20130</v>
      </c>
    </row>
    <row r="7419" spans="1:11" hidden="1" x14ac:dyDescent="0.25">
      <c r="A7419">
        <v>7418</v>
      </c>
      <c r="B7419" s="1">
        <v>45752</v>
      </c>
      <c r="C7419" t="s">
        <v>48</v>
      </c>
      <c r="D7419" t="s">
        <v>27</v>
      </c>
      <c r="E7419" t="s">
        <v>13</v>
      </c>
      <c r="F7419">
        <v>2</v>
      </c>
      <c r="G7419" t="str">
        <f>VLOOKUP(D7419,Товары!A:I,3,0)</f>
        <v>Тумба с раковиной  навес. Виктория 800 белый 2 ящика с умыв. Слим</v>
      </c>
      <c r="H7419">
        <f>VLOOKUP(D7419,Товары!A:I,6,0)</f>
        <v>60</v>
      </c>
      <c r="I7419" t="str">
        <f>VLOOKUP(C7419,Магазины!A:C,3,0)</f>
        <v>Ставрополь</v>
      </c>
      <c r="J7419">
        <f>VLOOKUP(D7419,Товары!A:I,4,0)</f>
        <v>25290</v>
      </c>
      <c r="K7419">
        <f t="shared" si="115"/>
        <v>50580</v>
      </c>
    </row>
    <row r="7420" spans="1:11" hidden="1" x14ac:dyDescent="0.25">
      <c r="A7420">
        <v>7419</v>
      </c>
      <c r="B7420" s="1">
        <v>45751</v>
      </c>
      <c r="C7420" t="s">
        <v>33</v>
      </c>
      <c r="D7420" t="s">
        <v>72</v>
      </c>
      <c r="E7420" t="s">
        <v>13</v>
      </c>
      <c r="F7420">
        <v>1</v>
      </c>
      <c r="G7420" t="str">
        <f>VLOOKUP(D7420,Товары!A:I,3,0)</f>
        <v>Тумба с раковиной  напол. Сохо 600 белый 2 ящика с умыв. Океан</v>
      </c>
      <c r="H7420">
        <f>VLOOKUP(D7420,Товары!A:I,6,0)</f>
        <v>85</v>
      </c>
      <c r="I7420" t="str">
        <f>VLOOKUP(C7420,Магазины!A:C,3,0)</f>
        <v>Набережные Челны</v>
      </c>
      <c r="J7420">
        <f>VLOOKUP(D7420,Товары!A:I,4,0)</f>
        <v>16140</v>
      </c>
      <c r="K7420">
        <f t="shared" si="115"/>
        <v>16140</v>
      </c>
    </row>
    <row r="7421" spans="1:11" hidden="1" x14ac:dyDescent="0.25">
      <c r="A7421">
        <v>7420</v>
      </c>
      <c r="B7421" s="1">
        <v>45757</v>
      </c>
      <c r="C7421" t="s">
        <v>35</v>
      </c>
      <c r="D7421" t="s">
        <v>116</v>
      </c>
      <c r="E7421" t="s">
        <v>8</v>
      </c>
      <c r="F7421">
        <v>1</v>
      </c>
      <c r="G7421" t="str">
        <f>VLOOKUP(D7421,Товары!A:I,3,0)</f>
        <v>Зеркало Нева 60 дуб/белый со светильником</v>
      </c>
      <c r="H7421">
        <f>VLOOKUP(D7421,Товары!A:I,6,0)</f>
        <v>80</v>
      </c>
      <c r="I7421" t="str">
        <f>VLOOKUP(C7421,Магазины!A:C,3,0)</f>
        <v>Набережные Челны</v>
      </c>
      <c r="J7421">
        <f>VLOOKUP(D7421,Товары!A:I,4,0)</f>
        <v>5100</v>
      </c>
      <c r="K7421">
        <f t="shared" si="115"/>
        <v>5100</v>
      </c>
    </row>
    <row r="7422" spans="1:11" hidden="1" x14ac:dyDescent="0.25">
      <c r="A7422">
        <v>7421</v>
      </c>
      <c r="B7422" s="1">
        <v>45750</v>
      </c>
      <c r="C7422" t="s">
        <v>11</v>
      </c>
      <c r="D7422" t="s">
        <v>61</v>
      </c>
      <c r="E7422" t="s">
        <v>8</v>
      </c>
      <c r="F7422">
        <v>3</v>
      </c>
      <c r="G7422" t="str">
        <f>VLOOKUP(D7422,Товары!A:I,3,0)</f>
        <v>Тумба под стиральную машину Леон Риф 57 напольная 2 ящика под ст/маш, без умывальника /под Marshall 120 Солярис/Белый Риф</v>
      </c>
      <c r="H7422">
        <f>VLOOKUP(D7422,Товары!A:I,6,0)</f>
        <v>85</v>
      </c>
      <c r="I7422" t="str">
        <f>VLOOKUP(C7422,Магазины!A:C,3,0)</f>
        <v>Кемерово</v>
      </c>
      <c r="J7422">
        <f>VLOOKUP(D7422,Товары!A:I,4,0)</f>
        <v>17430</v>
      </c>
      <c r="K7422">
        <f t="shared" si="115"/>
        <v>52290</v>
      </c>
    </row>
    <row r="7423" spans="1:11" hidden="1" x14ac:dyDescent="0.25">
      <c r="A7423">
        <v>7422</v>
      </c>
      <c r="B7423" s="1">
        <v>45750</v>
      </c>
      <c r="C7423" t="s">
        <v>35</v>
      </c>
      <c r="D7423" t="s">
        <v>60</v>
      </c>
      <c r="E7423" t="s">
        <v>8</v>
      </c>
      <c r="F7423">
        <v>2</v>
      </c>
      <c r="G7423" t="str">
        <f>VLOOKUP(D7423,Товары!A:I,3,0)</f>
        <v>Пенал навес. Куба Риф 350 белый 2 двери</v>
      </c>
      <c r="H7423">
        <f>VLOOKUP(D7423,Товары!A:I,6,0)</f>
        <v>150</v>
      </c>
      <c r="I7423" t="str">
        <f>VLOOKUP(C7423,Магазины!A:C,3,0)</f>
        <v>Набережные Челны</v>
      </c>
      <c r="J7423">
        <f>VLOOKUP(D7423,Товары!A:I,4,0)</f>
        <v>9720</v>
      </c>
      <c r="K7423">
        <f t="shared" si="115"/>
        <v>19440</v>
      </c>
    </row>
    <row r="7424" spans="1:11" hidden="1" x14ac:dyDescent="0.25">
      <c r="A7424">
        <v>7423</v>
      </c>
      <c r="B7424" s="1">
        <v>45756</v>
      </c>
      <c r="C7424" t="s">
        <v>30</v>
      </c>
      <c r="D7424" t="s">
        <v>128</v>
      </c>
      <c r="E7424" t="s">
        <v>8</v>
      </c>
      <c r="F7424">
        <v>3</v>
      </c>
      <c r="G7424" t="str">
        <f>VLOOKUP(D7424,Товары!A:I,3,0)</f>
        <v>Тумба с раковиной  напол. Куба Риф 1000 белый 2 ящика с умыв. Слим</v>
      </c>
      <c r="H7424">
        <f>VLOOKUP(D7424,Товары!A:I,6,0)</f>
        <v>85</v>
      </c>
      <c r="I7424" t="str">
        <f>VLOOKUP(C7424,Магазины!A:C,3,0)</f>
        <v>Кемерово</v>
      </c>
      <c r="J7424">
        <f>VLOOKUP(D7424,Товары!A:I,4,0)</f>
        <v>22905</v>
      </c>
      <c r="K7424">
        <f t="shared" si="115"/>
        <v>68715</v>
      </c>
    </row>
    <row r="7425" spans="1:11" hidden="1" x14ac:dyDescent="0.25">
      <c r="A7425">
        <v>7424</v>
      </c>
      <c r="B7425" s="1">
        <v>45748</v>
      </c>
      <c r="C7425" t="s">
        <v>22</v>
      </c>
      <c r="D7425" t="s">
        <v>76</v>
      </c>
      <c r="E7425" t="s">
        <v>13</v>
      </c>
      <c r="F7425">
        <v>1</v>
      </c>
      <c r="G7425" t="str">
        <f>VLOOKUP(D7425,Товары!A:I,3,0)</f>
        <v>Тумба с раковиной  напол. Леон 600 оникс 2 ящика с умыв. Слим</v>
      </c>
      <c r="H7425">
        <f>VLOOKUP(D7425,Товары!A:I,6,0)</f>
        <v>80</v>
      </c>
      <c r="I7425" t="str">
        <f>VLOOKUP(C7425,Магазины!A:C,3,0)</f>
        <v>Кемерово</v>
      </c>
      <c r="J7425">
        <f>VLOOKUP(D7425,Товары!A:I,4,0)</f>
        <v>25860</v>
      </c>
      <c r="K7425">
        <f t="shared" si="115"/>
        <v>25860</v>
      </c>
    </row>
    <row r="7426" spans="1:11" hidden="1" x14ac:dyDescent="0.25">
      <c r="A7426">
        <v>7425</v>
      </c>
      <c r="B7426" s="1">
        <v>45754</v>
      </c>
      <c r="C7426" t="s">
        <v>63</v>
      </c>
      <c r="D7426" t="s">
        <v>127</v>
      </c>
      <c r="E7426" t="s">
        <v>13</v>
      </c>
      <c r="F7426">
        <v>1</v>
      </c>
      <c r="G7426" t="str">
        <f>VLOOKUP(D7426,Товары!A:I,3,0)</f>
        <v>Тумба с раковиной  навес. Альба 700 мята 1 ящик с умыв. Слим</v>
      </c>
      <c r="H7426">
        <f>VLOOKUP(D7426,Товары!A:I,6,0)</f>
        <v>45</v>
      </c>
      <c r="I7426" t="str">
        <f>VLOOKUP(C7426,Магазины!A:C,3,0)</f>
        <v>Ставрополь</v>
      </c>
      <c r="J7426">
        <f>VLOOKUP(D7426,Товары!A:I,4,0)</f>
        <v>20130</v>
      </c>
      <c r="K7426">
        <f t="shared" si="115"/>
        <v>20130</v>
      </c>
    </row>
    <row r="7427" spans="1:11" hidden="1" x14ac:dyDescent="0.25">
      <c r="A7427">
        <v>7426</v>
      </c>
      <c r="B7427" s="1">
        <v>45751</v>
      </c>
      <c r="C7427" t="s">
        <v>16</v>
      </c>
      <c r="D7427" t="s">
        <v>23</v>
      </c>
      <c r="E7427" t="s">
        <v>8</v>
      </c>
      <c r="F7427">
        <v>3</v>
      </c>
      <c r="G7427" t="str">
        <f>VLOOKUP(D7427,Товары!A:I,3,0)</f>
        <v>Тумба с раковиной  напол. Альба 800 антрацит 2 ящика с умыв. Слим</v>
      </c>
      <c r="H7427">
        <f>VLOOKUP(D7427,Товары!A:I,6,0)</f>
        <v>80</v>
      </c>
      <c r="I7427" t="str">
        <f>VLOOKUP(C7427,Магазины!A:C,3,0)</f>
        <v>Оренбург</v>
      </c>
      <c r="J7427">
        <f>VLOOKUP(D7427,Товары!A:I,4,0)</f>
        <v>29340</v>
      </c>
      <c r="K7427">
        <f t="shared" ref="K7427:K7490" si="116">J7427*F7427</f>
        <v>88020</v>
      </c>
    </row>
    <row r="7428" spans="1:11" hidden="1" x14ac:dyDescent="0.25">
      <c r="A7428">
        <v>7427</v>
      </c>
      <c r="B7428" s="1">
        <v>45757</v>
      </c>
      <c r="C7428" t="s">
        <v>57</v>
      </c>
      <c r="D7428" t="s">
        <v>90</v>
      </c>
      <c r="E7428" t="s">
        <v>8</v>
      </c>
      <c r="F7428">
        <v>2</v>
      </c>
      <c r="G7428" t="str">
        <f>VLOOKUP(D7428,Товары!A:I,3,0)</f>
        <v>Пенал напол. Аква 350 белый 2 двери + 2 ящика</v>
      </c>
      <c r="H7428">
        <f>VLOOKUP(D7428,Товары!A:I,6,0)</f>
        <v>190</v>
      </c>
      <c r="I7428" t="str">
        <f>VLOOKUP(C7428,Магазины!A:C,3,0)</f>
        <v>Оренбург</v>
      </c>
      <c r="J7428">
        <f>VLOOKUP(D7428,Товары!A:I,4,0)</f>
        <v>10650</v>
      </c>
      <c r="K7428">
        <f t="shared" si="116"/>
        <v>21300</v>
      </c>
    </row>
    <row r="7429" spans="1:11" hidden="1" x14ac:dyDescent="0.25">
      <c r="A7429">
        <v>7428</v>
      </c>
      <c r="B7429" s="1">
        <v>45753</v>
      </c>
      <c r="C7429" t="s">
        <v>28</v>
      </c>
      <c r="D7429" t="s">
        <v>109</v>
      </c>
      <c r="E7429" t="s">
        <v>13</v>
      </c>
      <c r="F7429">
        <v>1</v>
      </c>
      <c r="G7429" t="str">
        <f>VLOOKUP(D7429,Товары!A:I,3,0)</f>
        <v>Тумба с раковиной  навес. Альба 600 антрацит 2 ящика с умыв. Океан</v>
      </c>
      <c r="H7429">
        <f>VLOOKUP(D7429,Товары!A:I,6,0)</f>
        <v>50</v>
      </c>
      <c r="I7429" t="str">
        <f>VLOOKUP(C7429,Магазины!A:C,3,0)</f>
        <v>Набережные Челны</v>
      </c>
      <c r="J7429">
        <f>VLOOKUP(D7429,Товары!A:I,4,0)</f>
        <v>24810</v>
      </c>
      <c r="K7429">
        <f t="shared" si="116"/>
        <v>24810</v>
      </c>
    </row>
    <row r="7430" spans="1:11" hidden="1" x14ac:dyDescent="0.25">
      <c r="A7430">
        <v>7429</v>
      </c>
      <c r="B7430" s="1">
        <v>45753</v>
      </c>
      <c r="C7430" t="s">
        <v>30</v>
      </c>
      <c r="D7430" t="s">
        <v>81</v>
      </c>
      <c r="E7430" t="s">
        <v>13</v>
      </c>
      <c r="F7430">
        <v>1</v>
      </c>
      <c r="G7430" t="str">
        <f>VLOOKUP(D7430,Товары!A:I,3,0)</f>
        <v>Тумба с раковиной  навес. Рица 600 cерый/керамика 1 ящик + ниша 1 с умыв. Океан</v>
      </c>
      <c r="H7430">
        <f>VLOOKUP(D7430,Товары!A:I,6,0)</f>
        <v>60</v>
      </c>
      <c r="I7430" t="str">
        <f>VLOOKUP(C7430,Магазины!A:C,3,0)</f>
        <v>Кемерово</v>
      </c>
      <c r="J7430">
        <f>VLOOKUP(D7430,Товары!A:I,4,0)</f>
        <v>18900</v>
      </c>
      <c r="K7430">
        <f t="shared" si="116"/>
        <v>18900</v>
      </c>
    </row>
    <row r="7431" spans="1:11" hidden="1" x14ac:dyDescent="0.25">
      <c r="A7431">
        <v>7430</v>
      </c>
      <c r="B7431" s="1">
        <v>45756</v>
      </c>
      <c r="C7431" t="s">
        <v>92</v>
      </c>
      <c r="D7431" t="s">
        <v>44</v>
      </c>
      <c r="E7431" t="s">
        <v>13</v>
      </c>
      <c r="F7431">
        <v>1</v>
      </c>
      <c r="G7431" t="str">
        <f>VLOOKUP(D7431,Товары!A:I,3,0)</f>
        <v>Тумба с раковиной  навес. Кристалл 800 шато азур 2 ящика с умыв. Комфорт</v>
      </c>
      <c r="H7431">
        <f>VLOOKUP(D7431,Товары!A:I,6,0)</f>
        <v>55</v>
      </c>
      <c r="I7431" t="str">
        <f>VLOOKUP(C7431,Магазины!A:C,3,0)</f>
        <v>Кемерово</v>
      </c>
      <c r="J7431">
        <f>VLOOKUP(D7431,Товары!A:I,4,0)</f>
        <v>25080</v>
      </c>
      <c r="K7431">
        <f t="shared" si="116"/>
        <v>25080</v>
      </c>
    </row>
    <row r="7432" spans="1:11" hidden="1" x14ac:dyDescent="0.25">
      <c r="A7432">
        <v>7431</v>
      </c>
      <c r="B7432" s="1">
        <v>45755</v>
      </c>
      <c r="C7432" t="s">
        <v>26</v>
      </c>
      <c r="D7432" t="s">
        <v>46</v>
      </c>
      <c r="E7432" t="s">
        <v>8</v>
      </c>
      <c r="F7432">
        <v>1</v>
      </c>
      <c r="G7432" t="str">
        <f>VLOOKUP(D7432,Товары!A:I,3,0)</f>
        <v>Тумба с раковиной  напол. Сохо 700 белый 2 ящика с умыв. Слим</v>
      </c>
      <c r="H7432">
        <f>VLOOKUP(D7432,Товары!A:I,6,0)</f>
        <v>85</v>
      </c>
      <c r="I7432" t="str">
        <f>VLOOKUP(C7432,Магазины!A:C,3,0)</f>
        <v>Оренбург</v>
      </c>
      <c r="J7432">
        <f>VLOOKUP(D7432,Товары!A:I,4,0)</f>
        <v>18405</v>
      </c>
      <c r="K7432">
        <f t="shared" si="116"/>
        <v>18405</v>
      </c>
    </row>
    <row r="7433" spans="1:11" hidden="1" x14ac:dyDescent="0.25">
      <c r="A7433">
        <v>7432</v>
      </c>
      <c r="B7433" s="1">
        <v>45751</v>
      </c>
      <c r="C7433" t="s">
        <v>16</v>
      </c>
      <c r="D7433" t="s">
        <v>79</v>
      </c>
      <c r="E7433" t="s">
        <v>8</v>
      </c>
      <c r="F7433">
        <v>3</v>
      </c>
      <c r="G7433" t="str">
        <f>VLOOKUP(D7433,Товары!A:I,3,0)</f>
        <v>Зеркальный шкаф Альба 70 со светильником правый цвет мята</v>
      </c>
      <c r="H7433">
        <f>VLOOKUP(D7433,Товары!A:I,6,0)</f>
        <v>75</v>
      </c>
      <c r="I7433" t="str">
        <f>VLOOKUP(C7433,Магазины!A:C,3,0)</f>
        <v>Оренбург</v>
      </c>
      <c r="J7433">
        <f>VLOOKUP(D7433,Товары!A:I,4,0)</f>
        <v>9615</v>
      </c>
      <c r="K7433">
        <f t="shared" si="116"/>
        <v>28845</v>
      </c>
    </row>
    <row r="7434" spans="1:11" hidden="1" x14ac:dyDescent="0.25">
      <c r="A7434">
        <v>7433</v>
      </c>
      <c r="B7434" s="1">
        <v>45757</v>
      </c>
      <c r="C7434" t="s">
        <v>26</v>
      </c>
      <c r="D7434" t="s">
        <v>74</v>
      </c>
      <c r="E7434" t="s">
        <v>8</v>
      </c>
      <c r="F7434">
        <v>3</v>
      </c>
      <c r="G7434" t="str">
        <f>VLOOKUP(D7434,Товары!A:I,3,0)</f>
        <v>Тумба с раковиной  напол. Альба 800 суфле 2 ящика с умыв. Слим</v>
      </c>
      <c r="H7434">
        <f>VLOOKUP(D7434,Товары!A:I,6,0)</f>
        <v>80</v>
      </c>
      <c r="I7434" t="str">
        <f>VLOOKUP(C7434,Магазины!A:C,3,0)</f>
        <v>Оренбург</v>
      </c>
      <c r="J7434">
        <f>VLOOKUP(D7434,Товары!A:I,4,0)</f>
        <v>29340</v>
      </c>
      <c r="K7434">
        <f t="shared" si="116"/>
        <v>88020</v>
      </c>
    </row>
    <row r="7435" spans="1:11" hidden="1" x14ac:dyDescent="0.25">
      <c r="A7435">
        <v>7434</v>
      </c>
      <c r="B7435" s="1">
        <v>45748</v>
      </c>
      <c r="C7435" t="s">
        <v>57</v>
      </c>
      <c r="D7435" t="s">
        <v>82</v>
      </c>
      <c r="E7435" t="s">
        <v>13</v>
      </c>
      <c r="F7435">
        <v>3</v>
      </c>
      <c r="G7435" t="str">
        <f>VLOOKUP(D7435,Товары!A:I,3,0)</f>
        <v>Тумба с раковиной  навес. Леон 800 форест 2 ящика с умыв. Слим</v>
      </c>
      <c r="H7435">
        <f>VLOOKUP(D7435,Товары!A:I,6,0)</f>
        <v>60</v>
      </c>
      <c r="I7435" t="str">
        <f>VLOOKUP(C7435,Магазины!A:C,3,0)</f>
        <v>Оренбург</v>
      </c>
      <c r="J7435">
        <f>VLOOKUP(D7435,Товары!A:I,4,0)</f>
        <v>27930</v>
      </c>
      <c r="K7435">
        <f t="shared" si="116"/>
        <v>83790</v>
      </c>
    </row>
    <row r="7436" spans="1:11" hidden="1" x14ac:dyDescent="0.25">
      <c r="A7436">
        <v>7435</v>
      </c>
      <c r="B7436" s="1">
        <v>45750</v>
      </c>
      <c r="C7436" t="s">
        <v>57</v>
      </c>
      <c r="D7436" t="s">
        <v>34</v>
      </c>
      <c r="E7436" t="s">
        <v>13</v>
      </c>
      <c r="F7436">
        <v>3</v>
      </c>
      <c r="G7436" t="str">
        <f>VLOOKUP(D7436,Товары!A:I,3,0)</f>
        <v>Тумба с раковиной  навес. Леон 700 форест 2 ящика с умыв. Слим</v>
      </c>
      <c r="H7436">
        <f>VLOOKUP(D7436,Товары!A:I,6,0)</f>
        <v>60</v>
      </c>
      <c r="I7436" t="str">
        <f>VLOOKUP(C7436,Магазины!A:C,3,0)</f>
        <v>Оренбург</v>
      </c>
      <c r="J7436">
        <f>VLOOKUP(D7436,Товары!A:I,4,0)</f>
        <v>26220</v>
      </c>
      <c r="K7436">
        <f t="shared" si="116"/>
        <v>78660</v>
      </c>
    </row>
    <row r="7437" spans="1:11" hidden="1" x14ac:dyDescent="0.25">
      <c r="A7437">
        <v>7436</v>
      </c>
      <c r="B7437" s="1">
        <v>45756</v>
      </c>
      <c r="C7437" t="s">
        <v>9</v>
      </c>
      <c r="D7437" t="s">
        <v>69</v>
      </c>
      <c r="E7437" t="s">
        <v>13</v>
      </c>
      <c r="F7437">
        <v>1</v>
      </c>
      <c r="G7437" t="str">
        <f>VLOOKUP(D7437,Товары!A:I,3,0)</f>
        <v>Пенал навес./напол. Альба 350 антрацит 2 двери</v>
      </c>
      <c r="H7437">
        <f>VLOOKUP(D7437,Товары!A:I,6,0)</f>
        <v>150</v>
      </c>
      <c r="I7437" t="str">
        <f>VLOOKUP(C7437,Магазины!A:C,3,0)</f>
        <v>Кемерово</v>
      </c>
      <c r="J7437">
        <f>VLOOKUP(D7437,Товары!A:I,4,0)</f>
        <v>11655</v>
      </c>
      <c r="K7437">
        <f t="shared" si="116"/>
        <v>11655</v>
      </c>
    </row>
    <row r="7438" spans="1:11" hidden="1" x14ac:dyDescent="0.25">
      <c r="A7438">
        <v>7437</v>
      </c>
      <c r="B7438" s="1">
        <v>45753</v>
      </c>
      <c r="C7438" t="s">
        <v>43</v>
      </c>
      <c r="D7438" t="s">
        <v>62</v>
      </c>
      <c r="E7438" t="s">
        <v>13</v>
      </c>
      <c r="F7438">
        <v>2</v>
      </c>
      <c r="G7438" t="str">
        <f>VLOOKUP(D7438,Товары!A:I,3,0)</f>
        <v>Тумба с раковиной  напол. Альба 600 мята 2 ящика с умыв. Океан</v>
      </c>
      <c r="H7438">
        <f>VLOOKUP(D7438,Товары!A:I,6,0)</f>
        <v>80</v>
      </c>
      <c r="I7438" t="str">
        <f>VLOOKUP(C7438,Магазины!A:C,3,0)</f>
        <v>Набережные Челны</v>
      </c>
      <c r="J7438">
        <f>VLOOKUP(D7438,Товары!A:I,4,0)</f>
        <v>26370</v>
      </c>
      <c r="K7438">
        <f t="shared" si="116"/>
        <v>52740</v>
      </c>
    </row>
    <row r="7439" spans="1:11" hidden="1" x14ac:dyDescent="0.25">
      <c r="A7439">
        <v>7438</v>
      </c>
      <c r="B7439" s="1">
        <v>45751</v>
      </c>
      <c r="C7439" t="s">
        <v>111</v>
      </c>
      <c r="D7439" t="s">
        <v>17</v>
      </c>
      <c r="E7439" t="s">
        <v>13</v>
      </c>
      <c r="F7439">
        <v>3</v>
      </c>
      <c r="G7439" t="str">
        <f>VLOOKUP(D7439,Товары!A:I,3,0)</f>
        <v>Тумба с раковиной  навес. Альба 800 антрацит 1 ящик с умыв. Слим</v>
      </c>
      <c r="H7439">
        <f>VLOOKUP(D7439,Товары!A:I,6,0)</f>
        <v>45</v>
      </c>
      <c r="I7439" t="str">
        <f>VLOOKUP(C7439,Магазины!A:C,3,0)</f>
        <v>Набережные Челны</v>
      </c>
      <c r="J7439">
        <f>VLOOKUP(D7439,Товары!A:I,4,0)</f>
        <v>21630</v>
      </c>
      <c r="K7439">
        <f t="shared" si="116"/>
        <v>64890</v>
      </c>
    </row>
    <row r="7440" spans="1:11" hidden="1" x14ac:dyDescent="0.25">
      <c r="A7440">
        <v>7439</v>
      </c>
      <c r="B7440" s="1">
        <v>45753</v>
      </c>
      <c r="C7440" t="s">
        <v>20</v>
      </c>
      <c r="D7440" t="s">
        <v>36</v>
      </c>
      <c r="E7440" t="s">
        <v>8</v>
      </c>
      <c r="F7440">
        <v>1</v>
      </c>
      <c r="G7440" t="str">
        <f>VLOOKUP(D7440,Товары!A:I,3,0)</f>
        <v>Тумба с раковиной  напол. Альба 800 мята 2 ящика с умыв. Слим</v>
      </c>
      <c r="H7440">
        <f>VLOOKUP(D7440,Товары!A:I,6,0)</f>
        <v>80</v>
      </c>
      <c r="I7440" t="str">
        <f>VLOOKUP(C7440,Магазины!A:C,3,0)</f>
        <v>Оренбург</v>
      </c>
      <c r="J7440">
        <f>VLOOKUP(D7440,Товары!A:I,4,0)</f>
        <v>29340</v>
      </c>
      <c r="K7440">
        <f t="shared" si="116"/>
        <v>29340</v>
      </c>
    </row>
    <row r="7441" spans="1:11" hidden="1" x14ac:dyDescent="0.25">
      <c r="A7441">
        <v>7440</v>
      </c>
      <c r="B7441" s="1">
        <v>45753</v>
      </c>
      <c r="C7441" t="s">
        <v>22</v>
      </c>
      <c r="D7441" t="s">
        <v>75</v>
      </c>
      <c r="E7441" t="s">
        <v>8</v>
      </c>
      <c r="F7441">
        <v>2</v>
      </c>
      <c r="G7441" t="str">
        <f>VLOOKUP(D7441,Товары!A:I,3,0)</f>
        <v>Тумба с раковиной  напол. Альба 600 суфле 2 ящика с умыв. Океан</v>
      </c>
      <c r="H7441">
        <f>VLOOKUP(D7441,Товары!A:I,6,0)</f>
        <v>80</v>
      </c>
      <c r="I7441" t="str">
        <f>VLOOKUP(C7441,Магазины!A:C,3,0)</f>
        <v>Кемерово</v>
      </c>
      <c r="J7441">
        <f>VLOOKUP(D7441,Товары!A:I,4,0)</f>
        <v>26370</v>
      </c>
      <c r="K7441">
        <f t="shared" si="116"/>
        <v>52740</v>
      </c>
    </row>
    <row r="7442" spans="1:11" hidden="1" x14ac:dyDescent="0.25">
      <c r="A7442">
        <v>7441</v>
      </c>
      <c r="B7442" s="1">
        <v>45756</v>
      </c>
      <c r="C7442" t="s">
        <v>22</v>
      </c>
      <c r="D7442" t="s">
        <v>104</v>
      </c>
      <c r="E7442" t="s">
        <v>8</v>
      </c>
      <c r="F7442">
        <v>1</v>
      </c>
      <c r="G7442" t="str">
        <f>VLOOKUP(D7442,Товары!A:I,3,0)</f>
        <v>Тумба под стиральную машину Куба Риф 57 подвесная 2 ящика под ст/маш, без умывальника /под Marshall 120 Белый</v>
      </c>
      <c r="H7442">
        <f>VLOOKUP(D7442,Товары!A:I,6,0)</f>
        <v>50</v>
      </c>
      <c r="I7442" t="str">
        <f>VLOOKUP(C7442,Магазины!A:C,3,0)</f>
        <v>Кемерово</v>
      </c>
      <c r="J7442">
        <f>VLOOKUP(D7442,Товары!A:I,4,0)</f>
        <v>8505</v>
      </c>
      <c r="K7442">
        <f t="shared" si="116"/>
        <v>8505</v>
      </c>
    </row>
    <row r="7443" spans="1:11" hidden="1" x14ac:dyDescent="0.25">
      <c r="A7443">
        <v>7442</v>
      </c>
      <c r="B7443" s="1">
        <v>45757</v>
      </c>
      <c r="C7443" t="s">
        <v>9</v>
      </c>
      <c r="D7443" t="s">
        <v>39</v>
      </c>
      <c r="E7443" t="s">
        <v>8</v>
      </c>
      <c r="F7443">
        <v>3</v>
      </c>
      <c r="G7443" t="str">
        <f>VLOOKUP(D7443,Товары!A:I,3,0)</f>
        <v>Тумба с раковиной  напол. Альба 700 мята 2 ящика с умыв. Слим</v>
      </c>
      <c r="H7443">
        <f>VLOOKUP(D7443,Товары!A:I,6,0)</f>
        <v>85</v>
      </c>
      <c r="I7443" t="str">
        <f>VLOOKUP(C7443,Магазины!A:C,3,0)</f>
        <v>Кемерово</v>
      </c>
      <c r="J7443">
        <f>VLOOKUP(D7443,Товары!A:I,4,0)</f>
        <v>28695</v>
      </c>
      <c r="K7443">
        <f t="shared" si="116"/>
        <v>86085</v>
      </c>
    </row>
    <row r="7444" spans="1:11" hidden="1" x14ac:dyDescent="0.25">
      <c r="A7444">
        <v>7443</v>
      </c>
      <c r="B7444" s="1">
        <v>45755</v>
      </c>
      <c r="C7444" t="s">
        <v>20</v>
      </c>
      <c r="D7444" t="s">
        <v>94</v>
      </c>
      <c r="E7444" t="s">
        <v>8</v>
      </c>
      <c r="F7444">
        <v>2</v>
      </c>
      <c r="G7444" t="str">
        <f>VLOOKUP(D7444,Товары!A:I,3,0)</f>
        <v>Зеркальный шкаф Альба 80 со светильником правый цвет антрацит</v>
      </c>
      <c r="H7444">
        <f>VLOOKUP(D7444,Товары!A:I,6,0)</f>
        <v>75</v>
      </c>
      <c r="I7444" t="str">
        <f>VLOOKUP(C7444,Магазины!A:C,3,0)</f>
        <v>Оренбург</v>
      </c>
      <c r="J7444">
        <f>VLOOKUP(D7444,Товары!A:I,4,0)</f>
        <v>9930</v>
      </c>
      <c r="K7444">
        <f t="shared" si="116"/>
        <v>19860</v>
      </c>
    </row>
    <row r="7445" spans="1:11" hidden="1" x14ac:dyDescent="0.25">
      <c r="A7445">
        <v>7444</v>
      </c>
      <c r="B7445" s="1">
        <v>45751</v>
      </c>
      <c r="C7445" t="s">
        <v>63</v>
      </c>
      <c r="D7445" t="s">
        <v>71</v>
      </c>
      <c r="E7445" t="s">
        <v>13</v>
      </c>
      <c r="F7445">
        <v>1</v>
      </c>
      <c r="G7445" t="str">
        <f>VLOOKUP(D7445,Товары!A:I,3,0)</f>
        <v>Тумба с раковиной  навес. Альба 600 мята 2 ящика с умыв. Океан</v>
      </c>
      <c r="H7445">
        <f>VLOOKUP(D7445,Товары!A:I,6,0)</f>
        <v>50</v>
      </c>
      <c r="I7445" t="str">
        <f>VLOOKUP(C7445,Магазины!A:C,3,0)</f>
        <v>Ставрополь</v>
      </c>
      <c r="J7445">
        <f>VLOOKUP(D7445,Товары!A:I,4,0)</f>
        <v>24810</v>
      </c>
      <c r="K7445">
        <f t="shared" si="116"/>
        <v>24810</v>
      </c>
    </row>
    <row r="7446" spans="1:11" hidden="1" x14ac:dyDescent="0.25">
      <c r="A7446">
        <v>7445</v>
      </c>
      <c r="B7446" s="1">
        <v>45755</v>
      </c>
      <c r="C7446" t="s">
        <v>92</v>
      </c>
      <c r="D7446" t="s">
        <v>51</v>
      </c>
      <c r="E7446" t="s">
        <v>13</v>
      </c>
      <c r="F7446">
        <v>1</v>
      </c>
      <c r="G7446" t="str">
        <f>VLOOKUP(D7446,Товары!A:I,3,0)</f>
        <v>Зеркальный шкаф Альба 80 со светильником правый цвет суфле</v>
      </c>
      <c r="H7446">
        <f>VLOOKUP(D7446,Товары!A:I,6,0)</f>
        <v>75</v>
      </c>
      <c r="I7446" t="str">
        <f>VLOOKUP(C7446,Магазины!A:C,3,0)</f>
        <v>Кемерово</v>
      </c>
      <c r="J7446">
        <f>VLOOKUP(D7446,Товары!A:I,4,0)</f>
        <v>9930</v>
      </c>
      <c r="K7446">
        <f t="shared" si="116"/>
        <v>9930</v>
      </c>
    </row>
    <row r="7447" spans="1:11" hidden="1" x14ac:dyDescent="0.25">
      <c r="A7447">
        <v>7446</v>
      </c>
      <c r="B7447" s="1">
        <v>45754</v>
      </c>
      <c r="C7447" t="s">
        <v>11</v>
      </c>
      <c r="D7447" t="s">
        <v>59</v>
      </c>
      <c r="E7447" t="s">
        <v>8</v>
      </c>
      <c r="F7447">
        <v>3</v>
      </c>
      <c r="G7447" t="str">
        <f>VLOOKUP(D7447,Товары!A:I,3,0)</f>
        <v>Тумба с раковиной  навес. Куба Риф 600 белый 2 ящика с умыв. Океан</v>
      </c>
      <c r="H7447">
        <f>VLOOKUP(D7447,Товары!A:I,6,0)</f>
        <v>55</v>
      </c>
      <c r="I7447" t="str">
        <f>VLOOKUP(C7447,Магазины!A:C,3,0)</f>
        <v>Кемерово</v>
      </c>
      <c r="J7447">
        <f>VLOOKUP(D7447,Товары!A:I,4,0)</f>
        <v>15765</v>
      </c>
      <c r="K7447">
        <f t="shared" si="116"/>
        <v>47295</v>
      </c>
    </row>
    <row r="7448" spans="1:11" hidden="1" x14ac:dyDescent="0.25">
      <c r="A7448">
        <v>7447</v>
      </c>
      <c r="B7448" s="1">
        <v>45754</v>
      </c>
      <c r="C7448" t="s">
        <v>111</v>
      </c>
      <c r="D7448" t="s">
        <v>65</v>
      </c>
      <c r="E7448" t="s">
        <v>8</v>
      </c>
      <c r="F7448">
        <v>3</v>
      </c>
      <c r="G7448" t="str">
        <f>VLOOKUP(D7448,Товары!A:I,3,0)</f>
        <v>Тумба с раковиной  навес. Альба 800 суфле 2 ящика с умыв. Слим</v>
      </c>
      <c r="H7448">
        <f>VLOOKUP(D7448,Товары!A:I,6,0)</f>
        <v>50</v>
      </c>
      <c r="I7448" t="str">
        <f>VLOOKUP(C7448,Магазины!A:C,3,0)</f>
        <v>Набережные Челны</v>
      </c>
      <c r="J7448">
        <f>VLOOKUP(D7448,Товары!A:I,4,0)</f>
        <v>26070</v>
      </c>
      <c r="K7448">
        <f t="shared" si="116"/>
        <v>78210</v>
      </c>
    </row>
    <row r="7449" spans="1:11" hidden="1" x14ac:dyDescent="0.25">
      <c r="A7449">
        <v>7448</v>
      </c>
      <c r="B7449" s="1">
        <v>45751</v>
      </c>
      <c r="C7449" t="s">
        <v>58</v>
      </c>
      <c r="D7449" t="s">
        <v>70</v>
      </c>
      <c r="E7449" t="s">
        <v>13</v>
      </c>
      <c r="F7449">
        <v>3</v>
      </c>
      <c r="G7449" t="str">
        <f>VLOOKUP(D7449,Товары!A:I,3,0)</f>
        <v>Тумба с раковиной  напол. Кристалл 700 шато азур 2 ящика с умыв. Слим</v>
      </c>
      <c r="H7449">
        <f>VLOOKUP(D7449,Товары!A:I,6,0)</f>
        <v>85</v>
      </c>
      <c r="I7449" t="str">
        <f>VLOOKUP(C7449,Магазины!A:C,3,0)</f>
        <v>Ставрополь</v>
      </c>
      <c r="J7449">
        <f>VLOOKUP(D7449,Товары!A:I,4,0)</f>
        <v>29910</v>
      </c>
      <c r="K7449">
        <f t="shared" si="116"/>
        <v>89730</v>
      </c>
    </row>
    <row r="7450" spans="1:11" hidden="1" x14ac:dyDescent="0.25">
      <c r="A7450">
        <v>7449</v>
      </c>
      <c r="B7450" s="1">
        <v>45751</v>
      </c>
      <c r="C7450" t="s">
        <v>35</v>
      </c>
      <c r="D7450" t="s">
        <v>32</v>
      </c>
      <c r="E7450" t="s">
        <v>13</v>
      </c>
      <c r="F7450">
        <v>2</v>
      </c>
      <c r="G7450" t="str">
        <f>VLOOKUP(D7450,Товары!A:I,3,0)</f>
        <v>Тумба с раковиной  напол. Леон Риф 700 солярис/белый риф 2 ящика с умыв. Слим</v>
      </c>
      <c r="H7450">
        <f>VLOOKUP(D7450,Товары!A:I,6,0)</f>
        <v>85</v>
      </c>
      <c r="I7450" t="str">
        <f>VLOOKUP(C7450,Магазины!A:C,3,0)</f>
        <v>Набережные Челны</v>
      </c>
      <c r="J7450">
        <f>VLOOKUP(D7450,Товары!A:I,4,0)</f>
        <v>26460</v>
      </c>
      <c r="K7450">
        <f t="shared" si="116"/>
        <v>52920</v>
      </c>
    </row>
    <row r="7451" spans="1:11" hidden="1" x14ac:dyDescent="0.25">
      <c r="A7451">
        <v>7450</v>
      </c>
      <c r="B7451" s="1">
        <v>45750</v>
      </c>
      <c r="C7451" t="s">
        <v>9</v>
      </c>
      <c r="D7451" t="s">
        <v>17</v>
      </c>
      <c r="E7451" t="s">
        <v>8</v>
      </c>
      <c r="F7451">
        <v>1</v>
      </c>
      <c r="G7451" t="str">
        <f>VLOOKUP(D7451,Товары!A:I,3,0)</f>
        <v>Тумба с раковиной  навес. Альба 800 антрацит 1 ящик с умыв. Слим</v>
      </c>
      <c r="H7451">
        <f>VLOOKUP(D7451,Товары!A:I,6,0)</f>
        <v>45</v>
      </c>
      <c r="I7451" t="str">
        <f>VLOOKUP(C7451,Магазины!A:C,3,0)</f>
        <v>Кемерово</v>
      </c>
      <c r="J7451">
        <f>VLOOKUP(D7451,Товары!A:I,4,0)</f>
        <v>21630</v>
      </c>
      <c r="K7451">
        <f t="shared" si="116"/>
        <v>21630</v>
      </c>
    </row>
    <row r="7452" spans="1:11" hidden="1" x14ac:dyDescent="0.25">
      <c r="A7452">
        <v>7451</v>
      </c>
      <c r="B7452" s="1">
        <v>45754</v>
      </c>
      <c r="C7452" t="s">
        <v>9</v>
      </c>
      <c r="D7452" t="s">
        <v>131</v>
      </c>
      <c r="E7452" t="s">
        <v>13</v>
      </c>
      <c r="F7452">
        <v>2</v>
      </c>
      <c r="G7452" t="str">
        <f>VLOOKUP(D7452,Товары!A:I,3,0)</f>
        <v>Тумба с раковиной  напол. Леон 800 форест 2 ящика с умыв. Слим</v>
      </c>
      <c r="H7452">
        <f>VLOOKUP(D7452,Товары!A:I,6,0)</f>
        <v>80</v>
      </c>
      <c r="I7452" t="str">
        <f>VLOOKUP(C7452,Магазины!A:C,3,0)</f>
        <v>Кемерово</v>
      </c>
      <c r="J7452">
        <f>VLOOKUP(D7452,Товары!A:I,4,0)</f>
        <v>29400</v>
      </c>
      <c r="K7452">
        <f t="shared" si="116"/>
        <v>58800</v>
      </c>
    </row>
    <row r="7453" spans="1:11" hidden="1" x14ac:dyDescent="0.25">
      <c r="A7453">
        <v>7452</v>
      </c>
      <c r="B7453" s="1">
        <v>45755</v>
      </c>
      <c r="C7453" t="s">
        <v>41</v>
      </c>
      <c r="D7453" t="s">
        <v>109</v>
      </c>
      <c r="E7453" t="s">
        <v>8</v>
      </c>
      <c r="F7453">
        <v>2</v>
      </c>
      <c r="G7453" t="str">
        <f>VLOOKUP(D7453,Товары!A:I,3,0)</f>
        <v>Тумба с раковиной  навес. Альба 600 антрацит 2 ящика с умыв. Океан</v>
      </c>
      <c r="H7453">
        <f>VLOOKUP(D7453,Товары!A:I,6,0)</f>
        <v>50</v>
      </c>
      <c r="I7453" t="str">
        <f>VLOOKUP(C7453,Магазины!A:C,3,0)</f>
        <v>Ставрополь</v>
      </c>
      <c r="J7453">
        <f>VLOOKUP(D7453,Товары!A:I,4,0)</f>
        <v>24810</v>
      </c>
      <c r="K7453">
        <f t="shared" si="116"/>
        <v>49620</v>
      </c>
    </row>
    <row r="7454" spans="1:11" hidden="1" x14ac:dyDescent="0.25">
      <c r="A7454">
        <v>7453</v>
      </c>
      <c r="B7454" s="1">
        <v>45753</v>
      </c>
      <c r="C7454" t="s">
        <v>111</v>
      </c>
      <c r="D7454" t="s">
        <v>72</v>
      </c>
      <c r="E7454" t="s">
        <v>13</v>
      </c>
      <c r="F7454">
        <v>1</v>
      </c>
      <c r="G7454" t="str">
        <f>VLOOKUP(D7454,Товары!A:I,3,0)</f>
        <v>Тумба с раковиной  напол. Сохо 600 белый 2 ящика с умыв. Океан</v>
      </c>
      <c r="H7454">
        <f>VLOOKUP(D7454,Товары!A:I,6,0)</f>
        <v>85</v>
      </c>
      <c r="I7454" t="str">
        <f>VLOOKUP(C7454,Магазины!A:C,3,0)</f>
        <v>Набережные Челны</v>
      </c>
      <c r="J7454">
        <f>VLOOKUP(D7454,Товары!A:I,4,0)</f>
        <v>16140</v>
      </c>
      <c r="K7454">
        <f t="shared" si="116"/>
        <v>16140</v>
      </c>
    </row>
    <row r="7455" spans="1:11" hidden="1" x14ac:dyDescent="0.25">
      <c r="A7455">
        <v>7454</v>
      </c>
      <c r="B7455" s="1">
        <v>45755</v>
      </c>
      <c r="C7455" t="s">
        <v>111</v>
      </c>
      <c r="D7455" t="s">
        <v>98</v>
      </c>
      <c r="E7455" t="s">
        <v>8</v>
      </c>
      <c r="F7455">
        <v>2</v>
      </c>
      <c r="G7455" t="str">
        <f>VLOOKUP(D7455,Товары!A:I,3,0)</f>
        <v>Тумба с раковиной  напол. Рица 800 cерый/керамика 2 ящика с умыв. Слим</v>
      </c>
      <c r="H7455">
        <f>VLOOKUP(D7455,Товары!A:I,6,0)</f>
        <v>80</v>
      </c>
      <c r="I7455" t="str">
        <f>VLOOKUP(C7455,Магазины!A:C,3,0)</f>
        <v>Набережные Челны</v>
      </c>
      <c r="J7455">
        <f>VLOOKUP(D7455,Товары!A:I,4,0)</f>
        <v>28980</v>
      </c>
      <c r="K7455">
        <f t="shared" si="116"/>
        <v>57960</v>
      </c>
    </row>
    <row r="7456" spans="1:11" hidden="1" x14ac:dyDescent="0.25">
      <c r="A7456">
        <v>7455</v>
      </c>
      <c r="B7456" s="1">
        <v>45749</v>
      </c>
      <c r="C7456" t="s">
        <v>57</v>
      </c>
      <c r="D7456" t="s">
        <v>77</v>
      </c>
      <c r="E7456" t="s">
        <v>13</v>
      </c>
      <c r="F7456">
        <v>3</v>
      </c>
      <c r="G7456" t="str">
        <f>VLOOKUP(D7456,Товары!A:I,3,0)</f>
        <v>Тумба с раковиной  напол. Куба Риф 600 белый 2 ящика с умыв. Como</v>
      </c>
      <c r="H7456">
        <f>VLOOKUP(D7456,Товары!A:I,6,0)</f>
        <v>85</v>
      </c>
      <c r="I7456" t="str">
        <f>VLOOKUP(C7456,Магазины!A:C,3,0)</f>
        <v>Оренбург</v>
      </c>
      <c r="J7456">
        <f>VLOOKUP(D7456,Товары!A:I,4,0)</f>
        <v>15660</v>
      </c>
      <c r="K7456">
        <f t="shared" si="116"/>
        <v>46980</v>
      </c>
    </row>
    <row r="7457" spans="1:11" hidden="1" x14ac:dyDescent="0.25">
      <c r="A7457">
        <v>7456</v>
      </c>
      <c r="B7457" s="1">
        <v>45755</v>
      </c>
      <c r="C7457" t="s">
        <v>16</v>
      </c>
      <c r="D7457" t="s">
        <v>37</v>
      </c>
      <c r="E7457" t="s">
        <v>13</v>
      </c>
      <c r="F7457">
        <v>2</v>
      </c>
      <c r="G7457" t="str">
        <f>VLOOKUP(D7457,Товары!A:I,3,0)</f>
        <v>Зеркальный шкаф Сохо 70 белый со светильником правый цвет Белый глянец</v>
      </c>
      <c r="H7457">
        <f>VLOOKUP(D7457,Товары!A:I,6,0)</f>
        <v>75</v>
      </c>
      <c r="I7457" t="str">
        <f>VLOOKUP(C7457,Магазины!A:C,3,0)</f>
        <v>Оренбург</v>
      </c>
      <c r="J7457">
        <f>VLOOKUP(D7457,Товары!A:I,4,0)</f>
        <v>7935</v>
      </c>
      <c r="K7457">
        <f t="shared" si="116"/>
        <v>15870</v>
      </c>
    </row>
    <row r="7458" spans="1:11" hidden="1" x14ac:dyDescent="0.25">
      <c r="A7458">
        <v>7457</v>
      </c>
      <c r="B7458" s="1">
        <v>45757</v>
      </c>
      <c r="C7458" t="s">
        <v>28</v>
      </c>
      <c r="D7458" t="s">
        <v>112</v>
      </c>
      <c r="E7458" t="s">
        <v>13</v>
      </c>
      <c r="F7458">
        <v>3</v>
      </c>
      <c r="G7458" t="str">
        <f>VLOOKUP(D7458,Товары!A:I,3,0)</f>
        <v>Тумба с раковиной  напол. Аква 560 белый 2 двери с умыв. Уют</v>
      </c>
      <c r="H7458">
        <f>VLOOKUP(D7458,Товары!A:I,6,0)</f>
        <v>85</v>
      </c>
      <c r="I7458" t="str">
        <f>VLOOKUP(C7458,Магазины!A:C,3,0)</f>
        <v>Набережные Челны</v>
      </c>
      <c r="J7458">
        <f>VLOOKUP(D7458,Товары!A:I,4,0)</f>
        <v>9330</v>
      </c>
      <c r="K7458">
        <f t="shared" si="116"/>
        <v>27990</v>
      </c>
    </row>
    <row r="7459" spans="1:11" hidden="1" x14ac:dyDescent="0.25">
      <c r="A7459">
        <v>7458</v>
      </c>
      <c r="B7459" s="1">
        <v>45748</v>
      </c>
      <c r="C7459" t="s">
        <v>35</v>
      </c>
      <c r="D7459" t="s">
        <v>29</v>
      </c>
      <c r="E7459" t="s">
        <v>13</v>
      </c>
      <c r="F7459">
        <v>2</v>
      </c>
      <c r="G7459" t="str">
        <f>VLOOKUP(D7459,Товары!A:I,3,0)</f>
        <v>Тумба с раковиной  напол. Леон Риф 600 солярис/белый риф 2 ящика с умыв. Океан</v>
      </c>
      <c r="H7459">
        <f>VLOOKUP(D7459,Товары!A:I,6,0)</f>
        <v>80</v>
      </c>
      <c r="I7459" t="str">
        <f>VLOOKUP(C7459,Магазины!A:C,3,0)</f>
        <v>Набережные Челны</v>
      </c>
      <c r="J7459">
        <f>VLOOKUP(D7459,Товары!A:I,4,0)</f>
        <v>24150</v>
      </c>
      <c r="K7459">
        <f t="shared" si="116"/>
        <v>48300</v>
      </c>
    </row>
    <row r="7460" spans="1:11" hidden="1" x14ac:dyDescent="0.25">
      <c r="A7460">
        <v>7459</v>
      </c>
      <c r="B7460" s="1">
        <v>45755</v>
      </c>
      <c r="C7460" t="s">
        <v>41</v>
      </c>
      <c r="D7460" t="s">
        <v>23</v>
      </c>
      <c r="E7460" t="s">
        <v>13</v>
      </c>
      <c r="F7460">
        <v>1</v>
      </c>
      <c r="G7460" t="str">
        <f>VLOOKUP(D7460,Товары!A:I,3,0)</f>
        <v>Тумба с раковиной  напол. Альба 800 антрацит 2 ящика с умыв. Слим</v>
      </c>
      <c r="H7460">
        <f>VLOOKUP(D7460,Товары!A:I,6,0)</f>
        <v>80</v>
      </c>
      <c r="I7460" t="str">
        <f>VLOOKUP(C7460,Магазины!A:C,3,0)</f>
        <v>Ставрополь</v>
      </c>
      <c r="J7460">
        <f>VLOOKUP(D7460,Товары!A:I,4,0)</f>
        <v>29340</v>
      </c>
      <c r="K7460">
        <f t="shared" si="116"/>
        <v>29340</v>
      </c>
    </row>
    <row r="7461" spans="1:11" hidden="1" x14ac:dyDescent="0.25">
      <c r="A7461">
        <v>7460</v>
      </c>
      <c r="B7461" s="1">
        <v>45753</v>
      </c>
      <c r="C7461" t="s">
        <v>33</v>
      </c>
      <c r="D7461" t="s">
        <v>25</v>
      </c>
      <c r="E7461" t="s">
        <v>13</v>
      </c>
      <c r="F7461">
        <v>3</v>
      </c>
      <c r="G7461" t="str">
        <f>VLOOKUP(D7461,Товары!A:I,3,0)</f>
        <v>Пенал напол. Леон 400 оникс 2 двери + 1 ящик</v>
      </c>
      <c r="H7461">
        <f>VLOOKUP(D7461,Товары!A:I,6,0)</f>
        <v>190</v>
      </c>
      <c r="I7461" t="str">
        <f>VLOOKUP(C7461,Магазины!A:C,3,0)</f>
        <v>Набережные Челны</v>
      </c>
      <c r="J7461">
        <f>VLOOKUP(D7461,Товары!A:I,4,0)</f>
        <v>18450</v>
      </c>
      <c r="K7461">
        <f t="shared" si="116"/>
        <v>55350</v>
      </c>
    </row>
    <row r="7462" spans="1:11" hidden="1" x14ac:dyDescent="0.25">
      <c r="A7462">
        <v>7461</v>
      </c>
      <c r="B7462" s="1">
        <v>45750</v>
      </c>
      <c r="C7462" t="s">
        <v>14</v>
      </c>
      <c r="D7462" t="s">
        <v>67</v>
      </c>
      <c r="E7462" t="s">
        <v>8</v>
      </c>
      <c r="F7462">
        <v>1</v>
      </c>
      <c r="G7462" t="str">
        <f>VLOOKUP(D7462,Товары!A:I,3,0)</f>
        <v>Пенал навес./напол. Альба 350 суфле 2 двери</v>
      </c>
      <c r="H7462">
        <f>VLOOKUP(D7462,Товары!A:I,6,0)</f>
        <v>150</v>
      </c>
      <c r="I7462" t="str">
        <f>VLOOKUP(C7462,Магазины!A:C,3,0)</f>
        <v>Оренбург</v>
      </c>
      <c r="J7462">
        <f>VLOOKUP(D7462,Товары!A:I,4,0)</f>
        <v>11655</v>
      </c>
      <c r="K7462">
        <f t="shared" si="116"/>
        <v>11655</v>
      </c>
    </row>
    <row r="7463" spans="1:11" hidden="1" x14ac:dyDescent="0.25">
      <c r="A7463">
        <v>7462</v>
      </c>
      <c r="B7463" s="1">
        <v>45752</v>
      </c>
      <c r="C7463" t="s">
        <v>30</v>
      </c>
      <c r="D7463" t="s">
        <v>21</v>
      </c>
      <c r="E7463" t="s">
        <v>13</v>
      </c>
      <c r="F7463">
        <v>1</v>
      </c>
      <c r="G7463" t="str">
        <f>VLOOKUP(D7463,Товары!A:I,3,0)</f>
        <v>Зеркальный шкаф Рица 60 со светильником правый цвет cерый/керамика</v>
      </c>
      <c r="H7463">
        <f>VLOOKUP(D7463,Товары!A:I,6,0)</f>
        <v>75</v>
      </c>
      <c r="I7463" t="str">
        <f>VLOOKUP(C7463,Магазины!A:C,3,0)</f>
        <v>Кемерово</v>
      </c>
      <c r="J7463">
        <f>VLOOKUP(D7463,Товары!A:I,4,0)</f>
        <v>8910</v>
      </c>
      <c r="K7463">
        <f t="shared" si="116"/>
        <v>8910</v>
      </c>
    </row>
    <row r="7464" spans="1:11" hidden="1" x14ac:dyDescent="0.25">
      <c r="A7464">
        <v>7463</v>
      </c>
      <c r="B7464" s="1">
        <v>45756</v>
      </c>
      <c r="C7464" t="s">
        <v>11</v>
      </c>
      <c r="D7464" t="s">
        <v>19</v>
      </c>
      <c r="E7464" t="s">
        <v>13</v>
      </c>
      <c r="F7464">
        <v>2</v>
      </c>
      <c r="G7464" t="str">
        <f>VLOOKUP(D7464,Товары!A:I,3,0)</f>
        <v>Тумба с раковиной  навес. Леон 800 оникс 2 ящика с умыв. Слим</v>
      </c>
      <c r="H7464">
        <f>VLOOKUP(D7464,Товары!A:I,6,0)</f>
        <v>60</v>
      </c>
      <c r="I7464" t="str">
        <f>VLOOKUP(C7464,Магазины!A:C,3,0)</f>
        <v>Кемерово</v>
      </c>
      <c r="J7464">
        <f>VLOOKUP(D7464,Товары!A:I,4,0)</f>
        <v>27930</v>
      </c>
      <c r="K7464">
        <f t="shared" si="116"/>
        <v>55860</v>
      </c>
    </row>
    <row r="7465" spans="1:11" hidden="1" x14ac:dyDescent="0.25">
      <c r="A7465">
        <v>7464</v>
      </c>
      <c r="B7465" s="1">
        <v>45753</v>
      </c>
      <c r="C7465" t="s">
        <v>48</v>
      </c>
      <c r="D7465" t="s">
        <v>49</v>
      </c>
      <c r="E7465" t="s">
        <v>8</v>
      </c>
      <c r="F7465">
        <v>3</v>
      </c>
      <c r="G7465" t="str">
        <f>VLOOKUP(D7465,Товары!A:I,3,0)</f>
        <v>Тумба с раковиной  напол. Леон 700 оникс 2 ящика с умыв. Слим</v>
      </c>
      <c r="H7465">
        <f>VLOOKUP(D7465,Товары!A:I,6,0)</f>
        <v>80</v>
      </c>
      <c r="I7465" t="str">
        <f>VLOOKUP(C7465,Магазины!A:C,3,0)</f>
        <v>Ставрополь</v>
      </c>
      <c r="J7465">
        <f>VLOOKUP(D7465,Товары!A:I,4,0)</f>
        <v>28380</v>
      </c>
      <c r="K7465">
        <f t="shared" si="116"/>
        <v>85140</v>
      </c>
    </row>
    <row r="7466" spans="1:11" hidden="1" x14ac:dyDescent="0.25">
      <c r="A7466">
        <v>7465</v>
      </c>
      <c r="B7466" s="1">
        <v>45752</v>
      </c>
      <c r="C7466" t="s">
        <v>54</v>
      </c>
      <c r="D7466" t="s">
        <v>44</v>
      </c>
      <c r="E7466" t="s">
        <v>8</v>
      </c>
      <c r="F7466">
        <v>2</v>
      </c>
      <c r="G7466" t="str">
        <f>VLOOKUP(D7466,Товары!A:I,3,0)</f>
        <v>Тумба с раковиной  навес. Кристалл 800 шато азур 2 ящика с умыв. Комфорт</v>
      </c>
      <c r="H7466">
        <f>VLOOKUP(D7466,Товары!A:I,6,0)</f>
        <v>55</v>
      </c>
      <c r="I7466" t="str">
        <f>VLOOKUP(C7466,Магазины!A:C,3,0)</f>
        <v>Ставрополь</v>
      </c>
      <c r="J7466">
        <f>VLOOKUP(D7466,Товары!A:I,4,0)</f>
        <v>25080</v>
      </c>
      <c r="K7466">
        <f t="shared" si="116"/>
        <v>50160</v>
      </c>
    </row>
    <row r="7467" spans="1:11" hidden="1" x14ac:dyDescent="0.25">
      <c r="A7467">
        <v>7466</v>
      </c>
      <c r="B7467" s="1">
        <v>45755</v>
      </c>
      <c r="C7467" t="s">
        <v>35</v>
      </c>
      <c r="D7467" t="s">
        <v>12</v>
      </c>
      <c r="E7467" t="s">
        <v>8</v>
      </c>
      <c r="F7467">
        <v>2</v>
      </c>
      <c r="G7467" t="str">
        <f>VLOOKUP(D7467,Товары!A:I,3,0)</f>
        <v>Тумба с раковиной  напол. Сохо 700 белый 2 двери с умыв. Слим</v>
      </c>
      <c r="H7467">
        <f>VLOOKUP(D7467,Товары!A:I,6,0)</f>
        <v>85</v>
      </c>
      <c r="I7467" t="str">
        <f>VLOOKUP(C7467,Магазины!A:C,3,0)</f>
        <v>Набережные Челны</v>
      </c>
      <c r="J7467">
        <f>VLOOKUP(D7467,Товары!A:I,4,0)</f>
        <v>17160</v>
      </c>
      <c r="K7467">
        <f t="shared" si="116"/>
        <v>34320</v>
      </c>
    </row>
    <row r="7468" spans="1:11" hidden="1" x14ac:dyDescent="0.25">
      <c r="A7468">
        <v>7467</v>
      </c>
      <c r="B7468" s="1">
        <v>45757</v>
      </c>
      <c r="C7468" t="s">
        <v>30</v>
      </c>
      <c r="D7468" t="s">
        <v>84</v>
      </c>
      <c r="E7468" t="s">
        <v>13</v>
      </c>
      <c r="F7468">
        <v>1</v>
      </c>
      <c r="G7468" t="str">
        <f>VLOOKUP(D7468,Товары!A:I,3,0)</f>
        <v>Тумба с раковиной  напол. Куба Риф 800 белый 3 двери с умыв. Слим</v>
      </c>
      <c r="H7468">
        <f>VLOOKUP(D7468,Товары!A:I,6,0)</f>
        <v>85</v>
      </c>
      <c r="I7468" t="str">
        <f>VLOOKUP(C7468,Магазины!A:C,3,0)</f>
        <v>Кемерово</v>
      </c>
      <c r="J7468">
        <f>VLOOKUP(D7468,Товары!A:I,4,0)</f>
        <v>19920</v>
      </c>
      <c r="K7468">
        <f t="shared" si="116"/>
        <v>19920</v>
      </c>
    </row>
    <row r="7469" spans="1:11" hidden="1" x14ac:dyDescent="0.25">
      <c r="A7469">
        <v>7468</v>
      </c>
      <c r="B7469" s="1">
        <v>45752</v>
      </c>
      <c r="C7469" t="s">
        <v>33</v>
      </c>
      <c r="D7469" t="s">
        <v>104</v>
      </c>
      <c r="E7469" t="s">
        <v>13</v>
      </c>
      <c r="F7469">
        <v>3</v>
      </c>
      <c r="G7469" t="str">
        <f>VLOOKUP(D7469,Товары!A:I,3,0)</f>
        <v>Тумба под стиральную машину Куба Риф 57 подвесная 2 ящика под ст/маш, без умывальника /под Marshall 120 Белый</v>
      </c>
      <c r="H7469">
        <f>VLOOKUP(D7469,Товары!A:I,6,0)</f>
        <v>50</v>
      </c>
      <c r="I7469" t="str">
        <f>VLOOKUP(C7469,Магазины!A:C,3,0)</f>
        <v>Набережные Челны</v>
      </c>
      <c r="J7469">
        <f>VLOOKUP(D7469,Товары!A:I,4,0)</f>
        <v>8505</v>
      </c>
      <c r="K7469">
        <f t="shared" si="116"/>
        <v>25515</v>
      </c>
    </row>
    <row r="7470" spans="1:11" hidden="1" x14ac:dyDescent="0.25">
      <c r="A7470">
        <v>7469</v>
      </c>
      <c r="B7470" s="1">
        <v>45752</v>
      </c>
      <c r="C7470" t="s">
        <v>48</v>
      </c>
      <c r="D7470" t="s">
        <v>51</v>
      </c>
      <c r="E7470" t="s">
        <v>8</v>
      </c>
      <c r="F7470">
        <v>1</v>
      </c>
      <c r="G7470" t="str">
        <f>VLOOKUP(D7470,Товары!A:I,3,0)</f>
        <v>Зеркальный шкаф Альба 80 со светильником правый цвет суфле</v>
      </c>
      <c r="H7470">
        <f>VLOOKUP(D7470,Товары!A:I,6,0)</f>
        <v>75</v>
      </c>
      <c r="I7470" t="str">
        <f>VLOOKUP(C7470,Магазины!A:C,3,0)</f>
        <v>Ставрополь</v>
      </c>
      <c r="J7470">
        <f>VLOOKUP(D7470,Товары!A:I,4,0)</f>
        <v>9930</v>
      </c>
      <c r="K7470">
        <f t="shared" si="116"/>
        <v>9930</v>
      </c>
    </row>
    <row r="7471" spans="1:11" hidden="1" x14ac:dyDescent="0.25">
      <c r="A7471">
        <v>7470</v>
      </c>
      <c r="B7471" s="1">
        <v>45750</v>
      </c>
      <c r="C7471" t="s">
        <v>6</v>
      </c>
      <c r="D7471" t="s">
        <v>46</v>
      </c>
      <c r="E7471" t="s">
        <v>13</v>
      </c>
      <c r="F7471">
        <v>3</v>
      </c>
      <c r="G7471" t="str">
        <f>VLOOKUP(D7471,Товары!A:I,3,0)</f>
        <v>Тумба с раковиной  напол. Сохо 700 белый 2 ящика с умыв. Слим</v>
      </c>
      <c r="H7471">
        <f>VLOOKUP(D7471,Товары!A:I,6,0)</f>
        <v>85</v>
      </c>
      <c r="I7471" t="str">
        <f>VLOOKUP(C7471,Магазины!A:C,3,0)</f>
        <v>Оренбург</v>
      </c>
      <c r="J7471">
        <f>VLOOKUP(D7471,Товары!A:I,4,0)</f>
        <v>18405</v>
      </c>
      <c r="K7471">
        <f t="shared" si="116"/>
        <v>55215</v>
      </c>
    </row>
    <row r="7472" spans="1:11" hidden="1" x14ac:dyDescent="0.25">
      <c r="A7472">
        <v>7471</v>
      </c>
      <c r="B7472" s="1">
        <v>45756</v>
      </c>
      <c r="C7472" t="s">
        <v>63</v>
      </c>
      <c r="D7472" t="s">
        <v>83</v>
      </c>
      <c r="E7472" t="s">
        <v>13</v>
      </c>
      <c r="F7472">
        <v>2</v>
      </c>
      <c r="G7472" t="str">
        <f>VLOOKUP(D7472,Товары!A:I,3,0)</f>
        <v>Зеркальный шкаф Альба 60 со светильником правый цвет суфле</v>
      </c>
      <c r="H7472">
        <f>VLOOKUP(D7472,Товары!A:I,6,0)</f>
        <v>75</v>
      </c>
      <c r="I7472" t="str">
        <f>VLOOKUP(C7472,Магазины!A:C,3,0)</f>
        <v>Ставрополь</v>
      </c>
      <c r="J7472">
        <f>VLOOKUP(D7472,Товары!A:I,4,0)</f>
        <v>8910</v>
      </c>
      <c r="K7472">
        <f t="shared" si="116"/>
        <v>17820</v>
      </c>
    </row>
    <row r="7473" spans="1:11" hidden="1" x14ac:dyDescent="0.25">
      <c r="A7473">
        <v>7472</v>
      </c>
      <c r="B7473" s="1">
        <v>45749</v>
      </c>
      <c r="C7473" t="s">
        <v>103</v>
      </c>
      <c r="D7473" t="s">
        <v>119</v>
      </c>
      <c r="E7473" t="s">
        <v>13</v>
      </c>
      <c r="F7473">
        <v>2</v>
      </c>
      <c r="G7473" t="str">
        <f>VLOOKUP(D7473,Товары!A:I,3,0)</f>
        <v>Пенал навес./напол. Рица 350 cерый/керамика 2 двери</v>
      </c>
      <c r="H7473">
        <f>VLOOKUP(D7473,Товары!A:I,6,0)</f>
        <v>160</v>
      </c>
      <c r="I7473" t="str">
        <f>VLOOKUP(C7473,Магазины!A:C,3,0)</f>
        <v>Ставрополь</v>
      </c>
      <c r="J7473">
        <f>VLOOKUP(D7473,Товары!A:I,4,0)</f>
        <v>11250</v>
      </c>
      <c r="K7473">
        <f t="shared" si="116"/>
        <v>22500</v>
      </c>
    </row>
    <row r="7474" spans="1:11" hidden="1" x14ac:dyDescent="0.25">
      <c r="A7474">
        <v>7473</v>
      </c>
      <c r="B7474" s="1">
        <v>45752</v>
      </c>
      <c r="C7474" t="s">
        <v>18</v>
      </c>
      <c r="D7474" t="s">
        <v>124</v>
      </c>
      <c r="E7474" t="s">
        <v>8</v>
      </c>
      <c r="F7474">
        <v>1</v>
      </c>
      <c r="G7474" t="str">
        <f>VLOOKUP(D7474,Товары!A:I,3,0)</f>
        <v>Тумба с раковиной  напол. Леон 600 оникс 2 ящика с умыв. Океан</v>
      </c>
      <c r="H7474">
        <f>VLOOKUP(D7474,Товары!A:I,6,0)</f>
        <v>80</v>
      </c>
      <c r="I7474" t="str">
        <f>VLOOKUP(C7474,Магазины!A:C,3,0)</f>
        <v>Набережные Челны</v>
      </c>
      <c r="J7474">
        <f>VLOOKUP(D7474,Товары!A:I,4,0)</f>
        <v>25860</v>
      </c>
      <c r="K7474">
        <f t="shared" si="116"/>
        <v>25860</v>
      </c>
    </row>
    <row r="7475" spans="1:11" hidden="1" x14ac:dyDescent="0.25">
      <c r="A7475">
        <v>7474</v>
      </c>
      <c r="B7475" s="1">
        <v>45748</v>
      </c>
      <c r="C7475" t="s">
        <v>26</v>
      </c>
      <c r="D7475" t="s">
        <v>80</v>
      </c>
      <c r="E7475" t="s">
        <v>8</v>
      </c>
      <c r="F7475">
        <v>2</v>
      </c>
      <c r="G7475" t="str">
        <f>VLOOKUP(D7475,Товары!A:I,3,0)</f>
        <v>Тумба с раковиной  навес. Сохо 600 белый 2 ящика с умыв. Океан</v>
      </c>
      <c r="H7475">
        <f>VLOOKUP(D7475,Товары!A:I,6,0)</f>
        <v>55</v>
      </c>
      <c r="I7475" t="str">
        <f>VLOOKUP(C7475,Магазины!A:C,3,0)</f>
        <v>Оренбург</v>
      </c>
      <c r="J7475">
        <f>VLOOKUP(D7475,Товары!A:I,4,0)</f>
        <v>13950</v>
      </c>
      <c r="K7475">
        <f t="shared" si="116"/>
        <v>27900</v>
      </c>
    </row>
    <row r="7476" spans="1:11" hidden="1" x14ac:dyDescent="0.25">
      <c r="A7476">
        <v>7475</v>
      </c>
      <c r="B7476" s="1">
        <v>45750</v>
      </c>
      <c r="C7476" t="s">
        <v>18</v>
      </c>
      <c r="D7476" t="s">
        <v>125</v>
      </c>
      <c r="E7476" t="s">
        <v>13</v>
      </c>
      <c r="F7476">
        <v>2</v>
      </c>
      <c r="G7476" t="str">
        <f>VLOOKUP(D7476,Товары!A:I,3,0)</f>
        <v>Зеркальный шкаф Сохо 60 белый со светильником правый цвет Белый глянец</v>
      </c>
      <c r="H7476">
        <f>VLOOKUP(D7476,Товары!A:I,6,0)</f>
        <v>75</v>
      </c>
      <c r="I7476" t="str">
        <f>VLOOKUP(C7476,Магазины!A:C,3,0)</f>
        <v>Набережные Челны</v>
      </c>
      <c r="J7476">
        <f>VLOOKUP(D7476,Товары!A:I,4,0)</f>
        <v>7395</v>
      </c>
      <c r="K7476">
        <f t="shared" si="116"/>
        <v>14790</v>
      </c>
    </row>
    <row r="7477" spans="1:11" hidden="1" x14ac:dyDescent="0.25">
      <c r="A7477">
        <v>7476</v>
      </c>
      <c r="B7477" s="1">
        <v>45752</v>
      </c>
      <c r="C7477" t="s">
        <v>92</v>
      </c>
      <c r="D7477" t="s">
        <v>96</v>
      </c>
      <c r="E7477" t="s">
        <v>8</v>
      </c>
      <c r="F7477">
        <v>3</v>
      </c>
      <c r="G7477" t="str">
        <f>VLOOKUP(D7477,Товары!A:I,3,0)</f>
        <v>Тумба с раковиной  навес. Альба 600 мята 1 ящик с умыв. Океан</v>
      </c>
      <c r="H7477">
        <f>VLOOKUP(D7477,Товары!A:I,6,0)</f>
        <v>85</v>
      </c>
      <c r="I7477" t="str">
        <f>VLOOKUP(C7477,Магазины!A:C,3,0)</f>
        <v>Кемерово</v>
      </c>
      <c r="J7477">
        <f>VLOOKUP(D7477,Товары!A:I,4,0)</f>
        <v>17625</v>
      </c>
      <c r="K7477">
        <f t="shared" si="116"/>
        <v>52875</v>
      </c>
    </row>
    <row r="7478" spans="1:11" hidden="1" x14ac:dyDescent="0.25">
      <c r="A7478">
        <v>7477</v>
      </c>
      <c r="B7478" s="1">
        <v>45756</v>
      </c>
      <c r="C7478" t="s">
        <v>35</v>
      </c>
      <c r="D7478" t="s">
        <v>78</v>
      </c>
      <c r="E7478" t="s">
        <v>8</v>
      </c>
      <c r="F7478">
        <v>2</v>
      </c>
      <c r="G7478" t="str">
        <f>VLOOKUP(D7478,Товары!A:I,3,0)</f>
        <v>Зеркальный шкаф Кристалл 70 со светильником правый, ручка кнопка дуб цвет Шато Азур</v>
      </c>
      <c r="H7478">
        <f>VLOOKUP(D7478,Товары!A:I,6,0)</f>
        <v>75</v>
      </c>
      <c r="I7478" t="str">
        <f>VLOOKUP(C7478,Магазины!A:C,3,0)</f>
        <v>Набережные Челны</v>
      </c>
      <c r="J7478">
        <f>VLOOKUP(D7478,Товары!A:I,4,0)</f>
        <v>9615</v>
      </c>
      <c r="K7478">
        <f t="shared" si="116"/>
        <v>19230</v>
      </c>
    </row>
    <row r="7479" spans="1:11" hidden="1" x14ac:dyDescent="0.25">
      <c r="A7479">
        <v>7478</v>
      </c>
      <c r="B7479" s="1">
        <v>45757</v>
      </c>
      <c r="C7479" t="s">
        <v>30</v>
      </c>
      <c r="D7479" t="s">
        <v>23</v>
      </c>
      <c r="E7479" t="s">
        <v>13</v>
      </c>
      <c r="F7479">
        <v>2</v>
      </c>
      <c r="G7479" t="str">
        <f>VLOOKUP(D7479,Товары!A:I,3,0)</f>
        <v>Тумба с раковиной  напол. Альба 800 антрацит 2 ящика с умыв. Слим</v>
      </c>
      <c r="H7479">
        <f>VLOOKUP(D7479,Товары!A:I,6,0)</f>
        <v>80</v>
      </c>
      <c r="I7479" t="str">
        <f>VLOOKUP(C7479,Магазины!A:C,3,0)</f>
        <v>Кемерово</v>
      </c>
      <c r="J7479">
        <f>VLOOKUP(D7479,Товары!A:I,4,0)</f>
        <v>29340</v>
      </c>
      <c r="K7479">
        <f t="shared" si="116"/>
        <v>58680</v>
      </c>
    </row>
    <row r="7480" spans="1:11" hidden="1" x14ac:dyDescent="0.25">
      <c r="A7480">
        <v>7479</v>
      </c>
      <c r="B7480" s="1">
        <v>45753</v>
      </c>
      <c r="C7480" t="s">
        <v>14</v>
      </c>
      <c r="D7480" t="s">
        <v>24</v>
      </c>
      <c r="E7480" t="s">
        <v>8</v>
      </c>
      <c r="F7480">
        <v>3</v>
      </c>
      <c r="G7480" t="str">
        <f>VLOOKUP(D7480,Товары!A:I,3,0)</f>
        <v>Тумба с раковиной  напол. Леон 600 форест 2 ящика с умыв. Слим</v>
      </c>
      <c r="H7480">
        <f>VLOOKUP(D7480,Товары!A:I,6,0)</f>
        <v>80</v>
      </c>
      <c r="I7480" t="str">
        <f>VLOOKUP(C7480,Магазины!A:C,3,0)</f>
        <v>Оренбург</v>
      </c>
      <c r="J7480">
        <f>VLOOKUP(D7480,Товары!A:I,4,0)</f>
        <v>27150</v>
      </c>
      <c r="K7480">
        <f t="shared" si="116"/>
        <v>81450</v>
      </c>
    </row>
    <row r="7481" spans="1:11" hidden="1" x14ac:dyDescent="0.25">
      <c r="A7481">
        <v>7480</v>
      </c>
      <c r="B7481" s="1">
        <v>45748</v>
      </c>
      <c r="C7481" t="s">
        <v>63</v>
      </c>
      <c r="D7481" t="s">
        <v>101</v>
      </c>
      <c r="E7481" t="s">
        <v>8</v>
      </c>
      <c r="F7481">
        <v>3</v>
      </c>
      <c r="G7481" t="str">
        <f>VLOOKUP(D7481,Товары!A:I,3,0)</f>
        <v>Пенал напол. Сохо 400 белый 2 двери + 1 ящик</v>
      </c>
      <c r="H7481">
        <f>VLOOKUP(D7481,Товары!A:I,6,0)</f>
        <v>190</v>
      </c>
      <c r="I7481" t="str">
        <f>VLOOKUP(C7481,Магазины!A:C,3,0)</f>
        <v>Ставрополь</v>
      </c>
      <c r="J7481">
        <f>VLOOKUP(D7481,Товары!A:I,4,0)</f>
        <v>11040</v>
      </c>
      <c r="K7481">
        <f t="shared" si="116"/>
        <v>33120</v>
      </c>
    </row>
    <row r="7482" spans="1:11" hidden="1" x14ac:dyDescent="0.25">
      <c r="A7482">
        <v>7481</v>
      </c>
      <c r="B7482" s="1">
        <v>45753</v>
      </c>
      <c r="C7482" t="s">
        <v>54</v>
      </c>
      <c r="D7482" t="s">
        <v>61</v>
      </c>
      <c r="E7482" t="s">
        <v>8</v>
      </c>
      <c r="F7482">
        <v>2</v>
      </c>
      <c r="G7482" t="str">
        <f>VLOOKUP(D7482,Товары!A:I,3,0)</f>
        <v>Тумба под стиральную машину Леон Риф 57 напольная 2 ящика под ст/маш, без умывальника /под Marshall 120 Солярис/Белый Риф</v>
      </c>
      <c r="H7482">
        <f>VLOOKUP(D7482,Товары!A:I,6,0)</f>
        <v>85</v>
      </c>
      <c r="I7482" t="str">
        <f>VLOOKUP(C7482,Магазины!A:C,3,0)</f>
        <v>Ставрополь</v>
      </c>
      <c r="J7482">
        <f>VLOOKUP(D7482,Товары!A:I,4,0)</f>
        <v>17430</v>
      </c>
      <c r="K7482">
        <f t="shared" si="116"/>
        <v>34860</v>
      </c>
    </row>
    <row r="7483" spans="1:11" hidden="1" x14ac:dyDescent="0.25">
      <c r="A7483">
        <v>7482</v>
      </c>
      <c r="B7483" s="1">
        <v>45755</v>
      </c>
      <c r="C7483" t="s">
        <v>26</v>
      </c>
      <c r="D7483" t="s">
        <v>108</v>
      </c>
      <c r="E7483" t="s">
        <v>8</v>
      </c>
      <c r="F7483">
        <v>2</v>
      </c>
      <c r="G7483" t="str">
        <f>VLOOKUP(D7483,Товары!A:I,3,0)</f>
        <v>Тумба с раковиной  навес. Виктория 1000 белый 2 ящика с умыв. Слим</v>
      </c>
      <c r="H7483">
        <f>VLOOKUP(D7483,Товары!A:I,6,0)</f>
        <v>60</v>
      </c>
      <c r="I7483" t="str">
        <f>VLOOKUP(C7483,Магазины!A:C,3,0)</f>
        <v>Оренбург</v>
      </c>
      <c r="J7483">
        <f>VLOOKUP(D7483,Товары!A:I,4,0)</f>
        <v>29205</v>
      </c>
      <c r="K7483">
        <f t="shared" si="116"/>
        <v>58410</v>
      </c>
    </row>
    <row r="7484" spans="1:11" hidden="1" x14ac:dyDescent="0.25">
      <c r="A7484">
        <v>7483</v>
      </c>
      <c r="B7484" s="1">
        <v>45754</v>
      </c>
      <c r="C7484" t="s">
        <v>43</v>
      </c>
      <c r="D7484" t="s">
        <v>45</v>
      </c>
      <c r="E7484" t="s">
        <v>8</v>
      </c>
      <c r="F7484">
        <v>3</v>
      </c>
      <c r="G7484" t="str">
        <f>VLOOKUP(D7484,Товары!A:I,3,0)</f>
        <v>Зеркальный шкаф Рица 80 со светильником правый цвет cерый/керамика</v>
      </c>
      <c r="H7484">
        <f>VLOOKUP(D7484,Товары!A:I,6,0)</f>
        <v>75</v>
      </c>
      <c r="I7484" t="str">
        <f>VLOOKUP(C7484,Магазины!A:C,3,0)</f>
        <v>Набережные Челны</v>
      </c>
      <c r="J7484">
        <f>VLOOKUP(D7484,Товары!A:I,4,0)</f>
        <v>9930</v>
      </c>
      <c r="K7484">
        <f t="shared" si="116"/>
        <v>29790</v>
      </c>
    </row>
    <row r="7485" spans="1:11" hidden="1" x14ac:dyDescent="0.25">
      <c r="A7485">
        <v>7484</v>
      </c>
      <c r="B7485" s="1">
        <v>45750</v>
      </c>
      <c r="C7485" t="s">
        <v>57</v>
      </c>
      <c r="D7485" t="s">
        <v>89</v>
      </c>
      <c r="E7485" t="s">
        <v>8</v>
      </c>
      <c r="F7485">
        <v>3</v>
      </c>
      <c r="G7485" t="str">
        <f>VLOOKUP(D7485,Товары!A:I,3,0)</f>
        <v>Тумба с раковиной  напол. Сохо 600 белый 2 двери с умыв. Океан</v>
      </c>
      <c r="H7485">
        <f>VLOOKUP(D7485,Товары!A:I,6,0)</f>
        <v>85</v>
      </c>
      <c r="I7485" t="str">
        <f>VLOOKUP(C7485,Магазины!A:C,3,0)</f>
        <v>Оренбург</v>
      </c>
      <c r="J7485">
        <f>VLOOKUP(D7485,Товары!A:I,4,0)</f>
        <v>14880</v>
      </c>
      <c r="K7485">
        <f t="shared" si="116"/>
        <v>44640</v>
      </c>
    </row>
    <row r="7486" spans="1:11" hidden="1" x14ac:dyDescent="0.25">
      <c r="A7486">
        <v>7485</v>
      </c>
      <c r="B7486" s="1">
        <v>45755</v>
      </c>
      <c r="C7486" t="s">
        <v>103</v>
      </c>
      <c r="D7486" t="s">
        <v>31</v>
      </c>
      <c r="E7486" t="s">
        <v>8</v>
      </c>
      <c r="F7486">
        <v>3</v>
      </c>
      <c r="G7486" t="str">
        <f>VLOOKUP(D7486,Товары!A:I,3,0)</f>
        <v>Пенал напол. Виктория 350 белый 2 двери</v>
      </c>
      <c r="H7486">
        <f>VLOOKUP(D7486,Товары!A:I,6,0)</f>
        <v>190</v>
      </c>
      <c r="I7486" t="str">
        <f>VLOOKUP(C7486,Магазины!A:C,3,0)</f>
        <v>Ставрополь</v>
      </c>
      <c r="J7486">
        <f>VLOOKUP(D7486,Товары!A:I,4,0)</f>
        <v>14085</v>
      </c>
      <c r="K7486">
        <f t="shared" si="116"/>
        <v>42255</v>
      </c>
    </row>
    <row r="7487" spans="1:11" hidden="1" x14ac:dyDescent="0.25">
      <c r="A7487">
        <v>7486</v>
      </c>
      <c r="B7487" s="1">
        <v>45754</v>
      </c>
      <c r="C7487" t="s">
        <v>11</v>
      </c>
      <c r="D7487" t="s">
        <v>99</v>
      </c>
      <c r="E7487" t="s">
        <v>13</v>
      </c>
      <c r="F7487">
        <v>2</v>
      </c>
      <c r="G7487" t="str">
        <f>VLOOKUP(D7487,Товары!A:I,3,0)</f>
        <v>Тумба с раковиной  навес. Леон 600 оникс 2 ящика с умыв. Слим</v>
      </c>
      <c r="H7487">
        <f>VLOOKUP(D7487,Товары!A:I,6,0)</f>
        <v>60</v>
      </c>
      <c r="I7487" t="str">
        <f>VLOOKUP(C7487,Магазины!A:C,3,0)</f>
        <v>Кемерово</v>
      </c>
      <c r="J7487">
        <f>VLOOKUP(D7487,Товары!A:I,4,0)</f>
        <v>25125</v>
      </c>
      <c r="K7487">
        <f t="shared" si="116"/>
        <v>50250</v>
      </c>
    </row>
    <row r="7488" spans="1:11" hidden="1" x14ac:dyDescent="0.25">
      <c r="A7488">
        <v>7487</v>
      </c>
      <c r="B7488" s="1">
        <v>45753</v>
      </c>
      <c r="C7488" t="s">
        <v>18</v>
      </c>
      <c r="D7488" t="s">
        <v>51</v>
      </c>
      <c r="E7488" t="s">
        <v>13</v>
      </c>
      <c r="F7488">
        <v>2</v>
      </c>
      <c r="G7488" t="str">
        <f>VLOOKUP(D7488,Товары!A:I,3,0)</f>
        <v>Зеркальный шкаф Альба 80 со светильником правый цвет суфле</v>
      </c>
      <c r="H7488">
        <f>VLOOKUP(D7488,Товары!A:I,6,0)</f>
        <v>75</v>
      </c>
      <c r="I7488" t="str">
        <f>VLOOKUP(C7488,Магазины!A:C,3,0)</f>
        <v>Набережные Челны</v>
      </c>
      <c r="J7488">
        <f>VLOOKUP(D7488,Товары!A:I,4,0)</f>
        <v>9930</v>
      </c>
      <c r="K7488">
        <f t="shared" si="116"/>
        <v>19860</v>
      </c>
    </row>
    <row r="7489" spans="1:11" hidden="1" x14ac:dyDescent="0.25">
      <c r="A7489">
        <v>7488</v>
      </c>
      <c r="B7489" s="1">
        <v>45756</v>
      </c>
      <c r="C7489" t="s">
        <v>28</v>
      </c>
      <c r="D7489" t="s">
        <v>125</v>
      </c>
      <c r="E7489" t="s">
        <v>8</v>
      </c>
      <c r="F7489">
        <v>1</v>
      </c>
      <c r="G7489" t="str">
        <f>VLOOKUP(D7489,Товары!A:I,3,0)</f>
        <v>Зеркальный шкаф Сохо 60 белый со светильником правый цвет Белый глянец</v>
      </c>
      <c r="H7489">
        <f>VLOOKUP(D7489,Товары!A:I,6,0)</f>
        <v>75</v>
      </c>
      <c r="I7489" t="str">
        <f>VLOOKUP(C7489,Магазины!A:C,3,0)</f>
        <v>Набережные Челны</v>
      </c>
      <c r="J7489">
        <f>VLOOKUP(D7489,Товары!A:I,4,0)</f>
        <v>7395</v>
      </c>
      <c r="K7489">
        <f t="shared" si="116"/>
        <v>7395</v>
      </c>
    </row>
    <row r="7490" spans="1:11" hidden="1" x14ac:dyDescent="0.25">
      <c r="A7490">
        <v>7489</v>
      </c>
      <c r="B7490" s="1">
        <v>45750</v>
      </c>
      <c r="C7490" t="s">
        <v>41</v>
      </c>
      <c r="D7490" t="s">
        <v>109</v>
      </c>
      <c r="E7490" t="s">
        <v>8</v>
      </c>
      <c r="F7490">
        <v>1</v>
      </c>
      <c r="G7490" t="str">
        <f>VLOOKUP(D7490,Товары!A:I,3,0)</f>
        <v>Тумба с раковиной  навес. Альба 600 антрацит 2 ящика с умыв. Океан</v>
      </c>
      <c r="H7490">
        <f>VLOOKUP(D7490,Товары!A:I,6,0)</f>
        <v>50</v>
      </c>
      <c r="I7490" t="str">
        <f>VLOOKUP(C7490,Магазины!A:C,3,0)</f>
        <v>Ставрополь</v>
      </c>
      <c r="J7490">
        <f>VLOOKUP(D7490,Товары!A:I,4,0)</f>
        <v>24810</v>
      </c>
      <c r="K7490">
        <f t="shared" si="116"/>
        <v>24810</v>
      </c>
    </row>
    <row r="7491" spans="1:11" hidden="1" x14ac:dyDescent="0.25">
      <c r="A7491">
        <v>7490</v>
      </c>
      <c r="B7491" s="1">
        <v>45751</v>
      </c>
      <c r="C7491" t="s">
        <v>11</v>
      </c>
      <c r="D7491" t="s">
        <v>36</v>
      </c>
      <c r="E7491" t="s">
        <v>8</v>
      </c>
      <c r="F7491">
        <v>1</v>
      </c>
      <c r="G7491" t="str">
        <f>VLOOKUP(D7491,Товары!A:I,3,0)</f>
        <v>Тумба с раковиной  напол. Альба 800 мята 2 ящика с умыв. Слим</v>
      </c>
      <c r="H7491">
        <f>VLOOKUP(D7491,Товары!A:I,6,0)</f>
        <v>80</v>
      </c>
      <c r="I7491" t="str">
        <f>VLOOKUP(C7491,Магазины!A:C,3,0)</f>
        <v>Кемерово</v>
      </c>
      <c r="J7491">
        <f>VLOOKUP(D7491,Товары!A:I,4,0)</f>
        <v>29340</v>
      </c>
      <c r="K7491">
        <f t="shared" ref="K7491:K7554" si="117">J7491*F7491</f>
        <v>29340</v>
      </c>
    </row>
    <row r="7492" spans="1:11" hidden="1" x14ac:dyDescent="0.25">
      <c r="A7492">
        <v>7491</v>
      </c>
      <c r="B7492" s="1">
        <v>45754</v>
      </c>
      <c r="C7492" t="s">
        <v>14</v>
      </c>
      <c r="D7492" t="s">
        <v>62</v>
      </c>
      <c r="E7492" t="s">
        <v>13</v>
      </c>
      <c r="F7492">
        <v>2</v>
      </c>
      <c r="G7492" t="str">
        <f>VLOOKUP(D7492,Товары!A:I,3,0)</f>
        <v>Тумба с раковиной  напол. Альба 600 мята 2 ящика с умыв. Океан</v>
      </c>
      <c r="H7492">
        <f>VLOOKUP(D7492,Товары!A:I,6,0)</f>
        <v>80</v>
      </c>
      <c r="I7492" t="str">
        <f>VLOOKUP(C7492,Магазины!A:C,3,0)</f>
        <v>Оренбург</v>
      </c>
      <c r="J7492">
        <f>VLOOKUP(D7492,Товары!A:I,4,0)</f>
        <v>26370</v>
      </c>
      <c r="K7492">
        <f t="shared" si="117"/>
        <v>52740</v>
      </c>
    </row>
    <row r="7493" spans="1:11" hidden="1" x14ac:dyDescent="0.25">
      <c r="A7493">
        <v>7492</v>
      </c>
      <c r="B7493" s="1">
        <v>45749</v>
      </c>
      <c r="C7493" t="s">
        <v>41</v>
      </c>
      <c r="D7493" t="s">
        <v>95</v>
      </c>
      <c r="E7493" t="s">
        <v>8</v>
      </c>
      <c r="F7493">
        <v>3</v>
      </c>
      <c r="G7493" t="str">
        <f>VLOOKUP(D7493,Товары!A:I,3,0)</f>
        <v>Тумба с раковиной  напол. Рица 600 антрацит 2 ящика с умыв. Океан</v>
      </c>
      <c r="H7493">
        <f>VLOOKUP(D7493,Товары!A:I,6,0)</f>
        <v>80</v>
      </c>
      <c r="I7493" t="str">
        <f>VLOOKUP(C7493,Магазины!A:C,3,0)</f>
        <v>Ставрополь</v>
      </c>
      <c r="J7493">
        <f>VLOOKUP(D7493,Товары!A:I,4,0)</f>
        <v>25560</v>
      </c>
      <c r="K7493">
        <f t="shared" si="117"/>
        <v>76680</v>
      </c>
    </row>
    <row r="7494" spans="1:11" hidden="1" x14ac:dyDescent="0.25">
      <c r="A7494">
        <v>7493</v>
      </c>
      <c r="B7494" s="1">
        <v>45751</v>
      </c>
      <c r="C7494" t="s">
        <v>35</v>
      </c>
      <c r="D7494" t="s">
        <v>86</v>
      </c>
      <c r="E7494" t="s">
        <v>13</v>
      </c>
      <c r="F7494">
        <v>3</v>
      </c>
      <c r="G7494" t="str">
        <f>VLOOKUP(D7494,Товары!A:I,3,0)</f>
        <v>Комод Аква 50 напольный 1 ящик 2 двери белый</v>
      </c>
      <c r="H7494">
        <f>VLOOKUP(D7494,Товары!A:I,6,0)</f>
        <v>90</v>
      </c>
      <c r="I7494" t="str">
        <f>VLOOKUP(C7494,Магазины!A:C,3,0)</f>
        <v>Набережные Челны</v>
      </c>
      <c r="J7494">
        <f>VLOOKUP(D7494,Товары!A:I,4,0)</f>
        <v>7260</v>
      </c>
      <c r="K7494">
        <f t="shared" si="117"/>
        <v>21780</v>
      </c>
    </row>
    <row r="7495" spans="1:11" hidden="1" x14ac:dyDescent="0.25">
      <c r="A7495">
        <v>7494</v>
      </c>
      <c r="B7495" s="1">
        <v>45750</v>
      </c>
      <c r="C7495" t="s">
        <v>11</v>
      </c>
      <c r="D7495" t="s">
        <v>59</v>
      </c>
      <c r="E7495" t="s">
        <v>13</v>
      </c>
      <c r="F7495">
        <v>2</v>
      </c>
      <c r="G7495" t="str">
        <f>VLOOKUP(D7495,Товары!A:I,3,0)</f>
        <v>Тумба с раковиной  навес. Куба Риф 600 белый 2 ящика с умыв. Океан</v>
      </c>
      <c r="H7495">
        <f>VLOOKUP(D7495,Товары!A:I,6,0)</f>
        <v>55</v>
      </c>
      <c r="I7495" t="str">
        <f>VLOOKUP(C7495,Магазины!A:C,3,0)</f>
        <v>Кемерово</v>
      </c>
      <c r="J7495">
        <f>VLOOKUP(D7495,Товары!A:I,4,0)</f>
        <v>15765</v>
      </c>
      <c r="K7495">
        <f t="shared" si="117"/>
        <v>31530</v>
      </c>
    </row>
    <row r="7496" spans="1:11" hidden="1" x14ac:dyDescent="0.25">
      <c r="A7496">
        <v>7495</v>
      </c>
      <c r="B7496" s="1">
        <v>45756</v>
      </c>
      <c r="C7496" t="s">
        <v>26</v>
      </c>
      <c r="D7496" t="s">
        <v>91</v>
      </c>
      <c r="E7496" t="s">
        <v>13</v>
      </c>
      <c r="F7496">
        <v>3</v>
      </c>
      <c r="G7496" t="str">
        <f>VLOOKUP(D7496,Товары!A:I,3,0)</f>
        <v>Пенал навес./напол. Альба 350 мята 2 двери</v>
      </c>
      <c r="H7496">
        <f>VLOOKUP(D7496,Товары!A:I,6,0)</f>
        <v>150</v>
      </c>
      <c r="I7496" t="str">
        <f>VLOOKUP(C7496,Магазины!A:C,3,0)</f>
        <v>Оренбург</v>
      </c>
      <c r="J7496">
        <f>VLOOKUP(D7496,Товары!A:I,4,0)</f>
        <v>11655</v>
      </c>
      <c r="K7496">
        <f t="shared" si="117"/>
        <v>34965</v>
      </c>
    </row>
    <row r="7497" spans="1:11" hidden="1" x14ac:dyDescent="0.25">
      <c r="A7497">
        <v>7496</v>
      </c>
      <c r="B7497" s="1">
        <v>45751</v>
      </c>
      <c r="C7497" t="s">
        <v>16</v>
      </c>
      <c r="D7497" t="s">
        <v>74</v>
      </c>
      <c r="E7497" t="s">
        <v>13</v>
      </c>
      <c r="F7497">
        <v>3</v>
      </c>
      <c r="G7497" t="str">
        <f>VLOOKUP(D7497,Товары!A:I,3,0)</f>
        <v>Тумба с раковиной  напол. Альба 800 суфле 2 ящика с умыв. Слим</v>
      </c>
      <c r="H7497">
        <f>VLOOKUP(D7497,Товары!A:I,6,0)</f>
        <v>80</v>
      </c>
      <c r="I7497" t="str">
        <f>VLOOKUP(C7497,Магазины!A:C,3,0)</f>
        <v>Оренбург</v>
      </c>
      <c r="J7497">
        <f>VLOOKUP(D7497,Товары!A:I,4,0)</f>
        <v>29340</v>
      </c>
      <c r="K7497">
        <f t="shared" si="117"/>
        <v>88020</v>
      </c>
    </row>
    <row r="7498" spans="1:11" hidden="1" x14ac:dyDescent="0.25">
      <c r="A7498">
        <v>7497</v>
      </c>
      <c r="B7498" s="1">
        <v>45755</v>
      </c>
      <c r="C7498" t="s">
        <v>20</v>
      </c>
      <c r="D7498" t="s">
        <v>88</v>
      </c>
      <c r="E7498" t="s">
        <v>13</v>
      </c>
      <c r="F7498">
        <v>2</v>
      </c>
      <c r="G7498" t="str">
        <f>VLOOKUP(D7498,Товары!A:I,3,0)</f>
        <v>Тумба с раковиной  навес. Альба 800 антрацит 2 ящика с умыв. Слим</v>
      </c>
      <c r="H7498">
        <f>VLOOKUP(D7498,Товары!A:I,6,0)</f>
        <v>50</v>
      </c>
      <c r="I7498" t="str">
        <f>VLOOKUP(C7498,Магазины!A:C,3,0)</f>
        <v>Оренбург</v>
      </c>
      <c r="J7498">
        <f>VLOOKUP(D7498,Товары!A:I,4,0)</f>
        <v>26070</v>
      </c>
      <c r="K7498">
        <f t="shared" si="117"/>
        <v>52140</v>
      </c>
    </row>
    <row r="7499" spans="1:11" hidden="1" x14ac:dyDescent="0.25">
      <c r="A7499">
        <v>7498</v>
      </c>
      <c r="B7499" s="1">
        <v>45749</v>
      </c>
      <c r="C7499" t="s">
        <v>92</v>
      </c>
      <c r="D7499" t="s">
        <v>19</v>
      </c>
      <c r="E7499" t="s">
        <v>8</v>
      </c>
      <c r="F7499">
        <v>1</v>
      </c>
      <c r="G7499" t="str">
        <f>VLOOKUP(D7499,Товары!A:I,3,0)</f>
        <v>Тумба с раковиной  навес. Леон 800 оникс 2 ящика с умыв. Слим</v>
      </c>
      <c r="H7499">
        <f>VLOOKUP(D7499,Товары!A:I,6,0)</f>
        <v>60</v>
      </c>
      <c r="I7499" t="str">
        <f>VLOOKUP(C7499,Магазины!A:C,3,0)</f>
        <v>Кемерово</v>
      </c>
      <c r="J7499">
        <f>VLOOKUP(D7499,Товары!A:I,4,0)</f>
        <v>27930</v>
      </c>
      <c r="K7499">
        <f t="shared" si="117"/>
        <v>27930</v>
      </c>
    </row>
    <row r="7500" spans="1:11" hidden="1" x14ac:dyDescent="0.25">
      <c r="A7500">
        <v>7499</v>
      </c>
      <c r="B7500" s="1">
        <v>45755</v>
      </c>
      <c r="C7500" t="s">
        <v>11</v>
      </c>
      <c r="D7500" t="s">
        <v>88</v>
      </c>
      <c r="E7500" t="s">
        <v>13</v>
      </c>
      <c r="F7500">
        <v>3</v>
      </c>
      <c r="G7500" t="str">
        <f>VLOOKUP(D7500,Товары!A:I,3,0)</f>
        <v>Тумба с раковиной  навес. Альба 800 антрацит 2 ящика с умыв. Слим</v>
      </c>
      <c r="H7500">
        <f>VLOOKUP(D7500,Товары!A:I,6,0)</f>
        <v>50</v>
      </c>
      <c r="I7500" t="str">
        <f>VLOOKUP(C7500,Магазины!A:C,3,0)</f>
        <v>Кемерово</v>
      </c>
      <c r="J7500">
        <f>VLOOKUP(D7500,Товары!A:I,4,0)</f>
        <v>26070</v>
      </c>
      <c r="K7500">
        <f t="shared" si="117"/>
        <v>78210</v>
      </c>
    </row>
    <row r="7501" spans="1:11" hidden="1" x14ac:dyDescent="0.25">
      <c r="A7501">
        <v>7500</v>
      </c>
      <c r="B7501" s="1">
        <v>45749</v>
      </c>
      <c r="C7501" t="s">
        <v>26</v>
      </c>
      <c r="D7501" t="s">
        <v>27</v>
      </c>
      <c r="E7501" t="s">
        <v>13</v>
      </c>
      <c r="F7501">
        <v>1</v>
      </c>
      <c r="G7501" t="str">
        <f>VLOOKUP(D7501,Товары!A:I,3,0)</f>
        <v>Тумба с раковиной  навес. Виктория 800 белый 2 ящика с умыв. Слим</v>
      </c>
      <c r="H7501">
        <f>VLOOKUP(D7501,Товары!A:I,6,0)</f>
        <v>60</v>
      </c>
      <c r="I7501" t="str">
        <f>VLOOKUP(C7501,Магазины!A:C,3,0)</f>
        <v>Оренбург</v>
      </c>
      <c r="J7501">
        <f>VLOOKUP(D7501,Товары!A:I,4,0)</f>
        <v>25290</v>
      </c>
      <c r="K7501">
        <f t="shared" si="117"/>
        <v>25290</v>
      </c>
    </row>
    <row r="7502" spans="1:11" hidden="1" x14ac:dyDescent="0.25">
      <c r="A7502">
        <v>7501</v>
      </c>
      <c r="B7502" s="1">
        <v>45750</v>
      </c>
      <c r="C7502" t="s">
        <v>103</v>
      </c>
      <c r="D7502" t="s">
        <v>81</v>
      </c>
      <c r="E7502" t="s">
        <v>13</v>
      </c>
      <c r="F7502">
        <v>1</v>
      </c>
      <c r="G7502" t="str">
        <f>VLOOKUP(D7502,Товары!A:I,3,0)</f>
        <v>Тумба с раковиной  навес. Рица 600 cерый/керамика 1 ящик + ниша 1 с умыв. Океан</v>
      </c>
      <c r="H7502">
        <f>VLOOKUP(D7502,Товары!A:I,6,0)</f>
        <v>60</v>
      </c>
      <c r="I7502" t="str">
        <f>VLOOKUP(C7502,Магазины!A:C,3,0)</f>
        <v>Ставрополь</v>
      </c>
      <c r="J7502">
        <f>VLOOKUP(D7502,Товары!A:I,4,0)</f>
        <v>18900</v>
      </c>
      <c r="K7502">
        <f t="shared" si="117"/>
        <v>18900</v>
      </c>
    </row>
    <row r="7503" spans="1:11" hidden="1" x14ac:dyDescent="0.25">
      <c r="A7503">
        <v>7502</v>
      </c>
      <c r="B7503" s="1">
        <v>45756</v>
      </c>
      <c r="C7503" t="s">
        <v>9</v>
      </c>
      <c r="D7503" t="s">
        <v>44</v>
      </c>
      <c r="E7503" t="s">
        <v>8</v>
      </c>
      <c r="F7503">
        <v>3</v>
      </c>
      <c r="G7503" t="str">
        <f>VLOOKUP(D7503,Товары!A:I,3,0)</f>
        <v>Тумба с раковиной  навес. Кристалл 800 шато азур 2 ящика с умыв. Комфорт</v>
      </c>
      <c r="H7503">
        <f>VLOOKUP(D7503,Товары!A:I,6,0)</f>
        <v>55</v>
      </c>
      <c r="I7503" t="str">
        <f>VLOOKUP(C7503,Магазины!A:C,3,0)</f>
        <v>Кемерово</v>
      </c>
      <c r="J7503">
        <f>VLOOKUP(D7503,Товары!A:I,4,0)</f>
        <v>25080</v>
      </c>
      <c r="K7503">
        <f t="shared" si="117"/>
        <v>75240</v>
      </c>
    </row>
    <row r="7504" spans="1:11" hidden="1" x14ac:dyDescent="0.25">
      <c r="A7504">
        <v>7503</v>
      </c>
      <c r="B7504" s="1">
        <v>45757</v>
      </c>
      <c r="C7504" t="s">
        <v>22</v>
      </c>
      <c r="D7504" t="s">
        <v>69</v>
      </c>
      <c r="E7504" t="s">
        <v>8</v>
      </c>
      <c r="F7504">
        <v>1</v>
      </c>
      <c r="G7504" t="str">
        <f>VLOOKUP(D7504,Товары!A:I,3,0)</f>
        <v>Пенал навес./напол. Альба 350 антрацит 2 двери</v>
      </c>
      <c r="H7504">
        <f>VLOOKUP(D7504,Товары!A:I,6,0)</f>
        <v>150</v>
      </c>
      <c r="I7504" t="str">
        <f>VLOOKUP(C7504,Магазины!A:C,3,0)</f>
        <v>Кемерово</v>
      </c>
      <c r="J7504">
        <f>VLOOKUP(D7504,Товары!A:I,4,0)</f>
        <v>11655</v>
      </c>
      <c r="K7504">
        <f t="shared" si="117"/>
        <v>11655</v>
      </c>
    </row>
    <row r="7505" spans="1:11" hidden="1" x14ac:dyDescent="0.25">
      <c r="A7505">
        <v>7504</v>
      </c>
      <c r="B7505" s="1">
        <v>45757</v>
      </c>
      <c r="C7505" t="s">
        <v>43</v>
      </c>
      <c r="D7505" t="s">
        <v>52</v>
      </c>
      <c r="E7505" t="s">
        <v>13</v>
      </c>
      <c r="F7505">
        <v>2</v>
      </c>
      <c r="G7505" t="str">
        <f>VLOOKUP(D7505,Товары!A:I,3,0)</f>
        <v>Тумба с раковиной  напол. Кристалл 600 суфле 2 ящика с умыв. Океан</v>
      </c>
      <c r="H7505">
        <f>VLOOKUP(D7505,Товары!A:I,6,0)</f>
        <v>80</v>
      </c>
      <c r="I7505" t="str">
        <f>VLOOKUP(C7505,Магазины!A:C,3,0)</f>
        <v>Набережные Челны</v>
      </c>
      <c r="J7505">
        <f>VLOOKUP(D7505,Товары!A:I,4,0)</f>
        <v>27600</v>
      </c>
      <c r="K7505">
        <f t="shared" si="117"/>
        <v>55200</v>
      </c>
    </row>
    <row r="7506" spans="1:11" hidden="1" x14ac:dyDescent="0.25">
      <c r="A7506">
        <v>7505</v>
      </c>
      <c r="B7506" s="1">
        <v>45749</v>
      </c>
      <c r="C7506" t="s">
        <v>57</v>
      </c>
      <c r="D7506" t="s">
        <v>108</v>
      </c>
      <c r="E7506" t="s">
        <v>8</v>
      </c>
      <c r="F7506">
        <v>2</v>
      </c>
      <c r="G7506" t="str">
        <f>VLOOKUP(D7506,Товары!A:I,3,0)</f>
        <v>Тумба с раковиной  навес. Виктория 1000 белый 2 ящика с умыв. Слим</v>
      </c>
      <c r="H7506">
        <f>VLOOKUP(D7506,Товары!A:I,6,0)</f>
        <v>60</v>
      </c>
      <c r="I7506" t="str">
        <f>VLOOKUP(C7506,Магазины!A:C,3,0)</f>
        <v>Оренбург</v>
      </c>
      <c r="J7506">
        <f>VLOOKUP(D7506,Товары!A:I,4,0)</f>
        <v>29205</v>
      </c>
      <c r="K7506">
        <f t="shared" si="117"/>
        <v>58410</v>
      </c>
    </row>
    <row r="7507" spans="1:11" hidden="1" x14ac:dyDescent="0.25">
      <c r="A7507">
        <v>7506</v>
      </c>
      <c r="B7507" s="1">
        <v>45749</v>
      </c>
      <c r="C7507" t="s">
        <v>20</v>
      </c>
      <c r="D7507" t="s">
        <v>52</v>
      </c>
      <c r="E7507" t="s">
        <v>8</v>
      </c>
      <c r="F7507">
        <v>3</v>
      </c>
      <c r="G7507" t="str">
        <f>VLOOKUP(D7507,Товары!A:I,3,0)</f>
        <v>Тумба с раковиной  напол. Кристалл 600 суфле 2 ящика с умыв. Океан</v>
      </c>
      <c r="H7507">
        <f>VLOOKUP(D7507,Товары!A:I,6,0)</f>
        <v>80</v>
      </c>
      <c r="I7507" t="str">
        <f>VLOOKUP(C7507,Магазины!A:C,3,0)</f>
        <v>Оренбург</v>
      </c>
      <c r="J7507">
        <f>VLOOKUP(D7507,Товары!A:I,4,0)</f>
        <v>27600</v>
      </c>
      <c r="K7507">
        <f t="shared" si="117"/>
        <v>82800</v>
      </c>
    </row>
    <row r="7508" spans="1:11" hidden="1" x14ac:dyDescent="0.25">
      <c r="A7508">
        <v>7507</v>
      </c>
      <c r="B7508" s="1">
        <v>45751</v>
      </c>
      <c r="C7508" t="s">
        <v>26</v>
      </c>
      <c r="D7508" t="s">
        <v>80</v>
      </c>
      <c r="E7508" t="s">
        <v>13</v>
      </c>
      <c r="F7508">
        <v>3</v>
      </c>
      <c r="G7508" t="str">
        <f>VLOOKUP(D7508,Товары!A:I,3,0)</f>
        <v>Тумба с раковиной  навес. Сохо 600 белый 2 ящика с умыв. Океан</v>
      </c>
      <c r="H7508">
        <f>VLOOKUP(D7508,Товары!A:I,6,0)</f>
        <v>55</v>
      </c>
      <c r="I7508" t="str">
        <f>VLOOKUP(C7508,Магазины!A:C,3,0)</f>
        <v>Оренбург</v>
      </c>
      <c r="J7508">
        <f>VLOOKUP(D7508,Товары!A:I,4,0)</f>
        <v>13950</v>
      </c>
      <c r="K7508">
        <f t="shared" si="117"/>
        <v>41850</v>
      </c>
    </row>
    <row r="7509" spans="1:11" hidden="1" x14ac:dyDescent="0.25">
      <c r="A7509">
        <v>7508</v>
      </c>
      <c r="B7509" s="1">
        <v>45749</v>
      </c>
      <c r="C7509" t="s">
        <v>6</v>
      </c>
      <c r="D7509" t="s">
        <v>96</v>
      </c>
      <c r="E7509" t="s">
        <v>8</v>
      </c>
      <c r="F7509">
        <v>3</v>
      </c>
      <c r="G7509" t="str">
        <f>VLOOKUP(D7509,Товары!A:I,3,0)</f>
        <v>Тумба с раковиной  навес. Альба 600 мята 1 ящик с умыв. Океан</v>
      </c>
      <c r="H7509">
        <f>VLOOKUP(D7509,Товары!A:I,6,0)</f>
        <v>85</v>
      </c>
      <c r="I7509" t="str">
        <f>VLOOKUP(C7509,Магазины!A:C,3,0)</f>
        <v>Оренбург</v>
      </c>
      <c r="J7509">
        <f>VLOOKUP(D7509,Товары!A:I,4,0)</f>
        <v>17625</v>
      </c>
      <c r="K7509">
        <f t="shared" si="117"/>
        <v>52875</v>
      </c>
    </row>
    <row r="7510" spans="1:11" hidden="1" x14ac:dyDescent="0.25">
      <c r="A7510">
        <v>7509</v>
      </c>
      <c r="B7510" s="1">
        <v>45748</v>
      </c>
      <c r="C7510" t="s">
        <v>11</v>
      </c>
      <c r="D7510" t="s">
        <v>62</v>
      </c>
      <c r="E7510" t="s">
        <v>13</v>
      </c>
      <c r="F7510">
        <v>2</v>
      </c>
      <c r="G7510" t="str">
        <f>VLOOKUP(D7510,Товары!A:I,3,0)</f>
        <v>Тумба с раковиной  напол. Альба 600 мята 2 ящика с умыв. Океан</v>
      </c>
      <c r="H7510">
        <f>VLOOKUP(D7510,Товары!A:I,6,0)</f>
        <v>80</v>
      </c>
      <c r="I7510" t="str">
        <f>VLOOKUP(C7510,Магазины!A:C,3,0)</f>
        <v>Кемерово</v>
      </c>
      <c r="J7510">
        <f>VLOOKUP(D7510,Товары!A:I,4,0)</f>
        <v>26370</v>
      </c>
      <c r="K7510">
        <f t="shared" si="117"/>
        <v>52740</v>
      </c>
    </row>
    <row r="7511" spans="1:11" hidden="1" x14ac:dyDescent="0.25">
      <c r="A7511">
        <v>7510</v>
      </c>
      <c r="B7511" s="1">
        <v>45751</v>
      </c>
      <c r="C7511" t="s">
        <v>35</v>
      </c>
      <c r="D7511" t="s">
        <v>7</v>
      </c>
      <c r="E7511" t="s">
        <v>8</v>
      </c>
      <c r="F7511">
        <v>2</v>
      </c>
      <c r="G7511" t="str">
        <f>VLOOKUP(D7511,Товары!A:I,3,0)</f>
        <v>Пенал напол. Леон Риф 400 солярис/белый риф 2 двери + 1 ящик</v>
      </c>
      <c r="H7511">
        <f>VLOOKUP(D7511,Товары!A:I,6,0)</f>
        <v>190</v>
      </c>
      <c r="I7511" t="str">
        <f>VLOOKUP(C7511,Магазины!A:C,3,0)</f>
        <v>Набережные Челны</v>
      </c>
      <c r="J7511">
        <f>VLOOKUP(D7511,Товары!A:I,4,0)</f>
        <v>14490</v>
      </c>
      <c r="K7511">
        <f t="shared" si="117"/>
        <v>28980</v>
      </c>
    </row>
    <row r="7512" spans="1:11" hidden="1" x14ac:dyDescent="0.25">
      <c r="A7512">
        <v>7511</v>
      </c>
      <c r="B7512" s="1">
        <v>45751</v>
      </c>
      <c r="C7512" t="s">
        <v>63</v>
      </c>
      <c r="D7512" t="s">
        <v>114</v>
      </c>
      <c r="E7512" t="s">
        <v>13</v>
      </c>
      <c r="F7512">
        <v>3</v>
      </c>
      <c r="G7512" t="str">
        <f>VLOOKUP(D7512,Товары!A:I,3,0)</f>
        <v>Тумба с раковиной  навес. Альба 700 мята 2 ящика с умыв. Слим</v>
      </c>
      <c r="H7512">
        <f>VLOOKUP(D7512,Товары!A:I,6,0)</f>
        <v>60</v>
      </c>
      <c r="I7512" t="str">
        <f>VLOOKUP(C7512,Магазины!A:C,3,0)</f>
        <v>Ставрополь</v>
      </c>
      <c r="J7512">
        <f>VLOOKUP(D7512,Товары!A:I,4,0)</f>
        <v>25095</v>
      </c>
      <c r="K7512">
        <f t="shared" si="117"/>
        <v>75285</v>
      </c>
    </row>
    <row r="7513" spans="1:11" hidden="1" x14ac:dyDescent="0.25">
      <c r="A7513">
        <v>7512</v>
      </c>
      <c r="B7513" s="1">
        <v>45748</v>
      </c>
      <c r="C7513" t="s">
        <v>63</v>
      </c>
      <c r="D7513" t="s">
        <v>56</v>
      </c>
      <c r="E7513" t="s">
        <v>8</v>
      </c>
      <c r="F7513">
        <v>2</v>
      </c>
      <c r="G7513" t="str">
        <f>VLOOKUP(D7513,Товары!A:I,3,0)</f>
        <v>Зеркальный шкаф Альба 80 со светильником правый цвет мята</v>
      </c>
      <c r="H7513">
        <f>VLOOKUP(D7513,Товары!A:I,6,0)</f>
        <v>75</v>
      </c>
      <c r="I7513" t="str">
        <f>VLOOKUP(C7513,Магазины!A:C,3,0)</f>
        <v>Ставрополь</v>
      </c>
      <c r="J7513">
        <f>VLOOKUP(D7513,Товары!A:I,4,0)</f>
        <v>9930</v>
      </c>
      <c r="K7513">
        <f t="shared" si="117"/>
        <v>19860</v>
      </c>
    </row>
    <row r="7514" spans="1:11" hidden="1" x14ac:dyDescent="0.25">
      <c r="A7514">
        <v>7513</v>
      </c>
      <c r="B7514" s="1">
        <v>45748</v>
      </c>
      <c r="C7514" t="s">
        <v>43</v>
      </c>
      <c r="D7514" t="s">
        <v>65</v>
      </c>
      <c r="E7514" t="s">
        <v>13</v>
      </c>
      <c r="F7514">
        <v>1</v>
      </c>
      <c r="G7514" t="str">
        <f>VLOOKUP(D7514,Товары!A:I,3,0)</f>
        <v>Тумба с раковиной  навес. Альба 800 суфле 2 ящика с умыв. Слим</v>
      </c>
      <c r="H7514">
        <f>VLOOKUP(D7514,Товары!A:I,6,0)</f>
        <v>50</v>
      </c>
      <c r="I7514" t="str">
        <f>VLOOKUP(C7514,Магазины!A:C,3,0)</f>
        <v>Набережные Челны</v>
      </c>
      <c r="J7514">
        <f>VLOOKUP(D7514,Товары!A:I,4,0)</f>
        <v>26070</v>
      </c>
      <c r="K7514">
        <f t="shared" si="117"/>
        <v>26070</v>
      </c>
    </row>
    <row r="7515" spans="1:11" hidden="1" x14ac:dyDescent="0.25">
      <c r="A7515">
        <v>7514</v>
      </c>
      <c r="B7515" s="1">
        <v>45754</v>
      </c>
      <c r="C7515" t="s">
        <v>26</v>
      </c>
      <c r="D7515" t="s">
        <v>110</v>
      </c>
      <c r="E7515" t="s">
        <v>8</v>
      </c>
      <c r="F7515">
        <v>2</v>
      </c>
      <c r="G7515" t="str">
        <f>VLOOKUP(D7515,Товары!A:I,3,0)</f>
        <v>Тумба с раковиной  напол. Альба 600 антрацит 2 ящика с умыв. Океан</v>
      </c>
      <c r="H7515">
        <f>VLOOKUP(D7515,Товары!A:I,6,0)</f>
        <v>80</v>
      </c>
      <c r="I7515" t="str">
        <f>VLOOKUP(C7515,Магазины!A:C,3,0)</f>
        <v>Оренбург</v>
      </c>
      <c r="J7515">
        <f>VLOOKUP(D7515,Товары!A:I,4,0)</f>
        <v>26370</v>
      </c>
      <c r="K7515">
        <f t="shared" si="117"/>
        <v>52740</v>
      </c>
    </row>
    <row r="7516" spans="1:11" hidden="1" x14ac:dyDescent="0.25">
      <c r="A7516">
        <v>7515</v>
      </c>
      <c r="B7516" s="1">
        <v>45754</v>
      </c>
      <c r="C7516" t="s">
        <v>30</v>
      </c>
      <c r="D7516" t="s">
        <v>59</v>
      </c>
      <c r="E7516" t="s">
        <v>13</v>
      </c>
      <c r="F7516">
        <v>1</v>
      </c>
      <c r="G7516" t="str">
        <f>VLOOKUP(D7516,Товары!A:I,3,0)</f>
        <v>Тумба с раковиной  навес. Куба Риф 600 белый 2 ящика с умыв. Океан</v>
      </c>
      <c r="H7516">
        <f>VLOOKUP(D7516,Товары!A:I,6,0)</f>
        <v>55</v>
      </c>
      <c r="I7516" t="str">
        <f>VLOOKUP(C7516,Магазины!A:C,3,0)</f>
        <v>Кемерово</v>
      </c>
      <c r="J7516">
        <f>VLOOKUP(D7516,Товары!A:I,4,0)</f>
        <v>15765</v>
      </c>
      <c r="K7516">
        <f t="shared" si="117"/>
        <v>15765</v>
      </c>
    </row>
    <row r="7517" spans="1:11" hidden="1" x14ac:dyDescent="0.25">
      <c r="A7517">
        <v>7516</v>
      </c>
      <c r="B7517" s="1">
        <v>45755</v>
      </c>
      <c r="C7517" t="s">
        <v>18</v>
      </c>
      <c r="D7517" t="s">
        <v>36</v>
      </c>
      <c r="E7517" t="s">
        <v>8</v>
      </c>
      <c r="F7517">
        <v>2</v>
      </c>
      <c r="G7517" t="str">
        <f>VLOOKUP(D7517,Товары!A:I,3,0)</f>
        <v>Тумба с раковиной  напол. Альба 800 мята 2 ящика с умыв. Слим</v>
      </c>
      <c r="H7517">
        <f>VLOOKUP(D7517,Товары!A:I,6,0)</f>
        <v>80</v>
      </c>
      <c r="I7517" t="str">
        <f>VLOOKUP(C7517,Магазины!A:C,3,0)</f>
        <v>Набережные Челны</v>
      </c>
      <c r="J7517">
        <f>VLOOKUP(D7517,Товары!A:I,4,0)</f>
        <v>29340</v>
      </c>
      <c r="K7517">
        <f t="shared" si="117"/>
        <v>58680</v>
      </c>
    </row>
    <row r="7518" spans="1:11" hidden="1" x14ac:dyDescent="0.25">
      <c r="A7518">
        <v>7517</v>
      </c>
      <c r="B7518" s="1">
        <v>45755</v>
      </c>
      <c r="C7518" t="s">
        <v>103</v>
      </c>
      <c r="D7518" t="s">
        <v>55</v>
      </c>
      <c r="E7518" t="s">
        <v>8</v>
      </c>
      <c r="F7518">
        <v>1</v>
      </c>
      <c r="G7518" t="str">
        <f>VLOOKUP(D7518,Товары!A:I,3,0)</f>
        <v>Тумба с раковиной  напол. Рица 600 cерый/керамика 2 ящика с умыв. Океан</v>
      </c>
      <c r="H7518">
        <f>VLOOKUP(D7518,Товары!A:I,6,0)</f>
        <v>80</v>
      </c>
      <c r="I7518" t="str">
        <f>VLOOKUP(C7518,Магазины!A:C,3,0)</f>
        <v>Ставрополь</v>
      </c>
      <c r="J7518">
        <f>VLOOKUP(D7518,Товары!A:I,4,0)</f>
        <v>25560</v>
      </c>
      <c r="K7518">
        <f t="shared" si="117"/>
        <v>25560</v>
      </c>
    </row>
    <row r="7519" spans="1:11" hidden="1" x14ac:dyDescent="0.25">
      <c r="A7519">
        <v>7518</v>
      </c>
      <c r="B7519" s="1">
        <v>45750</v>
      </c>
      <c r="C7519" t="s">
        <v>20</v>
      </c>
      <c r="D7519" t="s">
        <v>112</v>
      </c>
      <c r="E7519" t="s">
        <v>13</v>
      </c>
      <c r="F7519">
        <v>2</v>
      </c>
      <c r="G7519" t="str">
        <f>VLOOKUP(D7519,Товары!A:I,3,0)</f>
        <v>Тумба с раковиной  напол. Аква 560 белый 2 двери с умыв. Уют</v>
      </c>
      <c r="H7519">
        <f>VLOOKUP(D7519,Товары!A:I,6,0)</f>
        <v>85</v>
      </c>
      <c r="I7519" t="str">
        <f>VLOOKUP(C7519,Магазины!A:C,3,0)</f>
        <v>Оренбург</v>
      </c>
      <c r="J7519">
        <f>VLOOKUP(D7519,Товары!A:I,4,0)</f>
        <v>9330</v>
      </c>
      <c r="K7519">
        <f t="shared" si="117"/>
        <v>18660</v>
      </c>
    </row>
    <row r="7520" spans="1:11" hidden="1" x14ac:dyDescent="0.25">
      <c r="A7520">
        <v>7519</v>
      </c>
      <c r="B7520" s="1">
        <v>45750</v>
      </c>
      <c r="C7520" t="s">
        <v>20</v>
      </c>
      <c r="D7520" t="s">
        <v>50</v>
      </c>
      <c r="E7520" t="s">
        <v>8</v>
      </c>
      <c r="F7520">
        <v>1</v>
      </c>
      <c r="G7520" t="str">
        <f>VLOOKUP(D7520,Товары!A:I,3,0)</f>
        <v>Тумба с раковиной  напол. Леон 800 оникс 2 ящика с умыв. Слим</v>
      </c>
      <c r="H7520">
        <f>VLOOKUP(D7520,Товары!A:I,6,0)</f>
        <v>80</v>
      </c>
      <c r="I7520" t="str">
        <f>VLOOKUP(C7520,Магазины!A:C,3,0)</f>
        <v>Оренбург</v>
      </c>
      <c r="J7520">
        <f>VLOOKUP(D7520,Товары!A:I,4,0)</f>
        <v>29400</v>
      </c>
      <c r="K7520">
        <f t="shared" si="117"/>
        <v>29400</v>
      </c>
    </row>
    <row r="7521" spans="1:11" hidden="1" x14ac:dyDescent="0.25">
      <c r="A7521">
        <v>7520</v>
      </c>
      <c r="B7521" s="1">
        <v>45752</v>
      </c>
      <c r="C7521" t="s">
        <v>22</v>
      </c>
      <c r="D7521" t="s">
        <v>106</v>
      </c>
      <c r="E7521" t="s">
        <v>13</v>
      </c>
      <c r="F7521">
        <v>1</v>
      </c>
      <c r="G7521" t="str">
        <f>VLOOKUP(D7521,Товары!A:I,3,0)</f>
        <v>Тумба с раковиной  навес. Кристалл 700 шато азур 2 ящика с умыв. Слим</v>
      </c>
      <c r="H7521">
        <f>VLOOKUP(D7521,Товары!A:I,6,0)</f>
        <v>60</v>
      </c>
      <c r="I7521" t="str">
        <f>VLOOKUP(C7521,Магазины!A:C,3,0)</f>
        <v>Кемерово</v>
      </c>
      <c r="J7521">
        <f>VLOOKUP(D7521,Товары!A:I,4,0)</f>
        <v>24150</v>
      </c>
      <c r="K7521">
        <f t="shared" si="117"/>
        <v>24150</v>
      </c>
    </row>
    <row r="7522" spans="1:11" hidden="1" x14ac:dyDescent="0.25">
      <c r="A7522">
        <v>7521</v>
      </c>
      <c r="B7522" s="1">
        <v>45748</v>
      </c>
      <c r="C7522" t="s">
        <v>33</v>
      </c>
      <c r="D7522" t="s">
        <v>124</v>
      </c>
      <c r="E7522" t="s">
        <v>13</v>
      </c>
      <c r="F7522">
        <v>2</v>
      </c>
      <c r="G7522" t="str">
        <f>VLOOKUP(D7522,Товары!A:I,3,0)</f>
        <v>Тумба с раковиной  напол. Леон 600 оникс 2 ящика с умыв. Океан</v>
      </c>
      <c r="H7522">
        <f>VLOOKUP(D7522,Товары!A:I,6,0)</f>
        <v>80</v>
      </c>
      <c r="I7522" t="str">
        <f>VLOOKUP(C7522,Магазины!A:C,3,0)</f>
        <v>Набережные Челны</v>
      </c>
      <c r="J7522">
        <f>VLOOKUP(D7522,Товары!A:I,4,0)</f>
        <v>25860</v>
      </c>
      <c r="K7522">
        <f t="shared" si="117"/>
        <v>51720</v>
      </c>
    </row>
    <row r="7523" spans="1:11" hidden="1" x14ac:dyDescent="0.25">
      <c r="A7523">
        <v>7522</v>
      </c>
      <c r="B7523" s="1">
        <v>45752</v>
      </c>
      <c r="C7523" t="s">
        <v>103</v>
      </c>
      <c r="D7523" t="s">
        <v>68</v>
      </c>
      <c r="E7523" t="s">
        <v>8</v>
      </c>
      <c r="F7523">
        <v>1</v>
      </c>
      <c r="G7523" t="str">
        <f>VLOOKUP(D7523,Товары!A:I,3,0)</f>
        <v>Тумба с раковиной  навес. Альба 600 антрацит 1 ящик с умыв. Океан</v>
      </c>
      <c r="H7523">
        <f>VLOOKUP(D7523,Товары!A:I,6,0)</f>
        <v>85</v>
      </c>
      <c r="I7523" t="str">
        <f>VLOOKUP(C7523,Магазины!A:C,3,0)</f>
        <v>Ставрополь</v>
      </c>
      <c r="J7523">
        <f>VLOOKUP(D7523,Товары!A:I,4,0)</f>
        <v>17625</v>
      </c>
      <c r="K7523">
        <f t="shared" si="117"/>
        <v>17625</v>
      </c>
    </row>
    <row r="7524" spans="1:11" hidden="1" x14ac:dyDescent="0.25">
      <c r="A7524">
        <v>7523</v>
      </c>
      <c r="B7524" s="1">
        <v>45757</v>
      </c>
      <c r="C7524" t="s">
        <v>11</v>
      </c>
      <c r="D7524" t="s">
        <v>116</v>
      </c>
      <c r="E7524" t="s">
        <v>13</v>
      </c>
      <c r="F7524">
        <v>1</v>
      </c>
      <c r="G7524" t="str">
        <f>VLOOKUP(D7524,Товары!A:I,3,0)</f>
        <v>Зеркало Нева 60 дуб/белый со светильником</v>
      </c>
      <c r="H7524">
        <f>VLOOKUP(D7524,Товары!A:I,6,0)</f>
        <v>80</v>
      </c>
      <c r="I7524" t="str">
        <f>VLOOKUP(C7524,Магазины!A:C,3,0)</f>
        <v>Кемерово</v>
      </c>
      <c r="J7524">
        <f>VLOOKUP(D7524,Товары!A:I,4,0)</f>
        <v>5100</v>
      </c>
      <c r="K7524">
        <f t="shared" si="117"/>
        <v>5100</v>
      </c>
    </row>
    <row r="7525" spans="1:11" hidden="1" x14ac:dyDescent="0.25">
      <c r="A7525">
        <v>7524</v>
      </c>
      <c r="B7525" s="1">
        <v>45757</v>
      </c>
      <c r="C7525" t="s">
        <v>11</v>
      </c>
      <c r="D7525" t="s">
        <v>12</v>
      </c>
      <c r="E7525" t="s">
        <v>13</v>
      </c>
      <c r="F7525">
        <v>2</v>
      </c>
      <c r="G7525" t="str">
        <f>VLOOKUP(D7525,Товары!A:I,3,0)</f>
        <v>Тумба с раковиной  напол. Сохо 700 белый 2 двери с умыв. Слим</v>
      </c>
      <c r="H7525">
        <f>VLOOKUP(D7525,Товары!A:I,6,0)</f>
        <v>85</v>
      </c>
      <c r="I7525" t="str">
        <f>VLOOKUP(C7525,Магазины!A:C,3,0)</f>
        <v>Кемерово</v>
      </c>
      <c r="J7525">
        <f>VLOOKUP(D7525,Товары!A:I,4,0)</f>
        <v>17160</v>
      </c>
      <c r="K7525">
        <f t="shared" si="117"/>
        <v>34320</v>
      </c>
    </row>
    <row r="7526" spans="1:11" hidden="1" x14ac:dyDescent="0.25">
      <c r="A7526">
        <v>7525</v>
      </c>
      <c r="B7526" s="1">
        <v>45751</v>
      </c>
      <c r="C7526" t="s">
        <v>30</v>
      </c>
      <c r="D7526" t="s">
        <v>84</v>
      </c>
      <c r="E7526" t="s">
        <v>8</v>
      </c>
      <c r="F7526">
        <v>1</v>
      </c>
      <c r="G7526" t="str">
        <f>VLOOKUP(D7526,Товары!A:I,3,0)</f>
        <v>Тумба с раковиной  напол. Куба Риф 800 белый 3 двери с умыв. Слим</v>
      </c>
      <c r="H7526">
        <f>VLOOKUP(D7526,Товары!A:I,6,0)</f>
        <v>85</v>
      </c>
      <c r="I7526" t="str">
        <f>VLOOKUP(C7526,Магазины!A:C,3,0)</f>
        <v>Кемерово</v>
      </c>
      <c r="J7526">
        <f>VLOOKUP(D7526,Товары!A:I,4,0)</f>
        <v>19920</v>
      </c>
      <c r="K7526">
        <f t="shared" si="117"/>
        <v>19920</v>
      </c>
    </row>
    <row r="7527" spans="1:11" hidden="1" x14ac:dyDescent="0.25">
      <c r="A7527">
        <v>7526</v>
      </c>
      <c r="B7527" s="1">
        <v>45749</v>
      </c>
      <c r="C7527" t="s">
        <v>28</v>
      </c>
      <c r="D7527" t="s">
        <v>124</v>
      </c>
      <c r="E7527" t="s">
        <v>13</v>
      </c>
      <c r="F7527">
        <v>1</v>
      </c>
      <c r="G7527" t="str">
        <f>VLOOKUP(D7527,Товары!A:I,3,0)</f>
        <v>Тумба с раковиной  напол. Леон 600 оникс 2 ящика с умыв. Океан</v>
      </c>
      <c r="H7527">
        <f>VLOOKUP(D7527,Товары!A:I,6,0)</f>
        <v>80</v>
      </c>
      <c r="I7527" t="str">
        <f>VLOOKUP(C7527,Магазины!A:C,3,0)</f>
        <v>Набережные Челны</v>
      </c>
      <c r="J7527">
        <f>VLOOKUP(D7527,Товары!A:I,4,0)</f>
        <v>25860</v>
      </c>
      <c r="K7527">
        <f t="shared" si="117"/>
        <v>25860</v>
      </c>
    </row>
    <row r="7528" spans="1:11" hidden="1" x14ac:dyDescent="0.25">
      <c r="A7528">
        <v>7527</v>
      </c>
      <c r="B7528" s="1">
        <v>45751</v>
      </c>
      <c r="C7528" t="s">
        <v>35</v>
      </c>
      <c r="D7528" t="s">
        <v>44</v>
      </c>
      <c r="E7528" t="s">
        <v>13</v>
      </c>
      <c r="F7528">
        <v>2</v>
      </c>
      <c r="G7528" t="str">
        <f>VLOOKUP(D7528,Товары!A:I,3,0)</f>
        <v>Тумба с раковиной  навес. Кристалл 800 шато азур 2 ящика с умыв. Комфорт</v>
      </c>
      <c r="H7528">
        <f>VLOOKUP(D7528,Товары!A:I,6,0)</f>
        <v>55</v>
      </c>
      <c r="I7528" t="str">
        <f>VLOOKUP(C7528,Магазины!A:C,3,0)</f>
        <v>Набережные Челны</v>
      </c>
      <c r="J7528">
        <f>VLOOKUP(D7528,Товары!A:I,4,0)</f>
        <v>25080</v>
      </c>
      <c r="K7528">
        <f t="shared" si="117"/>
        <v>50160</v>
      </c>
    </row>
    <row r="7529" spans="1:11" hidden="1" x14ac:dyDescent="0.25">
      <c r="A7529">
        <v>7528</v>
      </c>
      <c r="B7529" s="1">
        <v>45750</v>
      </c>
      <c r="C7529" t="s">
        <v>22</v>
      </c>
      <c r="D7529" t="s">
        <v>68</v>
      </c>
      <c r="E7529" t="s">
        <v>8</v>
      </c>
      <c r="F7529">
        <v>1</v>
      </c>
      <c r="G7529" t="str">
        <f>VLOOKUP(D7529,Товары!A:I,3,0)</f>
        <v>Тумба с раковиной  навес. Альба 600 антрацит 1 ящик с умыв. Океан</v>
      </c>
      <c r="H7529">
        <f>VLOOKUP(D7529,Товары!A:I,6,0)</f>
        <v>85</v>
      </c>
      <c r="I7529" t="str">
        <f>VLOOKUP(C7529,Магазины!A:C,3,0)</f>
        <v>Кемерово</v>
      </c>
      <c r="J7529">
        <f>VLOOKUP(D7529,Товары!A:I,4,0)</f>
        <v>17625</v>
      </c>
      <c r="K7529">
        <f t="shared" si="117"/>
        <v>17625</v>
      </c>
    </row>
    <row r="7530" spans="1:11" hidden="1" x14ac:dyDescent="0.25">
      <c r="A7530">
        <v>7529</v>
      </c>
      <c r="B7530" s="1">
        <v>45755</v>
      </c>
      <c r="C7530" t="s">
        <v>14</v>
      </c>
      <c r="D7530" t="s">
        <v>105</v>
      </c>
      <c r="E7530" t="s">
        <v>13</v>
      </c>
      <c r="F7530">
        <v>1</v>
      </c>
      <c r="G7530" t="str">
        <f>VLOOKUP(D7530,Товары!A:I,3,0)</f>
        <v>Тумба с раковиной  напол. Нева 600 белый 2 двери + 1 ящик с умыв. Como</v>
      </c>
      <c r="H7530">
        <f>VLOOKUP(D7530,Товары!A:I,6,0)</f>
        <v>80</v>
      </c>
      <c r="I7530" t="str">
        <f>VLOOKUP(C7530,Магазины!A:C,3,0)</f>
        <v>Оренбург</v>
      </c>
      <c r="J7530">
        <f>VLOOKUP(D7530,Товары!A:I,4,0)</f>
        <v>13470</v>
      </c>
      <c r="K7530">
        <f t="shared" si="117"/>
        <v>13470</v>
      </c>
    </row>
    <row r="7531" spans="1:11" hidden="1" x14ac:dyDescent="0.25">
      <c r="A7531">
        <v>7530</v>
      </c>
      <c r="B7531" s="1">
        <v>45749</v>
      </c>
      <c r="C7531" t="s">
        <v>111</v>
      </c>
      <c r="D7531" t="s">
        <v>32</v>
      </c>
      <c r="E7531" t="s">
        <v>8</v>
      </c>
      <c r="F7531">
        <v>1</v>
      </c>
      <c r="G7531" t="str">
        <f>VLOOKUP(D7531,Товары!A:I,3,0)</f>
        <v>Тумба с раковиной  напол. Леон Риф 700 солярис/белый риф 2 ящика с умыв. Слим</v>
      </c>
      <c r="H7531">
        <f>VLOOKUP(D7531,Товары!A:I,6,0)</f>
        <v>85</v>
      </c>
      <c r="I7531" t="str">
        <f>VLOOKUP(C7531,Магазины!A:C,3,0)</f>
        <v>Набережные Челны</v>
      </c>
      <c r="J7531">
        <f>VLOOKUP(D7531,Товары!A:I,4,0)</f>
        <v>26460</v>
      </c>
      <c r="K7531">
        <f t="shared" si="117"/>
        <v>26460</v>
      </c>
    </row>
    <row r="7532" spans="1:11" hidden="1" x14ac:dyDescent="0.25">
      <c r="A7532">
        <v>7531</v>
      </c>
      <c r="B7532" s="1">
        <v>45751</v>
      </c>
      <c r="C7532" t="s">
        <v>54</v>
      </c>
      <c r="D7532" t="s">
        <v>130</v>
      </c>
      <c r="E7532" t="s">
        <v>13</v>
      </c>
      <c r="F7532">
        <v>3</v>
      </c>
      <c r="G7532" t="str">
        <f>VLOOKUP(D7532,Товары!A:I,3,0)</f>
        <v>Пенал напол. Леон 400 форест 2 двери + 1 ящик</v>
      </c>
      <c r="H7532">
        <f>VLOOKUP(D7532,Товары!A:I,6,0)</f>
        <v>190</v>
      </c>
      <c r="I7532" t="str">
        <f>VLOOKUP(C7532,Магазины!A:C,3,0)</f>
        <v>Ставрополь</v>
      </c>
      <c r="J7532">
        <f>VLOOKUP(D7532,Товары!A:I,4,0)</f>
        <v>18450</v>
      </c>
      <c r="K7532">
        <f t="shared" si="117"/>
        <v>55350</v>
      </c>
    </row>
    <row r="7533" spans="1:11" hidden="1" x14ac:dyDescent="0.25">
      <c r="A7533">
        <v>7532</v>
      </c>
      <c r="B7533" s="1">
        <v>45748</v>
      </c>
      <c r="C7533" t="s">
        <v>16</v>
      </c>
      <c r="D7533" t="s">
        <v>82</v>
      </c>
      <c r="E7533" t="s">
        <v>13</v>
      </c>
      <c r="F7533">
        <v>2</v>
      </c>
      <c r="G7533" t="str">
        <f>VLOOKUP(D7533,Товары!A:I,3,0)</f>
        <v>Тумба с раковиной  навес. Леон 800 форест 2 ящика с умыв. Слим</v>
      </c>
      <c r="H7533">
        <f>VLOOKUP(D7533,Товары!A:I,6,0)</f>
        <v>60</v>
      </c>
      <c r="I7533" t="str">
        <f>VLOOKUP(C7533,Магазины!A:C,3,0)</f>
        <v>Оренбург</v>
      </c>
      <c r="J7533">
        <f>VLOOKUP(D7533,Товары!A:I,4,0)</f>
        <v>27930</v>
      </c>
      <c r="K7533">
        <f t="shared" si="117"/>
        <v>55860</v>
      </c>
    </row>
    <row r="7534" spans="1:11" hidden="1" x14ac:dyDescent="0.25">
      <c r="A7534">
        <v>7533</v>
      </c>
      <c r="B7534" s="1">
        <v>45751</v>
      </c>
      <c r="C7534" t="s">
        <v>18</v>
      </c>
      <c r="D7534" t="s">
        <v>84</v>
      </c>
      <c r="E7534" t="s">
        <v>8</v>
      </c>
      <c r="F7534">
        <v>2</v>
      </c>
      <c r="G7534" t="str">
        <f>VLOOKUP(D7534,Товары!A:I,3,0)</f>
        <v>Тумба с раковиной  напол. Куба Риф 800 белый 3 двери с умыв. Слим</v>
      </c>
      <c r="H7534">
        <f>VLOOKUP(D7534,Товары!A:I,6,0)</f>
        <v>85</v>
      </c>
      <c r="I7534" t="str">
        <f>VLOOKUP(C7534,Магазины!A:C,3,0)</f>
        <v>Набережные Челны</v>
      </c>
      <c r="J7534">
        <f>VLOOKUP(D7534,Товары!A:I,4,0)</f>
        <v>19920</v>
      </c>
      <c r="K7534">
        <f t="shared" si="117"/>
        <v>39840</v>
      </c>
    </row>
    <row r="7535" spans="1:11" hidden="1" x14ac:dyDescent="0.25">
      <c r="A7535">
        <v>7534</v>
      </c>
      <c r="B7535" s="1">
        <v>45755</v>
      </c>
      <c r="C7535" t="s">
        <v>26</v>
      </c>
      <c r="D7535" t="s">
        <v>107</v>
      </c>
      <c r="E7535" t="s">
        <v>8</v>
      </c>
      <c r="F7535">
        <v>1</v>
      </c>
      <c r="G7535" t="str">
        <f>VLOOKUP(D7535,Товары!A:I,3,0)</f>
        <v>Комод Аква 35 напольный 1 дверь белый правый</v>
      </c>
      <c r="H7535">
        <f>VLOOKUP(D7535,Товары!A:I,6,0)</f>
        <v>90</v>
      </c>
      <c r="I7535" t="str">
        <f>VLOOKUP(C7535,Магазины!A:C,3,0)</f>
        <v>Оренбург</v>
      </c>
      <c r="J7535">
        <f>VLOOKUP(D7535,Товары!A:I,4,0)</f>
        <v>6705</v>
      </c>
      <c r="K7535">
        <f t="shared" si="117"/>
        <v>6705</v>
      </c>
    </row>
    <row r="7536" spans="1:11" hidden="1" x14ac:dyDescent="0.25">
      <c r="A7536">
        <v>7535</v>
      </c>
      <c r="B7536" s="1">
        <v>45753</v>
      </c>
      <c r="C7536" t="s">
        <v>6</v>
      </c>
      <c r="D7536" t="s">
        <v>55</v>
      </c>
      <c r="E7536" t="s">
        <v>13</v>
      </c>
      <c r="F7536">
        <v>2</v>
      </c>
      <c r="G7536" t="str">
        <f>VLOOKUP(D7536,Товары!A:I,3,0)</f>
        <v>Тумба с раковиной  напол. Рица 600 cерый/керамика 2 ящика с умыв. Океан</v>
      </c>
      <c r="H7536">
        <f>VLOOKUP(D7536,Товары!A:I,6,0)</f>
        <v>80</v>
      </c>
      <c r="I7536" t="str">
        <f>VLOOKUP(C7536,Магазины!A:C,3,0)</f>
        <v>Оренбург</v>
      </c>
      <c r="J7536">
        <f>VLOOKUP(D7536,Товары!A:I,4,0)</f>
        <v>25560</v>
      </c>
      <c r="K7536">
        <f t="shared" si="117"/>
        <v>51120</v>
      </c>
    </row>
    <row r="7537" spans="1:11" hidden="1" x14ac:dyDescent="0.25">
      <c r="A7537">
        <v>7536</v>
      </c>
      <c r="B7537" s="1">
        <v>45757</v>
      </c>
      <c r="C7537" t="s">
        <v>41</v>
      </c>
      <c r="D7537" t="s">
        <v>46</v>
      </c>
      <c r="E7537" t="s">
        <v>13</v>
      </c>
      <c r="F7537">
        <v>2</v>
      </c>
      <c r="G7537" t="str">
        <f>VLOOKUP(D7537,Товары!A:I,3,0)</f>
        <v>Тумба с раковиной  напол. Сохо 700 белый 2 ящика с умыв. Слим</v>
      </c>
      <c r="H7537">
        <f>VLOOKUP(D7537,Товары!A:I,6,0)</f>
        <v>85</v>
      </c>
      <c r="I7537" t="str">
        <f>VLOOKUP(C7537,Магазины!A:C,3,0)</f>
        <v>Ставрополь</v>
      </c>
      <c r="J7537">
        <f>VLOOKUP(D7537,Товары!A:I,4,0)</f>
        <v>18405</v>
      </c>
      <c r="K7537">
        <f t="shared" si="117"/>
        <v>36810</v>
      </c>
    </row>
    <row r="7538" spans="1:11" hidden="1" x14ac:dyDescent="0.25">
      <c r="A7538">
        <v>7537</v>
      </c>
      <c r="B7538" s="1">
        <v>45749</v>
      </c>
      <c r="C7538" t="s">
        <v>26</v>
      </c>
      <c r="D7538" t="s">
        <v>50</v>
      </c>
      <c r="E7538" t="s">
        <v>8</v>
      </c>
      <c r="F7538">
        <v>2</v>
      </c>
      <c r="G7538" t="str">
        <f>VLOOKUP(D7538,Товары!A:I,3,0)</f>
        <v>Тумба с раковиной  напол. Леон 800 оникс 2 ящика с умыв. Слим</v>
      </c>
      <c r="H7538">
        <f>VLOOKUP(D7538,Товары!A:I,6,0)</f>
        <v>80</v>
      </c>
      <c r="I7538" t="str">
        <f>VLOOKUP(C7538,Магазины!A:C,3,0)</f>
        <v>Оренбург</v>
      </c>
      <c r="J7538">
        <f>VLOOKUP(D7538,Товары!A:I,4,0)</f>
        <v>29400</v>
      </c>
      <c r="K7538">
        <f t="shared" si="117"/>
        <v>58800</v>
      </c>
    </row>
    <row r="7539" spans="1:11" hidden="1" x14ac:dyDescent="0.25">
      <c r="A7539">
        <v>7538</v>
      </c>
      <c r="B7539" s="1">
        <v>45748</v>
      </c>
      <c r="C7539" t="s">
        <v>20</v>
      </c>
      <c r="D7539" t="s">
        <v>89</v>
      </c>
      <c r="E7539" t="s">
        <v>13</v>
      </c>
      <c r="F7539">
        <v>3</v>
      </c>
      <c r="G7539" t="str">
        <f>VLOOKUP(D7539,Товары!A:I,3,0)</f>
        <v>Тумба с раковиной  напол. Сохо 600 белый 2 двери с умыв. Океан</v>
      </c>
      <c r="H7539">
        <f>VLOOKUP(D7539,Товары!A:I,6,0)</f>
        <v>85</v>
      </c>
      <c r="I7539" t="str">
        <f>VLOOKUP(C7539,Магазины!A:C,3,0)</f>
        <v>Оренбург</v>
      </c>
      <c r="J7539">
        <f>VLOOKUP(D7539,Товары!A:I,4,0)</f>
        <v>14880</v>
      </c>
      <c r="K7539">
        <f t="shared" si="117"/>
        <v>44640</v>
      </c>
    </row>
    <row r="7540" spans="1:11" hidden="1" x14ac:dyDescent="0.25">
      <c r="A7540">
        <v>7539</v>
      </c>
      <c r="B7540" s="1">
        <v>45753</v>
      </c>
      <c r="C7540" t="s">
        <v>26</v>
      </c>
      <c r="D7540" t="s">
        <v>106</v>
      </c>
      <c r="E7540" t="s">
        <v>13</v>
      </c>
      <c r="F7540">
        <v>3</v>
      </c>
      <c r="G7540" t="str">
        <f>VLOOKUP(D7540,Товары!A:I,3,0)</f>
        <v>Тумба с раковиной  навес. Кристалл 700 шато азур 2 ящика с умыв. Слим</v>
      </c>
      <c r="H7540">
        <f>VLOOKUP(D7540,Товары!A:I,6,0)</f>
        <v>60</v>
      </c>
      <c r="I7540" t="str">
        <f>VLOOKUP(C7540,Магазины!A:C,3,0)</f>
        <v>Оренбург</v>
      </c>
      <c r="J7540">
        <f>VLOOKUP(D7540,Товары!A:I,4,0)</f>
        <v>24150</v>
      </c>
      <c r="K7540">
        <f t="shared" si="117"/>
        <v>72450</v>
      </c>
    </row>
    <row r="7541" spans="1:11" hidden="1" x14ac:dyDescent="0.25">
      <c r="A7541">
        <v>7540</v>
      </c>
      <c r="B7541" s="1">
        <v>45753</v>
      </c>
      <c r="C7541" t="s">
        <v>58</v>
      </c>
      <c r="D7541" t="s">
        <v>67</v>
      </c>
      <c r="E7541" t="s">
        <v>8</v>
      </c>
      <c r="F7541">
        <v>3</v>
      </c>
      <c r="G7541" t="str">
        <f>VLOOKUP(D7541,Товары!A:I,3,0)</f>
        <v>Пенал навес./напол. Альба 350 суфле 2 двери</v>
      </c>
      <c r="H7541">
        <f>VLOOKUP(D7541,Товары!A:I,6,0)</f>
        <v>150</v>
      </c>
      <c r="I7541" t="str">
        <f>VLOOKUP(C7541,Магазины!A:C,3,0)</f>
        <v>Ставрополь</v>
      </c>
      <c r="J7541">
        <f>VLOOKUP(D7541,Товары!A:I,4,0)</f>
        <v>11655</v>
      </c>
      <c r="K7541">
        <f t="shared" si="117"/>
        <v>34965</v>
      </c>
    </row>
    <row r="7542" spans="1:11" hidden="1" x14ac:dyDescent="0.25">
      <c r="A7542">
        <v>7541</v>
      </c>
      <c r="B7542" s="1">
        <v>45757</v>
      </c>
      <c r="C7542" t="s">
        <v>58</v>
      </c>
      <c r="D7542" t="s">
        <v>99</v>
      </c>
      <c r="E7542" t="s">
        <v>8</v>
      </c>
      <c r="F7542">
        <v>3</v>
      </c>
      <c r="G7542" t="str">
        <f>VLOOKUP(D7542,Товары!A:I,3,0)</f>
        <v>Тумба с раковиной  навес. Леон 600 оникс 2 ящика с умыв. Слим</v>
      </c>
      <c r="H7542">
        <f>VLOOKUP(D7542,Товары!A:I,6,0)</f>
        <v>60</v>
      </c>
      <c r="I7542" t="str">
        <f>VLOOKUP(C7542,Магазины!A:C,3,0)</f>
        <v>Ставрополь</v>
      </c>
      <c r="J7542">
        <f>VLOOKUP(D7542,Товары!A:I,4,0)</f>
        <v>25125</v>
      </c>
      <c r="K7542">
        <f t="shared" si="117"/>
        <v>75375</v>
      </c>
    </row>
    <row r="7543" spans="1:11" hidden="1" x14ac:dyDescent="0.25">
      <c r="A7543">
        <v>7542</v>
      </c>
      <c r="B7543" s="1">
        <v>45749</v>
      </c>
      <c r="C7543" t="s">
        <v>11</v>
      </c>
      <c r="D7543" t="s">
        <v>42</v>
      </c>
      <c r="E7543" t="s">
        <v>8</v>
      </c>
      <c r="F7543">
        <v>1</v>
      </c>
      <c r="G7543" t="str">
        <f>VLOOKUP(D7543,Товары!A:I,3,0)</f>
        <v>Тумба под стиральную машину Леон Риф 57 подвесная 2 ящика под ст/маш, без умывальника /под Marshall 120 Солярис/Белый Риф</v>
      </c>
      <c r="H7543">
        <f>VLOOKUP(D7543,Товары!A:I,6,0)</f>
        <v>60</v>
      </c>
      <c r="I7543" t="str">
        <f>VLOOKUP(C7543,Магазины!A:C,3,0)</f>
        <v>Кемерово</v>
      </c>
      <c r="J7543">
        <f>VLOOKUP(D7543,Товары!A:I,4,0)</f>
        <v>15495</v>
      </c>
      <c r="K7543">
        <f t="shared" si="117"/>
        <v>15495</v>
      </c>
    </row>
    <row r="7544" spans="1:11" hidden="1" x14ac:dyDescent="0.25">
      <c r="A7544">
        <v>7543</v>
      </c>
      <c r="B7544" s="1">
        <v>45748</v>
      </c>
      <c r="C7544" t="s">
        <v>58</v>
      </c>
      <c r="D7544" t="s">
        <v>128</v>
      </c>
      <c r="E7544" t="s">
        <v>13</v>
      </c>
      <c r="F7544">
        <v>1</v>
      </c>
      <c r="G7544" t="str">
        <f>VLOOKUP(D7544,Товары!A:I,3,0)</f>
        <v>Тумба с раковиной  напол. Куба Риф 1000 белый 2 ящика с умыв. Слим</v>
      </c>
      <c r="H7544">
        <f>VLOOKUP(D7544,Товары!A:I,6,0)</f>
        <v>85</v>
      </c>
      <c r="I7544" t="str">
        <f>VLOOKUP(C7544,Магазины!A:C,3,0)</f>
        <v>Ставрополь</v>
      </c>
      <c r="J7544">
        <f>VLOOKUP(D7544,Товары!A:I,4,0)</f>
        <v>22905</v>
      </c>
      <c r="K7544">
        <f t="shared" si="117"/>
        <v>22905</v>
      </c>
    </row>
    <row r="7545" spans="1:11" hidden="1" x14ac:dyDescent="0.25">
      <c r="A7545">
        <v>7544</v>
      </c>
      <c r="B7545" s="1">
        <v>45750</v>
      </c>
      <c r="C7545" t="s">
        <v>26</v>
      </c>
      <c r="D7545" t="s">
        <v>100</v>
      </c>
      <c r="E7545" t="s">
        <v>13</v>
      </c>
      <c r="F7545">
        <v>2</v>
      </c>
      <c r="G7545" t="str">
        <f>VLOOKUP(D7545,Товары!A:I,3,0)</f>
        <v>Тумба с раковиной  навес. Альба 800 мята 1 ящик с умыв. Слим</v>
      </c>
      <c r="H7545">
        <f>VLOOKUP(D7545,Товары!A:I,6,0)</f>
        <v>45</v>
      </c>
      <c r="I7545" t="str">
        <f>VLOOKUP(C7545,Магазины!A:C,3,0)</f>
        <v>Оренбург</v>
      </c>
      <c r="J7545">
        <f>VLOOKUP(D7545,Товары!A:I,4,0)</f>
        <v>21630</v>
      </c>
      <c r="K7545">
        <f t="shared" si="117"/>
        <v>43260</v>
      </c>
    </row>
    <row r="7546" spans="1:11" hidden="1" x14ac:dyDescent="0.25">
      <c r="A7546">
        <v>7545</v>
      </c>
      <c r="B7546" s="1">
        <v>45748</v>
      </c>
      <c r="C7546" t="s">
        <v>63</v>
      </c>
      <c r="D7546" t="s">
        <v>44</v>
      </c>
      <c r="E7546" t="s">
        <v>13</v>
      </c>
      <c r="F7546">
        <v>1</v>
      </c>
      <c r="G7546" t="str">
        <f>VLOOKUP(D7546,Товары!A:I,3,0)</f>
        <v>Тумба с раковиной  навес. Кристалл 800 шато азур 2 ящика с умыв. Комфорт</v>
      </c>
      <c r="H7546">
        <f>VLOOKUP(D7546,Товары!A:I,6,0)</f>
        <v>55</v>
      </c>
      <c r="I7546" t="str">
        <f>VLOOKUP(C7546,Магазины!A:C,3,0)</f>
        <v>Ставрополь</v>
      </c>
      <c r="J7546">
        <f>VLOOKUP(D7546,Товары!A:I,4,0)</f>
        <v>25080</v>
      </c>
      <c r="K7546">
        <f t="shared" si="117"/>
        <v>25080</v>
      </c>
    </row>
    <row r="7547" spans="1:11" hidden="1" x14ac:dyDescent="0.25">
      <c r="A7547">
        <v>7546</v>
      </c>
      <c r="B7547" s="1">
        <v>45750</v>
      </c>
      <c r="C7547" t="s">
        <v>11</v>
      </c>
      <c r="D7547" t="s">
        <v>113</v>
      </c>
      <c r="E7547" t="s">
        <v>13</v>
      </c>
      <c r="F7547">
        <v>2</v>
      </c>
      <c r="G7547" t="str">
        <f>VLOOKUP(D7547,Товары!A:I,3,0)</f>
        <v>Зеркальный шкаф Альба 60 со светильником правый цвет мята</v>
      </c>
      <c r="H7547">
        <f>VLOOKUP(D7547,Товары!A:I,6,0)</f>
        <v>75</v>
      </c>
      <c r="I7547" t="str">
        <f>VLOOKUP(C7547,Магазины!A:C,3,0)</f>
        <v>Кемерово</v>
      </c>
      <c r="J7547">
        <f>VLOOKUP(D7547,Товары!A:I,4,0)</f>
        <v>8910</v>
      </c>
      <c r="K7547">
        <f t="shared" si="117"/>
        <v>17820</v>
      </c>
    </row>
    <row r="7548" spans="1:11" hidden="1" x14ac:dyDescent="0.25">
      <c r="A7548">
        <v>7547</v>
      </c>
      <c r="B7548" s="1">
        <v>45751</v>
      </c>
      <c r="C7548" t="s">
        <v>33</v>
      </c>
      <c r="D7548" t="s">
        <v>64</v>
      </c>
      <c r="E7548" t="s">
        <v>13</v>
      </c>
      <c r="F7548">
        <v>3</v>
      </c>
      <c r="G7548" t="str">
        <f>VLOOKUP(D7548,Товары!A:I,3,0)</f>
        <v>Тумба с раковиной  напол. Рица 800 антрацит 2 ящика с умыв. Слим</v>
      </c>
      <c r="H7548">
        <f>VLOOKUP(D7548,Товары!A:I,6,0)</f>
        <v>80</v>
      </c>
      <c r="I7548" t="str">
        <f>VLOOKUP(C7548,Магазины!A:C,3,0)</f>
        <v>Набережные Челны</v>
      </c>
      <c r="J7548">
        <f>VLOOKUP(D7548,Товары!A:I,4,0)</f>
        <v>28980</v>
      </c>
      <c r="K7548">
        <f t="shared" si="117"/>
        <v>86940</v>
      </c>
    </row>
    <row r="7549" spans="1:11" hidden="1" x14ac:dyDescent="0.25">
      <c r="A7549">
        <v>7548</v>
      </c>
      <c r="B7549" s="1">
        <v>45754</v>
      </c>
      <c r="C7549" t="s">
        <v>103</v>
      </c>
      <c r="D7549" t="s">
        <v>47</v>
      </c>
      <c r="E7549" t="s">
        <v>13</v>
      </c>
      <c r="F7549">
        <v>2</v>
      </c>
      <c r="G7549" t="str">
        <f>VLOOKUP(D7549,Товары!A:I,3,0)</f>
        <v>Пенал напол. Кристалл 350 шато азур 2 двери</v>
      </c>
      <c r="H7549">
        <f>VLOOKUP(D7549,Товары!A:I,6,0)</f>
        <v>190</v>
      </c>
      <c r="I7549" t="str">
        <f>VLOOKUP(C7549,Магазины!A:C,3,0)</f>
        <v>Ставрополь</v>
      </c>
      <c r="J7549">
        <f>VLOOKUP(D7549,Товары!A:I,4,0)</f>
        <v>15810</v>
      </c>
      <c r="K7549">
        <f t="shared" si="117"/>
        <v>31620</v>
      </c>
    </row>
    <row r="7550" spans="1:11" hidden="1" x14ac:dyDescent="0.25">
      <c r="A7550">
        <v>7549</v>
      </c>
      <c r="B7550" s="1">
        <v>45748</v>
      </c>
      <c r="C7550" t="s">
        <v>30</v>
      </c>
      <c r="D7550" t="s">
        <v>34</v>
      </c>
      <c r="E7550" t="s">
        <v>13</v>
      </c>
      <c r="F7550">
        <v>1</v>
      </c>
      <c r="G7550" t="str">
        <f>VLOOKUP(D7550,Товары!A:I,3,0)</f>
        <v>Тумба с раковиной  навес. Леон 700 форест 2 ящика с умыв. Слим</v>
      </c>
      <c r="H7550">
        <f>VLOOKUP(D7550,Товары!A:I,6,0)</f>
        <v>60</v>
      </c>
      <c r="I7550" t="str">
        <f>VLOOKUP(C7550,Магазины!A:C,3,0)</f>
        <v>Кемерово</v>
      </c>
      <c r="J7550">
        <f>VLOOKUP(D7550,Товары!A:I,4,0)</f>
        <v>26220</v>
      </c>
      <c r="K7550">
        <f t="shared" si="117"/>
        <v>26220</v>
      </c>
    </row>
    <row r="7551" spans="1:11" hidden="1" x14ac:dyDescent="0.25">
      <c r="A7551">
        <v>7550</v>
      </c>
      <c r="B7551" s="1">
        <v>45756</v>
      </c>
      <c r="C7551" t="s">
        <v>6</v>
      </c>
      <c r="D7551" t="s">
        <v>23</v>
      </c>
      <c r="E7551" t="s">
        <v>13</v>
      </c>
      <c r="F7551">
        <v>3</v>
      </c>
      <c r="G7551" t="str">
        <f>VLOOKUP(D7551,Товары!A:I,3,0)</f>
        <v>Тумба с раковиной  напол. Альба 800 антрацит 2 ящика с умыв. Слим</v>
      </c>
      <c r="H7551">
        <f>VLOOKUP(D7551,Товары!A:I,6,0)</f>
        <v>80</v>
      </c>
      <c r="I7551" t="str">
        <f>VLOOKUP(C7551,Магазины!A:C,3,0)</f>
        <v>Оренбург</v>
      </c>
      <c r="J7551">
        <f>VLOOKUP(D7551,Товары!A:I,4,0)</f>
        <v>29340</v>
      </c>
      <c r="K7551">
        <f t="shared" si="117"/>
        <v>88020</v>
      </c>
    </row>
    <row r="7552" spans="1:11" hidden="1" x14ac:dyDescent="0.25">
      <c r="A7552">
        <v>7551</v>
      </c>
      <c r="B7552" s="1">
        <v>45752</v>
      </c>
      <c r="C7552" t="s">
        <v>14</v>
      </c>
      <c r="D7552" t="s">
        <v>46</v>
      </c>
      <c r="E7552" t="s">
        <v>8</v>
      </c>
      <c r="F7552">
        <v>1</v>
      </c>
      <c r="G7552" t="str">
        <f>VLOOKUP(D7552,Товары!A:I,3,0)</f>
        <v>Тумба с раковиной  напол. Сохо 700 белый 2 ящика с умыв. Слим</v>
      </c>
      <c r="H7552">
        <f>VLOOKUP(D7552,Товары!A:I,6,0)</f>
        <v>85</v>
      </c>
      <c r="I7552" t="str">
        <f>VLOOKUP(C7552,Магазины!A:C,3,0)</f>
        <v>Оренбург</v>
      </c>
      <c r="J7552">
        <f>VLOOKUP(D7552,Товары!A:I,4,0)</f>
        <v>18405</v>
      </c>
      <c r="K7552">
        <f t="shared" si="117"/>
        <v>18405</v>
      </c>
    </row>
    <row r="7553" spans="1:11" hidden="1" x14ac:dyDescent="0.25">
      <c r="A7553">
        <v>7552</v>
      </c>
      <c r="B7553" s="1">
        <v>45757</v>
      </c>
      <c r="C7553" t="s">
        <v>33</v>
      </c>
      <c r="D7553" t="s">
        <v>129</v>
      </c>
      <c r="E7553" t="s">
        <v>8</v>
      </c>
      <c r="F7553">
        <v>2</v>
      </c>
      <c r="G7553" t="str">
        <f>VLOOKUP(D7553,Товары!A:I,3,0)</f>
        <v>Тумба с раковиной  напол. Альба 700 антрацит 2 ящика с умыв. Слим</v>
      </c>
      <c r="H7553">
        <f>VLOOKUP(D7553,Товары!A:I,6,0)</f>
        <v>85</v>
      </c>
      <c r="I7553" t="str">
        <f>VLOOKUP(C7553,Магазины!A:C,3,0)</f>
        <v>Набережные Челны</v>
      </c>
      <c r="J7553">
        <f>VLOOKUP(D7553,Товары!A:I,4,0)</f>
        <v>28695</v>
      </c>
      <c r="K7553">
        <f t="shared" si="117"/>
        <v>57390</v>
      </c>
    </row>
    <row r="7554" spans="1:11" hidden="1" x14ac:dyDescent="0.25">
      <c r="A7554">
        <v>7553</v>
      </c>
      <c r="B7554" s="1">
        <v>45753</v>
      </c>
      <c r="C7554" t="s">
        <v>28</v>
      </c>
      <c r="D7554" t="s">
        <v>51</v>
      </c>
      <c r="E7554" t="s">
        <v>8</v>
      </c>
      <c r="F7554">
        <v>3</v>
      </c>
      <c r="G7554" t="str">
        <f>VLOOKUP(D7554,Товары!A:I,3,0)</f>
        <v>Зеркальный шкаф Альба 80 со светильником правый цвет суфле</v>
      </c>
      <c r="H7554">
        <f>VLOOKUP(D7554,Товары!A:I,6,0)</f>
        <v>75</v>
      </c>
      <c r="I7554" t="str">
        <f>VLOOKUP(C7554,Магазины!A:C,3,0)</f>
        <v>Набережные Челны</v>
      </c>
      <c r="J7554">
        <f>VLOOKUP(D7554,Товары!A:I,4,0)</f>
        <v>9930</v>
      </c>
      <c r="K7554">
        <f t="shared" si="117"/>
        <v>29790</v>
      </c>
    </row>
    <row r="7555" spans="1:11" hidden="1" x14ac:dyDescent="0.25">
      <c r="A7555">
        <v>7554</v>
      </c>
      <c r="B7555" s="1">
        <v>45750</v>
      </c>
      <c r="C7555" t="s">
        <v>41</v>
      </c>
      <c r="D7555" t="s">
        <v>40</v>
      </c>
      <c r="E7555" t="s">
        <v>8</v>
      </c>
      <c r="F7555">
        <v>1</v>
      </c>
      <c r="G7555" t="str">
        <f>VLOOKUP(D7555,Товары!A:I,3,0)</f>
        <v>Тумба с раковиной  навес. Рица 800 cерый/керамика 1 ящик + ниша 1 с умыв. Слим</v>
      </c>
      <c r="H7555">
        <f>VLOOKUP(D7555,Товары!A:I,6,0)</f>
        <v>60</v>
      </c>
      <c r="I7555" t="str">
        <f>VLOOKUP(C7555,Магазины!A:C,3,0)</f>
        <v>Ставрополь</v>
      </c>
      <c r="J7555">
        <f>VLOOKUP(D7555,Товары!A:I,4,0)</f>
        <v>22425</v>
      </c>
      <c r="K7555">
        <f t="shared" ref="K7555:K7618" si="118">J7555*F7555</f>
        <v>22425</v>
      </c>
    </row>
    <row r="7556" spans="1:11" hidden="1" x14ac:dyDescent="0.25">
      <c r="A7556">
        <v>7555</v>
      </c>
      <c r="B7556" s="1">
        <v>45757</v>
      </c>
      <c r="C7556" t="s">
        <v>14</v>
      </c>
      <c r="D7556" t="s">
        <v>72</v>
      </c>
      <c r="E7556" t="s">
        <v>13</v>
      </c>
      <c r="F7556">
        <v>2</v>
      </c>
      <c r="G7556" t="str">
        <f>VLOOKUP(D7556,Товары!A:I,3,0)</f>
        <v>Тумба с раковиной  напол. Сохо 600 белый 2 ящика с умыв. Океан</v>
      </c>
      <c r="H7556">
        <f>VLOOKUP(D7556,Товары!A:I,6,0)</f>
        <v>85</v>
      </c>
      <c r="I7556" t="str">
        <f>VLOOKUP(C7556,Магазины!A:C,3,0)</f>
        <v>Оренбург</v>
      </c>
      <c r="J7556">
        <f>VLOOKUP(D7556,Товары!A:I,4,0)</f>
        <v>16140</v>
      </c>
      <c r="K7556">
        <f t="shared" si="118"/>
        <v>32280</v>
      </c>
    </row>
    <row r="7557" spans="1:11" hidden="1" x14ac:dyDescent="0.25">
      <c r="A7557">
        <v>7556</v>
      </c>
      <c r="B7557" s="1">
        <v>45754</v>
      </c>
      <c r="C7557" t="s">
        <v>48</v>
      </c>
      <c r="D7557" t="s">
        <v>21</v>
      </c>
      <c r="E7557" t="s">
        <v>13</v>
      </c>
      <c r="F7557">
        <v>2</v>
      </c>
      <c r="G7557" t="str">
        <f>VLOOKUP(D7557,Товары!A:I,3,0)</f>
        <v>Зеркальный шкаф Рица 60 со светильником правый цвет cерый/керамика</v>
      </c>
      <c r="H7557">
        <f>VLOOKUP(D7557,Товары!A:I,6,0)</f>
        <v>75</v>
      </c>
      <c r="I7557" t="str">
        <f>VLOOKUP(C7557,Магазины!A:C,3,0)</f>
        <v>Ставрополь</v>
      </c>
      <c r="J7557">
        <f>VLOOKUP(D7557,Товары!A:I,4,0)</f>
        <v>8910</v>
      </c>
      <c r="K7557">
        <f t="shared" si="118"/>
        <v>17820</v>
      </c>
    </row>
    <row r="7558" spans="1:11" hidden="1" x14ac:dyDescent="0.25">
      <c r="A7558">
        <v>7557</v>
      </c>
      <c r="B7558" s="1">
        <v>45749</v>
      </c>
      <c r="C7558" t="s">
        <v>57</v>
      </c>
      <c r="D7558" t="s">
        <v>126</v>
      </c>
      <c r="E7558" t="s">
        <v>8</v>
      </c>
      <c r="F7558">
        <v>3</v>
      </c>
      <c r="G7558" t="str">
        <f>VLOOKUP(D7558,Товары!A:I,3,0)</f>
        <v>Тумба с раковиной  напол. Кристалл 800 шато азур 2 ящика с умыв. Комфорт</v>
      </c>
      <c r="H7558">
        <f>VLOOKUP(D7558,Товары!A:I,6,0)</f>
        <v>85</v>
      </c>
      <c r="I7558" t="str">
        <f>VLOOKUP(C7558,Магазины!A:C,3,0)</f>
        <v>Оренбург</v>
      </c>
      <c r="J7558">
        <f>VLOOKUP(D7558,Товары!A:I,4,0)</f>
        <v>31125</v>
      </c>
      <c r="K7558">
        <f t="shared" si="118"/>
        <v>93375</v>
      </c>
    </row>
    <row r="7559" spans="1:11" hidden="1" x14ac:dyDescent="0.25">
      <c r="A7559">
        <v>7558</v>
      </c>
      <c r="B7559" s="1">
        <v>45757</v>
      </c>
      <c r="C7559" t="s">
        <v>111</v>
      </c>
      <c r="D7559" t="s">
        <v>122</v>
      </c>
      <c r="E7559" t="s">
        <v>8</v>
      </c>
      <c r="F7559">
        <v>2</v>
      </c>
      <c r="G7559" t="str">
        <f>VLOOKUP(D7559,Товары!A:I,3,0)</f>
        <v>Тумба с раковиной  навес. Кристалл 600 шато азур 2 ящика с умыв. Океан</v>
      </c>
      <c r="H7559">
        <f>VLOOKUP(D7559,Товары!A:I,6,0)</f>
        <v>55</v>
      </c>
      <c r="I7559" t="str">
        <f>VLOOKUP(C7559,Магазины!A:C,3,0)</f>
        <v>Набережные Челны</v>
      </c>
      <c r="J7559">
        <f>VLOOKUP(D7559,Товары!A:I,4,0)</f>
        <v>21960</v>
      </c>
      <c r="K7559">
        <f t="shared" si="118"/>
        <v>43920</v>
      </c>
    </row>
    <row r="7560" spans="1:11" hidden="1" x14ac:dyDescent="0.25">
      <c r="A7560">
        <v>7559</v>
      </c>
      <c r="B7560" s="1">
        <v>45756</v>
      </c>
      <c r="C7560" t="s">
        <v>26</v>
      </c>
      <c r="D7560" t="s">
        <v>31</v>
      </c>
      <c r="E7560" t="s">
        <v>13</v>
      </c>
      <c r="F7560">
        <v>1</v>
      </c>
      <c r="G7560" t="str">
        <f>VLOOKUP(D7560,Товары!A:I,3,0)</f>
        <v>Пенал напол. Виктория 350 белый 2 двери</v>
      </c>
      <c r="H7560">
        <f>VLOOKUP(D7560,Товары!A:I,6,0)</f>
        <v>190</v>
      </c>
      <c r="I7560" t="str">
        <f>VLOOKUP(C7560,Магазины!A:C,3,0)</f>
        <v>Оренбург</v>
      </c>
      <c r="J7560">
        <f>VLOOKUP(D7560,Товары!A:I,4,0)</f>
        <v>14085</v>
      </c>
      <c r="K7560">
        <f t="shared" si="118"/>
        <v>14085</v>
      </c>
    </row>
    <row r="7561" spans="1:11" hidden="1" x14ac:dyDescent="0.25">
      <c r="A7561">
        <v>7560</v>
      </c>
      <c r="B7561" s="1">
        <v>45753</v>
      </c>
      <c r="C7561" t="s">
        <v>16</v>
      </c>
      <c r="D7561" t="s">
        <v>37</v>
      </c>
      <c r="E7561" t="s">
        <v>8</v>
      </c>
      <c r="F7561">
        <v>2</v>
      </c>
      <c r="G7561" t="str">
        <f>VLOOKUP(D7561,Товары!A:I,3,0)</f>
        <v>Зеркальный шкаф Сохо 70 белый со светильником правый цвет Белый глянец</v>
      </c>
      <c r="H7561">
        <f>VLOOKUP(D7561,Товары!A:I,6,0)</f>
        <v>75</v>
      </c>
      <c r="I7561" t="str">
        <f>VLOOKUP(C7561,Магазины!A:C,3,0)</f>
        <v>Оренбург</v>
      </c>
      <c r="J7561">
        <f>VLOOKUP(D7561,Товары!A:I,4,0)</f>
        <v>7935</v>
      </c>
      <c r="K7561">
        <f t="shared" si="118"/>
        <v>15870</v>
      </c>
    </row>
    <row r="7562" spans="1:11" hidden="1" x14ac:dyDescent="0.25">
      <c r="A7562">
        <v>7561</v>
      </c>
      <c r="B7562" s="1">
        <v>45749</v>
      </c>
      <c r="C7562" t="s">
        <v>54</v>
      </c>
      <c r="D7562" t="s">
        <v>105</v>
      </c>
      <c r="E7562" t="s">
        <v>8</v>
      </c>
      <c r="F7562">
        <v>3</v>
      </c>
      <c r="G7562" t="str">
        <f>VLOOKUP(D7562,Товары!A:I,3,0)</f>
        <v>Тумба с раковиной  напол. Нева 600 белый 2 двери + 1 ящик с умыв. Como</v>
      </c>
      <c r="H7562">
        <f>VLOOKUP(D7562,Товары!A:I,6,0)</f>
        <v>80</v>
      </c>
      <c r="I7562" t="str">
        <f>VLOOKUP(C7562,Магазины!A:C,3,0)</f>
        <v>Ставрополь</v>
      </c>
      <c r="J7562">
        <f>VLOOKUP(D7562,Товары!A:I,4,0)</f>
        <v>13470</v>
      </c>
      <c r="K7562">
        <f t="shared" si="118"/>
        <v>40410</v>
      </c>
    </row>
    <row r="7563" spans="1:11" hidden="1" x14ac:dyDescent="0.25">
      <c r="A7563">
        <v>7562</v>
      </c>
      <c r="B7563" s="1">
        <v>45756</v>
      </c>
      <c r="C7563" t="s">
        <v>16</v>
      </c>
      <c r="D7563" t="s">
        <v>110</v>
      </c>
      <c r="E7563" t="s">
        <v>13</v>
      </c>
      <c r="F7563">
        <v>1</v>
      </c>
      <c r="G7563" t="str">
        <f>VLOOKUP(D7563,Товары!A:I,3,0)</f>
        <v>Тумба с раковиной  напол. Альба 600 антрацит 2 ящика с умыв. Океан</v>
      </c>
      <c r="H7563">
        <f>VLOOKUP(D7563,Товары!A:I,6,0)</f>
        <v>80</v>
      </c>
      <c r="I7563" t="str">
        <f>VLOOKUP(C7563,Магазины!A:C,3,0)</f>
        <v>Оренбург</v>
      </c>
      <c r="J7563">
        <f>VLOOKUP(D7563,Товары!A:I,4,0)</f>
        <v>26370</v>
      </c>
      <c r="K7563">
        <f t="shared" si="118"/>
        <v>26370</v>
      </c>
    </row>
    <row r="7564" spans="1:11" hidden="1" x14ac:dyDescent="0.25">
      <c r="A7564">
        <v>7563</v>
      </c>
      <c r="B7564" s="1">
        <v>45752</v>
      </c>
      <c r="C7564" t="s">
        <v>6</v>
      </c>
      <c r="D7564" t="s">
        <v>79</v>
      </c>
      <c r="E7564" t="s">
        <v>13</v>
      </c>
      <c r="F7564">
        <v>1</v>
      </c>
      <c r="G7564" t="str">
        <f>VLOOKUP(D7564,Товары!A:I,3,0)</f>
        <v>Зеркальный шкаф Альба 70 со светильником правый цвет мята</v>
      </c>
      <c r="H7564">
        <f>VLOOKUP(D7564,Товары!A:I,6,0)</f>
        <v>75</v>
      </c>
      <c r="I7564" t="str">
        <f>VLOOKUP(C7564,Магазины!A:C,3,0)</f>
        <v>Оренбург</v>
      </c>
      <c r="J7564">
        <f>VLOOKUP(D7564,Товары!A:I,4,0)</f>
        <v>9615</v>
      </c>
      <c r="K7564">
        <f t="shared" si="118"/>
        <v>9615</v>
      </c>
    </row>
    <row r="7565" spans="1:11" hidden="1" x14ac:dyDescent="0.25">
      <c r="A7565">
        <v>7564</v>
      </c>
      <c r="B7565" s="1">
        <v>45749</v>
      </c>
      <c r="C7565" t="s">
        <v>54</v>
      </c>
      <c r="D7565" t="s">
        <v>19</v>
      </c>
      <c r="E7565" t="s">
        <v>8</v>
      </c>
      <c r="F7565">
        <v>2</v>
      </c>
      <c r="G7565" t="str">
        <f>VLOOKUP(D7565,Товары!A:I,3,0)</f>
        <v>Тумба с раковиной  навес. Леон 800 оникс 2 ящика с умыв. Слим</v>
      </c>
      <c r="H7565">
        <f>VLOOKUP(D7565,Товары!A:I,6,0)</f>
        <v>60</v>
      </c>
      <c r="I7565" t="str">
        <f>VLOOKUP(C7565,Магазины!A:C,3,0)</f>
        <v>Ставрополь</v>
      </c>
      <c r="J7565">
        <f>VLOOKUP(D7565,Товары!A:I,4,0)</f>
        <v>27930</v>
      </c>
      <c r="K7565">
        <f t="shared" si="118"/>
        <v>55860</v>
      </c>
    </row>
    <row r="7566" spans="1:11" hidden="1" x14ac:dyDescent="0.25">
      <c r="A7566">
        <v>7565</v>
      </c>
      <c r="B7566" s="1">
        <v>45753</v>
      </c>
      <c r="C7566" t="s">
        <v>41</v>
      </c>
      <c r="D7566" t="s">
        <v>36</v>
      </c>
      <c r="E7566" t="s">
        <v>13</v>
      </c>
      <c r="F7566">
        <v>2</v>
      </c>
      <c r="G7566" t="str">
        <f>VLOOKUP(D7566,Товары!A:I,3,0)</f>
        <v>Тумба с раковиной  напол. Альба 800 мята 2 ящика с умыв. Слим</v>
      </c>
      <c r="H7566">
        <f>VLOOKUP(D7566,Товары!A:I,6,0)</f>
        <v>80</v>
      </c>
      <c r="I7566" t="str">
        <f>VLOOKUP(C7566,Магазины!A:C,3,0)</f>
        <v>Ставрополь</v>
      </c>
      <c r="J7566">
        <f>VLOOKUP(D7566,Товары!A:I,4,0)</f>
        <v>29340</v>
      </c>
      <c r="K7566">
        <f t="shared" si="118"/>
        <v>58680</v>
      </c>
    </row>
    <row r="7567" spans="1:11" hidden="1" x14ac:dyDescent="0.25">
      <c r="A7567">
        <v>7566</v>
      </c>
      <c r="B7567" s="1">
        <v>45754</v>
      </c>
      <c r="C7567" t="s">
        <v>92</v>
      </c>
      <c r="D7567" t="s">
        <v>78</v>
      </c>
      <c r="E7567" t="s">
        <v>13</v>
      </c>
      <c r="F7567">
        <v>2</v>
      </c>
      <c r="G7567" t="str">
        <f>VLOOKUP(D7567,Товары!A:I,3,0)</f>
        <v>Зеркальный шкаф Кристалл 70 со светильником правый, ручка кнопка дуб цвет Шато Азур</v>
      </c>
      <c r="H7567">
        <f>VLOOKUP(D7567,Товары!A:I,6,0)</f>
        <v>75</v>
      </c>
      <c r="I7567" t="str">
        <f>VLOOKUP(C7567,Магазины!A:C,3,0)</f>
        <v>Кемерово</v>
      </c>
      <c r="J7567">
        <f>VLOOKUP(D7567,Товары!A:I,4,0)</f>
        <v>9615</v>
      </c>
      <c r="K7567">
        <f t="shared" si="118"/>
        <v>19230</v>
      </c>
    </row>
    <row r="7568" spans="1:11" hidden="1" x14ac:dyDescent="0.25">
      <c r="A7568">
        <v>7567</v>
      </c>
      <c r="B7568" s="1">
        <v>45753</v>
      </c>
      <c r="C7568" t="s">
        <v>57</v>
      </c>
      <c r="D7568" t="s">
        <v>62</v>
      </c>
      <c r="E7568" t="s">
        <v>13</v>
      </c>
      <c r="F7568">
        <v>1</v>
      </c>
      <c r="G7568" t="str">
        <f>VLOOKUP(D7568,Товары!A:I,3,0)</f>
        <v>Тумба с раковиной  напол. Альба 600 мята 2 ящика с умыв. Океан</v>
      </c>
      <c r="H7568">
        <f>VLOOKUP(D7568,Товары!A:I,6,0)</f>
        <v>80</v>
      </c>
      <c r="I7568" t="str">
        <f>VLOOKUP(C7568,Магазины!A:C,3,0)</f>
        <v>Оренбург</v>
      </c>
      <c r="J7568">
        <f>VLOOKUP(D7568,Товары!A:I,4,0)</f>
        <v>26370</v>
      </c>
      <c r="K7568">
        <f t="shared" si="118"/>
        <v>26370</v>
      </c>
    </row>
    <row r="7569" spans="1:11" hidden="1" x14ac:dyDescent="0.25">
      <c r="A7569">
        <v>7568</v>
      </c>
      <c r="B7569" s="1">
        <v>45750</v>
      </c>
      <c r="C7569" t="s">
        <v>30</v>
      </c>
      <c r="D7569" t="s">
        <v>109</v>
      </c>
      <c r="E7569" t="s">
        <v>13</v>
      </c>
      <c r="F7569">
        <v>3</v>
      </c>
      <c r="G7569" t="str">
        <f>VLOOKUP(D7569,Товары!A:I,3,0)</f>
        <v>Тумба с раковиной  навес. Альба 600 антрацит 2 ящика с умыв. Океан</v>
      </c>
      <c r="H7569">
        <f>VLOOKUP(D7569,Товары!A:I,6,0)</f>
        <v>50</v>
      </c>
      <c r="I7569" t="str">
        <f>VLOOKUP(C7569,Магазины!A:C,3,0)</f>
        <v>Кемерово</v>
      </c>
      <c r="J7569">
        <f>VLOOKUP(D7569,Товары!A:I,4,0)</f>
        <v>24810</v>
      </c>
      <c r="K7569">
        <f t="shared" si="118"/>
        <v>74430</v>
      </c>
    </row>
    <row r="7570" spans="1:11" hidden="1" x14ac:dyDescent="0.25">
      <c r="A7570">
        <v>7569</v>
      </c>
      <c r="B7570" s="1">
        <v>45752</v>
      </c>
      <c r="C7570" t="s">
        <v>43</v>
      </c>
      <c r="D7570" t="s">
        <v>29</v>
      </c>
      <c r="E7570" t="s">
        <v>13</v>
      </c>
      <c r="F7570">
        <v>1</v>
      </c>
      <c r="G7570" t="str">
        <f>VLOOKUP(D7570,Товары!A:I,3,0)</f>
        <v>Тумба с раковиной  напол. Леон Риф 600 солярис/белый риф 2 ящика с умыв. Океан</v>
      </c>
      <c r="H7570">
        <f>VLOOKUP(D7570,Товары!A:I,6,0)</f>
        <v>80</v>
      </c>
      <c r="I7570" t="str">
        <f>VLOOKUP(C7570,Магазины!A:C,3,0)</f>
        <v>Набережные Челны</v>
      </c>
      <c r="J7570">
        <f>VLOOKUP(D7570,Товары!A:I,4,0)</f>
        <v>24150</v>
      </c>
      <c r="K7570">
        <f t="shared" si="118"/>
        <v>24150</v>
      </c>
    </row>
    <row r="7571" spans="1:11" hidden="1" x14ac:dyDescent="0.25">
      <c r="A7571">
        <v>7570</v>
      </c>
      <c r="B7571" s="1">
        <v>45751</v>
      </c>
      <c r="C7571" t="s">
        <v>20</v>
      </c>
      <c r="D7571" t="s">
        <v>17</v>
      </c>
      <c r="E7571" t="s">
        <v>13</v>
      </c>
      <c r="F7571">
        <v>2</v>
      </c>
      <c r="G7571" t="str">
        <f>VLOOKUP(D7571,Товары!A:I,3,0)</f>
        <v>Тумба с раковиной  навес. Альба 800 антрацит 1 ящик с умыв. Слим</v>
      </c>
      <c r="H7571">
        <f>VLOOKUP(D7571,Товары!A:I,6,0)</f>
        <v>45</v>
      </c>
      <c r="I7571" t="str">
        <f>VLOOKUP(C7571,Магазины!A:C,3,0)</f>
        <v>Оренбург</v>
      </c>
      <c r="J7571">
        <f>VLOOKUP(D7571,Товары!A:I,4,0)</f>
        <v>21630</v>
      </c>
      <c r="K7571">
        <f t="shared" si="118"/>
        <v>43260</v>
      </c>
    </row>
    <row r="7572" spans="1:11" hidden="1" x14ac:dyDescent="0.25">
      <c r="A7572">
        <v>7571</v>
      </c>
      <c r="B7572" s="1">
        <v>45754</v>
      </c>
      <c r="C7572" t="s">
        <v>57</v>
      </c>
      <c r="D7572" t="s">
        <v>87</v>
      </c>
      <c r="E7572" t="s">
        <v>8</v>
      </c>
      <c r="F7572">
        <v>3</v>
      </c>
      <c r="G7572" t="str">
        <f>VLOOKUP(D7572,Товары!A:I,3,0)</f>
        <v>Тумба с раковиной  напол. Леон 700 форест 2 ящика с умыв. Слим</v>
      </c>
      <c r="H7572">
        <f>VLOOKUP(D7572,Товары!A:I,6,0)</f>
        <v>80</v>
      </c>
      <c r="I7572" t="str">
        <f>VLOOKUP(C7572,Магазины!A:C,3,0)</f>
        <v>Оренбург</v>
      </c>
      <c r="J7572">
        <f>VLOOKUP(D7572,Товары!A:I,4,0)</f>
        <v>28380</v>
      </c>
      <c r="K7572">
        <f t="shared" si="118"/>
        <v>85140</v>
      </c>
    </row>
    <row r="7573" spans="1:11" hidden="1" x14ac:dyDescent="0.25">
      <c r="A7573">
        <v>7572</v>
      </c>
      <c r="B7573" s="1">
        <v>45750</v>
      </c>
      <c r="C7573" t="s">
        <v>58</v>
      </c>
      <c r="D7573" t="s">
        <v>72</v>
      </c>
      <c r="E7573" t="s">
        <v>13</v>
      </c>
      <c r="F7573">
        <v>3</v>
      </c>
      <c r="G7573" t="str">
        <f>VLOOKUP(D7573,Товары!A:I,3,0)</f>
        <v>Тумба с раковиной  напол. Сохо 600 белый 2 ящика с умыв. Океан</v>
      </c>
      <c r="H7573">
        <f>VLOOKUP(D7573,Товары!A:I,6,0)</f>
        <v>85</v>
      </c>
      <c r="I7573" t="str">
        <f>VLOOKUP(C7573,Магазины!A:C,3,0)</f>
        <v>Ставрополь</v>
      </c>
      <c r="J7573">
        <f>VLOOKUP(D7573,Товары!A:I,4,0)</f>
        <v>16140</v>
      </c>
      <c r="K7573">
        <f t="shared" si="118"/>
        <v>48420</v>
      </c>
    </row>
    <row r="7574" spans="1:11" hidden="1" x14ac:dyDescent="0.25">
      <c r="A7574">
        <v>7573</v>
      </c>
      <c r="B7574" s="1">
        <v>45757</v>
      </c>
      <c r="C7574" t="s">
        <v>92</v>
      </c>
      <c r="D7574" t="s">
        <v>37</v>
      </c>
      <c r="E7574" t="s">
        <v>8</v>
      </c>
      <c r="F7574">
        <v>3</v>
      </c>
      <c r="G7574" t="str">
        <f>VLOOKUP(D7574,Товары!A:I,3,0)</f>
        <v>Зеркальный шкаф Сохо 70 белый со светильником правый цвет Белый глянец</v>
      </c>
      <c r="H7574">
        <f>VLOOKUP(D7574,Товары!A:I,6,0)</f>
        <v>75</v>
      </c>
      <c r="I7574" t="str">
        <f>VLOOKUP(C7574,Магазины!A:C,3,0)</f>
        <v>Кемерово</v>
      </c>
      <c r="J7574">
        <f>VLOOKUP(D7574,Товары!A:I,4,0)</f>
        <v>7935</v>
      </c>
      <c r="K7574">
        <f t="shared" si="118"/>
        <v>23805</v>
      </c>
    </row>
    <row r="7575" spans="1:11" hidden="1" x14ac:dyDescent="0.25">
      <c r="A7575">
        <v>7574</v>
      </c>
      <c r="B7575" s="1">
        <v>45757</v>
      </c>
      <c r="C7575" t="s">
        <v>33</v>
      </c>
      <c r="D7575" t="s">
        <v>65</v>
      </c>
      <c r="E7575" t="s">
        <v>13</v>
      </c>
      <c r="F7575">
        <v>1</v>
      </c>
      <c r="G7575" t="str">
        <f>VLOOKUP(D7575,Товары!A:I,3,0)</f>
        <v>Тумба с раковиной  навес. Альба 800 суфле 2 ящика с умыв. Слим</v>
      </c>
      <c r="H7575">
        <f>VLOOKUP(D7575,Товары!A:I,6,0)</f>
        <v>50</v>
      </c>
      <c r="I7575" t="str">
        <f>VLOOKUP(C7575,Магазины!A:C,3,0)</f>
        <v>Набережные Челны</v>
      </c>
      <c r="J7575">
        <f>VLOOKUP(D7575,Товары!A:I,4,0)</f>
        <v>26070</v>
      </c>
      <c r="K7575">
        <f t="shared" si="118"/>
        <v>26070</v>
      </c>
    </row>
    <row r="7576" spans="1:11" hidden="1" x14ac:dyDescent="0.25">
      <c r="A7576">
        <v>7575</v>
      </c>
      <c r="B7576" s="1">
        <v>45749</v>
      </c>
      <c r="C7576" t="s">
        <v>9</v>
      </c>
      <c r="D7576" t="s">
        <v>129</v>
      </c>
      <c r="E7576" t="s">
        <v>13</v>
      </c>
      <c r="F7576">
        <v>3</v>
      </c>
      <c r="G7576" t="str">
        <f>VLOOKUP(D7576,Товары!A:I,3,0)</f>
        <v>Тумба с раковиной  напол. Альба 700 антрацит 2 ящика с умыв. Слим</v>
      </c>
      <c r="H7576">
        <f>VLOOKUP(D7576,Товары!A:I,6,0)</f>
        <v>85</v>
      </c>
      <c r="I7576" t="str">
        <f>VLOOKUP(C7576,Магазины!A:C,3,0)</f>
        <v>Кемерово</v>
      </c>
      <c r="J7576">
        <f>VLOOKUP(D7576,Товары!A:I,4,0)</f>
        <v>28695</v>
      </c>
      <c r="K7576">
        <f t="shared" si="118"/>
        <v>86085</v>
      </c>
    </row>
    <row r="7577" spans="1:11" hidden="1" x14ac:dyDescent="0.25">
      <c r="A7577">
        <v>7576</v>
      </c>
      <c r="B7577" s="1">
        <v>45753</v>
      </c>
      <c r="C7577" t="s">
        <v>92</v>
      </c>
      <c r="D7577" t="s">
        <v>114</v>
      </c>
      <c r="E7577" t="s">
        <v>13</v>
      </c>
      <c r="F7577">
        <v>3</v>
      </c>
      <c r="G7577" t="str">
        <f>VLOOKUP(D7577,Товары!A:I,3,0)</f>
        <v>Тумба с раковиной  навес. Альба 700 мята 2 ящика с умыв. Слим</v>
      </c>
      <c r="H7577">
        <f>VLOOKUP(D7577,Товары!A:I,6,0)</f>
        <v>60</v>
      </c>
      <c r="I7577" t="str">
        <f>VLOOKUP(C7577,Магазины!A:C,3,0)</f>
        <v>Кемерово</v>
      </c>
      <c r="J7577">
        <f>VLOOKUP(D7577,Товары!A:I,4,0)</f>
        <v>25095</v>
      </c>
      <c r="K7577">
        <f t="shared" si="118"/>
        <v>75285</v>
      </c>
    </row>
    <row r="7578" spans="1:11" hidden="1" x14ac:dyDescent="0.25">
      <c r="A7578">
        <v>7577</v>
      </c>
      <c r="B7578" s="1">
        <v>45751</v>
      </c>
      <c r="C7578" t="s">
        <v>28</v>
      </c>
      <c r="D7578" t="s">
        <v>59</v>
      </c>
      <c r="E7578" t="s">
        <v>8</v>
      </c>
      <c r="F7578">
        <v>1</v>
      </c>
      <c r="G7578" t="str">
        <f>VLOOKUP(D7578,Товары!A:I,3,0)</f>
        <v>Тумба с раковиной  навес. Куба Риф 600 белый 2 ящика с умыв. Океан</v>
      </c>
      <c r="H7578">
        <f>VLOOKUP(D7578,Товары!A:I,6,0)</f>
        <v>55</v>
      </c>
      <c r="I7578" t="str">
        <f>VLOOKUP(C7578,Магазины!A:C,3,0)</f>
        <v>Набережные Челны</v>
      </c>
      <c r="J7578">
        <f>VLOOKUP(D7578,Товары!A:I,4,0)</f>
        <v>15765</v>
      </c>
      <c r="K7578">
        <f t="shared" si="118"/>
        <v>15765</v>
      </c>
    </row>
    <row r="7579" spans="1:11" hidden="1" x14ac:dyDescent="0.25">
      <c r="A7579">
        <v>7578</v>
      </c>
      <c r="B7579" s="1">
        <v>45754</v>
      </c>
      <c r="C7579" t="s">
        <v>16</v>
      </c>
      <c r="D7579" t="s">
        <v>82</v>
      </c>
      <c r="E7579" t="s">
        <v>8</v>
      </c>
      <c r="F7579">
        <v>2</v>
      </c>
      <c r="G7579" t="str">
        <f>VLOOKUP(D7579,Товары!A:I,3,0)</f>
        <v>Тумба с раковиной  навес. Леон 800 форест 2 ящика с умыв. Слим</v>
      </c>
      <c r="H7579">
        <f>VLOOKUP(D7579,Товары!A:I,6,0)</f>
        <v>60</v>
      </c>
      <c r="I7579" t="str">
        <f>VLOOKUP(C7579,Магазины!A:C,3,0)</f>
        <v>Оренбург</v>
      </c>
      <c r="J7579">
        <f>VLOOKUP(D7579,Товары!A:I,4,0)</f>
        <v>27930</v>
      </c>
      <c r="K7579">
        <f t="shared" si="118"/>
        <v>55860</v>
      </c>
    </row>
    <row r="7580" spans="1:11" hidden="1" x14ac:dyDescent="0.25">
      <c r="A7580">
        <v>7579</v>
      </c>
      <c r="B7580" s="1">
        <v>45756</v>
      </c>
      <c r="C7580" t="s">
        <v>54</v>
      </c>
      <c r="D7580" t="s">
        <v>50</v>
      </c>
      <c r="E7580" t="s">
        <v>13</v>
      </c>
      <c r="F7580">
        <v>1</v>
      </c>
      <c r="G7580" t="str">
        <f>VLOOKUP(D7580,Товары!A:I,3,0)</f>
        <v>Тумба с раковиной  напол. Леон 800 оникс 2 ящика с умыв. Слим</v>
      </c>
      <c r="H7580">
        <f>VLOOKUP(D7580,Товары!A:I,6,0)</f>
        <v>80</v>
      </c>
      <c r="I7580" t="str">
        <f>VLOOKUP(C7580,Магазины!A:C,3,0)</f>
        <v>Ставрополь</v>
      </c>
      <c r="J7580">
        <f>VLOOKUP(D7580,Товары!A:I,4,0)</f>
        <v>29400</v>
      </c>
      <c r="K7580">
        <f t="shared" si="118"/>
        <v>29400</v>
      </c>
    </row>
    <row r="7581" spans="1:11" hidden="1" x14ac:dyDescent="0.25">
      <c r="A7581">
        <v>7580</v>
      </c>
      <c r="B7581" s="1">
        <v>45753</v>
      </c>
      <c r="C7581" t="s">
        <v>22</v>
      </c>
      <c r="D7581" t="s">
        <v>101</v>
      </c>
      <c r="E7581" t="s">
        <v>13</v>
      </c>
      <c r="F7581">
        <v>2</v>
      </c>
      <c r="G7581" t="str">
        <f>VLOOKUP(D7581,Товары!A:I,3,0)</f>
        <v>Пенал напол. Сохо 400 белый 2 двери + 1 ящик</v>
      </c>
      <c r="H7581">
        <f>VLOOKUP(D7581,Товары!A:I,6,0)</f>
        <v>190</v>
      </c>
      <c r="I7581" t="str">
        <f>VLOOKUP(C7581,Магазины!A:C,3,0)</f>
        <v>Кемерово</v>
      </c>
      <c r="J7581">
        <f>VLOOKUP(D7581,Товары!A:I,4,0)</f>
        <v>11040</v>
      </c>
      <c r="K7581">
        <f t="shared" si="118"/>
        <v>22080</v>
      </c>
    </row>
    <row r="7582" spans="1:11" hidden="1" x14ac:dyDescent="0.25">
      <c r="A7582">
        <v>7581</v>
      </c>
      <c r="B7582" s="1">
        <v>45749</v>
      </c>
      <c r="C7582" t="s">
        <v>9</v>
      </c>
      <c r="D7582" t="s">
        <v>127</v>
      </c>
      <c r="E7582" t="s">
        <v>13</v>
      </c>
      <c r="F7582">
        <v>3</v>
      </c>
      <c r="G7582" t="str">
        <f>VLOOKUP(D7582,Товары!A:I,3,0)</f>
        <v>Тумба с раковиной  навес. Альба 700 мята 1 ящик с умыв. Слим</v>
      </c>
      <c r="H7582">
        <f>VLOOKUP(D7582,Товары!A:I,6,0)</f>
        <v>45</v>
      </c>
      <c r="I7582" t="str">
        <f>VLOOKUP(C7582,Магазины!A:C,3,0)</f>
        <v>Кемерово</v>
      </c>
      <c r="J7582">
        <f>VLOOKUP(D7582,Товары!A:I,4,0)</f>
        <v>20130</v>
      </c>
      <c r="K7582">
        <f t="shared" si="118"/>
        <v>60390</v>
      </c>
    </row>
    <row r="7583" spans="1:11" hidden="1" x14ac:dyDescent="0.25">
      <c r="A7583">
        <v>7582</v>
      </c>
      <c r="B7583" s="1">
        <v>45757</v>
      </c>
      <c r="C7583" t="s">
        <v>26</v>
      </c>
      <c r="D7583" t="s">
        <v>70</v>
      </c>
      <c r="E7583" t="s">
        <v>8</v>
      </c>
      <c r="F7583">
        <v>2</v>
      </c>
      <c r="G7583" t="str">
        <f>VLOOKUP(D7583,Товары!A:I,3,0)</f>
        <v>Тумба с раковиной  напол. Кристалл 700 шато азур 2 ящика с умыв. Слим</v>
      </c>
      <c r="H7583">
        <f>VLOOKUP(D7583,Товары!A:I,6,0)</f>
        <v>85</v>
      </c>
      <c r="I7583" t="str">
        <f>VLOOKUP(C7583,Магазины!A:C,3,0)</f>
        <v>Оренбург</v>
      </c>
      <c r="J7583">
        <f>VLOOKUP(D7583,Товары!A:I,4,0)</f>
        <v>29910</v>
      </c>
      <c r="K7583">
        <f t="shared" si="118"/>
        <v>59820</v>
      </c>
    </row>
    <row r="7584" spans="1:11" hidden="1" x14ac:dyDescent="0.25">
      <c r="A7584">
        <v>7583</v>
      </c>
      <c r="B7584" s="1">
        <v>45753</v>
      </c>
      <c r="C7584" t="s">
        <v>48</v>
      </c>
      <c r="D7584" t="s">
        <v>85</v>
      </c>
      <c r="E7584" t="s">
        <v>8</v>
      </c>
      <c r="F7584">
        <v>1</v>
      </c>
      <c r="G7584" t="str">
        <f>VLOOKUP(D7584,Товары!A:I,3,0)</f>
        <v>Пенал напол. Аква 450 белый 2 двери + 2 ящика + корзина</v>
      </c>
      <c r="H7584">
        <f>VLOOKUP(D7584,Товары!A:I,6,0)</f>
        <v>190</v>
      </c>
      <c r="I7584" t="str">
        <f>VLOOKUP(C7584,Магазины!A:C,3,0)</f>
        <v>Ставрополь</v>
      </c>
      <c r="J7584">
        <f>VLOOKUP(D7584,Товары!A:I,4,0)</f>
        <v>13335</v>
      </c>
      <c r="K7584">
        <f t="shared" si="118"/>
        <v>13335</v>
      </c>
    </row>
    <row r="7585" spans="1:11" hidden="1" x14ac:dyDescent="0.25">
      <c r="A7585">
        <v>7584</v>
      </c>
      <c r="B7585" s="1">
        <v>45754</v>
      </c>
      <c r="C7585" t="s">
        <v>48</v>
      </c>
      <c r="D7585" t="s">
        <v>113</v>
      </c>
      <c r="E7585" t="s">
        <v>8</v>
      </c>
      <c r="F7585">
        <v>3</v>
      </c>
      <c r="G7585" t="str">
        <f>VLOOKUP(D7585,Товары!A:I,3,0)</f>
        <v>Зеркальный шкаф Альба 60 со светильником правый цвет мята</v>
      </c>
      <c r="H7585">
        <f>VLOOKUP(D7585,Товары!A:I,6,0)</f>
        <v>75</v>
      </c>
      <c r="I7585" t="str">
        <f>VLOOKUP(C7585,Магазины!A:C,3,0)</f>
        <v>Ставрополь</v>
      </c>
      <c r="J7585">
        <f>VLOOKUP(D7585,Товары!A:I,4,0)</f>
        <v>8910</v>
      </c>
      <c r="K7585">
        <f t="shared" si="118"/>
        <v>26730</v>
      </c>
    </row>
    <row r="7586" spans="1:11" hidden="1" x14ac:dyDescent="0.25">
      <c r="A7586">
        <v>7585</v>
      </c>
      <c r="B7586" s="1">
        <v>45754</v>
      </c>
      <c r="C7586" t="s">
        <v>48</v>
      </c>
      <c r="D7586" t="s">
        <v>87</v>
      </c>
      <c r="E7586" t="s">
        <v>8</v>
      </c>
      <c r="F7586">
        <v>2</v>
      </c>
      <c r="G7586" t="str">
        <f>VLOOKUP(D7586,Товары!A:I,3,0)</f>
        <v>Тумба с раковиной  напол. Леон 700 форест 2 ящика с умыв. Слим</v>
      </c>
      <c r="H7586">
        <f>VLOOKUP(D7586,Товары!A:I,6,0)</f>
        <v>80</v>
      </c>
      <c r="I7586" t="str">
        <f>VLOOKUP(C7586,Магазины!A:C,3,0)</f>
        <v>Ставрополь</v>
      </c>
      <c r="J7586">
        <f>VLOOKUP(D7586,Товары!A:I,4,0)</f>
        <v>28380</v>
      </c>
      <c r="K7586">
        <f t="shared" si="118"/>
        <v>56760</v>
      </c>
    </row>
    <row r="7587" spans="1:11" hidden="1" x14ac:dyDescent="0.25">
      <c r="A7587">
        <v>7586</v>
      </c>
      <c r="B7587" s="1">
        <v>45750</v>
      </c>
      <c r="C7587" t="s">
        <v>54</v>
      </c>
      <c r="D7587" t="s">
        <v>82</v>
      </c>
      <c r="E7587" t="s">
        <v>8</v>
      </c>
      <c r="F7587">
        <v>3</v>
      </c>
      <c r="G7587" t="str">
        <f>VLOOKUP(D7587,Товары!A:I,3,0)</f>
        <v>Тумба с раковиной  навес. Леон 800 форест 2 ящика с умыв. Слим</v>
      </c>
      <c r="H7587">
        <f>VLOOKUP(D7587,Товары!A:I,6,0)</f>
        <v>60</v>
      </c>
      <c r="I7587" t="str">
        <f>VLOOKUP(C7587,Магазины!A:C,3,0)</f>
        <v>Ставрополь</v>
      </c>
      <c r="J7587">
        <f>VLOOKUP(D7587,Товары!A:I,4,0)</f>
        <v>27930</v>
      </c>
      <c r="K7587">
        <f t="shared" si="118"/>
        <v>83790</v>
      </c>
    </row>
    <row r="7588" spans="1:11" hidden="1" x14ac:dyDescent="0.25">
      <c r="A7588">
        <v>7587</v>
      </c>
      <c r="B7588" s="1">
        <v>45750</v>
      </c>
      <c r="C7588" t="s">
        <v>111</v>
      </c>
      <c r="D7588" t="s">
        <v>69</v>
      </c>
      <c r="E7588" t="s">
        <v>8</v>
      </c>
      <c r="F7588">
        <v>1</v>
      </c>
      <c r="G7588" t="str">
        <f>VLOOKUP(D7588,Товары!A:I,3,0)</f>
        <v>Пенал навес./напол. Альба 350 антрацит 2 двери</v>
      </c>
      <c r="H7588">
        <f>VLOOKUP(D7588,Товары!A:I,6,0)</f>
        <v>150</v>
      </c>
      <c r="I7588" t="str">
        <f>VLOOKUP(C7588,Магазины!A:C,3,0)</f>
        <v>Набережные Челны</v>
      </c>
      <c r="J7588">
        <f>VLOOKUP(D7588,Товары!A:I,4,0)</f>
        <v>11655</v>
      </c>
      <c r="K7588">
        <f t="shared" si="118"/>
        <v>11655</v>
      </c>
    </row>
    <row r="7589" spans="1:11" hidden="1" x14ac:dyDescent="0.25">
      <c r="A7589">
        <v>7588</v>
      </c>
      <c r="B7589" s="1">
        <v>45750</v>
      </c>
      <c r="C7589" t="s">
        <v>33</v>
      </c>
      <c r="D7589" t="s">
        <v>51</v>
      </c>
      <c r="E7589" t="s">
        <v>8</v>
      </c>
      <c r="F7589">
        <v>1</v>
      </c>
      <c r="G7589" t="str">
        <f>VLOOKUP(D7589,Товары!A:I,3,0)</f>
        <v>Зеркальный шкаф Альба 80 со светильником правый цвет суфле</v>
      </c>
      <c r="H7589">
        <f>VLOOKUP(D7589,Товары!A:I,6,0)</f>
        <v>75</v>
      </c>
      <c r="I7589" t="str">
        <f>VLOOKUP(C7589,Магазины!A:C,3,0)</f>
        <v>Набережные Челны</v>
      </c>
      <c r="J7589">
        <f>VLOOKUP(D7589,Товары!A:I,4,0)</f>
        <v>9930</v>
      </c>
      <c r="K7589">
        <f t="shared" si="118"/>
        <v>9930</v>
      </c>
    </row>
    <row r="7590" spans="1:11" hidden="1" x14ac:dyDescent="0.25">
      <c r="A7590">
        <v>7589</v>
      </c>
      <c r="B7590" s="1">
        <v>45754</v>
      </c>
      <c r="C7590" t="s">
        <v>111</v>
      </c>
      <c r="D7590" t="s">
        <v>39</v>
      </c>
      <c r="E7590" t="s">
        <v>8</v>
      </c>
      <c r="F7590">
        <v>2</v>
      </c>
      <c r="G7590" t="str">
        <f>VLOOKUP(D7590,Товары!A:I,3,0)</f>
        <v>Тумба с раковиной  напол. Альба 700 мята 2 ящика с умыв. Слим</v>
      </c>
      <c r="H7590">
        <f>VLOOKUP(D7590,Товары!A:I,6,0)</f>
        <v>85</v>
      </c>
      <c r="I7590" t="str">
        <f>VLOOKUP(C7590,Магазины!A:C,3,0)</f>
        <v>Набережные Челны</v>
      </c>
      <c r="J7590">
        <f>VLOOKUP(D7590,Товары!A:I,4,0)</f>
        <v>28695</v>
      </c>
      <c r="K7590">
        <f t="shared" si="118"/>
        <v>57390</v>
      </c>
    </row>
    <row r="7591" spans="1:11" hidden="1" x14ac:dyDescent="0.25">
      <c r="A7591">
        <v>7590</v>
      </c>
      <c r="B7591" s="1">
        <v>45754</v>
      </c>
      <c r="C7591" t="s">
        <v>11</v>
      </c>
      <c r="D7591" t="s">
        <v>126</v>
      </c>
      <c r="E7591" t="s">
        <v>8</v>
      </c>
      <c r="F7591">
        <v>3</v>
      </c>
      <c r="G7591" t="str">
        <f>VLOOKUP(D7591,Товары!A:I,3,0)</f>
        <v>Тумба с раковиной  напол. Кристалл 800 шато азур 2 ящика с умыв. Комфорт</v>
      </c>
      <c r="H7591">
        <f>VLOOKUP(D7591,Товары!A:I,6,0)</f>
        <v>85</v>
      </c>
      <c r="I7591" t="str">
        <f>VLOOKUP(C7591,Магазины!A:C,3,0)</f>
        <v>Кемерово</v>
      </c>
      <c r="J7591">
        <f>VLOOKUP(D7591,Товары!A:I,4,0)</f>
        <v>31125</v>
      </c>
      <c r="K7591">
        <f t="shared" si="118"/>
        <v>93375</v>
      </c>
    </row>
    <row r="7592" spans="1:11" hidden="1" x14ac:dyDescent="0.25">
      <c r="A7592">
        <v>7591</v>
      </c>
      <c r="B7592" s="1">
        <v>45756</v>
      </c>
      <c r="C7592" t="s">
        <v>57</v>
      </c>
      <c r="D7592" t="s">
        <v>40</v>
      </c>
      <c r="E7592" t="s">
        <v>8</v>
      </c>
      <c r="F7592">
        <v>1</v>
      </c>
      <c r="G7592" t="str">
        <f>VLOOKUP(D7592,Товары!A:I,3,0)</f>
        <v>Тумба с раковиной  навес. Рица 800 cерый/керамика 1 ящик + ниша 1 с умыв. Слим</v>
      </c>
      <c r="H7592">
        <f>VLOOKUP(D7592,Товары!A:I,6,0)</f>
        <v>60</v>
      </c>
      <c r="I7592" t="str">
        <f>VLOOKUP(C7592,Магазины!A:C,3,0)</f>
        <v>Оренбург</v>
      </c>
      <c r="J7592">
        <f>VLOOKUP(D7592,Товары!A:I,4,0)</f>
        <v>22425</v>
      </c>
      <c r="K7592">
        <f t="shared" si="118"/>
        <v>22425</v>
      </c>
    </row>
    <row r="7593" spans="1:11" hidden="1" x14ac:dyDescent="0.25">
      <c r="A7593">
        <v>7592</v>
      </c>
      <c r="B7593" s="1">
        <v>45755</v>
      </c>
      <c r="C7593" t="s">
        <v>16</v>
      </c>
      <c r="D7593" t="s">
        <v>24</v>
      </c>
      <c r="E7593" t="s">
        <v>13</v>
      </c>
      <c r="F7593">
        <v>1</v>
      </c>
      <c r="G7593" t="str">
        <f>VLOOKUP(D7593,Товары!A:I,3,0)</f>
        <v>Тумба с раковиной  напол. Леон 600 форест 2 ящика с умыв. Слим</v>
      </c>
      <c r="H7593">
        <f>VLOOKUP(D7593,Товары!A:I,6,0)</f>
        <v>80</v>
      </c>
      <c r="I7593" t="str">
        <f>VLOOKUP(C7593,Магазины!A:C,3,0)</f>
        <v>Оренбург</v>
      </c>
      <c r="J7593">
        <f>VLOOKUP(D7593,Товары!A:I,4,0)</f>
        <v>27150</v>
      </c>
      <c r="K7593">
        <f t="shared" si="118"/>
        <v>27150</v>
      </c>
    </row>
    <row r="7594" spans="1:11" hidden="1" x14ac:dyDescent="0.25">
      <c r="A7594">
        <v>7593</v>
      </c>
      <c r="B7594" s="1">
        <v>45754</v>
      </c>
      <c r="C7594" t="s">
        <v>26</v>
      </c>
      <c r="D7594" t="s">
        <v>110</v>
      </c>
      <c r="E7594" t="s">
        <v>13</v>
      </c>
      <c r="F7594">
        <v>1</v>
      </c>
      <c r="G7594" t="str">
        <f>VLOOKUP(D7594,Товары!A:I,3,0)</f>
        <v>Тумба с раковиной  напол. Альба 600 антрацит 2 ящика с умыв. Океан</v>
      </c>
      <c r="H7594">
        <f>VLOOKUP(D7594,Товары!A:I,6,0)</f>
        <v>80</v>
      </c>
      <c r="I7594" t="str">
        <f>VLOOKUP(C7594,Магазины!A:C,3,0)</f>
        <v>Оренбург</v>
      </c>
      <c r="J7594">
        <f>VLOOKUP(D7594,Товары!A:I,4,0)</f>
        <v>26370</v>
      </c>
      <c r="K7594">
        <f t="shared" si="118"/>
        <v>26370</v>
      </c>
    </row>
    <row r="7595" spans="1:11" hidden="1" x14ac:dyDescent="0.25">
      <c r="A7595">
        <v>7594</v>
      </c>
      <c r="B7595" s="1">
        <v>45757</v>
      </c>
      <c r="C7595" t="s">
        <v>18</v>
      </c>
      <c r="D7595" t="s">
        <v>109</v>
      </c>
      <c r="E7595" t="s">
        <v>13</v>
      </c>
      <c r="F7595">
        <v>1</v>
      </c>
      <c r="G7595" t="str">
        <f>VLOOKUP(D7595,Товары!A:I,3,0)</f>
        <v>Тумба с раковиной  навес. Альба 600 антрацит 2 ящика с умыв. Океан</v>
      </c>
      <c r="H7595">
        <f>VLOOKUP(D7595,Товары!A:I,6,0)</f>
        <v>50</v>
      </c>
      <c r="I7595" t="str">
        <f>VLOOKUP(C7595,Магазины!A:C,3,0)</f>
        <v>Набережные Челны</v>
      </c>
      <c r="J7595">
        <f>VLOOKUP(D7595,Товары!A:I,4,0)</f>
        <v>24810</v>
      </c>
      <c r="K7595">
        <f t="shared" si="118"/>
        <v>24810</v>
      </c>
    </row>
    <row r="7596" spans="1:11" hidden="1" x14ac:dyDescent="0.25">
      <c r="A7596">
        <v>7595</v>
      </c>
      <c r="B7596" s="1">
        <v>45757</v>
      </c>
      <c r="C7596" t="s">
        <v>11</v>
      </c>
      <c r="D7596" t="s">
        <v>61</v>
      </c>
      <c r="E7596" t="s">
        <v>8</v>
      </c>
      <c r="F7596">
        <v>3</v>
      </c>
      <c r="G7596" t="str">
        <f>VLOOKUP(D7596,Товары!A:I,3,0)</f>
        <v>Тумба под стиральную машину Леон Риф 57 напольная 2 ящика под ст/маш, без умывальника /под Marshall 120 Солярис/Белый Риф</v>
      </c>
      <c r="H7596">
        <f>VLOOKUP(D7596,Товары!A:I,6,0)</f>
        <v>85</v>
      </c>
      <c r="I7596" t="str">
        <f>VLOOKUP(C7596,Магазины!A:C,3,0)</f>
        <v>Кемерово</v>
      </c>
      <c r="J7596">
        <f>VLOOKUP(D7596,Товары!A:I,4,0)</f>
        <v>17430</v>
      </c>
      <c r="K7596">
        <f t="shared" si="118"/>
        <v>52290</v>
      </c>
    </row>
    <row r="7597" spans="1:11" hidden="1" x14ac:dyDescent="0.25">
      <c r="A7597">
        <v>7596</v>
      </c>
      <c r="B7597" s="1">
        <v>45755</v>
      </c>
      <c r="C7597" t="s">
        <v>111</v>
      </c>
      <c r="D7597" t="s">
        <v>117</v>
      </c>
      <c r="E7597" t="s">
        <v>8</v>
      </c>
      <c r="F7597">
        <v>3</v>
      </c>
      <c r="G7597" t="str">
        <f>VLOOKUP(D7597,Товары!A:I,3,0)</f>
        <v>Тумба с раковиной  навес. Альба 700 антрацит 2 ящика с умыв. Слим</v>
      </c>
      <c r="H7597">
        <f>VLOOKUP(D7597,Товары!A:I,6,0)</f>
        <v>60</v>
      </c>
      <c r="I7597" t="str">
        <f>VLOOKUP(C7597,Магазины!A:C,3,0)</f>
        <v>Набережные Челны</v>
      </c>
      <c r="J7597">
        <f>VLOOKUP(D7597,Товары!A:I,4,0)</f>
        <v>25095</v>
      </c>
      <c r="K7597">
        <f t="shared" si="118"/>
        <v>75285</v>
      </c>
    </row>
    <row r="7598" spans="1:11" hidden="1" x14ac:dyDescent="0.25">
      <c r="A7598">
        <v>7597</v>
      </c>
      <c r="B7598" s="1">
        <v>45750</v>
      </c>
      <c r="C7598" t="s">
        <v>111</v>
      </c>
      <c r="D7598" t="s">
        <v>40</v>
      </c>
      <c r="E7598" t="s">
        <v>8</v>
      </c>
      <c r="F7598">
        <v>3</v>
      </c>
      <c r="G7598" t="str">
        <f>VLOOKUP(D7598,Товары!A:I,3,0)</f>
        <v>Тумба с раковиной  навес. Рица 800 cерый/керамика 1 ящик + ниша 1 с умыв. Слим</v>
      </c>
      <c r="H7598">
        <f>VLOOKUP(D7598,Товары!A:I,6,0)</f>
        <v>60</v>
      </c>
      <c r="I7598" t="str">
        <f>VLOOKUP(C7598,Магазины!A:C,3,0)</f>
        <v>Набережные Челны</v>
      </c>
      <c r="J7598">
        <f>VLOOKUP(D7598,Товары!A:I,4,0)</f>
        <v>22425</v>
      </c>
      <c r="K7598">
        <f t="shared" si="118"/>
        <v>67275</v>
      </c>
    </row>
    <row r="7599" spans="1:11" hidden="1" x14ac:dyDescent="0.25">
      <c r="A7599">
        <v>7598</v>
      </c>
      <c r="B7599" s="1">
        <v>45756</v>
      </c>
      <c r="C7599" t="s">
        <v>33</v>
      </c>
      <c r="D7599" t="s">
        <v>96</v>
      </c>
      <c r="E7599" t="s">
        <v>13</v>
      </c>
      <c r="F7599">
        <v>2</v>
      </c>
      <c r="G7599" t="str">
        <f>VLOOKUP(D7599,Товары!A:I,3,0)</f>
        <v>Тумба с раковиной  навес. Альба 600 мята 1 ящик с умыв. Океан</v>
      </c>
      <c r="H7599">
        <f>VLOOKUP(D7599,Товары!A:I,6,0)</f>
        <v>85</v>
      </c>
      <c r="I7599" t="str">
        <f>VLOOKUP(C7599,Магазины!A:C,3,0)</f>
        <v>Набережные Челны</v>
      </c>
      <c r="J7599">
        <f>VLOOKUP(D7599,Товары!A:I,4,0)</f>
        <v>17625</v>
      </c>
      <c r="K7599">
        <f t="shared" si="118"/>
        <v>35250</v>
      </c>
    </row>
    <row r="7600" spans="1:11" hidden="1" x14ac:dyDescent="0.25">
      <c r="A7600">
        <v>7599</v>
      </c>
      <c r="B7600" s="1">
        <v>45749</v>
      </c>
      <c r="C7600" t="s">
        <v>103</v>
      </c>
      <c r="D7600" t="s">
        <v>127</v>
      </c>
      <c r="E7600" t="s">
        <v>13</v>
      </c>
      <c r="F7600">
        <v>2</v>
      </c>
      <c r="G7600" t="str">
        <f>VLOOKUP(D7600,Товары!A:I,3,0)</f>
        <v>Тумба с раковиной  навес. Альба 700 мята 1 ящик с умыв. Слим</v>
      </c>
      <c r="H7600">
        <f>VLOOKUP(D7600,Товары!A:I,6,0)</f>
        <v>45</v>
      </c>
      <c r="I7600" t="str">
        <f>VLOOKUP(C7600,Магазины!A:C,3,0)</f>
        <v>Ставрополь</v>
      </c>
      <c r="J7600">
        <f>VLOOKUP(D7600,Товары!A:I,4,0)</f>
        <v>20130</v>
      </c>
      <c r="K7600">
        <f t="shared" si="118"/>
        <v>40260</v>
      </c>
    </row>
    <row r="7601" spans="1:11" hidden="1" x14ac:dyDescent="0.25">
      <c r="A7601">
        <v>7600</v>
      </c>
      <c r="B7601" s="1">
        <v>45754</v>
      </c>
      <c r="C7601" t="s">
        <v>58</v>
      </c>
      <c r="D7601" t="s">
        <v>68</v>
      </c>
      <c r="E7601" t="s">
        <v>13</v>
      </c>
      <c r="F7601">
        <v>1</v>
      </c>
      <c r="G7601" t="str">
        <f>VLOOKUP(D7601,Товары!A:I,3,0)</f>
        <v>Тумба с раковиной  навес. Альба 600 антрацит 1 ящик с умыв. Океан</v>
      </c>
      <c r="H7601">
        <f>VLOOKUP(D7601,Товары!A:I,6,0)</f>
        <v>85</v>
      </c>
      <c r="I7601" t="str">
        <f>VLOOKUP(C7601,Магазины!A:C,3,0)</f>
        <v>Ставрополь</v>
      </c>
      <c r="J7601">
        <f>VLOOKUP(D7601,Товары!A:I,4,0)</f>
        <v>17625</v>
      </c>
      <c r="K7601">
        <f t="shared" si="118"/>
        <v>17625</v>
      </c>
    </row>
    <row r="7602" spans="1:11" hidden="1" x14ac:dyDescent="0.25">
      <c r="A7602">
        <v>7601</v>
      </c>
      <c r="B7602" s="1">
        <v>45756</v>
      </c>
      <c r="C7602" t="s">
        <v>11</v>
      </c>
      <c r="D7602" t="s">
        <v>49</v>
      </c>
      <c r="E7602" t="s">
        <v>13</v>
      </c>
      <c r="F7602">
        <v>3</v>
      </c>
      <c r="G7602" t="str">
        <f>VLOOKUP(D7602,Товары!A:I,3,0)</f>
        <v>Тумба с раковиной  напол. Леон 700 оникс 2 ящика с умыв. Слим</v>
      </c>
      <c r="H7602">
        <f>VLOOKUP(D7602,Товары!A:I,6,0)</f>
        <v>80</v>
      </c>
      <c r="I7602" t="str">
        <f>VLOOKUP(C7602,Магазины!A:C,3,0)</f>
        <v>Кемерово</v>
      </c>
      <c r="J7602">
        <f>VLOOKUP(D7602,Товары!A:I,4,0)</f>
        <v>28380</v>
      </c>
      <c r="K7602">
        <f t="shared" si="118"/>
        <v>85140</v>
      </c>
    </row>
    <row r="7603" spans="1:11" hidden="1" x14ac:dyDescent="0.25">
      <c r="A7603">
        <v>7602</v>
      </c>
      <c r="B7603" s="1">
        <v>45752</v>
      </c>
      <c r="C7603" t="s">
        <v>20</v>
      </c>
      <c r="D7603" t="s">
        <v>42</v>
      </c>
      <c r="E7603" t="s">
        <v>13</v>
      </c>
      <c r="F7603">
        <v>2</v>
      </c>
      <c r="G7603" t="str">
        <f>VLOOKUP(D7603,Товары!A:I,3,0)</f>
        <v>Тумба под стиральную машину Леон Риф 57 подвесная 2 ящика под ст/маш, без умывальника /под Marshall 120 Солярис/Белый Риф</v>
      </c>
      <c r="H7603">
        <f>VLOOKUP(D7603,Товары!A:I,6,0)</f>
        <v>60</v>
      </c>
      <c r="I7603" t="str">
        <f>VLOOKUP(C7603,Магазины!A:C,3,0)</f>
        <v>Оренбург</v>
      </c>
      <c r="J7603">
        <f>VLOOKUP(D7603,Товары!A:I,4,0)</f>
        <v>15495</v>
      </c>
      <c r="K7603">
        <f t="shared" si="118"/>
        <v>30990</v>
      </c>
    </row>
    <row r="7604" spans="1:11" hidden="1" x14ac:dyDescent="0.25">
      <c r="A7604">
        <v>7603</v>
      </c>
      <c r="B7604" s="1">
        <v>45754</v>
      </c>
      <c r="C7604" t="s">
        <v>43</v>
      </c>
      <c r="D7604" t="s">
        <v>91</v>
      </c>
      <c r="E7604" t="s">
        <v>8</v>
      </c>
      <c r="F7604">
        <v>2</v>
      </c>
      <c r="G7604" t="str">
        <f>VLOOKUP(D7604,Товары!A:I,3,0)</f>
        <v>Пенал навес./напол. Альба 350 мята 2 двери</v>
      </c>
      <c r="H7604">
        <f>VLOOKUP(D7604,Товары!A:I,6,0)</f>
        <v>150</v>
      </c>
      <c r="I7604" t="str">
        <f>VLOOKUP(C7604,Магазины!A:C,3,0)</f>
        <v>Набережные Челны</v>
      </c>
      <c r="J7604">
        <f>VLOOKUP(D7604,Товары!A:I,4,0)</f>
        <v>11655</v>
      </c>
      <c r="K7604">
        <f t="shared" si="118"/>
        <v>23310</v>
      </c>
    </row>
    <row r="7605" spans="1:11" hidden="1" x14ac:dyDescent="0.25">
      <c r="A7605">
        <v>7604</v>
      </c>
      <c r="B7605" s="1">
        <v>45756</v>
      </c>
      <c r="C7605" t="s">
        <v>28</v>
      </c>
      <c r="D7605" t="s">
        <v>61</v>
      </c>
      <c r="E7605" t="s">
        <v>8</v>
      </c>
      <c r="F7605">
        <v>1</v>
      </c>
      <c r="G7605" t="str">
        <f>VLOOKUP(D7605,Товары!A:I,3,0)</f>
        <v>Тумба под стиральную машину Леон Риф 57 напольная 2 ящика под ст/маш, без умывальника /под Marshall 120 Солярис/Белый Риф</v>
      </c>
      <c r="H7605">
        <f>VLOOKUP(D7605,Товары!A:I,6,0)</f>
        <v>85</v>
      </c>
      <c r="I7605" t="str">
        <f>VLOOKUP(C7605,Магазины!A:C,3,0)</f>
        <v>Набережные Челны</v>
      </c>
      <c r="J7605">
        <f>VLOOKUP(D7605,Товары!A:I,4,0)</f>
        <v>17430</v>
      </c>
      <c r="K7605">
        <f t="shared" si="118"/>
        <v>17430</v>
      </c>
    </row>
    <row r="7606" spans="1:11" hidden="1" x14ac:dyDescent="0.25">
      <c r="A7606">
        <v>7605</v>
      </c>
      <c r="B7606" s="1">
        <v>45748</v>
      </c>
      <c r="C7606" t="s">
        <v>26</v>
      </c>
      <c r="D7606" t="s">
        <v>68</v>
      </c>
      <c r="E7606" t="s">
        <v>8</v>
      </c>
      <c r="F7606">
        <v>2</v>
      </c>
      <c r="G7606" t="str">
        <f>VLOOKUP(D7606,Товары!A:I,3,0)</f>
        <v>Тумба с раковиной  навес. Альба 600 антрацит 1 ящик с умыв. Океан</v>
      </c>
      <c r="H7606">
        <f>VLOOKUP(D7606,Товары!A:I,6,0)</f>
        <v>85</v>
      </c>
      <c r="I7606" t="str">
        <f>VLOOKUP(C7606,Магазины!A:C,3,0)</f>
        <v>Оренбург</v>
      </c>
      <c r="J7606">
        <f>VLOOKUP(D7606,Товары!A:I,4,0)</f>
        <v>17625</v>
      </c>
      <c r="K7606">
        <f t="shared" si="118"/>
        <v>35250</v>
      </c>
    </row>
    <row r="7607" spans="1:11" hidden="1" x14ac:dyDescent="0.25">
      <c r="A7607">
        <v>7606</v>
      </c>
      <c r="B7607" s="1">
        <v>45749</v>
      </c>
      <c r="C7607" t="s">
        <v>14</v>
      </c>
      <c r="D7607" t="s">
        <v>120</v>
      </c>
      <c r="E7607" t="s">
        <v>13</v>
      </c>
      <c r="F7607">
        <v>1</v>
      </c>
      <c r="G7607" t="str">
        <f>VLOOKUP(D7607,Товары!A:I,3,0)</f>
        <v>Зеркальный шкаф Альба 60 со светильником правый цвет антрацит</v>
      </c>
      <c r="H7607">
        <f>VLOOKUP(D7607,Товары!A:I,6,0)</f>
        <v>75</v>
      </c>
      <c r="I7607" t="str">
        <f>VLOOKUP(C7607,Магазины!A:C,3,0)</f>
        <v>Оренбург</v>
      </c>
      <c r="J7607">
        <f>VLOOKUP(D7607,Товары!A:I,4,0)</f>
        <v>8910</v>
      </c>
      <c r="K7607">
        <f t="shared" si="118"/>
        <v>8910</v>
      </c>
    </row>
    <row r="7608" spans="1:11" hidden="1" x14ac:dyDescent="0.25">
      <c r="A7608">
        <v>7607</v>
      </c>
      <c r="B7608" s="1">
        <v>45751</v>
      </c>
      <c r="C7608" t="s">
        <v>103</v>
      </c>
      <c r="D7608" t="s">
        <v>100</v>
      </c>
      <c r="E7608" t="s">
        <v>8</v>
      </c>
      <c r="F7608">
        <v>3</v>
      </c>
      <c r="G7608" t="str">
        <f>VLOOKUP(D7608,Товары!A:I,3,0)</f>
        <v>Тумба с раковиной  навес. Альба 800 мята 1 ящик с умыв. Слим</v>
      </c>
      <c r="H7608">
        <f>VLOOKUP(D7608,Товары!A:I,6,0)</f>
        <v>45</v>
      </c>
      <c r="I7608" t="str">
        <f>VLOOKUP(C7608,Магазины!A:C,3,0)</f>
        <v>Ставрополь</v>
      </c>
      <c r="J7608">
        <f>VLOOKUP(D7608,Товары!A:I,4,0)</f>
        <v>21630</v>
      </c>
      <c r="K7608">
        <f t="shared" si="118"/>
        <v>64890</v>
      </c>
    </row>
    <row r="7609" spans="1:11" hidden="1" x14ac:dyDescent="0.25">
      <c r="A7609">
        <v>7608</v>
      </c>
      <c r="B7609" s="1">
        <v>45756</v>
      </c>
      <c r="C7609" t="s">
        <v>22</v>
      </c>
      <c r="D7609" t="s">
        <v>84</v>
      </c>
      <c r="E7609" t="s">
        <v>13</v>
      </c>
      <c r="F7609">
        <v>1</v>
      </c>
      <c r="G7609" t="str">
        <f>VLOOKUP(D7609,Товары!A:I,3,0)</f>
        <v>Тумба с раковиной  напол. Куба Риф 800 белый 3 двери с умыв. Слим</v>
      </c>
      <c r="H7609">
        <f>VLOOKUP(D7609,Товары!A:I,6,0)</f>
        <v>85</v>
      </c>
      <c r="I7609" t="str">
        <f>VLOOKUP(C7609,Магазины!A:C,3,0)</f>
        <v>Кемерово</v>
      </c>
      <c r="J7609">
        <f>VLOOKUP(D7609,Товары!A:I,4,0)</f>
        <v>19920</v>
      </c>
      <c r="K7609">
        <f t="shared" si="118"/>
        <v>19920</v>
      </c>
    </row>
    <row r="7610" spans="1:11" hidden="1" x14ac:dyDescent="0.25">
      <c r="A7610">
        <v>7609</v>
      </c>
      <c r="B7610" s="1">
        <v>45756</v>
      </c>
      <c r="C7610" t="s">
        <v>30</v>
      </c>
      <c r="D7610" t="s">
        <v>42</v>
      </c>
      <c r="E7610" t="s">
        <v>8</v>
      </c>
      <c r="F7610">
        <v>3</v>
      </c>
      <c r="G7610" t="str">
        <f>VLOOKUP(D7610,Товары!A:I,3,0)</f>
        <v>Тумба под стиральную машину Леон Риф 57 подвесная 2 ящика под ст/маш, без умывальника /под Marshall 120 Солярис/Белый Риф</v>
      </c>
      <c r="H7610">
        <f>VLOOKUP(D7610,Товары!A:I,6,0)</f>
        <v>60</v>
      </c>
      <c r="I7610" t="str">
        <f>VLOOKUP(C7610,Магазины!A:C,3,0)</f>
        <v>Кемерово</v>
      </c>
      <c r="J7610">
        <f>VLOOKUP(D7610,Товары!A:I,4,0)</f>
        <v>15495</v>
      </c>
      <c r="K7610">
        <f t="shared" si="118"/>
        <v>46485</v>
      </c>
    </row>
    <row r="7611" spans="1:11" hidden="1" x14ac:dyDescent="0.25">
      <c r="A7611">
        <v>7610</v>
      </c>
      <c r="B7611" s="1">
        <v>45755</v>
      </c>
      <c r="C7611" t="s">
        <v>18</v>
      </c>
      <c r="D7611" t="s">
        <v>59</v>
      </c>
      <c r="E7611" t="s">
        <v>8</v>
      </c>
      <c r="F7611">
        <v>2</v>
      </c>
      <c r="G7611" t="str">
        <f>VLOOKUP(D7611,Товары!A:I,3,0)</f>
        <v>Тумба с раковиной  навес. Куба Риф 600 белый 2 ящика с умыв. Океан</v>
      </c>
      <c r="H7611">
        <f>VLOOKUP(D7611,Товары!A:I,6,0)</f>
        <v>55</v>
      </c>
      <c r="I7611" t="str">
        <f>VLOOKUP(C7611,Магазины!A:C,3,0)</f>
        <v>Набережные Челны</v>
      </c>
      <c r="J7611">
        <f>VLOOKUP(D7611,Товары!A:I,4,0)</f>
        <v>15765</v>
      </c>
      <c r="K7611">
        <f t="shared" si="118"/>
        <v>31530</v>
      </c>
    </row>
    <row r="7612" spans="1:11" hidden="1" x14ac:dyDescent="0.25">
      <c r="A7612">
        <v>7611</v>
      </c>
      <c r="B7612" s="1">
        <v>45752</v>
      </c>
      <c r="C7612" t="s">
        <v>28</v>
      </c>
      <c r="D7612" t="s">
        <v>40</v>
      </c>
      <c r="E7612" t="s">
        <v>13</v>
      </c>
      <c r="F7612">
        <v>2</v>
      </c>
      <c r="G7612" t="str">
        <f>VLOOKUP(D7612,Товары!A:I,3,0)</f>
        <v>Тумба с раковиной  навес. Рица 800 cерый/керамика 1 ящик + ниша 1 с умыв. Слим</v>
      </c>
      <c r="H7612">
        <f>VLOOKUP(D7612,Товары!A:I,6,0)</f>
        <v>60</v>
      </c>
      <c r="I7612" t="str">
        <f>VLOOKUP(C7612,Магазины!A:C,3,0)</f>
        <v>Набережные Челны</v>
      </c>
      <c r="J7612">
        <f>VLOOKUP(D7612,Товары!A:I,4,0)</f>
        <v>22425</v>
      </c>
      <c r="K7612">
        <f t="shared" si="118"/>
        <v>44850</v>
      </c>
    </row>
    <row r="7613" spans="1:11" hidden="1" x14ac:dyDescent="0.25">
      <c r="A7613">
        <v>7612</v>
      </c>
      <c r="B7613" s="1">
        <v>45753</v>
      </c>
      <c r="C7613" t="s">
        <v>6</v>
      </c>
      <c r="D7613" t="s">
        <v>130</v>
      </c>
      <c r="E7613" t="s">
        <v>8</v>
      </c>
      <c r="F7613">
        <v>1</v>
      </c>
      <c r="G7613" t="str">
        <f>VLOOKUP(D7613,Товары!A:I,3,0)</f>
        <v>Пенал напол. Леон 400 форест 2 двери + 1 ящик</v>
      </c>
      <c r="H7613">
        <f>VLOOKUP(D7613,Товары!A:I,6,0)</f>
        <v>190</v>
      </c>
      <c r="I7613" t="str">
        <f>VLOOKUP(C7613,Магазины!A:C,3,0)</f>
        <v>Оренбург</v>
      </c>
      <c r="J7613">
        <f>VLOOKUP(D7613,Товары!A:I,4,0)</f>
        <v>18450</v>
      </c>
      <c r="K7613">
        <f t="shared" si="118"/>
        <v>18450</v>
      </c>
    </row>
    <row r="7614" spans="1:11" hidden="1" x14ac:dyDescent="0.25">
      <c r="A7614">
        <v>7613</v>
      </c>
      <c r="B7614" s="1">
        <v>45748</v>
      </c>
      <c r="C7614" t="s">
        <v>26</v>
      </c>
      <c r="D7614" t="s">
        <v>127</v>
      </c>
      <c r="E7614" t="s">
        <v>13</v>
      </c>
      <c r="F7614">
        <v>2</v>
      </c>
      <c r="G7614" t="str">
        <f>VLOOKUP(D7614,Товары!A:I,3,0)</f>
        <v>Тумба с раковиной  навес. Альба 700 мята 1 ящик с умыв. Слим</v>
      </c>
      <c r="H7614">
        <f>VLOOKUP(D7614,Товары!A:I,6,0)</f>
        <v>45</v>
      </c>
      <c r="I7614" t="str">
        <f>VLOOKUP(C7614,Магазины!A:C,3,0)</f>
        <v>Оренбург</v>
      </c>
      <c r="J7614">
        <f>VLOOKUP(D7614,Товары!A:I,4,0)</f>
        <v>20130</v>
      </c>
      <c r="K7614">
        <f t="shared" si="118"/>
        <v>40260</v>
      </c>
    </row>
    <row r="7615" spans="1:11" hidden="1" x14ac:dyDescent="0.25">
      <c r="A7615">
        <v>7614</v>
      </c>
      <c r="B7615" s="1">
        <v>45748</v>
      </c>
      <c r="C7615" t="s">
        <v>63</v>
      </c>
      <c r="D7615" t="s">
        <v>97</v>
      </c>
      <c r="E7615" t="s">
        <v>13</v>
      </c>
      <c r="F7615">
        <v>3</v>
      </c>
      <c r="G7615" t="str">
        <f>VLOOKUP(D7615,Товары!A:I,3,0)</f>
        <v>Пенал напол. Кристалл 350 суфле 2 двери</v>
      </c>
      <c r="H7615">
        <f>VLOOKUP(D7615,Товары!A:I,6,0)</f>
        <v>190</v>
      </c>
      <c r="I7615" t="str">
        <f>VLOOKUP(C7615,Магазины!A:C,3,0)</f>
        <v>Ставрополь</v>
      </c>
      <c r="J7615">
        <f>VLOOKUP(D7615,Товары!A:I,4,0)</f>
        <v>15810</v>
      </c>
      <c r="K7615">
        <f t="shared" si="118"/>
        <v>47430</v>
      </c>
    </row>
    <row r="7616" spans="1:11" hidden="1" x14ac:dyDescent="0.25">
      <c r="A7616">
        <v>7615</v>
      </c>
      <c r="B7616" s="1">
        <v>45756</v>
      </c>
      <c r="C7616" t="s">
        <v>92</v>
      </c>
      <c r="D7616" t="s">
        <v>91</v>
      </c>
      <c r="E7616" t="s">
        <v>8</v>
      </c>
      <c r="F7616">
        <v>1</v>
      </c>
      <c r="G7616" t="str">
        <f>VLOOKUP(D7616,Товары!A:I,3,0)</f>
        <v>Пенал навес./напол. Альба 350 мята 2 двери</v>
      </c>
      <c r="H7616">
        <f>VLOOKUP(D7616,Товары!A:I,6,0)</f>
        <v>150</v>
      </c>
      <c r="I7616" t="str">
        <f>VLOOKUP(C7616,Магазины!A:C,3,0)</f>
        <v>Кемерово</v>
      </c>
      <c r="J7616">
        <f>VLOOKUP(D7616,Товары!A:I,4,0)</f>
        <v>11655</v>
      </c>
      <c r="K7616">
        <f t="shared" si="118"/>
        <v>11655</v>
      </c>
    </row>
    <row r="7617" spans="1:11" hidden="1" x14ac:dyDescent="0.25">
      <c r="A7617">
        <v>7616</v>
      </c>
      <c r="B7617" s="1">
        <v>45752</v>
      </c>
      <c r="C7617" t="s">
        <v>41</v>
      </c>
      <c r="D7617" t="s">
        <v>59</v>
      </c>
      <c r="E7617" t="s">
        <v>13</v>
      </c>
      <c r="F7617">
        <v>1</v>
      </c>
      <c r="G7617" t="str">
        <f>VLOOKUP(D7617,Товары!A:I,3,0)</f>
        <v>Тумба с раковиной  навес. Куба Риф 600 белый 2 ящика с умыв. Океан</v>
      </c>
      <c r="H7617">
        <f>VLOOKUP(D7617,Товары!A:I,6,0)</f>
        <v>55</v>
      </c>
      <c r="I7617" t="str">
        <f>VLOOKUP(C7617,Магазины!A:C,3,0)</f>
        <v>Ставрополь</v>
      </c>
      <c r="J7617">
        <f>VLOOKUP(D7617,Товары!A:I,4,0)</f>
        <v>15765</v>
      </c>
      <c r="K7617">
        <f t="shared" si="118"/>
        <v>15765</v>
      </c>
    </row>
    <row r="7618" spans="1:11" hidden="1" x14ac:dyDescent="0.25">
      <c r="A7618">
        <v>7617</v>
      </c>
      <c r="B7618" s="1">
        <v>45753</v>
      </c>
      <c r="C7618" t="s">
        <v>9</v>
      </c>
      <c r="D7618" t="s">
        <v>126</v>
      </c>
      <c r="E7618" t="s">
        <v>13</v>
      </c>
      <c r="F7618">
        <v>1</v>
      </c>
      <c r="G7618" t="str">
        <f>VLOOKUP(D7618,Товары!A:I,3,0)</f>
        <v>Тумба с раковиной  напол. Кристалл 800 шато азур 2 ящика с умыв. Комфорт</v>
      </c>
      <c r="H7618">
        <f>VLOOKUP(D7618,Товары!A:I,6,0)</f>
        <v>85</v>
      </c>
      <c r="I7618" t="str">
        <f>VLOOKUP(C7618,Магазины!A:C,3,0)</f>
        <v>Кемерово</v>
      </c>
      <c r="J7618">
        <f>VLOOKUP(D7618,Товары!A:I,4,0)</f>
        <v>31125</v>
      </c>
      <c r="K7618">
        <f t="shared" si="118"/>
        <v>31125</v>
      </c>
    </row>
    <row r="7619" spans="1:11" hidden="1" x14ac:dyDescent="0.25">
      <c r="A7619">
        <v>7618</v>
      </c>
      <c r="B7619" s="1">
        <v>45756</v>
      </c>
      <c r="C7619" t="s">
        <v>6</v>
      </c>
      <c r="D7619" t="s">
        <v>21</v>
      </c>
      <c r="E7619" t="s">
        <v>8</v>
      </c>
      <c r="F7619">
        <v>3</v>
      </c>
      <c r="G7619" t="str">
        <f>VLOOKUP(D7619,Товары!A:I,3,0)</f>
        <v>Зеркальный шкаф Рица 60 со светильником правый цвет cерый/керамика</v>
      </c>
      <c r="H7619">
        <f>VLOOKUP(D7619,Товары!A:I,6,0)</f>
        <v>75</v>
      </c>
      <c r="I7619" t="str">
        <f>VLOOKUP(C7619,Магазины!A:C,3,0)</f>
        <v>Оренбург</v>
      </c>
      <c r="J7619">
        <f>VLOOKUP(D7619,Товары!A:I,4,0)</f>
        <v>8910</v>
      </c>
      <c r="K7619">
        <f t="shared" ref="K7619:K7682" si="119">J7619*F7619</f>
        <v>26730</v>
      </c>
    </row>
    <row r="7620" spans="1:11" hidden="1" x14ac:dyDescent="0.25">
      <c r="A7620">
        <v>7619</v>
      </c>
      <c r="B7620" s="1">
        <v>45748</v>
      </c>
      <c r="C7620" t="s">
        <v>30</v>
      </c>
      <c r="D7620" t="s">
        <v>76</v>
      </c>
      <c r="E7620" t="s">
        <v>8</v>
      </c>
      <c r="F7620">
        <v>1</v>
      </c>
      <c r="G7620" t="str">
        <f>VLOOKUP(D7620,Товары!A:I,3,0)</f>
        <v>Тумба с раковиной  напол. Леон 600 оникс 2 ящика с умыв. Слим</v>
      </c>
      <c r="H7620">
        <f>VLOOKUP(D7620,Товары!A:I,6,0)</f>
        <v>80</v>
      </c>
      <c r="I7620" t="str">
        <f>VLOOKUP(C7620,Магазины!A:C,3,0)</f>
        <v>Кемерово</v>
      </c>
      <c r="J7620">
        <f>VLOOKUP(D7620,Товары!A:I,4,0)</f>
        <v>25860</v>
      </c>
      <c r="K7620">
        <f t="shared" si="119"/>
        <v>25860</v>
      </c>
    </row>
    <row r="7621" spans="1:11" hidden="1" x14ac:dyDescent="0.25">
      <c r="A7621">
        <v>7620</v>
      </c>
      <c r="B7621" s="1">
        <v>45748</v>
      </c>
      <c r="C7621" t="s">
        <v>43</v>
      </c>
      <c r="D7621" t="s">
        <v>108</v>
      </c>
      <c r="E7621" t="s">
        <v>13</v>
      </c>
      <c r="F7621">
        <v>1</v>
      </c>
      <c r="G7621" t="str">
        <f>VLOOKUP(D7621,Товары!A:I,3,0)</f>
        <v>Тумба с раковиной  навес. Виктория 1000 белый 2 ящика с умыв. Слим</v>
      </c>
      <c r="H7621">
        <f>VLOOKUP(D7621,Товары!A:I,6,0)</f>
        <v>60</v>
      </c>
      <c r="I7621" t="str">
        <f>VLOOKUP(C7621,Магазины!A:C,3,0)</f>
        <v>Набережные Челны</v>
      </c>
      <c r="J7621">
        <f>VLOOKUP(D7621,Товары!A:I,4,0)</f>
        <v>29205</v>
      </c>
      <c r="K7621">
        <f t="shared" si="119"/>
        <v>29205</v>
      </c>
    </row>
    <row r="7622" spans="1:11" hidden="1" x14ac:dyDescent="0.25">
      <c r="A7622">
        <v>7621</v>
      </c>
      <c r="B7622" s="1">
        <v>45751</v>
      </c>
      <c r="C7622" t="s">
        <v>30</v>
      </c>
      <c r="D7622" t="s">
        <v>17</v>
      </c>
      <c r="E7622" t="s">
        <v>8</v>
      </c>
      <c r="F7622">
        <v>1</v>
      </c>
      <c r="G7622" t="str">
        <f>VLOOKUP(D7622,Товары!A:I,3,0)</f>
        <v>Тумба с раковиной  навес. Альба 800 антрацит 1 ящик с умыв. Слим</v>
      </c>
      <c r="H7622">
        <f>VLOOKUP(D7622,Товары!A:I,6,0)</f>
        <v>45</v>
      </c>
      <c r="I7622" t="str">
        <f>VLOOKUP(C7622,Магазины!A:C,3,0)</f>
        <v>Кемерово</v>
      </c>
      <c r="J7622">
        <f>VLOOKUP(D7622,Товары!A:I,4,0)</f>
        <v>21630</v>
      </c>
      <c r="K7622">
        <f t="shared" si="119"/>
        <v>21630</v>
      </c>
    </row>
    <row r="7623" spans="1:11" hidden="1" x14ac:dyDescent="0.25">
      <c r="A7623">
        <v>7622</v>
      </c>
      <c r="B7623" s="1">
        <v>45751</v>
      </c>
      <c r="C7623" t="s">
        <v>28</v>
      </c>
      <c r="D7623" t="s">
        <v>47</v>
      </c>
      <c r="E7623" t="s">
        <v>8</v>
      </c>
      <c r="F7623">
        <v>3</v>
      </c>
      <c r="G7623" t="str">
        <f>VLOOKUP(D7623,Товары!A:I,3,0)</f>
        <v>Пенал напол. Кристалл 350 шато азур 2 двери</v>
      </c>
      <c r="H7623">
        <f>VLOOKUP(D7623,Товары!A:I,6,0)</f>
        <v>190</v>
      </c>
      <c r="I7623" t="str">
        <f>VLOOKUP(C7623,Магазины!A:C,3,0)</f>
        <v>Набережные Челны</v>
      </c>
      <c r="J7623">
        <f>VLOOKUP(D7623,Товары!A:I,4,0)</f>
        <v>15810</v>
      </c>
      <c r="K7623">
        <f t="shared" si="119"/>
        <v>47430</v>
      </c>
    </row>
    <row r="7624" spans="1:11" hidden="1" x14ac:dyDescent="0.25">
      <c r="A7624">
        <v>7623</v>
      </c>
      <c r="B7624" s="1">
        <v>45752</v>
      </c>
      <c r="C7624" t="s">
        <v>58</v>
      </c>
      <c r="D7624" t="s">
        <v>127</v>
      </c>
      <c r="E7624" t="s">
        <v>13</v>
      </c>
      <c r="F7624">
        <v>2</v>
      </c>
      <c r="G7624" t="str">
        <f>VLOOKUP(D7624,Товары!A:I,3,0)</f>
        <v>Тумба с раковиной  навес. Альба 700 мята 1 ящик с умыв. Слим</v>
      </c>
      <c r="H7624">
        <f>VLOOKUP(D7624,Товары!A:I,6,0)</f>
        <v>45</v>
      </c>
      <c r="I7624" t="str">
        <f>VLOOKUP(C7624,Магазины!A:C,3,0)</f>
        <v>Ставрополь</v>
      </c>
      <c r="J7624">
        <f>VLOOKUP(D7624,Товары!A:I,4,0)</f>
        <v>20130</v>
      </c>
      <c r="K7624">
        <f t="shared" si="119"/>
        <v>40260</v>
      </c>
    </row>
    <row r="7625" spans="1:11" hidden="1" x14ac:dyDescent="0.25">
      <c r="A7625">
        <v>7624</v>
      </c>
      <c r="B7625" s="1">
        <v>45755</v>
      </c>
      <c r="C7625" t="s">
        <v>103</v>
      </c>
      <c r="D7625" t="s">
        <v>12</v>
      </c>
      <c r="E7625" t="s">
        <v>8</v>
      </c>
      <c r="F7625">
        <v>1</v>
      </c>
      <c r="G7625" t="str">
        <f>VLOOKUP(D7625,Товары!A:I,3,0)</f>
        <v>Тумба с раковиной  напол. Сохо 700 белый 2 двери с умыв. Слим</v>
      </c>
      <c r="H7625">
        <f>VLOOKUP(D7625,Товары!A:I,6,0)</f>
        <v>85</v>
      </c>
      <c r="I7625" t="str">
        <f>VLOOKUP(C7625,Магазины!A:C,3,0)</f>
        <v>Ставрополь</v>
      </c>
      <c r="J7625">
        <f>VLOOKUP(D7625,Товары!A:I,4,0)</f>
        <v>17160</v>
      </c>
      <c r="K7625">
        <f t="shared" si="119"/>
        <v>17160</v>
      </c>
    </row>
    <row r="7626" spans="1:11" hidden="1" x14ac:dyDescent="0.25">
      <c r="A7626">
        <v>7625</v>
      </c>
      <c r="B7626" s="1">
        <v>45757</v>
      </c>
      <c r="C7626" t="s">
        <v>58</v>
      </c>
      <c r="D7626" t="s">
        <v>78</v>
      </c>
      <c r="E7626" t="s">
        <v>13</v>
      </c>
      <c r="F7626">
        <v>3</v>
      </c>
      <c r="G7626" t="str">
        <f>VLOOKUP(D7626,Товары!A:I,3,0)</f>
        <v>Зеркальный шкаф Кристалл 70 со светильником правый, ручка кнопка дуб цвет Шато Азур</v>
      </c>
      <c r="H7626">
        <f>VLOOKUP(D7626,Товары!A:I,6,0)</f>
        <v>75</v>
      </c>
      <c r="I7626" t="str">
        <f>VLOOKUP(C7626,Магазины!A:C,3,0)</f>
        <v>Ставрополь</v>
      </c>
      <c r="J7626">
        <f>VLOOKUP(D7626,Товары!A:I,4,0)</f>
        <v>9615</v>
      </c>
      <c r="K7626">
        <f t="shared" si="119"/>
        <v>28845</v>
      </c>
    </row>
    <row r="7627" spans="1:11" hidden="1" x14ac:dyDescent="0.25">
      <c r="A7627">
        <v>7626</v>
      </c>
      <c r="B7627" s="1">
        <v>45756</v>
      </c>
      <c r="C7627" t="s">
        <v>28</v>
      </c>
      <c r="D7627" t="s">
        <v>53</v>
      </c>
      <c r="E7627" t="s">
        <v>13</v>
      </c>
      <c r="F7627">
        <v>2</v>
      </c>
      <c r="G7627" t="str">
        <f>VLOOKUP(D7627,Товары!A:I,3,0)</f>
        <v>Тумба с раковиной  напол. Кристалл 600 шато азур 2 ящика с умыв. Океан</v>
      </c>
      <c r="H7627">
        <f>VLOOKUP(D7627,Товары!A:I,6,0)</f>
        <v>85</v>
      </c>
      <c r="I7627" t="str">
        <f>VLOOKUP(C7627,Магазины!A:C,3,0)</f>
        <v>Набережные Челны</v>
      </c>
      <c r="J7627">
        <f>VLOOKUP(D7627,Товары!A:I,4,0)</f>
        <v>27600</v>
      </c>
      <c r="K7627">
        <f t="shared" si="119"/>
        <v>55200</v>
      </c>
    </row>
    <row r="7628" spans="1:11" hidden="1" x14ac:dyDescent="0.25">
      <c r="A7628">
        <v>7627</v>
      </c>
      <c r="B7628" s="1">
        <v>45754</v>
      </c>
      <c r="C7628" t="s">
        <v>18</v>
      </c>
      <c r="D7628" t="s">
        <v>106</v>
      </c>
      <c r="E7628" t="s">
        <v>8</v>
      </c>
      <c r="F7628">
        <v>2</v>
      </c>
      <c r="G7628" t="str">
        <f>VLOOKUP(D7628,Товары!A:I,3,0)</f>
        <v>Тумба с раковиной  навес. Кристалл 700 шато азур 2 ящика с умыв. Слим</v>
      </c>
      <c r="H7628">
        <f>VLOOKUP(D7628,Товары!A:I,6,0)</f>
        <v>60</v>
      </c>
      <c r="I7628" t="str">
        <f>VLOOKUP(C7628,Магазины!A:C,3,0)</f>
        <v>Набережные Челны</v>
      </c>
      <c r="J7628">
        <f>VLOOKUP(D7628,Товары!A:I,4,0)</f>
        <v>24150</v>
      </c>
      <c r="K7628">
        <f t="shared" si="119"/>
        <v>48300</v>
      </c>
    </row>
    <row r="7629" spans="1:11" hidden="1" x14ac:dyDescent="0.25">
      <c r="A7629">
        <v>7628</v>
      </c>
      <c r="B7629" s="1">
        <v>45757</v>
      </c>
      <c r="C7629" t="s">
        <v>103</v>
      </c>
      <c r="D7629" t="s">
        <v>88</v>
      </c>
      <c r="E7629" t="s">
        <v>8</v>
      </c>
      <c r="F7629">
        <v>1</v>
      </c>
      <c r="G7629" t="str">
        <f>VLOOKUP(D7629,Товары!A:I,3,0)</f>
        <v>Тумба с раковиной  навес. Альба 800 антрацит 2 ящика с умыв. Слим</v>
      </c>
      <c r="H7629">
        <f>VLOOKUP(D7629,Товары!A:I,6,0)</f>
        <v>50</v>
      </c>
      <c r="I7629" t="str">
        <f>VLOOKUP(C7629,Магазины!A:C,3,0)</f>
        <v>Ставрополь</v>
      </c>
      <c r="J7629">
        <f>VLOOKUP(D7629,Товары!A:I,4,0)</f>
        <v>26070</v>
      </c>
      <c r="K7629">
        <f t="shared" si="119"/>
        <v>26070</v>
      </c>
    </row>
    <row r="7630" spans="1:11" hidden="1" x14ac:dyDescent="0.25">
      <c r="A7630">
        <v>7629</v>
      </c>
      <c r="B7630" s="1">
        <v>45757</v>
      </c>
      <c r="C7630" t="s">
        <v>35</v>
      </c>
      <c r="D7630" t="s">
        <v>95</v>
      </c>
      <c r="E7630" t="s">
        <v>8</v>
      </c>
      <c r="F7630">
        <v>2</v>
      </c>
      <c r="G7630" t="str">
        <f>VLOOKUP(D7630,Товары!A:I,3,0)</f>
        <v>Тумба с раковиной  напол. Рица 600 антрацит 2 ящика с умыв. Океан</v>
      </c>
      <c r="H7630">
        <f>VLOOKUP(D7630,Товары!A:I,6,0)</f>
        <v>80</v>
      </c>
      <c r="I7630" t="str">
        <f>VLOOKUP(C7630,Магазины!A:C,3,0)</f>
        <v>Набережные Челны</v>
      </c>
      <c r="J7630">
        <f>VLOOKUP(D7630,Товары!A:I,4,0)</f>
        <v>25560</v>
      </c>
      <c r="K7630">
        <f t="shared" si="119"/>
        <v>51120</v>
      </c>
    </row>
    <row r="7631" spans="1:11" hidden="1" x14ac:dyDescent="0.25">
      <c r="A7631">
        <v>7630</v>
      </c>
      <c r="B7631" s="1">
        <v>45754</v>
      </c>
      <c r="C7631" t="s">
        <v>103</v>
      </c>
      <c r="D7631" t="s">
        <v>125</v>
      </c>
      <c r="E7631" t="s">
        <v>13</v>
      </c>
      <c r="F7631">
        <v>3</v>
      </c>
      <c r="G7631" t="str">
        <f>VLOOKUP(D7631,Товары!A:I,3,0)</f>
        <v>Зеркальный шкаф Сохо 60 белый со светильником правый цвет Белый глянец</v>
      </c>
      <c r="H7631">
        <f>VLOOKUP(D7631,Товары!A:I,6,0)</f>
        <v>75</v>
      </c>
      <c r="I7631" t="str">
        <f>VLOOKUP(C7631,Магазины!A:C,3,0)</f>
        <v>Ставрополь</v>
      </c>
      <c r="J7631">
        <f>VLOOKUP(D7631,Товары!A:I,4,0)</f>
        <v>7395</v>
      </c>
      <c r="K7631">
        <f t="shared" si="119"/>
        <v>22185</v>
      </c>
    </row>
    <row r="7632" spans="1:11" hidden="1" x14ac:dyDescent="0.25">
      <c r="A7632">
        <v>7631</v>
      </c>
      <c r="B7632" s="1">
        <v>45751</v>
      </c>
      <c r="C7632" t="s">
        <v>41</v>
      </c>
      <c r="D7632" t="s">
        <v>128</v>
      </c>
      <c r="E7632" t="s">
        <v>8</v>
      </c>
      <c r="F7632">
        <v>3</v>
      </c>
      <c r="G7632" t="str">
        <f>VLOOKUP(D7632,Товары!A:I,3,0)</f>
        <v>Тумба с раковиной  напол. Куба Риф 1000 белый 2 ящика с умыв. Слим</v>
      </c>
      <c r="H7632">
        <f>VLOOKUP(D7632,Товары!A:I,6,0)</f>
        <v>85</v>
      </c>
      <c r="I7632" t="str">
        <f>VLOOKUP(C7632,Магазины!A:C,3,0)</f>
        <v>Ставрополь</v>
      </c>
      <c r="J7632">
        <f>VLOOKUP(D7632,Товары!A:I,4,0)</f>
        <v>22905</v>
      </c>
      <c r="K7632">
        <f t="shared" si="119"/>
        <v>68715</v>
      </c>
    </row>
    <row r="7633" spans="1:11" hidden="1" x14ac:dyDescent="0.25">
      <c r="A7633">
        <v>7632</v>
      </c>
      <c r="B7633" s="1">
        <v>45755</v>
      </c>
      <c r="C7633" t="s">
        <v>35</v>
      </c>
      <c r="D7633" t="s">
        <v>25</v>
      </c>
      <c r="E7633" t="s">
        <v>13</v>
      </c>
      <c r="F7633">
        <v>1</v>
      </c>
      <c r="G7633" t="str">
        <f>VLOOKUP(D7633,Товары!A:I,3,0)</f>
        <v>Пенал напол. Леон 400 оникс 2 двери + 1 ящик</v>
      </c>
      <c r="H7633">
        <f>VLOOKUP(D7633,Товары!A:I,6,0)</f>
        <v>190</v>
      </c>
      <c r="I7633" t="str">
        <f>VLOOKUP(C7633,Магазины!A:C,3,0)</f>
        <v>Набережные Челны</v>
      </c>
      <c r="J7633">
        <f>VLOOKUP(D7633,Товары!A:I,4,0)</f>
        <v>18450</v>
      </c>
      <c r="K7633">
        <f t="shared" si="119"/>
        <v>18450</v>
      </c>
    </row>
    <row r="7634" spans="1:11" hidden="1" x14ac:dyDescent="0.25">
      <c r="A7634">
        <v>7633</v>
      </c>
      <c r="B7634" s="1">
        <v>45754</v>
      </c>
      <c r="C7634" t="s">
        <v>30</v>
      </c>
      <c r="D7634" t="s">
        <v>116</v>
      </c>
      <c r="E7634" t="s">
        <v>8</v>
      </c>
      <c r="F7634">
        <v>1</v>
      </c>
      <c r="G7634" t="str">
        <f>VLOOKUP(D7634,Товары!A:I,3,0)</f>
        <v>Зеркало Нева 60 дуб/белый со светильником</v>
      </c>
      <c r="H7634">
        <f>VLOOKUP(D7634,Товары!A:I,6,0)</f>
        <v>80</v>
      </c>
      <c r="I7634" t="str">
        <f>VLOOKUP(C7634,Магазины!A:C,3,0)</f>
        <v>Кемерово</v>
      </c>
      <c r="J7634">
        <f>VLOOKUP(D7634,Товары!A:I,4,0)</f>
        <v>5100</v>
      </c>
      <c r="K7634">
        <f t="shared" si="119"/>
        <v>5100</v>
      </c>
    </row>
    <row r="7635" spans="1:11" hidden="1" x14ac:dyDescent="0.25">
      <c r="A7635">
        <v>7634</v>
      </c>
      <c r="B7635" s="1">
        <v>45754</v>
      </c>
      <c r="C7635" t="s">
        <v>16</v>
      </c>
      <c r="D7635" t="s">
        <v>70</v>
      </c>
      <c r="E7635" t="s">
        <v>13</v>
      </c>
      <c r="F7635">
        <v>1</v>
      </c>
      <c r="G7635" t="str">
        <f>VLOOKUP(D7635,Товары!A:I,3,0)</f>
        <v>Тумба с раковиной  напол. Кристалл 700 шато азур 2 ящика с умыв. Слим</v>
      </c>
      <c r="H7635">
        <f>VLOOKUP(D7635,Товары!A:I,6,0)</f>
        <v>85</v>
      </c>
      <c r="I7635" t="str">
        <f>VLOOKUP(C7635,Магазины!A:C,3,0)</f>
        <v>Оренбург</v>
      </c>
      <c r="J7635">
        <f>VLOOKUP(D7635,Товары!A:I,4,0)</f>
        <v>29910</v>
      </c>
      <c r="K7635">
        <f t="shared" si="119"/>
        <v>29910</v>
      </c>
    </row>
    <row r="7636" spans="1:11" hidden="1" x14ac:dyDescent="0.25">
      <c r="A7636">
        <v>7635</v>
      </c>
      <c r="B7636" s="1">
        <v>45752</v>
      </c>
      <c r="C7636" t="s">
        <v>18</v>
      </c>
      <c r="D7636" t="s">
        <v>70</v>
      </c>
      <c r="E7636" t="s">
        <v>13</v>
      </c>
      <c r="F7636">
        <v>1</v>
      </c>
      <c r="G7636" t="str">
        <f>VLOOKUP(D7636,Товары!A:I,3,0)</f>
        <v>Тумба с раковиной  напол. Кристалл 700 шато азур 2 ящика с умыв. Слим</v>
      </c>
      <c r="H7636">
        <f>VLOOKUP(D7636,Товары!A:I,6,0)</f>
        <v>85</v>
      </c>
      <c r="I7636" t="str">
        <f>VLOOKUP(C7636,Магазины!A:C,3,0)</f>
        <v>Набережные Челны</v>
      </c>
      <c r="J7636">
        <f>VLOOKUP(D7636,Товары!A:I,4,0)</f>
        <v>29910</v>
      </c>
      <c r="K7636">
        <f t="shared" si="119"/>
        <v>29910</v>
      </c>
    </row>
    <row r="7637" spans="1:11" hidden="1" x14ac:dyDescent="0.25">
      <c r="A7637">
        <v>7636</v>
      </c>
      <c r="B7637" s="1">
        <v>45749</v>
      </c>
      <c r="C7637" t="s">
        <v>20</v>
      </c>
      <c r="D7637" t="s">
        <v>119</v>
      </c>
      <c r="E7637" t="s">
        <v>13</v>
      </c>
      <c r="F7637">
        <v>3</v>
      </c>
      <c r="G7637" t="str">
        <f>VLOOKUP(D7637,Товары!A:I,3,0)</f>
        <v>Пенал навес./напол. Рица 350 cерый/керамика 2 двери</v>
      </c>
      <c r="H7637">
        <f>VLOOKUP(D7637,Товары!A:I,6,0)</f>
        <v>160</v>
      </c>
      <c r="I7637" t="str">
        <f>VLOOKUP(C7637,Магазины!A:C,3,0)</f>
        <v>Оренбург</v>
      </c>
      <c r="J7637">
        <f>VLOOKUP(D7637,Товары!A:I,4,0)</f>
        <v>11250</v>
      </c>
      <c r="K7637">
        <f t="shared" si="119"/>
        <v>33750</v>
      </c>
    </row>
    <row r="7638" spans="1:11" hidden="1" x14ac:dyDescent="0.25">
      <c r="A7638">
        <v>7637</v>
      </c>
      <c r="B7638" s="1">
        <v>45755</v>
      </c>
      <c r="C7638" t="s">
        <v>63</v>
      </c>
      <c r="D7638" t="s">
        <v>97</v>
      </c>
      <c r="E7638" t="s">
        <v>13</v>
      </c>
      <c r="F7638">
        <v>3</v>
      </c>
      <c r="G7638" t="str">
        <f>VLOOKUP(D7638,Товары!A:I,3,0)</f>
        <v>Пенал напол. Кристалл 350 суфле 2 двери</v>
      </c>
      <c r="H7638">
        <f>VLOOKUP(D7638,Товары!A:I,6,0)</f>
        <v>190</v>
      </c>
      <c r="I7638" t="str">
        <f>VLOOKUP(C7638,Магазины!A:C,3,0)</f>
        <v>Ставрополь</v>
      </c>
      <c r="J7638">
        <f>VLOOKUP(D7638,Товары!A:I,4,0)</f>
        <v>15810</v>
      </c>
      <c r="K7638">
        <f t="shared" si="119"/>
        <v>47430</v>
      </c>
    </row>
    <row r="7639" spans="1:11" hidden="1" x14ac:dyDescent="0.25">
      <c r="A7639">
        <v>7638</v>
      </c>
      <c r="B7639" s="1">
        <v>45756</v>
      </c>
      <c r="C7639" t="s">
        <v>41</v>
      </c>
      <c r="D7639" t="s">
        <v>124</v>
      </c>
      <c r="E7639" t="s">
        <v>8</v>
      </c>
      <c r="F7639">
        <v>3</v>
      </c>
      <c r="G7639" t="str">
        <f>VLOOKUP(D7639,Товары!A:I,3,0)</f>
        <v>Тумба с раковиной  напол. Леон 600 оникс 2 ящика с умыв. Океан</v>
      </c>
      <c r="H7639">
        <f>VLOOKUP(D7639,Товары!A:I,6,0)</f>
        <v>80</v>
      </c>
      <c r="I7639" t="str">
        <f>VLOOKUP(C7639,Магазины!A:C,3,0)</f>
        <v>Ставрополь</v>
      </c>
      <c r="J7639">
        <f>VLOOKUP(D7639,Товары!A:I,4,0)</f>
        <v>25860</v>
      </c>
      <c r="K7639">
        <f t="shared" si="119"/>
        <v>77580</v>
      </c>
    </row>
    <row r="7640" spans="1:11" hidden="1" x14ac:dyDescent="0.25">
      <c r="A7640">
        <v>7639</v>
      </c>
      <c r="B7640" s="1">
        <v>45751</v>
      </c>
      <c r="C7640" t="s">
        <v>33</v>
      </c>
      <c r="D7640" t="s">
        <v>67</v>
      </c>
      <c r="E7640" t="s">
        <v>8</v>
      </c>
      <c r="F7640">
        <v>2</v>
      </c>
      <c r="G7640" t="str">
        <f>VLOOKUP(D7640,Товары!A:I,3,0)</f>
        <v>Пенал навес./напол. Альба 350 суфле 2 двери</v>
      </c>
      <c r="H7640">
        <f>VLOOKUP(D7640,Товары!A:I,6,0)</f>
        <v>150</v>
      </c>
      <c r="I7640" t="str">
        <f>VLOOKUP(C7640,Магазины!A:C,3,0)</f>
        <v>Набережные Челны</v>
      </c>
      <c r="J7640">
        <f>VLOOKUP(D7640,Товары!A:I,4,0)</f>
        <v>11655</v>
      </c>
      <c r="K7640">
        <f t="shared" si="119"/>
        <v>23310</v>
      </c>
    </row>
    <row r="7641" spans="1:11" hidden="1" x14ac:dyDescent="0.25">
      <c r="A7641">
        <v>7640</v>
      </c>
      <c r="B7641" s="1">
        <v>45751</v>
      </c>
      <c r="C7641" t="s">
        <v>11</v>
      </c>
      <c r="D7641" t="s">
        <v>32</v>
      </c>
      <c r="E7641" t="s">
        <v>8</v>
      </c>
      <c r="F7641">
        <v>3</v>
      </c>
      <c r="G7641" t="str">
        <f>VLOOKUP(D7641,Товары!A:I,3,0)</f>
        <v>Тумба с раковиной  напол. Леон Риф 700 солярис/белый риф 2 ящика с умыв. Слим</v>
      </c>
      <c r="H7641">
        <f>VLOOKUP(D7641,Товары!A:I,6,0)</f>
        <v>85</v>
      </c>
      <c r="I7641" t="str">
        <f>VLOOKUP(C7641,Магазины!A:C,3,0)</f>
        <v>Кемерово</v>
      </c>
      <c r="J7641">
        <f>VLOOKUP(D7641,Товары!A:I,4,0)</f>
        <v>26460</v>
      </c>
      <c r="K7641">
        <f t="shared" si="119"/>
        <v>79380</v>
      </c>
    </row>
    <row r="7642" spans="1:11" hidden="1" x14ac:dyDescent="0.25">
      <c r="A7642">
        <v>7641</v>
      </c>
      <c r="B7642" s="1">
        <v>45757</v>
      </c>
      <c r="C7642" t="s">
        <v>92</v>
      </c>
      <c r="D7642" t="s">
        <v>23</v>
      </c>
      <c r="E7642" t="s">
        <v>8</v>
      </c>
      <c r="F7642">
        <v>2</v>
      </c>
      <c r="G7642" t="str">
        <f>VLOOKUP(D7642,Товары!A:I,3,0)</f>
        <v>Тумба с раковиной  напол. Альба 800 антрацит 2 ящика с умыв. Слим</v>
      </c>
      <c r="H7642">
        <f>VLOOKUP(D7642,Товары!A:I,6,0)</f>
        <v>80</v>
      </c>
      <c r="I7642" t="str">
        <f>VLOOKUP(C7642,Магазины!A:C,3,0)</f>
        <v>Кемерово</v>
      </c>
      <c r="J7642">
        <f>VLOOKUP(D7642,Товары!A:I,4,0)</f>
        <v>29340</v>
      </c>
      <c r="K7642">
        <f t="shared" si="119"/>
        <v>58680</v>
      </c>
    </row>
    <row r="7643" spans="1:11" hidden="1" x14ac:dyDescent="0.25">
      <c r="A7643">
        <v>7642</v>
      </c>
      <c r="B7643" s="1">
        <v>45756</v>
      </c>
      <c r="C7643" t="s">
        <v>18</v>
      </c>
      <c r="D7643" t="s">
        <v>15</v>
      </c>
      <c r="E7643" t="s">
        <v>8</v>
      </c>
      <c r="F7643">
        <v>2</v>
      </c>
      <c r="G7643" t="str">
        <f>VLOOKUP(D7643,Товары!A:I,3,0)</f>
        <v>Зеркальный шкаф Кристалл 60 со светильником правый, ручка кнопка дуб цвет Шато Азур</v>
      </c>
      <c r="H7643">
        <f>VLOOKUP(D7643,Товары!A:I,6,0)</f>
        <v>75</v>
      </c>
      <c r="I7643" t="str">
        <f>VLOOKUP(C7643,Магазины!A:C,3,0)</f>
        <v>Набережные Челны</v>
      </c>
      <c r="J7643">
        <f>VLOOKUP(D7643,Товары!A:I,4,0)</f>
        <v>9195</v>
      </c>
      <c r="K7643">
        <f t="shared" si="119"/>
        <v>18390</v>
      </c>
    </row>
    <row r="7644" spans="1:11" hidden="1" x14ac:dyDescent="0.25">
      <c r="A7644">
        <v>7643</v>
      </c>
      <c r="B7644" s="1">
        <v>45749</v>
      </c>
      <c r="C7644" t="s">
        <v>14</v>
      </c>
      <c r="D7644" t="s">
        <v>69</v>
      </c>
      <c r="E7644" t="s">
        <v>8</v>
      </c>
      <c r="F7644">
        <v>1</v>
      </c>
      <c r="G7644" t="str">
        <f>VLOOKUP(D7644,Товары!A:I,3,0)</f>
        <v>Пенал навес./напол. Альба 350 антрацит 2 двери</v>
      </c>
      <c r="H7644">
        <f>VLOOKUP(D7644,Товары!A:I,6,0)</f>
        <v>150</v>
      </c>
      <c r="I7644" t="str">
        <f>VLOOKUP(C7644,Магазины!A:C,3,0)</f>
        <v>Оренбург</v>
      </c>
      <c r="J7644">
        <f>VLOOKUP(D7644,Товары!A:I,4,0)</f>
        <v>11655</v>
      </c>
      <c r="K7644">
        <f t="shared" si="119"/>
        <v>11655</v>
      </c>
    </row>
    <row r="7645" spans="1:11" hidden="1" x14ac:dyDescent="0.25">
      <c r="A7645">
        <v>7644</v>
      </c>
      <c r="B7645" s="1">
        <v>45749</v>
      </c>
      <c r="C7645" t="s">
        <v>54</v>
      </c>
      <c r="D7645" t="s">
        <v>89</v>
      </c>
      <c r="E7645" t="s">
        <v>13</v>
      </c>
      <c r="F7645">
        <v>1</v>
      </c>
      <c r="G7645" t="str">
        <f>VLOOKUP(D7645,Товары!A:I,3,0)</f>
        <v>Тумба с раковиной  напол. Сохо 600 белый 2 двери с умыв. Океан</v>
      </c>
      <c r="H7645">
        <f>VLOOKUP(D7645,Товары!A:I,6,0)</f>
        <v>85</v>
      </c>
      <c r="I7645" t="str">
        <f>VLOOKUP(C7645,Магазины!A:C,3,0)</f>
        <v>Ставрополь</v>
      </c>
      <c r="J7645">
        <f>VLOOKUP(D7645,Товары!A:I,4,0)</f>
        <v>14880</v>
      </c>
      <c r="K7645">
        <f t="shared" si="119"/>
        <v>14880</v>
      </c>
    </row>
    <row r="7646" spans="1:11" hidden="1" x14ac:dyDescent="0.25">
      <c r="A7646">
        <v>7645</v>
      </c>
      <c r="B7646" s="1">
        <v>45750</v>
      </c>
      <c r="C7646" t="s">
        <v>54</v>
      </c>
      <c r="D7646" t="s">
        <v>84</v>
      </c>
      <c r="E7646" t="s">
        <v>13</v>
      </c>
      <c r="F7646">
        <v>2</v>
      </c>
      <c r="G7646" t="str">
        <f>VLOOKUP(D7646,Товары!A:I,3,0)</f>
        <v>Тумба с раковиной  напол. Куба Риф 800 белый 3 двери с умыв. Слим</v>
      </c>
      <c r="H7646">
        <f>VLOOKUP(D7646,Товары!A:I,6,0)</f>
        <v>85</v>
      </c>
      <c r="I7646" t="str">
        <f>VLOOKUP(C7646,Магазины!A:C,3,0)</f>
        <v>Ставрополь</v>
      </c>
      <c r="J7646">
        <f>VLOOKUP(D7646,Товары!A:I,4,0)</f>
        <v>19920</v>
      </c>
      <c r="K7646">
        <f t="shared" si="119"/>
        <v>39840</v>
      </c>
    </row>
    <row r="7647" spans="1:11" hidden="1" x14ac:dyDescent="0.25">
      <c r="A7647">
        <v>7646</v>
      </c>
      <c r="B7647" s="1">
        <v>45752</v>
      </c>
      <c r="C7647" t="s">
        <v>58</v>
      </c>
      <c r="D7647" t="s">
        <v>95</v>
      </c>
      <c r="E7647" t="s">
        <v>13</v>
      </c>
      <c r="F7647">
        <v>2</v>
      </c>
      <c r="G7647" t="str">
        <f>VLOOKUP(D7647,Товары!A:I,3,0)</f>
        <v>Тумба с раковиной  напол. Рица 600 антрацит 2 ящика с умыв. Океан</v>
      </c>
      <c r="H7647">
        <f>VLOOKUP(D7647,Товары!A:I,6,0)</f>
        <v>80</v>
      </c>
      <c r="I7647" t="str">
        <f>VLOOKUP(C7647,Магазины!A:C,3,0)</f>
        <v>Ставрополь</v>
      </c>
      <c r="J7647">
        <f>VLOOKUP(D7647,Товары!A:I,4,0)</f>
        <v>25560</v>
      </c>
      <c r="K7647">
        <f t="shared" si="119"/>
        <v>51120</v>
      </c>
    </row>
    <row r="7648" spans="1:11" hidden="1" x14ac:dyDescent="0.25">
      <c r="A7648">
        <v>7647</v>
      </c>
      <c r="B7648" s="1">
        <v>45748</v>
      </c>
      <c r="C7648" t="s">
        <v>22</v>
      </c>
      <c r="D7648" t="s">
        <v>117</v>
      </c>
      <c r="E7648" t="s">
        <v>13</v>
      </c>
      <c r="F7648">
        <v>2</v>
      </c>
      <c r="G7648" t="str">
        <f>VLOOKUP(D7648,Товары!A:I,3,0)</f>
        <v>Тумба с раковиной  навес. Альба 700 антрацит 2 ящика с умыв. Слим</v>
      </c>
      <c r="H7648">
        <f>VLOOKUP(D7648,Товары!A:I,6,0)</f>
        <v>60</v>
      </c>
      <c r="I7648" t="str">
        <f>VLOOKUP(C7648,Магазины!A:C,3,0)</f>
        <v>Кемерово</v>
      </c>
      <c r="J7648">
        <f>VLOOKUP(D7648,Товары!A:I,4,0)</f>
        <v>25095</v>
      </c>
      <c r="K7648">
        <f t="shared" si="119"/>
        <v>50190</v>
      </c>
    </row>
    <row r="7649" spans="1:11" hidden="1" x14ac:dyDescent="0.25">
      <c r="A7649">
        <v>7648</v>
      </c>
      <c r="B7649" s="1">
        <v>45752</v>
      </c>
      <c r="C7649" t="s">
        <v>11</v>
      </c>
      <c r="D7649" t="s">
        <v>117</v>
      </c>
      <c r="E7649" t="s">
        <v>13</v>
      </c>
      <c r="F7649">
        <v>1</v>
      </c>
      <c r="G7649" t="str">
        <f>VLOOKUP(D7649,Товары!A:I,3,0)</f>
        <v>Тумба с раковиной  навес. Альба 700 антрацит 2 ящика с умыв. Слим</v>
      </c>
      <c r="H7649">
        <f>VLOOKUP(D7649,Товары!A:I,6,0)</f>
        <v>60</v>
      </c>
      <c r="I7649" t="str">
        <f>VLOOKUP(C7649,Магазины!A:C,3,0)</f>
        <v>Кемерово</v>
      </c>
      <c r="J7649">
        <f>VLOOKUP(D7649,Товары!A:I,4,0)</f>
        <v>25095</v>
      </c>
      <c r="K7649">
        <f t="shared" si="119"/>
        <v>25095</v>
      </c>
    </row>
    <row r="7650" spans="1:11" hidden="1" x14ac:dyDescent="0.25">
      <c r="A7650">
        <v>7649</v>
      </c>
      <c r="B7650" s="1">
        <v>45754</v>
      </c>
      <c r="C7650" t="s">
        <v>9</v>
      </c>
      <c r="D7650" t="s">
        <v>55</v>
      </c>
      <c r="E7650" t="s">
        <v>8</v>
      </c>
      <c r="F7650">
        <v>2</v>
      </c>
      <c r="G7650" t="str">
        <f>VLOOKUP(D7650,Товары!A:I,3,0)</f>
        <v>Тумба с раковиной  напол. Рица 600 cерый/керамика 2 ящика с умыв. Океан</v>
      </c>
      <c r="H7650">
        <f>VLOOKUP(D7650,Товары!A:I,6,0)</f>
        <v>80</v>
      </c>
      <c r="I7650" t="str">
        <f>VLOOKUP(C7650,Магазины!A:C,3,0)</f>
        <v>Кемерово</v>
      </c>
      <c r="J7650">
        <f>VLOOKUP(D7650,Товары!A:I,4,0)</f>
        <v>25560</v>
      </c>
      <c r="K7650">
        <f t="shared" si="119"/>
        <v>51120</v>
      </c>
    </row>
    <row r="7651" spans="1:11" hidden="1" x14ac:dyDescent="0.25">
      <c r="A7651">
        <v>7650</v>
      </c>
      <c r="B7651" s="1">
        <v>45753</v>
      </c>
      <c r="C7651" t="s">
        <v>11</v>
      </c>
      <c r="D7651" t="s">
        <v>104</v>
      </c>
      <c r="E7651" t="s">
        <v>13</v>
      </c>
      <c r="F7651">
        <v>3</v>
      </c>
      <c r="G7651" t="str">
        <f>VLOOKUP(D7651,Товары!A:I,3,0)</f>
        <v>Тумба под стиральную машину Куба Риф 57 подвесная 2 ящика под ст/маш, без умывальника /под Marshall 120 Белый</v>
      </c>
      <c r="H7651">
        <f>VLOOKUP(D7651,Товары!A:I,6,0)</f>
        <v>50</v>
      </c>
      <c r="I7651" t="str">
        <f>VLOOKUP(C7651,Магазины!A:C,3,0)</f>
        <v>Кемерово</v>
      </c>
      <c r="J7651">
        <f>VLOOKUP(D7651,Товары!A:I,4,0)</f>
        <v>8505</v>
      </c>
      <c r="K7651">
        <f t="shared" si="119"/>
        <v>25515</v>
      </c>
    </row>
    <row r="7652" spans="1:11" hidden="1" x14ac:dyDescent="0.25">
      <c r="A7652">
        <v>7651</v>
      </c>
      <c r="B7652" s="1">
        <v>45748</v>
      </c>
      <c r="C7652" t="s">
        <v>22</v>
      </c>
      <c r="D7652" t="s">
        <v>115</v>
      </c>
      <c r="E7652" t="s">
        <v>13</v>
      </c>
      <c r="F7652">
        <v>2</v>
      </c>
      <c r="G7652" t="str">
        <f>VLOOKUP(D7652,Товары!A:I,3,0)</f>
        <v>Тумба под стиральную машину Куба Риф 57 напольная 2 ящика под ст/маш, без умывальника /под Marshall 120 Белый</v>
      </c>
      <c r="H7652">
        <f>VLOOKUP(D7652,Товары!A:I,6,0)</f>
        <v>85</v>
      </c>
      <c r="I7652" t="str">
        <f>VLOOKUP(C7652,Магазины!A:C,3,0)</f>
        <v>Кемерово</v>
      </c>
      <c r="J7652">
        <f>VLOOKUP(D7652,Товары!A:I,4,0)</f>
        <v>10530</v>
      </c>
      <c r="K7652">
        <f t="shared" si="119"/>
        <v>21060</v>
      </c>
    </row>
    <row r="7653" spans="1:11" hidden="1" x14ac:dyDescent="0.25">
      <c r="A7653">
        <v>7652</v>
      </c>
      <c r="B7653" s="1">
        <v>45752</v>
      </c>
      <c r="C7653" t="s">
        <v>48</v>
      </c>
      <c r="D7653" t="s">
        <v>73</v>
      </c>
      <c r="E7653" t="s">
        <v>8</v>
      </c>
      <c r="F7653">
        <v>1</v>
      </c>
      <c r="G7653" t="str">
        <f>VLOOKUP(D7653,Товары!A:I,3,0)</f>
        <v>Зеркальный шкаф Альба 70 со светильником правый цвет антрацит</v>
      </c>
      <c r="H7653">
        <f>VLOOKUP(D7653,Товары!A:I,6,0)</f>
        <v>75</v>
      </c>
      <c r="I7653" t="str">
        <f>VLOOKUP(C7653,Магазины!A:C,3,0)</f>
        <v>Ставрополь</v>
      </c>
      <c r="J7653">
        <f>VLOOKUP(D7653,Товары!A:I,4,0)</f>
        <v>9615</v>
      </c>
      <c r="K7653">
        <f t="shared" si="119"/>
        <v>9615</v>
      </c>
    </row>
    <row r="7654" spans="1:11" hidden="1" x14ac:dyDescent="0.25">
      <c r="A7654">
        <v>7653</v>
      </c>
      <c r="B7654" s="1">
        <v>45753</v>
      </c>
      <c r="C7654" t="s">
        <v>16</v>
      </c>
      <c r="D7654" t="s">
        <v>128</v>
      </c>
      <c r="E7654" t="s">
        <v>13</v>
      </c>
      <c r="F7654">
        <v>1</v>
      </c>
      <c r="G7654" t="str">
        <f>VLOOKUP(D7654,Товары!A:I,3,0)</f>
        <v>Тумба с раковиной  напол. Куба Риф 1000 белый 2 ящика с умыв. Слим</v>
      </c>
      <c r="H7654">
        <f>VLOOKUP(D7654,Товары!A:I,6,0)</f>
        <v>85</v>
      </c>
      <c r="I7654" t="str">
        <f>VLOOKUP(C7654,Магазины!A:C,3,0)</f>
        <v>Оренбург</v>
      </c>
      <c r="J7654">
        <f>VLOOKUP(D7654,Товары!A:I,4,0)</f>
        <v>22905</v>
      </c>
      <c r="K7654">
        <f t="shared" si="119"/>
        <v>22905</v>
      </c>
    </row>
    <row r="7655" spans="1:11" hidden="1" x14ac:dyDescent="0.25">
      <c r="A7655">
        <v>7654</v>
      </c>
      <c r="B7655" s="1">
        <v>45757</v>
      </c>
      <c r="C7655" t="s">
        <v>103</v>
      </c>
      <c r="D7655" t="s">
        <v>10</v>
      </c>
      <c r="E7655" t="s">
        <v>13</v>
      </c>
      <c r="F7655">
        <v>3</v>
      </c>
      <c r="G7655" t="str">
        <f>VLOOKUP(D7655,Товары!A:I,3,0)</f>
        <v>Тумба с раковиной  навес. Альба 700 антрацит 1 ящик с умыв. Слим</v>
      </c>
      <c r="H7655">
        <f>VLOOKUP(D7655,Товары!A:I,6,0)</f>
        <v>45</v>
      </c>
      <c r="I7655" t="str">
        <f>VLOOKUP(C7655,Магазины!A:C,3,0)</f>
        <v>Ставрополь</v>
      </c>
      <c r="J7655">
        <f>VLOOKUP(D7655,Товары!A:I,4,0)</f>
        <v>20130</v>
      </c>
      <c r="K7655">
        <f t="shared" si="119"/>
        <v>60390</v>
      </c>
    </row>
    <row r="7656" spans="1:11" hidden="1" x14ac:dyDescent="0.25">
      <c r="A7656">
        <v>7655</v>
      </c>
      <c r="B7656" s="1">
        <v>45755</v>
      </c>
      <c r="C7656" t="s">
        <v>41</v>
      </c>
      <c r="D7656" t="s">
        <v>80</v>
      </c>
      <c r="E7656" t="s">
        <v>13</v>
      </c>
      <c r="F7656">
        <v>2</v>
      </c>
      <c r="G7656" t="str">
        <f>VLOOKUP(D7656,Товары!A:I,3,0)</f>
        <v>Тумба с раковиной  навес. Сохо 600 белый 2 ящика с умыв. Океан</v>
      </c>
      <c r="H7656">
        <f>VLOOKUP(D7656,Товары!A:I,6,0)</f>
        <v>55</v>
      </c>
      <c r="I7656" t="str">
        <f>VLOOKUP(C7656,Магазины!A:C,3,0)</f>
        <v>Ставрополь</v>
      </c>
      <c r="J7656">
        <f>VLOOKUP(D7656,Товары!A:I,4,0)</f>
        <v>13950</v>
      </c>
      <c r="K7656">
        <f t="shared" si="119"/>
        <v>27900</v>
      </c>
    </row>
    <row r="7657" spans="1:11" hidden="1" x14ac:dyDescent="0.25">
      <c r="A7657">
        <v>7656</v>
      </c>
      <c r="B7657" s="1">
        <v>45756</v>
      </c>
      <c r="C7657" t="s">
        <v>33</v>
      </c>
      <c r="D7657" t="s">
        <v>40</v>
      </c>
      <c r="E7657" t="s">
        <v>13</v>
      </c>
      <c r="F7657">
        <v>3</v>
      </c>
      <c r="G7657" t="str">
        <f>VLOOKUP(D7657,Товары!A:I,3,0)</f>
        <v>Тумба с раковиной  навес. Рица 800 cерый/керамика 1 ящик + ниша 1 с умыв. Слим</v>
      </c>
      <c r="H7657">
        <f>VLOOKUP(D7657,Товары!A:I,6,0)</f>
        <v>60</v>
      </c>
      <c r="I7657" t="str">
        <f>VLOOKUP(C7657,Магазины!A:C,3,0)</f>
        <v>Набережные Челны</v>
      </c>
      <c r="J7657">
        <f>VLOOKUP(D7657,Товары!A:I,4,0)</f>
        <v>22425</v>
      </c>
      <c r="K7657">
        <f t="shared" si="119"/>
        <v>67275</v>
      </c>
    </row>
    <row r="7658" spans="1:11" hidden="1" x14ac:dyDescent="0.25">
      <c r="A7658">
        <v>7657</v>
      </c>
      <c r="B7658" s="1">
        <v>45755</v>
      </c>
      <c r="C7658" t="s">
        <v>30</v>
      </c>
      <c r="D7658" t="s">
        <v>99</v>
      </c>
      <c r="E7658" t="s">
        <v>13</v>
      </c>
      <c r="F7658">
        <v>3</v>
      </c>
      <c r="G7658" t="str">
        <f>VLOOKUP(D7658,Товары!A:I,3,0)</f>
        <v>Тумба с раковиной  навес. Леон 600 оникс 2 ящика с умыв. Слим</v>
      </c>
      <c r="H7658">
        <f>VLOOKUP(D7658,Товары!A:I,6,0)</f>
        <v>60</v>
      </c>
      <c r="I7658" t="str">
        <f>VLOOKUP(C7658,Магазины!A:C,3,0)</f>
        <v>Кемерово</v>
      </c>
      <c r="J7658">
        <f>VLOOKUP(D7658,Товары!A:I,4,0)</f>
        <v>25125</v>
      </c>
      <c r="K7658">
        <f t="shared" si="119"/>
        <v>75375</v>
      </c>
    </row>
    <row r="7659" spans="1:11" hidden="1" x14ac:dyDescent="0.25">
      <c r="A7659">
        <v>7658</v>
      </c>
      <c r="B7659" s="1">
        <v>45748</v>
      </c>
      <c r="C7659" t="s">
        <v>58</v>
      </c>
      <c r="D7659" t="s">
        <v>117</v>
      </c>
      <c r="E7659" t="s">
        <v>8</v>
      </c>
      <c r="F7659">
        <v>2</v>
      </c>
      <c r="G7659" t="str">
        <f>VLOOKUP(D7659,Товары!A:I,3,0)</f>
        <v>Тумба с раковиной  навес. Альба 700 антрацит 2 ящика с умыв. Слим</v>
      </c>
      <c r="H7659">
        <f>VLOOKUP(D7659,Товары!A:I,6,0)</f>
        <v>60</v>
      </c>
      <c r="I7659" t="str">
        <f>VLOOKUP(C7659,Магазины!A:C,3,0)</f>
        <v>Ставрополь</v>
      </c>
      <c r="J7659">
        <f>VLOOKUP(D7659,Товары!A:I,4,0)</f>
        <v>25095</v>
      </c>
      <c r="K7659">
        <f t="shared" si="119"/>
        <v>50190</v>
      </c>
    </row>
    <row r="7660" spans="1:11" hidden="1" x14ac:dyDescent="0.25">
      <c r="A7660">
        <v>7659</v>
      </c>
      <c r="B7660" s="1">
        <v>45757</v>
      </c>
      <c r="C7660" t="s">
        <v>111</v>
      </c>
      <c r="D7660" t="s">
        <v>106</v>
      </c>
      <c r="E7660" t="s">
        <v>8</v>
      </c>
      <c r="F7660">
        <v>2</v>
      </c>
      <c r="G7660" t="str">
        <f>VLOOKUP(D7660,Товары!A:I,3,0)</f>
        <v>Тумба с раковиной  навес. Кристалл 700 шато азур 2 ящика с умыв. Слим</v>
      </c>
      <c r="H7660">
        <f>VLOOKUP(D7660,Товары!A:I,6,0)</f>
        <v>60</v>
      </c>
      <c r="I7660" t="str">
        <f>VLOOKUP(C7660,Магазины!A:C,3,0)</f>
        <v>Набережные Челны</v>
      </c>
      <c r="J7660">
        <f>VLOOKUP(D7660,Товары!A:I,4,0)</f>
        <v>24150</v>
      </c>
      <c r="K7660">
        <f t="shared" si="119"/>
        <v>48300</v>
      </c>
    </row>
    <row r="7661" spans="1:11" hidden="1" x14ac:dyDescent="0.25">
      <c r="A7661">
        <v>7660</v>
      </c>
      <c r="B7661" s="1">
        <v>45750</v>
      </c>
      <c r="C7661" t="s">
        <v>48</v>
      </c>
      <c r="D7661" t="s">
        <v>38</v>
      </c>
      <c r="E7661" t="s">
        <v>13</v>
      </c>
      <c r="F7661">
        <v>2</v>
      </c>
      <c r="G7661" t="str">
        <f>VLOOKUP(D7661,Товары!A:I,3,0)</f>
        <v>Тумба с раковиной  навес. Куба Риф 600 белый 2 ящика с умыв. Como</v>
      </c>
      <c r="H7661">
        <f>VLOOKUP(D7661,Товары!A:I,6,0)</f>
        <v>55</v>
      </c>
      <c r="I7661" t="str">
        <f>VLOOKUP(C7661,Магазины!A:C,3,0)</f>
        <v>Ставрополь</v>
      </c>
      <c r="J7661">
        <f>VLOOKUP(D7661,Товары!A:I,4,0)</f>
        <v>14265</v>
      </c>
      <c r="K7661">
        <f t="shared" si="119"/>
        <v>28530</v>
      </c>
    </row>
    <row r="7662" spans="1:11" hidden="1" x14ac:dyDescent="0.25">
      <c r="A7662">
        <v>7661</v>
      </c>
      <c r="B7662" s="1">
        <v>45748</v>
      </c>
      <c r="C7662" t="s">
        <v>111</v>
      </c>
      <c r="D7662" t="s">
        <v>95</v>
      </c>
      <c r="E7662" t="s">
        <v>8</v>
      </c>
      <c r="F7662">
        <v>2</v>
      </c>
      <c r="G7662" t="str">
        <f>VLOOKUP(D7662,Товары!A:I,3,0)</f>
        <v>Тумба с раковиной  напол. Рица 600 антрацит 2 ящика с умыв. Океан</v>
      </c>
      <c r="H7662">
        <f>VLOOKUP(D7662,Товары!A:I,6,0)</f>
        <v>80</v>
      </c>
      <c r="I7662" t="str">
        <f>VLOOKUP(C7662,Магазины!A:C,3,0)</f>
        <v>Набережные Челны</v>
      </c>
      <c r="J7662">
        <f>VLOOKUP(D7662,Товары!A:I,4,0)</f>
        <v>25560</v>
      </c>
      <c r="K7662">
        <f t="shared" si="119"/>
        <v>51120</v>
      </c>
    </row>
    <row r="7663" spans="1:11" hidden="1" x14ac:dyDescent="0.25">
      <c r="A7663">
        <v>7662</v>
      </c>
      <c r="B7663" s="1">
        <v>45757</v>
      </c>
      <c r="C7663" t="s">
        <v>14</v>
      </c>
      <c r="D7663" t="s">
        <v>55</v>
      </c>
      <c r="E7663" t="s">
        <v>8</v>
      </c>
      <c r="F7663">
        <v>2</v>
      </c>
      <c r="G7663" t="str">
        <f>VLOOKUP(D7663,Товары!A:I,3,0)</f>
        <v>Тумба с раковиной  напол. Рица 600 cерый/керамика 2 ящика с умыв. Океан</v>
      </c>
      <c r="H7663">
        <f>VLOOKUP(D7663,Товары!A:I,6,0)</f>
        <v>80</v>
      </c>
      <c r="I7663" t="str">
        <f>VLOOKUP(C7663,Магазины!A:C,3,0)</f>
        <v>Оренбург</v>
      </c>
      <c r="J7663">
        <f>VLOOKUP(D7663,Товары!A:I,4,0)</f>
        <v>25560</v>
      </c>
      <c r="K7663">
        <f t="shared" si="119"/>
        <v>51120</v>
      </c>
    </row>
    <row r="7664" spans="1:11" hidden="1" x14ac:dyDescent="0.25">
      <c r="A7664">
        <v>7663</v>
      </c>
      <c r="B7664" s="1">
        <v>45753</v>
      </c>
      <c r="C7664" t="s">
        <v>54</v>
      </c>
      <c r="D7664" t="s">
        <v>83</v>
      </c>
      <c r="E7664" t="s">
        <v>8</v>
      </c>
      <c r="F7664">
        <v>1</v>
      </c>
      <c r="G7664" t="str">
        <f>VLOOKUP(D7664,Товары!A:I,3,0)</f>
        <v>Зеркальный шкаф Альба 60 со светильником правый цвет суфле</v>
      </c>
      <c r="H7664">
        <f>VLOOKUP(D7664,Товары!A:I,6,0)</f>
        <v>75</v>
      </c>
      <c r="I7664" t="str">
        <f>VLOOKUP(C7664,Магазины!A:C,3,0)</f>
        <v>Ставрополь</v>
      </c>
      <c r="J7664">
        <f>VLOOKUP(D7664,Товары!A:I,4,0)</f>
        <v>8910</v>
      </c>
      <c r="K7664">
        <f t="shared" si="119"/>
        <v>8910</v>
      </c>
    </row>
    <row r="7665" spans="1:11" hidden="1" x14ac:dyDescent="0.25">
      <c r="A7665">
        <v>7664</v>
      </c>
      <c r="B7665" s="1">
        <v>45756</v>
      </c>
      <c r="C7665" t="s">
        <v>33</v>
      </c>
      <c r="D7665" t="s">
        <v>44</v>
      </c>
      <c r="E7665" t="s">
        <v>8</v>
      </c>
      <c r="F7665">
        <v>3</v>
      </c>
      <c r="G7665" t="str">
        <f>VLOOKUP(D7665,Товары!A:I,3,0)</f>
        <v>Тумба с раковиной  навес. Кристалл 800 шато азур 2 ящика с умыв. Комфорт</v>
      </c>
      <c r="H7665">
        <f>VLOOKUP(D7665,Товары!A:I,6,0)</f>
        <v>55</v>
      </c>
      <c r="I7665" t="str">
        <f>VLOOKUP(C7665,Магазины!A:C,3,0)</f>
        <v>Набережные Челны</v>
      </c>
      <c r="J7665">
        <f>VLOOKUP(D7665,Товары!A:I,4,0)</f>
        <v>25080</v>
      </c>
      <c r="K7665">
        <f t="shared" si="119"/>
        <v>75240</v>
      </c>
    </row>
    <row r="7666" spans="1:11" hidden="1" x14ac:dyDescent="0.25">
      <c r="A7666">
        <v>7665</v>
      </c>
      <c r="B7666" s="1">
        <v>45756</v>
      </c>
      <c r="C7666" t="s">
        <v>28</v>
      </c>
      <c r="D7666" t="s">
        <v>44</v>
      </c>
      <c r="E7666" t="s">
        <v>8</v>
      </c>
      <c r="F7666">
        <v>2</v>
      </c>
      <c r="G7666" t="str">
        <f>VLOOKUP(D7666,Товары!A:I,3,0)</f>
        <v>Тумба с раковиной  навес. Кристалл 800 шато азур 2 ящика с умыв. Комфорт</v>
      </c>
      <c r="H7666">
        <f>VLOOKUP(D7666,Товары!A:I,6,0)</f>
        <v>55</v>
      </c>
      <c r="I7666" t="str">
        <f>VLOOKUP(C7666,Магазины!A:C,3,0)</f>
        <v>Набережные Челны</v>
      </c>
      <c r="J7666">
        <f>VLOOKUP(D7666,Товары!A:I,4,0)</f>
        <v>25080</v>
      </c>
      <c r="K7666">
        <f t="shared" si="119"/>
        <v>50160</v>
      </c>
    </row>
    <row r="7667" spans="1:11" hidden="1" x14ac:dyDescent="0.25">
      <c r="A7667">
        <v>7666</v>
      </c>
      <c r="B7667" s="1">
        <v>45750</v>
      </c>
      <c r="C7667" t="s">
        <v>11</v>
      </c>
      <c r="D7667" t="s">
        <v>116</v>
      </c>
      <c r="E7667" t="s">
        <v>8</v>
      </c>
      <c r="F7667">
        <v>2</v>
      </c>
      <c r="G7667" t="str">
        <f>VLOOKUP(D7667,Товары!A:I,3,0)</f>
        <v>Зеркало Нева 60 дуб/белый со светильником</v>
      </c>
      <c r="H7667">
        <f>VLOOKUP(D7667,Товары!A:I,6,0)</f>
        <v>80</v>
      </c>
      <c r="I7667" t="str">
        <f>VLOOKUP(C7667,Магазины!A:C,3,0)</f>
        <v>Кемерово</v>
      </c>
      <c r="J7667">
        <f>VLOOKUP(D7667,Товары!A:I,4,0)</f>
        <v>5100</v>
      </c>
      <c r="K7667">
        <f t="shared" si="119"/>
        <v>10200</v>
      </c>
    </row>
    <row r="7668" spans="1:11" hidden="1" x14ac:dyDescent="0.25">
      <c r="A7668">
        <v>7667</v>
      </c>
      <c r="B7668" s="1">
        <v>45757</v>
      </c>
      <c r="C7668" t="s">
        <v>41</v>
      </c>
      <c r="D7668" t="s">
        <v>55</v>
      </c>
      <c r="E7668" t="s">
        <v>8</v>
      </c>
      <c r="F7668">
        <v>3</v>
      </c>
      <c r="G7668" t="str">
        <f>VLOOKUP(D7668,Товары!A:I,3,0)</f>
        <v>Тумба с раковиной  напол. Рица 600 cерый/керамика 2 ящика с умыв. Океан</v>
      </c>
      <c r="H7668">
        <f>VLOOKUP(D7668,Товары!A:I,6,0)</f>
        <v>80</v>
      </c>
      <c r="I7668" t="str">
        <f>VLOOKUP(C7668,Магазины!A:C,3,0)</f>
        <v>Ставрополь</v>
      </c>
      <c r="J7668">
        <f>VLOOKUP(D7668,Товары!A:I,4,0)</f>
        <v>25560</v>
      </c>
      <c r="K7668">
        <f t="shared" si="119"/>
        <v>76680</v>
      </c>
    </row>
    <row r="7669" spans="1:11" hidden="1" x14ac:dyDescent="0.25">
      <c r="A7669">
        <v>7668</v>
      </c>
      <c r="B7669" s="1">
        <v>45752</v>
      </c>
      <c r="C7669" t="s">
        <v>63</v>
      </c>
      <c r="D7669" t="s">
        <v>49</v>
      </c>
      <c r="E7669" t="s">
        <v>13</v>
      </c>
      <c r="F7669">
        <v>1</v>
      </c>
      <c r="G7669" t="str">
        <f>VLOOKUP(D7669,Товары!A:I,3,0)</f>
        <v>Тумба с раковиной  напол. Леон 700 оникс 2 ящика с умыв. Слим</v>
      </c>
      <c r="H7669">
        <f>VLOOKUP(D7669,Товары!A:I,6,0)</f>
        <v>80</v>
      </c>
      <c r="I7669" t="str">
        <f>VLOOKUP(C7669,Магазины!A:C,3,0)</f>
        <v>Ставрополь</v>
      </c>
      <c r="J7669">
        <f>VLOOKUP(D7669,Товары!A:I,4,0)</f>
        <v>28380</v>
      </c>
      <c r="K7669">
        <f t="shared" si="119"/>
        <v>28380</v>
      </c>
    </row>
    <row r="7670" spans="1:11" hidden="1" x14ac:dyDescent="0.25">
      <c r="A7670">
        <v>7669</v>
      </c>
      <c r="B7670" s="1">
        <v>45753</v>
      </c>
      <c r="C7670" t="s">
        <v>92</v>
      </c>
      <c r="D7670" t="s">
        <v>77</v>
      </c>
      <c r="E7670" t="s">
        <v>8</v>
      </c>
      <c r="F7670">
        <v>1</v>
      </c>
      <c r="G7670" t="str">
        <f>VLOOKUP(D7670,Товары!A:I,3,0)</f>
        <v>Тумба с раковиной  напол. Куба Риф 600 белый 2 ящика с умыв. Como</v>
      </c>
      <c r="H7670">
        <f>VLOOKUP(D7670,Товары!A:I,6,0)</f>
        <v>85</v>
      </c>
      <c r="I7670" t="str">
        <f>VLOOKUP(C7670,Магазины!A:C,3,0)</f>
        <v>Кемерово</v>
      </c>
      <c r="J7670">
        <f>VLOOKUP(D7670,Товары!A:I,4,0)</f>
        <v>15660</v>
      </c>
      <c r="K7670">
        <f t="shared" si="119"/>
        <v>15660</v>
      </c>
    </row>
    <row r="7671" spans="1:11" hidden="1" x14ac:dyDescent="0.25">
      <c r="A7671">
        <v>7670</v>
      </c>
      <c r="B7671" s="1">
        <v>45755</v>
      </c>
      <c r="C7671" t="s">
        <v>18</v>
      </c>
      <c r="D7671" t="s">
        <v>104</v>
      </c>
      <c r="E7671" t="s">
        <v>13</v>
      </c>
      <c r="F7671">
        <v>2</v>
      </c>
      <c r="G7671" t="str">
        <f>VLOOKUP(D7671,Товары!A:I,3,0)</f>
        <v>Тумба под стиральную машину Куба Риф 57 подвесная 2 ящика под ст/маш, без умывальника /под Marshall 120 Белый</v>
      </c>
      <c r="H7671">
        <f>VLOOKUP(D7671,Товары!A:I,6,0)</f>
        <v>50</v>
      </c>
      <c r="I7671" t="str">
        <f>VLOOKUP(C7671,Магазины!A:C,3,0)</f>
        <v>Набережные Челны</v>
      </c>
      <c r="J7671">
        <f>VLOOKUP(D7671,Товары!A:I,4,0)</f>
        <v>8505</v>
      </c>
      <c r="K7671">
        <f t="shared" si="119"/>
        <v>17010</v>
      </c>
    </row>
    <row r="7672" spans="1:11" hidden="1" x14ac:dyDescent="0.25">
      <c r="A7672">
        <v>7671</v>
      </c>
      <c r="B7672" s="1">
        <v>45752</v>
      </c>
      <c r="C7672" t="s">
        <v>20</v>
      </c>
      <c r="D7672" t="s">
        <v>32</v>
      </c>
      <c r="E7672" t="s">
        <v>8</v>
      </c>
      <c r="F7672">
        <v>2</v>
      </c>
      <c r="G7672" t="str">
        <f>VLOOKUP(D7672,Товары!A:I,3,0)</f>
        <v>Тумба с раковиной  напол. Леон Риф 700 солярис/белый риф 2 ящика с умыв. Слим</v>
      </c>
      <c r="H7672">
        <f>VLOOKUP(D7672,Товары!A:I,6,0)</f>
        <v>85</v>
      </c>
      <c r="I7672" t="str">
        <f>VLOOKUP(C7672,Магазины!A:C,3,0)</f>
        <v>Оренбург</v>
      </c>
      <c r="J7672">
        <f>VLOOKUP(D7672,Товары!A:I,4,0)</f>
        <v>26460</v>
      </c>
      <c r="K7672">
        <f t="shared" si="119"/>
        <v>52920</v>
      </c>
    </row>
    <row r="7673" spans="1:11" hidden="1" x14ac:dyDescent="0.25">
      <c r="A7673">
        <v>7672</v>
      </c>
      <c r="B7673" s="1">
        <v>45749</v>
      </c>
      <c r="C7673" t="s">
        <v>6</v>
      </c>
      <c r="D7673" t="s">
        <v>38</v>
      </c>
      <c r="E7673" t="s">
        <v>8</v>
      </c>
      <c r="F7673">
        <v>2</v>
      </c>
      <c r="G7673" t="str">
        <f>VLOOKUP(D7673,Товары!A:I,3,0)</f>
        <v>Тумба с раковиной  навес. Куба Риф 600 белый 2 ящика с умыв. Como</v>
      </c>
      <c r="H7673">
        <f>VLOOKUP(D7673,Товары!A:I,6,0)</f>
        <v>55</v>
      </c>
      <c r="I7673" t="str">
        <f>VLOOKUP(C7673,Магазины!A:C,3,0)</f>
        <v>Оренбург</v>
      </c>
      <c r="J7673">
        <f>VLOOKUP(D7673,Товары!A:I,4,0)</f>
        <v>14265</v>
      </c>
      <c r="K7673">
        <f t="shared" si="119"/>
        <v>28530</v>
      </c>
    </row>
    <row r="7674" spans="1:11" hidden="1" x14ac:dyDescent="0.25">
      <c r="A7674">
        <v>7673</v>
      </c>
      <c r="B7674" s="1">
        <v>45753</v>
      </c>
      <c r="C7674" t="s">
        <v>16</v>
      </c>
      <c r="D7674" t="s">
        <v>125</v>
      </c>
      <c r="E7674" t="s">
        <v>13</v>
      </c>
      <c r="F7674">
        <v>1</v>
      </c>
      <c r="G7674" t="str">
        <f>VLOOKUP(D7674,Товары!A:I,3,0)</f>
        <v>Зеркальный шкаф Сохо 60 белый со светильником правый цвет Белый глянец</v>
      </c>
      <c r="H7674">
        <f>VLOOKUP(D7674,Товары!A:I,6,0)</f>
        <v>75</v>
      </c>
      <c r="I7674" t="str">
        <f>VLOOKUP(C7674,Магазины!A:C,3,0)</f>
        <v>Оренбург</v>
      </c>
      <c r="J7674">
        <f>VLOOKUP(D7674,Товары!A:I,4,0)</f>
        <v>7395</v>
      </c>
      <c r="K7674">
        <f t="shared" si="119"/>
        <v>7395</v>
      </c>
    </row>
    <row r="7675" spans="1:11" hidden="1" x14ac:dyDescent="0.25">
      <c r="A7675">
        <v>7674</v>
      </c>
      <c r="B7675" s="1">
        <v>45749</v>
      </c>
      <c r="C7675" t="s">
        <v>92</v>
      </c>
      <c r="D7675" t="s">
        <v>122</v>
      </c>
      <c r="E7675" t="s">
        <v>8</v>
      </c>
      <c r="F7675">
        <v>1</v>
      </c>
      <c r="G7675" t="str">
        <f>VLOOKUP(D7675,Товары!A:I,3,0)</f>
        <v>Тумба с раковиной  навес. Кристалл 600 шато азур 2 ящика с умыв. Океан</v>
      </c>
      <c r="H7675">
        <f>VLOOKUP(D7675,Товары!A:I,6,0)</f>
        <v>55</v>
      </c>
      <c r="I7675" t="str">
        <f>VLOOKUP(C7675,Магазины!A:C,3,0)</f>
        <v>Кемерово</v>
      </c>
      <c r="J7675">
        <f>VLOOKUP(D7675,Товары!A:I,4,0)</f>
        <v>21960</v>
      </c>
      <c r="K7675">
        <f t="shared" si="119"/>
        <v>21960</v>
      </c>
    </row>
    <row r="7676" spans="1:11" hidden="1" x14ac:dyDescent="0.25">
      <c r="A7676">
        <v>7675</v>
      </c>
      <c r="B7676" s="1">
        <v>45750</v>
      </c>
      <c r="C7676" t="s">
        <v>16</v>
      </c>
      <c r="D7676" t="s">
        <v>121</v>
      </c>
      <c r="E7676" t="s">
        <v>13</v>
      </c>
      <c r="F7676">
        <v>1</v>
      </c>
      <c r="G7676" t="str">
        <f>VLOOKUP(D7676,Товары!A:I,3,0)</f>
        <v>Тумба с раковиной  напол. Куба Риф 600 белый 2 двери с умыв. Como</v>
      </c>
      <c r="H7676">
        <f>VLOOKUP(D7676,Товары!A:I,6,0)</f>
        <v>85</v>
      </c>
      <c r="I7676" t="str">
        <f>VLOOKUP(C7676,Магазины!A:C,3,0)</f>
        <v>Оренбург</v>
      </c>
      <c r="J7676">
        <f>VLOOKUP(D7676,Товары!A:I,4,0)</f>
        <v>13695</v>
      </c>
      <c r="K7676">
        <f t="shared" si="119"/>
        <v>13695</v>
      </c>
    </row>
    <row r="7677" spans="1:11" hidden="1" x14ac:dyDescent="0.25">
      <c r="A7677">
        <v>7676</v>
      </c>
      <c r="B7677" s="1">
        <v>45751</v>
      </c>
      <c r="C7677" t="s">
        <v>63</v>
      </c>
      <c r="D7677" t="s">
        <v>77</v>
      </c>
      <c r="E7677" t="s">
        <v>8</v>
      </c>
      <c r="F7677">
        <v>3</v>
      </c>
      <c r="G7677" t="str">
        <f>VLOOKUP(D7677,Товары!A:I,3,0)</f>
        <v>Тумба с раковиной  напол. Куба Риф 600 белый 2 ящика с умыв. Como</v>
      </c>
      <c r="H7677">
        <f>VLOOKUP(D7677,Товары!A:I,6,0)</f>
        <v>85</v>
      </c>
      <c r="I7677" t="str">
        <f>VLOOKUP(C7677,Магазины!A:C,3,0)</f>
        <v>Ставрополь</v>
      </c>
      <c r="J7677">
        <f>VLOOKUP(D7677,Товары!A:I,4,0)</f>
        <v>15660</v>
      </c>
      <c r="K7677">
        <f t="shared" si="119"/>
        <v>46980</v>
      </c>
    </row>
    <row r="7678" spans="1:11" hidden="1" x14ac:dyDescent="0.25">
      <c r="A7678">
        <v>7677</v>
      </c>
      <c r="B7678" s="1">
        <v>45748</v>
      </c>
      <c r="C7678" t="s">
        <v>16</v>
      </c>
      <c r="D7678" t="s">
        <v>124</v>
      </c>
      <c r="E7678" t="s">
        <v>13</v>
      </c>
      <c r="F7678">
        <v>3</v>
      </c>
      <c r="G7678" t="str">
        <f>VLOOKUP(D7678,Товары!A:I,3,0)</f>
        <v>Тумба с раковиной  напол. Леон 600 оникс 2 ящика с умыв. Океан</v>
      </c>
      <c r="H7678">
        <f>VLOOKUP(D7678,Товары!A:I,6,0)</f>
        <v>80</v>
      </c>
      <c r="I7678" t="str">
        <f>VLOOKUP(C7678,Магазины!A:C,3,0)</f>
        <v>Оренбург</v>
      </c>
      <c r="J7678">
        <f>VLOOKUP(D7678,Товары!A:I,4,0)</f>
        <v>25860</v>
      </c>
      <c r="K7678">
        <f t="shared" si="119"/>
        <v>77580</v>
      </c>
    </row>
    <row r="7679" spans="1:11" hidden="1" x14ac:dyDescent="0.25">
      <c r="A7679">
        <v>7678</v>
      </c>
      <c r="B7679" s="1">
        <v>45749</v>
      </c>
      <c r="C7679" t="s">
        <v>63</v>
      </c>
      <c r="D7679" t="s">
        <v>27</v>
      </c>
      <c r="E7679" t="s">
        <v>13</v>
      </c>
      <c r="F7679">
        <v>1</v>
      </c>
      <c r="G7679" t="str">
        <f>VLOOKUP(D7679,Товары!A:I,3,0)</f>
        <v>Тумба с раковиной  навес. Виктория 800 белый 2 ящика с умыв. Слим</v>
      </c>
      <c r="H7679">
        <f>VLOOKUP(D7679,Товары!A:I,6,0)</f>
        <v>60</v>
      </c>
      <c r="I7679" t="str">
        <f>VLOOKUP(C7679,Магазины!A:C,3,0)</f>
        <v>Ставрополь</v>
      </c>
      <c r="J7679">
        <f>VLOOKUP(D7679,Товары!A:I,4,0)</f>
        <v>25290</v>
      </c>
      <c r="K7679">
        <f t="shared" si="119"/>
        <v>25290</v>
      </c>
    </row>
    <row r="7680" spans="1:11" hidden="1" x14ac:dyDescent="0.25">
      <c r="A7680">
        <v>7679</v>
      </c>
      <c r="B7680" s="1">
        <v>45755</v>
      </c>
      <c r="C7680" t="s">
        <v>33</v>
      </c>
      <c r="D7680" t="s">
        <v>106</v>
      </c>
      <c r="E7680" t="s">
        <v>8</v>
      </c>
      <c r="F7680">
        <v>1</v>
      </c>
      <c r="G7680" t="str">
        <f>VLOOKUP(D7680,Товары!A:I,3,0)</f>
        <v>Тумба с раковиной  навес. Кристалл 700 шато азур 2 ящика с умыв. Слим</v>
      </c>
      <c r="H7680">
        <f>VLOOKUP(D7680,Товары!A:I,6,0)</f>
        <v>60</v>
      </c>
      <c r="I7680" t="str">
        <f>VLOOKUP(C7680,Магазины!A:C,3,0)</f>
        <v>Набережные Челны</v>
      </c>
      <c r="J7680">
        <f>VLOOKUP(D7680,Товары!A:I,4,0)</f>
        <v>24150</v>
      </c>
      <c r="K7680">
        <f t="shared" si="119"/>
        <v>24150</v>
      </c>
    </row>
    <row r="7681" spans="1:11" hidden="1" x14ac:dyDescent="0.25">
      <c r="A7681">
        <v>7680</v>
      </c>
      <c r="B7681" s="1">
        <v>45757</v>
      </c>
      <c r="C7681" t="s">
        <v>14</v>
      </c>
      <c r="D7681" t="s">
        <v>127</v>
      </c>
      <c r="E7681" t="s">
        <v>13</v>
      </c>
      <c r="F7681">
        <v>3</v>
      </c>
      <c r="G7681" t="str">
        <f>VLOOKUP(D7681,Товары!A:I,3,0)</f>
        <v>Тумба с раковиной  навес. Альба 700 мята 1 ящик с умыв. Слим</v>
      </c>
      <c r="H7681">
        <f>VLOOKUP(D7681,Товары!A:I,6,0)</f>
        <v>45</v>
      </c>
      <c r="I7681" t="str">
        <f>VLOOKUP(C7681,Магазины!A:C,3,0)</f>
        <v>Оренбург</v>
      </c>
      <c r="J7681">
        <f>VLOOKUP(D7681,Товары!A:I,4,0)</f>
        <v>20130</v>
      </c>
      <c r="K7681">
        <f t="shared" si="119"/>
        <v>60390</v>
      </c>
    </row>
    <row r="7682" spans="1:11" hidden="1" x14ac:dyDescent="0.25">
      <c r="A7682">
        <v>7681</v>
      </c>
      <c r="B7682" s="1">
        <v>45749</v>
      </c>
      <c r="C7682" t="s">
        <v>22</v>
      </c>
      <c r="D7682" t="s">
        <v>55</v>
      </c>
      <c r="E7682" t="s">
        <v>8</v>
      </c>
      <c r="F7682">
        <v>3</v>
      </c>
      <c r="G7682" t="str">
        <f>VLOOKUP(D7682,Товары!A:I,3,0)</f>
        <v>Тумба с раковиной  напол. Рица 600 cерый/керамика 2 ящика с умыв. Океан</v>
      </c>
      <c r="H7682">
        <f>VLOOKUP(D7682,Товары!A:I,6,0)</f>
        <v>80</v>
      </c>
      <c r="I7682" t="str">
        <f>VLOOKUP(C7682,Магазины!A:C,3,0)</f>
        <v>Кемерово</v>
      </c>
      <c r="J7682">
        <f>VLOOKUP(D7682,Товары!A:I,4,0)</f>
        <v>25560</v>
      </c>
      <c r="K7682">
        <f t="shared" si="119"/>
        <v>76680</v>
      </c>
    </row>
    <row r="7683" spans="1:11" hidden="1" x14ac:dyDescent="0.25">
      <c r="A7683">
        <v>7682</v>
      </c>
      <c r="B7683" s="1">
        <v>45756</v>
      </c>
      <c r="C7683" t="s">
        <v>43</v>
      </c>
      <c r="D7683" t="s">
        <v>124</v>
      </c>
      <c r="E7683" t="s">
        <v>13</v>
      </c>
      <c r="F7683">
        <v>3</v>
      </c>
      <c r="G7683" t="str">
        <f>VLOOKUP(D7683,Товары!A:I,3,0)</f>
        <v>Тумба с раковиной  напол. Леон 600 оникс 2 ящика с умыв. Океан</v>
      </c>
      <c r="H7683">
        <f>VLOOKUP(D7683,Товары!A:I,6,0)</f>
        <v>80</v>
      </c>
      <c r="I7683" t="str">
        <f>VLOOKUP(C7683,Магазины!A:C,3,0)</f>
        <v>Набережные Челны</v>
      </c>
      <c r="J7683">
        <f>VLOOKUP(D7683,Товары!A:I,4,0)</f>
        <v>25860</v>
      </c>
      <c r="K7683">
        <f t="shared" ref="K7683:K7701" si="120">J7683*F7683</f>
        <v>77580</v>
      </c>
    </row>
    <row r="7684" spans="1:11" hidden="1" x14ac:dyDescent="0.25">
      <c r="A7684">
        <v>7683</v>
      </c>
      <c r="B7684" s="1">
        <v>45755</v>
      </c>
      <c r="C7684" t="s">
        <v>9</v>
      </c>
      <c r="D7684" t="s">
        <v>106</v>
      </c>
      <c r="E7684" t="s">
        <v>8</v>
      </c>
      <c r="F7684">
        <v>1</v>
      </c>
      <c r="G7684" t="str">
        <f>VLOOKUP(D7684,Товары!A:I,3,0)</f>
        <v>Тумба с раковиной  навес. Кристалл 700 шато азур 2 ящика с умыв. Слим</v>
      </c>
      <c r="H7684">
        <f>VLOOKUP(D7684,Товары!A:I,6,0)</f>
        <v>60</v>
      </c>
      <c r="I7684" t="str">
        <f>VLOOKUP(C7684,Магазины!A:C,3,0)</f>
        <v>Кемерово</v>
      </c>
      <c r="J7684">
        <f>VLOOKUP(D7684,Товары!A:I,4,0)</f>
        <v>24150</v>
      </c>
      <c r="K7684">
        <f t="shared" si="120"/>
        <v>24150</v>
      </c>
    </row>
    <row r="7685" spans="1:11" hidden="1" x14ac:dyDescent="0.25">
      <c r="A7685">
        <v>7684</v>
      </c>
      <c r="B7685" s="1">
        <v>45755</v>
      </c>
      <c r="C7685" t="s">
        <v>6</v>
      </c>
      <c r="D7685" t="s">
        <v>61</v>
      </c>
      <c r="E7685" t="s">
        <v>13</v>
      </c>
      <c r="F7685">
        <v>1</v>
      </c>
      <c r="G7685" t="str">
        <f>VLOOKUP(D7685,Товары!A:I,3,0)</f>
        <v>Тумба под стиральную машину Леон Риф 57 напольная 2 ящика под ст/маш, без умывальника /под Marshall 120 Солярис/Белый Риф</v>
      </c>
      <c r="H7685">
        <f>VLOOKUP(D7685,Товары!A:I,6,0)</f>
        <v>85</v>
      </c>
      <c r="I7685" t="str">
        <f>VLOOKUP(C7685,Магазины!A:C,3,0)</f>
        <v>Оренбург</v>
      </c>
      <c r="J7685">
        <f>VLOOKUP(D7685,Товары!A:I,4,0)</f>
        <v>17430</v>
      </c>
      <c r="K7685">
        <f t="shared" si="120"/>
        <v>17430</v>
      </c>
    </row>
    <row r="7686" spans="1:11" hidden="1" x14ac:dyDescent="0.25">
      <c r="A7686">
        <v>7685</v>
      </c>
      <c r="B7686" s="1">
        <v>45749</v>
      </c>
      <c r="C7686" t="s">
        <v>54</v>
      </c>
      <c r="D7686" t="s">
        <v>104</v>
      </c>
      <c r="E7686" t="s">
        <v>8</v>
      </c>
      <c r="F7686">
        <v>1</v>
      </c>
      <c r="G7686" t="str">
        <f>VLOOKUP(D7686,Товары!A:I,3,0)</f>
        <v>Тумба под стиральную машину Куба Риф 57 подвесная 2 ящика под ст/маш, без умывальника /под Marshall 120 Белый</v>
      </c>
      <c r="H7686">
        <f>VLOOKUP(D7686,Товары!A:I,6,0)</f>
        <v>50</v>
      </c>
      <c r="I7686" t="str">
        <f>VLOOKUP(C7686,Магазины!A:C,3,0)</f>
        <v>Ставрополь</v>
      </c>
      <c r="J7686">
        <f>VLOOKUP(D7686,Товары!A:I,4,0)</f>
        <v>8505</v>
      </c>
      <c r="K7686">
        <f t="shared" si="120"/>
        <v>8505</v>
      </c>
    </row>
    <row r="7687" spans="1:11" hidden="1" x14ac:dyDescent="0.25">
      <c r="A7687">
        <v>7686</v>
      </c>
      <c r="B7687" s="1">
        <v>45752</v>
      </c>
      <c r="C7687" t="s">
        <v>111</v>
      </c>
      <c r="D7687" t="s">
        <v>102</v>
      </c>
      <c r="E7687" t="s">
        <v>8</v>
      </c>
      <c r="F7687">
        <v>2</v>
      </c>
      <c r="G7687" t="str">
        <f>VLOOKUP(D7687,Товары!A:I,3,0)</f>
        <v>Тумба с раковиной  напол. Леон Риф 1000 солярис/белый риф 2 ящика с умыв. Слим</v>
      </c>
      <c r="H7687">
        <f>VLOOKUP(D7687,Товары!A:I,6,0)</f>
        <v>85</v>
      </c>
      <c r="I7687" t="str">
        <f>VLOOKUP(C7687,Магазины!A:C,3,0)</f>
        <v>Набережные Челны</v>
      </c>
      <c r="J7687">
        <f>VLOOKUP(D7687,Товары!A:I,4,0)</f>
        <v>32085</v>
      </c>
      <c r="K7687">
        <f t="shared" si="120"/>
        <v>64170</v>
      </c>
    </row>
    <row r="7688" spans="1:11" hidden="1" x14ac:dyDescent="0.25">
      <c r="A7688">
        <v>7687</v>
      </c>
      <c r="B7688" s="1">
        <v>45749</v>
      </c>
      <c r="C7688" t="s">
        <v>6</v>
      </c>
      <c r="D7688" t="s">
        <v>31</v>
      </c>
      <c r="E7688" t="s">
        <v>13</v>
      </c>
      <c r="F7688">
        <v>1</v>
      </c>
      <c r="G7688" t="str">
        <f>VLOOKUP(D7688,Товары!A:I,3,0)</f>
        <v>Пенал напол. Виктория 350 белый 2 двери</v>
      </c>
      <c r="H7688">
        <f>VLOOKUP(D7688,Товары!A:I,6,0)</f>
        <v>190</v>
      </c>
      <c r="I7688" t="str">
        <f>VLOOKUP(C7688,Магазины!A:C,3,0)</f>
        <v>Оренбург</v>
      </c>
      <c r="J7688">
        <f>VLOOKUP(D7688,Товары!A:I,4,0)</f>
        <v>14085</v>
      </c>
      <c r="K7688">
        <f t="shared" si="120"/>
        <v>14085</v>
      </c>
    </row>
    <row r="7689" spans="1:11" hidden="1" x14ac:dyDescent="0.25">
      <c r="A7689">
        <v>7688</v>
      </c>
      <c r="B7689" s="1">
        <v>45749</v>
      </c>
      <c r="C7689" t="s">
        <v>43</v>
      </c>
      <c r="D7689" t="s">
        <v>89</v>
      </c>
      <c r="E7689" t="s">
        <v>8</v>
      </c>
      <c r="F7689">
        <v>1</v>
      </c>
      <c r="G7689" t="str">
        <f>VLOOKUP(D7689,Товары!A:I,3,0)</f>
        <v>Тумба с раковиной  напол. Сохо 600 белый 2 двери с умыв. Океан</v>
      </c>
      <c r="H7689">
        <f>VLOOKUP(D7689,Товары!A:I,6,0)</f>
        <v>85</v>
      </c>
      <c r="I7689" t="str">
        <f>VLOOKUP(C7689,Магазины!A:C,3,0)</f>
        <v>Набережные Челны</v>
      </c>
      <c r="J7689">
        <f>VLOOKUP(D7689,Товары!A:I,4,0)</f>
        <v>14880</v>
      </c>
      <c r="K7689">
        <f t="shared" si="120"/>
        <v>14880</v>
      </c>
    </row>
    <row r="7690" spans="1:11" hidden="1" x14ac:dyDescent="0.25">
      <c r="A7690">
        <v>7689</v>
      </c>
      <c r="B7690" s="1">
        <v>45754</v>
      </c>
      <c r="C7690" t="s">
        <v>57</v>
      </c>
      <c r="D7690" t="s">
        <v>95</v>
      </c>
      <c r="E7690" t="s">
        <v>13</v>
      </c>
      <c r="F7690">
        <v>2</v>
      </c>
      <c r="G7690" t="str">
        <f>VLOOKUP(D7690,Товары!A:I,3,0)</f>
        <v>Тумба с раковиной  напол. Рица 600 антрацит 2 ящика с умыв. Океан</v>
      </c>
      <c r="H7690">
        <f>VLOOKUP(D7690,Товары!A:I,6,0)</f>
        <v>80</v>
      </c>
      <c r="I7690" t="str">
        <f>VLOOKUP(C7690,Магазины!A:C,3,0)</f>
        <v>Оренбург</v>
      </c>
      <c r="J7690">
        <f>VLOOKUP(D7690,Товары!A:I,4,0)</f>
        <v>25560</v>
      </c>
      <c r="K7690">
        <f t="shared" si="120"/>
        <v>51120</v>
      </c>
    </row>
    <row r="7691" spans="1:11" hidden="1" x14ac:dyDescent="0.25">
      <c r="A7691">
        <v>7690</v>
      </c>
      <c r="B7691" s="1">
        <v>45757</v>
      </c>
      <c r="C7691" t="s">
        <v>14</v>
      </c>
      <c r="D7691" t="s">
        <v>27</v>
      </c>
      <c r="E7691" t="s">
        <v>13</v>
      </c>
      <c r="F7691">
        <v>1</v>
      </c>
      <c r="G7691" t="str">
        <f>VLOOKUP(D7691,Товары!A:I,3,0)</f>
        <v>Тумба с раковиной  навес. Виктория 800 белый 2 ящика с умыв. Слим</v>
      </c>
      <c r="H7691">
        <f>VLOOKUP(D7691,Товары!A:I,6,0)</f>
        <v>60</v>
      </c>
      <c r="I7691" t="str">
        <f>VLOOKUP(C7691,Магазины!A:C,3,0)</f>
        <v>Оренбург</v>
      </c>
      <c r="J7691">
        <f>VLOOKUP(D7691,Товары!A:I,4,0)</f>
        <v>25290</v>
      </c>
      <c r="K7691">
        <f t="shared" si="120"/>
        <v>25290</v>
      </c>
    </row>
    <row r="7692" spans="1:11" hidden="1" x14ac:dyDescent="0.25">
      <c r="A7692">
        <v>7691</v>
      </c>
      <c r="B7692" s="1">
        <v>45749</v>
      </c>
      <c r="C7692" t="s">
        <v>111</v>
      </c>
      <c r="D7692" t="s">
        <v>121</v>
      </c>
      <c r="E7692" t="s">
        <v>8</v>
      </c>
      <c r="F7692">
        <v>1</v>
      </c>
      <c r="G7692" t="str">
        <f>VLOOKUP(D7692,Товары!A:I,3,0)</f>
        <v>Тумба с раковиной  напол. Куба Риф 600 белый 2 двери с умыв. Como</v>
      </c>
      <c r="H7692">
        <f>VLOOKUP(D7692,Товары!A:I,6,0)</f>
        <v>85</v>
      </c>
      <c r="I7692" t="str">
        <f>VLOOKUP(C7692,Магазины!A:C,3,0)</f>
        <v>Набережные Челны</v>
      </c>
      <c r="J7692">
        <f>VLOOKUP(D7692,Товары!A:I,4,0)</f>
        <v>13695</v>
      </c>
      <c r="K7692">
        <f t="shared" si="120"/>
        <v>13695</v>
      </c>
    </row>
    <row r="7693" spans="1:11" hidden="1" x14ac:dyDescent="0.25">
      <c r="A7693">
        <v>7692</v>
      </c>
      <c r="B7693" s="1">
        <v>45754</v>
      </c>
      <c r="C7693" t="s">
        <v>54</v>
      </c>
      <c r="D7693" t="s">
        <v>36</v>
      </c>
      <c r="E7693" t="s">
        <v>13</v>
      </c>
      <c r="F7693">
        <v>3</v>
      </c>
      <c r="G7693" t="str">
        <f>VLOOKUP(D7693,Товары!A:I,3,0)</f>
        <v>Тумба с раковиной  напол. Альба 800 мята 2 ящика с умыв. Слим</v>
      </c>
      <c r="H7693">
        <f>VLOOKUP(D7693,Товары!A:I,6,0)</f>
        <v>80</v>
      </c>
      <c r="I7693" t="str">
        <f>VLOOKUP(C7693,Магазины!A:C,3,0)</f>
        <v>Ставрополь</v>
      </c>
      <c r="J7693">
        <f>VLOOKUP(D7693,Товары!A:I,4,0)</f>
        <v>29340</v>
      </c>
      <c r="K7693">
        <f t="shared" si="120"/>
        <v>88020</v>
      </c>
    </row>
    <row r="7694" spans="1:11" hidden="1" x14ac:dyDescent="0.25">
      <c r="A7694">
        <v>7693</v>
      </c>
      <c r="B7694" s="1">
        <v>45750</v>
      </c>
      <c r="C7694" t="s">
        <v>22</v>
      </c>
      <c r="D7694" t="s">
        <v>71</v>
      </c>
      <c r="E7694" t="s">
        <v>13</v>
      </c>
      <c r="F7694">
        <v>2</v>
      </c>
      <c r="G7694" t="str">
        <f>VLOOKUP(D7694,Товары!A:I,3,0)</f>
        <v>Тумба с раковиной  навес. Альба 600 мята 2 ящика с умыв. Океан</v>
      </c>
      <c r="H7694">
        <f>VLOOKUP(D7694,Товары!A:I,6,0)</f>
        <v>50</v>
      </c>
      <c r="I7694" t="str">
        <f>VLOOKUP(C7694,Магазины!A:C,3,0)</f>
        <v>Кемерово</v>
      </c>
      <c r="J7694">
        <f>VLOOKUP(D7694,Товары!A:I,4,0)</f>
        <v>24810</v>
      </c>
      <c r="K7694">
        <f t="shared" si="120"/>
        <v>49620</v>
      </c>
    </row>
    <row r="7695" spans="1:11" hidden="1" x14ac:dyDescent="0.25">
      <c r="A7695">
        <v>7694</v>
      </c>
      <c r="B7695" s="1">
        <v>45754</v>
      </c>
      <c r="C7695" t="s">
        <v>41</v>
      </c>
      <c r="D7695" t="s">
        <v>38</v>
      </c>
      <c r="E7695" t="s">
        <v>8</v>
      </c>
      <c r="F7695">
        <v>2</v>
      </c>
      <c r="G7695" t="str">
        <f>VLOOKUP(D7695,Товары!A:I,3,0)</f>
        <v>Тумба с раковиной  навес. Куба Риф 600 белый 2 ящика с умыв. Como</v>
      </c>
      <c r="H7695">
        <f>VLOOKUP(D7695,Товары!A:I,6,0)</f>
        <v>55</v>
      </c>
      <c r="I7695" t="str">
        <f>VLOOKUP(C7695,Магазины!A:C,3,0)</f>
        <v>Ставрополь</v>
      </c>
      <c r="J7695">
        <f>VLOOKUP(D7695,Товары!A:I,4,0)</f>
        <v>14265</v>
      </c>
      <c r="K7695">
        <f t="shared" si="120"/>
        <v>28530</v>
      </c>
    </row>
    <row r="7696" spans="1:11" hidden="1" x14ac:dyDescent="0.25">
      <c r="A7696">
        <v>7695</v>
      </c>
      <c r="B7696" s="1">
        <v>45751</v>
      </c>
      <c r="C7696" t="s">
        <v>16</v>
      </c>
      <c r="D7696" t="s">
        <v>67</v>
      </c>
      <c r="E7696" t="s">
        <v>8</v>
      </c>
      <c r="F7696">
        <v>1</v>
      </c>
      <c r="G7696" t="str">
        <f>VLOOKUP(D7696,Товары!A:I,3,0)</f>
        <v>Пенал навес./напол. Альба 350 суфле 2 двери</v>
      </c>
      <c r="H7696">
        <f>VLOOKUP(D7696,Товары!A:I,6,0)</f>
        <v>150</v>
      </c>
      <c r="I7696" t="str">
        <f>VLOOKUP(C7696,Магазины!A:C,3,0)</f>
        <v>Оренбург</v>
      </c>
      <c r="J7696">
        <f>VLOOKUP(D7696,Товары!A:I,4,0)</f>
        <v>11655</v>
      </c>
      <c r="K7696">
        <f t="shared" si="120"/>
        <v>11655</v>
      </c>
    </row>
    <row r="7697" spans="1:11" hidden="1" x14ac:dyDescent="0.25">
      <c r="A7697">
        <v>7696</v>
      </c>
      <c r="B7697" s="1">
        <v>45749</v>
      </c>
      <c r="C7697" t="s">
        <v>11</v>
      </c>
      <c r="D7697" t="s">
        <v>72</v>
      </c>
      <c r="E7697" t="s">
        <v>13</v>
      </c>
      <c r="F7697">
        <v>3</v>
      </c>
      <c r="G7697" t="str">
        <f>VLOOKUP(D7697,Товары!A:I,3,0)</f>
        <v>Тумба с раковиной  напол. Сохо 600 белый 2 ящика с умыв. Океан</v>
      </c>
      <c r="H7697">
        <f>VLOOKUP(D7697,Товары!A:I,6,0)</f>
        <v>85</v>
      </c>
      <c r="I7697" t="str">
        <f>VLOOKUP(C7697,Магазины!A:C,3,0)</f>
        <v>Кемерово</v>
      </c>
      <c r="J7697">
        <f>VLOOKUP(D7697,Товары!A:I,4,0)</f>
        <v>16140</v>
      </c>
      <c r="K7697">
        <f t="shared" si="120"/>
        <v>48420</v>
      </c>
    </row>
    <row r="7698" spans="1:11" hidden="1" x14ac:dyDescent="0.25">
      <c r="A7698">
        <v>7697</v>
      </c>
      <c r="B7698" s="1">
        <v>45756</v>
      </c>
      <c r="C7698" t="s">
        <v>35</v>
      </c>
      <c r="D7698" t="s">
        <v>112</v>
      </c>
      <c r="E7698" t="s">
        <v>13</v>
      </c>
      <c r="F7698">
        <v>1</v>
      </c>
      <c r="G7698" t="str">
        <f>VLOOKUP(D7698,Товары!A:I,3,0)</f>
        <v>Тумба с раковиной  напол. Аква 560 белый 2 двери с умыв. Уют</v>
      </c>
      <c r="H7698">
        <f>VLOOKUP(D7698,Товары!A:I,6,0)</f>
        <v>85</v>
      </c>
      <c r="I7698" t="str">
        <f>VLOOKUP(C7698,Магазины!A:C,3,0)</f>
        <v>Набережные Челны</v>
      </c>
      <c r="J7698">
        <f>VLOOKUP(D7698,Товары!A:I,4,0)</f>
        <v>9330</v>
      </c>
      <c r="K7698">
        <f t="shared" si="120"/>
        <v>9330</v>
      </c>
    </row>
    <row r="7699" spans="1:11" hidden="1" x14ac:dyDescent="0.25">
      <c r="A7699">
        <v>7698</v>
      </c>
      <c r="B7699" s="1">
        <v>45752</v>
      </c>
      <c r="C7699" t="s">
        <v>58</v>
      </c>
      <c r="D7699" t="s">
        <v>94</v>
      </c>
      <c r="E7699" t="s">
        <v>8</v>
      </c>
      <c r="F7699">
        <v>2</v>
      </c>
      <c r="G7699" t="str">
        <f>VLOOKUP(D7699,Товары!A:I,3,0)</f>
        <v>Зеркальный шкаф Альба 80 со светильником правый цвет антрацит</v>
      </c>
      <c r="H7699">
        <f>VLOOKUP(D7699,Товары!A:I,6,0)</f>
        <v>75</v>
      </c>
      <c r="I7699" t="str">
        <f>VLOOKUP(C7699,Магазины!A:C,3,0)</f>
        <v>Ставрополь</v>
      </c>
      <c r="J7699">
        <f>VLOOKUP(D7699,Товары!A:I,4,0)</f>
        <v>9930</v>
      </c>
      <c r="K7699">
        <f t="shared" si="120"/>
        <v>19860</v>
      </c>
    </row>
    <row r="7700" spans="1:11" hidden="1" x14ac:dyDescent="0.25">
      <c r="A7700">
        <v>7699</v>
      </c>
      <c r="B7700" s="1">
        <v>45748</v>
      </c>
      <c r="C7700" t="s">
        <v>16</v>
      </c>
      <c r="D7700" t="s">
        <v>45</v>
      </c>
      <c r="E7700" t="s">
        <v>8</v>
      </c>
      <c r="F7700">
        <v>3</v>
      </c>
      <c r="G7700" t="str">
        <f>VLOOKUP(D7700,Товары!A:I,3,0)</f>
        <v>Зеркальный шкаф Рица 80 со светильником правый цвет cерый/керамика</v>
      </c>
      <c r="H7700">
        <f>VLOOKUP(D7700,Товары!A:I,6,0)</f>
        <v>75</v>
      </c>
      <c r="I7700" t="str">
        <f>VLOOKUP(C7700,Магазины!A:C,3,0)</f>
        <v>Оренбург</v>
      </c>
      <c r="J7700">
        <f>VLOOKUP(D7700,Товары!A:I,4,0)</f>
        <v>9930</v>
      </c>
      <c r="K7700">
        <f t="shared" si="120"/>
        <v>29790</v>
      </c>
    </row>
    <row r="7701" spans="1:11" hidden="1" x14ac:dyDescent="0.25">
      <c r="A7701">
        <v>7700</v>
      </c>
      <c r="B7701" s="1">
        <v>45753</v>
      </c>
      <c r="C7701" t="s">
        <v>41</v>
      </c>
      <c r="D7701" t="s">
        <v>91</v>
      </c>
      <c r="E7701" t="s">
        <v>13</v>
      </c>
      <c r="F7701">
        <v>1</v>
      </c>
      <c r="G7701" t="str">
        <f>VLOOKUP(D7701,Товары!A:I,3,0)</f>
        <v>Пенал навес./напол. Альба 350 мята 2 двери</v>
      </c>
      <c r="H7701">
        <f>VLOOKUP(D7701,Товары!A:I,6,0)</f>
        <v>150</v>
      </c>
      <c r="I7701" t="str">
        <f>VLOOKUP(C7701,Магазины!A:C,3,0)</f>
        <v>Ставрополь</v>
      </c>
      <c r="J7701">
        <f>VLOOKUP(D7701,Товары!A:I,4,0)</f>
        <v>11655</v>
      </c>
      <c r="K7701">
        <f t="shared" si="120"/>
        <v>11655</v>
      </c>
    </row>
  </sheetData>
  <autoFilter ref="A1:K7701" xr:uid="{00000000-0001-0000-0000-000000000000}">
    <filterColumn colId="1">
      <filters>
        <dateGroupItem year="2025" month="4" day="1" dateTimeGrouping="day"/>
        <dateGroupItem year="2025" month="4" day="2" dateTimeGrouping="day"/>
        <dateGroupItem year="2025" month="4" day="3" dateTimeGrouping="day"/>
        <dateGroupItem year="2025" month="4" day="4" dateTimeGrouping="day"/>
        <dateGroupItem year="2025" month="4" day="5" dateTimeGrouping="day"/>
        <dateGroupItem year="2025" month="4" day="6" dateTimeGrouping="day"/>
      </filters>
    </filterColumn>
    <filterColumn colId="4">
      <filters>
        <filter val="Продажа"/>
      </filters>
    </filterColumn>
    <filterColumn colId="6">
      <filters>
        <filter val="Пенал навес. Куба Риф 350 белый 2 двери"/>
        <filter val="Пенал навес./напол. Альба 350 антрацит 2 двери"/>
        <filter val="Пенал навес./напол. Альба 350 мята 2 двери"/>
        <filter val="Пенал навес./напол. Альба 350 суфле 2 двери"/>
        <filter val="Пенал навес./напол. Рица 350 cерый/керамика 2 двери"/>
        <filter val="Пенал напол. Аква 350 белый 2 двери + 2 ящика"/>
        <filter val="Пенал напол. Аква 450 белый 2 двери + 2 ящика + корзина"/>
        <filter val="Пенал напол. Виктория 350 белый 2 двери"/>
        <filter val="Пенал напол. Кристалл 350 суфле 2 двери"/>
        <filter val="Пенал напол. Кристалл 350 шато азур 2 двери"/>
        <filter val="Пенал напол. Леон 400 оникс 2 двери + 1 ящик"/>
        <filter val="Пенал напол. Леон 400 форест 2 двери + 1 ящик"/>
        <filter val="Пенал напол. Леон Риф 400 солярис/белый риф 2 двери + 1 ящик"/>
        <filter val="Пенал напол. Сохо 400 белый 2 двери + 1 ящик"/>
      </filters>
    </filterColumn>
    <filterColumn colId="7">
      <filters>
        <filter val="150"/>
      </filters>
    </filterColumn>
    <filterColumn colId="8">
      <filters>
        <filter val="Кемерово"/>
      </filters>
    </filterColumn>
  </autoFilter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2"/>
  <sheetViews>
    <sheetView topLeftCell="D1" zoomScale="140" zoomScaleNormal="140" workbookViewId="0"/>
  </sheetViews>
  <sheetFormatPr defaultColWidth="11.5546875" defaultRowHeight="13.2" x14ac:dyDescent="0.25"/>
  <cols>
    <col min="1" max="1" width="25" customWidth="1"/>
    <col min="2" max="3" width="39.33203125" style="2" customWidth="1"/>
    <col min="4" max="4" width="13" style="2" customWidth="1"/>
    <col min="5" max="5" width="19" style="2" customWidth="1"/>
    <col min="6" max="6" width="7.5546875" style="2" customWidth="1"/>
    <col min="7" max="7" width="7.77734375" style="2" customWidth="1"/>
    <col min="8" max="8" width="8.21875" style="2" customWidth="1"/>
    <col min="9" max="9" width="33.5546875" style="2" customWidth="1"/>
  </cols>
  <sheetData>
    <row r="1" spans="1:9" x14ac:dyDescent="0.25">
      <c r="A1" s="3" t="s">
        <v>3</v>
      </c>
      <c r="B1" s="3" t="s">
        <v>132</v>
      </c>
      <c r="C1" s="3" t="s">
        <v>133</v>
      </c>
      <c r="D1" s="3" t="s">
        <v>134</v>
      </c>
      <c r="E1" s="3" t="s">
        <v>135</v>
      </c>
      <c r="F1" s="3" t="s">
        <v>136</v>
      </c>
      <c r="G1" s="3" t="s">
        <v>137</v>
      </c>
      <c r="H1" s="3" t="s">
        <v>138</v>
      </c>
      <c r="I1" s="3" t="s">
        <v>139</v>
      </c>
    </row>
    <row r="2" spans="1:9" x14ac:dyDescent="0.25">
      <c r="A2" s="4" t="s">
        <v>105</v>
      </c>
      <c r="B2" s="4" t="s">
        <v>140</v>
      </c>
      <c r="C2" s="4" t="s">
        <v>141</v>
      </c>
      <c r="D2" s="4">
        <v>13470</v>
      </c>
      <c r="E2" s="4" t="s">
        <v>142</v>
      </c>
      <c r="F2" s="4">
        <v>80</v>
      </c>
      <c r="G2" s="4">
        <v>60</v>
      </c>
      <c r="H2" s="4">
        <v>45</v>
      </c>
      <c r="I2" s="4" t="s">
        <v>143</v>
      </c>
    </row>
    <row r="3" spans="1:9" x14ac:dyDescent="0.25">
      <c r="A3" s="4" t="s">
        <v>112</v>
      </c>
      <c r="B3" s="4" t="s">
        <v>140</v>
      </c>
      <c r="C3" s="4" t="s">
        <v>144</v>
      </c>
      <c r="D3" s="4">
        <v>9330</v>
      </c>
      <c r="E3" s="4" t="s">
        <v>142</v>
      </c>
      <c r="F3" s="4">
        <v>85</v>
      </c>
      <c r="G3" s="4">
        <v>55</v>
      </c>
      <c r="H3" s="4">
        <v>45</v>
      </c>
      <c r="I3" s="4" t="s">
        <v>143</v>
      </c>
    </row>
    <row r="4" spans="1:9" x14ac:dyDescent="0.25">
      <c r="A4" s="4" t="s">
        <v>116</v>
      </c>
      <c r="B4" s="4" t="s">
        <v>145</v>
      </c>
      <c r="C4" s="4" t="s">
        <v>146</v>
      </c>
      <c r="D4" s="4">
        <v>5100</v>
      </c>
      <c r="E4" s="4" t="s">
        <v>147</v>
      </c>
      <c r="F4" s="4">
        <v>80</v>
      </c>
      <c r="G4" s="4">
        <v>60</v>
      </c>
      <c r="H4" s="4">
        <v>15</v>
      </c>
      <c r="I4" s="4" t="s">
        <v>148</v>
      </c>
    </row>
    <row r="5" spans="1:9" x14ac:dyDescent="0.25">
      <c r="A5" s="4" t="s">
        <v>90</v>
      </c>
      <c r="B5" s="4" t="s">
        <v>149</v>
      </c>
      <c r="C5" s="4" t="s">
        <v>150</v>
      </c>
      <c r="D5" s="4">
        <v>10650</v>
      </c>
      <c r="E5" s="4" t="s">
        <v>142</v>
      </c>
      <c r="F5" s="4">
        <v>190</v>
      </c>
      <c r="G5" s="4">
        <v>35</v>
      </c>
      <c r="H5" s="4">
        <v>32.6</v>
      </c>
      <c r="I5" s="4" t="s">
        <v>143</v>
      </c>
    </row>
    <row r="6" spans="1:9" x14ac:dyDescent="0.25">
      <c r="A6" s="4" t="s">
        <v>85</v>
      </c>
      <c r="B6" s="4" t="s">
        <v>149</v>
      </c>
      <c r="C6" s="4" t="s">
        <v>151</v>
      </c>
      <c r="D6" s="4">
        <v>13335</v>
      </c>
      <c r="E6" s="4" t="s">
        <v>142</v>
      </c>
      <c r="F6" s="4">
        <v>190</v>
      </c>
      <c r="G6" s="4">
        <v>45</v>
      </c>
      <c r="H6" s="4">
        <v>32.6</v>
      </c>
      <c r="I6" s="4" t="s">
        <v>143</v>
      </c>
    </row>
    <row r="7" spans="1:9" x14ac:dyDescent="0.25">
      <c r="A7" s="4" t="s">
        <v>21</v>
      </c>
      <c r="B7" s="4" t="s">
        <v>145</v>
      </c>
      <c r="C7" s="4" t="s">
        <v>152</v>
      </c>
      <c r="D7" s="4">
        <v>8910</v>
      </c>
      <c r="E7" s="4" t="s">
        <v>153</v>
      </c>
      <c r="F7" s="4">
        <v>75</v>
      </c>
      <c r="G7" s="4">
        <v>60</v>
      </c>
      <c r="H7" s="4">
        <v>16</v>
      </c>
      <c r="I7" s="4" t="s">
        <v>148</v>
      </c>
    </row>
    <row r="8" spans="1:9" x14ac:dyDescent="0.25">
      <c r="A8" s="4" t="s">
        <v>119</v>
      </c>
      <c r="B8" s="4" t="s">
        <v>149</v>
      </c>
      <c r="C8" s="4" t="s">
        <v>154</v>
      </c>
      <c r="D8" s="4">
        <v>11250</v>
      </c>
      <c r="E8" s="4" t="s">
        <v>153</v>
      </c>
      <c r="F8" s="4">
        <v>160</v>
      </c>
      <c r="G8" s="4">
        <v>35</v>
      </c>
      <c r="H8" s="4">
        <v>32.6</v>
      </c>
      <c r="I8" s="4" t="s">
        <v>155</v>
      </c>
    </row>
    <row r="9" spans="1:9" x14ac:dyDescent="0.25">
      <c r="A9" s="4" t="s">
        <v>45</v>
      </c>
      <c r="B9" s="4" t="s">
        <v>145</v>
      </c>
      <c r="C9" s="4" t="s">
        <v>156</v>
      </c>
      <c r="D9" s="4">
        <v>9930</v>
      </c>
      <c r="E9" s="4" t="s">
        <v>153</v>
      </c>
      <c r="F9" s="4">
        <v>75</v>
      </c>
      <c r="G9" s="4">
        <v>80</v>
      </c>
      <c r="H9" s="4">
        <v>16</v>
      </c>
      <c r="I9" s="4" t="s">
        <v>148</v>
      </c>
    </row>
    <row r="10" spans="1:9" x14ac:dyDescent="0.25">
      <c r="A10" s="4" t="s">
        <v>97</v>
      </c>
      <c r="B10" s="4" t="s">
        <v>149</v>
      </c>
      <c r="C10" s="4" t="s">
        <v>157</v>
      </c>
      <c r="D10" s="4">
        <v>15810</v>
      </c>
      <c r="E10" s="4" t="s">
        <v>158</v>
      </c>
      <c r="F10" s="4">
        <v>190</v>
      </c>
      <c r="G10" s="4">
        <v>35</v>
      </c>
      <c r="H10" s="4">
        <v>32.6</v>
      </c>
      <c r="I10" s="4" t="s">
        <v>143</v>
      </c>
    </row>
    <row r="11" spans="1:9" x14ac:dyDescent="0.25">
      <c r="A11" s="4" t="s">
        <v>32</v>
      </c>
      <c r="B11" s="4" t="s">
        <v>140</v>
      </c>
      <c r="C11" s="4" t="s">
        <v>159</v>
      </c>
      <c r="D11" s="4">
        <v>26460</v>
      </c>
      <c r="E11" s="4" t="s">
        <v>160</v>
      </c>
      <c r="F11" s="4">
        <v>85</v>
      </c>
      <c r="G11" s="4">
        <v>70</v>
      </c>
      <c r="H11" s="4">
        <v>45.8</v>
      </c>
      <c r="I11" s="4" t="s">
        <v>143</v>
      </c>
    </row>
    <row r="12" spans="1:9" x14ac:dyDescent="0.25">
      <c r="A12" s="4" t="s">
        <v>49</v>
      </c>
      <c r="B12" s="4" t="s">
        <v>140</v>
      </c>
      <c r="C12" s="4" t="s">
        <v>161</v>
      </c>
      <c r="D12" s="4">
        <v>28380</v>
      </c>
      <c r="E12" s="4" t="s">
        <v>162</v>
      </c>
      <c r="F12" s="4">
        <v>80</v>
      </c>
      <c r="G12" s="4">
        <v>70</v>
      </c>
      <c r="H12" s="4">
        <v>45</v>
      </c>
      <c r="I12" s="4" t="s">
        <v>143</v>
      </c>
    </row>
    <row r="13" spans="1:9" x14ac:dyDescent="0.25">
      <c r="A13" s="4" t="s">
        <v>76</v>
      </c>
      <c r="B13" s="4" t="s">
        <v>140</v>
      </c>
      <c r="C13" s="4" t="s">
        <v>163</v>
      </c>
      <c r="D13" s="4">
        <v>25860</v>
      </c>
      <c r="E13" s="4" t="s">
        <v>162</v>
      </c>
      <c r="F13" s="4">
        <v>80</v>
      </c>
      <c r="G13" s="4">
        <v>60</v>
      </c>
      <c r="H13" s="4">
        <v>45</v>
      </c>
      <c r="I13" s="4" t="s">
        <v>143</v>
      </c>
    </row>
    <row r="14" spans="1:9" x14ac:dyDescent="0.25">
      <c r="A14" s="4" t="s">
        <v>25</v>
      </c>
      <c r="B14" s="4" t="s">
        <v>149</v>
      </c>
      <c r="C14" s="4" t="s">
        <v>164</v>
      </c>
      <c r="D14" s="4">
        <v>18450</v>
      </c>
      <c r="E14" s="4" t="s">
        <v>162</v>
      </c>
      <c r="F14" s="4">
        <v>190</v>
      </c>
      <c r="G14" s="4">
        <v>40</v>
      </c>
      <c r="H14" s="4">
        <v>34</v>
      </c>
      <c r="I14" s="4" t="s">
        <v>143</v>
      </c>
    </row>
    <row r="15" spans="1:9" x14ac:dyDescent="0.25">
      <c r="A15" s="4" t="s">
        <v>61</v>
      </c>
      <c r="B15" s="4" t="s">
        <v>165</v>
      </c>
      <c r="C15" s="4" t="s">
        <v>166</v>
      </c>
      <c r="D15" s="4">
        <v>17430</v>
      </c>
      <c r="E15" s="4" t="s">
        <v>160</v>
      </c>
      <c r="F15" s="4">
        <v>85</v>
      </c>
      <c r="G15" s="4">
        <v>60</v>
      </c>
      <c r="H15" s="4">
        <v>48</v>
      </c>
      <c r="I15" s="4" t="s">
        <v>143</v>
      </c>
    </row>
    <row r="16" spans="1:9" x14ac:dyDescent="0.25">
      <c r="A16" s="4" t="s">
        <v>42</v>
      </c>
      <c r="B16" s="4" t="s">
        <v>165</v>
      </c>
      <c r="C16" s="4" t="s">
        <v>167</v>
      </c>
      <c r="D16" s="4">
        <v>15495</v>
      </c>
      <c r="E16" s="4" t="s">
        <v>160</v>
      </c>
      <c r="F16" s="4">
        <v>60</v>
      </c>
      <c r="G16" s="4">
        <v>60</v>
      </c>
      <c r="H16" s="4">
        <v>48</v>
      </c>
      <c r="I16" s="4" t="s">
        <v>148</v>
      </c>
    </row>
    <row r="17" spans="1:9" x14ac:dyDescent="0.25">
      <c r="A17" s="4" t="s">
        <v>7</v>
      </c>
      <c r="B17" s="4" t="s">
        <v>149</v>
      </c>
      <c r="C17" s="4" t="s">
        <v>168</v>
      </c>
      <c r="D17" s="4">
        <v>14490</v>
      </c>
      <c r="E17" s="4" t="s">
        <v>160</v>
      </c>
      <c r="F17" s="4">
        <v>190</v>
      </c>
      <c r="G17" s="4">
        <v>40</v>
      </c>
      <c r="H17" s="4">
        <v>34</v>
      </c>
      <c r="I17" s="4" t="s">
        <v>143</v>
      </c>
    </row>
    <row r="18" spans="1:9" x14ac:dyDescent="0.25">
      <c r="A18" s="4" t="s">
        <v>99</v>
      </c>
      <c r="B18" s="4" t="s">
        <v>140</v>
      </c>
      <c r="C18" s="4" t="s">
        <v>169</v>
      </c>
      <c r="D18" s="4">
        <v>25125</v>
      </c>
      <c r="E18" s="4" t="s">
        <v>162</v>
      </c>
      <c r="F18" s="4">
        <v>60</v>
      </c>
      <c r="G18" s="4">
        <v>60</v>
      </c>
      <c r="H18" s="4">
        <v>45</v>
      </c>
      <c r="I18" s="4" t="s">
        <v>148</v>
      </c>
    </row>
    <row r="19" spans="1:9" x14ac:dyDescent="0.25">
      <c r="A19" s="4" t="s">
        <v>15</v>
      </c>
      <c r="B19" s="4" t="s">
        <v>145</v>
      </c>
      <c r="C19" s="4" t="s">
        <v>170</v>
      </c>
      <c r="D19" s="4">
        <v>9195</v>
      </c>
      <c r="E19" s="4" t="s">
        <v>171</v>
      </c>
      <c r="F19" s="4">
        <v>75</v>
      </c>
      <c r="G19" s="4">
        <v>60</v>
      </c>
      <c r="H19" s="4">
        <v>16</v>
      </c>
      <c r="I19" s="4" t="s">
        <v>148</v>
      </c>
    </row>
    <row r="20" spans="1:9" x14ac:dyDescent="0.25">
      <c r="A20" s="4" t="s">
        <v>78</v>
      </c>
      <c r="B20" s="4" t="s">
        <v>145</v>
      </c>
      <c r="C20" s="4" t="s">
        <v>172</v>
      </c>
      <c r="D20" s="4">
        <v>9615</v>
      </c>
      <c r="E20" s="4" t="s">
        <v>171</v>
      </c>
      <c r="F20" s="4">
        <v>75</v>
      </c>
      <c r="G20" s="4">
        <v>70</v>
      </c>
      <c r="H20" s="4">
        <v>16</v>
      </c>
      <c r="I20" s="4" t="s">
        <v>148</v>
      </c>
    </row>
    <row r="21" spans="1:9" x14ac:dyDescent="0.25">
      <c r="A21" s="4" t="s">
        <v>47</v>
      </c>
      <c r="B21" s="4" t="s">
        <v>149</v>
      </c>
      <c r="C21" s="4" t="s">
        <v>173</v>
      </c>
      <c r="D21" s="4">
        <v>15810</v>
      </c>
      <c r="E21" s="4" t="s">
        <v>171</v>
      </c>
      <c r="F21" s="4">
        <v>190</v>
      </c>
      <c r="G21" s="4">
        <v>35</v>
      </c>
      <c r="H21" s="4">
        <v>32.6</v>
      </c>
      <c r="I21" s="4" t="s">
        <v>143</v>
      </c>
    </row>
    <row r="22" spans="1:9" x14ac:dyDescent="0.25">
      <c r="A22" s="4" t="s">
        <v>12</v>
      </c>
      <c r="B22" s="4" t="s">
        <v>140</v>
      </c>
      <c r="C22" s="4" t="s">
        <v>174</v>
      </c>
      <c r="D22" s="4">
        <v>17160</v>
      </c>
      <c r="E22" s="4" t="s">
        <v>142</v>
      </c>
      <c r="F22" s="4">
        <v>85</v>
      </c>
      <c r="G22" s="4">
        <v>70</v>
      </c>
      <c r="H22" s="4">
        <v>45.8</v>
      </c>
      <c r="I22" s="4" t="s">
        <v>143</v>
      </c>
    </row>
    <row r="23" spans="1:9" x14ac:dyDescent="0.25">
      <c r="A23" s="4" t="s">
        <v>46</v>
      </c>
      <c r="B23" s="4" t="s">
        <v>140</v>
      </c>
      <c r="C23" s="4" t="s">
        <v>175</v>
      </c>
      <c r="D23" s="4">
        <v>18405</v>
      </c>
      <c r="E23" s="4" t="s">
        <v>142</v>
      </c>
      <c r="F23" s="4">
        <v>85</v>
      </c>
      <c r="G23" s="4">
        <v>70</v>
      </c>
      <c r="H23" s="4">
        <v>45.8</v>
      </c>
      <c r="I23" s="4" t="s">
        <v>143</v>
      </c>
    </row>
    <row r="24" spans="1:9" x14ac:dyDescent="0.25">
      <c r="A24" s="4" t="s">
        <v>101</v>
      </c>
      <c r="B24" s="4" t="s">
        <v>149</v>
      </c>
      <c r="C24" s="4" t="s">
        <v>176</v>
      </c>
      <c r="D24" s="4">
        <v>11040</v>
      </c>
      <c r="E24" s="4" t="s">
        <v>142</v>
      </c>
      <c r="F24" s="4">
        <v>190</v>
      </c>
      <c r="G24" s="4">
        <v>40</v>
      </c>
      <c r="H24" s="4">
        <v>32.6</v>
      </c>
      <c r="I24" s="4" t="s">
        <v>143</v>
      </c>
    </row>
    <row r="25" spans="1:9" x14ac:dyDescent="0.25">
      <c r="A25" s="4" t="s">
        <v>121</v>
      </c>
      <c r="B25" s="4" t="s">
        <v>140</v>
      </c>
      <c r="C25" s="4" t="s">
        <v>177</v>
      </c>
      <c r="D25" s="4">
        <v>13695</v>
      </c>
      <c r="E25" s="4" t="s">
        <v>142</v>
      </c>
      <c r="F25" s="4">
        <v>85</v>
      </c>
      <c r="G25" s="4">
        <v>60</v>
      </c>
      <c r="H25" s="4">
        <v>45</v>
      </c>
      <c r="I25" s="4" t="s">
        <v>143</v>
      </c>
    </row>
    <row r="26" spans="1:9" x14ac:dyDescent="0.25">
      <c r="A26" s="4" t="s">
        <v>77</v>
      </c>
      <c r="B26" s="4" t="s">
        <v>140</v>
      </c>
      <c r="C26" s="4" t="s">
        <v>178</v>
      </c>
      <c r="D26" s="4">
        <v>15660</v>
      </c>
      <c r="E26" s="4" t="s">
        <v>142</v>
      </c>
      <c r="F26" s="4">
        <v>85</v>
      </c>
      <c r="G26" s="4">
        <v>60</v>
      </c>
      <c r="H26" s="4">
        <v>45</v>
      </c>
      <c r="I26" s="4" t="s">
        <v>143</v>
      </c>
    </row>
    <row r="27" spans="1:9" x14ac:dyDescent="0.25">
      <c r="A27" s="4" t="s">
        <v>115</v>
      </c>
      <c r="B27" s="4" t="s">
        <v>165</v>
      </c>
      <c r="C27" s="4" t="s">
        <v>179</v>
      </c>
      <c r="D27" s="4">
        <v>10530</v>
      </c>
      <c r="E27" s="4" t="s">
        <v>142</v>
      </c>
      <c r="F27" s="4">
        <v>85</v>
      </c>
      <c r="G27" s="4">
        <v>60</v>
      </c>
      <c r="H27" s="4">
        <v>48</v>
      </c>
      <c r="I27" s="4" t="s">
        <v>143</v>
      </c>
    </row>
    <row r="28" spans="1:9" x14ac:dyDescent="0.25">
      <c r="A28" s="4" t="s">
        <v>70</v>
      </c>
      <c r="B28" s="4" t="s">
        <v>140</v>
      </c>
      <c r="C28" s="4" t="s">
        <v>180</v>
      </c>
      <c r="D28" s="4">
        <v>29910</v>
      </c>
      <c r="E28" s="4" t="s">
        <v>171</v>
      </c>
      <c r="F28" s="4">
        <v>85</v>
      </c>
      <c r="G28" s="4">
        <v>70</v>
      </c>
      <c r="H28" s="4">
        <v>45.8</v>
      </c>
      <c r="I28" s="4" t="s">
        <v>143</v>
      </c>
    </row>
    <row r="29" spans="1:9" x14ac:dyDescent="0.25">
      <c r="A29" s="4" t="s">
        <v>106</v>
      </c>
      <c r="B29" s="4" t="s">
        <v>140</v>
      </c>
      <c r="C29" s="4" t="s">
        <v>181</v>
      </c>
      <c r="D29" s="4">
        <v>24150</v>
      </c>
      <c r="E29" s="4" t="s">
        <v>171</v>
      </c>
      <c r="F29" s="4">
        <v>60</v>
      </c>
      <c r="G29" s="4">
        <v>70</v>
      </c>
      <c r="H29" s="4">
        <v>45.8</v>
      </c>
      <c r="I29" s="4" t="s">
        <v>148</v>
      </c>
    </row>
    <row r="30" spans="1:9" x14ac:dyDescent="0.25">
      <c r="A30" s="4" t="s">
        <v>125</v>
      </c>
      <c r="B30" s="4" t="s">
        <v>145</v>
      </c>
      <c r="C30" s="4" t="s">
        <v>182</v>
      </c>
      <c r="D30" s="4">
        <v>7395</v>
      </c>
      <c r="E30" s="4" t="s">
        <v>142</v>
      </c>
      <c r="F30" s="4">
        <v>75</v>
      </c>
      <c r="G30" s="4">
        <v>60</v>
      </c>
      <c r="H30" s="4">
        <v>16</v>
      </c>
      <c r="I30" s="4" t="s">
        <v>148</v>
      </c>
    </row>
    <row r="31" spans="1:9" x14ac:dyDescent="0.25">
      <c r="A31" s="4" t="s">
        <v>37</v>
      </c>
      <c r="B31" s="4" t="s">
        <v>145</v>
      </c>
      <c r="C31" s="4" t="s">
        <v>183</v>
      </c>
      <c r="D31" s="4">
        <v>7935</v>
      </c>
      <c r="E31" s="4" t="s">
        <v>142</v>
      </c>
      <c r="F31" s="4">
        <v>75</v>
      </c>
      <c r="G31" s="4">
        <v>70</v>
      </c>
      <c r="H31" s="4">
        <v>16</v>
      </c>
      <c r="I31" s="4" t="s">
        <v>148</v>
      </c>
    </row>
    <row r="32" spans="1:9" x14ac:dyDescent="0.25">
      <c r="A32" s="4" t="s">
        <v>39</v>
      </c>
      <c r="B32" s="4" t="s">
        <v>140</v>
      </c>
      <c r="C32" s="4" t="s">
        <v>184</v>
      </c>
      <c r="D32" s="4">
        <v>28695</v>
      </c>
      <c r="E32" s="4" t="s">
        <v>185</v>
      </c>
      <c r="F32" s="4">
        <v>85</v>
      </c>
      <c r="G32" s="4">
        <v>70</v>
      </c>
      <c r="H32" s="4">
        <v>45.8</v>
      </c>
      <c r="I32" s="4" t="s">
        <v>143</v>
      </c>
    </row>
    <row r="33" spans="1:9" x14ac:dyDescent="0.25">
      <c r="A33" s="4" t="s">
        <v>114</v>
      </c>
      <c r="B33" s="4" t="s">
        <v>140</v>
      </c>
      <c r="C33" s="4" t="s">
        <v>186</v>
      </c>
      <c r="D33" s="4">
        <v>25095</v>
      </c>
      <c r="E33" s="4" t="s">
        <v>185</v>
      </c>
      <c r="F33" s="4">
        <v>60</v>
      </c>
      <c r="G33" s="4">
        <v>70</v>
      </c>
      <c r="H33" s="4">
        <v>45.8</v>
      </c>
      <c r="I33" s="4" t="s">
        <v>148</v>
      </c>
    </row>
    <row r="34" spans="1:9" x14ac:dyDescent="0.25">
      <c r="A34" s="4" t="s">
        <v>38</v>
      </c>
      <c r="B34" s="4" t="s">
        <v>140</v>
      </c>
      <c r="C34" s="4" t="s">
        <v>187</v>
      </c>
      <c r="D34" s="4">
        <v>14265</v>
      </c>
      <c r="E34" s="4" t="s">
        <v>142</v>
      </c>
      <c r="F34" s="4">
        <v>55</v>
      </c>
      <c r="G34" s="4">
        <v>60</v>
      </c>
      <c r="H34" s="4">
        <v>45</v>
      </c>
      <c r="I34" s="4" t="s">
        <v>148</v>
      </c>
    </row>
    <row r="35" spans="1:9" x14ac:dyDescent="0.25">
      <c r="A35" s="4" t="s">
        <v>60</v>
      </c>
      <c r="B35" s="4" t="s">
        <v>149</v>
      </c>
      <c r="C35" s="4" t="s">
        <v>188</v>
      </c>
      <c r="D35" s="4">
        <v>9720</v>
      </c>
      <c r="E35" s="4" t="s">
        <v>142</v>
      </c>
      <c r="F35" s="4">
        <v>150</v>
      </c>
      <c r="G35" s="4">
        <v>35</v>
      </c>
      <c r="H35" s="4">
        <v>32.6</v>
      </c>
      <c r="I35" s="4" t="s">
        <v>148</v>
      </c>
    </row>
    <row r="36" spans="1:9" x14ac:dyDescent="0.25">
      <c r="A36" s="4" t="s">
        <v>55</v>
      </c>
      <c r="B36" s="4" t="s">
        <v>140</v>
      </c>
      <c r="C36" s="4" t="s">
        <v>189</v>
      </c>
      <c r="D36" s="4">
        <v>25560</v>
      </c>
      <c r="E36" s="4" t="s">
        <v>153</v>
      </c>
      <c r="F36" s="4">
        <v>80</v>
      </c>
      <c r="G36" s="4">
        <v>60</v>
      </c>
      <c r="H36" s="4">
        <v>40</v>
      </c>
      <c r="I36" s="4" t="s">
        <v>143</v>
      </c>
    </row>
    <row r="37" spans="1:9" x14ac:dyDescent="0.25">
      <c r="A37" s="4" t="s">
        <v>98</v>
      </c>
      <c r="B37" s="4" t="s">
        <v>140</v>
      </c>
      <c r="C37" s="4" t="s">
        <v>190</v>
      </c>
      <c r="D37" s="4">
        <v>28980</v>
      </c>
      <c r="E37" s="4" t="s">
        <v>153</v>
      </c>
      <c r="F37" s="4">
        <v>80</v>
      </c>
      <c r="G37" s="4">
        <v>80</v>
      </c>
      <c r="H37" s="4">
        <v>45</v>
      </c>
      <c r="I37" s="4" t="s">
        <v>143</v>
      </c>
    </row>
    <row r="38" spans="1:9" x14ac:dyDescent="0.25">
      <c r="A38" s="4" t="s">
        <v>81</v>
      </c>
      <c r="B38" s="4" t="s">
        <v>140</v>
      </c>
      <c r="C38" s="4" t="s">
        <v>191</v>
      </c>
      <c r="D38" s="4">
        <v>18900</v>
      </c>
      <c r="E38" s="4" t="s">
        <v>153</v>
      </c>
      <c r="F38" s="4">
        <v>60</v>
      </c>
      <c r="G38" s="4">
        <v>60</v>
      </c>
      <c r="H38" s="4">
        <v>40</v>
      </c>
      <c r="I38" s="4" t="s">
        <v>148</v>
      </c>
    </row>
    <row r="39" spans="1:9" x14ac:dyDescent="0.25">
      <c r="A39" s="4" t="s">
        <v>62</v>
      </c>
      <c r="B39" s="4" t="s">
        <v>140</v>
      </c>
      <c r="C39" s="4" t="s">
        <v>192</v>
      </c>
      <c r="D39" s="4">
        <v>26370</v>
      </c>
      <c r="E39" s="4" t="s">
        <v>185</v>
      </c>
      <c r="F39" s="4">
        <v>80</v>
      </c>
      <c r="G39" s="4">
        <v>60</v>
      </c>
      <c r="H39" s="4">
        <v>40</v>
      </c>
      <c r="I39" s="4" t="s">
        <v>143</v>
      </c>
    </row>
    <row r="40" spans="1:9" x14ac:dyDescent="0.25">
      <c r="A40" s="4" t="s">
        <v>110</v>
      </c>
      <c r="B40" s="4" t="s">
        <v>140</v>
      </c>
      <c r="C40" s="4" t="s">
        <v>193</v>
      </c>
      <c r="D40" s="4">
        <v>26370</v>
      </c>
      <c r="E40" s="4" t="s">
        <v>194</v>
      </c>
      <c r="F40" s="4">
        <v>80</v>
      </c>
      <c r="G40" s="4">
        <v>60</v>
      </c>
      <c r="H40" s="4">
        <v>40</v>
      </c>
      <c r="I40" s="4" t="s">
        <v>143</v>
      </c>
    </row>
    <row r="41" spans="1:9" x14ac:dyDescent="0.25">
      <c r="A41" s="4" t="s">
        <v>23</v>
      </c>
      <c r="B41" s="4" t="s">
        <v>140</v>
      </c>
      <c r="C41" s="4" t="s">
        <v>195</v>
      </c>
      <c r="D41" s="4">
        <v>29340</v>
      </c>
      <c r="E41" s="4" t="s">
        <v>194</v>
      </c>
      <c r="F41" s="4">
        <v>80</v>
      </c>
      <c r="G41" s="4">
        <v>80</v>
      </c>
      <c r="H41" s="4">
        <v>45</v>
      </c>
      <c r="I41" s="4" t="s">
        <v>143</v>
      </c>
    </row>
    <row r="42" spans="1:9" x14ac:dyDescent="0.25">
      <c r="A42" s="4" t="s">
        <v>36</v>
      </c>
      <c r="B42" s="4" t="s">
        <v>140</v>
      </c>
      <c r="C42" s="4" t="s">
        <v>196</v>
      </c>
      <c r="D42" s="4">
        <v>29340</v>
      </c>
      <c r="E42" s="4" t="s">
        <v>185</v>
      </c>
      <c r="F42" s="4">
        <v>80</v>
      </c>
      <c r="G42" s="4">
        <v>80</v>
      </c>
      <c r="H42" s="4">
        <v>45</v>
      </c>
      <c r="I42" s="4" t="s">
        <v>143</v>
      </c>
    </row>
    <row r="43" spans="1:9" x14ac:dyDescent="0.25">
      <c r="A43" s="4" t="s">
        <v>71</v>
      </c>
      <c r="B43" s="4" t="s">
        <v>140</v>
      </c>
      <c r="C43" s="4" t="s">
        <v>197</v>
      </c>
      <c r="D43" s="4">
        <v>24810</v>
      </c>
      <c r="E43" s="4" t="s">
        <v>185</v>
      </c>
      <c r="F43" s="4">
        <v>50</v>
      </c>
      <c r="G43" s="4">
        <v>60</v>
      </c>
      <c r="H43" s="4">
        <v>40</v>
      </c>
      <c r="I43" s="4" t="s">
        <v>148</v>
      </c>
    </row>
    <row r="44" spans="1:9" x14ac:dyDescent="0.25">
      <c r="A44" s="4" t="s">
        <v>109</v>
      </c>
      <c r="B44" s="4" t="s">
        <v>140</v>
      </c>
      <c r="C44" s="4" t="s">
        <v>198</v>
      </c>
      <c r="D44" s="4">
        <v>24810</v>
      </c>
      <c r="E44" s="4" t="s">
        <v>194</v>
      </c>
      <c r="F44" s="4">
        <v>50</v>
      </c>
      <c r="G44" s="4">
        <v>60</v>
      </c>
      <c r="H44" s="4">
        <v>40</v>
      </c>
      <c r="I44" s="4" t="s">
        <v>148</v>
      </c>
    </row>
    <row r="45" spans="1:9" x14ac:dyDescent="0.25">
      <c r="A45" s="4" t="s">
        <v>88</v>
      </c>
      <c r="B45" s="4" t="s">
        <v>140</v>
      </c>
      <c r="C45" s="4" t="s">
        <v>199</v>
      </c>
      <c r="D45" s="4">
        <v>26070</v>
      </c>
      <c r="E45" s="4" t="s">
        <v>194</v>
      </c>
      <c r="F45" s="4">
        <v>50</v>
      </c>
      <c r="G45" s="4">
        <v>80</v>
      </c>
      <c r="H45" s="4">
        <v>45</v>
      </c>
      <c r="I45" s="4" t="s">
        <v>148</v>
      </c>
    </row>
    <row r="46" spans="1:9" x14ac:dyDescent="0.25">
      <c r="A46" s="4" t="s">
        <v>66</v>
      </c>
      <c r="B46" s="4" t="s">
        <v>140</v>
      </c>
      <c r="C46" s="4" t="s">
        <v>200</v>
      </c>
      <c r="D46" s="4">
        <v>26070</v>
      </c>
      <c r="E46" s="4" t="s">
        <v>185</v>
      </c>
      <c r="F46" s="4">
        <v>50</v>
      </c>
      <c r="G46" s="4">
        <v>80</v>
      </c>
      <c r="H46" s="4">
        <v>45</v>
      </c>
      <c r="I46" s="4" t="s">
        <v>148</v>
      </c>
    </row>
    <row r="47" spans="1:9" x14ac:dyDescent="0.25">
      <c r="A47" s="4" t="s">
        <v>91</v>
      </c>
      <c r="B47" s="4" t="s">
        <v>149</v>
      </c>
      <c r="C47" s="4" t="s">
        <v>201</v>
      </c>
      <c r="D47" s="4">
        <v>11655</v>
      </c>
      <c r="E47" s="4" t="s">
        <v>185</v>
      </c>
      <c r="F47" s="4">
        <v>150</v>
      </c>
      <c r="G47" s="4">
        <v>35</v>
      </c>
      <c r="H47" s="4">
        <v>32.6</v>
      </c>
      <c r="I47" s="4" t="s">
        <v>155</v>
      </c>
    </row>
    <row r="48" spans="1:9" x14ac:dyDescent="0.25">
      <c r="A48" s="4" t="s">
        <v>69</v>
      </c>
      <c r="B48" s="4" t="s">
        <v>149</v>
      </c>
      <c r="C48" s="4" t="s">
        <v>202</v>
      </c>
      <c r="D48" s="4">
        <v>11655</v>
      </c>
      <c r="E48" s="4" t="s">
        <v>194</v>
      </c>
      <c r="F48" s="4">
        <v>150</v>
      </c>
      <c r="G48" s="4">
        <v>35</v>
      </c>
      <c r="H48" s="4">
        <v>32.6</v>
      </c>
      <c r="I48" s="4" t="s">
        <v>155</v>
      </c>
    </row>
    <row r="49" spans="1:9" x14ac:dyDescent="0.25">
      <c r="A49" s="4" t="s">
        <v>40</v>
      </c>
      <c r="B49" s="4" t="s">
        <v>140</v>
      </c>
      <c r="C49" s="4" t="s">
        <v>203</v>
      </c>
      <c r="D49" s="4">
        <v>22425</v>
      </c>
      <c r="E49" s="4" t="s">
        <v>153</v>
      </c>
      <c r="F49" s="4">
        <v>60</v>
      </c>
      <c r="G49" s="4">
        <v>80</v>
      </c>
      <c r="H49" s="4">
        <v>45</v>
      </c>
      <c r="I49" s="4" t="s">
        <v>148</v>
      </c>
    </row>
    <row r="50" spans="1:9" x14ac:dyDescent="0.25">
      <c r="A50" s="4" t="s">
        <v>113</v>
      </c>
      <c r="B50" s="4" t="s">
        <v>145</v>
      </c>
      <c r="C50" s="4" t="s">
        <v>204</v>
      </c>
      <c r="D50" s="4">
        <v>8910</v>
      </c>
      <c r="E50" s="4" t="s">
        <v>185</v>
      </c>
      <c r="F50" s="4">
        <v>75</v>
      </c>
      <c r="G50" s="4">
        <v>60</v>
      </c>
      <c r="H50" s="4">
        <v>16</v>
      </c>
      <c r="I50" s="4" t="s">
        <v>148</v>
      </c>
    </row>
    <row r="51" spans="1:9" x14ac:dyDescent="0.25">
      <c r="A51" s="4" t="s">
        <v>120</v>
      </c>
      <c r="B51" s="4" t="s">
        <v>145</v>
      </c>
      <c r="C51" s="4" t="s">
        <v>205</v>
      </c>
      <c r="D51" s="4">
        <v>8910</v>
      </c>
      <c r="E51" s="4" t="s">
        <v>194</v>
      </c>
      <c r="F51" s="4">
        <v>75</v>
      </c>
      <c r="G51" s="4">
        <v>60</v>
      </c>
      <c r="H51" s="4">
        <v>16</v>
      </c>
      <c r="I51" s="4" t="s">
        <v>148</v>
      </c>
    </row>
    <row r="52" spans="1:9" x14ac:dyDescent="0.25">
      <c r="A52" s="4" t="s">
        <v>124</v>
      </c>
      <c r="B52" s="4" t="s">
        <v>140</v>
      </c>
      <c r="C52" s="4" t="s">
        <v>206</v>
      </c>
      <c r="D52" s="4">
        <v>25860</v>
      </c>
      <c r="E52" s="4" t="s">
        <v>162</v>
      </c>
      <c r="F52" s="4">
        <v>80</v>
      </c>
      <c r="G52" s="4">
        <v>60</v>
      </c>
      <c r="H52" s="4">
        <v>40</v>
      </c>
      <c r="I52" s="4" t="s">
        <v>143</v>
      </c>
    </row>
    <row r="53" spans="1:9" x14ac:dyDescent="0.25">
      <c r="A53" s="4" t="s">
        <v>94</v>
      </c>
      <c r="B53" s="4" t="s">
        <v>145</v>
      </c>
      <c r="C53" s="4" t="s">
        <v>207</v>
      </c>
      <c r="D53" s="4">
        <v>9930</v>
      </c>
      <c r="E53" s="4" t="s">
        <v>194</v>
      </c>
      <c r="F53" s="4">
        <v>75</v>
      </c>
      <c r="G53" s="4">
        <v>80</v>
      </c>
      <c r="H53" s="4">
        <v>16</v>
      </c>
      <c r="I53" s="4" t="s">
        <v>148</v>
      </c>
    </row>
    <row r="54" spans="1:9" x14ac:dyDescent="0.25">
      <c r="A54" s="4" t="s">
        <v>75</v>
      </c>
      <c r="B54" s="4" t="s">
        <v>140</v>
      </c>
      <c r="C54" s="4" t="s">
        <v>208</v>
      </c>
      <c r="D54" s="4">
        <v>26370</v>
      </c>
      <c r="E54" s="4" t="s">
        <v>158</v>
      </c>
      <c r="F54" s="4">
        <v>80</v>
      </c>
      <c r="G54" s="4">
        <v>60</v>
      </c>
      <c r="H54" s="4">
        <v>40</v>
      </c>
      <c r="I54" s="4" t="s">
        <v>143</v>
      </c>
    </row>
    <row r="55" spans="1:9" x14ac:dyDescent="0.25">
      <c r="A55" s="4" t="s">
        <v>74</v>
      </c>
      <c r="B55" s="4" t="s">
        <v>140</v>
      </c>
      <c r="C55" s="4" t="s">
        <v>209</v>
      </c>
      <c r="D55" s="4">
        <v>29340</v>
      </c>
      <c r="E55" s="4" t="s">
        <v>158</v>
      </c>
      <c r="F55" s="4">
        <v>80</v>
      </c>
      <c r="G55" s="4">
        <v>80</v>
      </c>
      <c r="H55" s="4">
        <v>45</v>
      </c>
      <c r="I55" s="4" t="s">
        <v>143</v>
      </c>
    </row>
    <row r="56" spans="1:9" x14ac:dyDescent="0.25">
      <c r="A56" s="4" t="s">
        <v>67</v>
      </c>
      <c r="B56" s="4" t="s">
        <v>149</v>
      </c>
      <c r="C56" s="4" t="s">
        <v>210</v>
      </c>
      <c r="D56" s="4">
        <v>11655</v>
      </c>
      <c r="E56" s="4" t="s">
        <v>158</v>
      </c>
      <c r="F56" s="4">
        <v>150</v>
      </c>
      <c r="G56" s="4">
        <v>35</v>
      </c>
      <c r="H56" s="4">
        <v>32.6</v>
      </c>
      <c r="I56" s="4" t="s">
        <v>155</v>
      </c>
    </row>
    <row r="57" spans="1:9" x14ac:dyDescent="0.25">
      <c r="A57" s="4" t="s">
        <v>83</v>
      </c>
      <c r="B57" s="4" t="s">
        <v>145</v>
      </c>
      <c r="C57" s="4" t="s">
        <v>211</v>
      </c>
      <c r="D57" s="4">
        <v>8910</v>
      </c>
      <c r="E57" s="4" t="s">
        <v>158</v>
      </c>
      <c r="F57" s="4">
        <v>75</v>
      </c>
      <c r="G57" s="4">
        <v>60</v>
      </c>
      <c r="H57" s="4">
        <v>16</v>
      </c>
      <c r="I57" s="4" t="s">
        <v>148</v>
      </c>
    </row>
    <row r="58" spans="1:9" x14ac:dyDescent="0.25">
      <c r="A58" s="4" t="s">
        <v>51</v>
      </c>
      <c r="B58" s="4" t="s">
        <v>145</v>
      </c>
      <c r="C58" s="4" t="s">
        <v>212</v>
      </c>
      <c r="D58" s="4">
        <v>9930</v>
      </c>
      <c r="E58" s="4" t="s">
        <v>158</v>
      </c>
      <c r="F58" s="4">
        <v>75</v>
      </c>
      <c r="G58" s="4">
        <v>80</v>
      </c>
      <c r="H58" s="4">
        <v>16</v>
      </c>
      <c r="I58" s="4" t="s">
        <v>148</v>
      </c>
    </row>
    <row r="59" spans="1:9" x14ac:dyDescent="0.25">
      <c r="A59" s="4" t="s">
        <v>29</v>
      </c>
      <c r="B59" s="4" t="s">
        <v>140</v>
      </c>
      <c r="C59" s="4" t="s">
        <v>213</v>
      </c>
      <c r="D59" s="4">
        <v>24150</v>
      </c>
      <c r="E59" s="4" t="s">
        <v>160</v>
      </c>
      <c r="F59" s="4">
        <v>80</v>
      </c>
      <c r="G59" s="4">
        <v>60</v>
      </c>
      <c r="H59" s="4">
        <v>40</v>
      </c>
      <c r="I59" s="4" t="s">
        <v>143</v>
      </c>
    </row>
    <row r="60" spans="1:9" x14ac:dyDescent="0.25">
      <c r="A60" s="4" t="s">
        <v>93</v>
      </c>
      <c r="B60" s="4" t="s">
        <v>140</v>
      </c>
      <c r="C60" s="4" t="s">
        <v>214</v>
      </c>
      <c r="D60" s="4">
        <v>29340</v>
      </c>
      <c r="E60" s="4" t="s">
        <v>160</v>
      </c>
      <c r="F60" s="4">
        <v>80</v>
      </c>
      <c r="G60" s="4">
        <v>80</v>
      </c>
      <c r="H60" s="4">
        <v>45</v>
      </c>
      <c r="I60" s="4" t="s">
        <v>143</v>
      </c>
    </row>
    <row r="61" spans="1:9" x14ac:dyDescent="0.25">
      <c r="A61" s="4" t="s">
        <v>56</v>
      </c>
      <c r="B61" s="4" t="s">
        <v>145</v>
      </c>
      <c r="C61" s="4" t="s">
        <v>215</v>
      </c>
      <c r="D61" s="4">
        <v>9930</v>
      </c>
      <c r="E61" s="4" t="s">
        <v>185</v>
      </c>
      <c r="F61" s="4">
        <v>75</v>
      </c>
      <c r="G61" s="4">
        <v>80</v>
      </c>
      <c r="H61" s="4">
        <v>16</v>
      </c>
      <c r="I61" s="4" t="s">
        <v>148</v>
      </c>
    </row>
    <row r="62" spans="1:9" x14ac:dyDescent="0.25">
      <c r="A62" s="4" t="s">
        <v>50</v>
      </c>
      <c r="B62" s="4" t="s">
        <v>140</v>
      </c>
      <c r="C62" s="4" t="s">
        <v>216</v>
      </c>
      <c r="D62" s="4">
        <v>29400</v>
      </c>
      <c r="E62" s="4" t="s">
        <v>162</v>
      </c>
      <c r="F62" s="4">
        <v>80</v>
      </c>
      <c r="G62" s="4">
        <v>80</v>
      </c>
      <c r="H62" s="4">
        <v>45</v>
      </c>
      <c r="I62" s="4" t="s">
        <v>143</v>
      </c>
    </row>
    <row r="63" spans="1:9" x14ac:dyDescent="0.25">
      <c r="A63" s="4" t="s">
        <v>52</v>
      </c>
      <c r="B63" s="4" t="s">
        <v>140</v>
      </c>
      <c r="C63" s="4" t="s">
        <v>217</v>
      </c>
      <c r="D63" s="4">
        <v>27600</v>
      </c>
      <c r="E63" s="4" t="s">
        <v>158</v>
      </c>
      <c r="F63" s="4">
        <v>80</v>
      </c>
      <c r="G63" s="4">
        <v>60</v>
      </c>
      <c r="H63" s="4">
        <v>40</v>
      </c>
      <c r="I63" s="4" t="s">
        <v>143</v>
      </c>
    </row>
    <row r="64" spans="1:9" x14ac:dyDescent="0.25">
      <c r="A64" s="4" t="s">
        <v>123</v>
      </c>
      <c r="B64" s="4" t="s">
        <v>140</v>
      </c>
      <c r="C64" s="4" t="s">
        <v>218</v>
      </c>
      <c r="D64" s="4">
        <v>31125</v>
      </c>
      <c r="E64" s="4" t="s">
        <v>158</v>
      </c>
      <c r="F64" s="4">
        <v>80</v>
      </c>
      <c r="G64" s="4">
        <v>80</v>
      </c>
      <c r="H64" s="4">
        <v>45</v>
      </c>
      <c r="I64" s="4" t="s">
        <v>143</v>
      </c>
    </row>
    <row r="65" spans="1:9" x14ac:dyDescent="0.25">
      <c r="A65" s="4" t="s">
        <v>104</v>
      </c>
      <c r="B65" s="4" t="s">
        <v>165</v>
      </c>
      <c r="C65" s="4" t="s">
        <v>219</v>
      </c>
      <c r="D65" s="4">
        <v>8505</v>
      </c>
      <c r="E65" s="4" t="s">
        <v>142</v>
      </c>
      <c r="F65" s="4">
        <v>50</v>
      </c>
      <c r="G65" s="4">
        <v>60</v>
      </c>
      <c r="H65" s="4">
        <v>48</v>
      </c>
      <c r="I65" s="4" t="s">
        <v>148</v>
      </c>
    </row>
    <row r="66" spans="1:9" x14ac:dyDescent="0.25">
      <c r="A66" s="4" t="s">
        <v>84</v>
      </c>
      <c r="B66" s="4" t="s">
        <v>140</v>
      </c>
      <c r="C66" s="4" t="s">
        <v>220</v>
      </c>
      <c r="D66" s="4">
        <v>19920</v>
      </c>
      <c r="E66" s="4" t="s">
        <v>142</v>
      </c>
      <c r="F66" s="4">
        <v>85</v>
      </c>
      <c r="G66" s="4">
        <v>80</v>
      </c>
      <c r="H66" s="4">
        <v>45</v>
      </c>
      <c r="I66" s="4" t="s">
        <v>143</v>
      </c>
    </row>
    <row r="67" spans="1:9" x14ac:dyDescent="0.25">
      <c r="A67" s="4" t="s">
        <v>89</v>
      </c>
      <c r="B67" s="4" t="s">
        <v>140</v>
      </c>
      <c r="C67" s="4" t="s">
        <v>221</v>
      </c>
      <c r="D67" s="4">
        <v>14880</v>
      </c>
      <c r="E67" s="4" t="s">
        <v>142</v>
      </c>
      <c r="F67" s="4">
        <v>85</v>
      </c>
      <c r="G67" s="4">
        <v>60</v>
      </c>
      <c r="H67" s="4">
        <v>40</v>
      </c>
      <c r="I67" s="4" t="s">
        <v>143</v>
      </c>
    </row>
    <row r="68" spans="1:9" x14ac:dyDescent="0.25">
      <c r="A68" s="4" t="s">
        <v>80</v>
      </c>
      <c r="B68" s="4" t="s">
        <v>140</v>
      </c>
      <c r="C68" s="4" t="s">
        <v>222</v>
      </c>
      <c r="D68" s="4">
        <v>13950</v>
      </c>
      <c r="E68" s="4" t="s">
        <v>142</v>
      </c>
      <c r="F68" s="4">
        <v>55</v>
      </c>
      <c r="G68" s="4">
        <v>60</v>
      </c>
      <c r="H68" s="4">
        <v>40</v>
      </c>
      <c r="I68" s="4" t="s">
        <v>148</v>
      </c>
    </row>
    <row r="69" spans="1:9" x14ac:dyDescent="0.25">
      <c r="A69" s="4" t="s">
        <v>72</v>
      </c>
      <c r="B69" s="4" t="s">
        <v>140</v>
      </c>
      <c r="C69" s="4" t="s">
        <v>223</v>
      </c>
      <c r="D69" s="4">
        <v>16140</v>
      </c>
      <c r="E69" s="4" t="s">
        <v>142</v>
      </c>
      <c r="F69" s="4">
        <v>85</v>
      </c>
      <c r="G69" s="4">
        <v>60</v>
      </c>
      <c r="H69" s="4">
        <v>40</v>
      </c>
      <c r="I69" s="4" t="s">
        <v>143</v>
      </c>
    </row>
    <row r="70" spans="1:9" x14ac:dyDescent="0.25">
      <c r="A70" s="4" t="s">
        <v>118</v>
      </c>
      <c r="B70" s="4" t="s">
        <v>140</v>
      </c>
      <c r="C70" s="4" t="s">
        <v>224</v>
      </c>
      <c r="D70" s="4">
        <v>19575</v>
      </c>
      <c r="E70" s="4" t="s">
        <v>142</v>
      </c>
      <c r="F70" s="4">
        <v>85</v>
      </c>
      <c r="G70" s="4">
        <v>80</v>
      </c>
      <c r="H70" s="4">
        <v>45</v>
      </c>
      <c r="I70" s="4" t="s">
        <v>143</v>
      </c>
    </row>
    <row r="71" spans="1:9" x14ac:dyDescent="0.25">
      <c r="A71" s="4" t="s">
        <v>122</v>
      </c>
      <c r="B71" s="4" t="s">
        <v>140</v>
      </c>
      <c r="C71" s="4" t="s">
        <v>225</v>
      </c>
      <c r="D71" s="4">
        <v>21960</v>
      </c>
      <c r="E71" s="4" t="s">
        <v>171</v>
      </c>
      <c r="F71" s="4">
        <v>55</v>
      </c>
      <c r="G71" s="4">
        <v>60</v>
      </c>
      <c r="H71" s="4">
        <v>40</v>
      </c>
      <c r="I71" s="4" t="s">
        <v>148</v>
      </c>
    </row>
    <row r="72" spans="1:9" x14ac:dyDescent="0.25">
      <c r="A72" s="4" t="s">
        <v>53</v>
      </c>
      <c r="B72" s="4" t="s">
        <v>140</v>
      </c>
      <c r="C72" s="4" t="s">
        <v>226</v>
      </c>
      <c r="D72" s="4">
        <v>27600</v>
      </c>
      <c r="E72" s="4" t="s">
        <v>171</v>
      </c>
      <c r="F72" s="4">
        <v>85</v>
      </c>
      <c r="G72" s="4">
        <v>60</v>
      </c>
      <c r="H72" s="4">
        <v>40</v>
      </c>
      <c r="I72" s="4" t="s">
        <v>143</v>
      </c>
    </row>
    <row r="73" spans="1:9" x14ac:dyDescent="0.25">
      <c r="A73" s="4" t="s">
        <v>44</v>
      </c>
      <c r="B73" s="4" t="s">
        <v>140</v>
      </c>
      <c r="C73" s="4" t="s">
        <v>227</v>
      </c>
      <c r="D73" s="4">
        <v>25080</v>
      </c>
      <c r="E73" s="4" t="s">
        <v>171</v>
      </c>
      <c r="F73" s="4">
        <v>55</v>
      </c>
      <c r="G73" s="4">
        <v>80</v>
      </c>
      <c r="H73" s="4">
        <v>45</v>
      </c>
      <c r="I73" s="4" t="s">
        <v>148</v>
      </c>
    </row>
    <row r="74" spans="1:9" x14ac:dyDescent="0.25">
      <c r="A74" s="4" t="s">
        <v>126</v>
      </c>
      <c r="B74" s="4" t="s">
        <v>140</v>
      </c>
      <c r="C74" s="4" t="s">
        <v>228</v>
      </c>
      <c r="D74" s="4">
        <v>31125</v>
      </c>
      <c r="E74" s="4" t="s">
        <v>171</v>
      </c>
      <c r="F74" s="4">
        <v>85</v>
      </c>
      <c r="G74" s="4">
        <v>80</v>
      </c>
      <c r="H74" s="4">
        <v>45</v>
      </c>
      <c r="I74" s="4" t="s">
        <v>143</v>
      </c>
    </row>
    <row r="75" spans="1:9" x14ac:dyDescent="0.25">
      <c r="A75" s="4" t="s">
        <v>79</v>
      </c>
      <c r="B75" s="4" t="s">
        <v>145</v>
      </c>
      <c r="C75" s="4" t="s">
        <v>229</v>
      </c>
      <c r="D75" s="4">
        <v>9615</v>
      </c>
      <c r="E75" s="4" t="s">
        <v>185</v>
      </c>
      <c r="F75" s="4">
        <v>75</v>
      </c>
      <c r="G75" s="4">
        <v>70</v>
      </c>
      <c r="H75" s="4">
        <v>16</v>
      </c>
      <c r="I75" s="4" t="s">
        <v>148</v>
      </c>
    </row>
    <row r="76" spans="1:9" x14ac:dyDescent="0.25">
      <c r="A76" s="4" t="s">
        <v>117</v>
      </c>
      <c r="B76" s="4" t="s">
        <v>140</v>
      </c>
      <c r="C76" s="4" t="s">
        <v>230</v>
      </c>
      <c r="D76" s="4">
        <v>25095</v>
      </c>
      <c r="E76" s="4" t="s">
        <v>194</v>
      </c>
      <c r="F76" s="4">
        <v>60</v>
      </c>
      <c r="G76" s="4">
        <v>70</v>
      </c>
      <c r="H76" s="4">
        <v>45.8</v>
      </c>
      <c r="I76" s="4" t="s">
        <v>148</v>
      </c>
    </row>
    <row r="77" spans="1:9" x14ac:dyDescent="0.25">
      <c r="A77" s="4" t="s">
        <v>129</v>
      </c>
      <c r="B77" s="4" t="s">
        <v>140</v>
      </c>
      <c r="C77" s="4" t="s">
        <v>231</v>
      </c>
      <c r="D77" s="4">
        <v>28695</v>
      </c>
      <c r="E77" s="4" t="s">
        <v>194</v>
      </c>
      <c r="F77" s="4">
        <v>85</v>
      </c>
      <c r="G77" s="4">
        <v>70</v>
      </c>
      <c r="H77" s="4">
        <v>45.8</v>
      </c>
      <c r="I77" s="4" t="s">
        <v>143</v>
      </c>
    </row>
    <row r="78" spans="1:9" x14ac:dyDescent="0.25">
      <c r="A78" s="4" t="s">
        <v>73</v>
      </c>
      <c r="B78" s="4" t="s">
        <v>145</v>
      </c>
      <c r="C78" s="4" t="s">
        <v>232</v>
      </c>
      <c r="D78" s="4">
        <v>9615</v>
      </c>
      <c r="E78" s="4" t="s">
        <v>194</v>
      </c>
      <c r="F78" s="4">
        <v>75</v>
      </c>
      <c r="G78" s="4">
        <v>70</v>
      </c>
      <c r="H78" s="4">
        <v>16</v>
      </c>
      <c r="I78" s="4" t="s">
        <v>148</v>
      </c>
    </row>
    <row r="79" spans="1:9" x14ac:dyDescent="0.25">
      <c r="A79" s="4" t="s">
        <v>96</v>
      </c>
      <c r="B79" s="4" t="s">
        <v>140</v>
      </c>
      <c r="C79" s="4" t="s">
        <v>233</v>
      </c>
      <c r="D79" s="4">
        <v>17625</v>
      </c>
      <c r="E79" s="4" t="s">
        <v>185</v>
      </c>
      <c r="F79" s="4">
        <v>85</v>
      </c>
      <c r="G79" s="4">
        <v>60</v>
      </c>
      <c r="H79" s="4">
        <v>40</v>
      </c>
      <c r="I79" s="4" t="s">
        <v>148</v>
      </c>
    </row>
    <row r="80" spans="1:9" x14ac:dyDescent="0.25">
      <c r="A80" s="4" t="s">
        <v>127</v>
      </c>
      <c r="B80" s="4" t="s">
        <v>140</v>
      </c>
      <c r="C80" s="4" t="s">
        <v>234</v>
      </c>
      <c r="D80" s="4">
        <v>20130</v>
      </c>
      <c r="E80" s="4" t="s">
        <v>185</v>
      </c>
      <c r="F80" s="4">
        <v>45</v>
      </c>
      <c r="G80" s="4">
        <v>70</v>
      </c>
      <c r="H80" s="4">
        <v>45.8</v>
      </c>
      <c r="I80" s="4" t="s">
        <v>148</v>
      </c>
    </row>
    <row r="81" spans="1:9" x14ac:dyDescent="0.25">
      <c r="A81" s="4" t="s">
        <v>17</v>
      </c>
      <c r="B81" s="4" t="s">
        <v>140</v>
      </c>
      <c r="C81" s="4" t="s">
        <v>235</v>
      </c>
      <c r="D81" s="4">
        <v>21630</v>
      </c>
      <c r="E81" s="4" t="s">
        <v>194</v>
      </c>
      <c r="F81" s="4">
        <v>45</v>
      </c>
      <c r="G81" s="4">
        <v>80</v>
      </c>
      <c r="H81" s="4">
        <v>45</v>
      </c>
      <c r="I81" s="4" t="s">
        <v>148</v>
      </c>
    </row>
    <row r="82" spans="1:9" x14ac:dyDescent="0.25">
      <c r="A82" s="4" t="s">
        <v>68</v>
      </c>
      <c r="B82" s="4" t="s">
        <v>140</v>
      </c>
      <c r="C82" s="4" t="s">
        <v>236</v>
      </c>
      <c r="D82" s="4">
        <v>17625</v>
      </c>
      <c r="E82" s="4" t="s">
        <v>194</v>
      </c>
      <c r="F82" s="4">
        <v>85</v>
      </c>
      <c r="G82" s="4">
        <v>60</v>
      </c>
      <c r="H82" s="4">
        <v>40</v>
      </c>
      <c r="I82" s="4" t="s">
        <v>148</v>
      </c>
    </row>
    <row r="83" spans="1:9" x14ac:dyDescent="0.25">
      <c r="A83" s="4" t="s">
        <v>10</v>
      </c>
      <c r="B83" s="4" t="s">
        <v>140</v>
      </c>
      <c r="C83" s="4" t="s">
        <v>237</v>
      </c>
      <c r="D83" s="4">
        <v>20130</v>
      </c>
      <c r="E83" s="4" t="s">
        <v>194</v>
      </c>
      <c r="F83" s="4">
        <v>45</v>
      </c>
      <c r="G83" s="4">
        <v>70</v>
      </c>
      <c r="H83" s="4">
        <v>45.8</v>
      </c>
      <c r="I83" s="4" t="s">
        <v>148</v>
      </c>
    </row>
    <row r="84" spans="1:9" x14ac:dyDescent="0.25">
      <c r="A84" s="4" t="s">
        <v>100</v>
      </c>
      <c r="B84" s="4" t="s">
        <v>140</v>
      </c>
      <c r="C84" s="4" t="s">
        <v>238</v>
      </c>
      <c r="D84" s="4">
        <v>21630</v>
      </c>
      <c r="E84" s="4" t="s">
        <v>185</v>
      </c>
      <c r="F84" s="4">
        <v>45</v>
      </c>
      <c r="G84" s="4">
        <v>80</v>
      </c>
      <c r="H84" s="4">
        <v>45</v>
      </c>
      <c r="I84" s="4" t="s">
        <v>148</v>
      </c>
    </row>
    <row r="85" spans="1:9" x14ac:dyDescent="0.25">
      <c r="A85" s="4" t="s">
        <v>65</v>
      </c>
      <c r="B85" s="4" t="s">
        <v>140</v>
      </c>
      <c r="C85" s="4" t="s">
        <v>239</v>
      </c>
      <c r="D85" s="4">
        <v>26070</v>
      </c>
      <c r="E85" s="4" t="s">
        <v>158</v>
      </c>
      <c r="F85" s="4">
        <v>50</v>
      </c>
      <c r="G85" s="4">
        <v>80</v>
      </c>
      <c r="H85" s="4">
        <v>45</v>
      </c>
      <c r="I85" s="4" t="s">
        <v>148</v>
      </c>
    </row>
    <row r="86" spans="1:9" x14ac:dyDescent="0.25">
      <c r="A86" s="4" t="s">
        <v>102</v>
      </c>
      <c r="B86" s="4" t="s">
        <v>140</v>
      </c>
      <c r="C86" s="4" t="s">
        <v>240</v>
      </c>
      <c r="D86" s="4">
        <v>32085</v>
      </c>
      <c r="E86" s="4" t="s">
        <v>160</v>
      </c>
      <c r="F86" s="4">
        <v>85</v>
      </c>
      <c r="G86" s="4">
        <v>100</v>
      </c>
      <c r="H86" s="4">
        <v>45</v>
      </c>
      <c r="I86" s="4" t="s">
        <v>143</v>
      </c>
    </row>
    <row r="87" spans="1:9" x14ac:dyDescent="0.25">
      <c r="A87" s="4" t="s">
        <v>128</v>
      </c>
      <c r="B87" s="4" t="s">
        <v>140</v>
      </c>
      <c r="C87" s="4" t="s">
        <v>241</v>
      </c>
      <c r="D87" s="4">
        <v>22905</v>
      </c>
      <c r="E87" s="4" t="s">
        <v>142</v>
      </c>
      <c r="F87" s="4">
        <v>85</v>
      </c>
      <c r="G87" s="4">
        <v>100</v>
      </c>
      <c r="H87" s="4">
        <v>45</v>
      </c>
      <c r="I87" s="4" t="s">
        <v>143</v>
      </c>
    </row>
    <row r="88" spans="1:9" x14ac:dyDescent="0.25">
      <c r="A88" s="4" t="s">
        <v>24</v>
      </c>
      <c r="B88" s="4" t="s">
        <v>140</v>
      </c>
      <c r="C88" s="4" t="s">
        <v>242</v>
      </c>
      <c r="D88" s="4">
        <v>27150</v>
      </c>
      <c r="E88" s="4" t="s">
        <v>243</v>
      </c>
      <c r="F88" s="4">
        <v>80</v>
      </c>
      <c r="G88" s="4">
        <v>60</v>
      </c>
      <c r="H88" s="4">
        <v>45</v>
      </c>
      <c r="I88" s="4" t="s">
        <v>143</v>
      </c>
    </row>
    <row r="89" spans="1:9" x14ac:dyDescent="0.25">
      <c r="A89" s="4" t="s">
        <v>87</v>
      </c>
      <c r="B89" s="4" t="s">
        <v>140</v>
      </c>
      <c r="C89" s="4" t="s">
        <v>244</v>
      </c>
      <c r="D89" s="4">
        <v>28380</v>
      </c>
      <c r="E89" s="4" t="s">
        <v>243</v>
      </c>
      <c r="F89" s="4">
        <v>80</v>
      </c>
      <c r="G89" s="4">
        <v>70</v>
      </c>
      <c r="H89" s="4">
        <v>45</v>
      </c>
      <c r="I89" s="4" t="s">
        <v>143</v>
      </c>
    </row>
    <row r="90" spans="1:9" x14ac:dyDescent="0.25">
      <c r="A90" s="4" t="s">
        <v>131</v>
      </c>
      <c r="B90" s="4" t="s">
        <v>140</v>
      </c>
      <c r="C90" s="4" t="s">
        <v>245</v>
      </c>
      <c r="D90" s="4">
        <v>29400</v>
      </c>
      <c r="E90" s="4" t="s">
        <v>243</v>
      </c>
      <c r="F90" s="4">
        <v>80</v>
      </c>
      <c r="G90" s="4">
        <v>80</v>
      </c>
      <c r="H90" s="4">
        <v>45</v>
      </c>
      <c r="I90" s="4" t="s">
        <v>143</v>
      </c>
    </row>
    <row r="91" spans="1:9" x14ac:dyDescent="0.25">
      <c r="A91" s="4" t="s">
        <v>34</v>
      </c>
      <c r="B91" s="4" t="s">
        <v>140</v>
      </c>
      <c r="C91" s="4" t="s">
        <v>246</v>
      </c>
      <c r="D91" s="4">
        <v>26220</v>
      </c>
      <c r="E91" s="4" t="s">
        <v>243</v>
      </c>
      <c r="F91" s="4">
        <v>60</v>
      </c>
      <c r="G91" s="4">
        <v>70</v>
      </c>
      <c r="H91" s="4">
        <v>45</v>
      </c>
      <c r="I91" s="4" t="s">
        <v>148</v>
      </c>
    </row>
    <row r="92" spans="1:9" x14ac:dyDescent="0.25">
      <c r="A92" s="4" t="s">
        <v>82</v>
      </c>
      <c r="B92" s="4" t="s">
        <v>140</v>
      </c>
      <c r="C92" s="4" t="s">
        <v>247</v>
      </c>
      <c r="D92" s="4">
        <v>27930</v>
      </c>
      <c r="E92" s="4" t="s">
        <v>243</v>
      </c>
      <c r="F92" s="4">
        <v>60</v>
      </c>
      <c r="G92" s="4">
        <v>80</v>
      </c>
      <c r="H92" s="4">
        <v>45</v>
      </c>
      <c r="I92" s="4" t="s">
        <v>148</v>
      </c>
    </row>
    <row r="93" spans="1:9" x14ac:dyDescent="0.25">
      <c r="A93" s="4" t="s">
        <v>95</v>
      </c>
      <c r="B93" s="4" t="s">
        <v>140</v>
      </c>
      <c r="C93" s="4" t="s">
        <v>248</v>
      </c>
      <c r="D93" s="4">
        <v>25560</v>
      </c>
      <c r="E93" s="4" t="s">
        <v>194</v>
      </c>
      <c r="F93" s="4">
        <v>80</v>
      </c>
      <c r="G93" s="4">
        <v>60</v>
      </c>
      <c r="H93" s="4">
        <v>40</v>
      </c>
      <c r="I93" s="4" t="s">
        <v>143</v>
      </c>
    </row>
    <row r="94" spans="1:9" x14ac:dyDescent="0.25">
      <c r="A94" s="4" t="s">
        <v>64</v>
      </c>
      <c r="B94" s="4" t="s">
        <v>140</v>
      </c>
      <c r="C94" s="4" t="s">
        <v>249</v>
      </c>
      <c r="D94" s="4">
        <v>28980</v>
      </c>
      <c r="E94" s="4" t="s">
        <v>194</v>
      </c>
      <c r="F94" s="4">
        <v>80</v>
      </c>
      <c r="G94" s="4">
        <v>80</v>
      </c>
      <c r="H94" s="4">
        <v>45</v>
      </c>
      <c r="I94" s="4" t="s">
        <v>143</v>
      </c>
    </row>
    <row r="95" spans="1:9" x14ac:dyDescent="0.25">
      <c r="A95" s="4" t="s">
        <v>130</v>
      </c>
      <c r="B95" s="4" t="s">
        <v>149</v>
      </c>
      <c r="C95" s="4" t="s">
        <v>250</v>
      </c>
      <c r="D95" s="4">
        <v>18450</v>
      </c>
      <c r="E95" s="4" t="s">
        <v>243</v>
      </c>
      <c r="F95" s="4">
        <v>190</v>
      </c>
      <c r="G95" s="4">
        <v>40</v>
      </c>
      <c r="H95" s="4">
        <v>34</v>
      </c>
      <c r="I95" s="4" t="s">
        <v>143</v>
      </c>
    </row>
    <row r="96" spans="1:9" x14ac:dyDescent="0.25">
      <c r="A96" s="4" t="s">
        <v>19</v>
      </c>
      <c r="B96" s="4" t="s">
        <v>140</v>
      </c>
      <c r="C96" s="4" t="s">
        <v>251</v>
      </c>
      <c r="D96" s="4">
        <v>27930</v>
      </c>
      <c r="E96" s="4" t="s">
        <v>162</v>
      </c>
      <c r="F96" s="4">
        <v>60</v>
      </c>
      <c r="G96" s="4">
        <v>80</v>
      </c>
      <c r="H96" s="4">
        <v>45</v>
      </c>
      <c r="I96" s="4" t="s">
        <v>148</v>
      </c>
    </row>
    <row r="97" spans="1:9" x14ac:dyDescent="0.25">
      <c r="A97" s="4" t="s">
        <v>59</v>
      </c>
      <c r="B97" s="4" t="s">
        <v>140</v>
      </c>
      <c r="C97" s="4" t="s">
        <v>252</v>
      </c>
      <c r="D97" s="4">
        <v>15765</v>
      </c>
      <c r="E97" s="4" t="s">
        <v>142</v>
      </c>
      <c r="F97" s="4">
        <v>55</v>
      </c>
      <c r="G97" s="4">
        <v>60</v>
      </c>
      <c r="H97" s="4">
        <v>45</v>
      </c>
      <c r="I97" s="4" t="s">
        <v>148</v>
      </c>
    </row>
    <row r="98" spans="1:9" x14ac:dyDescent="0.25">
      <c r="A98" s="4" t="s">
        <v>27</v>
      </c>
      <c r="B98" s="4" t="s">
        <v>140</v>
      </c>
      <c r="C98" s="4" t="s">
        <v>253</v>
      </c>
      <c r="D98" s="4">
        <v>25290</v>
      </c>
      <c r="E98" s="4" t="s">
        <v>142</v>
      </c>
      <c r="F98" s="4">
        <v>60</v>
      </c>
      <c r="G98" s="4">
        <v>80</v>
      </c>
      <c r="H98" s="4">
        <v>45</v>
      </c>
      <c r="I98" s="4" t="s">
        <v>148</v>
      </c>
    </row>
    <row r="99" spans="1:9" x14ac:dyDescent="0.25">
      <c r="A99" s="4" t="s">
        <v>108</v>
      </c>
      <c r="B99" s="4" t="s">
        <v>140</v>
      </c>
      <c r="C99" s="4" t="s">
        <v>254</v>
      </c>
      <c r="D99" s="4">
        <v>29205</v>
      </c>
      <c r="E99" s="4" t="s">
        <v>142</v>
      </c>
      <c r="F99" s="4">
        <v>60</v>
      </c>
      <c r="G99" s="4">
        <v>100</v>
      </c>
      <c r="H99" s="4">
        <v>45</v>
      </c>
      <c r="I99" s="4" t="s">
        <v>148</v>
      </c>
    </row>
    <row r="100" spans="1:9" x14ac:dyDescent="0.25">
      <c r="A100" s="4" t="s">
        <v>31</v>
      </c>
      <c r="B100" s="4" t="s">
        <v>149</v>
      </c>
      <c r="C100" s="4" t="s">
        <v>255</v>
      </c>
      <c r="D100" s="4">
        <v>14085</v>
      </c>
      <c r="E100" s="4" t="s">
        <v>142</v>
      </c>
      <c r="F100" s="4">
        <v>190</v>
      </c>
      <c r="G100" s="4">
        <v>35</v>
      </c>
      <c r="H100" s="4">
        <v>32.6</v>
      </c>
      <c r="I100" s="4" t="s">
        <v>143</v>
      </c>
    </row>
    <row r="101" spans="1:9" x14ac:dyDescent="0.25">
      <c r="A101" s="4" t="s">
        <v>86</v>
      </c>
      <c r="B101" s="4" t="s">
        <v>149</v>
      </c>
      <c r="C101" s="4" t="s">
        <v>256</v>
      </c>
      <c r="D101" s="4">
        <v>7260</v>
      </c>
      <c r="E101" s="4" t="s">
        <v>142</v>
      </c>
      <c r="F101" s="4">
        <v>90</v>
      </c>
      <c r="G101" s="4">
        <v>50</v>
      </c>
      <c r="H101" s="4">
        <v>34</v>
      </c>
      <c r="I101" s="4" t="s">
        <v>143</v>
      </c>
    </row>
    <row r="102" spans="1:9" x14ac:dyDescent="0.25">
      <c r="A102" s="4" t="s">
        <v>107</v>
      </c>
      <c r="B102" s="4" t="s">
        <v>149</v>
      </c>
      <c r="C102" s="4" t="s">
        <v>257</v>
      </c>
      <c r="D102" s="4">
        <v>6705</v>
      </c>
      <c r="E102" s="4" t="s">
        <v>142</v>
      </c>
      <c r="F102" s="4">
        <v>90</v>
      </c>
      <c r="G102" s="4">
        <v>35</v>
      </c>
      <c r="H102" s="4">
        <v>37</v>
      </c>
      <c r="I102" s="4" t="s">
        <v>143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zoomScale="140" zoomScaleNormal="140" workbookViewId="0">
      <selection activeCell="E13" sqref="E13"/>
    </sheetView>
  </sheetViews>
  <sheetFormatPr defaultColWidth="11.5546875" defaultRowHeight="13.2" x14ac:dyDescent="0.25"/>
  <cols>
    <col min="2" max="2" width="15.44140625" customWidth="1"/>
    <col min="3" max="3" width="20.77734375" customWidth="1"/>
  </cols>
  <sheetData>
    <row r="1" spans="1:3" x14ac:dyDescent="0.25">
      <c r="A1" s="5" t="s">
        <v>0</v>
      </c>
      <c r="B1" s="5" t="s">
        <v>258</v>
      </c>
      <c r="C1" s="5" t="s">
        <v>259</v>
      </c>
    </row>
    <row r="2" spans="1:3" x14ac:dyDescent="0.25">
      <c r="A2" t="s">
        <v>6</v>
      </c>
      <c r="B2" s="6" t="s">
        <v>260</v>
      </c>
      <c r="C2" s="6" t="s">
        <v>261</v>
      </c>
    </row>
    <row r="3" spans="1:3" x14ac:dyDescent="0.25">
      <c r="A3" t="s">
        <v>54</v>
      </c>
      <c r="B3" s="6" t="s">
        <v>262</v>
      </c>
      <c r="C3" s="6" t="s">
        <v>263</v>
      </c>
    </row>
    <row r="4" spans="1:3" x14ac:dyDescent="0.25">
      <c r="A4" t="s">
        <v>43</v>
      </c>
      <c r="B4" s="6" t="s">
        <v>264</v>
      </c>
      <c r="C4" s="6" t="s">
        <v>265</v>
      </c>
    </row>
    <row r="5" spans="1:3" x14ac:dyDescent="0.25">
      <c r="A5" t="s">
        <v>48</v>
      </c>
      <c r="B5" s="6" t="s">
        <v>266</v>
      </c>
      <c r="C5" s="6" t="s">
        <v>263</v>
      </c>
    </row>
    <row r="6" spans="1:3" x14ac:dyDescent="0.25">
      <c r="A6" t="s">
        <v>22</v>
      </c>
      <c r="B6" s="6" t="s">
        <v>267</v>
      </c>
      <c r="C6" s="6" t="s">
        <v>268</v>
      </c>
    </row>
    <row r="7" spans="1:3" x14ac:dyDescent="0.25">
      <c r="A7" t="s">
        <v>111</v>
      </c>
      <c r="B7" s="6" t="s">
        <v>269</v>
      </c>
      <c r="C7" s="6" t="s">
        <v>265</v>
      </c>
    </row>
    <row r="8" spans="1:3" x14ac:dyDescent="0.25">
      <c r="A8" t="s">
        <v>16</v>
      </c>
      <c r="B8" s="6" t="s">
        <v>270</v>
      </c>
      <c r="C8" s="6" t="s">
        <v>261</v>
      </c>
    </row>
    <row r="9" spans="1:3" x14ac:dyDescent="0.25">
      <c r="A9" t="s">
        <v>20</v>
      </c>
      <c r="B9" s="6" t="s">
        <v>271</v>
      </c>
      <c r="C9" s="6" t="s">
        <v>261</v>
      </c>
    </row>
    <row r="10" spans="1:3" x14ac:dyDescent="0.25">
      <c r="A10" t="s">
        <v>11</v>
      </c>
      <c r="B10" s="6" t="s">
        <v>272</v>
      </c>
      <c r="C10" s="6" t="s">
        <v>268</v>
      </c>
    </row>
    <row r="11" spans="1:3" x14ac:dyDescent="0.25">
      <c r="A11" t="s">
        <v>28</v>
      </c>
      <c r="B11" s="6" t="s">
        <v>273</v>
      </c>
      <c r="C11" s="6" t="s">
        <v>265</v>
      </c>
    </row>
    <row r="12" spans="1:3" x14ac:dyDescent="0.25">
      <c r="A12" t="s">
        <v>18</v>
      </c>
      <c r="B12" s="6" t="s">
        <v>274</v>
      </c>
      <c r="C12" s="6" t="s">
        <v>265</v>
      </c>
    </row>
    <row r="13" spans="1:3" x14ac:dyDescent="0.25">
      <c r="A13" t="s">
        <v>63</v>
      </c>
      <c r="B13" s="6" t="s">
        <v>275</v>
      </c>
      <c r="C13" s="6" t="s">
        <v>263</v>
      </c>
    </row>
    <row r="14" spans="1:3" x14ac:dyDescent="0.25">
      <c r="A14" t="s">
        <v>14</v>
      </c>
      <c r="B14" s="6" t="s">
        <v>276</v>
      </c>
      <c r="C14" s="6" t="s">
        <v>261</v>
      </c>
    </row>
    <row r="15" spans="1:3" x14ac:dyDescent="0.25">
      <c r="A15" t="s">
        <v>92</v>
      </c>
      <c r="B15" s="6" t="s">
        <v>277</v>
      </c>
      <c r="C15" s="6" t="s">
        <v>268</v>
      </c>
    </row>
    <row r="16" spans="1:3" x14ac:dyDescent="0.25">
      <c r="A16" t="s">
        <v>33</v>
      </c>
      <c r="B16" s="6" t="s">
        <v>278</v>
      </c>
      <c r="C16" s="6" t="s">
        <v>265</v>
      </c>
    </row>
    <row r="17" spans="1:3" x14ac:dyDescent="0.25">
      <c r="A17" t="s">
        <v>57</v>
      </c>
      <c r="B17" s="6" t="s">
        <v>279</v>
      </c>
      <c r="C17" s="6" t="s">
        <v>261</v>
      </c>
    </row>
    <row r="18" spans="1:3" x14ac:dyDescent="0.25">
      <c r="A18" t="s">
        <v>58</v>
      </c>
      <c r="B18" s="6" t="s">
        <v>280</v>
      </c>
      <c r="C18" s="6" t="s">
        <v>263</v>
      </c>
    </row>
    <row r="19" spans="1:3" x14ac:dyDescent="0.25">
      <c r="A19" t="s">
        <v>30</v>
      </c>
      <c r="B19" s="6" t="s">
        <v>281</v>
      </c>
      <c r="C19" s="6" t="s">
        <v>268</v>
      </c>
    </row>
    <row r="20" spans="1:3" x14ac:dyDescent="0.25">
      <c r="A20" t="s">
        <v>9</v>
      </c>
      <c r="B20" s="6" t="s">
        <v>282</v>
      </c>
      <c r="C20" s="6" t="s">
        <v>268</v>
      </c>
    </row>
    <row r="21" spans="1:3" x14ac:dyDescent="0.25">
      <c r="A21" t="s">
        <v>103</v>
      </c>
      <c r="B21" s="6" t="s">
        <v>283</v>
      </c>
      <c r="C21" s="6" t="s">
        <v>263</v>
      </c>
    </row>
    <row r="22" spans="1:3" x14ac:dyDescent="0.25">
      <c r="A22" t="s">
        <v>41</v>
      </c>
      <c r="B22" s="6" t="s">
        <v>284</v>
      </c>
      <c r="C22" s="6" t="s">
        <v>263</v>
      </c>
    </row>
    <row r="23" spans="1:3" x14ac:dyDescent="0.25">
      <c r="A23" t="s">
        <v>35</v>
      </c>
      <c r="B23" s="6" t="s">
        <v>285</v>
      </c>
      <c r="C23" s="6" t="s">
        <v>265</v>
      </c>
    </row>
    <row r="24" spans="1:3" x14ac:dyDescent="0.25">
      <c r="A24" t="s">
        <v>26</v>
      </c>
      <c r="B24" s="6" t="s">
        <v>286</v>
      </c>
      <c r="C24" s="6" t="s">
        <v>261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Движение товаров</vt:lpstr>
      <vt:lpstr>Товары</vt:lpstr>
      <vt:lpstr>Магазины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IT</cp:lastModifiedBy>
  <cp:revision>21</cp:revision>
  <dcterms:modified xsi:type="dcterms:W3CDTF">2026-01-19T22:12:58Z</dcterms:modified>
  <dc:language>ru-RU</dc:language>
</cp:coreProperties>
</file>